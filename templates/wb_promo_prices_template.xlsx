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ices"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4">
    <fill>
      <patternFill patternType="none"/>
    </fill>
    <fill>
      <patternFill patternType="gray125"/>
    </fill>
    <fill>
      <patternFill patternType="solid">
        <fgColor rgb="FFEEFDEB"/>
      </patternFill>
    </fill>
    <fill>
      <patternFill patternType="solid">
        <fgColor rgb="FFFCFDEB"/>
      </patternFill>
    </fill>
  </fills>
  <borders count="2">
    <border>
      <left/>
      <right/>
      <top/>
      <bottom/>
      <diagonal/>
    </border>
    <border>
      <left style="thin">
        <color rgb="FFBBBBBB"/>
      </left>
      <right style="thin">
        <color rgb="FFBBBBBB"/>
      </right>
      <top style="thin">
        <color rgb="FFBBBBBB"/>
      </top>
      <bottom style="thin">
        <color rgb="FFBBBBBB"/>
      </bottom>
    </border>
  </borders>
  <cellStyleXfs count="1">
    <xf numFmtId="0" fontId="0" fillId="0" borderId="0"/>
  </cellStyleXfs>
  <cellXfs count="8">
    <xf numFmtId="0" fontId="0" fillId="0" borderId="0" xfId="0"/>
    <xf numFmtId="0" fontId="1" fillId="0" borderId="1" xfId="0" applyFont="true" applyBorder="true" applyAlignment="true">
      <alignment horizontal="left" vertical="top" wrapText="true"/>
    </xf>
    <xf numFmtId="0" fontId="0" fillId="0" borderId="1" xfId="0" applyBorder="true" applyAlignment="true">
      <alignment horizontal="left"/>
    </xf>
    <xf numFmtId="0" fontId="1" fillId="2" borderId="1" xfId="0" applyFont="true" applyFill="true" applyBorder="true" applyAlignment="true">
      <alignment horizontal="left" vertical="top"/>
    </xf>
    <xf numFmtId="0" fontId="0" fillId="2" borderId="1" xfId="0" applyFill="true" applyBorder="true" applyAlignment="true">
      <alignment horizontal="left"/>
    </xf>
    <xf numFmtId="0" fontId="1" fillId="3" borderId="1" xfId="0" applyFont="true" applyFill="true" applyBorder="true" applyAlignment="true">
      <alignment horizontal="left" vertical="top"/>
    </xf>
    <xf numFmtId="0" fontId="0" fillId="3" borderId="1" xfId="0" applyFill="true" applyBorder="true" applyAlignment="true">
      <alignment horizontal="left"/>
    </xf>
    <xf numFmtId="0" fontId="0" fillId="0" borderId="1" xfId="0" applyBorder="true" applyAlignment="true">
      <alignment vertical="top" wrapText="true"/>
    </xf>
  </cellXfs>
  <cellStyles count="1">
    <cellStyle name="Normal" xfId="0" builtinId="0"/>
  </cellStyles>
  <dxfs count="3">
    <dxf/>
    <dxf>
      <font>
        <family val="2"/>
        <color rgb="FFCD0003"/>
      </font>
      <fill>
        <patternFill patternType="solid">
          <bgColor rgb="FFF6C5C6"/>
        </patternFill>
      </fill>
    </dxf>
    <dxf>
      <font>
        <family val="2"/>
        <color rgb="FF000000"/>
      </font>
      <fill>
        <patternFill patternType="solid">
          <bgColor rgb="FFFDEE9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4" max="14" width="68.33333333333333" customWidth="1"/>
    <col min="13" max="13" width="20" customWidth="1"/>
    <col min="12" max="12" width="18.333333333333332" customWidth="1"/>
    <col min="11" max="11" width="18.333333333333332" customWidth="1"/>
    <col min="10" max="10" width="18.333333333333332" customWidth="1"/>
    <col min="9" max="9" width="18.333333333333332" customWidth="1"/>
    <col min="8" max="8" width="18.333333333333332" customWidth="1"/>
    <col min="7" max="7" width="20" customWidth="1"/>
    <col min="6" max="6" width="15.833333333333334" customWidth="1"/>
    <col min="5" max="5" width="20" customWidth="1"/>
    <col min="4" max="4" width="20" customWidth="1"/>
    <col min="3" max="3" width="15.833333333333334" customWidth="1"/>
    <col min="2" max="2" width="15.833333333333334" customWidth="1"/>
    <col min="1" max="1" width="15.833333333333334" customWidth="1"/>
  </cols>
  <sheetData>
    <row r="1">
      <c r="A1" s="1" t="inlineStr">
        <is>
          <t>Бренд</t>
        </is>
      </c>
      <c r="B1" s="1" t="inlineStr">
        <is>
          <t>Категория</t>
        </is>
      </c>
      <c r="C1" s="1" t="inlineStr">
        <is>
          <t>Артикул WB</t>
        </is>
      </c>
      <c r="D1" s="1" t="inlineStr">
        <is>
          <t>Артикул продавца</t>
        </is>
      </c>
      <c r="E1" s="1" t="inlineStr">
        <is>
          <t>Последний баркод</t>
        </is>
      </c>
      <c r="F1" s="1" t="inlineStr">
        <is>
          <t>Остатки WB</t>
        </is>
      </c>
      <c r="G1" s="1" t="inlineStr">
        <is>
          <t>Остатки продавца</t>
        </is>
      </c>
      <c r="H1" s="1" t="inlineStr">
        <is>
          <t>Оборачиваемость</t>
        </is>
      </c>
      <c r="I1" s="1" t="inlineStr">
        <is>
          <t>Текущая цена</t>
        </is>
      </c>
      <c r="J1" s="3" t="inlineStr">
        <is>
          <t>Новая цена, RUB</t>
        </is>
      </c>
      <c r="K1" s="1" t="inlineStr">
        <is>
          <t>Текущая скидка</t>
        </is>
      </c>
      <c r="L1" s="5" t="inlineStr">
        <is>
          <t>Новая скидка</t>
        </is>
      </c>
      <c r="M1" s="1" t="inlineStr">
        <is>
          <t>Цена со скидкой</t>
        </is>
      </c>
      <c r="N1" s="1" t="inlineStr">
        <is>
          <t>Наличие ошибки</t>
        </is>
      </c>
    </row>
    <row r="2">
      <c r="A2" s="2" t="inlineStr">
        <is>
          <t>AROLS</t>
        </is>
      </c>
      <c r="B2" s="2" t="inlineStr">
        <is>
          <t>Скакалки</t>
        </is>
      </c>
      <c r="C2" s="2">
        <v>271440670</v>
      </c>
      <c r="D2" s="2" t="inlineStr">
        <is>
          <t>ACRB1SK101BL</t>
        </is>
      </c>
      <c r="E2" s="2" t="inlineStr">
        <is>
          <t>2041473034169</t>
        </is>
      </c>
      <c r="F2" s="2">
        <v>100</v>
      </c>
      <c r="G2" s="2">
        <v>0</v>
      </c>
      <c r="H2" s="2">
        <v>999</v>
      </c>
      <c r="I2" s="2" t="inlineStr">
        <is>
          <t>1832</t>
        </is>
      </c>
      <c r="J2" s="4"/>
      <c r="K2" s="2">
        <v>56</v>
      </c>
      <c r="L2" s="6"/>
      <c r="M2" s="2" t="str">
        <f>IF(J2="",ROUND(I2*(1-IF(ISBLANK(L2),K2,L2)/100),2),ROUND(J2*(1-IF(ISBLANK(L2),K2,L2)/100),2))</f>
      </c>
      <c r="N2" s="7" t="str">
        <f>IF(NOT(AND(J2="",L2="")),IF(OR(AND(L2&lt;&gt;"",NOT(ISNUMBER(L2))),IFERROR(MOD(L2,1),1)&gt;0,AND(ISNUMBER(L2),OR(L2&lt;0,L2&gt;95))),"Введите целое число от 0 до 95",IF(OR(AND(J2&lt;&gt;"",NOT(ISNUMBER(J2))),IFERROR(MOD(J2,1),1)&gt;0,AND(ISNUMBER(J2),OR(J2&lt;50,J2&gt;20000000))),"Введите целое число от 50 до 20000000",IF(NOT(ABS(IFERROR(VALUE(LEFT(M2,FIND("-",M2)-1)),M2)*100-(2500+2000000000)/2)&lt;=ABS(2500-2000000000)/2),"Цена со скидкой должна быть от 25 до 20000000",IF(AND(IFERROR(VALUE(LEFT(M2,FIND("-",M2)-1)),M2)*150&lt;=80608,IFERROR(VALUE(LEFT(M2,FIND("-",M2)-1)),M2)*200&gt;80608),"Вы уменьшили цену в несколько раз, товар попадет в карантин цен",IF(IFERROR(VALUE(LEFT(M2,FIND("-",M2)-1)),M2)*200&lt;=80608,"Не сохранили изменения, чтобы защитить от ошибки — новые цены меньше текущих более чем в 2 раза. Снижайте их постепенно",IF(AND(IFERROR(VALUE(I2),0)=0,ISNUMBER(J2),OR(J2&lt;222,ABS(IFERROR(VALUE(LEFT(M2,FIND("-",M2)-1)),M2))*100&lt;22200)),"Проверьте цену товара. Большинство товаров в выбранной категории стоят дороже 222","")))))),"")</f>
      </c>
    </row>
    <row r="3">
      <c r="A3" s="2" t="inlineStr">
        <is>
          <t>AROLS</t>
        </is>
      </c>
      <c r="B3" s="2" t="inlineStr">
        <is>
          <t>Скакалки</t>
        </is>
      </c>
      <c r="C3" s="2">
        <v>271441230</v>
      </c>
      <c r="D3" s="2" t="inlineStr">
        <is>
          <t>ACRB1SK201BC</t>
        </is>
      </c>
      <c r="E3" s="2" t="inlineStr">
        <is>
          <t>2041473042966</t>
        </is>
      </c>
      <c r="F3" s="2">
        <v>0</v>
      </c>
      <c r="G3" s="2">
        <v>0</v>
      </c>
      <c r="H3" s="2">
        <v>1</v>
      </c>
      <c r="I3" s="2" t="inlineStr">
        <is>
          <t>1799</t>
        </is>
      </c>
      <c r="J3" s="4"/>
      <c r="K3" s="2">
        <v>30</v>
      </c>
      <c r="L3" s="6"/>
      <c r="M3" s="2" t="str">
        <f>IF(J3="",ROUND(I3*(1-IF(ISBLANK(L3),K3,L3)/100),2),ROUND(J3*(1-IF(ISBLANK(L3),K3,L3)/100),2))</f>
      </c>
      <c r="N3" s="7" t="str">
        <f>IF(NOT(AND(J3="",L3="")),IF(OR(AND(L3&lt;&gt;"",NOT(ISNUMBER(L3))),IFERROR(MOD(L3,1),1)&gt;0,AND(ISNUMBER(L3),OR(L3&lt;0,L3&gt;95))),"Введите целое число от 0 до 95",IF(OR(AND(J3&lt;&gt;"",NOT(ISNUMBER(J3))),IFERROR(MOD(J3,1),1)&gt;0,AND(ISNUMBER(J3),OR(J3&lt;50,J3&gt;20000000))),"Введите целое число от 50 до 20000000",IF(NOT(ABS(IFERROR(VALUE(LEFT(M3,FIND("-",M3)-1)),M3)*100-(2500+2000000000)/2)&lt;=ABS(2500-2000000000)/2),"Цена со скидкой должна быть от 25 до 20000000",IF(AND(IFERROR(VALUE(LEFT(M3,FIND("-",M3)-1)),M3)*150&lt;=125930,IFERROR(VALUE(LEFT(M3,FIND("-",M3)-1)),M3)*200&gt;125930),"Вы уменьшили цену в несколько раз, товар попадет в карантин цен",IF(IFERROR(VALUE(LEFT(M3,FIND("-",M3)-1)),M3)*200&lt;=125930,"Не сохранили изменения, чтобы защитить от ошибки — новые цены меньше текущих более чем в 2 раза. Снижайте их постепенно",IF(AND(IFERROR(VALUE(I3),0)=0,ISNUMBER(J3),OR(J3&lt;222,ABS(IFERROR(VALUE(LEFT(M3,FIND("-",M3)-1)),M3))*100&lt;22200)),"Проверьте цену товара. Большинство товаров в выбранной категории стоят дороже 222","")))))),"")</f>
      </c>
    </row>
    <row r="4">
      <c r="A4" s="2" t="inlineStr">
        <is>
          <t>AROLS</t>
        </is>
      </c>
      <c r="B4" s="2" t="inlineStr">
        <is>
          <t>Скакалки</t>
        </is>
      </c>
      <c r="C4" s="2">
        <v>271440668</v>
      </c>
      <c r="D4" s="2" t="inlineStr">
        <is>
          <t>ACRB1SK101BC</t>
        </is>
      </c>
      <c r="E4" s="2" t="inlineStr">
        <is>
          <t>2041473034138</t>
        </is>
      </c>
      <c r="F4" s="2">
        <v>130</v>
      </c>
      <c r="G4" s="2">
        <v>0</v>
      </c>
      <c r="H4" s="2">
        <v>990</v>
      </c>
      <c r="I4" s="2" t="inlineStr">
        <is>
          <t>1741</t>
        </is>
      </c>
      <c r="J4" s="4"/>
      <c r="K4" s="2">
        <v>48</v>
      </c>
      <c r="L4" s="6"/>
      <c r="M4" s="2" t="str">
        <f>IF(J4="",ROUND(I4*(1-IF(ISBLANK(L4),K4,L4)/100),2),ROUND(J4*(1-IF(ISBLANK(L4),K4,L4)/100),2))</f>
      </c>
      <c r="N4" s="7" t="str">
        <f>IF(NOT(AND(J4="",L4="")),IF(OR(AND(L4&lt;&gt;"",NOT(ISNUMBER(L4))),IFERROR(MOD(L4,1),1)&gt;0,AND(ISNUMBER(L4),OR(L4&lt;0,L4&gt;95))),"Введите целое число от 0 до 95",IF(OR(AND(J4&lt;&gt;"",NOT(ISNUMBER(J4))),IFERROR(MOD(J4,1),1)&gt;0,AND(ISNUMBER(J4),OR(J4&lt;50,J4&gt;20000000))),"Введите целое число от 50 до 20000000",IF(NOT(ABS(IFERROR(VALUE(LEFT(M4,FIND("-",M4)-1)),M4)*100-(2500+2000000000)/2)&lt;=ABS(2500-2000000000)/2),"Цена со скидкой должна быть от 25 до 20000000",IF(AND(IFERROR(VALUE(LEFT(M4,FIND("-",M4)-1)),M4)*150&lt;=90532,IFERROR(VALUE(LEFT(M4,FIND("-",M4)-1)),M4)*200&gt;90532),"Вы уменьшили цену в несколько раз, товар попадет в карантин цен",IF(IFERROR(VALUE(LEFT(M4,FIND("-",M4)-1)),M4)*200&lt;=90532,"Не сохранили изменения, чтобы защитить от ошибки — новые цены меньше текущих более чем в 2 раза. Снижайте их постепенно",IF(AND(IFERROR(VALUE(I4),0)=0,ISNUMBER(J4),OR(J4&lt;222,ABS(IFERROR(VALUE(LEFT(M4,FIND("-",M4)-1)),M4))*100&lt;22200)),"Проверьте цену товара. Большинство товаров в выбранной категории стоят дороже 222","")))))),"")</f>
      </c>
    </row>
    <row r="5">
      <c r="A5" s="2" t="inlineStr">
        <is>
          <t>AROLS</t>
        </is>
      </c>
      <c r="B5" s="2" t="inlineStr">
        <is>
          <t>Скакалки</t>
        </is>
      </c>
      <c r="C5" s="2">
        <v>271440669</v>
      </c>
      <c r="D5" s="2" t="inlineStr">
        <is>
          <t>ACRB1SK101RD</t>
        </is>
      </c>
      <c r="E5" s="2" t="inlineStr">
        <is>
          <t>2041473034145</t>
        </is>
      </c>
      <c r="F5" s="2">
        <v>130</v>
      </c>
      <c r="G5" s="2">
        <v>0</v>
      </c>
      <c r="H5" s="2">
        <v>501</v>
      </c>
      <c r="I5" s="2" t="inlineStr">
        <is>
          <t>1832</t>
        </is>
      </c>
      <c r="J5" s="4"/>
      <c r="K5" s="2">
        <v>56</v>
      </c>
      <c r="L5" s="6"/>
      <c r="M5" s="2" t="str">
        <f>IF(J5="",ROUND(I5*(1-IF(ISBLANK(L5),K5,L5)/100),2),ROUND(J5*(1-IF(ISBLANK(L5),K5,L5)/100),2))</f>
      </c>
      <c r="N5" s="7" t="str">
        <f>IF(NOT(AND(J5="",L5="")),IF(OR(AND(L5&lt;&gt;"",NOT(ISNUMBER(L5))),IFERROR(MOD(L5,1),1)&gt;0,AND(ISNUMBER(L5),OR(L5&lt;0,L5&gt;95))),"Введите целое число от 0 до 95",IF(OR(AND(J5&lt;&gt;"",NOT(ISNUMBER(J5))),IFERROR(MOD(J5,1),1)&gt;0,AND(ISNUMBER(J5),OR(J5&lt;50,J5&gt;20000000))),"Введите целое число от 50 до 20000000",IF(NOT(ABS(IFERROR(VALUE(LEFT(M5,FIND("-",M5)-1)),M5)*100-(2500+2000000000)/2)&lt;=ABS(2500-2000000000)/2),"Цена со скидкой должна быть от 25 до 20000000",IF(AND(IFERROR(VALUE(LEFT(M5,FIND("-",M5)-1)),M5)*150&lt;=80608,IFERROR(VALUE(LEFT(M5,FIND("-",M5)-1)),M5)*200&gt;80608),"Вы уменьшили цену в несколько раз, товар попадет в карантин цен",IF(IFERROR(VALUE(LEFT(M5,FIND("-",M5)-1)),M5)*200&lt;=80608,"Не сохранили изменения, чтобы защитить от ошибки — новые цены меньше текущих более чем в 2 раза. Снижайте их постепенно",IF(AND(IFERROR(VALUE(I5),0)=0,ISNUMBER(J5),OR(J5&lt;222,ABS(IFERROR(VALUE(LEFT(M5,FIND("-",M5)-1)),M5))*100&lt;22200)),"Проверьте цену товара. Большинство товаров в выбранной категории стоят дороже 222","")))))),"")</f>
      </c>
    </row>
    <row r="6">
      <c r="A6" s="2" t="inlineStr">
        <is>
          <t>AROLS</t>
        </is>
      </c>
      <c r="B6" s="2" t="inlineStr">
        <is>
          <t>Капы</t>
        </is>
      </c>
      <c r="C6" s="2">
        <v>550445280</v>
      </c>
      <c r="D6" s="2" t="inlineStr">
        <is>
          <t>ACRF1KP101BL</t>
        </is>
      </c>
      <c r="E6" s="2" t="inlineStr">
        <is>
          <t>2046391283545</t>
        </is>
      </c>
      <c r="F6" s="2" t="inlineStr">
        <is>
          <t/>
        </is>
      </c>
      <c r="G6" s="2" t="inlineStr">
        <is>
          <t/>
        </is>
      </c>
      <c r="H6" s="2" t="inlineStr">
        <is>
          <t/>
        </is>
      </c>
      <c r="I6" s="2" t="inlineStr">
        <is>
          <t>860</t>
        </is>
      </c>
      <c r="J6" s="4"/>
      <c r="K6" s="2">
        <v>30</v>
      </c>
      <c r="L6" s="6"/>
      <c r="M6" s="2" t="str">
        <f>IF(J6="",ROUND(I6*(1-IF(ISBLANK(L6),K6,L6)/100),2),ROUND(J6*(1-IF(ISBLANK(L6),K6,L6)/100),2))</f>
      </c>
      <c r="N6" s="7" t="str">
        <f>IF(NOT(AND(J6="",L6="")),IF(OR(AND(L6&lt;&gt;"",NOT(ISNUMBER(L6))),IFERROR(MOD(L6,1),1)&gt;0,AND(ISNUMBER(L6),OR(L6&lt;0,L6&gt;95))),"Введите целое число от 0 до 95",IF(OR(AND(J6&lt;&gt;"",NOT(ISNUMBER(J6))),IFERROR(MOD(J6,1),1)&gt;0,AND(ISNUMBER(J6),OR(J6&lt;50,J6&gt;20000000))),"Введите целое число от 50 до 20000000",IF(NOT(ABS(IFERROR(VALUE(LEFT(M6,FIND("-",M6)-1)),M6)*100-(2500+2000000000)/2)&lt;=ABS(2500-2000000000)/2),"Цена со скидкой должна быть от 25 до 20000000",IF(AND(IFERROR(VALUE(LEFT(M6,FIND("-",M6)-1)),M6)*150&lt;=60200,IFERROR(VALUE(LEFT(M6,FIND("-",M6)-1)),M6)*200&gt;60200),"Вы уменьшили цену в несколько раз, товар попадет в карантин цен",IF(IFERROR(VALUE(LEFT(M6,FIND("-",M6)-1)),M6)*200&lt;=60200,"Не сохранили изменения, чтобы защитить от ошибки — новые цены меньше текущих более чем в 2 раза. Снижайте их постепенно",IF(AND(IFERROR(VALUE(I6),0)=0,ISNUMBER(J6),OR(J6&lt;226,ABS(IFERROR(VALUE(LEFT(M6,FIND("-",M6)-1)),M6))*100&lt;22600)),"Проверьте цену товара. Большинство товаров в выбранной категории стоят дороже 226","")))))),"")</f>
      </c>
    </row>
    <row r="7">
      <c r="A7" s="2" t="inlineStr">
        <is>
          <t>AROLS</t>
        </is>
      </c>
      <c r="B7" s="2" t="inlineStr">
        <is>
          <t>Капы</t>
        </is>
      </c>
      <c r="C7" s="2">
        <v>550445283</v>
      </c>
      <c r="D7" s="2" t="inlineStr">
        <is>
          <t>ACRF1KP102GN</t>
        </is>
      </c>
      <c r="E7" s="2" t="inlineStr">
        <is>
          <t>2046391283613</t>
        </is>
      </c>
      <c r="F7" s="2" t="inlineStr">
        <is>
          <t/>
        </is>
      </c>
      <c r="G7" s="2" t="inlineStr">
        <is>
          <t/>
        </is>
      </c>
      <c r="H7" s="2" t="inlineStr">
        <is>
          <t/>
        </is>
      </c>
      <c r="I7" s="2" t="inlineStr">
        <is>
          <t>860</t>
        </is>
      </c>
      <c r="J7" s="4"/>
      <c r="K7" s="2">
        <v>30</v>
      </c>
      <c r="L7" s="6"/>
      <c r="M7" s="2" t="str">
        <f>IF(J7="",ROUND(I7*(1-IF(ISBLANK(L7),K7,L7)/100),2),ROUND(J7*(1-IF(ISBLANK(L7),K7,L7)/100),2))</f>
      </c>
      <c r="N7" s="7" t="str">
        <f>IF(NOT(AND(J7="",L7="")),IF(OR(AND(L7&lt;&gt;"",NOT(ISNUMBER(L7))),IFERROR(MOD(L7,1),1)&gt;0,AND(ISNUMBER(L7),OR(L7&lt;0,L7&gt;95))),"Введите целое число от 0 до 95",IF(OR(AND(J7&lt;&gt;"",NOT(ISNUMBER(J7))),IFERROR(MOD(J7,1),1)&gt;0,AND(ISNUMBER(J7),OR(J7&lt;50,J7&gt;20000000))),"Введите целое число от 50 до 20000000",IF(NOT(ABS(IFERROR(VALUE(LEFT(M7,FIND("-",M7)-1)),M7)*100-(2500+2000000000)/2)&lt;=ABS(2500-2000000000)/2),"Цена со скидкой должна быть от 25 до 20000000",IF(AND(IFERROR(VALUE(LEFT(M7,FIND("-",M7)-1)),M7)*150&lt;=60200,IFERROR(VALUE(LEFT(M7,FIND("-",M7)-1)),M7)*200&gt;60200),"Вы уменьшили цену в несколько раз, товар попадет в карантин цен",IF(IFERROR(VALUE(LEFT(M7,FIND("-",M7)-1)),M7)*200&lt;=60200,"Не сохранили изменения, чтобы защитить от ошибки — новые цены меньше текущих более чем в 2 раза. Снижайте их постепенно",IF(AND(IFERROR(VALUE(I7),0)=0,ISNUMBER(J7),OR(J7&lt;226,ABS(IFERROR(VALUE(LEFT(M7,FIND("-",M7)-1)),M7))*100&lt;22600)),"Проверьте цену товара. Большинство товаров в выбранной категории стоят дороже 226","")))))),"")</f>
      </c>
    </row>
    <row r="8">
      <c r="A8" s="2" t="inlineStr">
        <is>
          <t>AROLS</t>
        </is>
      </c>
      <c r="B8" s="2" t="inlineStr">
        <is>
          <t>Капы</t>
        </is>
      </c>
      <c r="C8" s="2">
        <v>550445277</v>
      </c>
      <c r="D8" s="2" t="inlineStr">
        <is>
          <t>ACRF1KP101RD</t>
        </is>
      </c>
      <c r="E8" s="2" t="inlineStr">
        <is>
          <t>2046391283446</t>
        </is>
      </c>
      <c r="F8" s="2" t="inlineStr">
        <is>
          <t/>
        </is>
      </c>
      <c r="G8" s="2" t="inlineStr">
        <is>
          <t/>
        </is>
      </c>
      <c r="H8" s="2" t="inlineStr">
        <is>
          <t/>
        </is>
      </c>
      <c r="I8" s="2" t="inlineStr">
        <is>
          <t>860</t>
        </is>
      </c>
      <c r="J8" s="4"/>
      <c r="K8" s="2">
        <v>30</v>
      </c>
      <c r="L8" s="6"/>
      <c r="M8" s="2" t="str">
        <f>IF(J8="",ROUND(I8*(1-IF(ISBLANK(L8),K8,L8)/100),2),ROUND(J8*(1-IF(ISBLANK(L8),K8,L8)/100),2))</f>
      </c>
      <c r="N8" s="7" t="str">
        <f>IF(NOT(AND(J8="",L8="")),IF(OR(AND(L8&lt;&gt;"",NOT(ISNUMBER(L8))),IFERROR(MOD(L8,1),1)&gt;0,AND(ISNUMBER(L8),OR(L8&lt;0,L8&gt;95))),"Введите целое число от 0 до 95",IF(OR(AND(J8&lt;&gt;"",NOT(ISNUMBER(J8))),IFERROR(MOD(J8,1),1)&gt;0,AND(ISNUMBER(J8),OR(J8&lt;50,J8&gt;20000000))),"Введите целое число от 50 до 20000000",IF(NOT(ABS(IFERROR(VALUE(LEFT(M8,FIND("-",M8)-1)),M8)*100-(2500+2000000000)/2)&lt;=ABS(2500-2000000000)/2),"Цена со скидкой должна быть от 25 до 20000000",IF(AND(IFERROR(VALUE(LEFT(M8,FIND("-",M8)-1)),M8)*150&lt;=60200,IFERROR(VALUE(LEFT(M8,FIND("-",M8)-1)),M8)*200&gt;60200),"Вы уменьшили цену в несколько раз, товар попадет в карантин цен",IF(IFERROR(VALUE(LEFT(M8,FIND("-",M8)-1)),M8)*200&lt;=60200,"Не сохранили изменения, чтобы защитить от ошибки — новые цены меньше текущих более чем в 2 раза. Снижайте их постепенно",IF(AND(IFERROR(VALUE(I8),0)=0,ISNUMBER(J8),OR(J8&lt;226,ABS(IFERROR(VALUE(LEFT(M8,FIND("-",M8)-1)),M8))*100&lt;22600)),"Проверьте цену товара. Большинство товаров в выбранной категории стоят дороже 226","")))))),"")</f>
      </c>
    </row>
    <row r="9">
      <c r="A9" s="2" t="inlineStr">
        <is>
          <t>AROLS</t>
        </is>
      </c>
      <c r="B9" s="2" t="inlineStr">
        <is>
          <t>Капы</t>
        </is>
      </c>
      <c r="C9" s="2">
        <v>550445275</v>
      </c>
      <c r="D9" s="2" t="inlineStr">
        <is>
          <t>ACRF1KP103BC</t>
        </is>
      </c>
      <c r="E9" s="2" t="inlineStr">
        <is>
          <t>2046391283415</t>
        </is>
      </c>
      <c r="F9" s="2" t="inlineStr">
        <is>
          <t/>
        </is>
      </c>
      <c r="G9" s="2" t="inlineStr">
        <is>
          <t/>
        </is>
      </c>
      <c r="H9" s="2" t="inlineStr">
        <is>
          <t/>
        </is>
      </c>
      <c r="I9" s="2" t="inlineStr">
        <is>
          <t>860</t>
        </is>
      </c>
      <c r="J9" s="4"/>
      <c r="K9" s="2">
        <v>30</v>
      </c>
      <c r="L9" s="6"/>
      <c r="M9" s="2" t="str">
        <f>IF(J9="",ROUND(I9*(1-IF(ISBLANK(L9),K9,L9)/100),2),ROUND(J9*(1-IF(ISBLANK(L9),K9,L9)/100),2))</f>
      </c>
      <c r="N9" s="7" t="str">
        <f>IF(NOT(AND(J9="",L9="")),IF(OR(AND(L9&lt;&gt;"",NOT(ISNUMBER(L9))),IFERROR(MOD(L9,1),1)&gt;0,AND(ISNUMBER(L9),OR(L9&lt;0,L9&gt;95))),"Введите целое число от 0 до 95",IF(OR(AND(J9&lt;&gt;"",NOT(ISNUMBER(J9))),IFERROR(MOD(J9,1),1)&gt;0,AND(ISNUMBER(J9),OR(J9&lt;50,J9&gt;20000000))),"Введите целое число от 50 до 20000000",IF(NOT(ABS(IFERROR(VALUE(LEFT(M9,FIND("-",M9)-1)),M9)*100-(2500+2000000000)/2)&lt;=ABS(2500-2000000000)/2),"Цена со скидкой должна быть от 25 до 20000000",IF(AND(IFERROR(VALUE(LEFT(M9,FIND("-",M9)-1)),M9)*150&lt;=60200,IFERROR(VALUE(LEFT(M9,FIND("-",M9)-1)),M9)*200&gt;60200),"Вы уменьшили цену в несколько раз, товар попадет в карантин цен",IF(IFERROR(VALUE(LEFT(M9,FIND("-",M9)-1)),M9)*200&lt;=60200,"Не сохранили изменения, чтобы защитить от ошибки — новые цены меньше текущих более чем в 2 раза. Снижайте их постепенно",IF(AND(IFERROR(VALUE(I9),0)=0,ISNUMBER(J9),OR(J9&lt;226,ABS(IFERROR(VALUE(LEFT(M9,FIND("-",M9)-1)),M9))*100&lt;22600)),"Проверьте цену товара. Большинство товаров в выбранной категории стоят дороже 226","")))))),"")</f>
      </c>
    </row>
    <row r="10">
      <c r="A10" s="2" t="inlineStr">
        <is>
          <t>AROLS</t>
        </is>
      </c>
      <c r="B10" s="2" t="inlineStr">
        <is>
          <t>Капы</t>
        </is>
      </c>
      <c r="C10" s="2">
        <v>550445281</v>
      </c>
      <c r="D10" s="2" t="inlineStr">
        <is>
          <t>ACRF1KP101GN</t>
        </is>
      </c>
      <c r="E10" s="2" t="inlineStr">
        <is>
          <t>2046391283569</t>
        </is>
      </c>
      <c r="F10" s="2" t="inlineStr">
        <is>
          <t/>
        </is>
      </c>
      <c r="G10" s="2" t="inlineStr">
        <is>
          <t/>
        </is>
      </c>
      <c r="H10" s="2" t="inlineStr">
        <is>
          <t/>
        </is>
      </c>
      <c r="I10" s="2" t="inlineStr">
        <is>
          <t>860</t>
        </is>
      </c>
      <c r="J10" s="4"/>
      <c r="K10" s="2">
        <v>30</v>
      </c>
      <c r="L10" s="6"/>
      <c r="M10" s="2" t="str">
        <f>IF(J10="",ROUND(I10*(1-IF(ISBLANK(L10),K10,L10)/100),2),ROUND(J10*(1-IF(ISBLANK(L10),K10,L10)/100),2))</f>
      </c>
      <c r="N10" s="7" t="str">
        <f>IF(NOT(AND(J10="",L10="")),IF(OR(AND(L10&lt;&gt;"",NOT(ISNUMBER(L10))),IFERROR(MOD(L10,1),1)&gt;0,AND(ISNUMBER(L10),OR(L10&lt;0,L10&gt;95))),"Введите целое число от 0 до 95",IF(OR(AND(J10&lt;&gt;"",NOT(ISNUMBER(J10))),IFERROR(MOD(J10,1),1)&gt;0,AND(ISNUMBER(J10),OR(J10&lt;50,J10&gt;20000000))),"Введите целое число от 50 до 20000000",IF(NOT(ABS(IFERROR(VALUE(LEFT(M10,FIND("-",M10)-1)),M10)*100-(2500+2000000000)/2)&lt;=ABS(2500-2000000000)/2),"Цена со скидкой должна быть от 25 до 20000000",IF(AND(IFERROR(VALUE(LEFT(M10,FIND("-",M10)-1)),M10)*150&lt;=60200,IFERROR(VALUE(LEFT(M10,FIND("-",M10)-1)),M10)*200&gt;60200),"Вы уменьшили цену в несколько раз, товар попадет в карантин цен",IF(IFERROR(VALUE(LEFT(M10,FIND("-",M10)-1)),M10)*200&lt;=60200,"Не сохранили изменения, чтобы защитить от ошибки — новые цены меньше текущих более чем в 2 раза. Снижайте их постепенно",IF(AND(IFERROR(VALUE(I10),0)=0,ISNUMBER(J10),OR(J10&lt;226,ABS(IFERROR(VALUE(LEFT(M10,FIND("-",M10)-1)),M10))*100&lt;22600)),"Проверьте цену товара. Большинство товаров в выбранной категории стоят дороже 226","")))))),"")</f>
      </c>
    </row>
    <row r="11">
      <c r="A11" s="2" t="inlineStr">
        <is>
          <t>AROLS</t>
        </is>
      </c>
      <c r="B11" s="2" t="inlineStr">
        <is>
          <t>Капы</t>
        </is>
      </c>
      <c r="C11" s="2">
        <v>550445272</v>
      </c>
      <c r="D11" s="2" t="inlineStr">
        <is>
          <t>ACRF1KP101BC</t>
        </is>
      </c>
      <c r="E11" s="2" t="inlineStr">
        <is>
          <t>2046391283330</t>
        </is>
      </c>
      <c r="F11" s="2" t="inlineStr">
        <is>
          <t/>
        </is>
      </c>
      <c r="G11" s="2" t="inlineStr">
        <is>
          <t/>
        </is>
      </c>
      <c r="H11" s="2" t="inlineStr">
        <is>
          <t/>
        </is>
      </c>
      <c r="I11" s="2" t="inlineStr">
        <is>
          <t>860</t>
        </is>
      </c>
      <c r="J11" s="4"/>
      <c r="K11" s="2">
        <v>30</v>
      </c>
      <c r="L11" s="6"/>
      <c r="M11" s="2" t="str">
        <f>IF(J11="",ROUND(I11*(1-IF(ISBLANK(L11),K11,L11)/100),2),ROUND(J11*(1-IF(ISBLANK(L11),K11,L11)/100),2))</f>
      </c>
      <c r="N11" s="7" t="str">
        <f>IF(NOT(AND(J11="",L11="")),IF(OR(AND(L11&lt;&gt;"",NOT(ISNUMBER(L11))),IFERROR(MOD(L11,1),1)&gt;0,AND(ISNUMBER(L11),OR(L11&lt;0,L11&gt;95))),"Введите целое число от 0 до 95",IF(OR(AND(J11&lt;&gt;"",NOT(ISNUMBER(J11))),IFERROR(MOD(J11,1),1)&gt;0,AND(ISNUMBER(J11),OR(J11&lt;50,J11&gt;20000000))),"Введите целое число от 50 до 20000000",IF(NOT(ABS(IFERROR(VALUE(LEFT(M11,FIND("-",M11)-1)),M11)*100-(2500+2000000000)/2)&lt;=ABS(2500-2000000000)/2),"Цена со скидкой должна быть от 25 до 20000000",IF(AND(IFERROR(VALUE(LEFT(M11,FIND("-",M11)-1)),M11)*150&lt;=60200,IFERROR(VALUE(LEFT(M11,FIND("-",M11)-1)),M11)*200&gt;60200),"Вы уменьшили цену в несколько раз, товар попадет в карантин цен",IF(IFERROR(VALUE(LEFT(M11,FIND("-",M11)-1)),M11)*200&lt;=60200,"Не сохранили изменения, чтобы защитить от ошибки — новые цены меньше текущих более чем в 2 раза. Снижайте их постепенно",IF(AND(IFERROR(VALUE(I11),0)=0,ISNUMBER(J11),OR(J11&lt;226,ABS(IFERROR(VALUE(LEFT(M11,FIND("-",M11)-1)),M11))*100&lt;22600)),"Проверьте цену товара. Большинство товаров в выбранной категории стоят дороже 226","")))))),"")</f>
      </c>
    </row>
    <row r="12">
      <c r="A12" s="2" t="inlineStr">
        <is>
          <t>AROLS</t>
        </is>
      </c>
      <c r="B12" s="2" t="inlineStr">
        <is>
          <t>Капы</t>
        </is>
      </c>
      <c r="C12" s="2">
        <v>550445279</v>
      </c>
      <c r="D12" s="2" t="inlineStr">
        <is>
          <t>ACRF1KP102RD</t>
        </is>
      </c>
      <c r="E12" s="2" t="inlineStr">
        <is>
          <t>2046391283507</t>
        </is>
      </c>
      <c r="F12" s="2" t="inlineStr">
        <is>
          <t/>
        </is>
      </c>
      <c r="G12" s="2" t="inlineStr">
        <is>
          <t/>
        </is>
      </c>
      <c r="H12" s="2" t="inlineStr">
        <is>
          <t/>
        </is>
      </c>
      <c r="I12" s="2" t="inlineStr">
        <is>
          <t>860</t>
        </is>
      </c>
      <c r="J12" s="4"/>
      <c r="K12" s="2">
        <v>30</v>
      </c>
      <c r="L12" s="6"/>
      <c r="M12" s="2" t="str">
        <f>IF(J12="",ROUND(I12*(1-IF(ISBLANK(L12),K12,L12)/100),2),ROUND(J12*(1-IF(ISBLANK(L12),K12,L12)/100),2))</f>
      </c>
      <c r="N12" s="7" t="str">
        <f>IF(NOT(AND(J12="",L12="")),IF(OR(AND(L12&lt;&gt;"",NOT(ISNUMBER(L12))),IFERROR(MOD(L12,1),1)&gt;0,AND(ISNUMBER(L12),OR(L12&lt;0,L12&gt;95))),"Введите целое число от 0 до 95",IF(OR(AND(J12&lt;&gt;"",NOT(ISNUMBER(J12))),IFERROR(MOD(J12,1),1)&gt;0,AND(ISNUMBER(J12),OR(J12&lt;50,J12&gt;20000000))),"Введите целое число от 50 до 20000000",IF(NOT(ABS(IFERROR(VALUE(LEFT(M12,FIND("-",M12)-1)),M12)*100-(2500+2000000000)/2)&lt;=ABS(2500-2000000000)/2),"Цена со скидкой должна быть от 25 до 20000000",IF(AND(IFERROR(VALUE(LEFT(M12,FIND("-",M12)-1)),M12)*150&lt;=60200,IFERROR(VALUE(LEFT(M12,FIND("-",M12)-1)),M12)*200&gt;60200),"Вы уменьшили цену в несколько раз, товар попадет в карантин цен",IF(IFERROR(VALUE(LEFT(M12,FIND("-",M12)-1)),M12)*200&lt;=60200,"Не сохранили изменения, чтобы защитить от ошибки — новые цены меньше текущих более чем в 2 раза. Снижайте их постепенно",IF(AND(IFERROR(VALUE(I12),0)=0,ISNUMBER(J12),OR(J12&lt;226,ABS(IFERROR(VALUE(LEFT(M12,FIND("-",M12)-1)),M12))*100&lt;22600)),"Проверьте цену товара. Большинство товаров в выбранной категории стоят дороже 226","")))))),"")</f>
      </c>
    </row>
    <row r="13">
      <c r="A13" s="2" t="inlineStr">
        <is>
          <t>AROLS</t>
        </is>
      </c>
      <c r="B13" s="2" t="inlineStr">
        <is>
          <t>Капы</t>
        </is>
      </c>
      <c r="C13" s="2">
        <v>550445274</v>
      </c>
      <c r="D13" s="2" t="inlineStr">
        <is>
          <t>ACRF1KP102BC</t>
        </is>
      </c>
      <c r="E13" s="2" t="inlineStr">
        <is>
          <t>2046391283385</t>
        </is>
      </c>
      <c r="F13" s="2" t="inlineStr">
        <is>
          <t/>
        </is>
      </c>
      <c r="G13" s="2" t="inlineStr">
        <is>
          <t/>
        </is>
      </c>
      <c r="H13" s="2" t="inlineStr">
        <is>
          <t/>
        </is>
      </c>
      <c r="I13" s="2" t="inlineStr">
        <is>
          <t>860</t>
        </is>
      </c>
      <c r="J13" s="4"/>
      <c r="K13" s="2">
        <v>30</v>
      </c>
      <c r="L13" s="6"/>
      <c r="M13" s="2" t="str">
        <f>IF(J13="",ROUND(I13*(1-IF(ISBLANK(L13),K13,L13)/100),2),ROUND(J13*(1-IF(ISBLANK(L13),K13,L13)/100),2))</f>
      </c>
      <c r="N13" s="7" t="str">
        <f>IF(NOT(AND(J13="",L13="")),IF(OR(AND(L13&lt;&gt;"",NOT(ISNUMBER(L13))),IFERROR(MOD(L13,1),1)&gt;0,AND(ISNUMBER(L13),OR(L13&lt;0,L13&gt;95))),"Введите целое число от 0 до 95",IF(OR(AND(J13&lt;&gt;"",NOT(ISNUMBER(J13))),IFERROR(MOD(J13,1),1)&gt;0,AND(ISNUMBER(J13),OR(J13&lt;50,J13&gt;20000000))),"Введите целое число от 50 до 20000000",IF(NOT(ABS(IFERROR(VALUE(LEFT(M13,FIND("-",M13)-1)),M13)*100-(2500+2000000000)/2)&lt;=ABS(2500-2000000000)/2),"Цена со скидкой должна быть от 25 до 20000000",IF(AND(IFERROR(VALUE(LEFT(M13,FIND("-",M13)-1)),M13)*150&lt;=60200,IFERROR(VALUE(LEFT(M13,FIND("-",M13)-1)),M13)*200&gt;60200),"Вы уменьшили цену в несколько раз, товар попадет в карантин цен",IF(IFERROR(VALUE(LEFT(M13,FIND("-",M13)-1)),M13)*200&lt;=60200,"Не сохранили изменения, чтобы защитить от ошибки — новые цены меньше текущих более чем в 2 раза. Снижайте их постепенно",IF(AND(IFERROR(VALUE(I13),0)=0,ISNUMBER(J13),OR(J13&lt;226,ABS(IFERROR(VALUE(LEFT(M13,FIND("-",M13)-1)),M13))*100&lt;22600)),"Проверьте цену товара. Большинство товаров в выбранной категории стоят дороже 226","")))))),"")</f>
      </c>
    </row>
    <row r="14">
      <c r="A14" s="2" t="inlineStr">
        <is>
          <t>AROLS</t>
        </is>
      </c>
      <c r="B14" s="2" t="inlineStr">
        <is>
          <t>Массажеры механические</t>
        </is>
      </c>
      <c r="C14" s="2">
        <v>419145392</v>
      </c>
      <c r="D14" s="2" t="inlineStr">
        <is>
          <t>ACRB1MS109WH</t>
        </is>
      </c>
      <c r="E14" s="2" t="inlineStr">
        <is>
          <t>2044025333093</t>
        </is>
      </c>
      <c r="F14" s="2" t="inlineStr">
        <is>
          <t/>
        </is>
      </c>
      <c r="G14" s="2" t="inlineStr">
        <is>
          <t/>
        </is>
      </c>
      <c r="H14" s="2" t="inlineStr">
        <is>
          <t/>
        </is>
      </c>
      <c r="I14" s="2" t="inlineStr">
        <is>
          <t>1889</t>
        </is>
      </c>
      <c r="J14" s="4"/>
      <c r="K14" s="2">
        <v>20</v>
      </c>
      <c r="L14" s="6"/>
      <c r="M14" s="2" t="str">
        <f>IF(J14="",ROUND(I14*(1-IF(ISBLANK(L14),K14,L14)/100),2),ROUND(J14*(1-IF(ISBLANK(L14),K14,L14)/100),2))</f>
      </c>
      <c r="N14" s="7" t="str">
        <f>IF(NOT(AND(J14="",L14="")),IF(OR(AND(L14&lt;&gt;"",NOT(ISNUMBER(L14))),IFERROR(MOD(L14,1),1)&gt;0,AND(ISNUMBER(L14),OR(L14&lt;0,L14&gt;95))),"Введите целое число от 0 до 95",IF(OR(AND(J14&lt;&gt;"",NOT(ISNUMBER(J14))),IFERROR(MOD(J14,1),1)&gt;0,AND(ISNUMBER(J14),OR(J14&lt;50,J14&gt;20000000))),"Введите целое число от 50 до 20000000",IF(NOT(ABS(IFERROR(VALUE(LEFT(M14,FIND("-",M14)-1)),M14)*100-(2500+2000000000)/2)&lt;=ABS(2500-2000000000)/2),"Цена со скидкой должна быть от 25 до 20000000",IF(AND(IFERROR(VALUE(LEFT(M14,FIND("-",M14)-1)),M14)*150&lt;=151120,IFERROR(VALUE(LEFT(M14,FIND("-",M14)-1)),M14)*200&gt;151120),"Вы уменьшили цену в несколько раз, товар попадет в карантин цен",IF(IFERROR(VALUE(LEFT(M14,FIND("-",M14)-1)),M14)*200&lt;=151120,"Не сохранили изменения, чтобы защитить от ошибки — новые цены меньше текущих более чем в 2 раза. Снижайте их постепенно",IF(AND(IFERROR(VALUE(I14),0)=0,ISNUMBER(J14),OR(J14&lt;243,ABS(IFERROR(VALUE(LEFT(M14,FIND("-",M14)-1)),M14))*100&lt;24300)),"Проверьте цену товара. Большинство товаров в выбранной категории стоят дороже 243","")))))),"")</f>
      </c>
    </row>
    <row r="15">
      <c r="A15" s="2" t="inlineStr">
        <is>
          <t>AROLS HOME</t>
        </is>
      </c>
      <c r="B15" s="2" t="inlineStr">
        <is>
          <t>Прессы для чеснока</t>
        </is>
      </c>
      <c r="C15" s="2">
        <v>340802685</v>
      </c>
      <c r="D15" s="2" t="inlineStr">
        <is>
          <t>AKTA1PR101GR</t>
        </is>
      </c>
      <c r="E15" s="2" t="inlineStr">
        <is>
          <t>2042987041841</t>
        </is>
      </c>
      <c r="F15" s="2">
        <v>19</v>
      </c>
      <c r="G15" s="2">
        <v>0</v>
      </c>
      <c r="H15" s="2">
        <v>299</v>
      </c>
      <c r="I15" s="2" t="inlineStr">
        <is>
          <t>1499</t>
        </is>
      </c>
      <c r="J15" s="4"/>
      <c r="K15" s="2">
        <v>80</v>
      </c>
      <c r="L15" s="6"/>
      <c r="M15" s="2" t="str">
        <f>IF(J15="",ROUND(I15*(1-IF(ISBLANK(L15),K15,L15)/100),2),ROUND(J15*(1-IF(ISBLANK(L15),K15,L15)/100),2))</f>
      </c>
      <c r="N15" s="7" t="str">
        <f>IF(NOT(AND(J15="",L15="")),IF(OR(AND(L15&lt;&gt;"",NOT(ISNUMBER(L15))),IFERROR(MOD(L15,1),1)&gt;0,AND(ISNUMBER(L15),OR(L15&lt;0,L15&gt;95))),"Введите целое число от 0 до 95",IF(OR(AND(J15&lt;&gt;"",NOT(ISNUMBER(J15))),IFERROR(MOD(J15,1),1)&gt;0,AND(ISNUMBER(J15),OR(J15&lt;50,J15&gt;20000000))),"Введите целое число от 50 до 20000000",IF(NOT(ABS(IFERROR(VALUE(LEFT(M15,FIND("-",M15)-1)),M15)*100-(2500+2000000000)/2)&lt;=ABS(2500-2000000000)/2),"Цена со скидкой должна быть от 25 до 20000000",IF(AND(IFERROR(VALUE(LEFT(M15,FIND("-",M15)-1)),M15)*150&lt;=29979,IFERROR(VALUE(LEFT(M15,FIND("-",M15)-1)),M15)*200&gt;29979),"Вы уменьшили цену в несколько раз, товар попадет в карантин цен",IF(IFERROR(VALUE(LEFT(M15,FIND("-",M15)-1)),M15)*200&lt;=29979,"Не сохранили изменения, чтобы защитить от ошибки — новые цены меньше текущих более чем в 2 раза. Снижайте их постепенно",IF(AND(IFERROR(VALUE(I15),0)=0,ISNUMBER(J15),OR(J15&lt;232,ABS(IFERROR(VALUE(LEFT(M15,FIND("-",M15)-1)),M15))*100&lt;23200)),"Проверьте цену товара. Большинство товаров в выбранной категории стоят дороже 232","")))))),"")</f>
      </c>
    </row>
    <row r="16">
      <c r="A16" s="2" t="inlineStr">
        <is>
          <t>AROLS HOME</t>
        </is>
      </c>
      <c r="B16" s="2" t="inlineStr">
        <is>
          <t>Мешки для стирки</t>
        </is>
      </c>
      <c r="C16" s="2">
        <v>170899505</v>
      </c>
      <c r="D16" s="2" t="inlineStr">
        <is>
          <t>AHMA6BW101BG</t>
        </is>
      </c>
      <c r="E16" s="2" t="inlineStr">
        <is>
          <t>2038224716238</t>
        </is>
      </c>
      <c r="F16" s="2">
        <v>0</v>
      </c>
      <c r="G16" s="2">
        <v>0</v>
      </c>
      <c r="H16" s="2">
        <v>1</v>
      </c>
      <c r="I16" s="2" t="inlineStr">
        <is>
          <t>1889</t>
        </is>
      </c>
      <c r="J16" s="4"/>
      <c r="K16" s="2">
        <v>20</v>
      </c>
      <c r="L16" s="6"/>
      <c r="M16" s="2" t="str">
        <f>IF(J16="",ROUND(I16*(1-IF(ISBLANK(L16),K16,L16)/100),2),ROUND(J16*(1-IF(ISBLANK(L16),K16,L16)/100),2))</f>
      </c>
      <c r="N16" s="7" t="str">
        <f>IF(NOT(AND(J16="",L16="")),IF(OR(AND(L16&lt;&gt;"",NOT(ISNUMBER(L16))),IFERROR(MOD(L16,1),1)&gt;0,AND(ISNUMBER(L16),OR(L16&lt;0,L16&gt;95))),"Введите целое число от 0 до 95",IF(OR(AND(J16&lt;&gt;"",NOT(ISNUMBER(J16))),IFERROR(MOD(J16,1),1)&gt;0,AND(ISNUMBER(J16),OR(J16&lt;50,J16&gt;20000000))),"Введите целое число от 50 до 20000000",IF(NOT(ABS(IFERROR(VALUE(LEFT(M16,FIND("-",M16)-1)),M16)*100-(2500+2000000000)/2)&lt;=ABS(2500-2000000000)/2),"Цена со скидкой должна быть от 25 до 20000000",IF(AND(IFERROR(VALUE(LEFT(M16,FIND("-",M16)-1)),M16)*150&lt;=151120,IFERROR(VALUE(LEFT(M16,FIND("-",M16)-1)),M16)*200&gt;151120),"Вы уменьшили цену в несколько раз, товар попадет в карантин цен",IF(IFERROR(VALUE(LEFT(M16,FIND("-",M16)-1)),M16)*200&lt;=151120,"Не сохранили изменения, чтобы защитить от ошибки — новые цены меньше текущих более чем в 2 раза. Снижайте их постепенно",IF(AND(IFERROR(VALUE(I16),0)=0,ISNUMBER(J16),OR(J16&lt;284,ABS(IFERROR(VALUE(LEFT(M16,FIND("-",M16)-1)),M16))*100&lt;28400)),"Проверьте цену товара. Большинство товаров в выбранной категории стоят дороже 284","")))))),"")</f>
      </c>
    </row>
    <row r="17">
      <c r="A17" s="2" t="inlineStr">
        <is>
          <t>AROLS</t>
        </is>
      </c>
      <c r="B17" s="2" t="inlineStr">
        <is>
          <t>Массажеры механические</t>
        </is>
      </c>
      <c r="C17" s="2">
        <v>220252787</v>
      </c>
      <c r="D17" s="2" t="inlineStr">
        <is>
          <t>ACRL1MS101RJ</t>
        </is>
      </c>
      <c r="E17" s="2" t="inlineStr">
        <is>
          <t>2039735724354</t>
        </is>
      </c>
      <c r="F17" s="2">
        <v>0</v>
      </c>
      <c r="G17" s="2">
        <v>0</v>
      </c>
      <c r="H17" s="2">
        <v>1</v>
      </c>
      <c r="I17" s="2" t="inlineStr">
        <is>
          <t>1889</t>
        </is>
      </c>
      <c r="J17" s="4"/>
      <c r="K17" s="2">
        <v>20</v>
      </c>
      <c r="L17" s="6"/>
      <c r="M17" s="2" t="str">
        <f>IF(J17="",ROUND(I17*(1-IF(ISBLANK(L17),K17,L17)/100),2),ROUND(J17*(1-IF(ISBLANK(L17),K17,L17)/100),2))</f>
      </c>
      <c r="N17" s="7" t="str">
        <f>IF(NOT(AND(J17="",L17="")),IF(OR(AND(L17&lt;&gt;"",NOT(ISNUMBER(L17))),IFERROR(MOD(L17,1),1)&gt;0,AND(ISNUMBER(L17),OR(L17&lt;0,L17&gt;95))),"Введите целое число от 0 до 95",IF(OR(AND(J17&lt;&gt;"",NOT(ISNUMBER(J17))),IFERROR(MOD(J17,1),1)&gt;0,AND(ISNUMBER(J17),OR(J17&lt;50,J17&gt;20000000))),"Введите целое число от 50 до 20000000",IF(NOT(ABS(IFERROR(VALUE(LEFT(M17,FIND("-",M17)-1)),M17)*100-(2500+2000000000)/2)&lt;=ABS(2500-2000000000)/2),"Цена со скидкой должна быть от 25 до 20000000",IF(AND(IFERROR(VALUE(LEFT(M17,FIND("-",M17)-1)),M17)*150&lt;=151120,IFERROR(VALUE(LEFT(M17,FIND("-",M17)-1)),M17)*200&gt;151120),"Вы уменьшили цену в несколько раз, товар попадет в карантин цен",IF(IFERROR(VALUE(LEFT(M17,FIND("-",M17)-1)),M17)*200&lt;=151120,"Не сохранили изменения, чтобы защитить от ошибки — новые цены меньше текущих более чем в 2 раза. Снижайте их постепенно",IF(AND(IFERROR(VALUE(I17),0)=0,ISNUMBER(J17),OR(J17&lt;243,ABS(IFERROR(VALUE(LEFT(M17,FIND("-",M17)-1)),M17))*100&lt;24300)),"Проверьте цену товара. Большинство товаров в выбранной категории стоят дороже 243","")))))),"")</f>
      </c>
    </row>
    <row r="18">
      <c r="A18" s="2" t="inlineStr">
        <is>
          <t>AROLS</t>
        </is>
      </c>
      <c r="B18" s="2" t="inlineStr">
        <is>
          <t>Таблетницы</t>
        </is>
      </c>
      <c r="C18" s="2">
        <v>253681275</v>
      </c>
      <c r="D18" s="2" t="inlineStr">
        <is>
          <t>ACRA7TB401CL</t>
        </is>
      </c>
      <c r="E18" s="2" t="inlineStr">
        <is>
          <t>2040957863936</t>
        </is>
      </c>
      <c r="F18" s="2">
        <v>0</v>
      </c>
      <c r="G18" s="2">
        <v>0</v>
      </c>
      <c r="H18" s="2">
        <v>1</v>
      </c>
      <c r="I18" s="2" t="inlineStr">
        <is>
          <t>1889</t>
        </is>
      </c>
      <c r="J18" s="4"/>
      <c r="K18" s="2">
        <v>20</v>
      </c>
      <c r="L18" s="6"/>
      <c r="M18" s="2" t="str">
        <f>IF(J18="",ROUND(I18*(1-IF(ISBLANK(L18),K18,L18)/100),2),ROUND(J18*(1-IF(ISBLANK(L18),K18,L18)/100),2))</f>
      </c>
      <c r="N18" s="7" t="str">
        <f>IF(NOT(AND(J18="",L18="")),IF(OR(AND(L18&lt;&gt;"",NOT(ISNUMBER(L18))),IFERROR(MOD(L18,1),1)&gt;0,AND(ISNUMBER(L18),OR(L18&lt;0,L18&gt;95))),"Введите целое число от 0 до 95",IF(OR(AND(J18&lt;&gt;"",NOT(ISNUMBER(J18))),IFERROR(MOD(J18,1),1)&gt;0,AND(ISNUMBER(J18),OR(J18&lt;50,J18&gt;20000000))),"Введите целое число от 50 до 20000000",IF(NOT(ABS(IFERROR(VALUE(LEFT(M18,FIND("-",M18)-1)),M18)*100-(2500+2000000000)/2)&lt;=ABS(2500-2000000000)/2),"Цена со скидкой должна быть от 25 до 20000000",IF(AND(IFERROR(VALUE(LEFT(M18,FIND("-",M18)-1)),M18)*150&lt;=151120,IFERROR(VALUE(LEFT(M18,FIND("-",M18)-1)),M18)*200&gt;151120),"Вы уменьшили цену в несколько раз, товар попадет в карантин цен",IF(IFERROR(VALUE(LEFT(M18,FIND("-",M18)-1)),M18)*200&lt;=151120,"Не сохранили изменения, чтобы защитить от ошибки — новые цены меньше текущих более чем в 2 раза. Снижайте их постепенно",IF(AND(IFERROR(VALUE(I18),0)=0,ISNUMBER(J18),OR(J18&lt;193,ABS(IFERROR(VALUE(LEFT(M18,FIND("-",M18)-1)),M18))*100&lt;19300)),"Проверьте цену товара. Большинство товаров в выбранной категории стоят дороже 193","")))))),"")</f>
      </c>
    </row>
    <row r="19">
      <c r="A19" s="2" t="inlineStr">
        <is>
          <t>AROLS</t>
        </is>
      </c>
      <c r="B19" s="2" t="inlineStr">
        <is>
          <t>Массажеры механические</t>
        </is>
      </c>
      <c r="C19" s="2">
        <v>236072836</v>
      </c>
      <c r="D19" s="2" t="inlineStr">
        <is>
          <t>ACRB1MS106PN</t>
        </is>
      </c>
      <c r="E19" s="2" t="inlineStr">
        <is>
          <t>2040278810534</t>
        </is>
      </c>
      <c r="F19" s="2">
        <v>300</v>
      </c>
      <c r="G19" s="2">
        <v>0</v>
      </c>
      <c r="H19" s="2">
        <v>348</v>
      </c>
      <c r="I19" s="2" t="inlineStr">
        <is>
          <t>856</t>
        </is>
      </c>
      <c r="J19" s="4"/>
      <c r="K19" s="2">
        <v>45</v>
      </c>
      <c r="L19" s="6"/>
      <c r="M19" s="2" t="str">
        <f>IF(J19="",ROUND(I19*(1-IF(ISBLANK(L19),K19,L19)/100),2),ROUND(J19*(1-IF(ISBLANK(L19),K19,L19)/100),2))</f>
      </c>
      <c r="N19" s="7" t="str">
        <f>IF(NOT(AND(J19="",L19="")),IF(OR(AND(L19&lt;&gt;"",NOT(ISNUMBER(L19))),IFERROR(MOD(L19,1),1)&gt;0,AND(ISNUMBER(L19),OR(L19&lt;0,L19&gt;95))),"Введите целое число от 0 до 95",IF(OR(AND(J19&lt;&gt;"",NOT(ISNUMBER(J19))),IFERROR(MOD(J19,1),1)&gt;0,AND(ISNUMBER(J19),OR(J19&lt;50,J19&gt;20000000))),"Введите целое число от 50 до 20000000",IF(NOT(ABS(IFERROR(VALUE(LEFT(M19,FIND("-",M19)-1)),M19)*100-(2500+2000000000)/2)&lt;=ABS(2500-2000000000)/2),"Цена со скидкой должна быть от 25 до 20000000",IF(AND(IFERROR(VALUE(LEFT(M19,FIND("-",M19)-1)),M19)*150&lt;=47080,IFERROR(VALUE(LEFT(M19,FIND("-",M19)-1)),M19)*200&gt;47080),"Вы уменьшили цену в несколько раз, товар попадет в карантин цен",IF(IFERROR(VALUE(LEFT(M19,FIND("-",M19)-1)),M19)*200&lt;=47080,"Не сохранили изменения, чтобы защитить от ошибки — новые цены меньше текущих более чем в 2 раза. Снижайте их постепенно",IF(AND(IFERROR(VALUE(I19),0)=0,ISNUMBER(J19),OR(J19&lt;243,ABS(IFERROR(VALUE(LEFT(M19,FIND("-",M19)-1)),M19))*100&lt;24300)),"Проверьте цену товара. Большинство товаров в выбранной категории стоят дороже 243","")))))),"")</f>
      </c>
    </row>
    <row r="20">
      <c r="A20" s="2" t="inlineStr">
        <is>
          <t>AROLS</t>
        </is>
      </c>
      <c r="B20" s="2" t="inlineStr">
        <is>
          <t>Массажеры механические</t>
        </is>
      </c>
      <c r="C20" s="2">
        <v>236072835</v>
      </c>
      <c r="D20" s="2" t="inlineStr">
        <is>
          <t>ACRB1MS106WH</t>
        </is>
      </c>
      <c r="E20" s="2" t="inlineStr">
        <is>
          <t>2040278804496</t>
        </is>
      </c>
      <c r="F20" s="2">
        <v>434</v>
      </c>
      <c r="G20" s="2">
        <v>0</v>
      </c>
      <c r="H20" s="2">
        <v>235</v>
      </c>
      <c r="I20" s="2" t="inlineStr">
        <is>
          <t>995</t>
        </is>
      </c>
      <c r="J20" s="4"/>
      <c r="K20" s="2">
        <v>51</v>
      </c>
      <c r="L20" s="6"/>
      <c r="M20" s="2" t="str">
        <f>IF(J20="",ROUND(I20*(1-IF(ISBLANK(L20),K20,L20)/100),2),ROUND(J20*(1-IF(ISBLANK(L20),K20,L20)/100),2))</f>
      </c>
      <c r="N20" s="7" t="str">
        <f>IF(NOT(AND(J20="",L20="")),IF(OR(AND(L20&lt;&gt;"",NOT(ISNUMBER(L20))),IFERROR(MOD(L20,1),1)&gt;0,AND(ISNUMBER(L20),OR(L20&lt;0,L20&gt;95))),"Введите целое число от 0 до 95",IF(OR(AND(J20&lt;&gt;"",NOT(ISNUMBER(J20))),IFERROR(MOD(J20,1),1)&gt;0,AND(ISNUMBER(J20),OR(J20&lt;50,J20&gt;20000000))),"Введите целое число от 50 до 20000000",IF(NOT(ABS(IFERROR(VALUE(LEFT(M20,FIND("-",M20)-1)),M20)*100-(2500+2000000000)/2)&lt;=ABS(2500-2000000000)/2),"Цена со скидкой должна быть от 25 до 20000000",IF(AND(IFERROR(VALUE(LEFT(M20,FIND("-",M20)-1)),M20)*150&lt;=48755,IFERROR(VALUE(LEFT(M20,FIND("-",M20)-1)),M20)*200&gt;48755),"Вы уменьшили цену в несколько раз, товар попадет в карантин цен",IF(IFERROR(VALUE(LEFT(M20,FIND("-",M20)-1)),M20)*200&lt;=48755,"Не сохранили изменения, чтобы защитить от ошибки — новые цены меньше текущих более чем в 2 раза. Снижайте их постепенно",IF(AND(IFERROR(VALUE(I20),0)=0,ISNUMBER(J20),OR(J20&lt;243,ABS(IFERROR(VALUE(LEFT(M20,FIND("-",M20)-1)),M20))*100&lt;24300)),"Проверьте цену товара. Большинство товаров в выбранной категории стоят дороже 243","")))))),"")</f>
      </c>
    </row>
    <row r="21">
      <c r="A21" s="2" t="inlineStr">
        <is>
          <t>AROLS HOME</t>
        </is>
      </c>
      <c r="B21" s="2" t="inlineStr">
        <is>
          <t>Мешки для стирки</t>
        </is>
      </c>
      <c r="C21" s="2">
        <v>239235150</v>
      </c>
      <c r="D21" s="2" t="inlineStr">
        <is>
          <t>AHMA1BW301WH</t>
        </is>
      </c>
      <c r="E21" s="2" t="inlineStr">
        <is>
          <t>2040478720961</t>
        </is>
      </c>
      <c r="F21" s="2">
        <v>6</v>
      </c>
      <c r="G21" s="2">
        <v>0</v>
      </c>
      <c r="H21" s="2">
        <v>22</v>
      </c>
      <c r="I21" s="2" t="inlineStr">
        <is>
          <t>713</t>
        </is>
      </c>
      <c r="J21" s="4"/>
      <c r="K21" s="2">
        <v>52</v>
      </c>
      <c r="L21" s="6"/>
      <c r="M21" s="2" t="str">
        <f>IF(J21="",ROUND(I21*(1-IF(ISBLANK(L21),K21,L21)/100),2),ROUND(J21*(1-IF(ISBLANK(L21),K21,L21)/100),2))</f>
      </c>
      <c r="N21" s="7" t="str">
        <f>IF(NOT(AND(J21="",L21="")),IF(OR(AND(L21&lt;&gt;"",NOT(ISNUMBER(L21))),IFERROR(MOD(L21,1),1)&gt;0,AND(ISNUMBER(L21),OR(L21&lt;0,L21&gt;95))),"Введите целое число от 0 до 95",IF(OR(AND(J21&lt;&gt;"",NOT(ISNUMBER(J21))),IFERROR(MOD(J21,1),1)&gt;0,AND(ISNUMBER(J21),OR(J21&lt;50,J21&gt;20000000))),"Введите целое число от 50 до 20000000",IF(NOT(ABS(IFERROR(VALUE(LEFT(M21,FIND("-",M21)-1)),M21)*100-(2500+2000000000)/2)&lt;=ABS(2500-2000000000)/2),"Цена со скидкой должна быть от 25 до 20000000",IF(AND(IFERROR(VALUE(LEFT(M21,FIND("-",M21)-1)),M21)*150&lt;=34224,IFERROR(VALUE(LEFT(M21,FIND("-",M21)-1)),M21)*200&gt;34224),"Вы уменьшили цену в несколько раз, товар попадет в карантин цен",IF(IFERROR(VALUE(LEFT(M21,FIND("-",M21)-1)),M21)*200&lt;=34224,"Не сохранили изменения, чтобы защитить от ошибки — новые цены меньше текущих более чем в 2 раза. Снижайте их постепенно",IF(AND(IFERROR(VALUE(I21),0)=0,ISNUMBER(J21),OR(J21&lt;284,ABS(IFERROR(VALUE(LEFT(M21,FIND("-",M21)-1)),M21))*100&lt;28400)),"Проверьте цену товара. Большинство товаров в выбранной категории стоят дороже 284","")))))),"")</f>
      </c>
    </row>
    <row r="22">
      <c r="A22" s="2" t="inlineStr">
        <is>
          <t>AROLS HOME</t>
        </is>
      </c>
      <c r="B22" s="2" t="inlineStr">
        <is>
          <t>Шпатели кондитерские</t>
        </is>
      </c>
      <c r="C22" s="2">
        <v>273546535</v>
      </c>
      <c r="D22" s="2" t="inlineStr">
        <is>
          <t>AKTA2KN101YL</t>
        </is>
      </c>
      <c r="E22" s="2" t="inlineStr">
        <is>
          <t>2041533399818</t>
        </is>
      </c>
      <c r="F22" s="2">
        <v>78</v>
      </c>
      <c r="G22" s="2">
        <v>0</v>
      </c>
      <c r="H22" s="2">
        <v>999</v>
      </c>
      <c r="I22" s="2" t="inlineStr">
        <is>
          <t>1822</t>
        </is>
      </c>
      <c r="J22" s="4"/>
      <c r="K22" s="2">
        <v>49</v>
      </c>
      <c r="L22" s="6"/>
      <c r="M22" s="2" t="str">
        <f>IF(J22="",ROUND(I22*(1-IF(ISBLANK(L22),K22,L22)/100),2),ROUND(J22*(1-IF(ISBLANK(L22),K22,L22)/100),2))</f>
      </c>
      <c r="N22" s="7" t="str">
        <f>IF(NOT(AND(J22="",L22="")),IF(OR(AND(L22&lt;&gt;"",NOT(ISNUMBER(L22))),IFERROR(MOD(L22,1),1)&gt;0,AND(ISNUMBER(L22),OR(L22&lt;0,L22&gt;95))),"Введите целое число от 0 до 95",IF(OR(AND(J22&lt;&gt;"",NOT(ISNUMBER(J22))),IFERROR(MOD(J22,1),1)&gt;0,AND(ISNUMBER(J22),OR(J22&lt;50,J22&gt;20000000))),"Введите целое число от 50 до 20000000",IF(NOT(ABS(IFERROR(VALUE(LEFT(M22,FIND("-",M22)-1)),M22)*100-(2500+2000000000)/2)&lt;=ABS(2500-2000000000)/2),"Цена со скидкой должна быть от 25 до 20000000",IF(AND(IFERROR(VALUE(LEFT(M22,FIND("-",M22)-1)),M22)*150&lt;=92922,IFERROR(VALUE(LEFT(M22,FIND("-",M22)-1)),M22)*200&gt;92922),"Вы уменьшили цену в несколько раз, товар попадет в карантин цен",IF(IFERROR(VALUE(LEFT(M22,FIND("-",M22)-1)),M22)*200&lt;=92922,"Не сохранили изменения, чтобы защитить от ошибки — новые цены меньше текущих более чем в 2 раза. Снижайте их постепенно",IF(AND(IFERROR(VALUE(I22),0)=0,ISNUMBER(J22),OR(J22&lt;203,ABS(IFERROR(VALUE(LEFT(M22,FIND("-",M22)-1)),M22))*100&lt;20300)),"Проверьте цену товара. Большинство товаров в выбранной категории стоят дороже 203","")))))),"")</f>
      </c>
    </row>
    <row r="23">
      <c r="A23" s="2" t="inlineStr">
        <is>
          <t>AROLS</t>
        </is>
      </c>
      <c r="B23" s="2" t="inlineStr">
        <is>
          <t>Таблетницы</t>
        </is>
      </c>
      <c r="C23" s="2">
        <v>186800214</v>
      </c>
      <c r="D23" s="2" t="inlineStr">
        <is>
          <t>ACRA7TB101BC</t>
        </is>
      </c>
      <c r="E23" s="2" t="inlineStr">
        <is>
          <t>2038890789598</t>
        </is>
      </c>
      <c r="F23" s="2">
        <v>190</v>
      </c>
      <c r="G23" s="2">
        <v>0</v>
      </c>
      <c r="H23" s="2">
        <v>223</v>
      </c>
      <c r="I23" s="2" t="inlineStr">
        <is>
          <t>1393</t>
        </is>
      </c>
      <c r="J23" s="4"/>
      <c r="K23" s="2">
        <v>57</v>
      </c>
      <c r="L23" s="6"/>
      <c r="M23" s="2" t="str">
        <f>IF(J23="",ROUND(I23*(1-IF(ISBLANK(L23),K23,L23)/100),2),ROUND(J23*(1-IF(ISBLANK(L23),K23,L23)/100),2))</f>
      </c>
      <c r="N23" s="7" t="str">
        <f>IF(NOT(AND(J23="",L23="")),IF(OR(AND(L23&lt;&gt;"",NOT(ISNUMBER(L23))),IFERROR(MOD(L23,1),1)&gt;0,AND(ISNUMBER(L23),OR(L23&lt;0,L23&gt;95))),"Введите целое число от 0 до 95",IF(OR(AND(J23&lt;&gt;"",NOT(ISNUMBER(J23))),IFERROR(MOD(J23,1),1)&gt;0,AND(ISNUMBER(J23),OR(J23&lt;50,J23&gt;20000000))),"Введите целое число от 50 до 20000000",IF(NOT(ABS(IFERROR(VALUE(LEFT(M23,FIND("-",M23)-1)),M23)*100-(2500+2000000000)/2)&lt;=ABS(2500-2000000000)/2),"Цена со скидкой должна быть от 25 до 20000000",IF(AND(IFERROR(VALUE(LEFT(M23,FIND("-",M23)-1)),M23)*150&lt;=59899,IFERROR(VALUE(LEFT(M23,FIND("-",M23)-1)),M23)*200&gt;59899),"Вы уменьшили цену в несколько раз, товар попадет в карантин цен",IF(IFERROR(VALUE(LEFT(M23,FIND("-",M23)-1)),M23)*200&lt;=59899,"Не сохранили изменения, чтобы защитить от ошибки — новые цены меньше текущих более чем в 2 раза. Снижайте их постепенно",IF(AND(IFERROR(VALUE(I23),0)=0,ISNUMBER(J23),OR(J23&lt;193,ABS(IFERROR(VALUE(LEFT(M23,FIND("-",M23)-1)),M23))*100&lt;19300)),"Проверьте цену товара. Большинство товаров в выбранной категории стоят дороже 193","")))))),"")</f>
      </c>
    </row>
    <row r="24">
      <c r="A24" s="2" t="inlineStr">
        <is>
          <t>DOG JOY</t>
        </is>
      </c>
      <c r="B24" s="2" t="inlineStr">
        <is>
          <t>Игрушки для животных</t>
        </is>
      </c>
      <c r="C24" s="2">
        <v>251407392</v>
      </c>
      <c r="D24" s="2" t="inlineStr">
        <is>
          <t>AAND1BL102BL</t>
        </is>
      </c>
      <c r="E24" s="2" t="inlineStr">
        <is>
          <t>2040900511679</t>
        </is>
      </c>
      <c r="F24" s="2">
        <v>193</v>
      </c>
      <c r="G24" s="2">
        <v>0</v>
      </c>
      <c r="H24" s="2">
        <v>609</v>
      </c>
      <c r="I24" s="2" t="inlineStr">
        <is>
          <t>1235</t>
        </is>
      </c>
      <c r="J24" s="4"/>
      <c r="K24" s="2">
        <v>52</v>
      </c>
      <c r="L24" s="6"/>
      <c r="M24" s="2" t="str">
        <f>IF(J24="",ROUND(I24*(1-IF(ISBLANK(L24),K24,L24)/100),2),ROUND(J24*(1-IF(ISBLANK(L24),K24,L24)/100),2))</f>
      </c>
      <c r="N24" s="7" t="str">
        <f>IF(NOT(AND(J24="",L24="")),IF(OR(AND(L24&lt;&gt;"",NOT(ISNUMBER(L24))),IFERROR(MOD(L24,1),1)&gt;0,AND(ISNUMBER(L24),OR(L24&lt;0,L24&gt;95))),"Введите целое число от 0 до 95",IF(OR(AND(J24&lt;&gt;"",NOT(ISNUMBER(J24))),IFERROR(MOD(J24,1),1)&gt;0,AND(ISNUMBER(J24),OR(J24&lt;50,J24&gt;20000000))),"Введите целое число от 50 до 20000000",IF(NOT(ABS(IFERROR(VALUE(LEFT(M24,FIND("-",M24)-1)),M24)*100-(2500+2000000000)/2)&lt;=ABS(2500-2000000000)/2),"Цена со скидкой должна быть от 25 до 20000000",IF(AND(IFERROR(VALUE(LEFT(M24,FIND("-",M24)-1)),M24)*150&lt;=59279,IFERROR(VALUE(LEFT(M24,FIND("-",M24)-1)),M24)*200&gt;59279),"Вы уменьшили цену в несколько раз, товар попадет в карантин цен",IF(IFERROR(VALUE(LEFT(M24,FIND("-",M24)-1)),M24)*200&lt;=59279,"Не сохранили изменения, чтобы защитить от ошибки — новые цены меньше текущих более чем в 2 раза. Снижайте их постепенно",IF(AND(IFERROR(VALUE(I24),0)=0,ISNUMBER(J24),OR(J24&lt;199,ABS(IFERROR(VALUE(LEFT(M24,FIND("-",M24)-1)),M24))*100&lt;19900)),"Проверьте цену товара. Большинство товаров в выбранной категории стоят дороже 199","")))))),"")</f>
      </c>
    </row>
    <row r="25">
      <c r="A25" s="2" t="inlineStr">
        <is>
          <t>DOG JOY</t>
        </is>
      </c>
      <c r="B25" s="2" t="inlineStr">
        <is>
          <t>Игрушки для животных</t>
        </is>
      </c>
      <c r="C25" s="2">
        <v>251537223</v>
      </c>
      <c r="D25" s="2" t="inlineStr">
        <is>
          <t>AAND1BL101RD</t>
        </is>
      </c>
      <c r="E25" s="2" t="inlineStr">
        <is>
          <t>2040903539366</t>
        </is>
      </c>
      <c r="F25" s="2">
        <v>154</v>
      </c>
      <c r="G25" s="2">
        <v>0</v>
      </c>
      <c r="H25" s="2">
        <v>212</v>
      </c>
      <c r="I25" s="2" t="inlineStr">
        <is>
          <t>884</t>
        </is>
      </c>
      <c r="J25" s="4"/>
      <c r="K25" s="2">
        <v>53</v>
      </c>
      <c r="L25" s="6"/>
      <c r="M25" s="2" t="str">
        <f>IF(J25="",ROUND(I25*(1-IF(ISBLANK(L25),K25,L25)/100),2),ROUND(J25*(1-IF(ISBLANK(L25),K25,L25)/100),2))</f>
      </c>
      <c r="N25" s="7" t="str">
        <f>IF(NOT(AND(J25="",L25="")),IF(OR(AND(L25&lt;&gt;"",NOT(ISNUMBER(L25))),IFERROR(MOD(L25,1),1)&gt;0,AND(ISNUMBER(L25),OR(L25&lt;0,L25&gt;95))),"Введите целое число от 0 до 95",IF(OR(AND(J25&lt;&gt;"",NOT(ISNUMBER(J25))),IFERROR(MOD(J25,1),1)&gt;0,AND(ISNUMBER(J25),OR(J25&lt;50,J25&gt;20000000))),"Введите целое число от 50 до 20000000",IF(NOT(ABS(IFERROR(VALUE(LEFT(M25,FIND("-",M25)-1)),M25)*100-(2500+2000000000)/2)&lt;=ABS(2500-2000000000)/2),"Цена со скидкой должна быть от 25 до 20000000",IF(AND(IFERROR(VALUE(LEFT(M25,FIND("-",M25)-1)),M25)*150&lt;=41547,IFERROR(VALUE(LEFT(M25,FIND("-",M25)-1)),M25)*200&gt;41547),"Вы уменьшили цену в несколько раз, товар попадет в карантин цен",IF(IFERROR(VALUE(LEFT(M25,FIND("-",M25)-1)),M25)*200&lt;=41547,"Не сохранили изменения, чтобы защитить от ошибки — новые цены меньше текущих более чем в 2 раза. Снижайте их постепенно",IF(AND(IFERROR(VALUE(I25),0)=0,ISNUMBER(J25),OR(J25&lt;199,ABS(IFERROR(VALUE(LEFT(M25,FIND("-",M25)-1)),M25))*100&lt;19900)),"Проверьте цену товара. Большинство товаров в выбранной категории стоят дороже 199","")))))),"")</f>
      </c>
    </row>
    <row r="26">
      <c r="A26" s="2" t="inlineStr">
        <is>
          <t>AROLS</t>
        </is>
      </c>
      <c r="B26" s="2" t="inlineStr">
        <is>
          <t>Таблетницы</t>
        </is>
      </c>
      <c r="C26" s="2">
        <v>419130077</v>
      </c>
      <c r="D26" s="2" t="inlineStr">
        <is>
          <t>ACRA7TB201CL</t>
        </is>
      </c>
      <c r="E26" s="2" t="inlineStr">
        <is>
          <t>2044025155923</t>
        </is>
      </c>
      <c r="F26" s="2">
        <v>266</v>
      </c>
      <c r="G26" s="2">
        <v>0</v>
      </c>
      <c r="H26" s="2">
        <v>697</v>
      </c>
      <c r="I26" s="2" t="inlineStr">
        <is>
          <t>1241</t>
        </is>
      </c>
      <c r="J26" s="4"/>
      <c r="K26" s="2">
        <v>46</v>
      </c>
      <c r="L26" s="6"/>
      <c r="M26" s="2" t="str">
        <f>IF(J26="",ROUND(I26*(1-IF(ISBLANK(L26),K26,L26)/100),2),ROUND(J26*(1-IF(ISBLANK(L26),K26,L26)/100),2))</f>
      </c>
      <c r="N26" s="7" t="str">
        <f>IF(NOT(AND(J26="",L26="")),IF(OR(AND(L26&lt;&gt;"",NOT(ISNUMBER(L26))),IFERROR(MOD(L26,1),1)&gt;0,AND(ISNUMBER(L26),OR(L26&lt;0,L26&gt;95))),"Введите целое число от 0 до 95",IF(OR(AND(J26&lt;&gt;"",NOT(ISNUMBER(J26))),IFERROR(MOD(J26,1),1)&gt;0,AND(ISNUMBER(J26),OR(J26&lt;50,J26&gt;20000000))),"Введите целое число от 50 до 20000000",IF(NOT(ABS(IFERROR(VALUE(LEFT(M26,FIND("-",M26)-1)),M26)*100-(2500+2000000000)/2)&lt;=ABS(2500-2000000000)/2),"Цена со скидкой должна быть от 25 до 20000000",IF(AND(IFERROR(VALUE(LEFT(M26,FIND("-",M26)-1)),M26)*150&lt;=67014,IFERROR(VALUE(LEFT(M26,FIND("-",M26)-1)),M26)*200&gt;67014),"Вы уменьшили цену в несколько раз, товар попадет в карантин цен",IF(IFERROR(VALUE(LEFT(M26,FIND("-",M26)-1)),M26)*200&lt;=67014,"Не сохранили изменения, чтобы защитить от ошибки — новые цены меньше текущих более чем в 2 раза. Снижайте их постепенно",IF(AND(IFERROR(VALUE(I26),0)=0,ISNUMBER(J26),OR(J26&lt;193,ABS(IFERROR(VALUE(LEFT(M26,FIND("-",M26)-1)),M26))*100&lt;19300)),"Проверьте цену товара. Большинство товаров в выбранной категории стоят дороже 193","")))))),"")</f>
      </c>
    </row>
    <row r="27">
      <c r="A27" s="2" t="inlineStr">
        <is>
          <t>DOG JOY</t>
        </is>
      </c>
      <c r="B27" s="2" t="inlineStr">
        <is>
          <t>Игрушки для животных</t>
        </is>
      </c>
      <c r="C27" s="2">
        <v>251516159</v>
      </c>
      <c r="D27" s="2" t="inlineStr">
        <is>
          <t>AAND1BL102RD</t>
        </is>
      </c>
      <c r="E27" s="2" t="inlineStr">
        <is>
          <t>2040902555480</t>
        </is>
      </c>
      <c r="F27" s="2">
        <v>137</v>
      </c>
      <c r="G27" s="2">
        <v>0</v>
      </c>
      <c r="H27" s="2">
        <v>63</v>
      </c>
      <c r="I27" s="2" t="inlineStr">
        <is>
          <t>913</t>
        </is>
      </c>
      <c r="J27" s="4"/>
      <c r="K27" s="2">
        <v>30</v>
      </c>
      <c r="L27" s="6"/>
      <c r="M27" s="2" t="str">
        <f>IF(J27="",ROUND(I27*(1-IF(ISBLANK(L27),K27,L27)/100),2),ROUND(J27*(1-IF(ISBLANK(L27),K27,L27)/100),2))</f>
      </c>
      <c r="N27" s="7" t="str">
        <f>IF(NOT(AND(J27="",L27="")),IF(OR(AND(L27&lt;&gt;"",NOT(ISNUMBER(L27))),IFERROR(MOD(L27,1),1)&gt;0,AND(ISNUMBER(L27),OR(L27&lt;0,L27&gt;95))),"Введите целое число от 0 до 95",IF(OR(AND(J27&lt;&gt;"",NOT(ISNUMBER(J27))),IFERROR(MOD(J27,1),1)&gt;0,AND(ISNUMBER(J27),OR(J27&lt;50,J27&gt;20000000))),"Введите целое число от 50 до 20000000",IF(NOT(ABS(IFERROR(VALUE(LEFT(M27,FIND("-",M27)-1)),M27)*100-(2500+2000000000)/2)&lt;=ABS(2500-2000000000)/2),"Цена со скидкой должна быть от 25 до 20000000",IF(AND(IFERROR(VALUE(LEFT(M27,FIND("-",M27)-1)),M27)*150&lt;=63909,IFERROR(VALUE(LEFT(M27,FIND("-",M27)-1)),M27)*200&gt;63909),"Вы уменьшили цену в несколько раз, товар попадет в карантин цен",IF(IFERROR(VALUE(LEFT(M27,FIND("-",M27)-1)),M27)*200&lt;=63909,"Не сохранили изменения, чтобы защитить от ошибки — новые цены меньше текущих более чем в 2 раза. Снижайте их постепенно",IF(AND(IFERROR(VALUE(I27),0)=0,ISNUMBER(J27),OR(J27&lt;199,ABS(IFERROR(VALUE(LEFT(M27,FIND("-",M27)-1)),M27))*100&lt;19900)),"Проверьте цену товара. Большинство товаров в выбранной категории стоят дороже 199","")))))),"")</f>
      </c>
    </row>
    <row r="28">
      <c r="A28" s="2" t="inlineStr">
        <is>
          <t>DOG JOY</t>
        </is>
      </c>
      <c r="B28" s="2" t="inlineStr">
        <is>
          <t>Игрушки для животных</t>
        </is>
      </c>
      <c r="C28" s="2">
        <v>251537413</v>
      </c>
      <c r="D28" s="2" t="inlineStr">
        <is>
          <t>AAND1BL101BL</t>
        </is>
      </c>
      <c r="E28" s="2" t="inlineStr">
        <is>
          <t>2040903547941</t>
        </is>
      </c>
      <c r="F28" s="2">
        <v>187</v>
      </c>
      <c r="G28" s="2">
        <v>0</v>
      </c>
      <c r="H28" s="2">
        <v>670</v>
      </c>
      <c r="I28" s="2" t="inlineStr">
        <is>
          <t>940</t>
        </is>
      </c>
      <c r="J28" s="4"/>
      <c r="K28" s="2">
        <v>56</v>
      </c>
      <c r="L28" s="6"/>
      <c r="M28" s="2" t="str">
        <f>IF(J28="",ROUND(I28*(1-IF(ISBLANK(L28),K28,L28)/100),2),ROUND(J28*(1-IF(ISBLANK(L28),K28,L28)/100),2))</f>
      </c>
      <c r="N28" s="7" t="str">
        <f>IF(NOT(AND(J28="",L28="")),IF(OR(AND(L28&lt;&gt;"",NOT(ISNUMBER(L28))),IFERROR(MOD(L28,1),1)&gt;0,AND(ISNUMBER(L28),OR(L28&lt;0,L28&gt;95))),"Введите целое число от 0 до 95",IF(OR(AND(J28&lt;&gt;"",NOT(ISNUMBER(J28))),IFERROR(MOD(J28,1),1)&gt;0,AND(ISNUMBER(J28),OR(J28&lt;50,J28&gt;20000000))),"Введите целое число от 50 до 20000000",IF(NOT(ABS(IFERROR(VALUE(LEFT(M28,FIND("-",M28)-1)),M28)*100-(2500+2000000000)/2)&lt;=ABS(2500-2000000000)/2),"Цена со скидкой должна быть от 25 до 20000000",IF(AND(IFERROR(VALUE(LEFT(M28,FIND("-",M28)-1)),M28)*150&lt;=41360,IFERROR(VALUE(LEFT(M28,FIND("-",M28)-1)),M28)*200&gt;41360),"Вы уменьшили цену в несколько раз, товар попадет в карантин цен",IF(IFERROR(VALUE(LEFT(M28,FIND("-",M28)-1)),M28)*200&lt;=41360,"Не сохранили изменения, чтобы защитить от ошибки — новые цены меньше текущих более чем в 2 раза. Снижайте их постепенно",IF(AND(IFERROR(VALUE(I28),0)=0,ISNUMBER(J28),OR(J28&lt;199,ABS(IFERROR(VALUE(LEFT(M28,FIND("-",M28)-1)),M28))*100&lt;19900)),"Проверьте цену товара. Большинство товаров в выбранной категории стоят дороже 199","")))))),"")</f>
      </c>
    </row>
    <row r="29">
      <c r="A29" s="2" t="inlineStr">
        <is>
          <t>AROLS</t>
        </is>
      </c>
      <c r="B29" s="2" t="inlineStr">
        <is>
          <t>Таблетницы</t>
        </is>
      </c>
      <c r="C29" s="2">
        <v>321907864</v>
      </c>
      <c r="D29" s="2" t="inlineStr">
        <is>
          <t>ACRA7TB401BC</t>
        </is>
      </c>
      <c r="E29" s="2" t="inlineStr">
        <is>
          <t>2042676873814</t>
        </is>
      </c>
      <c r="F29" s="2">
        <v>0</v>
      </c>
      <c r="G29" s="2">
        <v>0</v>
      </c>
      <c r="H29" s="2">
        <v>1</v>
      </c>
      <c r="I29" s="2" t="inlineStr">
        <is>
          <t>2141</t>
        </is>
      </c>
      <c r="J29" s="4"/>
      <c r="K29" s="2">
        <v>30</v>
      </c>
      <c r="L29" s="6"/>
      <c r="M29" s="2" t="str">
        <f>IF(J29="",ROUND(I29*(1-IF(ISBLANK(L29),K29,L29)/100),2),ROUND(J29*(1-IF(ISBLANK(L29),K29,L29)/100),2))</f>
      </c>
      <c r="N29" s="7" t="str">
        <f>IF(NOT(AND(J29="",L29="")),IF(OR(AND(L29&lt;&gt;"",NOT(ISNUMBER(L29))),IFERROR(MOD(L29,1),1)&gt;0,AND(ISNUMBER(L29),OR(L29&lt;0,L29&gt;95))),"Введите целое число от 0 до 95",IF(OR(AND(J29&lt;&gt;"",NOT(ISNUMBER(J29))),IFERROR(MOD(J29,1),1)&gt;0,AND(ISNUMBER(J29),OR(J29&lt;50,J29&gt;20000000))),"Введите целое число от 50 до 20000000",IF(NOT(ABS(IFERROR(VALUE(LEFT(M29,FIND("-",M29)-1)),M29)*100-(2500+2000000000)/2)&lt;=ABS(2500-2000000000)/2),"Цена со скидкой должна быть от 25 до 20000000",IF(AND(IFERROR(VALUE(LEFT(M29,FIND("-",M29)-1)),M29)*150&lt;=149869,IFERROR(VALUE(LEFT(M29,FIND("-",M29)-1)),M29)*200&gt;149869),"Вы уменьшили цену в несколько раз, товар попадет в карантин цен",IF(IFERROR(VALUE(LEFT(M29,FIND("-",M29)-1)),M29)*200&lt;=149869,"Не сохранили изменения, чтобы защитить от ошибки — новые цены меньше текущих более чем в 2 раза. Снижайте их постепенно",IF(AND(IFERROR(VALUE(I29),0)=0,ISNUMBER(J29),OR(J29&lt;193,ABS(IFERROR(VALUE(LEFT(M29,FIND("-",M29)-1)),M29))*100&lt;19300)),"Проверьте цену товара. Большинство товаров в выбранной категории стоят дороже 193","")))))),"")</f>
      </c>
    </row>
    <row r="30">
      <c r="A30" s="2" t="inlineStr">
        <is>
          <t>AROLS</t>
        </is>
      </c>
      <c r="B30" s="2" t="inlineStr">
        <is>
          <t>Таблетницы</t>
        </is>
      </c>
      <c r="C30" s="2">
        <v>298193176</v>
      </c>
      <c r="D30" s="2" t="inlineStr">
        <is>
          <t>ACRA7TB101CL</t>
        </is>
      </c>
      <c r="E30" s="2" t="inlineStr">
        <is>
          <t>2042160422832</t>
        </is>
      </c>
      <c r="F30" s="2">
        <v>161</v>
      </c>
      <c r="G30" s="2">
        <v>0</v>
      </c>
      <c r="H30" s="2">
        <v>292</v>
      </c>
      <c r="I30" s="2" t="inlineStr">
        <is>
          <t>1332</t>
        </is>
      </c>
      <c r="J30" s="4"/>
      <c r="K30" s="2">
        <v>56</v>
      </c>
      <c r="L30" s="6"/>
      <c r="M30" s="2" t="str">
        <f>IF(J30="",ROUND(I30*(1-IF(ISBLANK(L30),K30,L30)/100),2),ROUND(J30*(1-IF(ISBLANK(L30),K30,L30)/100),2))</f>
      </c>
      <c r="N30" s="7" t="str">
        <f>IF(NOT(AND(J30="",L30="")),IF(OR(AND(L30&lt;&gt;"",NOT(ISNUMBER(L30))),IFERROR(MOD(L30,1),1)&gt;0,AND(ISNUMBER(L30),OR(L30&lt;0,L30&gt;95))),"Введите целое число от 0 до 95",IF(OR(AND(J30&lt;&gt;"",NOT(ISNUMBER(J30))),IFERROR(MOD(J30,1),1)&gt;0,AND(ISNUMBER(J30),OR(J30&lt;50,J30&gt;20000000))),"Введите целое число от 50 до 20000000",IF(NOT(ABS(IFERROR(VALUE(LEFT(M30,FIND("-",M30)-1)),M30)*100-(2500+2000000000)/2)&lt;=ABS(2500-2000000000)/2),"Цена со скидкой должна быть от 25 до 20000000",IF(AND(IFERROR(VALUE(LEFT(M30,FIND("-",M30)-1)),M30)*150&lt;=58607,IFERROR(VALUE(LEFT(M30,FIND("-",M30)-1)),M30)*200&gt;58607),"Вы уменьшили цену в несколько раз, товар попадет в карантин цен",IF(IFERROR(VALUE(LEFT(M30,FIND("-",M30)-1)),M30)*200&lt;=58607,"Не сохранили изменения, чтобы защитить от ошибки — новые цены меньше текущих более чем в 2 раза. Снижайте их постепенно",IF(AND(IFERROR(VALUE(I30),0)=0,ISNUMBER(J30),OR(J30&lt;193,ABS(IFERROR(VALUE(LEFT(M30,FIND("-",M30)-1)),M30))*100&lt;19300)),"Проверьте цену товара. Большинство товаров в выбранной категории стоят дороже 193","")))))),"")</f>
      </c>
    </row>
    <row r="31">
      <c r="A31" s="2" t="inlineStr">
        <is>
          <t>AROLS</t>
        </is>
      </c>
      <c r="B31" s="2" t="inlineStr">
        <is>
          <t>Таблетницы</t>
        </is>
      </c>
      <c r="C31" s="2">
        <v>448254852</v>
      </c>
      <c r="D31" s="2" t="inlineStr">
        <is>
          <t>ACRA7TB201LI</t>
        </is>
      </c>
      <c r="E31" s="2" t="inlineStr">
        <is>
          <t>2044516498812</t>
        </is>
      </c>
      <c r="F31" s="2">
        <v>210</v>
      </c>
      <c r="G31" s="2">
        <v>0</v>
      </c>
      <c r="H31" s="2">
        <v>608</v>
      </c>
      <c r="I31" s="2" t="inlineStr">
        <is>
          <t>1241</t>
        </is>
      </c>
      <c r="J31" s="4"/>
      <c r="K31" s="2">
        <v>46</v>
      </c>
      <c r="L31" s="6"/>
      <c r="M31" s="2" t="str">
        <f>IF(J31="",ROUND(I31*(1-IF(ISBLANK(L31),K31,L31)/100),2),ROUND(J31*(1-IF(ISBLANK(L31),K31,L31)/100),2))</f>
      </c>
      <c r="N31" s="7" t="str">
        <f>IF(NOT(AND(J31="",L31="")),IF(OR(AND(L31&lt;&gt;"",NOT(ISNUMBER(L31))),IFERROR(MOD(L31,1),1)&gt;0,AND(ISNUMBER(L31),OR(L31&lt;0,L31&gt;95))),"Введите целое число от 0 до 95",IF(OR(AND(J31&lt;&gt;"",NOT(ISNUMBER(J31))),IFERROR(MOD(J31,1),1)&gt;0,AND(ISNUMBER(J31),OR(J31&lt;50,J31&gt;20000000))),"Введите целое число от 50 до 20000000",IF(NOT(ABS(IFERROR(VALUE(LEFT(M31,FIND("-",M31)-1)),M31)*100-(2500+2000000000)/2)&lt;=ABS(2500-2000000000)/2),"Цена со скидкой должна быть от 25 до 20000000",IF(AND(IFERROR(VALUE(LEFT(M31,FIND("-",M31)-1)),M31)*150&lt;=67014,IFERROR(VALUE(LEFT(M31,FIND("-",M31)-1)),M31)*200&gt;67014),"Вы уменьшили цену в несколько раз, товар попадет в карантин цен",IF(IFERROR(VALUE(LEFT(M31,FIND("-",M31)-1)),M31)*200&lt;=67014,"Не сохранили изменения, чтобы защитить от ошибки — новые цены меньше текущих более чем в 2 раза. Снижайте их постепенно",IF(AND(IFERROR(VALUE(I31),0)=0,ISNUMBER(J31),OR(J31&lt;193,ABS(IFERROR(VALUE(LEFT(M31,FIND("-",M31)-1)),M31))*100&lt;19300)),"Проверьте цену товара. Большинство товаров в выбранной категории стоят дороже 193","")))))),"")</f>
      </c>
    </row>
    <row r="32">
      <c r="A32" s="2" t="inlineStr">
        <is>
          <t>AROLS</t>
        </is>
      </c>
      <c r="B32" s="2" t="inlineStr">
        <is>
          <t>Таблетницы</t>
        </is>
      </c>
      <c r="C32" s="2">
        <v>448248943</v>
      </c>
      <c r="D32" s="2" t="inlineStr">
        <is>
          <t>ACRA7TB201WH</t>
        </is>
      </c>
      <c r="E32" s="2" t="inlineStr">
        <is>
          <t>2044516485386</t>
        </is>
      </c>
      <c r="F32" s="2">
        <v>224</v>
      </c>
      <c r="G32" s="2">
        <v>0</v>
      </c>
      <c r="H32" s="2">
        <v>999</v>
      </c>
      <c r="I32" s="2" t="inlineStr">
        <is>
          <t>1241</t>
        </is>
      </c>
      <c r="J32" s="4"/>
      <c r="K32" s="2">
        <v>46</v>
      </c>
      <c r="L32" s="6"/>
      <c r="M32" s="2" t="str">
        <f>IF(J32="",ROUND(I32*(1-IF(ISBLANK(L32),K32,L32)/100),2),ROUND(J32*(1-IF(ISBLANK(L32),K32,L32)/100),2))</f>
      </c>
      <c r="N32" s="7" t="str">
        <f>IF(NOT(AND(J32="",L32="")),IF(OR(AND(L32&lt;&gt;"",NOT(ISNUMBER(L32))),IFERROR(MOD(L32,1),1)&gt;0,AND(ISNUMBER(L32),OR(L32&lt;0,L32&gt;95))),"Введите целое число от 0 до 95",IF(OR(AND(J32&lt;&gt;"",NOT(ISNUMBER(J32))),IFERROR(MOD(J32,1),1)&gt;0,AND(ISNUMBER(J32),OR(J32&lt;50,J32&gt;20000000))),"Введите целое число от 50 до 20000000",IF(NOT(ABS(IFERROR(VALUE(LEFT(M32,FIND("-",M32)-1)),M32)*100-(2500+2000000000)/2)&lt;=ABS(2500-2000000000)/2),"Цена со скидкой должна быть от 25 до 20000000",IF(AND(IFERROR(VALUE(LEFT(M32,FIND("-",M32)-1)),M32)*150&lt;=67014,IFERROR(VALUE(LEFT(M32,FIND("-",M32)-1)),M32)*200&gt;67014),"Вы уменьшили цену в несколько раз, товар попадет в карантин цен",IF(IFERROR(VALUE(LEFT(M32,FIND("-",M32)-1)),M32)*200&lt;=67014,"Не сохранили изменения, чтобы защитить от ошибки — новые цены меньше текущих более чем в 2 раза. Снижайте их постепенно",IF(AND(IFERROR(VALUE(I32),0)=0,ISNUMBER(J32),OR(J32&lt;193,ABS(IFERROR(VALUE(LEFT(M32,FIND("-",M32)-1)),M32))*100&lt;19300)),"Проверьте цену товара. Большинство товаров в выбранной категории стоят дороже 193","")))))),"")</f>
      </c>
    </row>
    <row r="33">
      <c r="A33" s="2" t="inlineStr">
        <is>
          <t>AROLS</t>
        </is>
      </c>
      <c r="B33" s="2" t="inlineStr">
        <is>
          <t>Таблетницы</t>
        </is>
      </c>
      <c r="C33" s="2">
        <v>186826338</v>
      </c>
      <c r="D33" s="2" t="inlineStr">
        <is>
          <t>ACRA7TB201BC</t>
        </is>
      </c>
      <c r="E33" s="2" t="inlineStr">
        <is>
          <t>2038891723249</t>
        </is>
      </c>
      <c r="F33" s="2">
        <v>466</v>
      </c>
      <c r="G33" s="2">
        <v>0</v>
      </c>
      <c r="H33" s="2">
        <v>275</v>
      </c>
      <c r="I33" s="2" t="inlineStr">
        <is>
          <t>1241</t>
        </is>
      </c>
      <c r="J33" s="4"/>
      <c r="K33" s="2">
        <v>49</v>
      </c>
      <c r="L33" s="6"/>
      <c r="M33" s="2" t="str">
        <f>IF(J33="",ROUND(I33*(1-IF(ISBLANK(L33),K33,L33)/100),2),ROUND(J33*(1-IF(ISBLANK(L33),K33,L33)/100),2))</f>
      </c>
      <c r="N33" s="7" t="str">
        <f>IF(NOT(AND(J33="",L33="")),IF(OR(AND(L33&lt;&gt;"",NOT(ISNUMBER(L33))),IFERROR(MOD(L33,1),1)&gt;0,AND(ISNUMBER(L33),OR(L33&lt;0,L33&gt;95))),"Введите целое число от 0 до 95",IF(OR(AND(J33&lt;&gt;"",NOT(ISNUMBER(J33))),IFERROR(MOD(J33,1),1)&gt;0,AND(ISNUMBER(J33),OR(J33&lt;50,J33&gt;20000000))),"Введите целое число от 50 до 20000000",IF(NOT(ABS(IFERROR(VALUE(LEFT(M33,FIND("-",M33)-1)),M33)*100-(2500+2000000000)/2)&lt;=ABS(2500-2000000000)/2),"Цена со скидкой должна быть от 25 до 20000000",IF(AND(IFERROR(VALUE(LEFT(M33,FIND("-",M33)-1)),M33)*150&lt;=63291,IFERROR(VALUE(LEFT(M33,FIND("-",M33)-1)),M33)*200&gt;63291),"Вы уменьшили цену в несколько раз, товар попадет в карантин цен",IF(IFERROR(VALUE(LEFT(M33,FIND("-",M33)-1)),M33)*200&lt;=63291,"Не сохранили изменения, чтобы защитить от ошибки — новые цены меньше текущих более чем в 2 раза. Снижайте их постепенно",IF(AND(IFERROR(VALUE(I33),0)=0,ISNUMBER(J33),OR(J33&lt;193,ABS(IFERROR(VALUE(LEFT(M33,FIND("-",M33)-1)),M33))*100&lt;19300)),"Проверьте цену товара. Большинство товаров в выбранной категории стоят дороже 193","")))))),"")</f>
      </c>
    </row>
    <row r="34">
      <c r="A34" s="2" t="inlineStr">
        <is>
          <t>DOG JOY</t>
        </is>
      </c>
      <c r="B34" s="2" t="inlineStr">
        <is>
          <t>Игрушки для животных</t>
        </is>
      </c>
      <c r="C34" s="2">
        <v>302564795</v>
      </c>
      <c r="D34" s="2" t="inlineStr">
        <is>
          <t>AAND1ST202BL</t>
        </is>
      </c>
      <c r="E34" s="2" t="inlineStr">
        <is>
          <t>2042253544953</t>
        </is>
      </c>
      <c r="F34" s="2">
        <v>0</v>
      </c>
      <c r="G34" s="2">
        <v>0</v>
      </c>
      <c r="H34" s="2">
        <v>1</v>
      </c>
      <c r="I34" s="2" t="inlineStr">
        <is>
          <t>1084</t>
        </is>
      </c>
      <c r="J34" s="4"/>
      <c r="K34" s="2">
        <v>30</v>
      </c>
      <c r="L34" s="6"/>
      <c r="M34" s="2" t="str">
        <f>IF(J34="",ROUND(I34*(1-IF(ISBLANK(L34),K34,L34)/100),2),ROUND(J34*(1-IF(ISBLANK(L34),K34,L34)/100),2))</f>
      </c>
      <c r="N34" s="7" t="str">
        <f>IF(NOT(AND(J34="",L34="")),IF(OR(AND(L34&lt;&gt;"",NOT(ISNUMBER(L34))),IFERROR(MOD(L34,1),1)&gt;0,AND(ISNUMBER(L34),OR(L34&lt;0,L34&gt;95))),"Введите целое число от 0 до 95",IF(OR(AND(J34&lt;&gt;"",NOT(ISNUMBER(J34))),IFERROR(MOD(J34,1),1)&gt;0,AND(ISNUMBER(J34),OR(J34&lt;50,J34&gt;20000000))),"Введите целое число от 50 до 20000000",IF(NOT(ABS(IFERROR(VALUE(LEFT(M34,FIND("-",M34)-1)),M34)*100-(2500+2000000000)/2)&lt;=ABS(2500-2000000000)/2),"Цена со скидкой должна быть от 25 до 20000000",IF(AND(IFERROR(VALUE(LEFT(M34,FIND("-",M34)-1)),M34)*150&lt;=75880,IFERROR(VALUE(LEFT(M34,FIND("-",M34)-1)),M34)*200&gt;75880),"Вы уменьшили цену в несколько раз, товар попадет в карантин цен",IF(IFERROR(VALUE(LEFT(M34,FIND("-",M34)-1)),M34)*200&lt;=75880,"Не сохранили изменения, чтобы защитить от ошибки — новые цены меньше текущих более чем в 2 раза. Снижайте их постепенно",IF(AND(IFERROR(VALUE(I34),0)=0,ISNUMBER(J34),OR(J34&lt;199,ABS(IFERROR(VALUE(LEFT(M34,FIND("-",M34)-1)),M34))*100&lt;19900)),"Проверьте цену товара. Большинство товаров в выбранной категории стоят дороже 199","")))))),"")</f>
      </c>
    </row>
    <row r="35">
      <c r="A35" s="2" t="inlineStr">
        <is>
          <t>DOG JOY</t>
        </is>
      </c>
      <c r="B35" s="2" t="inlineStr">
        <is>
          <t>Игрушки для животных</t>
        </is>
      </c>
      <c r="C35" s="2">
        <v>273588520</v>
      </c>
      <c r="D35" s="2" t="inlineStr">
        <is>
          <t>AAND1RP301BG</t>
        </is>
      </c>
      <c r="E35" s="2" t="inlineStr">
        <is>
          <t>2041534216404</t>
        </is>
      </c>
      <c r="F35" s="2">
        <v>6</v>
      </c>
      <c r="G35" s="2">
        <v>0</v>
      </c>
      <c r="H35" s="2">
        <v>209</v>
      </c>
      <c r="I35" s="2" t="inlineStr">
        <is>
          <t>1667</t>
        </is>
      </c>
      <c r="J35" s="4"/>
      <c r="K35" s="2">
        <v>43</v>
      </c>
      <c r="L35" s="6"/>
      <c r="M35" s="2" t="str">
        <f>IF(J35="",ROUND(I35*(1-IF(ISBLANK(L35),K35,L35)/100),2),ROUND(J35*(1-IF(ISBLANK(L35),K35,L35)/100),2))</f>
      </c>
      <c r="N35" s="7" t="str">
        <f>IF(NOT(AND(J35="",L35="")),IF(OR(AND(L35&lt;&gt;"",NOT(ISNUMBER(L35))),IFERROR(MOD(L35,1),1)&gt;0,AND(ISNUMBER(L35),OR(L35&lt;0,L35&gt;95))),"Введите целое число от 0 до 95",IF(OR(AND(J35&lt;&gt;"",NOT(ISNUMBER(J35))),IFERROR(MOD(J35,1),1)&gt;0,AND(ISNUMBER(J35),OR(J35&lt;50,J35&gt;20000000))),"Введите целое число от 50 до 20000000",IF(NOT(ABS(IFERROR(VALUE(LEFT(M35,FIND("-",M35)-1)),M35)*100-(2500+2000000000)/2)&lt;=ABS(2500-2000000000)/2),"Цена со скидкой должна быть от 25 до 20000000",IF(AND(IFERROR(VALUE(LEFT(M35,FIND("-",M35)-1)),M35)*150&lt;=95019,IFERROR(VALUE(LEFT(M35,FIND("-",M35)-1)),M35)*200&gt;95019),"Вы уменьшили цену в несколько раз, товар попадет в карантин цен",IF(IFERROR(VALUE(LEFT(M35,FIND("-",M35)-1)),M35)*200&lt;=95019,"Не сохранили изменения, чтобы защитить от ошибки — новые цены меньше текущих более чем в 2 раза. Снижайте их постепенно",IF(AND(IFERROR(VALUE(I35),0)=0,ISNUMBER(J35),OR(J35&lt;199,ABS(IFERROR(VALUE(LEFT(M35,FIND("-",M35)-1)),M35))*100&lt;19900)),"Проверьте цену товара. Большинство товаров в выбранной категории стоят дороже 199","")))))),"")</f>
      </c>
    </row>
    <row r="36">
      <c r="A36" s="2" t="inlineStr">
        <is>
          <t>AROLS HOME</t>
        </is>
      </c>
      <c r="B36" s="2" t="inlineStr">
        <is>
          <t>Мешки для стирки</t>
        </is>
      </c>
      <c r="C36" s="2">
        <v>177404837</v>
      </c>
      <c r="D36" s="2" t="inlineStr">
        <is>
          <t>AHMA3BW101BG</t>
        </is>
      </c>
      <c r="E36" s="2" t="inlineStr">
        <is>
          <t>2038627692689</t>
        </is>
      </c>
      <c r="F36" s="2">
        <v>146</v>
      </c>
      <c r="G36" s="2">
        <v>0</v>
      </c>
      <c r="H36" s="2">
        <v>508</v>
      </c>
      <c r="I36" s="2" t="inlineStr">
        <is>
          <t>1799</t>
        </is>
      </c>
      <c r="J36" s="4"/>
      <c r="K36" s="2">
        <v>67</v>
      </c>
      <c r="L36" s="6"/>
      <c r="M36" s="2" t="str">
        <f>IF(J36="",ROUND(I36*(1-IF(ISBLANK(L36),K36,L36)/100),2),ROUND(J36*(1-IF(ISBLANK(L36),K36,L36)/100),2))</f>
      </c>
      <c r="N36" s="7" t="str">
        <f>IF(NOT(AND(J36="",L36="")),IF(OR(AND(L36&lt;&gt;"",NOT(ISNUMBER(L36))),IFERROR(MOD(L36,1),1)&gt;0,AND(ISNUMBER(L36),OR(L36&lt;0,L36&gt;95))),"Введите целое число от 0 до 95",IF(OR(AND(J36&lt;&gt;"",NOT(ISNUMBER(J36))),IFERROR(MOD(J36,1),1)&gt;0,AND(ISNUMBER(J36),OR(J36&lt;50,J36&gt;20000000))),"Введите целое число от 50 до 20000000",IF(NOT(ABS(IFERROR(VALUE(LEFT(M36,FIND("-",M36)-1)),M36)*100-(2500+2000000000)/2)&lt;=ABS(2500-2000000000)/2),"Цена со скидкой должна быть от 25 до 20000000",IF(AND(IFERROR(VALUE(LEFT(M36,FIND("-",M36)-1)),M36)*150&lt;=59366,IFERROR(VALUE(LEFT(M36,FIND("-",M36)-1)),M36)*200&gt;59366),"Вы уменьшили цену в несколько раз, товар попадет в карантин цен",IF(IFERROR(VALUE(LEFT(M36,FIND("-",M36)-1)),M36)*200&lt;=59366,"Не сохранили изменения, чтобы защитить от ошибки — новые цены меньше текущих более чем в 2 раза. Снижайте их постепенно",IF(AND(IFERROR(VALUE(I36),0)=0,ISNUMBER(J36),OR(J36&lt;284,ABS(IFERROR(VALUE(LEFT(M36,FIND("-",M36)-1)),M36))*100&lt;28400)),"Проверьте цену товара. Большинство товаров в выбранной категории стоят дороже 284","")))))),"")</f>
      </c>
    </row>
    <row r="37">
      <c r="A37" s="2" t="inlineStr">
        <is>
          <t>DOG JOY</t>
        </is>
      </c>
      <c r="B37" s="2" t="inlineStr">
        <is>
          <t>Игрушки для животных</t>
        </is>
      </c>
      <c r="C37" s="2">
        <v>273589771</v>
      </c>
      <c r="D37" s="2" t="inlineStr">
        <is>
          <t>AAND1RP301YL</t>
        </is>
      </c>
      <c r="E37" s="2" t="inlineStr">
        <is>
          <t>2041534288661</t>
        </is>
      </c>
      <c r="F37" s="2">
        <v>12</v>
      </c>
      <c r="G37" s="2">
        <v>0</v>
      </c>
      <c r="H37" s="2">
        <v>133</v>
      </c>
      <c r="I37" s="2" t="inlineStr">
        <is>
          <t>1513</t>
        </is>
      </c>
      <c r="J37" s="4"/>
      <c r="K37" s="2">
        <v>79</v>
      </c>
      <c r="L37" s="6"/>
      <c r="M37" s="2" t="str">
        <f>IF(J37="",ROUND(I37*(1-IF(ISBLANK(L37),K37,L37)/100),2),ROUND(J37*(1-IF(ISBLANK(L37),K37,L37)/100),2))</f>
      </c>
      <c r="N37" s="7" t="str">
        <f>IF(NOT(AND(J37="",L37="")),IF(OR(AND(L37&lt;&gt;"",NOT(ISNUMBER(L37))),IFERROR(MOD(L37,1),1)&gt;0,AND(ISNUMBER(L37),OR(L37&lt;0,L37&gt;95))),"Введите целое число от 0 до 95",IF(OR(AND(J37&lt;&gt;"",NOT(ISNUMBER(J37))),IFERROR(MOD(J37,1),1)&gt;0,AND(ISNUMBER(J37),OR(J37&lt;50,J37&gt;20000000))),"Введите целое число от 50 до 20000000",IF(NOT(ABS(IFERROR(VALUE(LEFT(M37,FIND("-",M37)-1)),M37)*100-(2500+2000000000)/2)&lt;=ABS(2500-2000000000)/2),"Цена со скидкой должна быть от 25 до 20000000",IF(AND(IFERROR(VALUE(LEFT(M37,FIND("-",M37)-1)),M37)*150&lt;=31772,IFERROR(VALUE(LEFT(M37,FIND("-",M37)-1)),M37)*200&gt;31772),"Вы уменьшили цену в несколько раз, товар попадет в карантин цен",IF(IFERROR(VALUE(LEFT(M37,FIND("-",M37)-1)),M37)*200&lt;=31772,"Не сохранили изменения, чтобы защитить от ошибки — новые цены меньше текущих более чем в 2 раза. Снижайте их постепенно",IF(AND(IFERROR(VALUE(I37),0)=0,ISNUMBER(J37),OR(J37&lt;199,ABS(IFERROR(VALUE(LEFT(M37,FIND("-",M37)-1)),M37))*100&lt;19900)),"Проверьте цену товара. Большинство товаров в выбранной категории стоят дороже 199","")))))),"")</f>
      </c>
    </row>
    <row r="38">
      <c r="A38" s="2" t="inlineStr">
        <is>
          <t>AROLS HOME</t>
        </is>
      </c>
      <c r="B38" s="2" t="inlineStr">
        <is>
          <t>Мешки для стирки</t>
        </is>
      </c>
      <c r="C38" s="2">
        <v>176500218</v>
      </c>
      <c r="D38" s="2" t="inlineStr">
        <is>
          <t>AHMA1BW101BG</t>
        </is>
      </c>
      <c r="E38" s="2" t="inlineStr">
        <is>
          <t>2038597850744</t>
        </is>
      </c>
      <c r="F38" s="2">
        <v>325</v>
      </c>
      <c r="G38" s="2">
        <v>0</v>
      </c>
      <c r="H38" s="2">
        <v>999</v>
      </c>
      <c r="I38" s="2" t="inlineStr">
        <is>
          <t>908</t>
        </is>
      </c>
      <c r="J38" s="4"/>
      <c r="K38" s="2">
        <v>49</v>
      </c>
      <c r="L38" s="6"/>
      <c r="M38" s="2" t="str">
        <f>IF(J38="",ROUND(I38*(1-IF(ISBLANK(L38),K38,L38)/100),2),ROUND(J38*(1-IF(ISBLANK(L38),K38,L38)/100),2))</f>
      </c>
      <c r="N38" s="7" t="str">
        <f>IF(NOT(AND(J38="",L38="")),IF(OR(AND(L38&lt;&gt;"",NOT(ISNUMBER(L38))),IFERROR(MOD(L38,1),1)&gt;0,AND(ISNUMBER(L38),OR(L38&lt;0,L38&gt;95))),"Введите целое число от 0 до 95",IF(OR(AND(J38&lt;&gt;"",NOT(ISNUMBER(J38))),IFERROR(MOD(J38,1),1)&gt;0,AND(ISNUMBER(J38),OR(J38&lt;50,J38&gt;20000000))),"Введите целое число от 50 до 20000000",IF(NOT(ABS(IFERROR(VALUE(LEFT(M38,FIND("-",M38)-1)),M38)*100-(2500+2000000000)/2)&lt;=ABS(2500-2000000000)/2),"Цена со скидкой должна быть от 25 до 20000000",IF(AND(IFERROR(VALUE(LEFT(M38,FIND("-",M38)-1)),M38)*150&lt;=46308,IFERROR(VALUE(LEFT(M38,FIND("-",M38)-1)),M38)*200&gt;46308),"Вы уменьшили цену в несколько раз, товар попадет в карантин цен",IF(IFERROR(VALUE(LEFT(M38,FIND("-",M38)-1)),M38)*200&lt;=46308,"Не сохранили изменения, чтобы защитить от ошибки — новые цены меньше текущих более чем в 2 раза. Снижайте их постепенно",IF(AND(IFERROR(VALUE(I38),0)=0,ISNUMBER(J38),OR(J38&lt;284,ABS(IFERROR(VALUE(LEFT(M38,FIND("-",M38)-1)),M38))*100&lt;28400)),"Проверьте цену товара. Большинство товаров в выбранной категории стоят дороже 284","")))))),"")</f>
      </c>
    </row>
    <row r="39">
      <c r="A39" s="2" t="inlineStr">
        <is>
          <t>AROLS HOME</t>
        </is>
      </c>
      <c r="B39" s="2" t="inlineStr">
        <is>
          <t>Мешки для стирки</t>
        </is>
      </c>
      <c r="C39" s="2">
        <v>177405495</v>
      </c>
      <c r="D39" s="2" t="inlineStr">
        <is>
          <t>AHMA3BW102BG</t>
        </is>
      </c>
      <c r="E39" s="2" t="inlineStr">
        <is>
          <t>2038627713902</t>
        </is>
      </c>
      <c r="F39" s="2">
        <v>264</v>
      </c>
      <c r="G39" s="2">
        <v>0</v>
      </c>
      <c r="H39" s="2">
        <v>999</v>
      </c>
      <c r="I39" s="2" t="inlineStr">
        <is>
          <t>1599</t>
        </is>
      </c>
      <c r="J39" s="4"/>
      <c r="K39" s="2">
        <v>51</v>
      </c>
      <c r="L39" s="6"/>
      <c r="M39" s="2" t="str">
        <f>IF(J39="",ROUND(I39*(1-IF(ISBLANK(L39),K39,L39)/100),2),ROUND(J39*(1-IF(ISBLANK(L39),K39,L39)/100),2))</f>
      </c>
      <c r="N39" s="7" t="str">
        <f>IF(NOT(AND(J39="",L39="")),IF(OR(AND(L39&lt;&gt;"",NOT(ISNUMBER(L39))),IFERROR(MOD(L39,1),1)&gt;0,AND(ISNUMBER(L39),OR(L39&lt;0,L39&gt;95))),"Введите целое число от 0 до 95",IF(OR(AND(J39&lt;&gt;"",NOT(ISNUMBER(J39))),IFERROR(MOD(J39,1),1)&gt;0,AND(ISNUMBER(J39),OR(J39&lt;50,J39&gt;20000000))),"Введите целое число от 50 до 20000000",IF(NOT(ABS(IFERROR(VALUE(LEFT(M39,FIND("-",M39)-1)),M39)*100-(2500+2000000000)/2)&lt;=ABS(2500-2000000000)/2),"Цена со скидкой должна быть от 25 до 20000000",IF(AND(IFERROR(VALUE(LEFT(M39,FIND("-",M39)-1)),M39)*150&lt;=78351,IFERROR(VALUE(LEFT(M39,FIND("-",M39)-1)),M39)*200&gt;78351),"Вы уменьшили цену в несколько раз, товар попадет в карантин цен",IF(IFERROR(VALUE(LEFT(M39,FIND("-",M39)-1)),M39)*200&lt;=78351,"Не сохранили изменения, чтобы защитить от ошибки — новые цены меньше текущих более чем в 2 раза. Снижайте их постепенно",IF(AND(IFERROR(VALUE(I39),0)=0,ISNUMBER(J39),OR(J39&lt;284,ABS(IFERROR(VALUE(LEFT(M39,FIND("-",M39)-1)),M39))*100&lt;28400)),"Проверьте цену товара. Большинство товаров в выбранной категории стоят дороже 284","")))))),"")</f>
      </c>
    </row>
    <row r="40">
      <c r="A40" s="2" t="inlineStr">
        <is>
          <t>AROLS</t>
        </is>
      </c>
      <c r="B40" s="2" t="inlineStr">
        <is>
          <t>Массажеры механические</t>
        </is>
      </c>
      <c r="C40" s="2">
        <v>340734340</v>
      </c>
      <c r="D40" s="2" t="inlineStr">
        <is>
          <t>ACRB1MS103PN</t>
        </is>
      </c>
      <c r="E40" s="2" t="inlineStr">
        <is>
          <t>2042985583893</t>
        </is>
      </c>
      <c r="F40" s="2">
        <v>4</v>
      </c>
      <c r="G40" s="2">
        <v>0</v>
      </c>
      <c r="H40" s="2">
        <v>113</v>
      </c>
      <c r="I40" s="2" t="inlineStr">
        <is>
          <t>741</t>
        </is>
      </c>
      <c r="J40" s="4"/>
      <c r="K40" s="2">
        <v>53</v>
      </c>
      <c r="L40" s="6"/>
      <c r="M40" s="2" t="str">
        <f>IF(J40="",ROUND(I40*(1-IF(ISBLANK(L40),K40,L40)/100),2),ROUND(J40*(1-IF(ISBLANK(L40),K40,L40)/100),2))</f>
      </c>
      <c r="N40" s="7" t="str">
        <f>IF(NOT(AND(J40="",L40="")),IF(OR(AND(L40&lt;&gt;"",NOT(ISNUMBER(L40))),IFERROR(MOD(L40,1),1)&gt;0,AND(ISNUMBER(L40),OR(L40&lt;0,L40&gt;95))),"Введите целое число от 0 до 95",IF(OR(AND(J40&lt;&gt;"",NOT(ISNUMBER(J40))),IFERROR(MOD(J40,1),1)&gt;0,AND(ISNUMBER(J40),OR(J40&lt;50,J40&gt;20000000))),"Введите целое число от 50 до 20000000",IF(NOT(ABS(IFERROR(VALUE(LEFT(M40,FIND("-",M40)-1)),M40)*100-(2500+2000000000)/2)&lt;=ABS(2500-2000000000)/2),"Цена со скидкой должна быть от 25 до 20000000",IF(AND(IFERROR(VALUE(LEFT(M40,FIND("-",M40)-1)),M40)*150&lt;=34827,IFERROR(VALUE(LEFT(M40,FIND("-",M40)-1)),M40)*200&gt;34827),"Вы уменьшили цену в несколько раз, товар попадет в карантин цен",IF(IFERROR(VALUE(LEFT(M40,FIND("-",M40)-1)),M40)*200&lt;=34827,"Не сохранили изменения, чтобы защитить от ошибки — новые цены меньше текущих более чем в 2 раза. Снижайте их постепенно",IF(AND(IFERROR(VALUE(I40),0)=0,ISNUMBER(J40),OR(J40&lt;243,ABS(IFERROR(VALUE(LEFT(M40,FIND("-",M40)-1)),M40))*100&lt;24300)),"Проверьте цену товара. Большинство товаров в выбранной категории стоят дороже 243","")))))),"")</f>
      </c>
    </row>
    <row r="41">
      <c r="A41" s="2" t="inlineStr">
        <is>
          <t>AROLS HOME</t>
        </is>
      </c>
      <c r="B41" s="2" t="inlineStr">
        <is>
          <t>Мешки для стирки</t>
        </is>
      </c>
      <c r="C41" s="2">
        <v>172832355</v>
      </c>
      <c r="D41" s="2" t="inlineStr">
        <is>
          <t>AHMA7BW101BG</t>
        </is>
      </c>
      <c r="E41" s="2" t="inlineStr">
        <is>
          <t>2038337652454</t>
        </is>
      </c>
      <c r="F41" s="2">
        <v>141</v>
      </c>
      <c r="G41" s="2">
        <v>0</v>
      </c>
      <c r="H41" s="2">
        <v>286</v>
      </c>
      <c r="I41" s="2" t="inlineStr">
        <is>
          <t>3027</t>
        </is>
      </c>
      <c r="J41" s="4"/>
      <c r="K41" s="2">
        <v>67</v>
      </c>
      <c r="L41" s="6"/>
      <c r="M41" s="2" t="str">
        <f>IF(J41="",ROUND(I41*(1-IF(ISBLANK(L41),K41,L41)/100),2),ROUND(J41*(1-IF(ISBLANK(L41),K41,L41)/100),2))</f>
      </c>
      <c r="N41" s="7" t="str">
        <f>IF(NOT(AND(J41="",L41="")),IF(OR(AND(L41&lt;&gt;"",NOT(ISNUMBER(L41))),IFERROR(MOD(L41,1),1)&gt;0,AND(ISNUMBER(L41),OR(L41&lt;0,L41&gt;95))),"Введите целое число от 0 до 95",IF(OR(AND(J41&lt;&gt;"",NOT(ISNUMBER(J41))),IFERROR(MOD(J41,1),1)&gt;0,AND(ISNUMBER(J41),OR(J41&lt;50,J41&gt;20000000))),"Введите целое число от 50 до 20000000",IF(NOT(ABS(IFERROR(VALUE(LEFT(M41,FIND("-",M41)-1)),M41)*100-(2500+2000000000)/2)&lt;=ABS(2500-2000000000)/2),"Цена со скидкой должна быть от 25 до 20000000",IF(AND(IFERROR(VALUE(LEFT(M41,FIND("-",M41)-1)),M41)*150&lt;=99890,IFERROR(VALUE(LEFT(M41,FIND("-",M41)-1)),M41)*200&gt;99890),"Вы уменьшили цену в несколько раз, товар попадет в карантин цен",IF(IFERROR(VALUE(LEFT(M41,FIND("-",M41)-1)),M41)*200&lt;=99890,"Не сохранили изменения, чтобы защитить от ошибки — новые цены меньше текущих более чем в 2 раза. Снижайте их постепенно",IF(AND(IFERROR(VALUE(I41),0)=0,ISNUMBER(J41),OR(J41&lt;284,ABS(IFERROR(VALUE(LEFT(M41,FIND("-",M41)-1)),M41))*100&lt;28400)),"Проверьте цену товара. Большинство товаров в выбранной категории стоят дороже 284","")))))),"")</f>
      </c>
    </row>
    <row r="42">
      <c r="A42" s="2" t="inlineStr">
        <is>
          <t>AROLS</t>
        </is>
      </c>
      <c r="B42" s="2" t="inlineStr">
        <is>
          <t>Бандажи косметические</t>
        </is>
      </c>
      <c r="C42" s="2">
        <v>169153168</v>
      </c>
      <c r="D42" s="2" t="inlineStr">
        <is>
          <t>ACRF1BN101BC</t>
        </is>
      </c>
      <c r="E42" s="2" t="inlineStr">
        <is>
          <t>2038162681926</t>
        </is>
      </c>
      <c r="F42" s="2">
        <v>216</v>
      </c>
      <c r="G42" s="2">
        <v>0</v>
      </c>
      <c r="H42" s="2">
        <v>702</v>
      </c>
      <c r="I42" s="2" t="inlineStr">
        <is>
          <t>1258</t>
        </is>
      </c>
      <c r="J42" s="4"/>
      <c r="K42" s="2">
        <v>56</v>
      </c>
      <c r="L42" s="6"/>
      <c r="M42" s="2" t="str">
        <f>IF(J42="",ROUND(I42*(1-IF(ISBLANK(L42),K42,L42)/100),2),ROUND(J42*(1-IF(ISBLANK(L42),K42,L42)/100),2))</f>
      </c>
      <c r="N42" s="7" t="str">
        <f>IF(NOT(AND(J42="",L42="")),IF(OR(AND(L42&lt;&gt;"",NOT(ISNUMBER(L42))),IFERROR(MOD(L42,1),1)&gt;0,AND(ISNUMBER(L42),OR(L42&lt;0,L42&gt;95))),"Введите целое число от 0 до 95",IF(OR(AND(J42&lt;&gt;"",NOT(ISNUMBER(J42))),IFERROR(MOD(J42,1),1)&gt;0,AND(ISNUMBER(J42),OR(J42&lt;50,J42&gt;20000000))),"Введите целое число от 50 до 20000000",IF(NOT(ABS(IFERROR(VALUE(LEFT(M42,FIND("-",M42)-1)),M42)*100-(2500+2000000000)/2)&lt;=ABS(2500-2000000000)/2),"Цена со скидкой должна быть от 25 до 20000000",IF(AND(IFERROR(VALUE(LEFT(M42,FIND("-",M42)-1)),M42)*150&lt;=55352,IFERROR(VALUE(LEFT(M42,FIND("-",M42)-1)),M42)*200&gt;55352),"Вы уменьшили цену в несколько раз, товар попадет в карантин цен",IF(IFERROR(VALUE(LEFT(M42,FIND("-",M42)-1)),M42)*200&lt;=55352,"Не сохранили изменения, чтобы защитить от ошибки — новые цены меньше текущих более чем в 2 раза. Снижайте их постепенно",IF(AND(IFERROR(VALUE(I42),0)=0,ISNUMBER(J42),OR(J42&lt;354,ABS(IFERROR(VALUE(LEFT(M42,FIND("-",M42)-1)),M42))*100&lt;35400)),"Проверьте цену товара. Большинство товаров в выбранной категории стоят дороже 354","")))))),"")</f>
      </c>
    </row>
    <row r="43">
      <c r="A43" s="2" t="inlineStr">
        <is>
          <t>AROLS</t>
        </is>
      </c>
      <c r="B43" s="2" t="inlineStr">
        <is>
          <t>Бандажи косметические</t>
        </is>
      </c>
      <c r="C43" s="2">
        <v>169395410</v>
      </c>
      <c r="D43" s="2" t="inlineStr">
        <is>
          <t>ACRF1BN201GR</t>
        </is>
      </c>
      <c r="E43" s="2" t="inlineStr">
        <is>
          <t>2038172050200</t>
        </is>
      </c>
      <c r="F43" s="2">
        <v>202</v>
      </c>
      <c r="G43" s="2">
        <v>0</v>
      </c>
      <c r="H43" s="2">
        <v>428</v>
      </c>
      <c r="I43" s="2" t="inlineStr">
        <is>
          <t>1760</t>
        </is>
      </c>
      <c r="J43" s="4"/>
      <c r="K43" s="2">
        <v>49</v>
      </c>
      <c r="L43" s="6"/>
      <c r="M43" s="2" t="str">
        <f>IF(J43="",ROUND(I43*(1-IF(ISBLANK(L43),K43,L43)/100),2),ROUND(J43*(1-IF(ISBLANK(L43),K43,L43)/100),2))</f>
      </c>
      <c r="N43" s="7" t="str">
        <f>IF(NOT(AND(J43="",L43="")),IF(OR(AND(L43&lt;&gt;"",NOT(ISNUMBER(L43))),IFERROR(MOD(L43,1),1)&gt;0,AND(ISNUMBER(L43),OR(L43&lt;0,L43&gt;95))),"Введите целое число от 0 до 95",IF(OR(AND(J43&lt;&gt;"",NOT(ISNUMBER(J43))),IFERROR(MOD(J43,1),1)&gt;0,AND(ISNUMBER(J43),OR(J43&lt;50,J43&gt;20000000))),"Введите целое число от 50 до 20000000",IF(NOT(ABS(IFERROR(VALUE(LEFT(M43,FIND("-",M43)-1)),M43)*100-(2500+2000000000)/2)&lt;=ABS(2500-2000000000)/2),"Цена со скидкой должна быть от 25 до 20000000",IF(AND(IFERROR(VALUE(LEFT(M43,FIND("-",M43)-1)),M43)*150&lt;=89760,IFERROR(VALUE(LEFT(M43,FIND("-",M43)-1)),M43)*200&gt;89760),"Вы уменьшили цену в несколько раз, товар попадет в карантин цен",IF(IFERROR(VALUE(LEFT(M43,FIND("-",M43)-1)),M43)*200&lt;=89760,"Не сохранили изменения, чтобы защитить от ошибки — новые цены меньше текущих более чем в 2 раза. Снижайте их постепенно",IF(AND(IFERROR(VALUE(I43),0)=0,ISNUMBER(J43),OR(J43&lt;354,ABS(IFERROR(VALUE(LEFT(M43,FIND("-",M43)-1)),M43))*100&lt;35400)),"Проверьте цену товара. Большинство товаров в выбранной категории стоят дороже 354","")))))),"")</f>
      </c>
    </row>
    <row r="44">
      <c r="A44" s="2" t="inlineStr">
        <is>
          <t>AROLS</t>
        </is>
      </c>
      <c r="B44" s="2" t="inlineStr">
        <is>
          <t>Бандажи косметические</t>
        </is>
      </c>
      <c r="C44" s="2">
        <v>169112569</v>
      </c>
      <c r="D44" s="2" t="inlineStr">
        <is>
          <t>ACRF1BN101PN</t>
        </is>
      </c>
      <c r="E44" s="2" t="inlineStr">
        <is>
          <t>2038161736993</t>
        </is>
      </c>
      <c r="F44" s="2">
        <v>131</v>
      </c>
      <c r="G44" s="2">
        <v>0</v>
      </c>
      <c r="H44" s="2">
        <v>999</v>
      </c>
      <c r="I44" s="2" t="inlineStr">
        <is>
          <t>1258</t>
        </is>
      </c>
      <c r="J44" s="4"/>
      <c r="K44" s="2">
        <v>56</v>
      </c>
      <c r="L44" s="6"/>
      <c r="M44" s="2" t="str">
        <f>IF(J44="",ROUND(I44*(1-IF(ISBLANK(L44),K44,L44)/100),2),ROUND(J44*(1-IF(ISBLANK(L44),K44,L44)/100),2))</f>
      </c>
      <c r="N44" s="7" t="str">
        <f>IF(NOT(AND(J44="",L44="")),IF(OR(AND(L44&lt;&gt;"",NOT(ISNUMBER(L44))),IFERROR(MOD(L44,1),1)&gt;0,AND(ISNUMBER(L44),OR(L44&lt;0,L44&gt;95))),"Введите целое число от 0 до 95",IF(OR(AND(J44&lt;&gt;"",NOT(ISNUMBER(J44))),IFERROR(MOD(J44,1),1)&gt;0,AND(ISNUMBER(J44),OR(J44&lt;50,J44&gt;20000000))),"Введите целое число от 50 до 20000000",IF(NOT(ABS(IFERROR(VALUE(LEFT(M44,FIND("-",M44)-1)),M44)*100-(2500+2000000000)/2)&lt;=ABS(2500-2000000000)/2),"Цена со скидкой должна быть от 25 до 20000000",IF(AND(IFERROR(VALUE(LEFT(M44,FIND("-",M44)-1)),M44)*150&lt;=55352,IFERROR(VALUE(LEFT(M44,FIND("-",M44)-1)),M44)*200&gt;55352),"Вы уменьшили цену в несколько раз, товар попадет в карантин цен",IF(IFERROR(VALUE(LEFT(M44,FIND("-",M44)-1)),M44)*200&lt;=55352,"Не сохранили изменения, чтобы защитить от ошибки — новые цены меньше текущих более чем в 2 раза. Снижайте их постепенно",IF(AND(IFERROR(VALUE(I44),0)=0,ISNUMBER(J44),OR(J44&lt;354,ABS(IFERROR(VALUE(LEFT(M44,FIND("-",M44)-1)),M44))*100&lt;35400)),"Проверьте цену товара. Большинство товаров в выбранной категории стоят дороже 354","")))))),"")</f>
      </c>
    </row>
    <row r="45">
      <c r="A45" s="2" t="inlineStr">
        <is>
          <t>AROLS</t>
        </is>
      </c>
      <c r="B45" s="2" t="inlineStr">
        <is>
          <t>Массажеры механические</t>
        </is>
      </c>
      <c r="C45" s="2">
        <v>173605843</v>
      </c>
      <c r="D45" s="2" t="inlineStr">
        <is>
          <t>ACRH1MS101RJ</t>
        </is>
      </c>
      <c r="E45" s="2" t="inlineStr">
        <is>
          <t>2038430289250</t>
        </is>
      </c>
      <c r="F45" s="2">
        <v>536</v>
      </c>
      <c r="G45" s="2">
        <v>0</v>
      </c>
      <c r="H45" s="2">
        <v>999</v>
      </c>
      <c r="I45" s="2" t="inlineStr">
        <is>
          <t>585</t>
        </is>
      </c>
      <c r="J45" s="4"/>
      <c r="K45" s="2">
        <v>51</v>
      </c>
      <c r="L45" s="6"/>
      <c r="M45" s="2" t="str">
        <f>IF(J45="",ROUND(I45*(1-IF(ISBLANK(L45),K45,L45)/100),2),ROUND(J45*(1-IF(ISBLANK(L45),K45,L45)/100),2))</f>
      </c>
      <c r="N45" s="7" t="str">
        <f>IF(NOT(AND(J45="",L45="")),IF(OR(AND(L45&lt;&gt;"",NOT(ISNUMBER(L45))),IFERROR(MOD(L45,1),1)&gt;0,AND(ISNUMBER(L45),OR(L45&lt;0,L45&gt;95))),"Введите целое число от 0 до 95",IF(OR(AND(J45&lt;&gt;"",NOT(ISNUMBER(J45))),IFERROR(MOD(J45,1),1)&gt;0,AND(ISNUMBER(J45),OR(J45&lt;50,J45&gt;20000000))),"Введите целое число от 50 до 20000000",IF(NOT(ABS(IFERROR(VALUE(LEFT(M45,FIND("-",M45)-1)),M45)*100-(2500+2000000000)/2)&lt;=ABS(2500-2000000000)/2),"Цена со скидкой должна быть от 25 до 20000000",IF(AND(IFERROR(VALUE(LEFT(M45,FIND("-",M45)-1)),M45)*150&lt;=28664,IFERROR(VALUE(LEFT(M45,FIND("-",M45)-1)),M45)*200&gt;28664),"Вы уменьшили цену в несколько раз, товар попадет в карантин цен",IF(IFERROR(VALUE(LEFT(M45,FIND("-",M45)-1)),M45)*200&lt;=28664,"Не сохранили изменения, чтобы защитить от ошибки — новые цены меньше текущих более чем в 2 раза. Снижайте их постепенно",IF(AND(IFERROR(VALUE(I45),0)=0,ISNUMBER(J45),OR(J45&lt;243,ABS(IFERROR(VALUE(LEFT(M45,FIND("-",M45)-1)),M45))*100&lt;24300)),"Проверьте цену товара. Большинство товаров в выбранной категории стоят дороже 243","")))))),"")</f>
      </c>
    </row>
    <row r="46">
      <c r="A46" s="2" t="inlineStr">
        <is>
          <t>AROLS HOME</t>
        </is>
      </c>
      <c r="B46" s="2" t="inlineStr">
        <is>
          <t>Консервные ножи</t>
        </is>
      </c>
      <c r="C46" s="2">
        <v>340948906</v>
      </c>
      <c r="D46" s="2" t="inlineStr">
        <is>
          <t>AKTA1KN101GR</t>
        </is>
      </c>
      <c r="E46" s="2" t="inlineStr">
        <is>
          <t>2042988749289</t>
        </is>
      </c>
      <c r="F46" s="2">
        <v>0</v>
      </c>
      <c r="G46" s="2">
        <v>0</v>
      </c>
      <c r="H46" s="2">
        <v>1</v>
      </c>
      <c r="I46" s="2" t="inlineStr">
        <is>
          <t>1741</t>
        </is>
      </c>
      <c r="J46" s="4"/>
      <c r="K46" s="2">
        <v>30</v>
      </c>
      <c r="L46" s="6"/>
      <c r="M46" s="2" t="str">
        <f>IF(J46="",ROUND(I46*(1-IF(ISBLANK(L46),K46,L46)/100),2),ROUND(J46*(1-IF(ISBLANK(L46),K46,L46)/100),2))</f>
      </c>
      <c r="N46" s="7" t="str">
        <f>IF(NOT(AND(J46="",L46="")),IF(OR(AND(L46&lt;&gt;"",NOT(ISNUMBER(L46))),IFERROR(MOD(L46,1),1)&gt;0,AND(ISNUMBER(L46),OR(L46&lt;0,L46&gt;95))),"Введите целое число от 0 до 95",IF(OR(AND(J46&lt;&gt;"",NOT(ISNUMBER(J46))),IFERROR(MOD(J46,1),1)&gt;0,AND(ISNUMBER(J46),OR(J46&lt;50,J46&gt;20000000))),"Введите целое число от 50 до 20000000",IF(NOT(ABS(IFERROR(VALUE(LEFT(M46,FIND("-",M46)-1)),M46)*100-(2500+2000000000)/2)&lt;=ABS(2500-2000000000)/2),"Цена со скидкой должна быть от 25 до 20000000",IF(AND(IFERROR(VALUE(LEFT(M46,FIND("-",M46)-1)),M46)*150&lt;=121869,IFERROR(VALUE(LEFT(M46,FIND("-",M46)-1)),M46)*200&gt;121869),"Вы уменьшили цену в несколько раз, товар попадет в карантин цен",IF(IFERROR(VALUE(LEFT(M46,FIND("-",M46)-1)),M46)*200&lt;=121869,"Не сохранили изменения, чтобы защитить от ошибки — новые цены меньше текущих более чем в 2 раза. Снижайте их постепенно",IF(AND(IFERROR(VALUE(I46),0)=0,ISNUMBER(J46),OR(J46&lt;223,ABS(IFERROR(VALUE(LEFT(M46,FIND("-",M46)-1)),M46))*100&lt;22300)),"Проверьте цену товара. Большинство товаров в выбранной категории стоят дороже 223","")))))),"")</f>
      </c>
    </row>
    <row r="47">
      <c r="A47" s="2" t="inlineStr">
        <is>
          <t>AROLS HOME</t>
        </is>
      </c>
      <c r="B47" s="2" t="inlineStr">
        <is>
          <t>Ножи для пиццы</t>
        </is>
      </c>
      <c r="C47" s="2">
        <v>327442631</v>
      </c>
      <c r="D47" s="2" t="inlineStr">
        <is>
          <t>AKTA2KN102GN</t>
        </is>
      </c>
      <c r="E47" s="2" t="inlineStr">
        <is>
          <t>2042777181566</t>
        </is>
      </c>
      <c r="F47" s="2">
        <v>83</v>
      </c>
      <c r="G47" s="2">
        <v>0</v>
      </c>
      <c r="H47" s="2">
        <v>999</v>
      </c>
      <c r="I47" s="2" t="inlineStr">
        <is>
          <t>1141</t>
        </is>
      </c>
      <c r="J47" s="4"/>
      <c r="K47" s="2">
        <v>54</v>
      </c>
      <c r="L47" s="6"/>
      <c r="M47" s="2" t="str">
        <f>IF(J47="",ROUND(I47*(1-IF(ISBLANK(L47),K47,L47)/100),2),ROUND(J47*(1-IF(ISBLANK(L47),K47,L47)/100),2))</f>
      </c>
      <c r="N47" s="7" t="str">
        <f>IF(NOT(AND(J47="",L47="")),IF(OR(AND(L47&lt;&gt;"",NOT(ISNUMBER(L47))),IFERROR(MOD(L47,1),1)&gt;0,AND(ISNUMBER(L47),OR(L47&lt;0,L47&gt;95))),"Введите целое число от 0 до 95",IF(OR(AND(J47&lt;&gt;"",NOT(ISNUMBER(J47))),IFERROR(MOD(J47,1),1)&gt;0,AND(ISNUMBER(J47),OR(J47&lt;50,J47&gt;20000000))),"Введите целое число от 50 до 20000000",IF(NOT(ABS(IFERROR(VALUE(LEFT(M47,FIND("-",M47)-1)),M47)*100-(2500+2000000000)/2)&lt;=ABS(2500-2000000000)/2),"Цена со скидкой должна быть от 25 до 20000000",IF(AND(IFERROR(VALUE(LEFT(M47,FIND("-",M47)-1)),M47)*150&lt;=52486,IFERROR(VALUE(LEFT(M47,FIND("-",M47)-1)),M47)*200&gt;52486),"Вы уменьшили цену в несколько раз, товар попадет в карантин цен",IF(IFERROR(VALUE(LEFT(M47,FIND("-",M47)-1)),M47)*200&lt;=52486,"Не сохранили изменения, чтобы защитить от ошибки — новые цены меньше текущих более чем в 2 раза. Снижайте их постепенно",IF(AND(IFERROR(VALUE(I47),0)=0,ISNUMBER(J47),OR(J47&lt;265,ABS(IFERROR(VALUE(LEFT(M47,FIND("-",M47)-1)),M47))*100&lt;26500)),"Проверьте цену товара. Большинство товаров в выбранной категории стоят дороже 265","")))))),"")</f>
      </c>
    </row>
    <row r="48">
      <c r="A48" s="2" t="inlineStr">
        <is>
          <t>AROLS HOME</t>
        </is>
      </c>
      <c r="B48" s="2" t="inlineStr">
        <is>
          <t>Ножи для пиццы</t>
        </is>
      </c>
      <c r="C48" s="2">
        <v>273527791</v>
      </c>
      <c r="D48" s="2" t="inlineStr">
        <is>
          <t>AKTA2KN102YL</t>
        </is>
      </c>
      <c r="E48" s="2" t="inlineStr">
        <is>
          <t>2041533038113</t>
        </is>
      </c>
      <c r="F48" s="2">
        <v>122</v>
      </c>
      <c r="G48" s="2">
        <v>0</v>
      </c>
      <c r="H48" s="2">
        <v>999</v>
      </c>
      <c r="I48" s="2" t="inlineStr">
        <is>
          <t>1141</t>
        </is>
      </c>
      <c r="J48" s="4"/>
      <c r="K48" s="2">
        <v>67</v>
      </c>
      <c r="L48" s="6"/>
      <c r="M48" s="2" t="str">
        <f>IF(J48="",ROUND(I48*(1-IF(ISBLANK(L48),K48,L48)/100),2),ROUND(J48*(1-IF(ISBLANK(L48),K48,L48)/100),2))</f>
      </c>
      <c r="N48" s="7" t="str">
        <f>IF(NOT(AND(J48="",L48="")),IF(OR(AND(L48&lt;&gt;"",NOT(ISNUMBER(L48))),IFERROR(MOD(L48,1),1)&gt;0,AND(ISNUMBER(L48),OR(L48&lt;0,L48&gt;95))),"Введите целое число от 0 до 95",IF(OR(AND(J48&lt;&gt;"",NOT(ISNUMBER(J48))),IFERROR(MOD(J48,1),1)&gt;0,AND(ISNUMBER(J48),OR(J48&lt;50,J48&gt;20000000))),"Введите целое число от 50 до 20000000",IF(NOT(ABS(IFERROR(VALUE(LEFT(M48,FIND("-",M48)-1)),M48)*100-(2500+2000000000)/2)&lt;=ABS(2500-2000000000)/2),"Цена со скидкой должна быть от 25 до 20000000",IF(AND(IFERROR(VALUE(LEFT(M48,FIND("-",M48)-1)),M48)*150&lt;=37653,IFERROR(VALUE(LEFT(M48,FIND("-",M48)-1)),M48)*200&gt;37653),"Вы уменьшили цену в несколько раз, товар попадет в карантин цен",IF(IFERROR(VALUE(LEFT(M48,FIND("-",M48)-1)),M48)*200&lt;=37653,"Не сохранили изменения, чтобы защитить от ошибки — новые цены меньше текущих более чем в 2 раза. Снижайте их постепенно",IF(AND(IFERROR(VALUE(I48),0)=0,ISNUMBER(J48),OR(J48&lt;265,ABS(IFERROR(VALUE(LEFT(M48,FIND("-",M48)-1)),M48))*100&lt;26500)),"Проверьте цену товара. Большинство товаров в выбранной категории стоят дороже 265","")))))),"")</f>
      </c>
    </row>
    <row r="49">
      <c r="A49" s="2" t="inlineStr">
        <is>
          <t>AROLS HOME</t>
        </is>
      </c>
      <c r="B49" s="2" t="inlineStr">
        <is>
          <t>Пробки для бутылок</t>
        </is>
      </c>
      <c r="C49" s="2">
        <v>273556717</v>
      </c>
      <c r="D49" s="2" t="inlineStr">
        <is>
          <t>AKTA4ST101CL</t>
        </is>
      </c>
      <c r="E49" s="2" t="inlineStr">
        <is>
          <t>2041533648312</t>
        </is>
      </c>
      <c r="F49" s="2">
        <v>136</v>
      </c>
      <c r="G49" s="2">
        <v>0</v>
      </c>
      <c r="H49" s="2">
        <v>171</v>
      </c>
      <c r="I49" s="2" t="inlineStr">
        <is>
          <t>877</t>
        </is>
      </c>
      <c r="J49" s="4"/>
      <c r="K49" s="2">
        <v>54</v>
      </c>
      <c r="L49" s="6"/>
      <c r="M49" s="2" t="str">
        <f>IF(J49="",ROUND(I49*(1-IF(ISBLANK(L49),K49,L49)/100),2),ROUND(J49*(1-IF(ISBLANK(L49),K49,L49)/100),2))</f>
      </c>
      <c r="N49" s="7" t="str">
        <f>IF(NOT(AND(J49="",L49="")),IF(OR(AND(L49&lt;&gt;"",NOT(ISNUMBER(L49))),IFERROR(MOD(L49,1),1)&gt;0,AND(ISNUMBER(L49),OR(L49&lt;0,L49&gt;95))),"Введите целое число от 0 до 95",IF(OR(AND(J49&lt;&gt;"",NOT(ISNUMBER(J49))),IFERROR(MOD(J49,1),1)&gt;0,AND(ISNUMBER(J49),OR(J49&lt;50,J49&gt;20000000))),"Введите целое число от 50 до 20000000",IF(NOT(ABS(IFERROR(VALUE(LEFT(M49,FIND("-",M49)-1)),M49)*100-(2500+2000000000)/2)&lt;=ABS(2500-2000000000)/2),"Цена со скидкой должна быть от 25 до 20000000",IF(AND(IFERROR(VALUE(LEFT(M49,FIND("-",M49)-1)),M49)*150&lt;=40341,IFERROR(VALUE(LEFT(M49,FIND("-",M49)-1)),M49)*200&gt;40341),"Вы уменьшили цену в несколько раз, товар попадет в карантин цен",IF(IFERROR(VALUE(LEFT(M49,FIND("-",M49)-1)),M49)*200&lt;=40341,"Не сохранили изменения, чтобы защитить от ошибки — новые цены меньше текущих более чем в 2 раза. Снижайте их постепенно",IF(AND(IFERROR(VALUE(I49),0)=0,ISNUMBER(J49),OR(J49&lt;219,ABS(IFERROR(VALUE(LEFT(M49,FIND("-",M49)-1)),M49))*100&lt;21900)),"Проверьте цену товара. Большинство товаров в выбранной категории стоят дороже 219","")))))),"")</f>
      </c>
    </row>
    <row r="50">
      <c r="A50" s="2" t="inlineStr">
        <is>
          <t>AROLS HOME</t>
        </is>
      </c>
      <c r="B50" s="2" t="inlineStr">
        <is>
          <t>Пробки для бутылок</t>
        </is>
      </c>
      <c r="C50" s="2">
        <v>321959186</v>
      </c>
      <c r="D50" s="2" t="inlineStr">
        <is>
          <t>AKTA4ST102CL</t>
        </is>
      </c>
      <c r="E50" s="2" t="inlineStr">
        <is>
          <t>2042678197468</t>
        </is>
      </c>
      <c r="F50" s="2">
        <v>31</v>
      </c>
      <c r="G50" s="2">
        <v>0</v>
      </c>
      <c r="H50" s="2">
        <v>203</v>
      </c>
      <c r="I50" s="2" t="inlineStr">
        <is>
          <t>1002</t>
        </is>
      </c>
      <c r="J50" s="4"/>
      <c r="K50" s="2">
        <v>53</v>
      </c>
      <c r="L50" s="6"/>
      <c r="M50" s="2" t="str">
        <f>IF(J50="",ROUND(I50*(1-IF(ISBLANK(L50),K50,L50)/100),2),ROUND(J50*(1-IF(ISBLANK(L50),K50,L50)/100),2))</f>
      </c>
      <c r="N50" s="7" t="str">
        <f>IF(NOT(AND(J50="",L50="")),IF(OR(AND(L50&lt;&gt;"",NOT(ISNUMBER(L50))),IFERROR(MOD(L50,1),1)&gt;0,AND(ISNUMBER(L50),OR(L50&lt;0,L50&gt;95))),"Введите целое число от 0 до 95",IF(OR(AND(J50&lt;&gt;"",NOT(ISNUMBER(J50))),IFERROR(MOD(J50,1),1)&gt;0,AND(ISNUMBER(J50),OR(J50&lt;50,J50&gt;20000000))),"Введите целое число от 50 до 20000000",IF(NOT(ABS(IFERROR(VALUE(LEFT(M50,FIND("-",M50)-1)),M50)*100-(2500+2000000000)/2)&lt;=ABS(2500-2000000000)/2),"Цена со скидкой должна быть от 25 до 20000000",IF(AND(IFERROR(VALUE(LEFT(M50,FIND("-",M50)-1)),M50)*150&lt;=47094,IFERROR(VALUE(LEFT(M50,FIND("-",M50)-1)),M50)*200&gt;47094),"Вы уменьшили цену в несколько раз, товар попадет в карантин цен",IF(IFERROR(VALUE(LEFT(M50,FIND("-",M50)-1)),M50)*200&lt;=47094,"Не сохранили изменения, чтобы защитить от ошибки — новые цены меньше текущих более чем в 2 раза. Снижайте их постепенно",IF(AND(IFERROR(VALUE(I50),0)=0,ISNUMBER(J50),OR(J50&lt;219,ABS(IFERROR(VALUE(LEFT(M50,FIND("-",M50)-1)),M50))*100&lt;21900)),"Проверьте цену товара. Большинство товаров в выбранной категории стоят дороже 219","")))))),"")</f>
      </c>
    </row>
    <row r="51">
      <c r="A51" s="2" t="inlineStr">
        <is>
          <t>AROLS HOME</t>
        </is>
      </c>
      <c r="B51" s="2" t="inlineStr">
        <is>
          <t>Пробки для бутылок</t>
        </is>
      </c>
      <c r="C51" s="2">
        <v>370594147</v>
      </c>
      <c r="D51" s="2" t="inlineStr">
        <is>
          <t>AKTA4ST103CL</t>
        </is>
      </c>
      <c r="E51" s="2" t="inlineStr">
        <is>
          <t>2043369755509</t>
        </is>
      </c>
      <c r="F51" s="2">
        <v>106</v>
      </c>
      <c r="G51" s="2">
        <v>0</v>
      </c>
      <c r="H51" s="2">
        <v>121</v>
      </c>
      <c r="I51" s="2" t="inlineStr">
        <is>
          <t>999</t>
        </is>
      </c>
      <c r="J51" s="4"/>
      <c r="K51" s="2">
        <v>53</v>
      </c>
      <c r="L51" s="6"/>
      <c r="M51" s="2" t="str">
        <f>IF(J51="",ROUND(I51*(1-IF(ISBLANK(L51),K51,L51)/100),2),ROUND(J51*(1-IF(ISBLANK(L51),K51,L51)/100),2))</f>
      </c>
      <c r="N51" s="7" t="str">
        <f>IF(NOT(AND(J51="",L51="")),IF(OR(AND(L51&lt;&gt;"",NOT(ISNUMBER(L51))),IFERROR(MOD(L51,1),1)&gt;0,AND(ISNUMBER(L51),OR(L51&lt;0,L51&gt;95))),"Введите целое число от 0 до 95",IF(OR(AND(J51&lt;&gt;"",NOT(ISNUMBER(J51))),IFERROR(MOD(J51,1),1)&gt;0,AND(ISNUMBER(J51),OR(J51&lt;50,J51&gt;20000000))),"Введите целое число от 50 до 20000000",IF(NOT(ABS(IFERROR(VALUE(LEFT(M51,FIND("-",M51)-1)),M51)*100-(2500+2000000000)/2)&lt;=ABS(2500-2000000000)/2),"Цена со скидкой должна быть от 25 до 20000000",IF(AND(IFERROR(VALUE(LEFT(M51,FIND("-",M51)-1)),M51)*150&lt;=46953,IFERROR(VALUE(LEFT(M51,FIND("-",M51)-1)),M51)*200&gt;46953),"Вы уменьшили цену в несколько раз, товар попадет в карантин цен",IF(IFERROR(VALUE(LEFT(M51,FIND("-",M51)-1)),M51)*200&lt;=46953,"Не сохранили изменения, чтобы защитить от ошибки — новые цены меньше текущих более чем в 2 раза. Снижайте их постепенно",IF(AND(IFERROR(VALUE(I51),0)=0,ISNUMBER(J51),OR(J51&lt;219,ABS(IFERROR(VALUE(LEFT(M51,FIND("-",M51)-1)),M51))*100&lt;21900)),"Проверьте цену товара. Большинство товаров в выбранной категории стоят дороже 219","")))))),"")</f>
      </c>
    </row>
    <row r="52">
      <c r="A52" s="2" t="inlineStr">
        <is>
          <t>AROLS</t>
        </is>
      </c>
      <c r="B52" s="2" t="inlineStr">
        <is>
          <t>Массажеры механические</t>
        </is>
      </c>
      <c r="C52" s="2">
        <v>275208802</v>
      </c>
      <c r="D52" s="2" t="inlineStr">
        <is>
          <t>ACRB1MS101BL</t>
        </is>
      </c>
      <c r="E52" s="2" t="inlineStr">
        <is>
          <t>2041591055954</t>
        </is>
      </c>
      <c r="F52" s="2">
        <v>60</v>
      </c>
      <c r="G52" s="2">
        <v>0</v>
      </c>
      <c r="H52" s="2">
        <v>267</v>
      </c>
      <c r="I52" s="2" t="inlineStr">
        <is>
          <t>1313</t>
        </is>
      </c>
      <c r="J52" s="4"/>
      <c r="K52" s="2">
        <v>30</v>
      </c>
      <c r="L52" s="6"/>
      <c r="M52" s="2" t="str">
        <f>IF(J52="",ROUND(I52*(1-IF(ISBLANK(L52),K52,L52)/100),2),ROUND(J52*(1-IF(ISBLANK(L52),K52,L52)/100),2))</f>
      </c>
      <c r="N52" s="7" t="str">
        <f>IF(NOT(AND(J52="",L52="")),IF(OR(AND(L52&lt;&gt;"",NOT(ISNUMBER(L52))),IFERROR(MOD(L52,1),1)&gt;0,AND(ISNUMBER(L52),OR(L52&lt;0,L52&gt;95))),"Введите целое число от 0 до 95",IF(OR(AND(J52&lt;&gt;"",NOT(ISNUMBER(J52))),IFERROR(MOD(J52,1),1)&gt;0,AND(ISNUMBER(J52),OR(J52&lt;50,J52&gt;20000000))),"Введите целое число от 50 до 20000000",IF(NOT(ABS(IFERROR(VALUE(LEFT(M52,FIND("-",M52)-1)),M52)*100-(2500+2000000000)/2)&lt;=ABS(2500-2000000000)/2),"Цена со скидкой должна быть от 25 до 20000000",IF(AND(IFERROR(VALUE(LEFT(M52,FIND("-",M52)-1)),M52)*150&lt;=91909,IFERROR(VALUE(LEFT(M52,FIND("-",M52)-1)),M52)*200&gt;91909),"Вы уменьшили цену в несколько раз, товар попадет в карантин цен",IF(IFERROR(VALUE(LEFT(M52,FIND("-",M52)-1)),M52)*200&lt;=91909,"Не сохранили изменения, чтобы защитить от ошибки — новые цены меньше текущих более чем в 2 раза. Снижайте их постепенно",IF(AND(IFERROR(VALUE(I52),0)=0,ISNUMBER(J52),OR(J52&lt;243,ABS(IFERROR(VALUE(LEFT(M52,FIND("-",M52)-1)),M52))*100&lt;24300)),"Проверьте цену товара. Большинство товаров в выбранной категории стоят дороже 243","")))))),"")</f>
      </c>
    </row>
    <row r="53">
      <c r="A53" s="2" t="inlineStr">
        <is>
          <t>AROLS</t>
        </is>
      </c>
      <c r="B53" s="2" t="inlineStr">
        <is>
          <t>Массажеры механические</t>
        </is>
      </c>
      <c r="C53" s="2">
        <v>223420736</v>
      </c>
      <c r="D53" s="2" t="inlineStr">
        <is>
          <t>ACRB1MS101RJ</t>
        </is>
      </c>
      <c r="E53" s="2" t="inlineStr">
        <is>
          <t>2039813223373</t>
        </is>
      </c>
      <c r="F53" s="2">
        <v>56</v>
      </c>
      <c r="G53" s="2">
        <v>0</v>
      </c>
      <c r="H53" s="2">
        <v>224</v>
      </c>
      <c r="I53" s="2" t="inlineStr">
        <is>
          <t>1313</t>
        </is>
      </c>
      <c r="J53" s="4"/>
      <c r="K53" s="2">
        <v>54</v>
      </c>
      <c r="L53" s="6"/>
      <c r="M53" s="2" t="str">
        <f>IF(J53="",ROUND(I53*(1-IF(ISBLANK(L53),K53,L53)/100),2),ROUND(J53*(1-IF(ISBLANK(L53),K53,L53)/100),2))</f>
      </c>
      <c r="N53" s="7" t="str">
        <f>IF(NOT(AND(J53="",L53="")),IF(OR(AND(L53&lt;&gt;"",NOT(ISNUMBER(L53))),IFERROR(MOD(L53,1),1)&gt;0,AND(ISNUMBER(L53),OR(L53&lt;0,L53&gt;95))),"Введите целое число от 0 до 95",IF(OR(AND(J53&lt;&gt;"",NOT(ISNUMBER(J53))),IFERROR(MOD(J53,1),1)&gt;0,AND(ISNUMBER(J53),OR(J53&lt;50,J53&gt;20000000))),"Введите целое число от 50 до 20000000",IF(NOT(ABS(IFERROR(VALUE(LEFT(M53,FIND("-",M53)-1)),M53)*100-(2500+2000000000)/2)&lt;=ABS(2500-2000000000)/2),"Цена со скидкой должна быть от 25 до 20000000",IF(AND(IFERROR(VALUE(LEFT(M53,FIND("-",M53)-1)),M53)*150&lt;=60397,IFERROR(VALUE(LEFT(M53,FIND("-",M53)-1)),M53)*200&gt;60397),"Вы уменьшили цену в несколько раз, товар попадет в карантин цен",IF(IFERROR(VALUE(LEFT(M53,FIND("-",M53)-1)),M53)*200&lt;=60397,"Не сохранили изменения, чтобы защитить от ошибки — новые цены меньше текущих более чем в 2 раза. Снижайте их постепенно",IF(AND(IFERROR(VALUE(I53),0)=0,ISNUMBER(J53),OR(J53&lt;243,ABS(IFERROR(VALUE(LEFT(M53,FIND("-",M53)-1)),M53))*100&lt;24300)),"Проверьте цену товара. Большинство товаров в выбранной категории стоят дороже 243","")))))),"")</f>
      </c>
    </row>
    <row r="54">
      <c r="A54" s="2" t="inlineStr">
        <is>
          <t>AROLS</t>
        </is>
      </c>
      <c r="B54" s="2" t="inlineStr">
        <is>
          <t>Массажеры механические</t>
        </is>
      </c>
      <c r="C54" s="2">
        <v>340743911</v>
      </c>
      <c r="D54" s="2" t="inlineStr">
        <is>
          <t>ACRB1MS103RJ</t>
        </is>
      </c>
      <c r="E54" s="2" t="inlineStr">
        <is>
          <t>2042986377583</t>
        </is>
      </c>
      <c r="F54" s="2">
        <v>14</v>
      </c>
      <c r="G54" s="2">
        <v>0</v>
      </c>
      <c r="H54" s="2">
        <v>999</v>
      </c>
      <c r="I54" s="2" t="inlineStr">
        <is>
          <t>741</t>
        </is>
      </c>
      <c r="J54" s="4"/>
      <c r="K54" s="2">
        <v>51</v>
      </c>
      <c r="L54" s="6"/>
      <c r="M54" s="2" t="str">
        <f>IF(J54="",ROUND(I54*(1-IF(ISBLANK(L54),K54,L54)/100),2),ROUND(J54*(1-IF(ISBLANK(L54),K54,L54)/100),2))</f>
      </c>
      <c r="N54" s="7" t="str">
        <f>IF(NOT(AND(J54="",L54="")),IF(OR(AND(L54&lt;&gt;"",NOT(ISNUMBER(L54))),IFERROR(MOD(L54,1),1)&gt;0,AND(ISNUMBER(L54),OR(L54&lt;0,L54&gt;95))),"Введите целое число от 0 до 95",IF(OR(AND(J54&lt;&gt;"",NOT(ISNUMBER(J54))),IFERROR(MOD(J54,1),1)&gt;0,AND(ISNUMBER(J54),OR(J54&lt;50,J54&gt;20000000))),"Введите целое число от 50 до 20000000",IF(NOT(ABS(IFERROR(VALUE(LEFT(M54,FIND("-",M54)-1)),M54)*100-(2500+2000000000)/2)&lt;=ABS(2500-2000000000)/2),"Цена со скидкой должна быть от 25 до 20000000",IF(AND(IFERROR(VALUE(LEFT(M54,FIND("-",M54)-1)),M54)*150&lt;=36309,IFERROR(VALUE(LEFT(M54,FIND("-",M54)-1)),M54)*200&gt;36309),"Вы уменьшили цену в несколько раз, товар попадет в карантин цен",IF(IFERROR(VALUE(LEFT(M54,FIND("-",M54)-1)),M54)*200&lt;=36309,"Не сохранили изменения, чтобы защитить от ошибки — новые цены меньше текущих более чем в 2 раза. Снижайте их постепенно",IF(AND(IFERROR(VALUE(I54),0)=0,ISNUMBER(J54),OR(J54&lt;243,ABS(IFERROR(VALUE(LEFT(M54,FIND("-",M54)-1)),M54))*100&lt;24300)),"Проверьте цену товара. Большинство товаров в выбранной категории стоят дороже 243","")))))),"")</f>
      </c>
    </row>
    <row r="55">
      <c r="A55" s="2" t="inlineStr">
        <is>
          <t>AROLS</t>
        </is>
      </c>
      <c r="B55" s="2" t="inlineStr">
        <is>
          <t>Массажеры механические</t>
        </is>
      </c>
      <c r="C55" s="2">
        <v>419145985</v>
      </c>
      <c r="D55" s="2" t="inlineStr">
        <is>
          <t>ACRB1MS107BС</t>
        </is>
      </c>
      <c r="E55" s="2" t="inlineStr">
        <is>
          <t>2044025344532</t>
        </is>
      </c>
      <c r="F55" s="2">
        <v>91</v>
      </c>
      <c r="G55" s="2">
        <v>0</v>
      </c>
      <c r="H55" s="2">
        <v>999</v>
      </c>
      <c r="I55" s="2" t="inlineStr">
        <is>
          <t>930</t>
        </is>
      </c>
      <c r="J55" s="4"/>
      <c r="K55" s="2">
        <v>55</v>
      </c>
      <c r="L55" s="6"/>
      <c r="M55" s="2" t="str">
        <f>IF(J55="",ROUND(I55*(1-IF(ISBLANK(L55),K55,L55)/100),2),ROUND(J55*(1-IF(ISBLANK(L55),K55,L55)/100),2))</f>
      </c>
      <c r="N55" s="7" t="str">
        <f>IF(NOT(AND(J55="",L55="")),IF(OR(AND(L55&lt;&gt;"",NOT(ISNUMBER(L55))),IFERROR(MOD(L55,1),1)&gt;0,AND(ISNUMBER(L55),OR(L55&lt;0,L55&gt;95))),"Введите целое число от 0 до 95",IF(OR(AND(J55&lt;&gt;"",NOT(ISNUMBER(J55))),IFERROR(MOD(J55,1),1)&gt;0,AND(ISNUMBER(J55),OR(J55&lt;50,J55&gt;20000000))),"Введите целое число от 50 до 20000000",IF(NOT(ABS(IFERROR(VALUE(LEFT(M55,FIND("-",M55)-1)),M55)*100-(2500+2000000000)/2)&lt;=ABS(2500-2000000000)/2),"Цена со скидкой должна быть от 25 до 20000000",IF(AND(IFERROR(VALUE(LEFT(M55,FIND("-",M55)-1)),M55)*150&lt;=41849,IFERROR(VALUE(LEFT(M55,FIND("-",M55)-1)),M55)*200&gt;41849),"Вы уменьшили цену в несколько раз, товар попадет в карантин цен",IF(IFERROR(VALUE(LEFT(M55,FIND("-",M55)-1)),M55)*200&lt;=41849,"Не сохранили изменения, чтобы защитить от ошибки — новые цены меньше текущих более чем в 2 раза. Снижайте их постепенно",IF(AND(IFERROR(VALUE(I55),0)=0,ISNUMBER(J55),OR(J55&lt;243,ABS(IFERROR(VALUE(LEFT(M55,FIND("-",M55)-1)),M55))*100&lt;24300)),"Проверьте цену товара. Большинство товаров в выбранной категории стоят дороже 243","")))))),"")</f>
      </c>
    </row>
    <row r="56">
      <c r="A56" s="2" t="inlineStr">
        <is>
          <t>AROLS</t>
        </is>
      </c>
      <c r="B56" s="2" t="inlineStr">
        <is>
          <t>Массажеры механические</t>
        </is>
      </c>
      <c r="C56" s="2">
        <v>419145389</v>
      </c>
      <c r="D56" s="2" t="inlineStr">
        <is>
          <t>ACRB1MS107PN</t>
        </is>
      </c>
      <c r="E56" s="2" t="inlineStr">
        <is>
          <t>2044025316447</t>
        </is>
      </c>
      <c r="F56" s="2">
        <v>117</v>
      </c>
      <c r="G56" s="2">
        <v>0</v>
      </c>
      <c r="H56" s="2">
        <v>347</v>
      </c>
      <c r="I56" s="2" t="inlineStr">
        <is>
          <t>884</t>
        </is>
      </c>
      <c r="J56" s="4"/>
      <c r="K56" s="2">
        <v>56</v>
      </c>
      <c r="L56" s="6"/>
      <c r="M56" s="2" t="str">
        <f>IF(J56="",ROUND(I56*(1-IF(ISBLANK(L56),K56,L56)/100),2),ROUND(J56*(1-IF(ISBLANK(L56),K56,L56)/100),2))</f>
      </c>
      <c r="N56" s="7" t="str">
        <f>IF(NOT(AND(J56="",L56="")),IF(OR(AND(L56&lt;&gt;"",NOT(ISNUMBER(L56))),IFERROR(MOD(L56,1),1)&gt;0,AND(ISNUMBER(L56),OR(L56&lt;0,L56&gt;95))),"Введите целое число от 0 до 95",IF(OR(AND(J56&lt;&gt;"",NOT(ISNUMBER(J56))),IFERROR(MOD(J56,1),1)&gt;0,AND(ISNUMBER(J56),OR(J56&lt;50,J56&gt;20000000))),"Введите целое число от 50 до 20000000",IF(NOT(ABS(IFERROR(VALUE(LEFT(M56,FIND("-",M56)-1)),M56)*100-(2500+2000000000)/2)&lt;=ABS(2500-2000000000)/2),"Цена со скидкой должна быть от 25 до 20000000",IF(AND(IFERROR(VALUE(LEFT(M56,FIND("-",M56)-1)),M56)*150&lt;=38896,IFERROR(VALUE(LEFT(M56,FIND("-",M56)-1)),M56)*200&gt;38896),"Вы уменьшили цену в несколько раз, товар попадет в карантин цен",IF(IFERROR(VALUE(LEFT(M56,FIND("-",M56)-1)),M56)*200&lt;=38896,"Не сохранили изменения, чтобы защитить от ошибки — новые цены меньше текущих более чем в 2 раза. Снижайте их постепенно",IF(AND(IFERROR(VALUE(I56),0)=0,ISNUMBER(J56),OR(J56&lt;243,ABS(IFERROR(VALUE(LEFT(M56,FIND("-",M56)-1)),M56))*100&lt;24300)),"Проверьте цену товара. Большинство товаров в выбранной категории стоят дороже 243","")))))),"")</f>
      </c>
    </row>
    <row r="57">
      <c r="A57" s="2" t="inlineStr">
        <is>
          <t>AROLS</t>
        </is>
      </c>
      <c r="B57" s="2" t="inlineStr">
        <is>
          <t>Массажеры механические</t>
        </is>
      </c>
      <c r="C57" s="2">
        <v>275208801</v>
      </c>
      <c r="D57" s="2" t="inlineStr">
        <is>
          <t>ACRB1MS101PN</t>
        </is>
      </c>
      <c r="E57" s="2" t="inlineStr">
        <is>
          <t>2041591042329</t>
        </is>
      </c>
      <c r="F57" s="2">
        <v>60</v>
      </c>
      <c r="G57" s="2">
        <v>0</v>
      </c>
      <c r="H57" s="2">
        <v>340</v>
      </c>
      <c r="I57" s="2" t="inlineStr">
        <is>
          <t>1220</t>
        </is>
      </c>
      <c r="J57" s="4"/>
      <c r="K57" s="2">
        <v>56</v>
      </c>
      <c r="L57" s="6"/>
      <c r="M57" s="2" t="str">
        <f>IF(J57="",ROUND(I57*(1-IF(ISBLANK(L57),K57,L57)/100),2),ROUND(J57*(1-IF(ISBLANK(L57),K57,L57)/100),2))</f>
      </c>
      <c r="N57" s="7" t="str">
        <f>IF(NOT(AND(J57="",L57="")),IF(OR(AND(L57&lt;&gt;"",NOT(ISNUMBER(L57))),IFERROR(MOD(L57,1),1)&gt;0,AND(ISNUMBER(L57),OR(L57&lt;0,L57&gt;95))),"Введите целое число от 0 до 95",IF(OR(AND(J57&lt;&gt;"",NOT(ISNUMBER(J57))),IFERROR(MOD(J57,1),1)&gt;0,AND(ISNUMBER(J57),OR(J57&lt;50,J57&gt;20000000))),"Введите целое число от 50 до 20000000",IF(NOT(ABS(IFERROR(VALUE(LEFT(M57,FIND("-",M57)-1)),M57)*100-(2500+2000000000)/2)&lt;=ABS(2500-2000000000)/2),"Цена со скидкой должна быть от 25 до 20000000",IF(AND(IFERROR(VALUE(LEFT(M57,FIND("-",M57)-1)),M57)*150&lt;=53679,IFERROR(VALUE(LEFT(M57,FIND("-",M57)-1)),M57)*200&gt;53679),"Вы уменьшили цену в несколько раз, товар попадет в карантин цен",IF(IFERROR(VALUE(LEFT(M57,FIND("-",M57)-1)),M57)*200&lt;=53679,"Не сохранили изменения, чтобы защитить от ошибки — новые цены меньше текущих более чем в 2 раза. Снижайте их постепенно",IF(AND(IFERROR(VALUE(I57),0)=0,ISNUMBER(J57),OR(J57&lt;243,ABS(IFERROR(VALUE(LEFT(M57,FIND("-",M57)-1)),M57))*100&lt;24300)),"Проверьте цену товара. Большинство товаров в выбранной категории стоят дороже 243","")))))),"")</f>
      </c>
    </row>
    <row r="58">
      <c r="A58" s="2" t="inlineStr">
        <is>
          <t>AROLS</t>
        </is>
      </c>
      <c r="B58" s="2" t="inlineStr">
        <is>
          <t>Массажеры механические</t>
        </is>
      </c>
      <c r="C58" s="2">
        <v>419145748</v>
      </c>
      <c r="D58" s="2" t="inlineStr">
        <is>
          <t>ACRB1MS107BL</t>
        </is>
      </c>
      <c r="E58" s="2" t="inlineStr">
        <is>
          <t>2044025338661</t>
        </is>
      </c>
      <c r="F58" s="2">
        <v>109</v>
      </c>
      <c r="G58" s="2">
        <v>0</v>
      </c>
      <c r="H58" s="2">
        <v>999</v>
      </c>
      <c r="I58" s="2" t="inlineStr">
        <is>
          <t>940</t>
        </is>
      </c>
      <c r="J58" s="4"/>
      <c r="K58" s="2">
        <v>54</v>
      </c>
      <c r="L58" s="6"/>
      <c r="M58" s="2" t="str">
        <f>IF(J58="",ROUND(I58*(1-IF(ISBLANK(L58),K58,L58)/100),2),ROUND(J58*(1-IF(ISBLANK(L58),K58,L58)/100),2))</f>
      </c>
      <c r="N58" s="7" t="str">
        <f>IF(NOT(AND(J58="",L58="")),IF(OR(AND(L58&lt;&gt;"",NOT(ISNUMBER(L58))),IFERROR(MOD(L58,1),1)&gt;0,AND(ISNUMBER(L58),OR(L58&lt;0,L58&gt;95))),"Введите целое число от 0 до 95",IF(OR(AND(J58&lt;&gt;"",NOT(ISNUMBER(J58))),IFERROR(MOD(J58,1),1)&gt;0,AND(ISNUMBER(J58),OR(J58&lt;50,J58&gt;20000000))),"Введите целое число от 50 до 20000000",IF(NOT(ABS(IFERROR(VALUE(LEFT(M58,FIND("-",M58)-1)),M58)*100-(2500+2000000000)/2)&lt;=ABS(2500-2000000000)/2),"Цена со скидкой должна быть от 25 до 20000000",IF(AND(IFERROR(VALUE(LEFT(M58,FIND("-",M58)-1)),M58)*150&lt;=43240,IFERROR(VALUE(LEFT(M58,FIND("-",M58)-1)),M58)*200&gt;43240),"Вы уменьшили цену в несколько раз, товар попадет в карантин цен",IF(IFERROR(VALUE(LEFT(M58,FIND("-",M58)-1)),M58)*200&lt;=43240,"Не сохранили изменения, чтобы защитить от ошибки — новые цены меньше текущих более чем в 2 раза. Снижайте их постепенно",IF(AND(IFERROR(VALUE(I58),0)=0,ISNUMBER(J58),OR(J58&lt;243,ABS(IFERROR(VALUE(LEFT(M58,FIND("-",M58)-1)),M58))*100&lt;24300)),"Проверьте цену товара. Большинство товаров в выбранной категории стоят дороже 243","")))))),"")</f>
      </c>
    </row>
    <row r="59">
      <c r="A59" s="2" t="inlineStr">
        <is>
          <t>AROLS</t>
        </is>
      </c>
      <c r="B59" s="2" t="inlineStr">
        <is>
          <t>Массажеры механические</t>
        </is>
      </c>
      <c r="C59" s="2">
        <v>340743352</v>
      </c>
      <c r="D59" s="2" t="inlineStr">
        <is>
          <t>ACRB1MS103LI</t>
        </is>
      </c>
      <c r="E59" s="2" t="inlineStr">
        <is>
          <t>2042986372359</t>
        </is>
      </c>
      <c r="F59" s="2">
        <v>27</v>
      </c>
      <c r="G59" s="2">
        <v>0</v>
      </c>
      <c r="H59" s="2">
        <v>222</v>
      </c>
      <c r="I59" s="2" t="inlineStr">
        <is>
          <t>741</t>
        </is>
      </c>
      <c r="J59" s="4"/>
      <c r="K59" s="2">
        <v>53</v>
      </c>
      <c r="L59" s="6"/>
      <c r="M59" s="2" t="str">
        <f>IF(J59="",ROUND(I59*(1-IF(ISBLANK(L59),K59,L59)/100),2),ROUND(J59*(1-IF(ISBLANK(L59),K59,L59)/100),2))</f>
      </c>
      <c r="N59" s="7" t="str">
        <f>IF(NOT(AND(J59="",L59="")),IF(OR(AND(L59&lt;&gt;"",NOT(ISNUMBER(L59))),IFERROR(MOD(L59,1),1)&gt;0,AND(ISNUMBER(L59),OR(L59&lt;0,L59&gt;95))),"Введите целое число от 0 до 95",IF(OR(AND(J59&lt;&gt;"",NOT(ISNUMBER(J59))),IFERROR(MOD(J59,1),1)&gt;0,AND(ISNUMBER(J59),OR(J59&lt;50,J59&gt;20000000))),"Введите целое число от 50 до 20000000",IF(NOT(ABS(IFERROR(VALUE(LEFT(M59,FIND("-",M59)-1)),M59)*100-(2500+2000000000)/2)&lt;=ABS(2500-2000000000)/2),"Цена со скидкой должна быть от 25 до 20000000",IF(AND(IFERROR(VALUE(LEFT(M59,FIND("-",M59)-1)),M59)*150&lt;=34827,IFERROR(VALUE(LEFT(M59,FIND("-",M59)-1)),M59)*200&gt;34827),"Вы уменьшили цену в несколько раз, товар попадет в карантин цен",IF(IFERROR(VALUE(LEFT(M59,FIND("-",M59)-1)),M59)*200&lt;=34827,"Не сохранили изменения, чтобы защитить от ошибки — новые цены меньше текущих более чем в 2 раза. Снижайте их постепенно",IF(AND(IFERROR(VALUE(I59),0)=0,ISNUMBER(J59),OR(J59&lt;243,ABS(IFERROR(VALUE(LEFT(M59,FIND("-",M59)-1)),M59))*100&lt;24300)),"Проверьте цену товара. Большинство товаров в выбранной категории стоят дороже 243","")))))),"")</f>
      </c>
    </row>
    <row r="60">
      <c r="A60" s="2" t="inlineStr">
        <is>
          <t>AROLS</t>
        </is>
      </c>
      <c r="B60" s="2" t="inlineStr">
        <is>
          <t>Массажеры механические</t>
        </is>
      </c>
      <c r="C60" s="2">
        <v>419141548</v>
      </c>
      <c r="D60" s="2" t="inlineStr">
        <is>
          <t>ACRB1MS107RJ</t>
        </is>
      </c>
      <c r="E60" s="2" t="inlineStr">
        <is>
          <t>2044025288003</t>
        </is>
      </c>
      <c r="F60" s="2">
        <v>77</v>
      </c>
      <c r="G60" s="2">
        <v>0</v>
      </c>
      <c r="H60" s="2">
        <v>416</v>
      </c>
      <c r="I60" s="2" t="inlineStr">
        <is>
          <t>884</t>
        </is>
      </c>
      <c r="J60" s="4"/>
      <c r="K60" s="2">
        <v>53</v>
      </c>
      <c r="L60" s="6"/>
      <c r="M60" s="2" t="str">
        <f>IF(J60="",ROUND(I60*(1-IF(ISBLANK(L60),K60,L60)/100),2),ROUND(J60*(1-IF(ISBLANK(L60),K60,L60)/100),2))</f>
      </c>
      <c r="N60" s="7" t="str">
        <f>IF(NOT(AND(J60="",L60="")),IF(OR(AND(L60&lt;&gt;"",NOT(ISNUMBER(L60))),IFERROR(MOD(L60,1),1)&gt;0,AND(ISNUMBER(L60),OR(L60&lt;0,L60&gt;95))),"Введите целое число от 0 до 95",IF(OR(AND(J60&lt;&gt;"",NOT(ISNUMBER(J60))),IFERROR(MOD(J60,1),1)&gt;0,AND(ISNUMBER(J60),OR(J60&lt;50,J60&gt;20000000))),"Введите целое число от 50 до 20000000",IF(NOT(ABS(IFERROR(VALUE(LEFT(M60,FIND("-",M60)-1)),M60)*100-(2500+2000000000)/2)&lt;=ABS(2500-2000000000)/2),"Цена со скидкой должна быть от 25 до 20000000",IF(AND(IFERROR(VALUE(LEFT(M60,FIND("-",M60)-1)),M60)*150&lt;=41547,IFERROR(VALUE(LEFT(M60,FIND("-",M60)-1)),M60)*200&gt;41547),"Вы уменьшили цену в несколько раз, товар попадет в карантин цен",IF(IFERROR(VALUE(LEFT(M60,FIND("-",M60)-1)),M60)*200&lt;=41547,"Не сохранили изменения, чтобы защитить от ошибки — новые цены меньше текущих более чем в 2 раза. Снижайте их постепенно",IF(AND(IFERROR(VALUE(I60),0)=0,ISNUMBER(J60),OR(J60&lt;243,ABS(IFERROR(VALUE(LEFT(M60,FIND("-",M60)-1)),M60))*100&lt;24300)),"Проверьте цену товара. Большинство товаров в выбранной категории стоят дороже 243","")))))),"")</f>
      </c>
    </row>
    <row r="61">
      <c r="A61" s="2" t="inlineStr">
        <is>
          <t>AROLS</t>
        </is>
      </c>
      <c r="B61" s="2" t="inlineStr">
        <is>
          <t>Массажеры механические</t>
        </is>
      </c>
      <c r="C61" s="2">
        <v>419145391</v>
      </c>
      <c r="D61" s="2" t="inlineStr">
        <is>
          <t>ACRB1MS107WH</t>
        </is>
      </c>
      <c r="E61" s="2" t="inlineStr">
        <is>
          <t>2044025326637</t>
        </is>
      </c>
      <c r="F61" s="2">
        <v>299</v>
      </c>
      <c r="G61" s="2">
        <v>0</v>
      </c>
      <c r="H61" s="2">
        <v>999</v>
      </c>
      <c r="I61" s="2" t="inlineStr">
        <is>
          <t>884</t>
        </is>
      </c>
      <c r="J61" s="4"/>
      <c r="K61" s="2">
        <v>30</v>
      </c>
      <c r="L61" s="6"/>
      <c r="M61" s="2" t="str">
        <f>IF(J61="",ROUND(I61*(1-IF(ISBLANK(L61),K61,L61)/100),2),ROUND(J61*(1-IF(ISBLANK(L61),K61,L61)/100),2))</f>
      </c>
      <c r="N61" s="7" t="str">
        <f>IF(NOT(AND(J61="",L61="")),IF(OR(AND(L61&lt;&gt;"",NOT(ISNUMBER(L61))),IFERROR(MOD(L61,1),1)&gt;0,AND(ISNUMBER(L61),OR(L61&lt;0,L61&gt;95))),"Введите целое число от 0 до 95",IF(OR(AND(J61&lt;&gt;"",NOT(ISNUMBER(J61))),IFERROR(MOD(J61,1),1)&gt;0,AND(ISNUMBER(J61),OR(J61&lt;50,J61&gt;20000000))),"Введите целое число от 50 до 20000000",IF(NOT(ABS(IFERROR(VALUE(LEFT(M61,FIND("-",M61)-1)),M61)*100-(2500+2000000000)/2)&lt;=ABS(2500-2000000000)/2),"Цена со скидкой должна быть от 25 до 20000000",IF(AND(IFERROR(VALUE(LEFT(M61,FIND("-",M61)-1)),M61)*150&lt;=61879,IFERROR(VALUE(LEFT(M61,FIND("-",M61)-1)),M61)*200&gt;61879),"Вы уменьшили цену в несколько раз, товар попадет в карантин цен",IF(IFERROR(VALUE(LEFT(M61,FIND("-",M61)-1)),M61)*200&lt;=61879,"Не сохранили изменения, чтобы защитить от ошибки — новые цены меньше текущих более чем в 2 раза. Снижайте их постепенно",IF(AND(IFERROR(VALUE(I61),0)=0,ISNUMBER(J61),OR(J61&lt;243,ABS(IFERROR(VALUE(LEFT(M61,FIND("-",M61)-1)),M61))*100&lt;24300)),"Проверьте цену товара. Большинство товаров в выбранной категории стоят дороже 243","")))))),"")</f>
      </c>
    </row>
    <row r="62">
      <c r="A62" s="2" t="inlineStr">
        <is>
          <t>AROLS HOME</t>
        </is>
      </c>
      <c r="B62" s="2" t="inlineStr">
        <is>
          <t>Мешки для стирки</t>
        </is>
      </c>
      <c r="C62" s="2">
        <v>236929188</v>
      </c>
      <c r="D62" s="2" t="inlineStr">
        <is>
          <t>AHMA1BW111WH</t>
        </is>
      </c>
      <c r="E62" s="2" t="inlineStr">
        <is>
          <t>2040335648124</t>
        </is>
      </c>
      <c r="F62" s="2">
        <v>131</v>
      </c>
      <c r="G62" s="2">
        <v>0</v>
      </c>
      <c r="H62" s="2">
        <v>999</v>
      </c>
      <c r="I62" s="2" t="inlineStr">
        <is>
          <t>956</t>
        </is>
      </c>
      <c r="J62" s="4"/>
      <c r="K62" s="2">
        <v>30</v>
      </c>
      <c r="L62" s="6"/>
      <c r="M62" s="2" t="str">
        <f>IF(J62="",ROUND(I62*(1-IF(ISBLANK(L62),K62,L62)/100),2),ROUND(J62*(1-IF(ISBLANK(L62),K62,L62)/100),2))</f>
      </c>
      <c r="N62" s="7" t="str">
        <f>IF(NOT(AND(J62="",L62="")),IF(OR(AND(L62&lt;&gt;"",NOT(ISNUMBER(L62))),IFERROR(MOD(L62,1),1)&gt;0,AND(ISNUMBER(L62),OR(L62&lt;0,L62&gt;95))),"Введите целое число от 0 до 95",IF(OR(AND(J62&lt;&gt;"",NOT(ISNUMBER(J62))),IFERROR(MOD(J62,1),1)&gt;0,AND(ISNUMBER(J62),OR(J62&lt;50,J62&gt;20000000))),"Введите целое число от 50 до 20000000",IF(NOT(ABS(IFERROR(VALUE(LEFT(M62,FIND("-",M62)-1)),M62)*100-(2500+2000000000)/2)&lt;=ABS(2500-2000000000)/2),"Цена со скидкой должна быть от 25 до 20000000",IF(AND(IFERROR(VALUE(LEFT(M62,FIND("-",M62)-1)),M62)*150&lt;=66920,IFERROR(VALUE(LEFT(M62,FIND("-",M62)-1)),M62)*200&gt;66920),"Вы уменьшили цену в несколько раз, товар попадет в карантин цен",IF(IFERROR(VALUE(LEFT(M62,FIND("-",M62)-1)),M62)*200&lt;=66920,"Не сохранили изменения, чтобы защитить от ошибки — новые цены меньше текущих более чем в 2 раза. Снижайте их постепенно",IF(AND(IFERROR(VALUE(I62),0)=0,ISNUMBER(J62),OR(J62&lt;284,ABS(IFERROR(VALUE(LEFT(M62,FIND("-",M62)-1)),M62))*100&lt;28400)),"Проверьте цену товара. Большинство товаров в выбранной категории стоят дороже 284","")))))),"")</f>
      </c>
    </row>
    <row r="63">
      <c r="A63" s="2" t="inlineStr">
        <is>
          <t>AROLS</t>
        </is>
      </c>
      <c r="B63" s="2" t="inlineStr">
        <is>
          <t>Массажеры механические</t>
        </is>
      </c>
      <c r="C63" s="2">
        <v>340741532</v>
      </c>
      <c r="D63" s="2" t="inlineStr">
        <is>
          <t>ACRB1MS103BL</t>
        </is>
      </c>
      <c r="E63" s="2" t="inlineStr">
        <is>
          <t>2042986356632</t>
        </is>
      </c>
      <c r="F63" s="2">
        <v>60</v>
      </c>
      <c r="G63" s="2">
        <v>0</v>
      </c>
      <c r="H63" s="2">
        <v>999</v>
      </c>
      <c r="I63" s="2" t="inlineStr">
        <is>
          <t>741</t>
        </is>
      </c>
      <c r="J63" s="4"/>
      <c r="K63" s="2">
        <v>53</v>
      </c>
      <c r="L63" s="6"/>
      <c r="M63" s="2" t="str">
        <f>IF(J63="",ROUND(I63*(1-IF(ISBLANK(L63),K63,L63)/100),2),ROUND(J63*(1-IF(ISBLANK(L63),K63,L63)/100),2))</f>
      </c>
      <c r="N63" s="7" t="str">
        <f>IF(NOT(AND(J63="",L63="")),IF(OR(AND(L63&lt;&gt;"",NOT(ISNUMBER(L63))),IFERROR(MOD(L63,1),1)&gt;0,AND(ISNUMBER(L63),OR(L63&lt;0,L63&gt;95))),"Введите целое число от 0 до 95",IF(OR(AND(J63&lt;&gt;"",NOT(ISNUMBER(J63))),IFERROR(MOD(J63,1),1)&gt;0,AND(ISNUMBER(J63),OR(J63&lt;50,J63&gt;20000000))),"Введите целое число от 50 до 20000000",IF(NOT(ABS(IFERROR(VALUE(LEFT(M63,FIND("-",M63)-1)),M63)*100-(2500+2000000000)/2)&lt;=ABS(2500-2000000000)/2),"Цена со скидкой должна быть от 25 до 20000000",IF(AND(IFERROR(VALUE(LEFT(M63,FIND("-",M63)-1)),M63)*150&lt;=34827,IFERROR(VALUE(LEFT(M63,FIND("-",M63)-1)),M63)*200&gt;34827),"Вы уменьшили цену в несколько раз, товар попадет в карантин цен",IF(IFERROR(VALUE(LEFT(M63,FIND("-",M63)-1)),M63)*200&lt;=34827,"Не сохранили изменения, чтобы защитить от ошибки — новые цены меньше текущих более чем в 2 раза. Снижайте их постепенно",IF(AND(IFERROR(VALUE(I63),0)=0,ISNUMBER(J63),OR(J63&lt;243,ABS(IFERROR(VALUE(LEFT(M63,FIND("-",M63)-1)),M63))*100&lt;24300)),"Проверьте цену товара. Большинство товаров в выбранной категории стоят дороже 243","")))))),"")</f>
      </c>
    </row>
    <row r="64">
      <c r="A64" s="2" t="inlineStr">
        <is>
          <t>AROLS HOME</t>
        </is>
      </c>
      <c r="B64" s="2" t="inlineStr">
        <is>
          <t>Мешки для стирки</t>
        </is>
      </c>
      <c r="C64" s="2">
        <v>236074677</v>
      </c>
      <c r="D64" s="2" t="inlineStr">
        <is>
          <t>AHMA2BW202WH</t>
        </is>
      </c>
      <c r="E64" s="2" t="inlineStr">
        <is>
          <t>2040278862540</t>
        </is>
      </c>
      <c r="F64" s="2">
        <v>19</v>
      </c>
      <c r="G64" s="2">
        <v>0</v>
      </c>
      <c r="H64" s="2">
        <v>158</v>
      </c>
      <c r="I64" s="2" t="inlineStr">
        <is>
          <t>1084</t>
        </is>
      </c>
      <c r="J64" s="4"/>
      <c r="K64" s="2">
        <v>47</v>
      </c>
      <c r="L64" s="6"/>
      <c r="M64" s="2" t="str">
        <f>IF(J64="",ROUND(I64*(1-IF(ISBLANK(L64),K64,L64)/100),2),ROUND(J64*(1-IF(ISBLANK(L64),K64,L64)/100),2))</f>
      </c>
      <c r="N64" s="7" t="str">
        <f>IF(NOT(AND(J64="",L64="")),IF(OR(AND(L64&lt;&gt;"",NOT(ISNUMBER(L64))),IFERROR(MOD(L64,1),1)&gt;0,AND(ISNUMBER(L64),OR(L64&lt;0,L64&gt;95))),"Введите целое число от 0 до 95",IF(OR(AND(J64&lt;&gt;"",NOT(ISNUMBER(J64))),IFERROR(MOD(J64,1),1)&gt;0,AND(ISNUMBER(J64),OR(J64&lt;50,J64&gt;20000000))),"Введите целое число от 50 до 20000000",IF(NOT(ABS(IFERROR(VALUE(LEFT(M64,FIND("-",M64)-1)),M64)*100-(2500+2000000000)/2)&lt;=ABS(2500-2000000000)/2),"Цена со скидкой должна быть от 25 до 20000000",IF(AND(IFERROR(VALUE(LEFT(M64,FIND("-",M64)-1)),M64)*150&lt;=57452,IFERROR(VALUE(LEFT(M64,FIND("-",M64)-1)),M64)*200&gt;57452),"Вы уменьшили цену в несколько раз, товар попадет в карантин цен",IF(IFERROR(VALUE(LEFT(M64,FIND("-",M64)-1)),M64)*200&lt;=57452,"Не сохранили изменения, чтобы защитить от ошибки — новые цены меньше текущих более чем в 2 раза. Снижайте их постепенно",IF(AND(IFERROR(VALUE(I64),0)=0,ISNUMBER(J64),OR(J64&lt;284,ABS(IFERROR(VALUE(LEFT(M64,FIND("-",M64)-1)),M64))*100&lt;28400)),"Проверьте цену товара. Большинство товаров в выбранной категории стоят дороже 284","")))))),"")</f>
      </c>
    </row>
    <row r="65">
      <c r="A65" s="2" t="inlineStr">
        <is>
          <t>AROLS HOME</t>
        </is>
      </c>
      <c r="B65" s="2" t="inlineStr">
        <is>
          <t>Мешки для стирки</t>
        </is>
      </c>
      <c r="C65" s="2">
        <v>273513216</v>
      </c>
      <c r="D65" s="2" t="inlineStr">
        <is>
          <t>AHMA4BW401BG</t>
        </is>
      </c>
      <c r="E65" s="2" t="inlineStr">
        <is>
          <t>2041532752478</t>
        </is>
      </c>
      <c r="F65" s="2">
        <v>0</v>
      </c>
      <c r="G65" s="2">
        <v>0</v>
      </c>
      <c r="H65" s="2">
        <v>999</v>
      </c>
      <c r="I65" s="2" t="inlineStr">
        <is>
          <t>1889</t>
        </is>
      </c>
      <c r="J65" s="4"/>
      <c r="K65" s="2">
        <v>20</v>
      </c>
      <c r="L65" s="6"/>
      <c r="M65" s="2" t="str">
        <f>IF(J65="",ROUND(I65*(1-IF(ISBLANK(L65),K65,L65)/100),2),ROUND(J65*(1-IF(ISBLANK(L65),K65,L65)/100),2))</f>
      </c>
      <c r="N65" s="7" t="str">
        <f>IF(NOT(AND(J65="",L65="")),IF(OR(AND(L65&lt;&gt;"",NOT(ISNUMBER(L65))),IFERROR(MOD(L65,1),1)&gt;0,AND(ISNUMBER(L65),OR(L65&lt;0,L65&gt;95))),"Введите целое число от 0 до 95",IF(OR(AND(J65&lt;&gt;"",NOT(ISNUMBER(J65))),IFERROR(MOD(J65,1),1)&gt;0,AND(ISNUMBER(J65),OR(J65&lt;50,J65&gt;20000000))),"Введите целое число от 50 до 20000000",IF(NOT(ABS(IFERROR(VALUE(LEFT(M65,FIND("-",M65)-1)),M65)*100-(2500+2000000000)/2)&lt;=ABS(2500-2000000000)/2),"Цена со скидкой должна быть от 25 до 20000000",IF(AND(IFERROR(VALUE(LEFT(M65,FIND("-",M65)-1)),M65)*150&lt;=151120,IFERROR(VALUE(LEFT(M65,FIND("-",M65)-1)),M65)*200&gt;151120),"Вы уменьшили цену в несколько раз, товар попадет в карантин цен",IF(IFERROR(VALUE(LEFT(M65,FIND("-",M65)-1)),M65)*200&lt;=151120,"Не сохранили изменения, чтобы защитить от ошибки — новые цены меньше текущих более чем в 2 раза. Снижайте их постепенно",IF(AND(IFERROR(VALUE(I65),0)=0,ISNUMBER(J65),OR(J65&lt;284,ABS(IFERROR(VALUE(LEFT(M65,FIND("-",M65)-1)),M65))*100&lt;28400)),"Проверьте цену товара. Большинство товаров в выбранной категории стоят дороже 284","")))))),"")</f>
      </c>
    </row>
    <row r="66">
      <c r="A66" s="2" t="inlineStr">
        <is>
          <t>AROLS HOME</t>
        </is>
      </c>
      <c r="B66" s="2" t="inlineStr">
        <is>
          <t>Мешки для стирки</t>
        </is>
      </c>
      <c r="C66" s="2">
        <v>239233529</v>
      </c>
      <c r="D66" s="2" t="inlineStr">
        <is>
          <t>AHMA1BW302WH</t>
        </is>
      </c>
      <c r="E66" s="2" t="inlineStr">
        <is>
          <t>2040478696884</t>
        </is>
      </c>
      <c r="F66" s="2">
        <v>58</v>
      </c>
      <c r="G66" s="2">
        <v>0</v>
      </c>
      <c r="H66" s="2">
        <v>296</v>
      </c>
      <c r="I66" s="2" t="inlineStr">
        <is>
          <t>1013</t>
        </is>
      </c>
      <c r="J66" s="4"/>
      <c r="K66" s="2">
        <v>56</v>
      </c>
      <c r="L66" s="6"/>
      <c r="M66" s="2" t="str">
        <f>IF(J66="",ROUND(I66*(1-IF(ISBLANK(L66),K66,L66)/100),2),ROUND(J66*(1-IF(ISBLANK(L66),K66,L66)/100),2))</f>
      </c>
      <c r="N66" s="7" t="str">
        <f>IF(NOT(AND(J66="",L66="")),IF(OR(AND(L66&lt;&gt;"",NOT(ISNUMBER(L66))),IFERROR(MOD(L66,1),1)&gt;0,AND(ISNUMBER(L66),OR(L66&lt;0,L66&gt;95))),"Введите целое число от 0 до 95",IF(OR(AND(J66&lt;&gt;"",NOT(ISNUMBER(J66))),IFERROR(MOD(J66,1),1)&gt;0,AND(ISNUMBER(J66),OR(J66&lt;50,J66&gt;20000000))),"Введите целое число от 50 до 20000000",IF(NOT(ABS(IFERROR(VALUE(LEFT(M66,FIND("-",M66)-1)),M66)*100-(2500+2000000000)/2)&lt;=ABS(2500-2000000000)/2),"Цена со скидкой должна быть от 25 до 20000000",IF(AND(IFERROR(VALUE(LEFT(M66,FIND("-",M66)-1)),M66)*150&lt;=44572,IFERROR(VALUE(LEFT(M66,FIND("-",M66)-1)),M66)*200&gt;44572),"Вы уменьшили цену в несколько раз, товар попадет в карантин цен",IF(IFERROR(VALUE(LEFT(M66,FIND("-",M66)-1)),M66)*200&lt;=44572,"Не сохранили изменения, чтобы защитить от ошибки — новые цены меньше текущих более чем в 2 раза. Снижайте их постепенно",IF(AND(IFERROR(VALUE(I66),0)=0,ISNUMBER(J66),OR(J66&lt;284,ABS(IFERROR(VALUE(LEFT(M66,FIND("-",M66)-1)),M66))*100&lt;28400)),"Проверьте цену товара. Большинство товаров в выбранной категории стоят дороже 284","")))))),"")</f>
      </c>
    </row>
    <row r="67">
      <c r="A67" s="2" t="inlineStr">
        <is>
          <t>AROLS HOME</t>
        </is>
      </c>
      <c r="B67" s="2" t="inlineStr">
        <is>
          <t>Шпатели кондитерские</t>
        </is>
      </c>
      <c r="C67" s="2">
        <v>273551028</v>
      </c>
      <c r="D67" s="2" t="inlineStr">
        <is>
          <t>AKTA2KN101BL</t>
        </is>
      </c>
      <c r="E67" s="2" t="inlineStr">
        <is>
          <t>2041533587000</t>
        </is>
      </c>
      <c r="F67" s="2">
        <v>0</v>
      </c>
      <c r="G67" s="2">
        <v>0</v>
      </c>
      <c r="H67" s="2">
        <v>1</v>
      </c>
      <c r="I67" s="2" t="inlineStr">
        <is>
          <t>1227</t>
        </is>
      </c>
      <c r="J67" s="4"/>
      <c r="K67" s="2">
        <v>30</v>
      </c>
      <c r="L67" s="6"/>
      <c r="M67" s="2" t="str">
        <f>IF(J67="",ROUND(I67*(1-IF(ISBLANK(L67),K67,L67)/100),2),ROUND(J67*(1-IF(ISBLANK(L67),K67,L67)/100),2))</f>
      </c>
      <c r="N67" s="7" t="str">
        <f>IF(NOT(AND(J67="",L67="")),IF(OR(AND(L67&lt;&gt;"",NOT(ISNUMBER(L67))),IFERROR(MOD(L67,1),1)&gt;0,AND(ISNUMBER(L67),OR(L67&lt;0,L67&gt;95))),"Введите целое число от 0 до 95",IF(OR(AND(J67&lt;&gt;"",NOT(ISNUMBER(J67))),IFERROR(MOD(J67,1),1)&gt;0,AND(ISNUMBER(J67),OR(J67&lt;50,J67&gt;20000000))),"Введите целое число от 50 до 20000000",IF(NOT(ABS(IFERROR(VALUE(LEFT(M67,FIND("-",M67)-1)),M67)*100-(2500+2000000000)/2)&lt;=ABS(2500-2000000000)/2),"Цена со скидкой должна быть от 25 до 20000000",IF(AND(IFERROR(VALUE(LEFT(M67,FIND("-",M67)-1)),M67)*150&lt;=85890,IFERROR(VALUE(LEFT(M67,FIND("-",M67)-1)),M67)*200&gt;85890),"Вы уменьшили цену в несколько раз, товар попадет в карантин цен",IF(IFERROR(VALUE(LEFT(M67,FIND("-",M67)-1)),M67)*200&lt;=85890,"Не сохранили изменения, чтобы защитить от ошибки — новые цены меньше текущих более чем в 2 раза. Снижайте их постепенно",IF(AND(IFERROR(VALUE(I67),0)=0,ISNUMBER(J67),OR(J67&lt;203,ABS(IFERROR(VALUE(LEFT(M67,FIND("-",M67)-1)),M67))*100&lt;20300)),"Проверьте цену товара. Большинство товаров в выбранной категории стоят дороже 203","")))))),"")</f>
      </c>
    </row>
    <row r="68">
      <c r="A68" s="2" t="inlineStr">
        <is>
          <t>AROLS</t>
        </is>
      </c>
      <c r="B68" s="2" t="inlineStr">
        <is>
          <t>Таблетницы</t>
        </is>
      </c>
      <c r="C68" s="2">
        <v>345168494</v>
      </c>
      <c r="D68" s="2" t="inlineStr">
        <is>
          <t>ACRA7TB301CL</t>
        </is>
      </c>
      <c r="E68" s="2" t="inlineStr">
        <is>
          <t>2043048226719</t>
        </is>
      </c>
      <c r="F68" s="2">
        <v>200</v>
      </c>
      <c r="G68" s="2">
        <v>0</v>
      </c>
      <c r="H68" s="2">
        <v>637</v>
      </c>
      <c r="I68" s="2" t="inlineStr">
        <is>
          <t>1399</t>
        </is>
      </c>
      <c r="J68" s="4"/>
      <c r="K68" s="2">
        <v>61</v>
      </c>
      <c r="L68" s="6"/>
      <c r="M68" s="2" t="str">
        <f>IF(J68="",ROUND(I68*(1-IF(ISBLANK(L68),K68,L68)/100),2),ROUND(J68*(1-IF(ISBLANK(L68),K68,L68)/100),2))</f>
      </c>
      <c r="N68" s="7" t="str">
        <f>IF(NOT(AND(J68="",L68="")),IF(OR(AND(L68&lt;&gt;"",NOT(ISNUMBER(L68))),IFERROR(MOD(L68,1),1)&gt;0,AND(ISNUMBER(L68),OR(L68&lt;0,L68&gt;95))),"Введите целое число от 0 до 95",IF(OR(AND(J68&lt;&gt;"",NOT(ISNUMBER(J68))),IFERROR(MOD(J68,1),1)&gt;0,AND(ISNUMBER(J68),OR(J68&lt;50,J68&gt;20000000))),"Введите целое число от 50 до 20000000",IF(NOT(ABS(IFERROR(VALUE(LEFT(M68,FIND("-",M68)-1)),M68)*100-(2500+2000000000)/2)&lt;=ABS(2500-2000000000)/2),"Цена со скидкой должна быть от 25 до 20000000",IF(AND(IFERROR(VALUE(LEFT(M68,FIND("-",M68)-1)),M68)*150&lt;=54561,IFERROR(VALUE(LEFT(M68,FIND("-",M68)-1)),M68)*200&gt;54561),"Вы уменьшили цену в несколько раз, товар попадет в карантин цен",IF(IFERROR(VALUE(LEFT(M68,FIND("-",M68)-1)),M68)*200&lt;=54561,"Не сохранили изменения, чтобы защитить от ошибки — новые цены меньше текущих более чем в 2 раза. Снижайте их постепенно",IF(AND(IFERROR(VALUE(I68),0)=0,ISNUMBER(J68),OR(J68&lt;193,ABS(IFERROR(VALUE(LEFT(M68,FIND("-",M68)-1)),M68))*100&lt;19300)),"Проверьте цену товара. Большинство товаров в выбранной категории стоят дороже 193","")))))),"")</f>
      </c>
    </row>
    <row r="69">
      <c r="A69" s="2" t="inlineStr">
        <is>
          <t>AROLS</t>
        </is>
      </c>
      <c r="B69" s="2" t="inlineStr">
        <is>
          <t>Таблетницы</t>
        </is>
      </c>
      <c r="C69" s="2">
        <v>273516556</v>
      </c>
      <c r="D69" s="2" t="inlineStr">
        <is>
          <t>ACRA7TB301WH</t>
        </is>
      </c>
      <c r="E69" s="2" t="inlineStr">
        <is>
          <t>2041532808502</t>
        </is>
      </c>
      <c r="F69" s="2">
        <v>112</v>
      </c>
      <c r="G69" s="2">
        <v>0</v>
      </c>
      <c r="H69" s="2">
        <v>314</v>
      </c>
      <c r="I69" s="2" t="inlineStr">
        <is>
          <t>1399</t>
        </is>
      </c>
      <c r="J69" s="4"/>
      <c r="K69" s="2">
        <v>61</v>
      </c>
      <c r="L69" s="6"/>
      <c r="M69" s="2" t="str">
        <f>IF(J69="",ROUND(I69*(1-IF(ISBLANK(L69),K69,L69)/100),2),ROUND(J69*(1-IF(ISBLANK(L69),K69,L69)/100),2))</f>
      </c>
      <c r="N69" s="7" t="str">
        <f>IF(NOT(AND(J69="",L69="")),IF(OR(AND(L69&lt;&gt;"",NOT(ISNUMBER(L69))),IFERROR(MOD(L69,1),1)&gt;0,AND(ISNUMBER(L69),OR(L69&lt;0,L69&gt;95))),"Введите целое число от 0 до 95",IF(OR(AND(J69&lt;&gt;"",NOT(ISNUMBER(J69))),IFERROR(MOD(J69,1),1)&gt;0,AND(ISNUMBER(J69),OR(J69&lt;50,J69&gt;20000000))),"Введите целое число от 50 до 20000000",IF(NOT(ABS(IFERROR(VALUE(LEFT(M69,FIND("-",M69)-1)),M69)*100-(2500+2000000000)/2)&lt;=ABS(2500-2000000000)/2),"Цена со скидкой должна быть от 25 до 20000000",IF(AND(IFERROR(VALUE(LEFT(M69,FIND("-",M69)-1)),M69)*150&lt;=54561,IFERROR(VALUE(LEFT(M69,FIND("-",M69)-1)),M69)*200&gt;54561),"Вы уменьшили цену в несколько раз, товар попадет в карантин цен",IF(IFERROR(VALUE(LEFT(M69,FIND("-",M69)-1)),M69)*200&lt;=54561,"Не сохранили изменения, чтобы защитить от ошибки — новые цены меньше текущих более чем в 2 раза. Снижайте их постепенно",IF(AND(IFERROR(VALUE(I69),0)=0,ISNUMBER(J69),OR(J69&lt;193,ABS(IFERROR(VALUE(LEFT(M69,FIND("-",M69)-1)),M69))*100&lt;19300)),"Проверьте цену товара. Большинство товаров в выбранной категории стоят дороже 193","")))))),"")</f>
      </c>
    </row>
    <row r="70">
      <c r="A70" s="2" t="inlineStr">
        <is>
          <t>AROLS</t>
        </is>
      </c>
      <c r="B70" s="2" t="inlineStr">
        <is>
          <t>Таблетницы</t>
        </is>
      </c>
      <c r="C70" s="2">
        <v>278515093</v>
      </c>
      <c r="D70" s="2" t="inlineStr">
        <is>
          <t>ACRA7TB301GR</t>
        </is>
      </c>
      <c r="E70" s="2" t="inlineStr">
        <is>
          <t>2041680530447</t>
        </is>
      </c>
      <c r="F70" s="2">
        <v>337</v>
      </c>
      <c r="G70" s="2">
        <v>0</v>
      </c>
      <c r="H70" s="2">
        <v>525</v>
      </c>
      <c r="I70" s="2" t="inlineStr">
        <is>
          <t>1485</t>
        </is>
      </c>
      <c r="J70" s="4"/>
      <c r="K70" s="2">
        <v>56</v>
      </c>
      <c r="L70" s="6"/>
      <c r="M70" s="2" t="str">
        <f>IF(J70="",ROUND(I70*(1-IF(ISBLANK(L70),K70,L70)/100),2),ROUND(J70*(1-IF(ISBLANK(L70),K70,L70)/100),2))</f>
      </c>
      <c r="N70" s="7" t="str">
        <f>IF(NOT(AND(J70="",L70="")),IF(OR(AND(L70&lt;&gt;"",NOT(ISNUMBER(L70))),IFERROR(MOD(L70,1),1)&gt;0,AND(ISNUMBER(L70),OR(L70&lt;0,L70&gt;95))),"Введите целое число от 0 до 95",IF(OR(AND(J70&lt;&gt;"",NOT(ISNUMBER(J70))),IFERROR(MOD(J70,1),1)&gt;0,AND(ISNUMBER(J70),OR(J70&lt;50,J70&gt;20000000))),"Введите целое число от 50 до 20000000",IF(NOT(ABS(IFERROR(VALUE(LEFT(M70,FIND("-",M70)-1)),M70)*100-(2500+2000000000)/2)&lt;=ABS(2500-2000000000)/2),"Цена со скидкой должна быть от 25 до 20000000",IF(AND(IFERROR(VALUE(LEFT(M70,FIND("-",M70)-1)),M70)*150&lt;=65340,IFERROR(VALUE(LEFT(M70,FIND("-",M70)-1)),M70)*200&gt;65340),"Вы уменьшили цену в несколько раз, товар попадет в карантин цен",IF(IFERROR(VALUE(LEFT(M70,FIND("-",M70)-1)),M70)*200&lt;=65340,"Не сохранили изменения, чтобы защитить от ошибки — новые цены меньше текущих более чем в 2 раза. Снижайте их постепенно",IF(AND(IFERROR(VALUE(I70),0)=0,ISNUMBER(J70),OR(J70&lt;193,ABS(IFERROR(VALUE(LEFT(M70,FIND("-",M70)-1)),M70))*100&lt;19300)),"Проверьте цену товара. Большинство товаров в выбранной категории стоят дороже 193","")))))),"")</f>
      </c>
    </row>
    <row r="71">
      <c r="A71" s="2" t="inlineStr">
        <is>
          <t>AROLS</t>
        </is>
      </c>
      <c r="B71" s="2" t="inlineStr">
        <is>
          <t>Массажеры механические</t>
        </is>
      </c>
      <c r="C71" s="2">
        <v>236072834</v>
      </c>
      <c r="D71" s="2" t="inlineStr">
        <is>
          <t>ACRB1MS106BL</t>
        </is>
      </c>
      <c r="E71" s="2" t="inlineStr">
        <is>
          <t>2040278804649</t>
        </is>
      </c>
      <c r="F71" s="2">
        <v>259</v>
      </c>
      <c r="G71" s="2">
        <v>0</v>
      </c>
      <c r="H71" s="2">
        <v>512</v>
      </c>
      <c r="I71" s="2" t="inlineStr">
        <is>
          <t>918</t>
        </is>
      </c>
      <c r="J71" s="4"/>
      <c r="K71" s="2">
        <v>56</v>
      </c>
      <c r="L71" s="6"/>
      <c r="M71" s="2" t="str">
        <f>IF(J71="",ROUND(I71*(1-IF(ISBLANK(L71),K71,L71)/100),2),ROUND(J71*(1-IF(ISBLANK(L71),K71,L71)/100),2))</f>
      </c>
      <c r="N71" s="7" t="str">
        <f>IF(NOT(AND(J71="",L71="")),IF(OR(AND(L71&lt;&gt;"",NOT(ISNUMBER(L71))),IFERROR(MOD(L71,1),1)&gt;0,AND(ISNUMBER(L71),OR(L71&lt;0,L71&gt;95))),"Введите целое число от 0 до 95",IF(OR(AND(J71&lt;&gt;"",NOT(ISNUMBER(J71))),IFERROR(MOD(J71,1),1)&gt;0,AND(ISNUMBER(J71),OR(J71&lt;50,J71&gt;20000000))),"Введите целое число от 50 до 20000000",IF(NOT(ABS(IFERROR(VALUE(LEFT(M71,FIND("-",M71)-1)),M71)*100-(2500+2000000000)/2)&lt;=ABS(2500-2000000000)/2),"Цена со скидкой должна быть от 25 до 20000000",IF(AND(IFERROR(VALUE(LEFT(M71,FIND("-",M71)-1)),M71)*150&lt;=40391,IFERROR(VALUE(LEFT(M71,FIND("-",M71)-1)),M71)*200&gt;40391),"Вы уменьшили цену в несколько раз, товар попадет в карантин цен",IF(IFERROR(VALUE(LEFT(M71,FIND("-",M71)-1)),M71)*200&lt;=40391,"Не сохранили изменения, чтобы защитить от ошибки — новые цены меньше текущих более чем в 2 раза. Снижайте их постепенно",IF(AND(IFERROR(VALUE(I71),0)=0,ISNUMBER(J71),OR(J71&lt;243,ABS(IFERROR(VALUE(LEFT(M71,FIND("-",M71)-1)),M71))*100&lt;24300)),"Проверьте цену товара. Большинство товаров в выбранной категории стоят дороже 243","")))))),"")</f>
      </c>
    </row>
    <row r="72">
      <c r="A72" s="2" t="inlineStr">
        <is>
          <t>AROLS</t>
        </is>
      </c>
      <c r="B72" s="2" t="inlineStr">
        <is>
          <t>Эспандеры</t>
        </is>
      </c>
      <c r="C72" s="2">
        <v>550540000</v>
      </c>
      <c r="D72" s="2" t="inlineStr">
        <is>
          <t>ACRB5FR400CL</t>
        </is>
      </c>
      <c r="E72" s="2" t="inlineStr">
        <is>
          <t>2046392546656</t>
        </is>
      </c>
      <c r="F72" s="2" t="inlineStr">
        <is>
          <t/>
        </is>
      </c>
      <c r="G72" s="2" t="inlineStr">
        <is>
          <t/>
        </is>
      </c>
      <c r="H72" s="2" t="inlineStr">
        <is>
          <t/>
        </is>
      </c>
      <c r="I72" s="2" t="inlineStr">
        <is>
          <t>1070</t>
        </is>
      </c>
      <c r="J72" s="4"/>
      <c r="K72" s="2">
        <v>30</v>
      </c>
      <c r="L72" s="6"/>
      <c r="M72" s="2" t="str">
        <f>IF(J72="",ROUND(I72*(1-IF(ISBLANK(L72),K72,L72)/100),2),ROUND(J72*(1-IF(ISBLANK(L72),K72,L72)/100),2))</f>
      </c>
      <c r="N72" s="7" t="str">
        <f>IF(NOT(AND(J72="",L72="")),IF(OR(AND(L72&lt;&gt;"",NOT(ISNUMBER(L72))),IFERROR(MOD(L72,1),1)&gt;0,AND(ISNUMBER(L72),OR(L72&lt;0,L72&gt;95))),"Введите целое число от 0 до 95",IF(OR(AND(J72&lt;&gt;"",NOT(ISNUMBER(J72))),IFERROR(MOD(J72,1),1)&gt;0,AND(ISNUMBER(J72),OR(J72&lt;50,J72&gt;20000000))),"Введите целое число от 50 до 20000000",IF(NOT(ABS(IFERROR(VALUE(LEFT(M72,FIND("-",M72)-1)),M72)*100-(2500+2000000000)/2)&lt;=ABS(2500-2000000000)/2),"Цена со скидкой должна быть от 25 до 20000000",IF(AND(IFERROR(VALUE(LEFT(M72,FIND("-",M72)-1)),M72)*150&lt;=74900,IFERROR(VALUE(LEFT(M72,FIND("-",M72)-1)),M72)*200&gt;74900),"Вы уменьшили цену в несколько раз, товар попадет в карантин цен",IF(IFERROR(VALUE(LEFT(M72,FIND("-",M72)-1)),M72)*200&lt;=74900,"Не сохранили изменения, чтобы защитить от ошибки — новые цены меньше текущих более чем в 2 раза. Снижайте их постепенно",IF(AND(IFERROR(VALUE(I72),0)=0,ISNUMBER(J72),OR(J72&lt;256,ABS(IFERROR(VALUE(LEFT(M72,FIND("-",M72)-1)),M72))*100&lt;25600)),"Проверьте цену товара. Большинство товаров в выбранной категории стоят дороже 256","")))))),"")</f>
      </c>
    </row>
    <row r="73">
      <c r="A73" s="2" t="inlineStr">
        <is>
          <t>AROLS</t>
        </is>
      </c>
      <c r="B73" s="2" t="inlineStr">
        <is>
          <t>Массажеры механические</t>
        </is>
      </c>
      <c r="C73" s="2">
        <v>419145986</v>
      </c>
      <c r="D73" s="2" t="inlineStr">
        <is>
          <t>ACRB1MS109BС</t>
        </is>
      </c>
      <c r="E73" s="2" t="inlineStr">
        <is>
          <t>2044025347953</t>
        </is>
      </c>
      <c r="F73" s="2">
        <v>120</v>
      </c>
      <c r="G73" s="2">
        <v>0</v>
      </c>
      <c r="H73" s="2">
        <v>999</v>
      </c>
      <c r="I73" s="2" t="inlineStr">
        <is>
          <t>1013</t>
        </is>
      </c>
      <c r="J73" s="4"/>
      <c r="K73" s="2">
        <v>53</v>
      </c>
      <c r="L73" s="6"/>
      <c r="M73" s="2" t="str">
        <f>IF(J73="",ROUND(I73*(1-IF(ISBLANK(L73),K73,L73)/100),2),ROUND(J73*(1-IF(ISBLANK(L73),K73,L73)/100),2))</f>
      </c>
      <c r="N73" s="7" t="str">
        <f>IF(NOT(AND(J73="",L73="")),IF(OR(AND(L73&lt;&gt;"",NOT(ISNUMBER(L73))),IFERROR(MOD(L73,1),1)&gt;0,AND(ISNUMBER(L73),OR(L73&lt;0,L73&gt;95))),"Введите целое число от 0 до 95",IF(OR(AND(J73&lt;&gt;"",NOT(ISNUMBER(J73))),IFERROR(MOD(J73,1),1)&gt;0,AND(ISNUMBER(J73),OR(J73&lt;50,J73&gt;20000000))),"Введите целое число от 50 до 20000000",IF(NOT(ABS(IFERROR(VALUE(LEFT(M73,FIND("-",M73)-1)),M73)*100-(2500+2000000000)/2)&lt;=ABS(2500-2000000000)/2),"Цена со скидкой должна быть от 25 до 20000000",IF(AND(IFERROR(VALUE(LEFT(M73,FIND("-",M73)-1)),M73)*150&lt;=47610,IFERROR(VALUE(LEFT(M73,FIND("-",M73)-1)),M73)*200&gt;47610),"Вы уменьшили цену в несколько раз, товар попадет в карантин цен",IF(IFERROR(VALUE(LEFT(M73,FIND("-",M73)-1)),M73)*200&lt;=47610,"Не сохранили изменения, чтобы защитить от ошибки — новые цены меньше текущих более чем в 2 раза. Снижайте их постепенно",IF(AND(IFERROR(VALUE(I73),0)=0,ISNUMBER(J73),OR(J73&lt;243,ABS(IFERROR(VALUE(LEFT(M73,FIND("-",M73)-1)),M73))*100&lt;24300)),"Проверьте цену товара. Большинство товаров в выбранной категории стоят дороже 243","")))))),"")</f>
      </c>
    </row>
    <row r="74">
      <c r="A74" s="2" t="inlineStr">
        <is>
          <t>AROLS</t>
        </is>
      </c>
      <c r="B74" s="2" t="inlineStr">
        <is>
          <t>Массажеры механические</t>
        </is>
      </c>
      <c r="C74" s="2">
        <v>370591238</v>
      </c>
      <c r="D74" s="2" t="inlineStr">
        <is>
          <t>ACRB1MS106BС</t>
        </is>
      </c>
      <c r="E74" s="2" t="inlineStr">
        <is>
          <t>2043369663040</t>
        </is>
      </c>
      <c r="F74" s="2">
        <v>250</v>
      </c>
      <c r="G74" s="2">
        <v>0</v>
      </c>
      <c r="H74" s="2">
        <v>999</v>
      </c>
      <c r="I74" s="2" t="inlineStr">
        <is>
          <t>856</t>
        </is>
      </c>
      <c r="J74" s="4"/>
      <c r="K74" s="2">
        <v>30</v>
      </c>
      <c r="L74" s="6"/>
      <c r="M74" s="2" t="str">
        <f>IF(J74="",ROUND(I74*(1-IF(ISBLANK(L74),K74,L74)/100),2),ROUND(J74*(1-IF(ISBLANK(L74),K74,L74)/100),2))</f>
      </c>
      <c r="N74" s="7" t="str">
        <f>IF(NOT(AND(J74="",L74="")),IF(OR(AND(L74&lt;&gt;"",NOT(ISNUMBER(L74))),IFERROR(MOD(L74,1),1)&gt;0,AND(ISNUMBER(L74),OR(L74&lt;0,L74&gt;95))),"Введите целое число от 0 до 95",IF(OR(AND(J74&lt;&gt;"",NOT(ISNUMBER(J74))),IFERROR(MOD(J74,1),1)&gt;0,AND(ISNUMBER(J74),OR(J74&lt;50,J74&gt;20000000))),"Введите целое число от 50 до 20000000",IF(NOT(ABS(IFERROR(VALUE(LEFT(M74,FIND("-",M74)-1)),M74)*100-(2500+2000000000)/2)&lt;=ABS(2500-2000000000)/2),"Цена со скидкой должна быть от 25 до 20000000",IF(AND(IFERROR(VALUE(LEFT(M74,FIND("-",M74)-1)),M74)*150&lt;=59919,IFERROR(VALUE(LEFT(M74,FIND("-",M74)-1)),M74)*200&gt;59919),"Вы уменьшили цену в несколько раз, товар попадет в карантин цен",IF(IFERROR(VALUE(LEFT(M74,FIND("-",M74)-1)),M74)*200&lt;=59919,"Не сохранили изменения, чтобы защитить от ошибки — новые цены меньше текущих более чем в 2 раза. Снижайте их постепенно",IF(AND(IFERROR(VALUE(I74),0)=0,ISNUMBER(J74),OR(J74&lt;243,ABS(IFERROR(VALUE(LEFT(M74,FIND("-",M74)-1)),M74))*100&lt;24300)),"Проверьте цену товара. Большинство товаров в выбранной категории стоят дороже 243","")))))),"")</f>
      </c>
    </row>
    <row r="75">
      <c r="A75" s="2" t="inlineStr">
        <is>
          <t>AROLS</t>
        </is>
      </c>
      <c r="B75" s="2" t="inlineStr">
        <is>
          <t>Массажеры механические</t>
        </is>
      </c>
      <c r="C75" s="2">
        <v>419146579</v>
      </c>
      <c r="D75" s="2" t="inlineStr">
        <is>
          <t>ACRB1MS109LI</t>
        </is>
      </c>
      <c r="E75" s="2" t="inlineStr">
        <is>
          <t>2044025354937</t>
        </is>
      </c>
      <c r="F75" s="2">
        <v>119</v>
      </c>
      <c r="G75" s="2">
        <v>0</v>
      </c>
      <c r="H75" s="2">
        <v>999</v>
      </c>
      <c r="I75" s="2" t="inlineStr">
        <is>
          <t>1013</t>
        </is>
      </c>
      <c r="J75" s="4"/>
      <c r="K75" s="2">
        <v>53</v>
      </c>
      <c r="L75" s="6"/>
      <c r="M75" s="2" t="str">
        <f>IF(J75="",ROUND(I75*(1-IF(ISBLANK(L75),K75,L75)/100),2),ROUND(J75*(1-IF(ISBLANK(L75),K75,L75)/100),2))</f>
      </c>
      <c r="N75" s="7" t="str">
        <f>IF(NOT(AND(J75="",L75="")),IF(OR(AND(L75&lt;&gt;"",NOT(ISNUMBER(L75))),IFERROR(MOD(L75,1),1)&gt;0,AND(ISNUMBER(L75),OR(L75&lt;0,L75&gt;95))),"Введите целое число от 0 до 95",IF(OR(AND(J75&lt;&gt;"",NOT(ISNUMBER(J75))),IFERROR(MOD(J75,1),1)&gt;0,AND(ISNUMBER(J75),OR(J75&lt;50,J75&gt;20000000))),"Введите целое число от 50 до 20000000",IF(NOT(ABS(IFERROR(VALUE(LEFT(M75,FIND("-",M75)-1)),M75)*100-(2500+2000000000)/2)&lt;=ABS(2500-2000000000)/2),"Цена со скидкой должна быть от 25 до 20000000",IF(AND(IFERROR(VALUE(LEFT(M75,FIND("-",M75)-1)),M75)*150&lt;=47610,IFERROR(VALUE(LEFT(M75,FIND("-",M75)-1)),M75)*200&gt;47610),"Вы уменьшили цену в несколько раз, товар попадет в карантин цен",IF(IFERROR(VALUE(LEFT(M75,FIND("-",M75)-1)),M75)*200&lt;=47610,"Не сохранили изменения, чтобы защитить от ошибки — новые цены меньше текущих более чем в 2 раза. Снижайте их постепенно",IF(AND(IFERROR(VALUE(I75),0)=0,ISNUMBER(J75),OR(J75&lt;243,ABS(IFERROR(VALUE(LEFT(M75,FIND("-",M75)-1)),M75))*100&lt;24300)),"Проверьте цену товара. Большинство товаров в выбранной категории стоят дороже 243","")))))),"")</f>
      </c>
    </row>
    <row r="76">
      <c r="A76" s="2" t="inlineStr">
        <is>
          <t>AROLS</t>
        </is>
      </c>
      <c r="B76" s="2" t="inlineStr">
        <is>
          <t>Массажеры механические</t>
        </is>
      </c>
      <c r="C76" s="2">
        <v>419141549</v>
      </c>
      <c r="D76" s="2" t="inlineStr">
        <is>
          <t>ACRB1MS109RJ</t>
        </is>
      </c>
      <c r="E76" s="2" t="inlineStr">
        <is>
          <t>2044025291485</t>
        </is>
      </c>
      <c r="F76" s="2">
        <v>98</v>
      </c>
      <c r="G76" s="2">
        <v>0</v>
      </c>
      <c r="H76" s="2">
        <v>217</v>
      </c>
      <c r="I76" s="2" t="inlineStr">
        <is>
          <t>1013</t>
        </is>
      </c>
      <c r="J76" s="4"/>
      <c r="K76" s="2">
        <v>30</v>
      </c>
      <c r="L76" s="6"/>
      <c r="M76" s="2" t="str">
        <f>IF(J76="",ROUND(I76*(1-IF(ISBLANK(L76),K76,L76)/100),2),ROUND(J76*(1-IF(ISBLANK(L76),K76,L76)/100),2))</f>
      </c>
      <c r="N76" s="7" t="str">
        <f>IF(NOT(AND(J76="",L76="")),IF(OR(AND(L76&lt;&gt;"",NOT(ISNUMBER(L76))),IFERROR(MOD(L76,1),1)&gt;0,AND(ISNUMBER(L76),OR(L76&lt;0,L76&gt;95))),"Введите целое число от 0 до 95",IF(OR(AND(J76&lt;&gt;"",NOT(ISNUMBER(J76))),IFERROR(MOD(J76,1),1)&gt;0,AND(ISNUMBER(J76),OR(J76&lt;50,J76&gt;20000000))),"Введите целое число от 50 до 20000000",IF(NOT(ABS(IFERROR(VALUE(LEFT(M76,FIND("-",M76)-1)),M76)*100-(2500+2000000000)/2)&lt;=ABS(2500-2000000000)/2),"Цена со скидкой должна быть от 25 до 20000000",IF(AND(IFERROR(VALUE(LEFT(M76,FIND("-",M76)-1)),M76)*150&lt;=70909,IFERROR(VALUE(LEFT(M76,FIND("-",M76)-1)),M76)*200&gt;70909),"Вы уменьшили цену в несколько раз, товар попадет в карантин цен",IF(IFERROR(VALUE(LEFT(M76,FIND("-",M76)-1)),M76)*200&lt;=70909,"Не сохранили изменения, чтобы защитить от ошибки — новые цены меньше текущих более чем в 2 раза. Снижайте их постепенно",IF(AND(IFERROR(VALUE(I76),0)=0,ISNUMBER(J76),OR(J76&lt;243,ABS(IFERROR(VALUE(LEFT(M76,FIND("-",M76)-1)),M76))*100&lt;24300)),"Проверьте цену товара. Большинство товаров в выбранной категории стоят дороже 243","")))))),"")</f>
      </c>
    </row>
    <row r="77">
      <c r="A77" s="2" t="inlineStr">
        <is>
          <t>AROLS</t>
        </is>
      </c>
      <c r="B77" s="2" t="inlineStr">
        <is>
          <t>Массажеры механические</t>
        </is>
      </c>
      <c r="C77" s="2">
        <v>419145749</v>
      </c>
      <c r="D77" s="2" t="inlineStr">
        <is>
          <t>ACRB1MS109BL</t>
        </is>
      </c>
      <c r="E77" s="2" t="inlineStr">
        <is>
          <t>2044025342057</t>
        </is>
      </c>
      <c r="F77" s="2">
        <v>107</v>
      </c>
      <c r="G77" s="2">
        <v>0</v>
      </c>
      <c r="H77" s="2">
        <v>999</v>
      </c>
      <c r="I77" s="2" t="inlineStr">
        <is>
          <t>845</t>
        </is>
      </c>
      <c r="J77" s="4"/>
      <c r="K77" s="2">
        <v>45</v>
      </c>
      <c r="L77" s="6"/>
      <c r="M77" s="2" t="str">
        <f>IF(J77="",ROUND(I77*(1-IF(ISBLANK(L77),K77,L77)/100),2),ROUND(J77*(1-IF(ISBLANK(L77),K77,L77)/100),2))</f>
      </c>
      <c r="N77" s="7" t="str">
        <f>IF(NOT(AND(J77="",L77="")),IF(OR(AND(L77&lt;&gt;"",NOT(ISNUMBER(L77))),IFERROR(MOD(L77,1),1)&gt;0,AND(ISNUMBER(L77),OR(L77&lt;0,L77&gt;95))),"Введите целое число от 0 до 95",IF(OR(AND(J77&lt;&gt;"",NOT(ISNUMBER(J77))),IFERROR(MOD(J77,1),1)&gt;0,AND(ISNUMBER(J77),OR(J77&lt;50,J77&gt;20000000))),"Введите целое число от 50 до 20000000",IF(NOT(ABS(IFERROR(VALUE(LEFT(M77,FIND("-",M77)-1)),M77)*100-(2500+2000000000)/2)&lt;=ABS(2500-2000000000)/2),"Цена со скидкой должна быть от 25 до 20000000",IF(AND(IFERROR(VALUE(LEFT(M77,FIND("-",M77)-1)),M77)*150&lt;=46475,IFERROR(VALUE(LEFT(M77,FIND("-",M77)-1)),M77)*200&gt;46475),"Вы уменьшили цену в несколько раз, товар попадет в карантин цен",IF(IFERROR(VALUE(LEFT(M77,FIND("-",M77)-1)),M77)*200&lt;=46475,"Не сохранили изменения, чтобы защитить от ошибки — новые цены меньше текущих более чем в 2 раза. Снижайте их постепенно",IF(AND(IFERROR(VALUE(I77),0)=0,ISNUMBER(J77),OR(J77&lt;243,ABS(IFERROR(VALUE(LEFT(M77,FIND("-",M77)-1)),M77))*100&lt;24300)),"Проверьте цену товара. Большинство товаров в выбранной категории стоят дороже 243","")))))),"")</f>
      </c>
    </row>
    <row r="78">
      <c r="A78" s="2" t="inlineStr">
        <is>
          <t>AROLS</t>
        </is>
      </c>
      <c r="B78" s="2" t="inlineStr">
        <is>
          <t>Массажеры механические</t>
        </is>
      </c>
      <c r="C78" s="2">
        <v>419145390</v>
      </c>
      <c r="D78" s="2" t="inlineStr">
        <is>
          <t>ACRB1MS109PN</t>
        </is>
      </c>
      <c r="E78" s="2" t="inlineStr">
        <is>
          <t>2044025321588</t>
        </is>
      </c>
      <c r="F78" s="2">
        <v>152</v>
      </c>
      <c r="G78" s="2">
        <v>0</v>
      </c>
      <c r="H78" s="2">
        <v>673</v>
      </c>
      <c r="I78" s="2" t="inlineStr">
        <is>
          <t>1013</t>
        </is>
      </c>
      <c r="J78" s="4"/>
      <c r="K78" s="2">
        <v>30</v>
      </c>
      <c r="L78" s="6"/>
      <c r="M78" s="2" t="str">
        <f>IF(J78="",ROUND(I78*(1-IF(ISBLANK(L78),K78,L78)/100),2),ROUND(J78*(1-IF(ISBLANK(L78),K78,L78)/100),2))</f>
      </c>
      <c r="N78" s="7" t="str">
        <f>IF(NOT(AND(J78="",L78="")),IF(OR(AND(L78&lt;&gt;"",NOT(ISNUMBER(L78))),IFERROR(MOD(L78,1),1)&gt;0,AND(ISNUMBER(L78),OR(L78&lt;0,L78&gt;95))),"Введите целое число от 0 до 95",IF(OR(AND(J78&lt;&gt;"",NOT(ISNUMBER(J78))),IFERROR(MOD(J78,1),1)&gt;0,AND(ISNUMBER(J78),OR(J78&lt;50,J78&gt;20000000))),"Введите целое число от 50 до 20000000",IF(NOT(ABS(IFERROR(VALUE(LEFT(M78,FIND("-",M78)-1)),M78)*100-(2500+2000000000)/2)&lt;=ABS(2500-2000000000)/2),"Цена со скидкой должна быть от 25 до 20000000",IF(AND(IFERROR(VALUE(LEFT(M78,FIND("-",M78)-1)),M78)*150&lt;=70909,IFERROR(VALUE(LEFT(M78,FIND("-",M78)-1)),M78)*200&gt;70909),"Вы уменьшили цену в несколько раз, товар попадет в карантин цен",IF(IFERROR(VALUE(LEFT(M78,FIND("-",M78)-1)),M78)*200&lt;=70909,"Не сохранили изменения, чтобы защитить от ошибки — новые цены меньше текущих более чем в 2 раза. Снижайте их постепенно",IF(AND(IFERROR(VALUE(I78),0)=0,ISNUMBER(J78),OR(J78&lt;243,ABS(IFERROR(VALUE(LEFT(M78,FIND("-",M78)-1)),M78))*100&lt;24300)),"Проверьте цену товара. Большинство товаров в выбранной категории стоят дороже 243","")))))),"")</f>
      </c>
    </row>
    <row r="79">
      <c r="A79" s="2" t="inlineStr">
        <is>
          <t>AROLS HOME</t>
        </is>
      </c>
      <c r="B79" s="2" t="inlineStr">
        <is>
          <t>Мешки для стирки</t>
        </is>
      </c>
      <c r="C79" s="2">
        <v>176723275</v>
      </c>
      <c r="D79" s="2" t="inlineStr">
        <is>
          <t>AHMA3BW202WH</t>
        </is>
      </c>
      <c r="E79" s="2" t="inlineStr">
        <is>
          <t>2038606256161</t>
        </is>
      </c>
      <c r="F79" s="2">
        <v>98</v>
      </c>
      <c r="G79" s="2">
        <v>0</v>
      </c>
      <c r="H79" s="2">
        <v>75</v>
      </c>
      <c r="I79" s="2" t="inlineStr">
        <is>
          <t>1199</t>
        </is>
      </c>
      <c r="J79" s="4"/>
      <c r="K79" s="2">
        <v>49</v>
      </c>
      <c r="L79" s="6"/>
      <c r="M79" s="2" t="str">
        <f>IF(J79="",ROUND(I79*(1-IF(ISBLANK(L79),K79,L79)/100),2),ROUND(J79*(1-IF(ISBLANK(L79),K79,L79)/100),2))</f>
      </c>
      <c r="N79" s="7" t="str">
        <f>IF(NOT(AND(J79="",L79="")),IF(OR(AND(L79&lt;&gt;"",NOT(ISNUMBER(L79))),IFERROR(MOD(L79,1),1)&gt;0,AND(ISNUMBER(L79),OR(L79&lt;0,L79&gt;95))),"Введите целое число от 0 до 95",IF(OR(AND(J79&lt;&gt;"",NOT(ISNUMBER(J79))),IFERROR(MOD(J79,1),1)&gt;0,AND(ISNUMBER(J79),OR(J79&lt;50,J79&gt;20000000))),"Введите целое число от 50 до 20000000",IF(NOT(ABS(IFERROR(VALUE(LEFT(M79,FIND("-",M79)-1)),M79)*100-(2500+2000000000)/2)&lt;=ABS(2500-2000000000)/2),"Цена со скидкой должна быть от 25 до 20000000",IF(AND(IFERROR(VALUE(LEFT(M79,FIND("-",M79)-1)),M79)*150&lt;=61149,IFERROR(VALUE(LEFT(M79,FIND("-",M79)-1)),M79)*200&gt;61149),"Вы уменьшили цену в несколько раз, товар попадет в карантин цен",IF(IFERROR(VALUE(LEFT(M79,FIND("-",M79)-1)),M79)*200&lt;=61149,"Не сохранили изменения, чтобы защитить от ошибки — новые цены меньше текущих более чем в 2 раза. Снижайте их постепенно",IF(AND(IFERROR(VALUE(I79),0)=0,ISNUMBER(J79),OR(J79&lt;284,ABS(IFERROR(VALUE(LEFT(M79,FIND("-",M79)-1)),M79))*100&lt;28400)),"Проверьте цену товара. Большинство товаров в выбранной категории стоят дороже 284","")))))),"")</f>
      </c>
    </row>
    <row r="80">
      <c r="A80" s="2" t="inlineStr">
        <is>
          <t>AROLS</t>
        </is>
      </c>
      <c r="B80" s="2" t="inlineStr">
        <is>
          <t>Массажеры механические</t>
        </is>
      </c>
      <c r="C80" s="2">
        <v>223671295</v>
      </c>
      <c r="D80" s="2" t="inlineStr">
        <is>
          <t>ACRB1MS106RJ</t>
        </is>
      </c>
      <c r="E80" s="2" t="inlineStr">
        <is>
          <t>2039818580389</t>
        </is>
      </c>
      <c r="F80" s="2">
        <v>447</v>
      </c>
      <c r="G80" s="2">
        <v>0</v>
      </c>
      <c r="H80" s="2">
        <v>599</v>
      </c>
      <c r="I80" s="2" t="inlineStr">
        <is>
          <t>725</t>
        </is>
      </c>
      <c r="J80" s="4"/>
      <c r="K80" s="2">
        <v>56</v>
      </c>
      <c r="L80" s="6"/>
      <c r="M80" s="2" t="str">
        <f>IF(J80="",ROUND(I80*(1-IF(ISBLANK(L80),K80,L80)/100),2),ROUND(J80*(1-IF(ISBLANK(L80),K80,L80)/100),2))</f>
      </c>
      <c r="N80" s="7" t="str">
        <f>IF(NOT(AND(J80="",L80="")),IF(OR(AND(L80&lt;&gt;"",NOT(ISNUMBER(L80))),IFERROR(MOD(L80,1),1)&gt;0,AND(ISNUMBER(L80),OR(L80&lt;0,L80&gt;95))),"Введите целое число от 0 до 95",IF(OR(AND(J80&lt;&gt;"",NOT(ISNUMBER(J80))),IFERROR(MOD(J80,1),1)&gt;0,AND(ISNUMBER(J80),OR(J80&lt;50,J80&gt;20000000))),"Введите целое число от 50 до 20000000",IF(NOT(ABS(IFERROR(VALUE(LEFT(M80,FIND("-",M80)-1)),M80)*100-(2500+2000000000)/2)&lt;=ABS(2500-2000000000)/2),"Цена со скидкой должна быть от 25 до 20000000",IF(AND(IFERROR(VALUE(LEFT(M80,FIND("-",M80)-1)),M80)*150&lt;=31899,IFERROR(VALUE(LEFT(M80,FIND("-",M80)-1)),M80)*200&gt;31899),"Вы уменьшили цену в несколько раз, товар попадет в карантин цен",IF(IFERROR(VALUE(LEFT(M80,FIND("-",M80)-1)),M80)*200&lt;=31899,"Не сохранили изменения, чтобы защитить от ошибки — новые цены меньше текущих более чем в 2 раза. Снижайте их постепенно",IF(AND(IFERROR(VALUE(I80),0)=0,ISNUMBER(J80),OR(J80&lt;243,ABS(IFERROR(VALUE(LEFT(M80,FIND("-",M80)-1)),M80))*100&lt;24300)),"Проверьте цену товара. Большинство товаров в выбранной категории стоят дороже 243","")))))),"")</f>
      </c>
    </row>
    <row r="81">
      <c r="A81" s="2" t="inlineStr">
        <is>
          <t>AROLS HOME</t>
        </is>
      </c>
      <c r="B81" s="2" t="inlineStr">
        <is>
          <t>Мешки для стирки</t>
        </is>
      </c>
      <c r="C81" s="2">
        <v>176721350</v>
      </c>
      <c r="D81" s="2" t="inlineStr">
        <is>
          <t>AHMA3BW201WH</t>
        </is>
      </c>
      <c r="E81" s="2" t="inlineStr">
        <is>
          <t>2038606201642</t>
        </is>
      </c>
      <c r="F81" s="2">
        <v>263</v>
      </c>
      <c r="G81" s="2">
        <v>0</v>
      </c>
      <c r="H81" s="2">
        <v>401</v>
      </c>
      <c r="I81" s="2" t="inlineStr">
        <is>
          <t>1275</t>
        </is>
      </c>
      <c r="J81" s="4"/>
      <c r="K81" s="2">
        <v>55</v>
      </c>
      <c r="L81" s="6"/>
      <c r="M81" s="2" t="str">
        <f>IF(J81="",ROUND(I81*(1-IF(ISBLANK(L81),K81,L81)/100),2),ROUND(J81*(1-IF(ISBLANK(L81),K81,L81)/100),2))</f>
      </c>
      <c r="N81" s="7" t="str">
        <f>IF(NOT(AND(J81="",L81="")),IF(OR(AND(L81&lt;&gt;"",NOT(ISNUMBER(L81))),IFERROR(MOD(L81,1),1)&gt;0,AND(ISNUMBER(L81),OR(L81&lt;0,L81&gt;95))),"Введите целое число от 0 до 95",IF(OR(AND(J81&lt;&gt;"",NOT(ISNUMBER(J81))),IFERROR(MOD(J81,1),1)&gt;0,AND(ISNUMBER(J81),OR(J81&lt;50,J81&gt;20000000))),"Введите целое число от 50 до 20000000",IF(NOT(ABS(IFERROR(VALUE(LEFT(M81,FIND("-",M81)-1)),M81)*100-(2500+2000000000)/2)&lt;=ABS(2500-2000000000)/2),"Цена со скидкой должна быть от 25 до 20000000",IF(AND(IFERROR(VALUE(LEFT(M81,FIND("-",M81)-1)),M81)*150&lt;=57375,IFERROR(VALUE(LEFT(M81,FIND("-",M81)-1)),M81)*200&gt;57375),"Вы уменьшили цену в несколько раз, товар попадет в карантин цен",IF(IFERROR(VALUE(LEFT(M81,FIND("-",M81)-1)),M81)*200&lt;=57375,"Не сохранили изменения, чтобы защитить от ошибки — новые цены меньше текущих более чем в 2 раза. Снижайте их постепенно",IF(AND(IFERROR(VALUE(I81),0)=0,ISNUMBER(J81),OR(J81&lt;284,ABS(IFERROR(VALUE(LEFT(M81,FIND("-",M81)-1)),M81))*100&lt;28400)),"Проверьте цену товара. Большинство товаров в выбранной категории стоят дороже 284","")))))),"")</f>
      </c>
    </row>
    <row r="82">
      <c r="A82" s="2" t="inlineStr">
        <is>
          <t>AROLS</t>
        </is>
      </c>
      <c r="B82" s="2" t="inlineStr">
        <is>
          <t>Эспандеры</t>
        </is>
      </c>
      <c r="C82" s="2">
        <v>550539998</v>
      </c>
      <c r="D82" s="2" t="inlineStr">
        <is>
          <t>ACRB5FR200CL</t>
        </is>
      </c>
      <c r="E82" s="2" t="inlineStr">
        <is>
          <t>2046392546618</t>
        </is>
      </c>
      <c r="F82" s="2">
        <v>59</v>
      </c>
      <c r="G82" s="2">
        <v>0</v>
      </c>
      <c r="H82" s="2">
        <v>999</v>
      </c>
      <c r="I82" s="2" t="inlineStr">
        <is>
          <t>2820</t>
        </is>
      </c>
      <c r="J82" s="4"/>
      <c r="K82" s="2">
        <v>49</v>
      </c>
      <c r="L82" s="6"/>
      <c r="M82" s="2" t="str">
        <f>IF(J82="",ROUND(I82*(1-IF(ISBLANK(L82),K82,L82)/100),2),ROUND(J82*(1-IF(ISBLANK(L82),K82,L82)/100),2))</f>
      </c>
      <c r="N82" s="7" t="str">
        <f>IF(NOT(AND(J82="",L82="")),IF(OR(AND(L82&lt;&gt;"",NOT(ISNUMBER(L82))),IFERROR(MOD(L82,1),1)&gt;0,AND(ISNUMBER(L82),OR(L82&lt;0,L82&gt;95))),"Введите целое число от 0 до 95",IF(OR(AND(J82&lt;&gt;"",NOT(ISNUMBER(J82))),IFERROR(MOD(J82,1),1)&gt;0,AND(ISNUMBER(J82),OR(J82&lt;50,J82&gt;20000000))),"Введите целое число от 50 до 20000000",IF(NOT(ABS(IFERROR(VALUE(LEFT(M82,FIND("-",M82)-1)),M82)*100-(2500+2000000000)/2)&lt;=ABS(2500-2000000000)/2),"Цена со скидкой должна быть от 25 до 20000000",IF(AND(IFERROR(VALUE(LEFT(M82,FIND("-",M82)-1)),M82)*150&lt;=143820,IFERROR(VALUE(LEFT(M82,FIND("-",M82)-1)),M82)*200&gt;143820),"Вы уменьшили цену в несколько раз, товар попадет в карантин цен",IF(IFERROR(VALUE(LEFT(M82,FIND("-",M82)-1)),M82)*200&lt;=143820,"Не сохранили изменения, чтобы защитить от ошибки — новые цены меньше текущих более чем в 2 раза. Снижайте их постепенно",IF(AND(IFERROR(VALUE(I82),0)=0,ISNUMBER(J82),OR(J82&lt;256,ABS(IFERROR(VALUE(LEFT(M82,FIND("-",M82)-1)),M82))*100&lt;25600)),"Проверьте цену товара. Большинство товаров в выбранной категории стоят дороже 256","")))))),"")</f>
      </c>
    </row>
    <row r="83">
      <c r="A83" s="2" t="inlineStr">
        <is>
          <t>AROLS HOME</t>
        </is>
      </c>
      <c r="B83" s="2" t="inlineStr">
        <is>
          <t>Мешки для стирки</t>
        </is>
      </c>
      <c r="C83" s="2">
        <v>236929187</v>
      </c>
      <c r="D83" s="2" t="inlineStr">
        <is>
          <t>AHMA1BW112WH</t>
        </is>
      </c>
      <c r="E83" s="2" t="inlineStr">
        <is>
          <t>2040335626849</t>
        </is>
      </c>
      <c r="F83" s="2">
        <v>96</v>
      </c>
      <c r="G83" s="2">
        <v>0</v>
      </c>
      <c r="H83" s="2">
        <v>41</v>
      </c>
      <c r="I83" s="2" t="inlineStr">
        <is>
          <t>956</t>
        </is>
      </c>
      <c r="J83" s="4"/>
      <c r="K83" s="2">
        <v>38</v>
      </c>
      <c r="L83" s="6"/>
      <c r="M83" s="2" t="str">
        <f>IF(J83="",ROUND(I83*(1-IF(ISBLANK(L83),K83,L83)/100),2),ROUND(J83*(1-IF(ISBLANK(L83),K83,L83)/100),2))</f>
      </c>
      <c r="N83" s="7" t="str">
        <f>IF(NOT(AND(J83="",L83="")),IF(OR(AND(L83&lt;&gt;"",NOT(ISNUMBER(L83))),IFERROR(MOD(L83,1),1)&gt;0,AND(ISNUMBER(L83),OR(L83&lt;0,L83&gt;95))),"Введите целое число от 0 до 95",IF(OR(AND(J83&lt;&gt;"",NOT(ISNUMBER(J83))),IFERROR(MOD(J83,1),1)&gt;0,AND(ISNUMBER(J83),OR(J83&lt;50,J83&gt;20000000))),"Введите целое число от 50 до 20000000",IF(NOT(ABS(IFERROR(VALUE(LEFT(M83,FIND("-",M83)-1)),M83)*100-(2500+2000000000)/2)&lt;=ABS(2500-2000000000)/2),"Цена со скидкой должна быть от 25 до 20000000",IF(AND(IFERROR(VALUE(LEFT(M83,FIND("-",M83)-1)),M83)*150&lt;=59272,IFERROR(VALUE(LEFT(M83,FIND("-",M83)-1)),M83)*200&gt;59272),"Вы уменьшили цену в несколько раз, товар попадет в карантин цен",IF(IFERROR(VALUE(LEFT(M83,FIND("-",M83)-1)),M83)*200&lt;=59272,"Не сохранили изменения, чтобы защитить от ошибки — новые цены меньше текущих более чем в 2 раза. Снижайте их постепенно",IF(AND(IFERROR(VALUE(I83),0)=0,ISNUMBER(J83),OR(J83&lt;284,ABS(IFERROR(VALUE(LEFT(M83,FIND("-",M83)-1)),M83))*100&lt;28400)),"Проверьте цену товара. Большинство товаров в выбранной категории стоят дороже 284","")))))),"")</f>
      </c>
    </row>
    <row r="84">
      <c r="A84" s="2" t="inlineStr">
        <is>
          <t>AROLS</t>
        </is>
      </c>
      <c r="B84" s="2" t="inlineStr">
        <is>
          <t>Эспандеры</t>
        </is>
      </c>
      <c r="C84" s="2">
        <v>550539999</v>
      </c>
      <c r="D84" s="2" t="inlineStr">
        <is>
          <t>ACRB4FR300CL</t>
        </is>
      </c>
      <c r="E84" s="2" t="inlineStr">
        <is>
          <t>2046392546632</t>
        </is>
      </c>
      <c r="F84" s="2">
        <v>39</v>
      </c>
      <c r="G84" s="2">
        <v>0</v>
      </c>
      <c r="H84" s="2">
        <v>610</v>
      </c>
      <c r="I84" s="2" t="inlineStr">
        <is>
          <t>1456</t>
        </is>
      </c>
      <c r="J84" s="4"/>
      <c r="K84" s="2">
        <v>49</v>
      </c>
      <c r="L84" s="6"/>
      <c r="M84" s="2" t="str">
        <f>IF(J84="",ROUND(I84*(1-IF(ISBLANK(L84),K84,L84)/100),2),ROUND(J84*(1-IF(ISBLANK(L84),K84,L84)/100),2))</f>
      </c>
      <c r="N84" s="7" t="str">
        <f>IF(NOT(AND(J84="",L84="")),IF(OR(AND(L84&lt;&gt;"",NOT(ISNUMBER(L84))),IFERROR(MOD(L84,1),1)&gt;0,AND(ISNUMBER(L84),OR(L84&lt;0,L84&gt;95))),"Введите целое число от 0 до 95",IF(OR(AND(J84&lt;&gt;"",NOT(ISNUMBER(J84))),IFERROR(MOD(J84,1),1)&gt;0,AND(ISNUMBER(J84),OR(J84&lt;50,J84&gt;20000000))),"Введите целое число от 50 до 20000000",IF(NOT(ABS(IFERROR(VALUE(LEFT(M84,FIND("-",M84)-1)),M84)*100-(2500+2000000000)/2)&lt;=ABS(2500-2000000000)/2),"Цена со скидкой должна быть от 25 до 20000000",IF(AND(IFERROR(VALUE(LEFT(M84,FIND("-",M84)-1)),M84)*150&lt;=74256,IFERROR(VALUE(LEFT(M84,FIND("-",M84)-1)),M84)*200&gt;74256),"Вы уменьшили цену в несколько раз, товар попадет в карантин цен",IF(IFERROR(VALUE(LEFT(M84,FIND("-",M84)-1)),M84)*200&lt;=74256,"Не сохранили изменения, чтобы защитить от ошибки — новые цены меньше текущих более чем в 2 раза. Снижайте их постепенно",IF(AND(IFERROR(VALUE(I84),0)=0,ISNUMBER(J84),OR(J84&lt;256,ABS(IFERROR(VALUE(LEFT(M84,FIND("-",M84)-1)),M84))*100&lt;25600)),"Проверьте цену товара. Большинство товаров в выбранной категории стоят дороже 256","")))))),"")</f>
      </c>
    </row>
    <row r="85">
      <c r="A85" s="2" t="inlineStr">
        <is>
          <t>AROLS</t>
        </is>
      </c>
      <c r="B85" s="2" t="inlineStr">
        <is>
          <t>Эспандеры</t>
        </is>
      </c>
      <c r="C85" s="2">
        <v>820643010</v>
      </c>
      <c r="D85" s="2" t="inlineStr">
        <is>
          <t>ACRB3FR101CL</t>
        </is>
      </c>
      <c r="E85" s="2" t="inlineStr">
        <is>
          <t>2048933027488</t>
        </is>
      </c>
      <c r="F85" s="2">
        <v>89</v>
      </c>
      <c r="G85" s="2">
        <v>0</v>
      </c>
      <c r="H85" s="2">
        <v>247</v>
      </c>
      <c r="I85" s="2" t="inlineStr">
        <is>
          <t>2141</t>
        </is>
      </c>
      <c r="J85" s="4"/>
      <c r="K85" s="2">
        <v>52</v>
      </c>
      <c r="L85" s="6"/>
      <c r="M85" s="2" t="str">
        <f>IF(J85="",ROUND(I85*(1-IF(ISBLANK(L85),K85,L85)/100),2),ROUND(J85*(1-IF(ISBLANK(L85),K85,L85)/100),2))</f>
      </c>
      <c r="N85" s="7" t="str">
        <f>IF(NOT(AND(J85="",L85="")),IF(OR(AND(L85&lt;&gt;"",NOT(ISNUMBER(L85))),IFERROR(MOD(L85,1),1)&gt;0,AND(ISNUMBER(L85),OR(L85&lt;0,L85&gt;95))),"Введите целое число от 0 до 95",IF(OR(AND(J85&lt;&gt;"",NOT(ISNUMBER(J85))),IFERROR(MOD(J85,1),1)&gt;0,AND(ISNUMBER(J85),OR(J85&lt;50,J85&gt;20000000))),"Введите целое число от 50 до 20000000",IF(NOT(ABS(IFERROR(VALUE(LEFT(M85,FIND("-",M85)-1)),M85)*100-(2500+2000000000)/2)&lt;=ABS(2500-2000000000)/2),"Цена со скидкой должна быть от 25 до 20000000",IF(AND(IFERROR(VALUE(LEFT(M85,FIND("-",M85)-1)),M85)*150&lt;=102768,IFERROR(VALUE(LEFT(M85,FIND("-",M85)-1)),M85)*200&gt;102768),"Вы уменьшили цену в несколько раз, товар попадет в карантин цен",IF(IFERROR(VALUE(LEFT(M85,FIND("-",M85)-1)),M85)*200&lt;=102768,"Не сохранили изменения, чтобы защитить от ошибки — новые цены меньше текущих более чем в 2 раза. Снижайте их постепенно",IF(AND(IFERROR(VALUE(I85),0)=0,ISNUMBER(J85),OR(J85&lt;256,ABS(IFERROR(VALUE(LEFT(M85,FIND("-",M85)-1)),M85))*100&lt;25600)),"Проверьте цену товара. Большинство товаров в выбранной категории стоят дороже 256","")))))),"")</f>
      </c>
    </row>
    <row r="86">
      <c r="A86" s="2" t="inlineStr">
        <is>
          <t>AROLS HOME</t>
        </is>
      </c>
      <c r="B86" s="2" t="inlineStr">
        <is>
          <t>Мешки для стирки</t>
        </is>
      </c>
      <c r="C86" s="2">
        <v>204615141</v>
      </c>
      <c r="D86" s="2" t="inlineStr">
        <is>
          <t>AHMA2BW201WH</t>
        </is>
      </c>
      <c r="E86" s="2" t="inlineStr">
        <is>
          <t>2039404446068</t>
        </is>
      </c>
      <c r="F86" s="2">
        <v>222</v>
      </c>
      <c r="G86" s="2">
        <v>0</v>
      </c>
      <c r="H86" s="2">
        <v>532</v>
      </c>
      <c r="I86" s="2" t="inlineStr">
        <is>
          <t>1008</t>
        </is>
      </c>
      <c r="J86" s="4"/>
      <c r="K86" s="2">
        <v>57</v>
      </c>
      <c r="L86" s="6"/>
      <c r="M86" s="2" t="str">
        <f>IF(J86="",ROUND(I86*(1-IF(ISBLANK(L86),K86,L86)/100),2),ROUND(J86*(1-IF(ISBLANK(L86),K86,L86)/100),2))</f>
      </c>
      <c r="N86" s="7" t="str">
        <f>IF(NOT(AND(J86="",L86="")),IF(OR(AND(L86&lt;&gt;"",NOT(ISNUMBER(L86))),IFERROR(MOD(L86,1),1)&gt;0,AND(ISNUMBER(L86),OR(L86&lt;0,L86&gt;95))),"Введите целое число от 0 до 95",IF(OR(AND(J86&lt;&gt;"",NOT(ISNUMBER(J86))),IFERROR(MOD(J86,1),1)&gt;0,AND(ISNUMBER(J86),OR(J86&lt;50,J86&gt;20000000))),"Введите целое число от 50 до 20000000",IF(NOT(ABS(IFERROR(VALUE(LEFT(M86,FIND("-",M86)-1)),M86)*100-(2500+2000000000)/2)&lt;=ABS(2500-2000000000)/2),"Цена со скидкой должна быть от 25 до 20000000",IF(AND(IFERROR(VALUE(LEFT(M86,FIND("-",M86)-1)),M86)*150&lt;=43344,IFERROR(VALUE(LEFT(M86,FIND("-",M86)-1)),M86)*200&gt;43344),"Вы уменьшили цену в несколько раз, товар попадет в карантин цен",IF(IFERROR(VALUE(LEFT(M86,FIND("-",M86)-1)),M86)*200&lt;=43344,"Не сохранили изменения, чтобы защитить от ошибки — новые цены меньше текущих более чем в 2 раза. Снижайте их постепенно",IF(AND(IFERROR(VALUE(I86),0)=0,ISNUMBER(J86),OR(J86&lt;284,ABS(IFERROR(VALUE(LEFT(M86,FIND("-",M86)-1)),M86))*100&lt;28400)),"Проверьте цену товара. Большинство товаров в выбранной категории стоят дороже 284","")))))),"")</f>
      </c>
    </row>
  </sheetData>
  <conditionalFormatting sqref="J2:J86">
    <cfRule type="containsBlanks" priority="1" stopIfTrue="true">
      <formula>LEN(TRIM(J2))=0</formula>
    </cfRule>
    <cfRule type="cellIs" dxfId="1" priority="2" operator="notBetween">
      <formula>50</formula>
      <formula>20000000</formula>
    </cfRule>
  </conditionalFormatting>
  <conditionalFormatting sqref="L2:L86">
    <cfRule type="containsBlanks" priority="3" stopIfTrue="true">
      <formula>LEN(TRIM(L2))=0</formula>
    </cfRule>
    <cfRule type="cellIs" dxfId="1" priority="4" operator="notBetween">
      <formula>0</formula>
      <formula>95</formula>
    </cfRule>
  </conditionalFormatting>
  <conditionalFormatting sqref="N2:N86">
    <cfRule type="cellIs" dxfId="2" priority="5" operator="equal">
      <formula>"Вы уменьшили цену в несколько раз, товар попадет в карантин цен"</formula>
    </cfRule>
    <cfRule type="beginsWith" dxfId="2" priority="6" operator="beginsWith" text="Проверьте цену товара. Большинство товаров в выбранной категории стоят дороже ">
      <formula>LEFT(N2,LEN("Проверьте цену товара. Большинство товаров в выбранной категории стоят дороже "))="Проверьте цену товара. Большинство товаров в выбранной категории стоят дороже "</formula>
    </cfRule>
    <cfRule type="cellIs" dxfId="1" priority="7" operator="notEqual">
      <formula>""</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xuri</dc:creator>
  <lastModifiedBy/>
  <dc:language>ru</dc:language>
  <dcterms:created xsi:type="dcterms:W3CDTF">2006-09-16T00:00:00Z</dcterms:created>
  <dcterms:modified xsi:type="dcterms:W3CDTF">2006-09-16T00:00:00Z</dcterms:modified>
</coreProperties>
</file>