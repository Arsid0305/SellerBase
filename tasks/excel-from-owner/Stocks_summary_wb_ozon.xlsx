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"/>
    </mc:Choice>
  </mc:AlternateContent>
  <xr:revisionPtr revIDLastSave="0" documentId="13_ncr:1_{BDB1DC20-1B9F-4041-B209-08EEF0A18CEA}" xr6:coauthVersionLast="47" xr6:coauthVersionMax="47" xr10:uidLastSave="{00000000-0000-0000-0000-000000000000}"/>
  <bookViews>
    <workbookView xWindow="-120" yWindow="-120" windowWidth="29040" windowHeight="15720" tabRatio="718" xr2:uid="{53FB0385-49B3-48F5-99E3-54D192547310}"/>
  </bookViews>
  <sheets>
    <sheet name="Сводный" sheetId="2" r:id="rId1"/>
    <sheet name="ВБ Отчет Продажи (за 60 дней)" sheetId="1" r:id="rId2"/>
    <sheet name="ОЗОН Оборот ведом (за 60 дней)" sheetId="3" r:id="rId3"/>
    <sheet name="ОЗОН Доступн товара" sheetId="5" r:id="rId4"/>
    <sheet name="Шаблон_для_ФФ" sheetId="4" r:id="rId5"/>
    <sheet name="Шаблон_для_ФФ (значения)" sheetId="7" r:id="rId6"/>
    <sheet name="Остатки" sheetId="6" r:id="rId7"/>
  </sheets>
  <externalReferences>
    <externalReference r:id="rId8"/>
    <externalReference r:id="rId9"/>
    <externalReference r:id="rId10"/>
  </externalReferences>
  <definedNames>
    <definedName name="_xlnm._FilterDatabase" localSheetId="1" hidden="1">'ВБ Отчет Продажи (за 60 дней)'!$A$2:$P$529</definedName>
    <definedName name="_xlnm._FilterDatabase" localSheetId="3" hidden="1">'ОЗОН Доступн товара'!$A$6:$Q$410</definedName>
    <definedName name="_xlnm._FilterDatabase" localSheetId="0" hidden="1">Сводный!$A$1:$CG$85</definedName>
    <definedName name="_xlnm._FilterDatabase" localSheetId="5" hidden="1">'Шаблон_для_ФФ (значения)'!$A$1:$E$44</definedName>
    <definedName name="discontinueDiscount">#REF!</definedName>
    <definedName name="formUrl">#REF!</definedName>
    <definedName name="g">#REF!</definedName>
    <definedName name="groupByArticles">#REF!</definedName>
    <definedName name="h">#REF!</definedName>
    <definedName name="instructionsUrl">#REF!</definedName>
    <definedName name="loadingPeriod">#REF!</definedName>
    <definedName name="loadsPerMonth">#REF!</definedName>
    <definedName name="logArticles">#REF!</definedName>
    <definedName name="logDeficiency">#REF!</definedName>
    <definedName name="logMovements">#REF!</definedName>
    <definedName name="logPredict">#REF!</definedName>
    <definedName name="logRemains">#REF!</definedName>
    <definedName name="logSells">#REF!</definedName>
    <definedName name="logStore">#REF!</definedName>
    <definedName name="logTransit">#REF!</definedName>
    <definedName name="logTurnover">#REF!</definedName>
    <definedName name="logWaiting">#REF!</definedName>
    <definedName name="minRemains">#REF!</definedName>
    <definedName name="packSize">#REF!</definedName>
    <definedName name="regionSellsPerMonth">#REF!</definedName>
    <definedName name="sellsPeriod">#REF!</definedName>
    <definedName name="t">#REF!</definedName>
    <definedName name="x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83" i="2" l="1"/>
  <c r="CE56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7" i="2"/>
  <c r="CE58" i="2"/>
  <c r="CE59" i="2"/>
  <c r="CE60" i="2"/>
  <c r="CE61" i="2"/>
  <c r="CE62" i="2"/>
  <c r="CE63" i="2"/>
  <c r="A3" i="2"/>
  <c r="B3" i="2"/>
  <c r="AX3" i="2" s="1"/>
  <c r="C3" i="2"/>
  <c r="D3" i="2"/>
  <c r="E3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D4" i="2"/>
  <c r="CE4" i="2" l="1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BW83" i="2"/>
  <c r="AI45" i="2" l="1"/>
  <c r="AX47" i="2"/>
  <c r="BM47" i="2" s="1"/>
  <c r="AI48" i="2"/>
  <c r="AI49" i="2"/>
  <c r="AX50" i="2"/>
  <c r="BM50" i="2" s="1"/>
  <c r="AI51" i="2"/>
  <c r="AI52" i="2"/>
  <c r="F47" i="2" l="1"/>
  <c r="O47" i="2"/>
  <c r="AD47" i="2"/>
  <c r="Q52" i="2"/>
  <c r="AD52" i="2"/>
  <c r="O52" i="2"/>
  <c r="M49" i="2"/>
  <c r="AD49" i="2"/>
  <c r="O49" i="2"/>
  <c r="L46" i="2"/>
  <c r="AD46" i="2"/>
  <c r="O46" i="2"/>
  <c r="V50" i="2"/>
  <c r="AD50" i="2"/>
  <c r="O50" i="2"/>
  <c r="AF51" i="2"/>
  <c r="AD51" i="2"/>
  <c r="O51" i="2"/>
  <c r="N48" i="2"/>
  <c r="AD48" i="2"/>
  <c r="O48" i="2"/>
  <c r="U45" i="2"/>
  <c r="O45" i="2"/>
  <c r="AD45" i="2"/>
  <c r="J45" i="2"/>
  <c r="M45" i="2"/>
  <c r="L45" i="2"/>
  <c r="K45" i="2"/>
  <c r="AC45" i="2"/>
  <c r="AA45" i="2"/>
  <c r="Y45" i="2"/>
  <c r="V45" i="2"/>
  <c r="Q45" i="2"/>
  <c r="P45" i="2"/>
  <c r="N45" i="2"/>
  <c r="AX45" i="2"/>
  <c r="BM45" i="2" s="1"/>
  <c r="I45" i="2"/>
  <c r="AF45" i="2"/>
  <c r="H45" i="2"/>
  <c r="AE45" i="2"/>
  <c r="G45" i="2"/>
  <c r="AB45" i="2"/>
  <c r="X45" i="2"/>
  <c r="W45" i="2"/>
  <c r="S45" i="2"/>
  <c r="U46" i="2"/>
  <c r="Y46" i="2"/>
  <c r="AF52" i="2"/>
  <c r="F50" i="2"/>
  <c r="W46" i="2"/>
  <c r="V46" i="2"/>
  <c r="J46" i="2"/>
  <c r="H52" i="2"/>
  <c r="I46" i="2"/>
  <c r="X46" i="2"/>
  <c r="N50" i="2"/>
  <c r="K46" i="2"/>
  <c r="F52" i="2"/>
  <c r="H46" i="2"/>
  <c r="G46" i="2"/>
  <c r="F46" i="2"/>
  <c r="G52" i="2"/>
  <c r="G50" i="2"/>
  <c r="AB52" i="2"/>
  <c r="Z52" i="2"/>
  <c r="W49" i="2"/>
  <c r="AE52" i="2"/>
  <c r="Y52" i="2"/>
  <c r="J52" i="2"/>
  <c r="G49" i="2"/>
  <c r="AC52" i="2"/>
  <c r="AA52" i="2"/>
  <c r="X49" i="2"/>
  <c r="U49" i="2"/>
  <c r="X52" i="2"/>
  <c r="I49" i="2"/>
  <c r="I52" i="2"/>
  <c r="P52" i="2"/>
  <c r="AE51" i="2"/>
  <c r="W52" i="2"/>
  <c r="V52" i="2"/>
  <c r="U52" i="2"/>
  <c r="M52" i="2"/>
  <c r="AC51" i="2"/>
  <c r="L52" i="2"/>
  <c r="AB51" i="2"/>
  <c r="K52" i="2"/>
  <c r="AA51" i="2"/>
  <c r="AB46" i="2"/>
  <c r="F49" i="2"/>
  <c r="AC49" i="2"/>
  <c r="AF50" i="2"/>
  <c r="AB49" i="2"/>
  <c r="S50" i="2"/>
  <c r="AA49" i="2"/>
  <c r="Q50" i="2"/>
  <c r="Z49" i="2"/>
  <c r="AX52" i="2"/>
  <c r="BM52" i="2" s="1"/>
  <c r="N52" i="2"/>
  <c r="P50" i="2"/>
  <c r="Y49" i="2"/>
  <c r="S48" i="2"/>
  <c r="AA46" i="2"/>
  <c r="V49" i="2"/>
  <c r="AI47" i="2"/>
  <c r="N49" i="2"/>
  <c r="AX48" i="2"/>
  <c r="BM48" i="2" s="1"/>
  <c r="AE47" i="2"/>
  <c r="L49" i="2"/>
  <c r="Q47" i="2"/>
  <c r="S49" i="2"/>
  <c r="AF47" i="2"/>
  <c r="S52" i="2"/>
  <c r="AX49" i="2"/>
  <c r="BM49" i="2" s="1"/>
  <c r="K49" i="2"/>
  <c r="P47" i="2"/>
  <c r="AI50" i="2"/>
  <c r="J49" i="2"/>
  <c r="N47" i="2"/>
  <c r="Z46" i="2"/>
  <c r="Z45" i="2"/>
  <c r="F45" i="2"/>
  <c r="Z48" i="2"/>
  <c r="M47" i="2"/>
  <c r="X50" i="2"/>
  <c r="AF49" i="2"/>
  <c r="H49" i="2"/>
  <c r="Y48" i="2"/>
  <c r="AA48" i="2"/>
  <c r="AX46" i="2"/>
  <c r="BM46" i="2" s="1"/>
  <c r="AI46" i="2"/>
  <c r="Q48" i="2"/>
  <c r="S51" i="2"/>
  <c r="P48" i="2"/>
  <c r="S46" i="2"/>
  <c r="U51" i="2"/>
  <c r="V51" i="2"/>
  <c r="F51" i="2"/>
  <c r="W51" i="2"/>
  <c r="G51" i="2"/>
  <c r="X51" i="2"/>
  <c r="H51" i="2"/>
  <c r="Y51" i="2"/>
  <c r="G47" i="2"/>
  <c r="X47" i="2"/>
  <c r="H47" i="2"/>
  <c r="Y47" i="2"/>
  <c r="I47" i="2"/>
  <c r="Z47" i="2"/>
  <c r="L47" i="2"/>
  <c r="AC47" i="2"/>
  <c r="J47" i="2"/>
  <c r="AA47" i="2"/>
  <c r="K47" i="2"/>
  <c r="AB47" i="2"/>
  <c r="U48" i="2"/>
  <c r="G48" i="2"/>
  <c r="X48" i="2"/>
  <c r="V48" i="2"/>
  <c r="F48" i="2"/>
  <c r="W48" i="2"/>
  <c r="Z51" i="2"/>
  <c r="Q51" i="2"/>
  <c r="N51" i="2"/>
  <c r="M48" i="2"/>
  <c r="P51" i="2"/>
  <c r="L48" i="2"/>
  <c r="L51" i="2"/>
  <c r="W50" i="2"/>
  <c r="AX51" i="2"/>
  <c r="BM51" i="2" s="1"/>
  <c r="K51" i="2"/>
  <c r="AE48" i="2"/>
  <c r="H48" i="2"/>
  <c r="K48" i="2"/>
  <c r="W47" i="2"/>
  <c r="M51" i="2"/>
  <c r="H50" i="2"/>
  <c r="Y50" i="2"/>
  <c r="I50" i="2"/>
  <c r="Z50" i="2"/>
  <c r="J50" i="2"/>
  <c r="AA50" i="2"/>
  <c r="K50" i="2"/>
  <c r="AB50" i="2"/>
  <c r="L50" i="2"/>
  <c r="AC50" i="2"/>
  <c r="M50" i="2"/>
  <c r="AE50" i="2"/>
  <c r="J51" i="2"/>
  <c r="U50" i="2"/>
  <c r="AC48" i="2"/>
  <c r="S47" i="2"/>
  <c r="J48" i="2"/>
  <c r="V47" i="2"/>
  <c r="AF48" i="2"/>
  <c r="I48" i="2"/>
  <c r="U47" i="2"/>
  <c r="I51" i="2"/>
  <c r="AB48" i="2"/>
  <c r="Q46" i="2"/>
  <c r="Q49" i="2"/>
  <c r="P46" i="2"/>
  <c r="P49" i="2"/>
  <c r="AF46" i="2"/>
  <c r="N46" i="2"/>
  <c r="AE46" i="2"/>
  <c r="M46" i="2"/>
  <c r="AE49" i="2"/>
  <c r="AC46" i="2"/>
  <c r="AV51" i="2" l="1" a="1"/>
  <c r="AV51" i="2" s="1"/>
  <c r="BK51" i="2" s="1"/>
  <c r="AR49" i="2" a="1"/>
  <c r="AR49" i="2" s="1"/>
  <c r="BG49" i="2" s="1"/>
  <c r="AV52" i="2" a="1"/>
  <c r="AV52" i="2" s="1"/>
  <c r="BK52" i="2" s="1"/>
  <c r="AT46" i="2" a="1"/>
  <c r="AT46" i="2" s="1"/>
  <c r="BI46" i="2" s="1"/>
  <c r="AS48" i="2" a="1"/>
  <c r="AS48" i="2" s="1"/>
  <c r="BH48" i="2" s="1"/>
  <c r="AL50" i="2" a="1"/>
  <c r="AL50" i="2" s="1"/>
  <c r="BA50" i="2" s="1"/>
  <c r="AT50" i="2" a="1"/>
  <c r="AT50" i="2" s="1"/>
  <c r="BI50" i="2" s="1"/>
  <c r="AQ46" i="2" a="1"/>
  <c r="AQ46" i="2" s="1"/>
  <c r="BF46" i="2" s="1"/>
  <c r="AT52" i="2" a="1"/>
  <c r="AT52" i="2" s="1"/>
  <c r="BI52" i="2" s="1"/>
  <c r="AT51" i="2" a="1"/>
  <c r="AT51" i="2" s="1"/>
  <c r="BI51" i="2" s="1"/>
  <c r="AT47" i="2" a="1"/>
  <c r="AT47" i="2" s="1"/>
  <c r="BI47" i="2" s="1"/>
  <c r="AT49" i="2" a="1"/>
  <c r="AT49" i="2" s="1"/>
  <c r="BI49" i="2" s="1"/>
  <c r="AT45" i="2" a="1"/>
  <c r="AT45" i="2" s="1"/>
  <c r="BI45" i="2" s="1"/>
  <c r="AT48" i="2" a="1"/>
  <c r="AT48" i="2" s="1"/>
  <c r="BI48" i="2" s="1"/>
  <c r="AR52" i="2" a="1"/>
  <c r="AR52" i="2" s="1"/>
  <c r="BG52" i="2" s="1"/>
  <c r="AQ45" i="2" a="1"/>
  <c r="AQ45" i="2" s="1"/>
  <c r="BF45" i="2" s="1"/>
  <c r="AS45" i="2" a="1"/>
  <c r="AS45" i="2" s="1"/>
  <c r="BH45" i="2" s="1"/>
  <c r="AR45" i="2" a="1"/>
  <c r="AR45" i="2" s="1"/>
  <c r="BG45" i="2" s="1"/>
  <c r="AL45" i="2" a="1"/>
  <c r="AL45" i="2" s="1"/>
  <c r="BA45" i="2" s="1"/>
  <c r="AO45" i="2" a="1"/>
  <c r="AO45" i="2" s="1"/>
  <c r="BD45" i="2" s="1"/>
  <c r="AV45" i="2" a="1"/>
  <c r="AV45" i="2" s="1"/>
  <c r="BK45" i="2" s="1"/>
  <c r="AK46" i="2" a="1"/>
  <c r="AK46" i="2" s="1"/>
  <c r="AZ46" i="2" s="1"/>
  <c r="AU45" i="2" a="1"/>
  <c r="AU45" i="2" s="1"/>
  <c r="BJ45" i="2" s="1"/>
  <c r="AM45" i="2" a="1"/>
  <c r="AM45" i="2" s="1"/>
  <c r="BB45" i="2" s="1"/>
  <c r="AM52" i="2" a="1"/>
  <c r="AM52" i="2" s="1"/>
  <c r="BB52" i="2" s="1"/>
  <c r="AN45" i="2" a="1"/>
  <c r="AN45" i="2" s="1"/>
  <c r="BC45" i="2" s="1"/>
  <c r="AU51" i="2" a="1"/>
  <c r="AU51" i="2" s="1"/>
  <c r="BJ51" i="2" s="1"/>
  <c r="AQ48" i="2" a="1"/>
  <c r="AQ48" i="2" s="1"/>
  <c r="BF48" i="2" s="1"/>
  <c r="AU52" i="2" a="1"/>
  <c r="AU52" i="2" s="1"/>
  <c r="BJ52" i="2" s="1"/>
  <c r="AG45" i="2"/>
  <c r="AV49" i="2" a="1"/>
  <c r="AV49" i="2" s="1"/>
  <c r="BK49" i="2" s="1"/>
  <c r="R45" i="2"/>
  <c r="T45" i="2" s="1"/>
  <c r="AS52" i="2" a="1"/>
  <c r="AS52" i="2" s="1"/>
  <c r="BH52" i="2" s="1"/>
  <c r="AO46" i="2" a="1"/>
  <c r="AO46" i="2" s="1"/>
  <c r="BD46" i="2" s="1"/>
  <c r="AL46" i="2" a="1"/>
  <c r="AL46" i="2" s="1"/>
  <c r="BA46" i="2" s="1"/>
  <c r="AK52" i="2" a="1"/>
  <c r="AK52" i="2" s="1"/>
  <c r="AZ52" i="2" s="1"/>
  <c r="AM46" i="2" a="1"/>
  <c r="AM46" i="2" s="1"/>
  <c r="BB46" i="2" s="1"/>
  <c r="AS49" i="2" a="1"/>
  <c r="AS49" i="2" s="1"/>
  <c r="BH49" i="2" s="1"/>
  <c r="AL52" i="2" a="1"/>
  <c r="AL52" i="2" s="1"/>
  <c r="BA52" i="2" s="1"/>
  <c r="AP52" i="2" a="1"/>
  <c r="AP52" i="2" s="1"/>
  <c r="BE52" i="2" s="1"/>
  <c r="AN46" i="2" a="1"/>
  <c r="AN46" i="2" s="1"/>
  <c r="BC46" i="2" s="1"/>
  <c r="AV50" i="2" a="1"/>
  <c r="AV50" i="2" s="1"/>
  <c r="BK50" i="2" s="1"/>
  <c r="AS51" i="2" a="1"/>
  <c r="AS51" i="2" s="1"/>
  <c r="BH51" i="2" s="1"/>
  <c r="AK49" i="2" a="1"/>
  <c r="AK49" i="2" s="1"/>
  <c r="AZ49" i="2" s="1"/>
  <c r="AP46" i="2" a="1"/>
  <c r="AP46" i="2" s="1"/>
  <c r="BE46" i="2" s="1"/>
  <c r="AK45" i="2" a="1"/>
  <c r="AK45" i="2" s="1"/>
  <c r="AZ45" i="2" s="1"/>
  <c r="AL49" i="2" a="1"/>
  <c r="AL49" i="2" s="1"/>
  <c r="BA49" i="2" s="1"/>
  <c r="AS50" i="2" a="1"/>
  <c r="AS50" i="2" s="1"/>
  <c r="BH50" i="2" s="1"/>
  <c r="AN47" i="2" a="1"/>
  <c r="AN47" i="2" s="1"/>
  <c r="BC47" i="2" s="1"/>
  <c r="AM49" i="2" a="1"/>
  <c r="AM49" i="2" s="1"/>
  <c r="BB49" i="2" s="1"/>
  <c r="AN49" i="2" a="1"/>
  <c r="AN49" i="2" s="1"/>
  <c r="BC49" i="2" s="1"/>
  <c r="AQ51" i="2" a="1"/>
  <c r="AQ51" i="2" s="1"/>
  <c r="BF51" i="2" s="1"/>
  <c r="AQ52" i="2" a="1"/>
  <c r="AQ52" i="2" s="1"/>
  <c r="BF52" i="2" s="1"/>
  <c r="AO52" i="2" a="1"/>
  <c r="AO52" i="2" s="1"/>
  <c r="BD52" i="2" s="1"/>
  <c r="AG52" i="2"/>
  <c r="AQ49" i="2" a="1"/>
  <c r="AQ49" i="2" s="1"/>
  <c r="BF49" i="2" s="1"/>
  <c r="AP48" i="2" a="1"/>
  <c r="AP48" i="2" s="1"/>
  <c r="BE48" i="2" s="1"/>
  <c r="AU50" i="2" a="1"/>
  <c r="AU50" i="2" s="1"/>
  <c r="BJ50" i="2" s="1"/>
  <c r="AN52" i="2" a="1"/>
  <c r="AN52" i="2" s="1"/>
  <c r="BC52" i="2" s="1"/>
  <c r="AR51" i="2" a="1"/>
  <c r="AR51" i="2" s="1"/>
  <c r="BG51" i="2" s="1"/>
  <c r="R52" i="2"/>
  <c r="T52" i="2" s="1"/>
  <c r="AO49" i="2" a="1"/>
  <c r="AO49" i="2" s="1"/>
  <c r="BD49" i="2" s="1"/>
  <c r="AR46" i="2" a="1"/>
  <c r="AR46" i="2" s="1"/>
  <c r="BG46" i="2" s="1"/>
  <c r="AP49" i="2" a="1"/>
  <c r="AP49" i="2" s="1"/>
  <c r="BE49" i="2" s="1"/>
  <c r="AG49" i="2"/>
  <c r="AM51" i="2" a="1"/>
  <c r="AM51" i="2" s="1"/>
  <c r="BB51" i="2" s="1"/>
  <c r="AM47" i="2" a="1"/>
  <c r="AM47" i="2" s="1"/>
  <c r="BB47" i="2" s="1"/>
  <c r="AO48" i="2" a="1"/>
  <c r="AO48" i="2" s="1"/>
  <c r="BD48" i="2" s="1"/>
  <c r="AQ47" i="2" a="1"/>
  <c r="AQ47" i="2" s="1"/>
  <c r="BF47" i="2" s="1"/>
  <c r="AU48" i="2" a="1"/>
  <c r="AU48" i="2" s="1"/>
  <c r="BJ48" i="2" s="1"/>
  <c r="AL48" i="2" a="1"/>
  <c r="AL48" i="2" s="1"/>
  <c r="BA48" i="2" s="1"/>
  <c r="AR48" i="2" a="1"/>
  <c r="AR48" i="2" s="1"/>
  <c r="BG48" i="2" s="1"/>
  <c r="AR47" i="2" a="1"/>
  <c r="AR47" i="2" s="1"/>
  <c r="BG47" i="2" s="1"/>
  <c r="AL51" i="2" a="1"/>
  <c r="AL51" i="2" s="1"/>
  <c r="BA51" i="2" s="1"/>
  <c r="AV47" i="2" a="1"/>
  <c r="AV47" i="2" s="1"/>
  <c r="BK47" i="2" s="1"/>
  <c r="AS47" i="2" a="1"/>
  <c r="AS47" i="2" s="1"/>
  <c r="BH47" i="2" s="1"/>
  <c r="AG46" i="2"/>
  <c r="AO50" i="2" a="1"/>
  <c r="AO50" i="2" s="1"/>
  <c r="BD50" i="2" s="1"/>
  <c r="AP45" i="2" a="1"/>
  <c r="AP45" i="2" s="1"/>
  <c r="BE45" i="2" s="1"/>
  <c r="AS46" i="2" a="1"/>
  <c r="AS46" i="2" s="1"/>
  <c r="BH46" i="2" s="1"/>
  <c r="AN50" i="2" a="1"/>
  <c r="AN50" i="2" s="1"/>
  <c r="BC50" i="2" s="1"/>
  <c r="AU47" i="2" a="1"/>
  <c r="AU47" i="2" s="1"/>
  <c r="BJ47" i="2" s="1"/>
  <c r="AO51" i="2" a="1"/>
  <c r="AO51" i="2" s="1"/>
  <c r="BD51" i="2" s="1"/>
  <c r="AN51" i="2" a="1"/>
  <c r="AN51" i="2" s="1"/>
  <c r="BC51" i="2" s="1"/>
  <c r="AR50" i="2" a="1"/>
  <c r="AR50" i="2" s="1"/>
  <c r="BG50" i="2" s="1"/>
  <c r="AP50" i="2" a="1"/>
  <c r="AP50" i="2" s="1"/>
  <c r="BE50" i="2" s="1"/>
  <c r="AP51" i="2" a="1"/>
  <c r="AP51" i="2" s="1"/>
  <c r="BE51" i="2" s="1"/>
  <c r="R50" i="2"/>
  <c r="T50" i="2" s="1"/>
  <c r="AM50" i="2" a="1"/>
  <c r="AM50" i="2" s="1"/>
  <c r="BB50" i="2" s="1"/>
  <c r="AL47" i="2" a="1"/>
  <c r="AL47" i="2" s="1"/>
  <c r="BA47" i="2" s="1"/>
  <c r="AU46" i="2" a="1"/>
  <c r="AU46" i="2" s="1"/>
  <c r="BJ46" i="2" s="1"/>
  <c r="R47" i="2"/>
  <c r="T47" i="2" s="1"/>
  <c r="AG48" i="2"/>
  <c r="AV48" i="2" a="1"/>
  <c r="AV48" i="2" s="1"/>
  <c r="BK48" i="2" s="1"/>
  <c r="AK48" i="2" a="1"/>
  <c r="AK48" i="2" s="1"/>
  <c r="AZ48" i="2" s="1"/>
  <c r="R48" i="2"/>
  <c r="T48" i="2" s="1"/>
  <c r="AG50" i="2"/>
  <c r="AK50" i="2" a="1"/>
  <c r="AK50" i="2" s="1"/>
  <c r="AZ50" i="2" s="1"/>
  <c r="R46" i="2"/>
  <c r="T46" i="2" s="1"/>
  <c r="AM48" i="2" a="1"/>
  <c r="AM48" i="2" s="1"/>
  <c r="BB48" i="2" s="1"/>
  <c r="AK51" i="2" a="1"/>
  <c r="AK51" i="2" s="1"/>
  <c r="AZ51" i="2" s="1"/>
  <c r="R51" i="2"/>
  <c r="T51" i="2" s="1"/>
  <c r="AU49" i="2" a="1"/>
  <c r="AU49" i="2" s="1"/>
  <c r="BJ49" i="2" s="1"/>
  <c r="AV46" i="2" a="1"/>
  <c r="AV46" i="2" s="1"/>
  <c r="BK46" i="2" s="1"/>
  <c r="AP47" i="2" a="1"/>
  <c r="AP47" i="2" s="1"/>
  <c r="BE47" i="2" s="1"/>
  <c r="AK47" i="2" a="1"/>
  <c r="AK47" i="2" s="1"/>
  <c r="AZ47" i="2" s="1"/>
  <c r="AG47" i="2"/>
  <c r="AN48" i="2" a="1"/>
  <c r="AN48" i="2" s="1"/>
  <c r="BC48" i="2" s="1"/>
  <c r="AQ50" i="2" a="1"/>
  <c r="AQ50" i="2" s="1"/>
  <c r="BF50" i="2" s="1"/>
  <c r="AO47" i="2" a="1"/>
  <c r="AO47" i="2" s="1"/>
  <c r="BD47" i="2" s="1"/>
  <c r="AG51" i="2"/>
  <c r="R49" i="2"/>
  <c r="T49" i="2" s="1"/>
  <c r="BT83" i="2"/>
  <c r="BU83" i="2"/>
  <c r="BV83" i="2"/>
  <c r="BX83" i="2"/>
  <c r="BY83" i="2"/>
  <c r="BS83" i="2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H51" i="2" l="1"/>
  <c r="AH46" i="2"/>
  <c r="AJ45" i="2"/>
  <c r="AH45" i="2"/>
  <c r="AJ52" i="2"/>
  <c r="AH52" i="2"/>
  <c r="AH48" i="2"/>
  <c r="AH47" i="2"/>
  <c r="AH50" i="2"/>
  <c r="AH49" i="2"/>
  <c r="BL52" i="2"/>
  <c r="BN52" i="2" s="1"/>
  <c r="AW45" i="2"/>
  <c r="AY45" i="2" s="1"/>
  <c r="AW52" i="2"/>
  <c r="AY52" i="2" s="1"/>
  <c r="AJ46" i="2"/>
  <c r="AJ49" i="2"/>
  <c r="BL45" i="2"/>
  <c r="BN45" i="2" s="1"/>
  <c r="AW51" i="2"/>
  <c r="AY51" i="2" s="1"/>
  <c r="BL51" i="2"/>
  <c r="BN51" i="2" s="1"/>
  <c r="AW46" i="2"/>
  <c r="AY46" i="2" s="1"/>
  <c r="BL46" i="2"/>
  <c r="BN46" i="2" s="1"/>
  <c r="AW50" i="2"/>
  <c r="AY50" i="2" s="1"/>
  <c r="BL50" i="2"/>
  <c r="BN50" i="2" s="1"/>
  <c r="AJ51" i="2"/>
  <c r="AJ50" i="2"/>
  <c r="AW49" i="2"/>
  <c r="AY49" i="2" s="1"/>
  <c r="BL49" i="2"/>
  <c r="BN49" i="2" s="1"/>
  <c r="AJ47" i="2"/>
  <c r="AW48" i="2"/>
  <c r="AY48" i="2" s="1"/>
  <c r="BL48" i="2"/>
  <c r="BN48" i="2" s="1"/>
  <c r="AW47" i="2"/>
  <c r="AY47" i="2" s="1"/>
  <c r="BL47" i="2"/>
  <c r="BN47" i="2" s="1"/>
  <c r="AJ48" i="2"/>
  <c r="BZ83" i="2" l="1"/>
  <c r="CA83" i="2"/>
  <c r="CB83" i="2"/>
  <c r="CB84" i="2" s="1"/>
  <c r="CC83" i="2"/>
  <c r="CC84" i="2" s="1"/>
  <c r="CA84" i="2" l="1"/>
  <c r="BY84" i="2" l="1"/>
  <c r="BV84" i="2"/>
  <c r="AD26" i="2" l="1"/>
  <c r="O26" i="2"/>
  <c r="BQ83" i="2"/>
  <c r="C8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A2" i="4"/>
  <c r="E4" i="2"/>
  <c r="AX73" i="2"/>
  <c r="BM73" i="2" s="1"/>
  <c r="AI74" i="2"/>
  <c r="AI75" i="2"/>
  <c r="S78" i="2"/>
  <c r="S79" i="2"/>
  <c r="S81" i="2"/>
  <c r="AT26" i="2" l="1" a="1"/>
  <c r="AT26" i="2" s="1"/>
  <c r="BI26" i="2" s="1"/>
  <c r="AA78" i="2"/>
  <c r="AD78" i="2"/>
  <c r="O78" i="2"/>
  <c r="F74" i="2"/>
  <c r="O74" i="2"/>
  <c r="AD74" i="2"/>
  <c r="M81" i="2"/>
  <c r="AD81" i="2"/>
  <c r="O81" i="2"/>
  <c r="U77" i="2"/>
  <c r="AD77" i="2"/>
  <c r="O77" i="2"/>
  <c r="Q73" i="2"/>
  <c r="AD73" i="2"/>
  <c r="O73" i="2"/>
  <c r="AA82" i="2"/>
  <c r="AD82" i="2"/>
  <c r="O82" i="2"/>
  <c r="AF80" i="2"/>
  <c r="AD80" i="2"/>
  <c r="O80" i="2"/>
  <c r="O76" i="2"/>
  <c r="AD76" i="2"/>
  <c r="O72" i="2"/>
  <c r="AD72" i="2"/>
  <c r="M79" i="2"/>
  <c r="AD79" i="2"/>
  <c r="O79" i="2"/>
  <c r="Y75" i="2"/>
  <c r="AD75" i="2"/>
  <c r="O75" i="2"/>
  <c r="BR83" i="2"/>
  <c r="BR84" i="2" s="1"/>
  <c r="CC85" i="2" s="1"/>
  <c r="C2" i="4"/>
  <c r="CD3" i="2"/>
  <c r="CE3" i="2" s="1"/>
  <c r="N81" i="2"/>
  <c r="Q78" i="2"/>
  <c r="J75" i="2"/>
  <c r="H75" i="2"/>
  <c r="P74" i="2"/>
  <c r="N74" i="2"/>
  <c r="H74" i="2"/>
  <c r="AE78" i="2"/>
  <c r="Z78" i="2"/>
  <c r="Y78" i="2"/>
  <c r="V78" i="2"/>
  <c r="L82" i="2"/>
  <c r="U78" i="2"/>
  <c r="I82" i="2"/>
  <c r="AX77" i="2"/>
  <c r="BM77" i="2" s="1"/>
  <c r="H82" i="2"/>
  <c r="G82" i="2"/>
  <c r="P81" i="2"/>
  <c r="L75" i="2"/>
  <c r="J82" i="2"/>
  <c r="K75" i="2"/>
  <c r="AF78" i="2"/>
  <c r="P78" i="2"/>
  <c r="G74" i="2"/>
  <c r="AI77" i="2"/>
  <c r="M78" i="2"/>
  <c r="W77" i="2"/>
  <c r="L78" i="2"/>
  <c r="AF82" i="2"/>
  <c r="V77" i="2"/>
  <c r="F75" i="2"/>
  <c r="J78" i="2"/>
  <c r="AE82" i="2"/>
  <c r="X75" i="2"/>
  <c r="I78" i="2"/>
  <c r="Z82" i="2"/>
  <c r="W75" i="2"/>
  <c r="H78" i="2"/>
  <c r="U82" i="2"/>
  <c r="G78" i="2"/>
  <c r="AX81" i="2"/>
  <c r="BM81" i="2" s="1"/>
  <c r="AF74" i="2"/>
  <c r="F78" i="2"/>
  <c r="AI81" i="2"/>
  <c r="AA74" i="2"/>
  <c r="V72" i="2"/>
  <c r="U72" i="2"/>
  <c r="Q76" i="2"/>
  <c r="H76" i="2"/>
  <c r="P76" i="2"/>
  <c r="Y79" i="2"/>
  <c r="S77" i="2"/>
  <c r="X79" i="2"/>
  <c r="AB79" i="2"/>
  <c r="W79" i="2"/>
  <c r="AF75" i="2"/>
  <c r="Q79" i="2"/>
  <c r="U79" i="2"/>
  <c r="AE75" i="2"/>
  <c r="N79" i="2"/>
  <c r="Q75" i="2"/>
  <c r="AA75" i="2"/>
  <c r="L79" i="2"/>
  <c r="N75" i="2"/>
  <c r="AC82" i="2"/>
  <c r="AC78" i="2"/>
  <c r="Z75" i="2"/>
  <c r="AA79" i="2"/>
  <c r="Z79" i="2"/>
  <c r="AB75" i="2"/>
  <c r="M75" i="2"/>
  <c r="AI80" i="2"/>
  <c r="S80" i="2"/>
  <c r="AX80" i="2"/>
  <c r="BM80" i="2" s="1"/>
  <c r="AX76" i="2"/>
  <c r="BM76" i="2" s="1"/>
  <c r="AI76" i="2"/>
  <c r="S76" i="2"/>
  <c r="AI72" i="2"/>
  <c r="S72" i="2"/>
  <c r="AX72" i="2"/>
  <c r="BM72" i="2" s="1"/>
  <c r="Z81" i="2"/>
  <c r="G81" i="2"/>
  <c r="Q81" i="2"/>
  <c r="U81" i="2"/>
  <c r="F81" i="2"/>
  <c r="V81" i="2"/>
  <c r="H81" i="2"/>
  <c r="AC81" i="2"/>
  <c r="AE81" i="2"/>
  <c r="AF81" i="2"/>
  <c r="I81" i="2"/>
  <c r="X81" i="2"/>
  <c r="AA81" i="2"/>
  <c r="AB81" i="2"/>
  <c r="J81" i="2"/>
  <c r="K81" i="2"/>
  <c r="Y81" i="2"/>
  <c r="W81" i="2"/>
  <c r="L81" i="2"/>
  <c r="AC77" i="2"/>
  <c r="G77" i="2"/>
  <c r="AA77" i="2"/>
  <c r="M77" i="2"/>
  <c r="P77" i="2"/>
  <c r="F77" i="2"/>
  <c r="AK77" i="2" s="1" a="1"/>
  <c r="AK77" i="2" s="1"/>
  <c r="AZ77" i="2" s="1"/>
  <c r="J77" i="2"/>
  <c r="K77" i="2"/>
  <c r="L77" i="2"/>
  <c r="N77" i="2"/>
  <c r="Y77" i="2"/>
  <c r="Z77" i="2"/>
  <c r="AB77" i="2"/>
  <c r="AE77" i="2"/>
  <c r="I77" i="2"/>
  <c r="Q77" i="2"/>
  <c r="H77" i="2"/>
  <c r="AF77" i="2"/>
  <c r="V73" i="2"/>
  <c r="L73" i="2"/>
  <c r="U73" i="2"/>
  <c r="W73" i="2"/>
  <c r="P73" i="2"/>
  <c r="X73" i="2"/>
  <c r="Y73" i="2"/>
  <c r="AB73" i="2"/>
  <c r="AC73" i="2"/>
  <c r="AE73" i="2"/>
  <c r="AF73" i="2"/>
  <c r="F73" i="2"/>
  <c r="G73" i="2"/>
  <c r="H73" i="2"/>
  <c r="I73" i="2"/>
  <c r="Z73" i="2"/>
  <c r="J73" i="2"/>
  <c r="AA73" i="2"/>
  <c r="K73" i="2"/>
  <c r="M73" i="2"/>
  <c r="N73" i="2"/>
  <c r="X77" i="2"/>
  <c r="V80" i="2"/>
  <c r="AE80" i="2"/>
  <c r="U80" i="2"/>
  <c r="K80" i="2"/>
  <c r="W80" i="2"/>
  <c r="X80" i="2"/>
  <c r="M80" i="2"/>
  <c r="I80" i="2"/>
  <c r="Q80" i="2"/>
  <c r="L80" i="2"/>
  <c r="N80" i="2"/>
  <c r="Y80" i="2"/>
  <c r="P80" i="2"/>
  <c r="Z80" i="2"/>
  <c r="X76" i="2"/>
  <c r="Z76" i="2"/>
  <c r="Y76" i="2"/>
  <c r="J76" i="2"/>
  <c r="AA76" i="2"/>
  <c r="AB76" i="2"/>
  <c r="L76" i="2"/>
  <c r="F76" i="2"/>
  <c r="G76" i="2"/>
  <c r="I76" i="2"/>
  <c r="K76" i="2"/>
  <c r="U76" i="2"/>
  <c r="M76" i="2"/>
  <c r="V76" i="2"/>
  <c r="N76" i="2"/>
  <c r="AB72" i="2"/>
  <c r="H72" i="2"/>
  <c r="AF72" i="2"/>
  <c r="AE72" i="2"/>
  <c r="J72" i="2"/>
  <c r="L72" i="2"/>
  <c r="N72" i="2"/>
  <c r="AA72" i="2"/>
  <c r="AC72" i="2"/>
  <c r="M72" i="2"/>
  <c r="P72" i="2"/>
  <c r="Q72" i="2"/>
  <c r="X72" i="2"/>
  <c r="Y72" i="2"/>
  <c r="Z72" i="2"/>
  <c r="F72" i="2"/>
  <c r="W72" i="2"/>
  <c r="I72" i="2"/>
  <c r="AC80" i="2"/>
  <c r="AB80" i="2"/>
  <c r="AA80" i="2"/>
  <c r="J80" i="2"/>
  <c r="H80" i="2"/>
  <c r="AF76" i="2"/>
  <c r="G80" i="2"/>
  <c r="AE76" i="2"/>
  <c r="F80" i="2"/>
  <c r="AC76" i="2"/>
  <c r="AX82" i="2"/>
  <c r="BM82" i="2" s="1"/>
  <c r="AI82" i="2"/>
  <c r="S82" i="2"/>
  <c r="AX78" i="2"/>
  <c r="BM78" i="2" s="1"/>
  <c r="AI78" i="2"/>
  <c r="AX74" i="2"/>
  <c r="BM74" i="2" s="1"/>
  <c r="W76" i="2"/>
  <c r="S74" i="2"/>
  <c r="K72" i="2"/>
  <c r="G72" i="2"/>
  <c r="AI79" i="2"/>
  <c r="AX79" i="2"/>
  <c r="BM79" i="2" s="1"/>
  <c r="S75" i="2"/>
  <c r="AX75" i="2"/>
  <c r="BM75" i="2" s="1"/>
  <c r="V79" i="2"/>
  <c r="P79" i="2"/>
  <c r="AC79" i="2"/>
  <c r="F79" i="2"/>
  <c r="AE79" i="2"/>
  <c r="AF79" i="2"/>
  <c r="H79" i="2"/>
  <c r="G79" i="2"/>
  <c r="I79" i="2"/>
  <c r="J79" i="2"/>
  <c r="K79" i="2"/>
  <c r="U75" i="2"/>
  <c r="AC75" i="2"/>
  <c r="G75" i="2"/>
  <c r="I75" i="2"/>
  <c r="P75" i="2"/>
  <c r="V75" i="2"/>
  <c r="AB82" i="2"/>
  <c r="K82" i="2"/>
  <c r="W82" i="2"/>
  <c r="X82" i="2"/>
  <c r="Y82" i="2"/>
  <c r="F82" i="2"/>
  <c r="V82" i="2"/>
  <c r="W78" i="2"/>
  <c r="AB78" i="2"/>
  <c r="K78" i="2"/>
  <c r="X78" i="2"/>
  <c r="N78" i="2"/>
  <c r="U74" i="2"/>
  <c r="AK74" i="2" s="1" a="1"/>
  <c r="AK74" i="2" s="1"/>
  <c r="AZ74" i="2" s="1"/>
  <c r="Q74" i="2"/>
  <c r="Y74" i="2"/>
  <c r="AB74" i="2"/>
  <c r="AC74" i="2"/>
  <c r="AE74" i="2"/>
  <c r="Z74" i="2"/>
  <c r="I74" i="2"/>
  <c r="Q82" i="2"/>
  <c r="M74" i="2"/>
  <c r="X74" i="2"/>
  <c r="P82" i="2"/>
  <c r="L74" i="2"/>
  <c r="W74" i="2"/>
  <c r="N82" i="2"/>
  <c r="K74" i="2"/>
  <c r="V74" i="2"/>
  <c r="AI73" i="2"/>
  <c r="S73" i="2"/>
  <c r="M82" i="2"/>
  <c r="J74" i="2"/>
  <c r="BO3" i="2" l="1"/>
  <c r="AT80" i="2" a="1"/>
  <c r="AT80" i="2" s="1"/>
  <c r="BI80" i="2" s="1"/>
  <c r="AT74" i="2" a="1"/>
  <c r="AT74" i="2" s="1"/>
  <c r="BI74" i="2" s="1"/>
  <c r="AT76" i="2" a="1"/>
  <c r="AT76" i="2" s="1"/>
  <c r="BI76" i="2" s="1"/>
  <c r="AT72" i="2" a="1"/>
  <c r="AT72" i="2" s="1"/>
  <c r="BI72" i="2" s="1"/>
  <c r="AO75" i="2" a="1"/>
  <c r="AO75" i="2" s="1"/>
  <c r="BD75" i="2" s="1"/>
  <c r="AT75" i="2" a="1"/>
  <c r="AT75" i="2" s="1"/>
  <c r="BI75" i="2" s="1"/>
  <c r="AT73" i="2" a="1"/>
  <c r="AT73" i="2" s="1"/>
  <c r="BI73" i="2" s="1"/>
  <c r="AT79" i="2" a="1"/>
  <c r="AT79" i="2" s="1"/>
  <c r="BI79" i="2" s="1"/>
  <c r="AT77" i="2" a="1"/>
  <c r="AT77" i="2" s="1"/>
  <c r="BI77" i="2" s="1"/>
  <c r="AT81" i="2" a="1"/>
  <c r="AT81" i="2" s="1"/>
  <c r="BI81" i="2" s="1"/>
  <c r="AT78" i="2" a="1"/>
  <c r="AT78" i="2" s="1"/>
  <c r="BI78" i="2" s="1"/>
  <c r="AT82" i="2" a="1"/>
  <c r="AT82" i="2" s="1"/>
  <c r="BI82" i="2" s="1"/>
  <c r="AS82" i="2" a="1"/>
  <c r="AS82" i="2" s="1"/>
  <c r="BH82" i="2" s="1"/>
  <c r="AM81" i="2" a="1"/>
  <c r="AM81" i="2" s="1"/>
  <c r="BB81" i="2" s="1"/>
  <c r="AU75" i="2" a="1"/>
  <c r="AU75" i="2" s="1"/>
  <c r="BJ75" i="2" s="1"/>
  <c r="AQ76" i="2" a="1"/>
  <c r="AQ76" i="2" s="1"/>
  <c r="BF76" i="2" s="1"/>
  <c r="AS73" i="2" a="1"/>
  <c r="AS73" i="2" s="1"/>
  <c r="BH73" i="2" s="1"/>
  <c r="AR76" i="2" a="1"/>
  <c r="AR76" i="2" s="1"/>
  <c r="BG76" i="2" s="1"/>
  <c r="AL72" i="2" a="1"/>
  <c r="AL72" i="2" s="1"/>
  <c r="BA72" i="2" s="1"/>
  <c r="AO79" i="2" a="1"/>
  <c r="AO79" i="2" s="1"/>
  <c r="BD79" i="2" s="1"/>
  <c r="AP77" i="2" a="1"/>
  <c r="AP77" i="2" s="1"/>
  <c r="BE77" i="2" s="1"/>
  <c r="AU73" i="2" a="1"/>
  <c r="AU73" i="2" s="1"/>
  <c r="BJ73" i="2" s="1"/>
  <c r="AO77" i="2" a="1"/>
  <c r="AO77" i="2" s="1"/>
  <c r="BD77" i="2" s="1"/>
  <c r="AU77" i="2" a="1"/>
  <c r="AU77" i="2" s="1"/>
  <c r="BJ77" i="2" s="1"/>
  <c r="AR77" i="2" a="1"/>
  <c r="AR77" i="2" s="1"/>
  <c r="BG77" i="2" s="1"/>
  <c r="AM80" i="2" a="1"/>
  <c r="AM80" i="2" s="1"/>
  <c r="BB80" i="2" s="1"/>
  <c r="AS76" i="2" a="1"/>
  <c r="AS76" i="2" s="1"/>
  <c r="BH76" i="2" s="1"/>
  <c r="AP73" i="2" a="1"/>
  <c r="AP73" i="2" s="1"/>
  <c r="BE73" i="2" s="1"/>
  <c r="AL75" i="2" a="1"/>
  <c r="AL75" i="2" s="1"/>
  <c r="BA75" i="2" s="1"/>
  <c r="AR74" i="2" a="1"/>
  <c r="AR74" i="2" s="1"/>
  <c r="BG74" i="2" s="1"/>
  <c r="AM77" i="2" a="1"/>
  <c r="AM77" i="2" s="1"/>
  <c r="BB77" i="2" s="1"/>
  <c r="AR73" i="2" a="1"/>
  <c r="AR73" i="2" s="1"/>
  <c r="BG73" i="2" s="1"/>
  <c r="AO76" i="2" a="1"/>
  <c r="AO76" i="2" s="1"/>
  <c r="BD76" i="2" s="1"/>
  <c r="AS77" i="2" a="1"/>
  <c r="AS77" i="2" s="1"/>
  <c r="BH77" i="2" s="1"/>
  <c r="AO73" i="2" a="1"/>
  <c r="AO73" i="2" s="1"/>
  <c r="BD73" i="2" s="1"/>
  <c r="AM72" i="2" a="1"/>
  <c r="AM72" i="2" s="1"/>
  <c r="BB72" i="2" s="1"/>
  <c r="AL74" i="2" a="1"/>
  <c r="AL74" i="2" s="1"/>
  <c r="BA74" i="2" s="1"/>
  <c r="AP72" i="2" a="1"/>
  <c r="AP72" i="2" s="1"/>
  <c r="BE72" i="2" s="1"/>
  <c r="AP76" i="2" a="1"/>
  <c r="AP76" i="2" s="1"/>
  <c r="BE76" i="2" s="1"/>
  <c r="AN73" i="2" a="1"/>
  <c r="AN73" i="2" s="1"/>
  <c r="BC73" i="2" s="1"/>
  <c r="AU72" i="2" a="1"/>
  <c r="AU72" i="2" s="1"/>
  <c r="BJ72" i="2" s="1"/>
  <c r="AN77" i="2" a="1"/>
  <c r="AN77" i="2" s="1"/>
  <c r="BC77" i="2" s="1"/>
  <c r="AP79" i="2" a="1"/>
  <c r="AP79" i="2" s="1"/>
  <c r="BE79" i="2" s="1"/>
  <c r="AV75" i="2" a="1"/>
  <c r="AV75" i="2" s="1"/>
  <c r="BK75" i="2" s="1"/>
  <c r="AO74" i="2" a="1"/>
  <c r="AO74" i="2" s="1"/>
  <c r="BD74" i="2" s="1"/>
  <c r="AV72" i="2" a="1"/>
  <c r="AV72" i="2" s="1"/>
  <c r="BK72" i="2" s="1"/>
  <c r="AK76" i="2" a="1"/>
  <c r="AK76" i="2" s="1"/>
  <c r="AZ76" i="2" s="1"/>
  <c r="AL80" i="2" a="1"/>
  <c r="AL80" i="2" s="1"/>
  <c r="BA80" i="2" s="1"/>
  <c r="AK78" i="2" a="1"/>
  <c r="AK78" i="2" s="1"/>
  <c r="AZ78" i="2" s="1"/>
  <c r="AU80" i="2" a="1"/>
  <c r="AU80" i="2" s="1"/>
  <c r="BJ80" i="2" s="1"/>
  <c r="AN79" i="2" a="1"/>
  <c r="AN79" i="2" s="1"/>
  <c r="BC79" i="2" s="1"/>
  <c r="AS80" i="2" a="1"/>
  <c r="AS80" i="2" s="1"/>
  <c r="BH80" i="2" s="1"/>
  <c r="AL79" i="2" a="1"/>
  <c r="AL79" i="2" s="1"/>
  <c r="BA79" i="2" s="1"/>
  <c r="AO80" i="2" a="1"/>
  <c r="AO80" i="2" s="1"/>
  <c r="BD80" i="2" s="1"/>
  <c r="AK80" i="2" a="1"/>
  <c r="AK80" i="2" s="1"/>
  <c r="AZ80" i="2" s="1"/>
  <c r="AR82" i="2" a="1"/>
  <c r="AR82" i="2" s="1"/>
  <c r="BG82" i="2" s="1"/>
  <c r="AK79" i="2" a="1"/>
  <c r="AK79" i="2" s="1"/>
  <c r="AZ79" i="2" s="1"/>
  <c r="AM79" i="2" a="1"/>
  <c r="AM79" i="2" s="1"/>
  <c r="BB79" i="2" s="1"/>
  <c r="AP82" i="2" a="1"/>
  <c r="AP82" i="2" s="1"/>
  <c r="BE82" i="2" s="1"/>
  <c r="AP78" i="2" a="1"/>
  <c r="AP78" i="2" s="1"/>
  <c r="BE78" i="2" s="1"/>
  <c r="AM78" i="2" a="1"/>
  <c r="AM78" i="2" s="1"/>
  <c r="BB78" i="2" s="1"/>
  <c r="AU82" i="2" a="1"/>
  <c r="AU82" i="2" s="1"/>
  <c r="BJ82" i="2" s="1"/>
  <c r="AQ73" i="2" a="1"/>
  <c r="AQ73" i="2" s="1"/>
  <c r="BF73" i="2" s="1"/>
  <c r="AU78" i="2" a="1"/>
  <c r="AU78" i="2" s="1"/>
  <c r="BJ78" i="2" s="1"/>
  <c r="AQ80" i="2" a="1"/>
  <c r="AQ80" i="2" s="1"/>
  <c r="BF80" i="2" s="1"/>
  <c r="AL77" i="2" a="1"/>
  <c r="AL77" i="2" s="1"/>
  <c r="BA77" i="2" s="1"/>
  <c r="AK81" i="2" a="1"/>
  <c r="AK81" i="2" s="1"/>
  <c r="AZ81" i="2" s="1"/>
  <c r="AU76" i="2" a="1"/>
  <c r="AU76" i="2" s="1"/>
  <c r="BJ76" i="2" s="1"/>
  <c r="AM74" i="2" a="1"/>
  <c r="AM74" i="2" s="1"/>
  <c r="BB74" i="2" s="1"/>
  <c r="AN78" i="2" a="1"/>
  <c r="AN78" i="2" s="1"/>
  <c r="BC78" i="2" s="1"/>
  <c r="AV80" i="2" a="1"/>
  <c r="AV80" i="2" s="1"/>
  <c r="BK80" i="2" s="1"/>
  <c r="AS75" i="2" a="1"/>
  <c r="AS75" i="2" s="1"/>
  <c r="BH75" i="2" s="1"/>
  <c r="AM76" i="2" a="1"/>
  <c r="AM76" i="2" s="1"/>
  <c r="BB76" i="2" s="1"/>
  <c r="AP75" i="2" a="1"/>
  <c r="AP75" i="2" s="1"/>
  <c r="BE75" i="2" s="1"/>
  <c r="AS74" i="2" a="1"/>
  <c r="AS74" i="2" s="1"/>
  <c r="BH74" i="2" s="1"/>
  <c r="AN74" i="2" a="1"/>
  <c r="AN74" i="2" s="1"/>
  <c r="BC74" i="2" s="1"/>
  <c r="AN76" i="2" a="1"/>
  <c r="AN76" i="2" s="1"/>
  <c r="BC76" i="2" s="1"/>
  <c r="AN80" i="2" a="1"/>
  <c r="AN80" i="2" s="1"/>
  <c r="BC80" i="2" s="1"/>
  <c r="AM73" i="2" a="1"/>
  <c r="AM73" i="2" s="1"/>
  <c r="BB73" i="2" s="1"/>
  <c r="AV77" i="2" a="1"/>
  <c r="AV77" i="2" s="1"/>
  <c r="BK77" i="2" s="1"/>
  <c r="AQ81" i="2" a="1"/>
  <c r="AQ81" i="2" s="1"/>
  <c r="BF81" i="2" s="1"/>
  <c r="AV81" i="2" a="1"/>
  <c r="AV81" i="2" s="1"/>
  <c r="BK81" i="2" s="1"/>
  <c r="AQ79" i="2" a="1"/>
  <c r="AQ79" i="2" s="1"/>
  <c r="BF79" i="2" s="1"/>
  <c r="AV76" i="2" a="1"/>
  <c r="AV76" i="2" s="1"/>
  <c r="BK76" i="2" s="1"/>
  <c r="AO78" i="2" a="1"/>
  <c r="AO78" i="2" s="1"/>
  <c r="BD78" i="2" s="1"/>
  <c r="AO82" i="2" a="1"/>
  <c r="AO82" i="2" s="1"/>
  <c r="BD82" i="2" s="1"/>
  <c r="AU74" i="2" a="1"/>
  <c r="AU74" i="2" s="1"/>
  <c r="BJ74" i="2" s="1"/>
  <c r="AQ82" i="2" a="1"/>
  <c r="AQ82" i="2" s="1"/>
  <c r="BF82" i="2" s="1"/>
  <c r="AQ74" i="2" a="1"/>
  <c r="AQ74" i="2" s="1"/>
  <c r="BF74" i="2" s="1"/>
  <c r="AR72" i="2" a="1"/>
  <c r="AR72" i="2" s="1"/>
  <c r="BG72" i="2" s="1"/>
  <c r="AL76" i="2" a="1"/>
  <c r="AL76" i="2" s="1"/>
  <c r="BA76" i="2" s="1"/>
  <c r="AR80" i="2" a="1"/>
  <c r="AR80" i="2" s="1"/>
  <c r="BG80" i="2" s="1"/>
  <c r="AL73" i="2" a="1"/>
  <c r="AL73" i="2" s="1"/>
  <c r="BA73" i="2" s="1"/>
  <c r="AL81" i="2" a="1"/>
  <c r="AL81" i="2" s="1"/>
  <c r="BA81" i="2" s="1"/>
  <c r="AK75" i="2" a="1"/>
  <c r="AK75" i="2" s="1"/>
  <c r="AZ75" i="2" s="1"/>
  <c r="AQ75" i="2" a="1"/>
  <c r="AQ75" i="2" s="1"/>
  <c r="BF75" i="2" s="1"/>
  <c r="AM75" i="2" a="1"/>
  <c r="AM75" i="2" s="1"/>
  <c r="BB75" i="2" s="1"/>
  <c r="AK72" i="2" a="1"/>
  <c r="AK72" i="2" s="1"/>
  <c r="AZ72" i="2" s="1"/>
  <c r="AK73" i="2" a="1"/>
  <c r="AK73" i="2" s="1"/>
  <c r="AZ73" i="2" s="1"/>
  <c r="AU81" i="2" a="1"/>
  <c r="AU81" i="2" s="1"/>
  <c r="BJ81" i="2" s="1"/>
  <c r="AU79" i="2" a="1"/>
  <c r="AU79" i="2" s="1"/>
  <c r="BJ79" i="2" s="1"/>
  <c r="AP81" i="2" a="1"/>
  <c r="AP81" i="2" s="1"/>
  <c r="BE81" i="2" s="1"/>
  <c r="AS79" i="2" a="1"/>
  <c r="AS79" i="2" s="1"/>
  <c r="BH79" i="2" s="1"/>
  <c r="AL82" i="2" a="1"/>
  <c r="AL82" i="2" s="1"/>
  <c r="BA82" i="2" s="1"/>
  <c r="AV78" i="2" a="1"/>
  <c r="AV78" i="2" s="1"/>
  <c r="BK78" i="2" s="1"/>
  <c r="AK82" i="2" a="1"/>
  <c r="AK82" i="2" s="1"/>
  <c r="AZ82" i="2" s="1"/>
  <c r="AS72" i="2" a="1"/>
  <c r="AS72" i="2" s="1"/>
  <c r="BH72" i="2" s="1"/>
  <c r="AP80" i="2" a="1"/>
  <c r="AP80" i="2" s="1"/>
  <c r="BE80" i="2" s="1"/>
  <c r="AO81" i="2" a="1"/>
  <c r="AO81" i="2" s="1"/>
  <c r="BD81" i="2" s="1"/>
  <c r="AQ78" i="2" a="1"/>
  <c r="AQ78" i="2" s="1"/>
  <c r="BF78" i="2" s="1"/>
  <c r="AS81" i="2" a="1"/>
  <c r="AS81" i="2" s="1"/>
  <c r="BH81" i="2" s="1"/>
  <c r="AV82" i="2" a="1"/>
  <c r="AV82" i="2" s="1"/>
  <c r="BK82" i="2" s="1"/>
  <c r="AN72" i="2" a="1"/>
  <c r="AN72" i="2" s="1"/>
  <c r="BC72" i="2" s="1"/>
  <c r="AQ72" i="2" a="1"/>
  <c r="AQ72" i="2" s="1"/>
  <c r="BF72" i="2" s="1"/>
  <c r="AM82" i="2" a="1"/>
  <c r="AM82" i="2" s="1"/>
  <c r="BB82" i="2" s="1"/>
  <c r="AV73" i="2" a="1"/>
  <c r="AV73" i="2" s="1"/>
  <c r="BK73" i="2" s="1"/>
  <c r="AV79" i="2" a="1"/>
  <c r="AV79" i="2" s="1"/>
  <c r="BK79" i="2" s="1"/>
  <c r="AR81" i="2" a="1"/>
  <c r="AR81" i="2" s="1"/>
  <c r="BG81" i="2" s="1"/>
  <c r="AV74" i="2" a="1"/>
  <c r="AV74" i="2" s="1"/>
  <c r="BK74" i="2" s="1"/>
  <c r="AQ77" i="2" a="1"/>
  <c r="AQ77" i="2" s="1"/>
  <c r="BF77" i="2" s="1"/>
  <c r="AR78" i="2" a="1"/>
  <c r="AR78" i="2" s="1"/>
  <c r="BG78" i="2" s="1"/>
  <c r="AN82" i="2" a="1"/>
  <c r="AN82" i="2" s="1"/>
  <c r="BC82" i="2" s="1"/>
  <c r="AN75" i="2" a="1"/>
  <c r="AN75" i="2" s="1"/>
  <c r="BC75" i="2" s="1"/>
  <c r="AO72" i="2" a="1"/>
  <c r="AO72" i="2" s="1"/>
  <c r="BD72" i="2" s="1"/>
  <c r="AP74" i="2" a="1"/>
  <c r="AP74" i="2" s="1"/>
  <c r="BE74" i="2" s="1"/>
  <c r="AS78" i="2" a="1"/>
  <c r="AS78" i="2" s="1"/>
  <c r="BH78" i="2" s="1"/>
  <c r="AN81" i="2" a="1"/>
  <c r="AN81" i="2" s="1"/>
  <c r="BC81" i="2" s="1"/>
  <c r="AR75" i="2" a="1"/>
  <c r="AR75" i="2" s="1"/>
  <c r="BG75" i="2" s="1"/>
  <c r="AL78" i="2" a="1"/>
  <c r="AL78" i="2" s="1"/>
  <c r="BA78" i="2" s="1"/>
  <c r="AR79" i="2" a="1"/>
  <c r="AR79" i="2" s="1"/>
  <c r="BG79" i="2" s="1"/>
  <c r="AG72" i="2"/>
  <c r="AG80" i="2"/>
  <c r="AG82" i="2"/>
  <c r="AG79" i="2"/>
  <c r="R81" i="2"/>
  <c r="T81" i="2" s="1"/>
  <c r="R78" i="2"/>
  <c r="T78" i="2" s="1"/>
  <c r="R79" i="2"/>
  <c r="T79" i="2" s="1"/>
  <c r="AG78" i="2"/>
  <c r="R82" i="2"/>
  <c r="T82" i="2" s="1"/>
  <c r="R74" i="2"/>
  <c r="T74" i="2" s="1"/>
  <c r="AG76" i="2"/>
  <c r="AG81" i="2"/>
  <c r="R77" i="2"/>
  <c r="T77" i="2" s="1"/>
  <c r="R72" i="2"/>
  <c r="T72" i="2" s="1"/>
  <c r="AG73" i="2"/>
  <c r="AG75" i="2"/>
  <c r="R80" i="2"/>
  <c r="T80" i="2" s="1"/>
  <c r="R75" i="2"/>
  <c r="T75" i="2" s="1"/>
  <c r="AG77" i="2"/>
  <c r="AG74" i="2"/>
  <c r="R76" i="2"/>
  <c r="T76" i="2" s="1"/>
  <c r="R73" i="2"/>
  <c r="T73" i="2" s="1"/>
  <c r="AH81" i="2" l="1"/>
  <c r="AH76" i="2"/>
  <c r="AH80" i="2"/>
  <c r="AH75" i="2"/>
  <c r="AH74" i="2"/>
  <c r="AH79" i="2"/>
  <c r="AJ78" i="2"/>
  <c r="AH78" i="2"/>
  <c r="AJ77" i="2"/>
  <c r="AH77" i="2"/>
  <c r="AH82" i="2"/>
  <c r="AH72" i="2"/>
  <c r="AH73" i="2"/>
  <c r="BL75" i="2"/>
  <c r="BN75" i="2" s="1"/>
  <c r="BL72" i="2"/>
  <c r="BN72" i="2" s="1"/>
  <c r="BL73" i="2"/>
  <c r="BN73" i="2" s="1"/>
  <c r="BL81" i="2"/>
  <c r="BN81" i="2" s="1"/>
  <c r="BL82" i="2"/>
  <c r="BN82" i="2" s="1"/>
  <c r="BL78" i="2"/>
  <c r="BN78" i="2" s="1"/>
  <c r="BL77" i="2"/>
  <c r="BN77" i="2" s="1"/>
  <c r="BL79" i="2"/>
  <c r="BN79" i="2" s="1"/>
  <c r="BL80" i="2"/>
  <c r="BN80" i="2" s="1"/>
  <c r="BL76" i="2"/>
  <c r="BN76" i="2" s="1"/>
  <c r="BL74" i="2"/>
  <c r="BN74" i="2" s="1"/>
  <c r="AW77" i="2"/>
  <c r="AY77" i="2" s="1"/>
  <c r="AJ79" i="2"/>
  <c r="AW82" i="2"/>
  <c r="AY82" i="2" s="1"/>
  <c r="AJ80" i="2"/>
  <c r="AJ72" i="2"/>
  <c r="AW78" i="2"/>
  <c r="AY78" i="2" s="1"/>
  <c r="AW76" i="2"/>
  <c r="AY76" i="2" s="1"/>
  <c r="AJ74" i="2"/>
  <c r="AJ76" i="2"/>
  <c r="AJ73" i="2"/>
  <c r="AW75" i="2"/>
  <c r="AY75" i="2" s="1"/>
  <c r="AW73" i="2"/>
  <c r="AY73" i="2" s="1"/>
  <c r="AJ82" i="2"/>
  <c r="AW74" i="2"/>
  <c r="AY74" i="2" s="1"/>
  <c r="AW72" i="2"/>
  <c r="AY72" i="2" s="1"/>
  <c r="AW80" i="2"/>
  <c r="AY80" i="2" s="1"/>
  <c r="AW81" i="2"/>
  <c r="AY81" i="2" s="1"/>
  <c r="AW79" i="2"/>
  <c r="AY79" i="2" s="1"/>
  <c r="AJ75" i="2"/>
  <c r="AJ81" i="2"/>
  <c r="O61" i="2" l="1"/>
  <c r="AD61" i="2"/>
  <c r="AI60" i="2"/>
  <c r="S60" i="2"/>
  <c r="AX60" i="2"/>
  <c r="BM60" i="2" s="1"/>
  <c r="S61" i="2"/>
  <c r="AI61" i="2"/>
  <c r="AX61" i="2"/>
  <c r="BM61" i="2" s="1"/>
  <c r="AB61" i="2"/>
  <c r="AC61" i="2"/>
  <c r="Z61" i="2"/>
  <c r="F61" i="2"/>
  <c r="U61" i="2"/>
  <c r="L61" i="2"/>
  <c r="M61" i="2"/>
  <c r="N61" i="2"/>
  <c r="X61" i="2"/>
  <c r="V61" i="2"/>
  <c r="W61" i="2"/>
  <c r="I61" i="2"/>
  <c r="Y61" i="2"/>
  <c r="J61" i="2"/>
  <c r="AA61" i="2"/>
  <c r="K61" i="2"/>
  <c r="AE61" i="2"/>
  <c r="P61" i="2"/>
  <c r="H61" i="2"/>
  <c r="Q61" i="2"/>
  <c r="G61" i="2"/>
  <c r="AF61" i="2"/>
  <c r="S65" i="2"/>
  <c r="AI65" i="2"/>
  <c r="AX65" i="2"/>
  <c r="BM65" i="2" s="1"/>
  <c r="AX64" i="2"/>
  <c r="BM64" i="2" s="1"/>
  <c r="S64" i="2"/>
  <c r="AI64" i="2"/>
  <c r="AX63" i="2"/>
  <c r="BM63" i="2" s="1"/>
  <c r="S63" i="2"/>
  <c r="AI63" i="2"/>
  <c r="S62" i="2"/>
  <c r="AI62" i="2"/>
  <c r="AX62" i="2"/>
  <c r="BM62" i="2" s="1"/>
  <c r="AT61" i="2" l="1" a="1"/>
  <c r="AT61" i="2" s="1"/>
  <c r="BI61" i="2" s="1"/>
  <c r="AM61" i="2" a="1"/>
  <c r="AM61" i="2" s="1"/>
  <c r="BB61" i="2" s="1"/>
  <c r="AQ61" i="2" a="1"/>
  <c r="AQ61" i="2" s="1"/>
  <c r="BF61" i="2" s="1"/>
  <c r="AN61" i="2" a="1"/>
  <c r="AN61" i="2" s="1"/>
  <c r="BC61" i="2" s="1"/>
  <c r="AR61" i="2" a="1"/>
  <c r="AR61" i="2" s="1"/>
  <c r="BG61" i="2" s="1"/>
  <c r="AK61" i="2" a="1"/>
  <c r="AK61" i="2" s="1"/>
  <c r="AZ61" i="2" s="1"/>
  <c r="AS61" i="2" a="1"/>
  <c r="AS61" i="2" s="1"/>
  <c r="BH61" i="2" s="1"/>
  <c r="AV61" i="2" a="1"/>
  <c r="AV61" i="2" s="1"/>
  <c r="BK61" i="2" s="1"/>
  <c r="AL61" i="2" a="1"/>
  <c r="AL61" i="2" s="1"/>
  <c r="BA61" i="2" s="1"/>
  <c r="AO61" i="2" a="1"/>
  <c r="AO61" i="2" s="1"/>
  <c r="BD61" i="2" s="1"/>
  <c r="AU61" i="2" a="1"/>
  <c r="AU61" i="2" s="1"/>
  <c r="BJ61" i="2" s="1"/>
  <c r="AP61" i="2" a="1"/>
  <c r="AP61" i="2" s="1"/>
  <c r="BE61" i="2" s="1"/>
  <c r="AG61" i="2"/>
  <c r="R61" i="2"/>
  <c r="T61" i="2" s="1"/>
  <c r="AH61" i="2" l="1"/>
  <c r="BL61" i="2"/>
  <c r="BN61" i="2" s="1"/>
  <c r="AW61" i="2"/>
  <c r="AY61" i="2" s="1"/>
  <c r="AJ61" i="2"/>
  <c r="B4" i="2" l="1"/>
  <c r="AX69" i="2"/>
  <c r="A4" i="2"/>
  <c r="C4" i="2"/>
  <c r="BO4" i="2" l="1"/>
  <c r="AD28" i="2"/>
  <c r="O28" i="2"/>
  <c r="AD44" i="2"/>
  <c r="O44" i="2"/>
  <c r="AD33" i="2"/>
  <c r="O33" i="2"/>
  <c r="O22" i="2"/>
  <c r="AD22" i="2"/>
  <c r="O6" i="2"/>
  <c r="AD6" i="2"/>
  <c r="AD68" i="2"/>
  <c r="O68" i="2"/>
  <c r="O11" i="2"/>
  <c r="AD11" i="2"/>
  <c r="AD12" i="2"/>
  <c r="O12" i="2"/>
  <c r="O53" i="2"/>
  <c r="AD53" i="2"/>
  <c r="O27" i="2"/>
  <c r="AD27" i="2"/>
  <c r="AD16" i="2"/>
  <c r="O16" i="2"/>
  <c r="AD3" i="2"/>
  <c r="O3" i="2"/>
  <c r="AD66" i="2"/>
  <c r="O66" i="2"/>
  <c r="O43" i="2"/>
  <c r="AD43" i="2"/>
  <c r="AD32" i="2"/>
  <c r="O32" i="2"/>
  <c r="O21" i="2"/>
  <c r="AD21" i="2"/>
  <c r="O5" i="2"/>
  <c r="AD5" i="2"/>
  <c r="O69" i="2"/>
  <c r="AD69" i="2"/>
  <c r="O38" i="2"/>
  <c r="AD38" i="2"/>
  <c r="AD67" i="2"/>
  <c r="O67" i="2"/>
  <c r="AD60" i="2"/>
  <c r="O60" i="2"/>
  <c r="O37" i="2"/>
  <c r="AD37" i="2"/>
  <c r="AD10" i="2"/>
  <c r="O10" i="2"/>
  <c r="O62" i="2"/>
  <c r="AD62" i="2"/>
  <c r="AD15" i="2"/>
  <c r="O15" i="2"/>
  <c r="AD65" i="2"/>
  <c r="O65" i="2"/>
  <c r="AD42" i="2"/>
  <c r="O42" i="2"/>
  <c r="AD31" i="2"/>
  <c r="O31" i="2"/>
  <c r="O20" i="2"/>
  <c r="AD20" i="2"/>
  <c r="O4" i="2"/>
  <c r="AD4" i="2"/>
  <c r="O39" i="2"/>
  <c r="AD39" i="2"/>
  <c r="AB14" i="2"/>
  <c r="AD14" i="2"/>
  <c r="O14" i="2"/>
  <c r="AD64" i="2"/>
  <c r="O64" i="2"/>
  <c r="AD41" i="2"/>
  <c r="O41" i="2"/>
  <c r="O30" i="2"/>
  <c r="AD30" i="2"/>
  <c r="AD19" i="2"/>
  <c r="O19" i="2"/>
  <c r="AD35" i="2"/>
  <c r="O35" i="2"/>
  <c r="AD24" i="2"/>
  <c r="O24" i="2"/>
  <c r="O70" i="2"/>
  <c r="AD70" i="2"/>
  <c r="AD13" i="2"/>
  <c r="O13" i="2"/>
  <c r="AD56" i="2"/>
  <c r="O56" i="2"/>
  <c r="AD59" i="2"/>
  <c r="O59" i="2"/>
  <c r="AD25" i="2"/>
  <c r="O25" i="2"/>
  <c r="AD55" i="2"/>
  <c r="O55" i="2"/>
  <c r="AD63" i="2"/>
  <c r="O63" i="2"/>
  <c r="AD40" i="2"/>
  <c r="O40" i="2"/>
  <c r="AD29" i="2"/>
  <c r="O29" i="2"/>
  <c r="O18" i="2"/>
  <c r="AD18" i="2"/>
  <c r="AD17" i="2"/>
  <c r="O17" i="2"/>
  <c r="AD36" i="2"/>
  <c r="O36" i="2"/>
  <c r="AD9" i="2"/>
  <c r="O9" i="2"/>
  <c r="O71" i="2"/>
  <c r="AD71" i="2"/>
  <c r="O58" i="2"/>
  <c r="AD58" i="2"/>
  <c r="O8" i="2"/>
  <c r="AD8" i="2"/>
  <c r="O54" i="2"/>
  <c r="AD54" i="2"/>
  <c r="O57" i="2"/>
  <c r="AD57" i="2"/>
  <c r="AD34" i="2"/>
  <c r="O34" i="2"/>
  <c r="AD23" i="2"/>
  <c r="O23" i="2"/>
  <c r="AD7" i="2"/>
  <c r="O7" i="2"/>
  <c r="BM3" i="2"/>
  <c r="AX5" i="2"/>
  <c r="BM5" i="2" s="1"/>
  <c r="AA30" i="2"/>
  <c r="AB30" i="2"/>
  <c r="AE30" i="2"/>
  <c r="AF30" i="2"/>
  <c r="G30" i="2"/>
  <c r="I30" i="2"/>
  <c r="U30" i="2"/>
  <c r="V30" i="2"/>
  <c r="J30" i="2"/>
  <c r="K30" i="2"/>
  <c r="W30" i="2"/>
  <c r="L30" i="2"/>
  <c r="Y30" i="2"/>
  <c r="Z30" i="2"/>
  <c r="N30" i="2"/>
  <c r="AC30" i="2"/>
  <c r="P30" i="2"/>
  <c r="Q30" i="2"/>
  <c r="X30" i="2"/>
  <c r="F30" i="2"/>
  <c r="H30" i="2"/>
  <c r="M30" i="2"/>
  <c r="AX71" i="2"/>
  <c r="BM71" i="2" s="1"/>
  <c r="S71" i="2"/>
  <c r="AI71" i="2"/>
  <c r="AF66" i="2"/>
  <c r="X66" i="2"/>
  <c r="AA66" i="2"/>
  <c r="AB66" i="2"/>
  <c r="P66" i="2"/>
  <c r="AC66" i="2"/>
  <c r="Q66" i="2"/>
  <c r="AE66" i="2"/>
  <c r="U66" i="2"/>
  <c r="V66" i="2"/>
  <c r="K66" i="2"/>
  <c r="L66" i="2"/>
  <c r="M66" i="2"/>
  <c r="N66" i="2"/>
  <c r="Z66" i="2"/>
  <c r="W66" i="2"/>
  <c r="Y66" i="2"/>
  <c r="F66" i="2"/>
  <c r="I66" i="2"/>
  <c r="J66" i="2"/>
  <c r="G66" i="2"/>
  <c r="H66" i="2"/>
  <c r="AX32" i="2"/>
  <c r="BM32" i="2" s="1"/>
  <c r="S32" i="2"/>
  <c r="AI32" i="2"/>
  <c r="AF24" i="2"/>
  <c r="AE24" i="2"/>
  <c r="AC24" i="2"/>
  <c r="W24" i="2"/>
  <c r="M24" i="2"/>
  <c r="X24" i="2"/>
  <c r="N24" i="2"/>
  <c r="Y24" i="2"/>
  <c r="P24" i="2"/>
  <c r="Z24" i="2"/>
  <c r="L24" i="2"/>
  <c r="U24" i="2"/>
  <c r="V24" i="2"/>
  <c r="AA24" i="2"/>
  <c r="K24" i="2"/>
  <c r="Q24" i="2"/>
  <c r="AB24" i="2"/>
  <c r="J24" i="2"/>
  <c r="H24" i="2"/>
  <c r="I24" i="2"/>
  <c r="F24" i="2"/>
  <c r="G24" i="2"/>
  <c r="AX67" i="2"/>
  <c r="BM67" i="2" s="1"/>
  <c r="AI67" i="2"/>
  <c r="S67" i="2"/>
  <c r="AX44" i="2"/>
  <c r="BM44" i="2" s="1"/>
  <c r="S44" i="2"/>
  <c r="AI44" i="2"/>
  <c r="I11" i="2"/>
  <c r="AF11" i="2"/>
  <c r="L11" i="2"/>
  <c r="W11" i="2"/>
  <c r="X11" i="2"/>
  <c r="AC11" i="2"/>
  <c r="P11" i="2"/>
  <c r="AE11" i="2"/>
  <c r="Q11" i="2"/>
  <c r="U11" i="2"/>
  <c r="N11" i="2"/>
  <c r="V11" i="2"/>
  <c r="Y11" i="2"/>
  <c r="Z11" i="2"/>
  <c r="AA11" i="2"/>
  <c r="AB11" i="2"/>
  <c r="J11" i="2"/>
  <c r="M11" i="2"/>
  <c r="K11" i="2"/>
  <c r="H11" i="2"/>
  <c r="F11" i="2"/>
  <c r="G11" i="2"/>
  <c r="AX8" i="2"/>
  <c r="BM8" i="2" s="1"/>
  <c r="AI8" i="2"/>
  <c r="S8" i="2"/>
  <c r="Y25" i="2"/>
  <c r="Z25" i="2"/>
  <c r="AA25" i="2"/>
  <c r="AC25" i="2"/>
  <c r="AE25" i="2"/>
  <c r="H25" i="2"/>
  <c r="AF25" i="2"/>
  <c r="G25" i="2"/>
  <c r="I25" i="2"/>
  <c r="J25" i="2"/>
  <c r="K25" i="2"/>
  <c r="U25" i="2"/>
  <c r="V25" i="2"/>
  <c r="F25" i="2"/>
  <c r="W25" i="2"/>
  <c r="L25" i="2"/>
  <c r="X25" i="2"/>
  <c r="M25" i="2"/>
  <c r="P25" i="2"/>
  <c r="Q25" i="2"/>
  <c r="AB25" i="2"/>
  <c r="N25" i="2"/>
  <c r="U19" i="2"/>
  <c r="Y19" i="2"/>
  <c r="Z19" i="2"/>
  <c r="M19" i="2"/>
  <c r="F19" i="2"/>
  <c r="G19" i="2"/>
  <c r="K19" i="2"/>
  <c r="AA19" i="2"/>
  <c r="AB19" i="2"/>
  <c r="J19" i="2"/>
  <c r="AC19" i="2"/>
  <c r="L19" i="2"/>
  <c r="AE19" i="2"/>
  <c r="N19" i="2"/>
  <c r="AF19" i="2"/>
  <c r="P19" i="2"/>
  <c r="W19" i="2"/>
  <c r="H19" i="2"/>
  <c r="I19" i="2"/>
  <c r="Q19" i="2"/>
  <c r="X19" i="2"/>
  <c r="V19" i="2"/>
  <c r="AX70" i="2"/>
  <c r="BM70" i="2" s="1"/>
  <c r="S70" i="2"/>
  <c r="AI70" i="2"/>
  <c r="AI69" i="2"/>
  <c r="S69" i="2"/>
  <c r="BM69" i="2"/>
  <c r="AA29" i="2"/>
  <c r="AB29" i="2"/>
  <c r="AC29" i="2"/>
  <c r="U29" i="2"/>
  <c r="F29" i="2"/>
  <c r="AE29" i="2"/>
  <c r="P29" i="2"/>
  <c r="AF29" i="2"/>
  <c r="G29" i="2"/>
  <c r="M29" i="2"/>
  <c r="V29" i="2"/>
  <c r="N29" i="2"/>
  <c r="W29" i="2"/>
  <c r="Q29" i="2"/>
  <c r="X29" i="2"/>
  <c r="Y29" i="2"/>
  <c r="Z29" i="2"/>
  <c r="H29" i="2"/>
  <c r="I29" i="2"/>
  <c r="J29" i="2"/>
  <c r="K29" i="2"/>
  <c r="L29" i="2"/>
  <c r="AX68" i="2"/>
  <c r="BM68" i="2" s="1"/>
  <c r="AI68" i="2"/>
  <c r="S68" i="2"/>
  <c r="AI42" i="2"/>
  <c r="AX42" i="2"/>
  <c r="BM42" i="2" s="1"/>
  <c r="S42" i="2"/>
  <c r="AI41" i="2"/>
  <c r="AX41" i="2"/>
  <c r="BM41" i="2" s="1"/>
  <c r="S41" i="2"/>
  <c r="S59" i="2"/>
  <c r="AX59" i="2"/>
  <c r="BM59" i="2" s="1"/>
  <c r="AI59" i="2"/>
  <c r="AX39" i="2"/>
  <c r="BM39" i="2" s="1"/>
  <c r="AI39" i="2"/>
  <c r="S39" i="2"/>
  <c r="AX23" i="2"/>
  <c r="BM23" i="2" s="1"/>
  <c r="AI23" i="2"/>
  <c r="S23" i="2"/>
  <c r="AX7" i="2"/>
  <c r="BM7" i="2" s="1"/>
  <c r="AI7" i="2"/>
  <c r="S7" i="2"/>
  <c r="AA39" i="2"/>
  <c r="AB39" i="2"/>
  <c r="AC39" i="2"/>
  <c r="AE39" i="2"/>
  <c r="AF39" i="2"/>
  <c r="H39" i="2"/>
  <c r="U39" i="2"/>
  <c r="Q39" i="2"/>
  <c r="K39" i="2"/>
  <c r="L39" i="2"/>
  <c r="M39" i="2"/>
  <c r="N39" i="2"/>
  <c r="G39" i="2"/>
  <c r="I39" i="2"/>
  <c r="J39" i="2"/>
  <c r="P39" i="2"/>
  <c r="V39" i="2"/>
  <c r="W39" i="2"/>
  <c r="F39" i="2"/>
  <c r="X39" i="2"/>
  <c r="Y39" i="2"/>
  <c r="Z39" i="2"/>
  <c r="AA23" i="2"/>
  <c r="AB23" i="2"/>
  <c r="AC23" i="2"/>
  <c r="U23" i="2"/>
  <c r="Q23" i="2"/>
  <c r="L23" i="2"/>
  <c r="Z23" i="2"/>
  <c r="AE23" i="2"/>
  <c r="G23" i="2"/>
  <c r="H23" i="2"/>
  <c r="I23" i="2"/>
  <c r="F23" i="2"/>
  <c r="J23" i="2"/>
  <c r="K23" i="2"/>
  <c r="AF23" i="2"/>
  <c r="M23" i="2"/>
  <c r="N23" i="2"/>
  <c r="P23" i="2"/>
  <c r="X23" i="2"/>
  <c r="Y23" i="2"/>
  <c r="W23" i="2"/>
  <c r="V23" i="2"/>
  <c r="W7" i="2"/>
  <c r="X7" i="2"/>
  <c r="Y7" i="2"/>
  <c r="AA7" i="2"/>
  <c r="AB7" i="2"/>
  <c r="J7" i="2"/>
  <c r="I7" i="2"/>
  <c r="AC7" i="2"/>
  <c r="AE7" i="2"/>
  <c r="V7" i="2"/>
  <c r="H7" i="2"/>
  <c r="Z7" i="2"/>
  <c r="K7" i="2"/>
  <c r="AF7" i="2"/>
  <c r="L7" i="2"/>
  <c r="F7" i="2"/>
  <c r="G7" i="2"/>
  <c r="M7" i="2"/>
  <c r="U7" i="2"/>
  <c r="Q7" i="2"/>
  <c r="N7" i="2"/>
  <c r="P7" i="2"/>
  <c r="S28" i="2"/>
  <c r="AI28" i="2"/>
  <c r="AX28" i="2"/>
  <c r="BM28" i="2" s="1"/>
  <c r="Y71" i="2"/>
  <c r="G71" i="2"/>
  <c r="F71" i="2"/>
  <c r="AA71" i="2"/>
  <c r="AB71" i="2"/>
  <c r="AC71" i="2"/>
  <c r="AE71" i="2"/>
  <c r="H71" i="2"/>
  <c r="AF71" i="2"/>
  <c r="I71" i="2"/>
  <c r="P71" i="2"/>
  <c r="Q71" i="2"/>
  <c r="U71" i="2"/>
  <c r="V71" i="2"/>
  <c r="W71" i="2"/>
  <c r="X71" i="2"/>
  <c r="Z71" i="2"/>
  <c r="N71" i="2"/>
  <c r="J71" i="2"/>
  <c r="K71" i="2"/>
  <c r="M71" i="2"/>
  <c r="L71" i="2"/>
  <c r="V44" i="2"/>
  <c r="W44" i="2"/>
  <c r="AA44" i="2"/>
  <c r="AB44" i="2"/>
  <c r="I44" i="2"/>
  <c r="AE44" i="2"/>
  <c r="AF44" i="2"/>
  <c r="F44" i="2"/>
  <c r="X44" i="2"/>
  <c r="Y44" i="2"/>
  <c r="P44" i="2"/>
  <c r="Q44" i="2"/>
  <c r="G44" i="2"/>
  <c r="H44" i="2"/>
  <c r="J44" i="2"/>
  <c r="K44" i="2"/>
  <c r="L44" i="2"/>
  <c r="N44" i="2"/>
  <c r="M44" i="2"/>
  <c r="U44" i="2"/>
  <c r="Z44" i="2"/>
  <c r="AC44" i="2"/>
  <c r="U28" i="2"/>
  <c r="V28" i="2"/>
  <c r="W28" i="2"/>
  <c r="AE28" i="2"/>
  <c r="Q28" i="2"/>
  <c r="AF28" i="2"/>
  <c r="H28" i="2"/>
  <c r="Y28" i="2"/>
  <c r="Z28" i="2"/>
  <c r="M28" i="2"/>
  <c r="AA28" i="2"/>
  <c r="N28" i="2"/>
  <c r="AB28" i="2"/>
  <c r="P28" i="2"/>
  <c r="AC28" i="2"/>
  <c r="J28" i="2"/>
  <c r="L28" i="2"/>
  <c r="K28" i="2"/>
  <c r="X28" i="2"/>
  <c r="I28" i="2"/>
  <c r="F28" i="2"/>
  <c r="G28" i="2"/>
  <c r="AA12" i="2"/>
  <c r="AB12" i="2"/>
  <c r="AC12" i="2"/>
  <c r="K12" i="2"/>
  <c r="P12" i="2"/>
  <c r="AE12" i="2"/>
  <c r="AF12" i="2"/>
  <c r="H12" i="2"/>
  <c r="F12" i="2"/>
  <c r="I12" i="2"/>
  <c r="U12" i="2"/>
  <c r="J12" i="2"/>
  <c r="V12" i="2"/>
  <c r="L12" i="2"/>
  <c r="W12" i="2"/>
  <c r="M12" i="2"/>
  <c r="X12" i="2"/>
  <c r="G12" i="2"/>
  <c r="N12" i="2"/>
  <c r="Q12" i="2"/>
  <c r="Y12" i="2"/>
  <c r="Z12" i="2"/>
  <c r="AI43" i="2"/>
  <c r="S43" i="2"/>
  <c r="AX43" i="2"/>
  <c r="BM43" i="2" s="1"/>
  <c r="AX27" i="2"/>
  <c r="BM27" i="2" s="1"/>
  <c r="S27" i="2"/>
  <c r="AI27" i="2"/>
  <c r="Y64" i="2"/>
  <c r="P64" i="2"/>
  <c r="X64" i="2"/>
  <c r="U64" i="2"/>
  <c r="G64" i="2"/>
  <c r="V64" i="2"/>
  <c r="H64" i="2"/>
  <c r="W64" i="2"/>
  <c r="I64" i="2"/>
  <c r="AB64" i="2"/>
  <c r="AC64" i="2"/>
  <c r="Q64" i="2"/>
  <c r="L64" i="2"/>
  <c r="M64" i="2"/>
  <c r="N64" i="2"/>
  <c r="AA64" i="2"/>
  <c r="J64" i="2"/>
  <c r="K64" i="2"/>
  <c r="AE64" i="2"/>
  <c r="F64" i="2"/>
  <c r="AF64" i="2"/>
  <c r="Z64" i="2"/>
  <c r="V33" i="2"/>
  <c r="W33" i="2"/>
  <c r="X33" i="2"/>
  <c r="AE33" i="2"/>
  <c r="AF33" i="2"/>
  <c r="U33" i="2"/>
  <c r="Y33" i="2"/>
  <c r="H33" i="2"/>
  <c r="I33" i="2"/>
  <c r="J33" i="2"/>
  <c r="L33" i="2"/>
  <c r="AC33" i="2"/>
  <c r="F33" i="2"/>
  <c r="G33" i="2"/>
  <c r="K33" i="2"/>
  <c r="M33" i="2"/>
  <c r="N33" i="2"/>
  <c r="AA33" i="2"/>
  <c r="AB33" i="2"/>
  <c r="P33" i="2"/>
  <c r="Q33" i="2"/>
  <c r="Z33" i="2"/>
  <c r="AA17" i="2"/>
  <c r="AB17" i="2"/>
  <c r="AC17" i="2"/>
  <c r="U17" i="2"/>
  <c r="V17" i="2"/>
  <c r="W17" i="2"/>
  <c r="M17" i="2"/>
  <c r="AF17" i="2"/>
  <c r="Z17" i="2"/>
  <c r="K17" i="2"/>
  <c r="AE17" i="2"/>
  <c r="L17" i="2"/>
  <c r="N17" i="2"/>
  <c r="P17" i="2"/>
  <c r="Y17" i="2"/>
  <c r="I17" i="2"/>
  <c r="J17" i="2"/>
  <c r="Q17" i="2"/>
  <c r="F17" i="2"/>
  <c r="G17" i="2"/>
  <c r="H17" i="2"/>
  <c r="X17" i="2"/>
  <c r="AI54" i="2"/>
  <c r="S54" i="2"/>
  <c r="AX54" i="2"/>
  <c r="BM54" i="2" s="1"/>
  <c r="AX26" i="2"/>
  <c r="BM26" i="2" s="1"/>
  <c r="S26" i="2"/>
  <c r="AI26" i="2"/>
  <c r="Z58" i="2"/>
  <c r="W58" i="2"/>
  <c r="X58" i="2"/>
  <c r="AE58" i="2"/>
  <c r="J58" i="2"/>
  <c r="AA58" i="2"/>
  <c r="N58" i="2"/>
  <c r="AB58" i="2"/>
  <c r="P58" i="2"/>
  <c r="AC58" i="2"/>
  <c r="Q58" i="2"/>
  <c r="U58" i="2"/>
  <c r="V58" i="2"/>
  <c r="Y58" i="2"/>
  <c r="AF58" i="2"/>
  <c r="F58" i="2"/>
  <c r="G58" i="2"/>
  <c r="I58" i="2"/>
  <c r="K58" i="2"/>
  <c r="L58" i="2"/>
  <c r="M58" i="2"/>
  <c r="H58" i="2"/>
  <c r="AC38" i="2"/>
  <c r="AE38" i="2"/>
  <c r="AF38" i="2"/>
  <c r="Z38" i="2"/>
  <c r="AA38" i="2"/>
  <c r="Y38" i="2"/>
  <c r="AB38" i="2"/>
  <c r="K38" i="2"/>
  <c r="L38" i="2"/>
  <c r="U38" i="2"/>
  <c r="M38" i="2"/>
  <c r="H38" i="2"/>
  <c r="V38" i="2"/>
  <c r="W38" i="2"/>
  <c r="X38" i="2"/>
  <c r="G38" i="2"/>
  <c r="J38" i="2"/>
  <c r="N38" i="2"/>
  <c r="P38" i="2"/>
  <c r="Q38" i="2"/>
  <c r="I38" i="2"/>
  <c r="F38" i="2"/>
  <c r="AX53" i="2"/>
  <c r="BM53" i="2" s="1"/>
  <c r="S53" i="2"/>
  <c r="AI53" i="2"/>
  <c r="AX25" i="2"/>
  <c r="BM25" i="2" s="1"/>
  <c r="AI25" i="2"/>
  <c r="S25" i="2"/>
  <c r="X43" i="2"/>
  <c r="Y43" i="2"/>
  <c r="Z43" i="2"/>
  <c r="AC43" i="2"/>
  <c r="AE43" i="2"/>
  <c r="G43" i="2"/>
  <c r="W43" i="2"/>
  <c r="AA43" i="2"/>
  <c r="AB43" i="2"/>
  <c r="K43" i="2"/>
  <c r="V43" i="2"/>
  <c r="AF43" i="2"/>
  <c r="H43" i="2"/>
  <c r="I43" i="2"/>
  <c r="J43" i="2"/>
  <c r="L43" i="2"/>
  <c r="U43" i="2"/>
  <c r="F43" i="2"/>
  <c r="M43" i="2"/>
  <c r="N43" i="2"/>
  <c r="P43" i="2"/>
  <c r="Q43" i="2"/>
  <c r="AA27" i="2"/>
  <c r="AB27" i="2"/>
  <c r="AC27" i="2"/>
  <c r="U27" i="2"/>
  <c r="V27" i="2"/>
  <c r="P27" i="2"/>
  <c r="N27" i="2"/>
  <c r="AE27" i="2"/>
  <c r="W27" i="2"/>
  <c r="L27" i="2"/>
  <c r="X27" i="2"/>
  <c r="M27" i="2"/>
  <c r="Y27" i="2"/>
  <c r="Q27" i="2"/>
  <c r="Z27" i="2"/>
  <c r="F27" i="2"/>
  <c r="G27" i="2"/>
  <c r="H27" i="2"/>
  <c r="J27" i="2"/>
  <c r="K27" i="2"/>
  <c r="AF27" i="2"/>
  <c r="I27" i="2"/>
  <c r="S66" i="2"/>
  <c r="AX66" i="2"/>
  <c r="BM66" i="2" s="1"/>
  <c r="AI66" i="2"/>
  <c r="AI24" i="2"/>
  <c r="S24" i="2"/>
  <c r="AX24" i="2"/>
  <c r="BM24" i="2" s="1"/>
  <c r="AE32" i="2"/>
  <c r="AF32" i="2"/>
  <c r="W32" i="2"/>
  <c r="X32" i="2"/>
  <c r="U32" i="2"/>
  <c r="AC32" i="2"/>
  <c r="K32" i="2"/>
  <c r="V32" i="2"/>
  <c r="L32" i="2"/>
  <c r="Y32" i="2"/>
  <c r="M32" i="2"/>
  <c r="Z32" i="2"/>
  <c r="N32" i="2"/>
  <c r="AA32" i="2"/>
  <c r="H32" i="2"/>
  <c r="I32" i="2"/>
  <c r="J32" i="2"/>
  <c r="P32" i="2"/>
  <c r="AB32" i="2"/>
  <c r="F32" i="2"/>
  <c r="G32" i="2"/>
  <c r="Q32" i="2"/>
  <c r="X16" i="2"/>
  <c r="Y16" i="2"/>
  <c r="U16" i="2"/>
  <c r="V16" i="2"/>
  <c r="I16" i="2"/>
  <c r="Q16" i="2"/>
  <c r="W16" i="2"/>
  <c r="F16" i="2"/>
  <c r="G16" i="2"/>
  <c r="AC16" i="2"/>
  <c r="AE16" i="2"/>
  <c r="Z16" i="2"/>
  <c r="H16" i="2"/>
  <c r="AA16" i="2"/>
  <c r="J16" i="2"/>
  <c r="AB16" i="2"/>
  <c r="K16" i="2"/>
  <c r="AF16" i="2"/>
  <c r="L16" i="2"/>
  <c r="M16" i="2"/>
  <c r="N16" i="2"/>
  <c r="P16" i="2"/>
  <c r="Z54" i="2"/>
  <c r="V54" i="2"/>
  <c r="M54" i="2"/>
  <c r="AC54" i="2"/>
  <c r="H54" i="2"/>
  <c r="J54" i="2"/>
  <c r="I54" i="2"/>
  <c r="K54" i="2"/>
  <c r="L54" i="2"/>
  <c r="N54" i="2"/>
  <c r="U54" i="2"/>
  <c r="W54" i="2"/>
  <c r="X54" i="2"/>
  <c r="Y54" i="2"/>
  <c r="F54" i="2"/>
  <c r="G54" i="2"/>
  <c r="P54" i="2"/>
  <c r="Q54" i="2"/>
  <c r="AF54" i="2"/>
  <c r="AE54" i="2"/>
  <c r="AB54" i="2"/>
  <c r="AA54" i="2"/>
  <c r="AF57" i="2"/>
  <c r="F57" i="2"/>
  <c r="W57" i="2"/>
  <c r="AB57" i="2"/>
  <c r="I57" i="2"/>
  <c r="AC57" i="2"/>
  <c r="J57" i="2"/>
  <c r="AE57" i="2"/>
  <c r="K57" i="2"/>
  <c r="U57" i="2"/>
  <c r="G57" i="2"/>
  <c r="V57" i="2"/>
  <c r="N57" i="2"/>
  <c r="P57" i="2"/>
  <c r="Q57" i="2"/>
  <c r="H57" i="2"/>
  <c r="L57" i="2"/>
  <c r="M57" i="2"/>
  <c r="X57" i="2"/>
  <c r="AA57" i="2"/>
  <c r="Y57" i="2"/>
  <c r="Z57" i="2"/>
  <c r="AB37" i="2"/>
  <c r="AC37" i="2"/>
  <c r="W37" i="2"/>
  <c r="Q37" i="2"/>
  <c r="X37" i="2"/>
  <c r="AE37" i="2"/>
  <c r="F37" i="2"/>
  <c r="G37" i="2"/>
  <c r="H37" i="2"/>
  <c r="AA37" i="2"/>
  <c r="AF37" i="2"/>
  <c r="M37" i="2"/>
  <c r="N37" i="2"/>
  <c r="P37" i="2"/>
  <c r="U37" i="2"/>
  <c r="V37" i="2"/>
  <c r="Y37" i="2"/>
  <c r="Z37" i="2"/>
  <c r="I37" i="2"/>
  <c r="K37" i="2"/>
  <c r="L37" i="2"/>
  <c r="J37" i="2"/>
  <c r="AF21" i="2"/>
  <c r="AE21" i="2"/>
  <c r="Y21" i="2"/>
  <c r="Z21" i="2"/>
  <c r="H21" i="2"/>
  <c r="AA21" i="2"/>
  <c r="M21" i="2"/>
  <c r="AB21" i="2"/>
  <c r="N21" i="2"/>
  <c r="AC21" i="2"/>
  <c r="P21" i="2"/>
  <c r="X21" i="2"/>
  <c r="F21" i="2"/>
  <c r="G21" i="2"/>
  <c r="I21" i="2"/>
  <c r="J21" i="2"/>
  <c r="V21" i="2"/>
  <c r="W21" i="2"/>
  <c r="L21" i="2"/>
  <c r="U21" i="2"/>
  <c r="Q21" i="2"/>
  <c r="K21" i="2"/>
  <c r="Z5" i="2"/>
  <c r="AA5" i="2"/>
  <c r="AB5" i="2"/>
  <c r="AE5" i="2"/>
  <c r="AF5" i="2"/>
  <c r="Q5" i="2"/>
  <c r="N5" i="2"/>
  <c r="P5" i="2"/>
  <c r="F5" i="2"/>
  <c r="U5" i="2"/>
  <c r="V5" i="2"/>
  <c r="W5" i="2"/>
  <c r="X5" i="2"/>
  <c r="G5" i="2"/>
  <c r="I5" i="2"/>
  <c r="Y5" i="2"/>
  <c r="J5" i="2"/>
  <c r="AC5" i="2"/>
  <c r="K5" i="2"/>
  <c r="L5" i="2"/>
  <c r="M5" i="2"/>
  <c r="H5" i="2"/>
  <c r="AX58" i="2"/>
  <c r="BM58" i="2" s="1"/>
  <c r="AI58" i="2"/>
  <c r="S58" i="2"/>
  <c r="AX38" i="2"/>
  <c r="BM38" i="2" s="1"/>
  <c r="S38" i="2"/>
  <c r="AI38" i="2"/>
  <c r="AX22" i="2"/>
  <c r="BM22" i="2" s="1"/>
  <c r="S22" i="2"/>
  <c r="AI22" i="2"/>
  <c r="AX6" i="2"/>
  <c r="BM6" i="2" s="1"/>
  <c r="AI6" i="2"/>
  <c r="S6" i="2"/>
  <c r="W9" i="2"/>
  <c r="X9" i="2"/>
  <c r="AE9" i="2"/>
  <c r="AF9" i="2"/>
  <c r="F9" i="2"/>
  <c r="P9" i="2"/>
  <c r="U9" i="2"/>
  <c r="Q9" i="2"/>
  <c r="V9" i="2"/>
  <c r="Y9" i="2"/>
  <c r="Z9" i="2"/>
  <c r="L9" i="2"/>
  <c r="M9" i="2"/>
  <c r="N9" i="2"/>
  <c r="AB9" i="2"/>
  <c r="G9" i="2"/>
  <c r="H9" i="2"/>
  <c r="I9" i="2"/>
  <c r="J9" i="2"/>
  <c r="K9" i="2"/>
  <c r="AC9" i="2"/>
  <c r="AA9" i="2"/>
  <c r="AI18" i="2"/>
  <c r="S18" i="2"/>
  <c r="AX18" i="2"/>
  <c r="BM18" i="2" s="1"/>
  <c r="Y14" i="2"/>
  <c r="Z14" i="2"/>
  <c r="AA14" i="2"/>
  <c r="U14" i="2"/>
  <c r="F14" i="2"/>
  <c r="AF14" i="2"/>
  <c r="K14" i="2"/>
  <c r="L14" i="2"/>
  <c r="M14" i="2"/>
  <c r="AE14" i="2"/>
  <c r="N14" i="2"/>
  <c r="P14" i="2"/>
  <c r="Q14" i="2"/>
  <c r="W14" i="2"/>
  <c r="AC14" i="2"/>
  <c r="X14" i="2"/>
  <c r="V14" i="2"/>
  <c r="J14" i="2"/>
  <c r="H14" i="2"/>
  <c r="I14" i="2"/>
  <c r="G14" i="2"/>
  <c r="AI17" i="2"/>
  <c r="AX17" i="2"/>
  <c r="BM17" i="2" s="1"/>
  <c r="S17" i="2"/>
  <c r="AI16" i="2"/>
  <c r="AX16" i="2"/>
  <c r="BM16" i="2" s="1"/>
  <c r="S16" i="2"/>
  <c r="AI15" i="2"/>
  <c r="S15" i="2"/>
  <c r="AX15" i="2"/>
  <c r="BM15" i="2" s="1"/>
  <c r="X13" i="2"/>
  <c r="Y13" i="2"/>
  <c r="AF13" i="2"/>
  <c r="M13" i="2"/>
  <c r="U13" i="2"/>
  <c r="V13" i="2"/>
  <c r="F13" i="2"/>
  <c r="W13" i="2"/>
  <c r="G13" i="2"/>
  <c r="Z13" i="2"/>
  <c r="Q13" i="2"/>
  <c r="AA13" i="2"/>
  <c r="K13" i="2"/>
  <c r="AB13" i="2"/>
  <c r="L13" i="2"/>
  <c r="AC13" i="2"/>
  <c r="N13" i="2"/>
  <c r="AE13" i="2"/>
  <c r="P13" i="2"/>
  <c r="H13" i="2"/>
  <c r="I13" i="2"/>
  <c r="J13" i="2"/>
  <c r="AX30" i="2"/>
  <c r="BM30" i="2" s="1"/>
  <c r="AI30" i="2"/>
  <c r="S30" i="2"/>
  <c r="AA65" i="2"/>
  <c r="J65" i="2"/>
  <c r="K65" i="2"/>
  <c r="L65" i="2"/>
  <c r="Z65" i="2"/>
  <c r="M65" i="2"/>
  <c r="AB65" i="2"/>
  <c r="U65" i="2"/>
  <c r="V65" i="2"/>
  <c r="W65" i="2"/>
  <c r="X65" i="2"/>
  <c r="F65" i="2"/>
  <c r="Y65" i="2"/>
  <c r="G65" i="2"/>
  <c r="AC65" i="2"/>
  <c r="H65" i="2"/>
  <c r="AE65" i="2"/>
  <c r="I65" i="2"/>
  <c r="AF65" i="2"/>
  <c r="N65" i="2"/>
  <c r="P65" i="2"/>
  <c r="Q65" i="2"/>
  <c r="Y34" i="2"/>
  <c r="Z34" i="2"/>
  <c r="AA34" i="2"/>
  <c r="U34" i="2"/>
  <c r="I34" i="2"/>
  <c r="M34" i="2"/>
  <c r="N34" i="2"/>
  <c r="P34" i="2"/>
  <c r="AC34" i="2"/>
  <c r="AE34" i="2"/>
  <c r="H34" i="2"/>
  <c r="V34" i="2"/>
  <c r="J34" i="2"/>
  <c r="W34" i="2"/>
  <c r="K34" i="2"/>
  <c r="X34" i="2"/>
  <c r="L34" i="2"/>
  <c r="AB34" i="2"/>
  <c r="AF34" i="2"/>
  <c r="Q34" i="2"/>
  <c r="G34" i="2"/>
  <c r="F34" i="2"/>
  <c r="AX29" i="2"/>
  <c r="BM29" i="2" s="1"/>
  <c r="AI29" i="2"/>
  <c r="S29" i="2"/>
  <c r="Z59" i="2"/>
  <c r="N59" i="2"/>
  <c r="Y59" i="2"/>
  <c r="AA59" i="2"/>
  <c r="AB59" i="2"/>
  <c r="AC59" i="2"/>
  <c r="F59" i="2"/>
  <c r="AE59" i="2"/>
  <c r="K59" i="2"/>
  <c r="U59" i="2"/>
  <c r="L59" i="2"/>
  <c r="V59" i="2"/>
  <c r="M59" i="2"/>
  <c r="W59" i="2"/>
  <c r="P59" i="2"/>
  <c r="G59" i="2"/>
  <c r="H59" i="2"/>
  <c r="I59" i="2"/>
  <c r="J59" i="2"/>
  <c r="Q59" i="2"/>
  <c r="X59" i="2"/>
  <c r="AF59" i="2"/>
  <c r="S56" i="2"/>
  <c r="AI56" i="2"/>
  <c r="AX56" i="2"/>
  <c r="BM56" i="2" s="1"/>
  <c r="AX12" i="2"/>
  <c r="BM12" i="2" s="1"/>
  <c r="AI12" i="2"/>
  <c r="S12" i="2"/>
  <c r="S55" i="2"/>
  <c r="AX55" i="2"/>
  <c r="BM55" i="2" s="1"/>
  <c r="AI55" i="2"/>
  <c r="AI11" i="2"/>
  <c r="AX11" i="2"/>
  <c r="BM11" i="2" s="1"/>
  <c r="S11" i="2"/>
  <c r="AX10" i="2"/>
  <c r="BM10" i="2" s="1"/>
  <c r="AI10" i="2"/>
  <c r="S10" i="2"/>
  <c r="AF55" i="2"/>
  <c r="AC55" i="2"/>
  <c r="Y55" i="2"/>
  <c r="M55" i="2"/>
  <c r="Z55" i="2"/>
  <c r="AA55" i="2"/>
  <c r="P55" i="2"/>
  <c r="AB55" i="2"/>
  <c r="I55" i="2"/>
  <c r="AE55" i="2"/>
  <c r="J55" i="2"/>
  <c r="K55" i="2"/>
  <c r="L55" i="2"/>
  <c r="V55" i="2"/>
  <c r="W55" i="2"/>
  <c r="X55" i="2"/>
  <c r="F55" i="2"/>
  <c r="U55" i="2"/>
  <c r="G55" i="2"/>
  <c r="Q55" i="2"/>
  <c r="H55" i="2"/>
  <c r="N55" i="2"/>
  <c r="V22" i="2"/>
  <c r="W22" i="2"/>
  <c r="X22" i="2"/>
  <c r="AA22" i="2"/>
  <c r="AB22" i="2"/>
  <c r="U22" i="2"/>
  <c r="Y22" i="2"/>
  <c r="L22" i="2"/>
  <c r="G22" i="2"/>
  <c r="Z22" i="2"/>
  <c r="P22" i="2"/>
  <c r="AC22" i="2"/>
  <c r="H22" i="2"/>
  <c r="I22" i="2"/>
  <c r="AE22" i="2"/>
  <c r="J22" i="2"/>
  <c r="AF22" i="2"/>
  <c r="K22" i="2"/>
  <c r="F22" i="2"/>
  <c r="M22" i="2"/>
  <c r="N22" i="2"/>
  <c r="Q22" i="2"/>
  <c r="X6" i="2"/>
  <c r="Y6" i="2"/>
  <c r="AC6" i="2"/>
  <c r="AE6" i="2"/>
  <c r="F6" i="2"/>
  <c r="V6" i="2"/>
  <c r="W6" i="2"/>
  <c r="U6" i="2"/>
  <c r="P6" i="2"/>
  <c r="AF6" i="2"/>
  <c r="G6" i="2"/>
  <c r="H6" i="2"/>
  <c r="I6" i="2"/>
  <c r="J6" i="2"/>
  <c r="Z6" i="2"/>
  <c r="K6" i="2"/>
  <c r="AA6" i="2"/>
  <c r="L6" i="2"/>
  <c r="AB6" i="2"/>
  <c r="M6" i="2"/>
  <c r="N6" i="2"/>
  <c r="Q6" i="2"/>
  <c r="AI9" i="2"/>
  <c r="AX9" i="2"/>
  <c r="BM9" i="2" s="1"/>
  <c r="S9" i="2"/>
  <c r="V70" i="2"/>
  <c r="AC70" i="2"/>
  <c r="Q70" i="2"/>
  <c r="AB70" i="2"/>
  <c r="X70" i="2"/>
  <c r="Y70" i="2"/>
  <c r="Z70" i="2"/>
  <c r="N70" i="2"/>
  <c r="P70" i="2"/>
  <c r="F70" i="2"/>
  <c r="G70" i="2"/>
  <c r="H70" i="2"/>
  <c r="I70" i="2"/>
  <c r="J70" i="2"/>
  <c r="K70" i="2"/>
  <c r="L70" i="2"/>
  <c r="AE70" i="2"/>
  <c r="AF70" i="2"/>
  <c r="M70" i="2"/>
  <c r="AA70" i="2"/>
  <c r="U70" i="2"/>
  <c r="W70" i="2"/>
  <c r="AX40" i="2"/>
  <c r="BM40" i="2" s="1"/>
  <c r="AI40" i="2"/>
  <c r="S40" i="2"/>
  <c r="X63" i="2"/>
  <c r="Y63" i="2"/>
  <c r="AE63" i="2"/>
  <c r="M63" i="2"/>
  <c r="AB63" i="2"/>
  <c r="V63" i="2"/>
  <c r="W63" i="2"/>
  <c r="Z63" i="2"/>
  <c r="F63" i="2"/>
  <c r="U63" i="2"/>
  <c r="AA63" i="2"/>
  <c r="AF63" i="2"/>
  <c r="H63" i="2"/>
  <c r="I63" i="2"/>
  <c r="J63" i="2"/>
  <c r="K63" i="2"/>
  <c r="AC63" i="2"/>
  <c r="G63" i="2"/>
  <c r="L63" i="2"/>
  <c r="Q63" i="2"/>
  <c r="N63" i="2"/>
  <c r="P63" i="2"/>
  <c r="U69" i="2"/>
  <c r="L69" i="2"/>
  <c r="AE69" i="2"/>
  <c r="K69" i="2"/>
  <c r="AF69" i="2"/>
  <c r="N69" i="2"/>
  <c r="W69" i="2"/>
  <c r="I69" i="2"/>
  <c r="AC69" i="2"/>
  <c r="F69" i="2"/>
  <c r="G69" i="2"/>
  <c r="H69" i="2"/>
  <c r="J69" i="2"/>
  <c r="AA69" i="2"/>
  <c r="P69" i="2"/>
  <c r="AB69" i="2"/>
  <c r="Q69" i="2"/>
  <c r="V69" i="2"/>
  <c r="M69" i="2"/>
  <c r="X69" i="2"/>
  <c r="Y69" i="2"/>
  <c r="Z69" i="2"/>
  <c r="AF42" i="2"/>
  <c r="AE42" i="2"/>
  <c r="AC42" i="2"/>
  <c r="AB42" i="2"/>
  <c r="N42" i="2"/>
  <c r="U42" i="2"/>
  <c r="P42" i="2"/>
  <c r="V42" i="2"/>
  <c r="Q42" i="2"/>
  <c r="F42" i="2"/>
  <c r="G42" i="2"/>
  <c r="H42" i="2"/>
  <c r="I42" i="2"/>
  <c r="X42" i="2"/>
  <c r="Y42" i="2"/>
  <c r="J42" i="2"/>
  <c r="Z42" i="2"/>
  <c r="K42" i="2"/>
  <c r="AA42" i="2"/>
  <c r="L42" i="2"/>
  <c r="M42" i="2"/>
  <c r="W42" i="2"/>
  <c r="V26" i="2"/>
  <c r="W26" i="2"/>
  <c r="X26" i="2"/>
  <c r="AC26" i="2"/>
  <c r="AE26" i="2"/>
  <c r="L26" i="2"/>
  <c r="J26" i="2"/>
  <c r="Z26" i="2"/>
  <c r="G26" i="2"/>
  <c r="H26" i="2"/>
  <c r="I26" i="2"/>
  <c r="U26" i="2"/>
  <c r="N26" i="2"/>
  <c r="Y26" i="2"/>
  <c r="AA26" i="2"/>
  <c r="AB26" i="2"/>
  <c r="AF26" i="2"/>
  <c r="F26" i="2"/>
  <c r="K26" i="2"/>
  <c r="M26" i="2"/>
  <c r="P26" i="2"/>
  <c r="Q26" i="2"/>
  <c r="Z10" i="2"/>
  <c r="AA10" i="2"/>
  <c r="AB10" i="2"/>
  <c r="F10" i="2"/>
  <c r="H10" i="2"/>
  <c r="W10" i="2"/>
  <c r="J10" i="2"/>
  <c r="X10" i="2"/>
  <c r="K10" i="2"/>
  <c r="Y10" i="2"/>
  <c r="L10" i="2"/>
  <c r="AC10" i="2"/>
  <c r="N10" i="2"/>
  <c r="G10" i="2"/>
  <c r="I10" i="2"/>
  <c r="U10" i="2"/>
  <c r="V10" i="2"/>
  <c r="AE10" i="2"/>
  <c r="AF10" i="2"/>
  <c r="M10" i="2"/>
  <c r="P10" i="2"/>
  <c r="Q10" i="2"/>
  <c r="AI57" i="2"/>
  <c r="AX57" i="2"/>
  <c r="BM57" i="2" s="1"/>
  <c r="S57" i="2"/>
  <c r="AI37" i="2"/>
  <c r="AX37" i="2"/>
  <c r="BM37" i="2" s="1"/>
  <c r="S37" i="2"/>
  <c r="AI21" i="2"/>
  <c r="AX21" i="2"/>
  <c r="BM21" i="2" s="1"/>
  <c r="S21" i="2"/>
  <c r="AI5" i="2"/>
  <c r="S5" i="2"/>
  <c r="Y68" i="2"/>
  <c r="AC68" i="2"/>
  <c r="J68" i="2"/>
  <c r="X68" i="2"/>
  <c r="H68" i="2"/>
  <c r="K68" i="2"/>
  <c r="W68" i="2"/>
  <c r="AF68" i="2"/>
  <c r="U68" i="2"/>
  <c r="V68" i="2"/>
  <c r="Z68" i="2"/>
  <c r="AA68" i="2"/>
  <c r="F68" i="2"/>
  <c r="G68" i="2"/>
  <c r="Q68" i="2"/>
  <c r="I68" i="2"/>
  <c r="L68" i="2"/>
  <c r="AE68" i="2"/>
  <c r="M68" i="2"/>
  <c r="N68" i="2"/>
  <c r="AB68" i="2"/>
  <c r="P68" i="2"/>
  <c r="Y41" i="2"/>
  <c r="Z41" i="2"/>
  <c r="AA41" i="2"/>
  <c r="Q41" i="2"/>
  <c r="AC41" i="2"/>
  <c r="I41" i="2"/>
  <c r="J41" i="2"/>
  <c r="K41" i="2"/>
  <c r="W41" i="2"/>
  <c r="P41" i="2"/>
  <c r="X41" i="2"/>
  <c r="AF41" i="2"/>
  <c r="H41" i="2"/>
  <c r="L41" i="2"/>
  <c r="M41" i="2"/>
  <c r="N41" i="2"/>
  <c r="AE41" i="2"/>
  <c r="G41" i="2"/>
  <c r="F41" i="2"/>
  <c r="V41" i="2"/>
  <c r="AB41" i="2"/>
  <c r="U41" i="2"/>
  <c r="AX34" i="2"/>
  <c r="BM34" i="2" s="1"/>
  <c r="AI34" i="2"/>
  <c r="S34" i="2"/>
  <c r="AX33" i="2"/>
  <c r="BM33" i="2" s="1"/>
  <c r="AI33" i="2"/>
  <c r="S33" i="2"/>
  <c r="U35" i="2"/>
  <c r="W35" i="2"/>
  <c r="L35" i="2"/>
  <c r="X35" i="2"/>
  <c r="Y35" i="2"/>
  <c r="AA35" i="2"/>
  <c r="AB35" i="2"/>
  <c r="AC35" i="2"/>
  <c r="G35" i="2"/>
  <c r="F35" i="2"/>
  <c r="H35" i="2"/>
  <c r="V35" i="2"/>
  <c r="I35" i="2"/>
  <c r="K35" i="2"/>
  <c r="M35" i="2"/>
  <c r="N35" i="2"/>
  <c r="P35" i="2"/>
  <c r="Z35" i="2"/>
  <c r="Q35" i="2"/>
  <c r="AE35" i="2"/>
  <c r="AF35" i="2"/>
  <c r="J35" i="2"/>
  <c r="AA67" i="2"/>
  <c r="AC67" i="2"/>
  <c r="H67" i="2"/>
  <c r="V67" i="2"/>
  <c r="G67" i="2"/>
  <c r="N67" i="2"/>
  <c r="P67" i="2"/>
  <c r="Q67" i="2"/>
  <c r="K67" i="2"/>
  <c r="U67" i="2"/>
  <c r="L67" i="2"/>
  <c r="W67" i="2"/>
  <c r="M67" i="2"/>
  <c r="X67" i="2"/>
  <c r="Y67" i="2"/>
  <c r="AE67" i="2"/>
  <c r="AF67" i="2"/>
  <c r="F67" i="2"/>
  <c r="I67" i="2"/>
  <c r="J67" i="2"/>
  <c r="Z67" i="2"/>
  <c r="AB67" i="2"/>
  <c r="X60" i="2"/>
  <c r="Y60" i="2"/>
  <c r="Z60" i="2"/>
  <c r="AF60" i="2"/>
  <c r="G60" i="2"/>
  <c r="U60" i="2"/>
  <c r="H60" i="2"/>
  <c r="V60" i="2"/>
  <c r="I60" i="2"/>
  <c r="AC60" i="2"/>
  <c r="N60" i="2"/>
  <c r="AE60" i="2"/>
  <c r="W60" i="2"/>
  <c r="AA60" i="2"/>
  <c r="AB60" i="2"/>
  <c r="F60" i="2"/>
  <c r="J60" i="2"/>
  <c r="K60" i="2"/>
  <c r="Q60" i="2"/>
  <c r="L60" i="2"/>
  <c r="M60" i="2"/>
  <c r="P60" i="2"/>
  <c r="AC40" i="2"/>
  <c r="AE40" i="2"/>
  <c r="AF40" i="2"/>
  <c r="AB40" i="2"/>
  <c r="L40" i="2"/>
  <c r="U40" i="2"/>
  <c r="F40" i="2"/>
  <c r="G40" i="2"/>
  <c r="W40" i="2"/>
  <c r="X40" i="2"/>
  <c r="Y40" i="2"/>
  <c r="Z40" i="2"/>
  <c r="AA40" i="2"/>
  <c r="H40" i="2"/>
  <c r="I40" i="2"/>
  <c r="Q40" i="2"/>
  <c r="J40" i="2"/>
  <c r="N40" i="2"/>
  <c r="P40" i="2"/>
  <c r="K40" i="2"/>
  <c r="V40" i="2"/>
  <c r="M40" i="2"/>
  <c r="AE8" i="2"/>
  <c r="AF8" i="2"/>
  <c r="W8" i="2"/>
  <c r="X8" i="2"/>
  <c r="N8" i="2"/>
  <c r="P8" i="2"/>
  <c r="Q8" i="2"/>
  <c r="AC8" i="2"/>
  <c r="L8" i="2"/>
  <c r="AA8" i="2"/>
  <c r="AB8" i="2"/>
  <c r="F8" i="2"/>
  <c r="G8" i="2"/>
  <c r="H8" i="2"/>
  <c r="U8" i="2"/>
  <c r="V8" i="2"/>
  <c r="Y8" i="2"/>
  <c r="J8" i="2"/>
  <c r="M8" i="2"/>
  <c r="K8" i="2"/>
  <c r="Z8" i="2"/>
  <c r="I8" i="2"/>
  <c r="AX31" i="2"/>
  <c r="BM31" i="2" s="1"/>
  <c r="AI31" i="2"/>
  <c r="S31" i="2"/>
  <c r="AX14" i="2"/>
  <c r="BM14" i="2" s="1"/>
  <c r="AI14" i="2"/>
  <c r="S14" i="2"/>
  <c r="AE18" i="2"/>
  <c r="AF18" i="2"/>
  <c r="I18" i="2"/>
  <c r="AB18" i="2"/>
  <c r="AC18" i="2"/>
  <c r="W18" i="2"/>
  <c r="X18" i="2"/>
  <c r="Y18" i="2"/>
  <c r="Z18" i="2"/>
  <c r="AA18" i="2"/>
  <c r="F18" i="2"/>
  <c r="L18" i="2"/>
  <c r="N18" i="2"/>
  <c r="P18" i="2"/>
  <c r="Q18" i="2"/>
  <c r="M18" i="2"/>
  <c r="V18" i="2"/>
  <c r="K18" i="2"/>
  <c r="G18" i="2"/>
  <c r="H18" i="2"/>
  <c r="J18" i="2"/>
  <c r="U18" i="2"/>
  <c r="AI13" i="2"/>
  <c r="AX13" i="2"/>
  <c r="BM13" i="2" s="1"/>
  <c r="S13" i="2"/>
  <c r="AA56" i="2"/>
  <c r="AF56" i="2"/>
  <c r="L56" i="2"/>
  <c r="G56" i="2"/>
  <c r="H56" i="2"/>
  <c r="I56" i="2"/>
  <c r="J56" i="2"/>
  <c r="AE56" i="2"/>
  <c r="M56" i="2"/>
  <c r="P56" i="2"/>
  <c r="Q56" i="2"/>
  <c r="U56" i="2"/>
  <c r="V56" i="2"/>
  <c r="W56" i="2"/>
  <c r="N56" i="2"/>
  <c r="AB56" i="2"/>
  <c r="AC56" i="2"/>
  <c r="K56" i="2"/>
  <c r="X56" i="2"/>
  <c r="F56" i="2"/>
  <c r="Y56" i="2"/>
  <c r="Z56" i="2"/>
  <c r="U62" i="2"/>
  <c r="J62" i="2"/>
  <c r="AC62" i="2"/>
  <c r="AE62" i="2"/>
  <c r="AF62" i="2"/>
  <c r="Y62" i="2"/>
  <c r="K62" i="2"/>
  <c r="Z62" i="2"/>
  <c r="X62" i="2"/>
  <c r="AA62" i="2"/>
  <c r="AB62" i="2"/>
  <c r="I62" i="2"/>
  <c r="L62" i="2"/>
  <c r="M62" i="2"/>
  <c r="N62" i="2"/>
  <c r="F62" i="2"/>
  <c r="G62" i="2"/>
  <c r="H62" i="2"/>
  <c r="P62" i="2"/>
  <c r="Q62" i="2"/>
  <c r="V62" i="2"/>
  <c r="W62" i="2"/>
  <c r="Z31" i="2"/>
  <c r="AA31" i="2"/>
  <c r="AB31" i="2"/>
  <c r="V31" i="2"/>
  <c r="W31" i="2"/>
  <c r="AE31" i="2"/>
  <c r="AF31" i="2"/>
  <c r="M31" i="2"/>
  <c r="U31" i="2"/>
  <c r="AC31" i="2"/>
  <c r="Y31" i="2"/>
  <c r="P31" i="2"/>
  <c r="Q31" i="2"/>
  <c r="L31" i="2"/>
  <c r="X31" i="2"/>
  <c r="K31" i="2"/>
  <c r="N31" i="2"/>
  <c r="J31" i="2"/>
  <c r="F31" i="2"/>
  <c r="G31" i="2"/>
  <c r="H31" i="2"/>
  <c r="I31" i="2"/>
  <c r="AB15" i="2"/>
  <c r="AC15" i="2"/>
  <c r="K15" i="2"/>
  <c r="V15" i="2"/>
  <c r="W15" i="2"/>
  <c r="N15" i="2"/>
  <c r="AA15" i="2"/>
  <c r="AE15" i="2"/>
  <c r="J15" i="2"/>
  <c r="AF15" i="2"/>
  <c r="L15" i="2"/>
  <c r="M15" i="2"/>
  <c r="P15" i="2"/>
  <c r="U15" i="2"/>
  <c r="X15" i="2"/>
  <c r="Y15" i="2"/>
  <c r="Z15" i="2"/>
  <c r="F15" i="2"/>
  <c r="G15" i="2"/>
  <c r="I15" i="2"/>
  <c r="Q15" i="2"/>
  <c r="H15" i="2"/>
  <c r="AX36" i="2"/>
  <c r="BM36" i="2" s="1"/>
  <c r="AI36" i="2"/>
  <c r="S36" i="2"/>
  <c r="AX20" i="2"/>
  <c r="BM20" i="2" s="1"/>
  <c r="AI20" i="2"/>
  <c r="S20" i="2"/>
  <c r="AX4" i="2"/>
  <c r="BM4" i="2" s="1"/>
  <c r="AI4" i="2"/>
  <c r="S4" i="2"/>
  <c r="AF53" i="2"/>
  <c r="I53" i="2"/>
  <c r="U53" i="2"/>
  <c r="V53" i="2"/>
  <c r="W53" i="2"/>
  <c r="J53" i="2"/>
  <c r="G53" i="2"/>
  <c r="H53" i="2"/>
  <c r="K53" i="2"/>
  <c r="L53" i="2"/>
  <c r="M53" i="2"/>
  <c r="P53" i="2"/>
  <c r="Y53" i="2"/>
  <c r="Q53" i="2"/>
  <c r="Z53" i="2"/>
  <c r="AA53" i="2"/>
  <c r="AB53" i="2"/>
  <c r="AC53" i="2"/>
  <c r="AE53" i="2"/>
  <c r="N53" i="2"/>
  <c r="X53" i="2"/>
  <c r="F53" i="2"/>
  <c r="X36" i="2"/>
  <c r="Y36" i="2"/>
  <c r="Z36" i="2"/>
  <c r="AF36" i="2"/>
  <c r="N36" i="2"/>
  <c r="V36" i="2"/>
  <c r="AC36" i="2"/>
  <c r="AE36" i="2"/>
  <c r="M36" i="2"/>
  <c r="F36" i="2"/>
  <c r="G36" i="2"/>
  <c r="H36" i="2"/>
  <c r="U36" i="2"/>
  <c r="I36" i="2"/>
  <c r="J36" i="2"/>
  <c r="K36" i="2"/>
  <c r="L36" i="2"/>
  <c r="W36" i="2"/>
  <c r="P36" i="2"/>
  <c r="AA36" i="2"/>
  <c r="AB36" i="2"/>
  <c r="Q36" i="2"/>
  <c r="AC20" i="2"/>
  <c r="AE20" i="2"/>
  <c r="AF20" i="2"/>
  <c r="V20" i="2"/>
  <c r="W20" i="2"/>
  <c r="F20" i="2"/>
  <c r="Q20" i="2"/>
  <c r="X20" i="2"/>
  <c r="I20" i="2"/>
  <c r="Y20" i="2"/>
  <c r="J20" i="2"/>
  <c r="Z20" i="2"/>
  <c r="K20" i="2"/>
  <c r="AA20" i="2"/>
  <c r="U20" i="2"/>
  <c r="AB20" i="2"/>
  <c r="G20" i="2"/>
  <c r="H20" i="2"/>
  <c r="L20" i="2"/>
  <c r="M20" i="2"/>
  <c r="N20" i="2"/>
  <c r="P20" i="2"/>
  <c r="AA4" i="2"/>
  <c r="AB4" i="2"/>
  <c r="AC4" i="2"/>
  <c r="V4" i="2"/>
  <c r="W4" i="2"/>
  <c r="Q4" i="2"/>
  <c r="M4" i="2"/>
  <c r="J4" i="2"/>
  <c r="K4" i="2"/>
  <c r="L4" i="2"/>
  <c r="AE4" i="2"/>
  <c r="AF4" i="2"/>
  <c r="F4" i="2"/>
  <c r="G4" i="2"/>
  <c r="H4" i="2"/>
  <c r="I4" i="2"/>
  <c r="Y4" i="2"/>
  <c r="P4" i="2"/>
  <c r="Z4" i="2"/>
  <c r="U4" i="2"/>
  <c r="X4" i="2"/>
  <c r="N4" i="2"/>
  <c r="S35" i="2"/>
  <c r="AX35" i="2"/>
  <c r="BM35" i="2" s="1"/>
  <c r="AI35" i="2"/>
  <c r="AI19" i="2"/>
  <c r="AX19" i="2"/>
  <c r="BM19" i="2" s="1"/>
  <c r="S19" i="2"/>
  <c r="AA3" i="2"/>
  <c r="L3" i="2"/>
  <c r="AF3" i="2"/>
  <c r="AE3" i="2"/>
  <c r="Q3" i="2"/>
  <c r="P3" i="2"/>
  <c r="H3" i="2"/>
  <c r="I3" i="2"/>
  <c r="J3" i="2"/>
  <c r="K3" i="2"/>
  <c r="M3" i="2"/>
  <c r="Z3" i="2"/>
  <c r="AC3" i="2"/>
  <c r="W3" i="2"/>
  <c r="F3" i="2"/>
  <c r="G3" i="2"/>
  <c r="N3" i="2"/>
  <c r="X3" i="2"/>
  <c r="AB3" i="2"/>
  <c r="Y3" i="2"/>
  <c r="U3" i="2"/>
  <c r="V3" i="2"/>
  <c r="AI3" i="2"/>
  <c r="S3" i="2"/>
  <c r="BO7" i="2" l="1"/>
  <c r="BO8" i="2"/>
  <c r="BO42" i="2"/>
  <c r="BO23" i="2"/>
  <c r="BO9" i="2"/>
  <c r="BO24" i="2"/>
  <c r="BO78" i="2"/>
  <c r="BO75" i="2"/>
  <c r="BO49" i="2"/>
  <c r="BO34" i="2"/>
  <c r="BO11" i="2"/>
  <c r="BO56" i="2"/>
  <c r="BO18" i="2"/>
  <c r="BO68" i="2"/>
  <c r="BO47" i="2"/>
  <c r="BO64" i="2"/>
  <c r="BO33" i="2"/>
  <c r="BO12" i="2"/>
  <c r="BO36" i="2"/>
  <c r="BO59" i="2"/>
  <c r="BO69" i="2"/>
  <c r="BO48" i="2"/>
  <c r="BO10" i="2"/>
  <c r="BO25" i="2"/>
  <c r="BO61" i="2"/>
  <c r="BO28" i="2"/>
  <c r="BO44" i="2"/>
  <c r="BO70" i="2"/>
  <c r="BO26" i="2"/>
  <c r="BO14" i="2"/>
  <c r="BO35" i="2"/>
  <c r="BO27" i="2"/>
  <c r="BO79" i="2"/>
  <c r="BO41" i="2"/>
  <c r="BO74" i="2"/>
  <c r="BO30" i="2"/>
  <c r="BO58" i="2"/>
  <c r="BO63" i="2"/>
  <c r="BO80" i="2"/>
  <c r="BO29" i="2"/>
  <c r="BO21" i="2"/>
  <c r="BO46" i="2"/>
  <c r="BO77" i="2"/>
  <c r="BO60" i="2"/>
  <c r="BO52" i="2"/>
  <c r="BO22" i="2"/>
  <c r="BO32" i="2"/>
  <c r="BO51" i="2"/>
  <c r="BO43" i="2"/>
  <c r="BO50" i="2"/>
  <c r="BO15" i="2"/>
  <c r="BO13" i="2"/>
  <c r="BO62" i="2"/>
  <c r="BO6" i="2"/>
  <c r="BO31" i="2"/>
  <c r="BO19" i="2"/>
  <c r="BO57" i="2"/>
  <c r="BO45" i="2"/>
  <c r="BO20" i="2"/>
  <c r="BO67" i="2"/>
  <c r="BO5" i="2"/>
  <c r="AR14" i="2" a="1"/>
  <c r="AR14" i="2" s="1"/>
  <c r="BG14" i="2" s="1"/>
  <c r="AT10" i="2" a="1"/>
  <c r="AT10" i="2" s="1"/>
  <c r="BI10" i="2" s="1"/>
  <c r="AT32" i="2" a="1"/>
  <c r="AT32" i="2" s="1"/>
  <c r="BI32" i="2" s="1"/>
  <c r="AS66" i="2" a="1"/>
  <c r="AS66" i="2" s="1"/>
  <c r="BH66" i="2" s="1"/>
  <c r="AT68" i="2" a="1"/>
  <c r="AT68" i="2" s="1"/>
  <c r="BI68" i="2" s="1"/>
  <c r="AT55" i="2" a="1"/>
  <c r="AT55" i="2" s="1"/>
  <c r="BI55" i="2" s="1"/>
  <c r="AT19" i="2" a="1"/>
  <c r="AT19" i="2" s="1"/>
  <c r="BI19" i="2" s="1"/>
  <c r="AT54" i="2" a="1"/>
  <c r="AT54" i="2" s="1"/>
  <c r="BI54" i="2" s="1"/>
  <c r="AT70" i="2" a="1"/>
  <c r="AT70" i="2" s="1"/>
  <c r="BI70" i="2" s="1"/>
  <c r="AT65" i="2" a="1"/>
  <c r="AT65" i="2" s="1"/>
  <c r="BI65" i="2" s="1"/>
  <c r="AT44" i="2" a="1"/>
  <c r="AT44" i="2" s="1"/>
  <c r="BI44" i="2" s="1"/>
  <c r="AT40" i="2" a="1"/>
  <c r="AT40" i="2" s="1"/>
  <c r="BI40" i="2" s="1"/>
  <c r="AT24" i="2" a="1"/>
  <c r="AT24" i="2" s="1"/>
  <c r="BI24" i="2" s="1"/>
  <c r="AT18" i="2" a="1"/>
  <c r="AT18" i="2" s="1"/>
  <c r="BI18" i="2" s="1"/>
  <c r="AT12" i="2" a="1"/>
  <c r="AT12" i="2" s="1"/>
  <c r="BI12" i="2" s="1"/>
  <c r="AM11" i="2" a="1"/>
  <c r="AM11" i="2" s="1"/>
  <c r="BB11" i="2" s="1"/>
  <c r="AV31" i="2" a="1"/>
  <c r="AV31" i="2" s="1"/>
  <c r="BK31" i="2" s="1"/>
  <c r="AT31" i="2" a="1"/>
  <c r="AT31" i="2" s="1"/>
  <c r="BI31" i="2" s="1"/>
  <c r="AT67" i="2" a="1"/>
  <c r="AT67" i="2" s="1"/>
  <c r="BI67" i="2" s="1"/>
  <c r="AT30" i="2" a="1"/>
  <c r="AT30" i="2" s="1"/>
  <c r="BI30" i="2" s="1"/>
  <c r="AT42" i="2" a="1"/>
  <c r="AT42" i="2" s="1"/>
  <c r="BI42" i="2" s="1"/>
  <c r="AT16" i="2" a="1"/>
  <c r="AT16" i="2" s="1"/>
  <c r="BI16" i="2" s="1"/>
  <c r="AT33" i="2" a="1"/>
  <c r="AT33" i="2" s="1"/>
  <c r="BI33" i="2" s="1"/>
  <c r="AT5" i="2" a="1"/>
  <c r="AT5" i="2" s="1"/>
  <c r="BI5" i="2" s="1"/>
  <c r="AT53" i="2" a="1"/>
  <c r="AT53" i="2" s="1"/>
  <c r="BI53" i="2" s="1"/>
  <c r="AT63" i="2" a="1"/>
  <c r="AT63" i="2" s="1"/>
  <c r="BI63" i="2" s="1"/>
  <c r="AT35" i="2" a="1"/>
  <c r="AT35" i="2" s="1"/>
  <c r="BI35" i="2" s="1"/>
  <c r="AT60" i="2" a="1"/>
  <c r="AT60" i="2" s="1"/>
  <c r="BI60" i="2" s="1"/>
  <c r="AT66" i="2" a="1"/>
  <c r="AT66" i="2" s="1"/>
  <c r="BI66" i="2" s="1"/>
  <c r="AT57" i="2" a="1"/>
  <c r="AT57" i="2" s="1"/>
  <c r="BI57" i="2" s="1"/>
  <c r="AT29" i="2" a="1"/>
  <c r="AT29" i="2" s="1"/>
  <c r="BI29" i="2" s="1"/>
  <c r="AT62" i="2" a="1"/>
  <c r="AT62" i="2" s="1"/>
  <c r="BI62" i="2" s="1"/>
  <c r="AT21" i="2" a="1"/>
  <c r="AT21" i="2" s="1"/>
  <c r="BI21" i="2" s="1"/>
  <c r="AT39" i="2" a="1"/>
  <c r="AT39" i="2" s="1"/>
  <c r="BI39" i="2" s="1"/>
  <c r="AT11" i="2" a="1"/>
  <c r="AT11" i="2" s="1"/>
  <c r="BI11" i="2" s="1"/>
  <c r="AT8" i="2" a="1"/>
  <c r="AT8" i="2" s="1"/>
  <c r="BI8" i="2" s="1"/>
  <c r="AT4" i="2" a="1"/>
  <c r="AT4" i="2" s="1"/>
  <c r="BI4" i="2" s="1"/>
  <c r="AT37" i="2" a="1"/>
  <c r="AT37" i="2" s="1"/>
  <c r="BI37" i="2" s="1"/>
  <c r="AT43" i="2" a="1"/>
  <c r="AT43" i="2" s="1"/>
  <c r="BI43" i="2" s="1"/>
  <c r="AT58" i="2" a="1"/>
  <c r="AT58" i="2" s="1"/>
  <c r="BI58" i="2" s="1"/>
  <c r="AT20" i="2" a="1"/>
  <c r="AT20" i="2" s="1"/>
  <c r="BI20" i="2" s="1"/>
  <c r="AT6" i="2" a="1"/>
  <c r="AT6" i="2" s="1"/>
  <c r="BI6" i="2" s="1"/>
  <c r="AT71" i="2" a="1"/>
  <c r="AT71" i="2" s="1"/>
  <c r="BI71" i="2" s="1"/>
  <c r="O83" i="2"/>
  <c r="O84" i="2" s="1"/>
  <c r="AT3" i="2" a="1"/>
  <c r="AT3" i="2" s="1"/>
  <c r="BI3" i="2" s="1"/>
  <c r="AT7" i="2" a="1"/>
  <c r="AT7" i="2" s="1"/>
  <c r="BI7" i="2" s="1"/>
  <c r="AT9" i="2" a="1"/>
  <c r="AT9" i="2" s="1"/>
  <c r="BI9" i="2" s="1"/>
  <c r="AT25" i="2" a="1"/>
  <c r="AT25" i="2" s="1"/>
  <c r="BI25" i="2" s="1"/>
  <c r="AD83" i="2"/>
  <c r="AD84" i="2" s="1"/>
  <c r="AT22" i="2" a="1"/>
  <c r="AT22" i="2" s="1"/>
  <c r="BI22" i="2" s="1"/>
  <c r="AT23" i="2" a="1"/>
  <c r="AT23" i="2" s="1"/>
  <c r="BI23" i="2" s="1"/>
  <c r="AT36" i="2" a="1"/>
  <c r="AT36" i="2" s="1"/>
  <c r="BI36" i="2" s="1"/>
  <c r="AT59" i="2" a="1"/>
  <c r="AT59" i="2" s="1"/>
  <c r="BI59" i="2" s="1"/>
  <c r="AT41" i="2" a="1"/>
  <c r="AT41" i="2" s="1"/>
  <c r="BI41" i="2" s="1"/>
  <c r="AT38" i="2" a="1"/>
  <c r="AT38" i="2" s="1"/>
  <c r="BI38" i="2" s="1"/>
  <c r="AT34" i="2" a="1"/>
  <c r="AT34" i="2" s="1"/>
  <c r="BI34" i="2" s="1"/>
  <c r="AT17" i="2" a="1"/>
  <c r="AT17" i="2" s="1"/>
  <c r="BI17" i="2" s="1"/>
  <c r="AT56" i="2" a="1"/>
  <c r="AT56" i="2" s="1"/>
  <c r="BI56" i="2" s="1"/>
  <c r="AT64" i="2" a="1"/>
  <c r="AT64" i="2" s="1"/>
  <c r="BI64" i="2" s="1"/>
  <c r="AT69" i="2" a="1"/>
  <c r="AT69" i="2" s="1"/>
  <c r="BI69" i="2" s="1"/>
  <c r="AT27" i="2" a="1"/>
  <c r="AT27" i="2" s="1"/>
  <c r="BI27" i="2" s="1"/>
  <c r="AT15" i="2" a="1"/>
  <c r="AT15" i="2" s="1"/>
  <c r="BI15" i="2" s="1"/>
  <c r="AT28" i="2" a="1"/>
  <c r="AT28" i="2" s="1"/>
  <c r="BI28" i="2" s="1"/>
  <c r="AT13" i="2" a="1"/>
  <c r="AT13" i="2" s="1"/>
  <c r="BI13" i="2" s="1"/>
  <c r="AT14" i="2" a="1"/>
  <c r="AT14" i="2" s="1"/>
  <c r="BI14" i="2" s="1"/>
  <c r="AU26" i="2" a="1"/>
  <c r="AU26" i="2" s="1"/>
  <c r="BJ26" i="2" s="1"/>
  <c r="AV65" i="2" a="1"/>
  <c r="AV65" i="2" s="1"/>
  <c r="BK65" i="2" s="1"/>
  <c r="AQ20" i="2" a="1"/>
  <c r="AQ20" i="2" s="1"/>
  <c r="BF20" i="2" s="1"/>
  <c r="AU40" i="2" a="1"/>
  <c r="AU40" i="2" s="1"/>
  <c r="BJ40" i="2" s="1"/>
  <c r="AR71" i="2" a="1"/>
  <c r="AR71" i="2" s="1"/>
  <c r="BG71" i="2" s="1"/>
  <c r="AS53" i="2" a="1"/>
  <c r="AS53" i="2" s="1"/>
  <c r="BH53" i="2" s="1"/>
  <c r="AL18" i="2" a="1"/>
  <c r="AL18" i="2" s="1"/>
  <c r="BA18" i="2" s="1"/>
  <c r="AS42" i="2" a="1"/>
  <c r="AS42" i="2" s="1"/>
  <c r="BH42" i="2" s="1"/>
  <c r="L83" i="2"/>
  <c r="M83" i="2"/>
  <c r="S83" i="2"/>
  <c r="H83" i="2"/>
  <c r="AU3" i="2" a="1"/>
  <c r="AU3" i="2" s="1"/>
  <c r="BJ3" i="2" s="1"/>
  <c r="P83" i="2"/>
  <c r="P84" i="2" s="1"/>
  <c r="K83" i="2"/>
  <c r="J83" i="2"/>
  <c r="I83" i="2"/>
  <c r="Q83" i="2"/>
  <c r="Q84" i="2" s="1"/>
  <c r="N83" i="2"/>
  <c r="G83" i="2"/>
  <c r="F83" i="2"/>
  <c r="AN14" i="2" a="1"/>
  <c r="AN14" i="2" s="1"/>
  <c r="BC14" i="2" s="1"/>
  <c r="AM15" i="2" a="1"/>
  <c r="AM15" i="2" s="1"/>
  <c r="BB15" i="2" s="1"/>
  <c r="AR42" i="2" a="1"/>
  <c r="AR42" i="2" s="1"/>
  <c r="BG42" i="2" s="1"/>
  <c r="AQ27" i="2" a="1"/>
  <c r="AQ27" i="2" s="1"/>
  <c r="BF27" i="2" s="1"/>
  <c r="AP42" i="2" a="1"/>
  <c r="AP42" i="2" s="1"/>
  <c r="BE42" i="2" s="1"/>
  <c r="AU63" i="2" a="1"/>
  <c r="AU63" i="2" s="1"/>
  <c r="BJ63" i="2" s="1"/>
  <c r="AU31" i="2" a="1"/>
  <c r="AU31" i="2" s="1"/>
  <c r="BJ31" i="2" s="1"/>
  <c r="AO7" i="2" a="1"/>
  <c r="AO7" i="2" s="1"/>
  <c r="BD7" i="2" s="1"/>
  <c r="AV71" i="2" a="1"/>
  <c r="AV71" i="2" s="1"/>
  <c r="BK71" i="2" s="1"/>
  <c r="Z83" i="2"/>
  <c r="AP10" i="2" a="1"/>
  <c r="AP10" i="2" s="1"/>
  <c r="BE10" i="2" s="1"/>
  <c r="AB83" i="2"/>
  <c r="AF83" i="2"/>
  <c r="AF84" i="2" s="1"/>
  <c r="X83" i="2"/>
  <c r="Y83" i="2"/>
  <c r="U83" i="2"/>
  <c r="AE83" i="2"/>
  <c r="AE84" i="2" s="1"/>
  <c r="W83" i="2"/>
  <c r="AA83" i="2"/>
  <c r="AC83" i="2"/>
  <c r="V83" i="2"/>
  <c r="AI83" i="2"/>
  <c r="R3" i="2"/>
  <c r="AV3" i="2" a="1"/>
  <c r="AV3" i="2" s="1"/>
  <c r="BK3" i="2" s="1"/>
  <c r="AN33" i="2" a="1"/>
  <c r="AN33" i="2" s="1"/>
  <c r="BC33" i="2" s="1"/>
  <c r="AS64" i="2" a="1"/>
  <c r="AS64" i="2" s="1"/>
  <c r="BH64" i="2" s="1"/>
  <c r="AS15" i="2" a="1"/>
  <c r="AS15" i="2" s="1"/>
  <c r="BH15" i="2" s="1"/>
  <c r="AV36" i="2" a="1"/>
  <c r="AV36" i="2" s="1"/>
  <c r="BK36" i="2" s="1"/>
  <c r="AK64" i="2" a="1"/>
  <c r="AK64" i="2" s="1"/>
  <c r="AZ64" i="2" s="1"/>
  <c r="AP4" i="2" a="1"/>
  <c r="AP4" i="2" s="1"/>
  <c r="BE4" i="2" s="1"/>
  <c r="AL70" i="2" a="1"/>
  <c r="AL70" i="2" s="1"/>
  <c r="BA70" i="2" s="1"/>
  <c r="AV64" i="2" a="1"/>
  <c r="AV64" i="2" s="1"/>
  <c r="BK64" i="2" s="1"/>
  <c r="AL69" i="2" a="1"/>
  <c r="AL69" i="2" s="1"/>
  <c r="BA69" i="2" s="1"/>
  <c r="AK69" i="2" a="1"/>
  <c r="AK69" i="2" s="1"/>
  <c r="AZ69" i="2" s="1"/>
  <c r="AU70" i="2" a="1"/>
  <c r="AU70" i="2" s="1"/>
  <c r="BJ70" i="2" s="1"/>
  <c r="AV10" i="2" a="1"/>
  <c r="AV10" i="2" s="1"/>
  <c r="BK10" i="2" s="1"/>
  <c r="AN69" i="2" a="1"/>
  <c r="AN69" i="2" s="1"/>
  <c r="BC69" i="2" s="1"/>
  <c r="AM63" i="2" a="1"/>
  <c r="AM63" i="2" s="1"/>
  <c r="BB63" i="2" s="1"/>
  <c r="AQ55" i="2" a="1"/>
  <c r="AQ55" i="2" s="1"/>
  <c r="BF55" i="2" s="1"/>
  <c r="AS43" i="2" a="1"/>
  <c r="AS43" i="2" s="1"/>
  <c r="BH43" i="2" s="1"/>
  <c r="AK29" i="2" a="1"/>
  <c r="AK29" i="2" s="1"/>
  <c r="AZ29" i="2" s="1"/>
  <c r="AN29" i="2" a="1"/>
  <c r="AN29" i="2" s="1"/>
  <c r="BC29" i="2" s="1"/>
  <c r="AN19" i="2" a="1"/>
  <c r="AN19" i="2" s="1"/>
  <c r="BC19" i="2" s="1"/>
  <c r="AQ3" i="2" a="1"/>
  <c r="AQ3" i="2" s="1"/>
  <c r="BF3" i="2" s="1"/>
  <c r="AN20" i="2" a="1"/>
  <c r="AN20" i="2" s="1"/>
  <c r="BC20" i="2" s="1"/>
  <c r="AV5" i="2" a="1"/>
  <c r="AV5" i="2" s="1"/>
  <c r="BK5" i="2" s="1"/>
  <c r="AR16" i="2" a="1"/>
  <c r="AR16" i="2" s="1"/>
  <c r="BG16" i="2" s="1"/>
  <c r="AP17" i="2" a="1"/>
  <c r="AP17" i="2" s="1"/>
  <c r="BE17" i="2" s="1"/>
  <c r="AU33" i="2" a="1"/>
  <c r="AU33" i="2" s="1"/>
  <c r="BJ33" i="2" s="1"/>
  <c r="AO15" i="2" a="1"/>
  <c r="AO15" i="2" s="1"/>
  <c r="BD15" i="2" s="1"/>
  <c r="AU43" i="2" a="1"/>
  <c r="AU43" i="2" s="1"/>
  <c r="BJ43" i="2" s="1"/>
  <c r="AR32" i="2" a="1"/>
  <c r="AR32" i="2" s="1"/>
  <c r="BG32" i="2" s="1"/>
  <c r="AP9" i="2" a="1"/>
  <c r="AP9" i="2" s="1"/>
  <c r="BE9" i="2" s="1"/>
  <c r="AM5" i="2" a="1"/>
  <c r="AM5" i="2" s="1"/>
  <c r="BB5" i="2" s="1"/>
  <c r="AN58" i="2" a="1"/>
  <c r="AN58" i="2" s="1"/>
  <c r="BC58" i="2" s="1"/>
  <c r="AU67" i="2" a="1"/>
  <c r="AU67" i="2" s="1"/>
  <c r="BJ67" i="2" s="1"/>
  <c r="AR35" i="2" a="1"/>
  <c r="AR35" i="2" s="1"/>
  <c r="BG35" i="2" s="1"/>
  <c r="AK18" i="2" a="1"/>
  <c r="AK18" i="2" s="1"/>
  <c r="AZ18" i="2" s="1"/>
  <c r="AR8" i="2" a="1"/>
  <c r="AR8" i="2" s="1"/>
  <c r="BG8" i="2" s="1"/>
  <c r="AO8" i="2" a="1"/>
  <c r="AO8" i="2" s="1"/>
  <c r="BD8" i="2" s="1"/>
  <c r="AL40" i="2" a="1"/>
  <c r="AL40" i="2" s="1"/>
  <c r="BA40" i="2" s="1"/>
  <c r="AO67" i="2" a="1"/>
  <c r="AO67" i="2" s="1"/>
  <c r="BD67" i="2" s="1"/>
  <c r="AO9" i="2" a="1"/>
  <c r="AO9" i="2" s="1"/>
  <c r="BD9" i="2" s="1"/>
  <c r="AP23" i="2" a="1"/>
  <c r="AP23" i="2" s="1"/>
  <c r="BE23" i="2" s="1"/>
  <c r="AK11" i="2" a="1"/>
  <c r="AK11" i="2" s="1"/>
  <c r="AZ11" i="2" s="1"/>
  <c r="AP59" i="2" a="1"/>
  <c r="AP59" i="2" s="1"/>
  <c r="BE59" i="2" s="1"/>
  <c r="AO12" i="2" a="1"/>
  <c r="AO12" i="2" s="1"/>
  <c r="BD12" i="2" s="1"/>
  <c r="AP28" i="2" a="1"/>
  <c r="AP28" i="2" s="1"/>
  <c r="BE28" i="2" s="1"/>
  <c r="AS40" i="2" a="1"/>
  <c r="AS40" i="2" s="1"/>
  <c r="BH40" i="2" s="1"/>
  <c r="AR6" i="2" a="1"/>
  <c r="AR6" i="2" s="1"/>
  <c r="BG6" i="2" s="1"/>
  <c r="AS41" i="2" a="1"/>
  <c r="AS41" i="2" s="1"/>
  <c r="BH41" i="2" s="1"/>
  <c r="AP68" i="2" a="1"/>
  <c r="AP68" i="2" s="1"/>
  <c r="BE68" i="2" s="1"/>
  <c r="AS70" i="2" a="1"/>
  <c r="AS70" i="2" s="1"/>
  <c r="BH70" i="2" s="1"/>
  <c r="AR41" i="2" a="1"/>
  <c r="AR41" i="2" s="1"/>
  <c r="BG41" i="2" s="1"/>
  <c r="AV37" i="2" a="1"/>
  <c r="AV37" i="2" s="1"/>
  <c r="BK37" i="2" s="1"/>
  <c r="AQ42" i="2" a="1"/>
  <c r="AQ42" i="2" s="1"/>
  <c r="BF42" i="2" s="1"/>
  <c r="AM33" i="2" a="1"/>
  <c r="AM33" i="2" s="1"/>
  <c r="BB33" i="2" s="1"/>
  <c r="AR4" i="2" a="1"/>
  <c r="AR4" i="2" s="1"/>
  <c r="BG4" i="2" s="1"/>
  <c r="AN15" i="2" a="1"/>
  <c r="AN15" i="2" s="1"/>
  <c r="BC15" i="2" s="1"/>
  <c r="AS65" i="2" a="1"/>
  <c r="AS65" i="2" s="1"/>
  <c r="BH65" i="2" s="1"/>
  <c r="AQ38" i="2" a="1"/>
  <c r="AQ38" i="2" s="1"/>
  <c r="BF38" i="2" s="1"/>
  <c r="AS11" i="2" a="1"/>
  <c r="AS11" i="2" s="1"/>
  <c r="BH11" i="2" s="1"/>
  <c r="AV30" i="2" a="1"/>
  <c r="AV30" i="2" s="1"/>
  <c r="BK30" i="2" s="1"/>
  <c r="AV6" i="2" a="1"/>
  <c r="AV6" i="2" s="1"/>
  <c r="BK6" i="2" s="1"/>
  <c r="AM32" i="2" a="1"/>
  <c r="AM32" i="2" s="1"/>
  <c r="BB32" i="2" s="1"/>
  <c r="AP35" i="2" a="1"/>
  <c r="AP35" i="2" s="1"/>
  <c r="BE35" i="2" s="1"/>
  <c r="AM43" i="2" a="1"/>
  <c r="AM43" i="2" s="1"/>
  <c r="BB43" i="2" s="1"/>
  <c r="AM23" i="2" a="1"/>
  <c r="AM23" i="2" s="1"/>
  <c r="BB23" i="2" s="1"/>
  <c r="AO60" i="2" a="1"/>
  <c r="AO60" i="2" s="1"/>
  <c r="BD60" i="2" s="1"/>
  <c r="AQ30" i="2" a="1"/>
  <c r="AQ30" i="2" s="1"/>
  <c r="BF30" i="2" s="1"/>
  <c r="AR66" i="2" a="1"/>
  <c r="AR66" i="2" s="1"/>
  <c r="BG66" i="2" s="1"/>
  <c r="AO24" i="2" a="1"/>
  <c r="AO24" i="2" s="1"/>
  <c r="BD24" i="2" s="1"/>
  <c r="AS60" i="2" a="1"/>
  <c r="AS60" i="2" s="1"/>
  <c r="BH60" i="2" s="1"/>
  <c r="AP13" i="2" a="1"/>
  <c r="AP13" i="2" s="1"/>
  <c r="BE13" i="2" s="1"/>
  <c r="AL23" i="2" a="1"/>
  <c r="AL23" i="2" s="1"/>
  <c r="BA23" i="2" s="1"/>
  <c r="AS19" i="2" a="1"/>
  <c r="AS19" i="2" s="1"/>
  <c r="BH19" i="2" s="1"/>
  <c r="AN42" i="2" a="1"/>
  <c r="AN42" i="2" s="1"/>
  <c r="BC42" i="2" s="1"/>
  <c r="AK63" i="2" a="1"/>
  <c r="AK63" i="2" s="1"/>
  <c r="AZ63" i="2" s="1"/>
  <c r="AR70" i="2" a="1"/>
  <c r="AR70" i="2" s="1"/>
  <c r="BG70" i="2" s="1"/>
  <c r="AU62" i="2" a="1"/>
  <c r="AU62" i="2" s="1"/>
  <c r="BJ62" i="2" s="1"/>
  <c r="AK27" i="2" a="1"/>
  <c r="AK27" i="2" s="1"/>
  <c r="AZ27" i="2" s="1"/>
  <c r="AS32" i="2" a="1"/>
  <c r="AS32" i="2" s="1"/>
  <c r="BH32" i="2" s="1"/>
  <c r="AO58" i="2" a="1"/>
  <c r="AO58" i="2" s="1"/>
  <c r="BD58" i="2" s="1"/>
  <c r="AN17" i="2" a="1"/>
  <c r="AN17" i="2" s="1"/>
  <c r="BC17" i="2" s="1"/>
  <c r="AS4" i="2" a="1"/>
  <c r="AS4" i="2" s="1"/>
  <c r="BH4" i="2" s="1"/>
  <c r="AM35" i="2" a="1"/>
  <c r="AM35" i="2" s="1"/>
  <c r="BB35" i="2" s="1"/>
  <c r="AL26" i="2" a="1"/>
  <c r="AL26" i="2" s="1"/>
  <c r="BA26" i="2" s="1"/>
  <c r="AR22" i="2" a="1"/>
  <c r="AR22" i="2" s="1"/>
  <c r="BG22" i="2" s="1"/>
  <c r="AS9" i="2" a="1"/>
  <c r="AS9" i="2" s="1"/>
  <c r="BH9" i="2" s="1"/>
  <c r="AP16" i="2" a="1"/>
  <c r="AP16" i="2" s="1"/>
  <c r="BE16" i="2" s="1"/>
  <c r="AK15" i="2" a="1"/>
  <c r="AK15" i="2" s="1"/>
  <c r="AZ15" i="2" s="1"/>
  <c r="AS54" i="2" a="1"/>
  <c r="AS54" i="2" s="1"/>
  <c r="BH54" i="2" s="1"/>
  <c r="AO28" i="2" a="1"/>
  <c r="AO28" i="2" s="1"/>
  <c r="BD28" i="2" s="1"/>
  <c r="AK23" i="2" a="1"/>
  <c r="AK23" i="2" s="1"/>
  <c r="AZ23" i="2" s="1"/>
  <c r="AO41" i="2" a="1"/>
  <c r="AO41" i="2" s="1"/>
  <c r="BD41" i="2" s="1"/>
  <c r="AR69" i="2" a="1"/>
  <c r="AR69" i="2" s="1"/>
  <c r="BG69" i="2" s="1"/>
  <c r="AM59" i="2" a="1"/>
  <c r="AM59" i="2" s="1"/>
  <c r="BB59" i="2" s="1"/>
  <c r="AU14" i="2" a="1"/>
  <c r="AU14" i="2" s="1"/>
  <c r="BJ14" i="2" s="1"/>
  <c r="AR21" i="2" a="1"/>
  <c r="AR21" i="2" s="1"/>
  <c r="BG21" i="2" s="1"/>
  <c r="AQ54" i="2" a="1"/>
  <c r="AQ54" i="2" s="1"/>
  <c r="BF54" i="2" s="1"/>
  <c r="AS33" i="2" a="1"/>
  <c r="AS33" i="2" s="1"/>
  <c r="BH33" i="2" s="1"/>
  <c r="AM64" i="2" a="1"/>
  <c r="AM64" i="2" s="1"/>
  <c r="BB64" i="2" s="1"/>
  <c r="AU12" i="2" a="1"/>
  <c r="AU12" i="2" s="1"/>
  <c r="BJ12" i="2" s="1"/>
  <c r="AL7" i="2" a="1"/>
  <c r="AL7" i="2" s="1"/>
  <c r="BA7" i="2" s="1"/>
  <c r="AP24" i="2" a="1"/>
  <c r="AP24" i="2" s="1"/>
  <c r="BE24" i="2" s="1"/>
  <c r="AU41" i="2" a="1"/>
  <c r="AU41" i="2" s="1"/>
  <c r="BJ41" i="2" s="1"/>
  <c r="AS22" i="2" a="1"/>
  <c r="AS22" i="2" s="1"/>
  <c r="BH22" i="2" s="1"/>
  <c r="AM12" i="2" a="1"/>
  <c r="AM12" i="2" s="1"/>
  <c r="BB12" i="2" s="1"/>
  <c r="AL6" i="2" a="1"/>
  <c r="AL6" i="2" s="1"/>
  <c r="BA6" i="2" s="1"/>
  <c r="AS14" i="2" a="1"/>
  <c r="AS14" i="2" s="1"/>
  <c r="BH14" i="2" s="1"/>
  <c r="AR37" i="2" a="1"/>
  <c r="AR37" i="2" s="1"/>
  <c r="BG37" i="2" s="1"/>
  <c r="AQ23" i="2" a="1"/>
  <c r="AQ23" i="2" s="1"/>
  <c r="BF23" i="2" s="1"/>
  <c r="AQ66" i="2" a="1"/>
  <c r="AQ66" i="2" s="1"/>
  <c r="BF66" i="2" s="1"/>
  <c r="AU38" i="2" a="1"/>
  <c r="AU38" i="2" s="1"/>
  <c r="BJ38" i="2" s="1"/>
  <c r="AP7" i="2" a="1"/>
  <c r="AP7" i="2" s="1"/>
  <c r="BE7" i="2" s="1"/>
  <c r="AP31" i="2" a="1"/>
  <c r="AP31" i="2" s="1"/>
  <c r="BE31" i="2" s="1"/>
  <c r="AP60" i="2" a="1"/>
  <c r="AP60" i="2" s="1"/>
  <c r="BE60" i="2" s="1"/>
  <c r="AR23" i="2" a="1"/>
  <c r="AR23" i="2" s="1"/>
  <c r="BG23" i="2" s="1"/>
  <c r="AK5" i="2" a="1"/>
  <c r="AK5" i="2" s="1"/>
  <c r="AZ5" i="2" s="1"/>
  <c r="AQ37" i="2" a="1"/>
  <c r="AQ37" i="2" s="1"/>
  <c r="BF37" i="2" s="1"/>
  <c r="AL57" i="2" a="1"/>
  <c r="AL57" i="2" s="1"/>
  <c r="BA57" i="2" s="1"/>
  <c r="AU54" i="2" a="1"/>
  <c r="AU54" i="2" s="1"/>
  <c r="BJ54" i="2" s="1"/>
  <c r="AR58" i="2" a="1"/>
  <c r="AR58" i="2" s="1"/>
  <c r="BG58" i="2" s="1"/>
  <c r="AK17" i="2" a="1"/>
  <c r="AK17" i="2" s="1"/>
  <c r="AZ17" i="2" s="1"/>
  <c r="AQ29" i="2" a="1"/>
  <c r="AQ29" i="2" s="1"/>
  <c r="BF29" i="2" s="1"/>
  <c r="AV19" i="2" a="1"/>
  <c r="AV19" i="2" s="1"/>
  <c r="BK19" i="2" s="1"/>
  <c r="AR19" i="2" a="1"/>
  <c r="AR19" i="2" s="1"/>
  <c r="BG19" i="2" s="1"/>
  <c r="AL25" i="2" a="1"/>
  <c r="AL25" i="2" s="1"/>
  <c r="BA25" i="2" s="1"/>
  <c r="AO11" i="2" a="1"/>
  <c r="AO11" i="2" s="1"/>
  <c r="BD11" i="2" s="1"/>
  <c r="AS24" i="2" a="1"/>
  <c r="AS24" i="2" s="1"/>
  <c r="BH24" i="2" s="1"/>
  <c r="AQ31" i="2" a="1"/>
  <c r="AQ31" i="2" s="1"/>
  <c r="BF31" i="2" s="1"/>
  <c r="AK60" i="2" a="1"/>
  <c r="AK60" i="2" s="1"/>
  <c r="AZ60" i="2" s="1"/>
  <c r="AS67" i="2" a="1"/>
  <c r="AS67" i="2" s="1"/>
  <c r="BH67" i="2" s="1"/>
  <c r="AS35" i="2" a="1"/>
  <c r="AS35" i="2" s="1"/>
  <c r="BH35" i="2" s="1"/>
  <c r="AS68" i="2" a="1"/>
  <c r="AS68" i="2" s="1"/>
  <c r="BH68" i="2" s="1"/>
  <c r="AP63" i="2" a="1"/>
  <c r="AP63" i="2" s="1"/>
  <c r="BE63" i="2" s="1"/>
  <c r="AK70" i="2" a="1"/>
  <c r="AK70" i="2" s="1"/>
  <c r="AZ70" i="2" s="1"/>
  <c r="AL22" i="2" a="1"/>
  <c r="AL22" i="2" s="1"/>
  <c r="BA22" i="2" s="1"/>
  <c r="AM14" i="2" a="1"/>
  <c r="AM14" i="2" s="1"/>
  <c r="BB14" i="2" s="1"/>
  <c r="AU5" i="2" a="1"/>
  <c r="AU5" i="2" s="1"/>
  <c r="BJ5" i="2" s="1"/>
  <c r="AL21" i="2" a="1"/>
  <c r="AL21" i="2" s="1"/>
  <c r="BA21" i="2" s="1"/>
  <c r="AP37" i="2" a="1"/>
  <c r="AP37" i="2" s="1"/>
  <c r="BE37" i="2" s="1"/>
  <c r="AL54" i="2" a="1"/>
  <c r="AL54" i="2" s="1"/>
  <c r="BA54" i="2" s="1"/>
  <c r="AV16" i="2" a="1"/>
  <c r="AV16" i="2" s="1"/>
  <c r="BK16" i="2" s="1"/>
  <c r="AQ43" i="2" a="1"/>
  <c r="AQ43" i="2" s="1"/>
  <c r="BF43" i="2" s="1"/>
  <c r="AQ58" i="2" a="1"/>
  <c r="AQ58" i="2" s="1"/>
  <c r="BF58" i="2" s="1"/>
  <c r="AV17" i="2" a="1"/>
  <c r="AV17" i="2" s="1"/>
  <c r="BK17" i="2" s="1"/>
  <c r="AR64" i="2" a="1"/>
  <c r="AR64" i="2" s="1"/>
  <c r="BG64" i="2" s="1"/>
  <c r="AK44" i="2" a="1"/>
  <c r="AK44" i="2" s="1"/>
  <c r="AZ44" i="2" s="1"/>
  <c r="AP29" i="2" a="1"/>
  <c r="AP29" i="2" s="1"/>
  <c r="BE29" i="2" s="1"/>
  <c r="AL24" i="2" a="1"/>
  <c r="AL24" i="2" s="1"/>
  <c r="BA24" i="2" s="1"/>
  <c r="AP30" i="2" a="1"/>
  <c r="AP30" i="2" s="1"/>
  <c r="BE30" i="2" s="1"/>
  <c r="AM20" i="2" a="1"/>
  <c r="AM20" i="2" s="1"/>
  <c r="BB20" i="2" s="1"/>
  <c r="AS8" i="2" a="1"/>
  <c r="AS8" i="2" s="1"/>
  <c r="BH8" i="2" s="1"/>
  <c r="AU35" i="2" a="1"/>
  <c r="AU35" i="2" s="1"/>
  <c r="BJ35" i="2" s="1"/>
  <c r="AM68" i="2" a="1"/>
  <c r="AM68" i="2" s="1"/>
  <c r="BB68" i="2" s="1"/>
  <c r="AL20" i="2" a="1"/>
  <c r="AL20" i="2" s="1"/>
  <c r="BA20" i="2" s="1"/>
  <c r="AQ4" i="2" a="1"/>
  <c r="AQ4" i="2" s="1"/>
  <c r="BF4" i="2" s="1"/>
  <c r="AN53" i="2" a="1"/>
  <c r="AN53" i="2" s="1"/>
  <c r="BC53" i="2" s="1"/>
  <c r="AM41" i="2" a="1"/>
  <c r="AM41" i="2" s="1"/>
  <c r="BB41" i="2" s="1"/>
  <c r="AO68" i="2" a="1"/>
  <c r="AO68" i="2" s="1"/>
  <c r="BD68" i="2" s="1"/>
  <c r="AO10" i="2" a="1"/>
  <c r="AO10" i="2" s="1"/>
  <c r="BD10" i="2" s="1"/>
  <c r="AS26" i="2" a="1"/>
  <c r="AS26" i="2" s="1"/>
  <c r="BH26" i="2" s="1"/>
  <c r="AO63" i="2" a="1"/>
  <c r="AO63" i="2" s="1"/>
  <c r="BD63" i="2" s="1"/>
  <c r="AQ22" i="2" a="1"/>
  <c r="AQ22" i="2" s="1"/>
  <c r="BF22" i="2" s="1"/>
  <c r="AK59" i="2" a="1"/>
  <c r="AK59" i="2" s="1"/>
  <c r="AZ59" i="2" s="1"/>
  <c r="AS5" i="2" a="1"/>
  <c r="AS5" i="2" s="1"/>
  <c r="BH5" i="2" s="1"/>
  <c r="AK21" i="2" a="1"/>
  <c r="AK21" i="2" s="1"/>
  <c r="AZ21" i="2" s="1"/>
  <c r="AP57" i="2" a="1"/>
  <c r="AP57" i="2" s="1"/>
  <c r="BE57" i="2" s="1"/>
  <c r="AK54" i="2" a="1"/>
  <c r="AK54" i="2" s="1"/>
  <c r="AZ54" i="2" s="1"/>
  <c r="AS16" i="2" a="1"/>
  <c r="AS16" i="2" s="1"/>
  <c r="BH16" i="2" s="1"/>
  <c r="AN16" i="2" a="1"/>
  <c r="AN16" i="2" s="1"/>
  <c r="BC16" i="2" s="1"/>
  <c r="AP58" i="2" a="1"/>
  <c r="AP58" i="2" s="1"/>
  <c r="BE58" i="2" s="1"/>
  <c r="AO17" i="2" a="1"/>
  <c r="AO17" i="2" s="1"/>
  <c r="BD17" i="2" s="1"/>
  <c r="AK39" i="2" a="1"/>
  <c r="AK39" i="2" s="1"/>
  <c r="AZ39" i="2" s="1"/>
  <c r="AS25" i="2" a="1"/>
  <c r="AS25" i="2" s="1"/>
  <c r="BH25" i="2" s="1"/>
  <c r="AK24" i="2" a="1"/>
  <c r="AK24" i="2" s="1"/>
  <c r="AZ24" i="2" s="1"/>
  <c r="AO30" i="2" a="1"/>
  <c r="AO30" i="2" s="1"/>
  <c r="BD30" i="2" s="1"/>
  <c r="AQ40" i="2" a="1"/>
  <c r="AQ40" i="2" s="1"/>
  <c r="BF40" i="2" s="1"/>
  <c r="AP65" i="2" a="1"/>
  <c r="AP65" i="2" s="1"/>
  <c r="BE65" i="2" s="1"/>
  <c r="AS21" i="2" a="1"/>
  <c r="AS21" i="2" s="1"/>
  <c r="BH21" i="2" s="1"/>
  <c r="AR44" i="2" a="1"/>
  <c r="AR44" i="2" s="1"/>
  <c r="BG44" i="2" s="1"/>
  <c r="AU13" i="2" a="1"/>
  <c r="AU13" i="2" s="1"/>
  <c r="BJ13" i="2" s="1"/>
  <c r="AN21" i="2" a="1"/>
  <c r="AN21" i="2" s="1"/>
  <c r="BC21" i="2" s="1"/>
  <c r="AN11" i="2" a="1"/>
  <c r="AN11" i="2" s="1"/>
  <c r="BC11" i="2" s="1"/>
  <c r="AL67" i="2" a="1"/>
  <c r="AL67" i="2" s="1"/>
  <c r="BA67" i="2" s="1"/>
  <c r="AQ6" i="2" a="1"/>
  <c r="AQ6" i="2" s="1"/>
  <c r="BF6" i="2" s="1"/>
  <c r="AS13" i="2" a="1"/>
  <c r="AS13" i="2" s="1"/>
  <c r="BH13" i="2" s="1"/>
  <c r="AO14" i="2" a="1"/>
  <c r="AO14" i="2" s="1"/>
  <c r="BD14" i="2" s="1"/>
  <c r="AO43" i="2" a="1"/>
  <c r="AO43" i="2" s="1"/>
  <c r="BD43" i="2" s="1"/>
  <c r="AQ64" i="2" a="1"/>
  <c r="AQ64" i="2" s="1"/>
  <c r="BF64" i="2" s="1"/>
  <c r="AQ28" i="2" a="1"/>
  <c r="AQ28" i="2" s="1"/>
  <c r="BF28" i="2" s="1"/>
  <c r="AN7" i="2" a="1"/>
  <c r="AN7" i="2" s="1"/>
  <c r="BC7" i="2" s="1"/>
  <c r="AO23" i="2" a="1"/>
  <c r="AO23" i="2" s="1"/>
  <c r="BD23" i="2" s="1"/>
  <c r="AO29" i="2" a="1"/>
  <c r="AO29" i="2" s="1"/>
  <c r="BD29" i="2" s="1"/>
  <c r="AM25" i="2" a="1"/>
  <c r="AM25" i="2" s="1"/>
  <c r="BB25" i="2" s="1"/>
  <c r="AR24" i="2" a="1"/>
  <c r="AR24" i="2" s="1"/>
  <c r="BG24" i="2" s="1"/>
  <c r="AS3" i="2" a="1"/>
  <c r="AS3" i="2" s="1"/>
  <c r="BH3" i="2" s="1"/>
  <c r="AP55" i="2" a="1"/>
  <c r="AP55" i="2" s="1"/>
  <c r="BE55" i="2" s="1"/>
  <c r="AU65" i="2" a="1"/>
  <c r="AU65" i="2" s="1"/>
  <c r="BJ65" i="2" s="1"/>
  <c r="AQ13" i="2" a="1"/>
  <c r="AQ13" i="2" s="1"/>
  <c r="BF13" i="2" s="1"/>
  <c r="AL9" i="2" a="1"/>
  <c r="AL9" i="2" s="1"/>
  <c r="BA9" i="2" s="1"/>
  <c r="AU21" i="2" a="1"/>
  <c r="AU21" i="2" s="1"/>
  <c r="BJ21" i="2" s="1"/>
  <c r="AQ32" i="2" a="1"/>
  <c r="AQ32" i="2" s="1"/>
  <c r="BF32" i="2" s="1"/>
  <c r="AS27" i="2" a="1"/>
  <c r="AS27" i="2" s="1"/>
  <c r="BH27" i="2" s="1"/>
  <c r="AR38" i="2" a="1"/>
  <c r="AR38" i="2" s="1"/>
  <c r="BG38" i="2" s="1"/>
  <c r="AL58" i="2" a="1"/>
  <c r="AL58" i="2" s="1"/>
  <c r="BA58" i="2" s="1"/>
  <c r="AU71" i="2" a="1"/>
  <c r="AU71" i="2" s="1"/>
  <c r="BJ71" i="2" s="1"/>
  <c r="AN23" i="2" a="1"/>
  <c r="AN23" i="2" s="1"/>
  <c r="BC23" i="2" s="1"/>
  <c r="AM29" i="2" a="1"/>
  <c r="AM29" i="2" s="1"/>
  <c r="BB29" i="2" s="1"/>
  <c r="AU19" i="2" a="1"/>
  <c r="AU19" i="2" s="1"/>
  <c r="BJ19" i="2" s="1"/>
  <c r="AO4" i="2" a="1"/>
  <c r="AO4" i="2" s="1"/>
  <c r="BD4" i="2" s="1"/>
  <c r="AN67" i="2" a="1"/>
  <c r="AN67" i="2" s="1"/>
  <c r="BC67" i="2" s="1"/>
  <c r="AM67" i="2" a="1"/>
  <c r="AM67" i="2" s="1"/>
  <c r="BB67" i="2" s="1"/>
  <c r="AN35" i="2" a="1"/>
  <c r="AN35" i="2" s="1"/>
  <c r="BC35" i="2" s="1"/>
  <c r="AQ68" i="2" a="1"/>
  <c r="AQ68" i="2" s="1"/>
  <c r="BF68" i="2" s="1"/>
  <c r="AU10" i="2" a="1"/>
  <c r="AU10" i="2" s="1"/>
  <c r="BJ10" i="2" s="1"/>
  <c r="AN26" i="2" a="1"/>
  <c r="AN26" i="2" s="1"/>
  <c r="BC26" i="2" s="1"/>
  <c r="AP20" i="2" a="1"/>
  <c r="AP20" i="2" s="1"/>
  <c r="BE20" i="2" s="1"/>
  <c r="AR40" i="2" a="1"/>
  <c r="AR40" i="2" s="1"/>
  <c r="BG40" i="2" s="1"/>
  <c r="AK67" i="2" a="1"/>
  <c r="AK67" i="2" s="1"/>
  <c r="AZ67" i="2" s="1"/>
  <c r="AK10" i="2" a="1"/>
  <c r="AK10" i="2" s="1"/>
  <c r="AZ10" i="2" s="1"/>
  <c r="AM26" i="2" a="1"/>
  <c r="AM26" i="2" s="1"/>
  <c r="BB26" i="2" s="1"/>
  <c r="AO55" i="2" a="1"/>
  <c r="AO55" i="2" s="1"/>
  <c r="BD55" i="2" s="1"/>
  <c r="AQ65" i="2" a="1"/>
  <c r="AQ65" i="2" s="1"/>
  <c r="BF65" i="2" s="1"/>
  <c r="AQ5" i="2" a="1"/>
  <c r="AQ5" i="2" s="1"/>
  <c r="BF5" i="2" s="1"/>
  <c r="AK58" i="2" a="1"/>
  <c r="AK58" i="2" s="1"/>
  <c r="AZ58" i="2" s="1"/>
  <c r="AU17" i="2" a="1"/>
  <c r="AU17" i="2" s="1"/>
  <c r="BJ17" i="2" s="1"/>
  <c r="AU28" i="2" a="1"/>
  <c r="AU28" i="2" s="1"/>
  <c r="BJ28" i="2" s="1"/>
  <c r="AN71" i="2" a="1"/>
  <c r="AN71" i="2" s="1"/>
  <c r="BC71" i="2" s="1"/>
  <c r="AV7" i="2" a="1"/>
  <c r="AV7" i="2" s="1"/>
  <c r="BK7" i="2" s="1"/>
  <c r="AR30" i="2" a="1"/>
  <c r="AR30" i="2" s="1"/>
  <c r="BG30" i="2" s="1"/>
  <c r="AP15" i="2" a="1"/>
  <c r="AP15" i="2" s="1"/>
  <c r="BE15" i="2" s="1"/>
  <c r="AV68" i="2" a="1"/>
  <c r="AV68" i="2" s="1"/>
  <c r="BK68" i="2" s="1"/>
  <c r="AP5" i="2" a="1"/>
  <c r="AP5" i="2" s="1"/>
  <c r="BE5" i="2" s="1"/>
  <c r="AN57" i="2" a="1"/>
  <c r="AN57" i="2" s="1"/>
  <c r="BC57" i="2" s="1"/>
  <c r="AN64" i="2" a="1"/>
  <c r="AN64" i="2" s="1"/>
  <c r="BC64" i="2" s="1"/>
  <c r="AN12" i="2" a="1"/>
  <c r="AN12" i="2" s="1"/>
  <c r="BC12" i="2" s="1"/>
  <c r="AR31" i="2" a="1"/>
  <c r="AR31" i="2" s="1"/>
  <c r="BG31" i="2" s="1"/>
  <c r="AP41" i="2" a="1"/>
  <c r="AP41" i="2" s="1"/>
  <c r="BE41" i="2" s="1"/>
  <c r="AL68" i="2" a="1"/>
  <c r="AL68" i="2" s="1"/>
  <c r="BA68" i="2" s="1"/>
  <c r="AO65" i="2" a="1"/>
  <c r="AO65" i="2" s="1"/>
  <c r="BD65" i="2" s="1"/>
  <c r="AP27" i="2" a="1"/>
  <c r="AP27" i="2" s="1"/>
  <c r="BE27" i="2" s="1"/>
  <c r="AQ19" i="2" a="1"/>
  <c r="AQ19" i="2" s="1"/>
  <c r="BF19" i="2" s="1"/>
  <c r="AM6" i="2" a="1"/>
  <c r="AM6" i="2" s="1"/>
  <c r="BB6" i="2" s="1"/>
  <c r="AM42" i="2" a="1"/>
  <c r="AM42" i="2" s="1"/>
  <c r="BB42" i="2" s="1"/>
  <c r="AQ69" i="2" a="1"/>
  <c r="AQ69" i="2" s="1"/>
  <c r="BF69" i="2" s="1"/>
  <c r="AL59" i="2" a="1"/>
  <c r="AL59" i="2" s="1"/>
  <c r="BA59" i="2" s="1"/>
  <c r="AM65" i="2" a="1"/>
  <c r="AM65" i="2" s="1"/>
  <c r="BB65" i="2" s="1"/>
  <c r="AP21" i="2" a="1"/>
  <c r="AP21" i="2" s="1"/>
  <c r="BE21" i="2" s="1"/>
  <c r="AR57" i="2" a="1"/>
  <c r="AR57" i="2" s="1"/>
  <c r="BG57" i="2" s="1"/>
  <c r="AK32" i="2" a="1"/>
  <c r="AK32" i="2" s="1"/>
  <c r="AZ32" i="2" s="1"/>
  <c r="AP12" i="2" a="1"/>
  <c r="AP12" i="2" s="1"/>
  <c r="BE12" i="2" s="1"/>
  <c r="AQ71" i="2" a="1"/>
  <c r="AQ71" i="2" s="1"/>
  <c r="BF71" i="2" s="1"/>
  <c r="AO56" i="2" a="1"/>
  <c r="AO56" i="2" s="1"/>
  <c r="BD56" i="2" s="1"/>
  <c r="AL42" i="2" a="1"/>
  <c r="AL42" i="2" s="1"/>
  <c r="BA42" i="2" s="1"/>
  <c r="AL13" i="2" a="1"/>
  <c r="AL13" i="2" s="1"/>
  <c r="BA13" i="2" s="1"/>
  <c r="AN5" i="2" a="1"/>
  <c r="AN5" i="2" s="1"/>
  <c r="BC5" i="2" s="1"/>
  <c r="AM21" i="2" a="1"/>
  <c r="AM21" i="2" s="1"/>
  <c r="BB21" i="2" s="1"/>
  <c r="AQ57" i="2" a="1"/>
  <c r="AQ57" i="2" s="1"/>
  <c r="BF57" i="2" s="1"/>
  <c r="AK25" i="2" a="1"/>
  <c r="AK25" i="2" s="1"/>
  <c r="AZ25" i="2" s="1"/>
  <c r="AU30" i="2" a="1"/>
  <c r="AU30" i="2" s="1"/>
  <c r="BJ30" i="2" s="1"/>
  <c r="AQ41" i="2" a="1"/>
  <c r="AQ41" i="2" s="1"/>
  <c r="BF41" i="2" s="1"/>
  <c r="AU16" i="2" a="1"/>
  <c r="AU16" i="2" s="1"/>
  <c r="BJ16" i="2" s="1"/>
  <c r="AK68" i="2" a="1"/>
  <c r="AK68" i="2" s="1"/>
  <c r="AZ68" i="2" s="1"/>
  <c r="AO35" i="2" a="1"/>
  <c r="AO35" i="2" s="1"/>
  <c r="BD35" i="2" s="1"/>
  <c r="AU32" i="2" a="1"/>
  <c r="AU32" i="2" s="1"/>
  <c r="BJ32" i="2" s="1"/>
  <c r="AV38" i="2" a="1"/>
  <c r="AV38" i="2" s="1"/>
  <c r="BK38" i="2" s="1"/>
  <c r="AR12" i="2" a="1"/>
  <c r="AR12" i="2" s="1"/>
  <c r="BG12" i="2" s="1"/>
  <c r="AM3" i="2" a="1"/>
  <c r="AM3" i="2" s="1"/>
  <c r="BB3" i="2" s="1"/>
  <c r="AL4" i="2" a="1"/>
  <c r="AL4" i="2" s="1"/>
  <c r="BA4" i="2" s="1"/>
  <c r="AK36" i="2" a="1"/>
  <c r="AK36" i="2" s="1"/>
  <c r="AZ36" i="2" s="1"/>
  <c r="AO53" i="2" a="1"/>
  <c r="AO53" i="2" s="1"/>
  <c r="BD53" i="2" s="1"/>
  <c r="AS31" i="2" a="1"/>
  <c r="AS31" i="2" s="1"/>
  <c r="BH31" i="2" s="1"/>
  <c r="AS18" i="2" a="1"/>
  <c r="AS18" i="2" s="1"/>
  <c r="BH18" i="2" s="1"/>
  <c r="AV60" i="2" a="1"/>
  <c r="AV60" i="2" s="1"/>
  <c r="BK60" i="2" s="1"/>
  <c r="AV35" i="2" a="1"/>
  <c r="AV35" i="2" s="1"/>
  <c r="BK35" i="2" s="1"/>
  <c r="AQ35" i="2" a="1"/>
  <c r="AQ35" i="2" s="1"/>
  <c r="BF35" i="2" s="1"/>
  <c r="AQ10" i="2" a="1"/>
  <c r="AQ10" i="2" s="1"/>
  <c r="BF10" i="2" s="1"/>
  <c r="AL34" i="2" a="1"/>
  <c r="AL34" i="2" s="1"/>
  <c r="BA34" i="2" s="1"/>
  <c r="AR54" i="2" a="1"/>
  <c r="AR54" i="2" s="1"/>
  <c r="BG54" i="2" s="1"/>
  <c r="AR43" i="2" a="1"/>
  <c r="AR43" i="2" s="1"/>
  <c r="BG43" i="2" s="1"/>
  <c r="AS58" i="2" a="1"/>
  <c r="AS58" i="2" s="1"/>
  <c r="BH58" i="2" s="1"/>
  <c r="AM17" i="2" a="1"/>
  <c r="AM17" i="2" s="1"/>
  <c r="BB17" i="2" s="1"/>
  <c r="AQ33" i="2" a="1"/>
  <c r="AQ33" i="2" s="1"/>
  <c r="BF33" i="2" s="1"/>
  <c r="AV28" i="2" a="1"/>
  <c r="AV28" i="2" s="1"/>
  <c r="BK28" i="2" s="1"/>
  <c r="AM7" i="2" a="1"/>
  <c r="AM7" i="2" s="1"/>
  <c r="BB7" i="2" s="1"/>
  <c r="AS23" i="2" a="1"/>
  <c r="AS23" i="2" s="1"/>
  <c r="BH23" i="2" s="1"/>
  <c r="AO25" i="2" a="1"/>
  <c r="AO25" i="2" s="1"/>
  <c r="BD25" i="2" s="1"/>
  <c r="AU24" i="2" a="1"/>
  <c r="AU24" i="2" s="1"/>
  <c r="BJ24" i="2" s="1"/>
  <c r="AN66" i="2" a="1"/>
  <c r="AN66" i="2" s="1"/>
  <c r="BC66" i="2" s="1"/>
  <c r="AX83" i="2"/>
  <c r="AR63" i="2" a="1"/>
  <c r="AR63" i="2" s="1"/>
  <c r="BG63" i="2" s="1"/>
  <c r="AK4" i="2" a="1"/>
  <c r="AK4" i="2" s="1"/>
  <c r="AZ4" i="2" s="1"/>
  <c r="AR36" i="2" a="1"/>
  <c r="AR36" i="2" s="1"/>
  <c r="BG36" i="2" s="1"/>
  <c r="AP56" i="2" a="1"/>
  <c r="AP56" i="2" s="1"/>
  <c r="BE56" i="2" s="1"/>
  <c r="AL63" i="2" a="1"/>
  <c r="AL63" i="2" s="1"/>
  <c r="BA63" i="2" s="1"/>
  <c r="AK6" i="2" a="1"/>
  <c r="AK6" i="2" s="1"/>
  <c r="AZ6" i="2" s="1"/>
  <c r="AU22" i="2" a="1"/>
  <c r="AU22" i="2" s="1"/>
  <c r="BJ22" i="2" s="1"/>
  <c r="AM13" i="2" a="1"/>
  <c r="AM13" i="2" s="1"/>
  <c r="BB13" i="2" s="1"/>
  <c r="AK9" i="2" a="1"/>
  <c r="AK9" i="2" s="1"/>
  <c r="AZ9" i="2" s="1"/>
  <c r="AO21" i="2" a="1"/>
  <c r="AO21" i="2" s="1"/>
  <c r="BD21" i="2" s="1"/>
  <c r="AQ12" i="2" a="1"/>
  <c r="AQ12" i="2" s="1"/>
  <c r="BF12" i="2" s="1"/>
  <c r="AN25" i="2" a="1"/>
  <c r="AN25" i="2" s="1"/>
  <c r="BC25" i="2" s="1"/>
  <c r="AK66" i="2" a="1"/>
  <c r="AK66" i="2" s="1"/>
  <c r="AZ66" i="2" s="1"/>
  <c r="BM83" i="2"/>
  <c r="AR20" i="2" a="1"/>
  <c r="AR20" i="2" s="1"/>
  <c r="BG20" i="2" s="1"/>
  <c r="AK53" i="2" a="1"/>
  <c r="AK53" i="2" s="1"/>
  <c r="AZ53" i="2" s="1"/>
  <c r="AQ15" i="2" a="1"/>
  <c r="AQ15" i="2" s="1"/>
  <c r="BF15" i="2" s="1"/>
  <c r="AQ62" i="2" a="1"/>
  <c r="AQ62" i="2" s="1"/>
  <c r="BF62" i="2" s="1"/>
  <c r="AQ56" i="2" a="1"/>
  <c r="AQ56" i="2" s="1"/>
  <c r="BF56" i="2" s="1"/>
  <c r="AV8" i="2" a="1"/>
  <c r="AV8" i="2" s="1"/>
  <c r="BK8" i="2" s="1"/>
  <c r="AP67" i="2" a="1"/>
  <c r="AP67" i="2" s="1"/>
  <c r="BE67" i="2" s="1"/>
  <c r="AU42" i="2" a="1"/>
  <c r="AU42" i="2" s="1"/>
  <c r="BJ42" i="2" s="1"/>
  <c r="AO69" i="2" a="1"/>
  <c r="AO69" i="2" s="1"/>
  <c r="BD69" i="2" s="1"/>
  <c r="AQ63" i="2" a="1"/>
  <c r="AQ63" i="2" s="1"/>
  <c r="BF63" i="2" s="1"/>
  <c r="AN70" i="2" a="1"/>
  <c r="AN70" i="2" s="1"/>
  <c r="BC70" i="2" s="1"/>
  <c r="AQ59" i="2" a="1"/>
  <c r="AQ59" i="2" s="1"/>
  <c r="BF59" i="2" s="1"/>
  <c r="AN34" i="2" a="1"/>
  <c r="AN34" i="2" s="1"/>
  <c r="BC34" i="2" s="1"/>
  <c r="AN13" i="2" a="1"/>
  <c r="AN13" i="2" s="1"/>
  <c r="BC13" i="2" s="1"/>
  <c r="AU9" i="2" a="1"/>
  <c r="AU9" i="2" s="1"/>
  <c r="BJ9" i="2" s="1"/>
  <c r="AK37" i="2" a="1"/>
  <c r="AK37" i="2" s="1"/>
  <c r="AZ37" i="2" s="1"/>
  <c r="AS57" i="2" a="1"/>
  <c r="AS57" i="2" s="1"/>
  <c r="BH57" i="2" s="1"/>
  <c r="AL16" i="2" a="1"/>
  <c r="AL16" i="2" s="1"/>
  <c r="BA16" i="2" s="1"/>
  <c r="AO38" i="2" a="1"/>
  <c r="AO38" i="2" s="1"/>
  <c r="BD38" i="2" s="1"/>
  <c r="AO64" i="2" a="1"/>
  <c r="AO64" i="2" s="1"/>
  <c r="BD64" i="2" s="1"/>
  <c r="AK28" i="2" a="1"/>
  <c r="AK28" i="2" s="1"/>
  <c r="AZ28" i="2" s="1"/>
  <c r="AU44" i="2" a="1"/>
  <c r="AU44" i="2" s="1"/>
  <c r="BJ44" i="2" s="1"/>
  <c r="AL19" i="2" a="1"/>
  <c r="AL19" i="2" s="1"/>
  <c r="BA19" i="2" s="1"/>
  <c r="AP11" i="2" a="1"/>
  <c r="AP11" i="2" s="1"/>
  <c r="BE11" i="2" s="1"/>
  <c r="AQ11" i="2" a="1"/>
  <c r="AQ11" i="2" s="1"/>
  <c r="BF11" i="2" s="1"/>
  <c r="AN62" i="2" a="1"/>
  <c r="AN62" i="2" s="1"/>
  <c r="BC62" i="2" s="1"/>
  <c r="AQ18" i="2" a="1"/>
  <c r="AQ18" i="2" s="1"/>
  <c r="BF18" i="2" s="1"/>
  <c r="AN8" i="2" a="1"/>
  <c r="AN8" i="2" s="1"/>
  <c r="BC8" i="2" s="1"/>
  <c r="AU8" i="2" a="1"/>
  <c r="AU8" i="2" s="1"/>
  <c r="BJ8" i="2" s="1"/>
  <c r="AV67" i="2" a="1"/>
  <c r="AV67" i="2" s="1"/>
  <c r="BK67" i="2" s="1"/>
  <c r="AU68" i="2" a="1"/>
  <c r="AU68" i="2" s="1"/>
  <c r="BJ68" i="2" s="1"/>
  <c r="AM69" i="2" a="1"/>
  <c r="AM69" i="2" s="1"/>
  <c r="BB69" i="2" s="1"/>
  <c r="AM70" i="2" a="1"/>
  <c r="AM70" i="2" s="1"/>
  <c r="BB70" i="2" s="1"/>
  <c r="AS6" i="2" a="1"/>
  <c r="AS6" i="2" s="1"/>
  <c r="BH6" i="2" s="1"/>
  <c r="AK55" i="2" a="1"/>
  <c r="AK55" i="2" s="1"/>
  <c r="AZ55" i="2" s="1"/>
  <c r="AV34" i="2" a="1"/>
  <c r="AV34" i="2" s="1"/>
  <c r="BK34" i="2" s="1"/>
  <c r="AR13" i="2" a="1"/>
  <c r="AR13" i="2" s="1"/>
  <c r="BG13" i="2" s="1"/>
  <c r="AL14" i="2" a="1"/>
  <c r="AL14" i="2" s="1"/>
  <c r="BA14" i="2" s="1"/>
  <c r="AK14" i="2" a="1"/>
  <c r="AK14" i="2" s="1"/>
  <c r="AZ14" i="2" s="1"/>
  <c r="AO37" i="2" a="1"/>
  <c r="AO37" i="2" s="1"/>
  <c r="BD37" i="2" s="1"/>
  <c r="AV54" i="2" a="1"/>
  <c r="AV54" i="2" s="1"/>
  <c r="BK54" i="2" s="1"/>
  <c r="AK16" i="2" a="1"/>
  <c r="AK16" i="2" s="1"/>
  <c r="AZ16" i="2" s="1"/>
  <c r="AR27" i="2" a="1"/>
  <c r="AR27" i="2" s="1"/>
  <c r="BG27" i="2" s="1"/>
  <c r="AK43" i="2" a="1"/>
  <c r="AK43" i="2" s="1"/>
  <c r="AZ43" i="2" s="1"/>
  <c r="AL38" i="2" a="1"/>
  <c r="AL38" i="2" s="1"/>
  <c r="BA38" i="2" s="1"/>
  <c r="AM58" i="2" a="1"/>
  <c r="AM58" i="2" s="1"/>
  <c r="BB58" i="2" s="1"/>
  <c r="AL17" i="2" a="1"/>
  <c r="AL17" i="2" s="1"/>
  <c r="BA17" i="2" s="1"/>
  <c r="AO33" i="2" a="1"/>
  <c r="AO33" i="2" s="1"/>
  <c r="BD33" i="2" s="1"/>
  <c r="AN28" i="2" a="1"/>
  <c r="AN28" i="2" s="1"/>
  <c r="BC28" i="2" s="1"/>
  <c r="AM39" i="2" a="1"/>
  <c r="AM39" i="2" s="1"/>
  <c r="BB39" i="2" s="1"/>
  <c r="AU29" i="2" a="1"/>
  <c r="AU29" i="2" s="1"/>
  <c r="BJ29" i="2" s="1"/>
  <c r="AK19" i="2" a="1"/>
  <c r="AK19" i="2" s="1"/>
  <c r="AZ19" i="2" s="1"/>
  <c r="AR11" i="2" a="1"/>
  <c r="AR11" i="2" s="1"/>
  <c r="BG11" i="2" s="1"/>
  <c r="AM19" i="2" a="1"/>
  <c r="AM19" i="2" s="1"/>
  <c r="BB19" i="2" s="1"/>
  <c r="AU7" i="2" a="1"/>
  <c r="AU7" i="2" s="1"/>
  <c r="BJ7" i="2" s="1"/>
  <c r="AN24" i="2" a="1"/>
  <c r="AN24" i="2" s="1"/>
  <c r="BC24" i="2" s="1"/>
  <c r="AV15" i="2" a="1"/>
  <c r="AV15" i="2" s="1"/>
  <c r="BK15" i="2" s="1"/>
  <c r="AK40" i="2" a="1"/>
  <c r="AK40" i="2" s="1"/>
  <c r="AZ40" i="2" s="1"/>
  <c r="AM10" i="2" a="1"/>
  <c r="AM10" i="2" s="1"/>
  <c r="BB10" i="2" s="1"/>
  <c r="AP6" i="2" a="1"/>
  <c r="AP6" i="2" s="1"/>
  <c r="BE6" i="2" s="1"/>
  <c r="AV22" i="2" a="1"/>
  <c r="AV22" i="2" s="1"/>
  <c r="BK22" i="2" s="1"/>
  <c r="AP34" i="2" a="1"/>
  <c r="AP34" i="2" s="1"/>
  <c r="BE34" i="2" s="1"/>
  <c r="AR5" i="2" a="1"/>
  <c r="AR5" i="2" s="1"/>
  <c r="BG5" i="2" s="1"/>
  <c r="AO57" i="2" a="1"/>
  <c r="AO57" i="2" s="1"/>
  <c r="BD57" i="2" s="1"/>
  <c r="AQ16" i="2" a="1"/>
  <c r="AQ16" i="2" s="1"/>
  <c r="BF16" i="2" s="1"/>
  <c r="AV33" i="2" a="1"/>
  <c r="AV33" i="2" s="1"/>
  <c r="BK33" i="2" s="1"/>
  <c r="AK12" i="2" a="1"/>
  <c r="AK12" i="2" s="1"/>
  <c r="AZ12" i="2" s="1"/>
  <c r="AN44" i="2" a="1"/>
  <c r="AN44" i="2" s="1"/>
  <c r="BC44" i="2" s="1"/>
  <c r="AS7" i="2" a="1"/>
  <c r="AS7" i="2" s="1"/>
  <c r="BH7" i="2" s="1"/>
  <c r="AV25" i="2" a="1"/>
  <c r="AV25" i="2" s="1"/>
  <c r="BK25" i="2" s="1"/>
  <c r="AM24" i="2" a="1"/>
  <c r="AM24" i="2" s="1"/>
  <c r="BB24" i="2" s="1"/>
  <c r="AS56" i="2" a="1"/>
  <c r="AS56" i="2" s="1"/>
  <c r="BH56" i="2" s="1"/>
  <c r="AR68" i="2" a="1"/>
  <c r="AR68" i="2" s="1"/>
  <c r="BG68" i="2" s="1"/>
  <c r="AN68" i="2" a="1"/>
  <c r="AN68" i="2" s="1"/>
  <c r="BC68" i="2" s="1"/>
  <c r="AR10" i="2" a="1"/>
  <c r="AR10" i="2" s="1"/>
  <c r="BG10" i="2" s="1"/>
  <c r="AO42" i="2" a="1"/>
  <c r="AO42" i="2" s="1"/>
  <c r="BD42" i="2" s="1"/>
  <c r="AS69" i="2" a="1"/>
  <c r="AS69" i="2" s="1"/>
  <c r="BH69" i="2" s="1"/>
  <c r="AV59" i="2" a="1"/>
  <c r="AV59" i="2" s="1"/>
  <c r="BK59" i="2" s="1"/>
  <c r="AN27" i="2" a="1"/>
  <c r="AN27" i="2" s="1"/>
  <c r="BC27" i="2" s="1"/>
  <c r="AU27" i="2" a="1"/>
  <c r="AU27" i="2" s="1"/>
  <c r="BJ27" i="2" s="1"/>
  <c r="AU39" i="2" a="1"/>
  <c r="AU39" i="2" s="1"/>
  <c r="BJ39" i="2" s="1"/>
  <c r="AU25" i="2" a="1"/>
  <c r="AU25" i="2" s="1"/>
  <c r="BJ25" i="2" s="1"/>
  <c r="AN30" i="2" a="1"/>
  <c r="AN30" i="2" s="1"/>
  <c r="BC30" i="2" s="1"/>
  <c r="AN63" i="2" a="1"/>
  <c r="AN63" i="2" s="1"/>
  <c r="BC63" i="2" s="1"/>
  <c r="AL15" i="2" a="1"/>
  <c r="AL15" i="2" s="1"/>
  <c r="BA15" i="2" s="1"/>
  <c r="AV56" i="2" a="1"/>
  <c r="AV56" i="2" s="1"/>
  <c r="BK56" i="2" s="1"/>
  <c r="AO6" i="2" a="1"/>
  <c r="AO6" i="2" s="1"/>
  <c r="BD6" i="2" s="1"/>
  <c r="AO59" i="2" a="1"/>
  <c r="AO59" i="2" s="1"/>
  <c r="BD59" i="2" s="1"/>
  <c r="AO34" i="2" a="1"/>
  <c r="AO34" i="2" s="1"/>
  <c r="BD34" i="2" s="1"/>
  <c r="AP32" i="2" a="1"/>
  <c r="AP32" i="2" s="1"/>
  <c r="BE32" i="2" s="1"/>
  <c r="AS17" i="2" a="1"/>
  <c r="AS17" i="2" s="1"/>
  <c r="BH17" i="2" s="1"/>
  <c r="AO39" i="2" a="1"/>
  <c r="AO39" i="2" s="1"/>
  <c r="BD39" i="2" s="1"/>
  <c r="AR25" i="2" a="1"/>
  <c r="AR25" i="2" s="1"/>
  <c r="BG25" i="2" s="1"/>
  <c r="AP66" i="2" a="1"/>
  <c r="AP66" i="2" s="1"/>
  <c r="BE66" i="2" s="1"/>
  <c r="AM30" i="2" a="1"/>
  <c r="AM30" i="2" s="1"/>
  <c r="BB30" i="2" s="1"/>
  <c r="AL30" i="2" a="1"/>
  <c r="AL30" i="2" s="1"/>
  <c r="BA30" i="2" s="1"/>
  <c r="AP8" i="2" a="1"/>
  <c r="AP8" i="2" s="1"/>
  <c r="BE8" i="2" s="1"/>
  <c r="AP62" i="2" a="1"/>
  <c r="AP62" i="2" s="1"/>
  <c r="BE62" i="2" s="1"/>
  <c r="AK3" i="2" a="1"/>
  <c r="AK3" i="2" s="1"/>
  <c r="AZ3" i="2" s="1"/>
  <c r="AO20" i="2" a="1"/>
  <c r="AO20" i="2" s="1"/>
  <c r="BD20" i="2" s="1"/>
  <c r="AQ36" i="2" a="1"/>
  <c r="AQ36" i="2" s="1"/>
  <c r="BF36" i="2" s="1"/>
  <c r="AV62" i="2" a="1"/>
  <c r="AV62" i="2" s="1"/>
  <c r="BK62" i="2" s="1"/>
  <c r="AU56" i="2" a="1"/>
  <c r="AU56" i="2" s="1"/>
  <c r="BJ56" i="2" s="1"/>
  <c r="AM18" i="2" a="1"/>
  <c r="AM18" i="2" s="1"/>
  <c r="BB18" i="2" s="1"/>
  <c r="AM8" i="2" a="1"/>
  <c r="AM8" i="2" s="1"/>
  <c r="BB8" i="2" s="1"/>
  <c r="AP40" i="2" a="1"/>
  <c r="AP40" i="2" s="1"/>
  <c r="BE40" i="2" s="1"/>
  <c r="AK35" i="2" a="1"/>
  <c r="AK35" i="2" s="1"/>
  <c r="AZ35" i="2" s="1"/>
  <c r="AP69" i="2" a="1"/>
  <c r="AP69" i="2" s="1"/>
  <c r="BE69" i="2" s="1"/>
  <c r="AN6" i="2" a="1"/>
  <c r="AN6" i="2" s="1"/>
  <c r="BC6" i="2" s="1"/>
  <c r="AK22" i="2" a="1"/>
  <c r="AK22" i="2" s="1"/>
  <c r="AZ22" i="2" s="1"/>
  <c r="AN55" i="2" a="1"/>
  <c r="AN55" i="2" s="1"/>
  <c r="BC55" i="2" s="1"/>
  <c r="AN59" i="2" a="1"/>
  <c r="AN59" i="2" s="1"/>
  <c r="BC59" i="2" s="1"/>
  <c r="AS59" i="2" a="1"/>
  <c r="AS59" i="2" s="1"/>
  <c r="BH59" i="2" s="1"/>
  <c r="AN65" i="2" a="1"/>
  <c r="AN65" i="2" s="1"/>
  <c r="BC65" i="2" s="1"/>
  <c r="AV14" i="2" a="1"/>
  <c r="AV14" i="2" s="1"/>
  <c r="BK14" i="2" s="1"/>
  <c r="AR9" i="2" a="1"/>
  <c r="AR9" i="2" s="1"/>
  <c r="BG9" i="2" s="1"/>
  <c r="AU37" i="2" a="1"/>
  <c r="AU37" i="2" s="1"/>
  <c r="BJ37" i="2" s="1"/>
  <c r="AV32" i="2" a="1"/>
  <c r="AV32" i="2" s="1"/>
  <c r="BK32" i="2" s="1"/>
  <c r="AP43" i="2" a="1"/>
  <c r="AP43" i="2" s="1"/>
  <c r="BE43" i="2" s="1"/>
  <c r="AP38" i="2" a="1"/>
  <c r="AP38" i="2" s="1"/>
  <c r="BE38" i="2" s="1"/>
  <c r="AQ17" i="2" a="1"/>
  <c r="AQ17" i="2" s="1"/>
  <c r="BF17" i="2" s="1"/>
  <c r="AS28" i="2" a="1"/>
  <c r="AS28" i="2" s="1"/>
  <c r="BH28" i="2" s="1"/>
  <c r="AS44" i="2" a="1"/>
  <c r="AS44" i="2" s="1"/>
  <c r="BH44" i="2" s="1"/>
  <c r="AM71" i="2" a="1"/>
  <c r="AM71" i="2" s="1"/>
  <c r="BB71" i="2" s="1"/>
  <c r="AR7" i="2" a="1"/>
  <c r="AR7" i="2" s="1"/>
  <c r="BG7" i="2" s="1"/>
  <c r="AN39" i="2" a="1"/>
  <c r="AN39" i="2" s="1"/>
  <c r="BC39" i="2" s="1"/>
  <c r="AV24" i="2" a="1"/>
  <c r="AV24" i="2" s="1"/>
  <c r="BK24" i="2" s="1"/>
  <c r="AK30" i="2" a="1"/>
  <c r="AK30" i="2" s="1"/>
  <c r="AZ30" i="2" s="1"/>
  <c r="AN43" i="2" a="1"/>
  <c r="AN43" i="2" s="1"/>
  <c r="BC43" i="2" s="1"/>
  <c r="AU36" i="2" a="1"/>
  <c r="AU36" i="2" s="1"/>
  <c r="BJ36" i="2" s="1"/>
  <c r="AU53" i="2" a="1"/>
  <c r="AU53" i="2" s="1"/>
  <c r="BJ53" i="2" s="1"/>
  <c r="AL8" i="2" a="1"/>
  <c r="AL8" i="2" s="1"/>
  <c r="BA8" i="2" s="1"/>
  <c r="AO26" i="2" a="1"/>
  <c r="AO26" i="2" s="1"/>
  <c r="BD26" i="2" s="1"/>
  <c r="AV70" i="2" a="1"/>
  <c r="AV70" i="2" s="1"/>
  <c r="BK70" i="2" s="1"/>
  <c r="AP22" i="2" a="1"/>
  <c r="AP22" i="2" s="1"/>
  <c r="BE22" i="2" s="1"/>
  <c r="AM34" i="2" a="1"/>
  <c r="AM34" i="2" s="1"/>
  <c r="BB34" i="2" s="1"/>
  <c r="AV13" i="2" a="1"/>
  <c r="AV13" i="2" s="1"/>
  <c r="BK13" i="2" s="1"/>
  <c r="AQ9" i="2" a="1"/>
  <c r="AQ9" i="2" s="1"/>
  <c r="BF9" i="2" s="1"/>
  <c r="AO5" i="2" a="1"/>
  <c r="AO5" i="2" s="1"/>
  <c r="BD5" i="2" s="1"/>
  <c r="AS37" i="2" a="1"/>
  <c r="AS37" i="2" s="1"/>
  <c r="BH37" i="2" s="1"/>
  <c r="AO16" i="2" a="1"/>
  <c r="AO16" i="2" s="1"/>
  <c r="BD16" i="2" s="1"/>
  <c r="AL32" i="2" a="1"/>
  <c r="AL32" i="2" s="1"/>
  <c r="BA32" i="2" s="1"/>
  <c r="AO27" i="2" a="1"/>
  <c r="AO27" i="2" s="1"/>
  <c r="BD27" i="2" s="1"/>
  <c r="AQ44" i="2" a="1"/>
  <c r="AQ44" i="2" s="1"/>
  <c r="BF44" i="2" s="1"/>
  <c r="AL39" i="2" a="1"/>
  <c r="AL39" i="2" s="1"/>
  <c r="BA39" i="2" s="1"/>
  <c r="AV29" i="2" a="1"/>
  <c r="AV29" i="2" s="1"/>
  <c r="BK29" i="2" s="1"/>
  <c r="AQ25" i="2" a="1"/>
  <c r="AQ25" i="2" s="1"/>
  <c r="BF25" i="2" s="1"/>
  <c r="AV11" i="2" a="1"/>
  <c r="AV11" i="2" s="1"/>
  <c r="BK11" i="2" s="1"/>
  <c r="AS36" i="2" a="1"/>
  <c r="AS36" i="2" s="1"/>
  <c r="BH36" i="2" s="1"/>
  <c r="AV53" i="2" a="1"/>
  <c r="AV53" i="2" s="1"/>
  <c r="BK53" i="2" s="1"/>
  <c r="AP36" i="2" a="1"/>
  <c r="AP36" i="2" s="1"/>
  <c r="BE36" i="2" s="1"/>
  <c r="AN18" i="2" a="1"/>
  <c r="AN18" i="2" s="1"/>
  <c r="BC18" i="2" s="1"/>
  <c r="AR53" i="2" a="1"/>
  <c r="AR53" i="2" s="1"/>
  <c r="BG53" i="2" s="1"/>
  <c r="AO62" i="2" a="1"/>
  <c r="AO62" i="2" s="1"/>
  <c r="BD62" i="2" s="1"/>
  <c r="AU55" i="2" a="1"/>
  <c r="AU55" i="2" s="1"/>
  <c r="BJ55" i="2" s="1"/>
  <c r="AK57" i="2" a="1"/>
  <c r="AK57" i="2" s="1"/>
  <c r="AZ57" i="2" s="1"/>
  <c r="AP54" i="2" a="1"/>
  <c r="AP54" i="2" s="1"/>
  <c r="BE54" i="2" s="1"/>
  <c r="AM27" i="2" a="1"/>
  <c r="AM27" i="2" s="1"/>
  <c r="BB27" i="2" s="1"/>
  <c r="AK38" i="2" a="1"/>
  <c r="AK38" i="2" s="1"/>
  <c r="AZ38" i="2" s="1"/>
  <c r="AR33" i="2" a="1"/>
  <c r="AR33" i="2" s="1"/>
  <c r="BG33" i="2" s="1"/>
  <c r="AV12" i="2" a="1"/>
  <c r="AV12" i="2" s="1"/>
  <c r="BK12" i="2" s="1"/>
  <c r="AR28" i="2" a="1"/>
  <c r="AR28" i="2" s="1"/>
  <c r="BG28" i="2" s="1"/>
  <c r="AP44" i="2" a="1"/>
  <c r="AP44" i="2" s="1"/>
  <c r="BE44" i="2" s="1"/>
  <c r="AK7" i="2" a="1"/>
  <c r="AK7" i="2" s="1"/>
  <c r="AZ7" i="2" s="1"/>
  <c r="AS39" i="2" a="1"/>
  <c r="AS39" i="2" s="1"/>
  <c r="BH39" i="2" s="1"/>
  <c r="AN9" i="2" a="1"/>
  <c r="AN9" i="2" s="1"/>
  <c r="BC9" i="2" s="1"/>
  <c r="AL3" i="2" a="1"/>
  <c r="AL3" i="2" s="1"/>
  <c r="BA3" i="2" s="1"/>
  <c r="AO18" i="2" a="1"/>
  <c r="AO18" i="2" s="1"/>
  <c r="BD18" i="2" s="1"/>
  <c r="AU4" i="2" a="1"/>
  <c r="AU4" i="2" s="1"/>
  <c r="BJ4" i="2" s="1"/>
  <c r="AR67" i="2" a="1"/>
  <c r="AR67" i="2" s="1"/>
  <c r="BG67" i="2" s="1"/>
  <c r="AO22" i="2" a="1"/>
  <c r="AO22" i="2" s="1"/>
  <c r="BD22" i="2" s="1"/>
  <c r="AS55" i="2" a="1"/>
  <c r="AS55" i="2" s="1"/>
  <c r="BH55" i="2" s="1"/>
  <c r="AU59" i="2" a="1"/>
  <c r="AU59" i="2" s="1"/>
  <c r="BJ59" i="2" s="1"/>
  <c r="AV21" i="2" a="1"/>
  <c r="AV21" i="2" s="1"/>
  <c r="BK21" i="2" s="1"/>
  <c r="AN54" i="2" a="1"/>
  <c r="AN54" i="2" s="1"/>
  <c r="BC54" i="2" s="1"/>
  <c r="AM16" i="2" a="1"/>
  <c r="AM16" i="2" s="1"/>
  <c r="BB16" i="2" s="1"/>
  <c r="AL27" i="2" a="1"/>
  <c r="AL27" i="2" s="1"/>
  <c r="BA27" i="2" s="1"/>
  <c r="AN38" i="2" a="1"/>
  <c r="AN38" i="2" s="1"/>
  <c r="BC38" i="2" s="1"/>
  <c r="AV58" i="2" a="1"/>
  <c r="AV58" i="2" s="1"/>
  <c r="BK58" i="2" s="1"/>
  <c r="AP33" i="2" a="1"/>
  <c r="AP33" i="2" s="1"/>
  <c r="BE33" i="2" s="1"/>
  <c r="AL64" i="2" a="1"/>
  <c r="AL64" i="2" s="1"/>
  <c r="BA64" i="2" s="1"/>
  <c r="AS12" i="2" a="1"/>
  <c r="AS12" i="2" s="1"/>
  <c r="BH12" i="2" s="1"/>
  <c r="AO44" i="2" a="1"/>
  <c r="AO44" i="2" s="1"/>
  <c r="BD44" i="2" s="1"/>
  <c r="AQ7" i="2" a="1"/>
  <c r="AQ7" i="2" s="1"/>
  <c r="BF7" i="2" s="1"/>
  <c r="AV23" i="2" a="1"/>
  <c r="AV23" i="2" s="1"/>
  <c r="BK23" i="2" s="1"/>
  <c r="AR39" i="2" a="1"/>
  <c r="AR39" i="2" s="1"/>
  <c r="BG39" i="2" s="1"/>
  <c r="AS29" i="2" a="1"/>
  <c r="AS29" i="2" s="1"/>
  <c r="BH29" i="2" s="1"/>
  <c r="AO19" i="2" a="1"/>
  <c r="AO19" i="2" s="1"/>
  <c r="BD19" i="2" s="1"/>
  <c r="AU11" i="2" a="1"/>
  <c r="AU11" i="2" s="1"/>
  <c r="BJ11" i="2" s="1"/>
  <c r="AV66" i="2" a="1"/>
  <c r="AV66" i="2" s="1"/>
  <c r="BK66" i="2" s="1"/>
  <c r="AQ34" i="2" a="1"/>
  <c r="AQ34" i="2" s="1"/>
  <c r="BF34" i="2" s="1"/>
  <c r="AN37" i="2" a="1"/>
  <c r="AN37" i="2" s="1"/>
  <c r="BC37" i="2" s="1"/>
  <c r="AR65" i="2" a="1"/>
  <c r="AR65" i="2" s="1"/>
  <c r="BG65" i="2" s="1"/>
  <c r="AM38" i="2" a="1"/>
  <c r="AM38" i="2" s="1"/>
  <c r="BB38" i="2" s="1"/>
  <c r="AL35" i="2" a="1"/>
  <c r="AL35" i="2" s="1"/>
  <c r="BA35" i="2" s="1"/>
  <c r="AO36" i="2" a="1"/>
  <c r="AO36" i="2" s="1"/>
  <c r="BD36" i="2" s="1"/>
  <c r="AN31" i="2" a="1"/>
  <c r="AN31" i="2" s="1"/>
  <c r="BC31" i="2" s="1"/>
  <c r="AM62" i="2" a="1"/>
  <c r="AM62" i="2" s="1"/>
  <c r="BB62" i="2" s="1"/>
  <c r="AK8" i="2" a="1"/>
  <c r="AK8" i="2" s="1"/>
  <c r="AZ8" i="2" s="1"/>
  <c r="AV26" i="2" a="1"/>
  <c r="AV26" i="2" s="1"/>
  <c r="BK26" i="2" s="1"/>
  <c r="AM31" i="2" a="1"/>
  <c r="AM31" i="2" s="1"/>
  <c r="BB31" i="2" s="1"/>
  <c r="AO40" i="2" a="1"/>
  <c r="AO40" i="2" s="1"/>
  <c r="BD40" i="2" s="1"/>
  <c r="AM60" i="2" a="1"/>
  <c r="AM60" i="2" s="1"/>
  <c r="BB60" i="2" s="1"/>
  <c r="AN10" i="2" a="1"/>
  <c r="AN10" i="2" s="1"/>
  <c r="BC10" i="2" s="1"/>
  <c r="AP3" i="2" a="1"/>
  <c r="AP3" i="2" s="1"/>
  <c r="BE3" i="2" s="1"/>
  <c r="AR18" i="2" a="1"/>
  <c r="AR18" i="2" s="1"/>
  <c r="BG18" i="2" s="1"/>
  <c r="AL10" i="2" a="1"/>
  <c r="AL10" i="2" s="1"/>
  <c r="BA10" i="2" s="1"/>
  <c r="AK42" i="2" a="1"/>
  <c r="AK42" i="2" s="1"/>
  <c r="AZ42" i="2" s="1"/>
  <c r="AQ70" i="2" a="1"/>
  <c r="AQ70" i="2" s="1"/>
  <c r="BF70" i="2" s="1"/>
  <c r="AU6" i="2" a="1"/>
  <c r="AU6" i="2" s="1"/>
  <c r="BJ6" i="2" s="1"/>
  <c r="AM55" i="2" a="1"/>
  <c r="AM55" i="2" s="1"/>
  <c r="BB55" i="2" s="1"/>
  <c r="AU34" i="2" a="1"/>
  <c r="AU34" i="2" s="1"/>
  <c r="BJ34" i="2" s="1"/>
  <c r="AL65" i="2" a="1"/>
  <c r="AL65" i="2" s="1"/>
  <c r="BA65" i="2" s="1"/>
  <c r="AL5" i="2" a="1"/>
  <c r="AL5" i="2" s="1"/>
  <c r="BA5" i="2" s="1"/>
  <c r="AM57" i="2" a="1"/>
  <c r="AM57" i="2" s="1"/>
  <c r="BB57" i="2" s="1"/>
  <c r="AO54" i="2" a="1"/>
  <c r="AO54" i="2" s="1"/>
  <c r="BD54" i="2" s="1"/>
  <c r="AV43" i="2" a="1"/>
  <c r="AV43" i="2" s="1"/>
  <c r="BK43" i="2" s="1"/>
  <c r="AL43" i="2" a="1"/>
  <c r="AL43" i="2" s="1"/>
  <c r="BA43" i="2" s="1"/>
  <c r="AL33" i="2" a="1"/>
  <c r="AL33" i="2" s="1"/>
  <c r="BA33" i="2" s="1"/>
  <c r="AL12" i="2" a="1"/>
  <c r="AL12" i="2" s="1"/>
  <c r="BA12" i="2" s="1"/>
  <c r="AM44" i="2" a="1"/>
  <c r="AM44" i="2" s="1"/>
  <c r="BB44" i="2" s="1"/>
  <c r="AP71" i="2" a="1"/>
  <c r="AP71" i="2" s="1"/>
  <c r="BE71" i="2" s="1"/>
  <c r="AQ39" i="2" a="1"/>
  <c r="AQ39" i="2" s="1"/>
  <c r="BF39" i="2" s="1"/>
  <c r="AL11" i="2" a="1"/>
  <c r="AL11" i="2" s="1"/>
  <c r="BA11" i="2" s="1"/>
  <c r="AM66" i="2" a="1"/>
  <c r="AM66" i="2" s="1"/>
  <c r="BB66" i="2" s="1"/>
  <c r="AM9" i="2" a="1"/>
  <c r="AM9" i="2" s="1"/>
  <c r="BB9" i="2" s="1"/>
  <c r="AR56" i="2" a="1"/>
  <c r="AR56" i="2" s="1"/>
  <c r="BG56" i="2" s="1"/>
  <c r="AP18" i="2" a="1"/>
  <c r="AP18" i="2" s="1"/>
  <c r="BE18" i="2" s="1"/>
  <c r="AN41" i="2" a="1"/>
  <c r="AN41" i="2" s="1"/>
  <c r="BC41" i="2" s="1"/>
  <c r="AR3" i="2" a="1"/>
  <c r="AR3" i="2" s="1"/>
  <c r="BG3" i="2" s="1"/>
  <c r="AN36" i="2" a="1"/>
  <c r="AN36" i="2" s="1"/>
  <c r="BC36" i="2" s="1"/>
  <c r="AQ53" i="2" a="1"/>
  <c r="AQ53" i="2" s="1"/>
  <c r="BF53" i="2" s="1"/>
  <c r="AV20" i="2" a="1"/>
  <c r="AV20" i="2" s="1"/>
  <c r="BK20" i="2" s="1"/>
  <c r="AV40" i="2" a="1"/>
  <c r="AV40" i="2" s="1"/>
  <c r="BK40" i="2" s="1"/>
  <c r="AR26" i="2" a="1"/>
  <c r="AR26" i="2" s="1"/>
  <c r="BG26" i="2" s="1"/>
  <c r="AO3" i="2" a="1"/>
  <c r="AO3" i="2" s="1"/>
  <c r="BD3" i="2" s="1"/>
  <c r="AN4" i="2" a="1"/>
  <c r="AN4" i="2" s="1"/>
  <c r="BC4" i="2" s="1"/>
  <c r="AU20" i="2" a="1"/>
  <c r="AU20" i="2" s="1"/>
  <c r="BJ20" i="2" s="1"/>
  <c r="AK20" i="2" a="1"/>
  <c r="AK20" i="2" s="1"/>
  <c r="AZ20" i="2" s="1"/>
  <c r="AM36" i="2" a="1"/>
  <c r="AM36" i="2" s="1"/>
  <c r="BB36" i="2" s="1"/>
  <c r="AM53" i="2" a="1"/>
  <c r="AM53" i="2" s="1"/>
  <c r="BB53" i="2" s="1"/>
  <c r="AU15" i="2" a="1"/>
  <c r="AU15" i="2" s="1"/>
  <c r="BJ15" i="2" s="1"/>
  <c r="AK31" i="2" a="1"/>
  <c r="AK31" i="2" s="1"/>
  <c r="AZ31" i="2" s="1"/>
  <c r="AS62" i="2" a="1"/>
  <c r="AS62" i="2" s="1"/>
  <c r="BH62" i="2" s="1"/>
  <c r="AM56" i="2" a="1"/>
  <c r="AM56" i="2" s="1"/>
  <c r="BB56" i="2" s="1"/>
  <c r="AV18" i="2" a="1"/>
  <c r="AV18" i="2" s="1"/>
  <c r="BK18" i="2" s="1"/>
  <c r="AQ8" i="2" a="1"/>
  <c r="AQ8" i="2" s="1"/>
  <c r="BF8" i="2" s="1"/>
  <c r="AN40" i="2" a="1"/>
  <c r="AN40" i="2" s="1"/>
  <c r="BC40" i="2" s="1"/>
  <c r="AR60" i="2" a="1"/>
  <c r="AR60" i="2" s="1"/>
  <c r="BG60" i="2" s="1"/>
  <c r="AL60" i="2" a="1"/>
  <c r="AL60" i="2" s="1"/>
  <c r="BA60" i="2" s="1"/>
  <c r="AQ67" i="2" a="1"/>
  <c r="AQ67" i="2" s="1"/>
  <c r="BF67" i="2" s="1"/>
  <c r="AK41" i="2" a="1"/>
  <c r="AK41" i="2" s="1"/>
  <c r="AZ41" i="2" s="1"/>
  <c r="AS10" i="2" a="1"/>
  <c r="AS10" i="2" s="1"/>
  <c r="BH10" i="2" s="1"/>
  <c r="AP26" i="2" a="1"/>
  <c r="AP26" i="2" s="1"/>
  <c r="BE26" i="2" s="1"/>
  <c r="AV42" i="2" a="1"/>
  <c r="AV42" i="2" s="1"/>
  <c r="BK42" i="2" s="1"/>
  <c r="AU69" i="2" a="1"/>
  <c r="AU69" i="2" s="1"/>
  <c r="BJ69" i="2" s="1"/>
  <c r="AS63" i="2" a="1"/>
  <c r="AS63" i="2" s="1"/>
  <c r="BH63" i="2" s="1"/>
  <c r="AP70" i="2" a="1"/>
  <c r="AP70" i="2" s="1"/>
  <c r="BE70" i="2" s="1"/>
  <c r="AN22" i="2" a="1"/>
  <c r="AN22" i="2" s="1"/>
  <c r="BC22" i="2" s="1"/>
  <c r="AV55" i="2" a="1"/>
  <c r="AV55" i="2" s="1"/>
  <c r="BK55" i="2" s="1"/>
  <c r="AR55" i="2" a="1"/>
  <c r="AR55" i="2" s="1"/>
  <c r="BG55" i="2" s="1"/>
  <c r="AR59" i="2" a="1"/>
  <c r="AR59" i="2" s="1"/>
  <c r="BG59" i="2" s="1"/>
  <c r="AS34" i="2" a="1"/>
  <c r="AS34" i="2" s="1"/>
  <c r="BH34" i="2" s="1"/>
  <c r="AK13" i="2" a="1"/>
  <c r="AK13" i="2" s="1"/>
  <c r="AZ13" i="2" s="1"/>
  <c r="AQ14" i="2" a="1"/>
  <c r="AQ14" i="2" s="1"/>
  <c r="BF14" i="2" s="1"/>
  <c r="AV9" i="2" a="1"/>
  <c r="AV9" i="2" s="1"/>
  <c r="BK9" i="2" s="1"/>
  <c r="AQ21" i="2" a="1"/>
  <c r="AQ21" i="2" s="1"/>
  <c r="BF21" i="2" s="1"/>
  <c r="AM37" i="2" a="1"/>
  <c r="AM37" i="2" s="1"/>
  <c r="BB37" i="2" s="1"/>
  <c r="AV57" i="2" a="1"/>
  <c r="AV57" i="2" s="1"/>
  <c r="BK57" i="2" s="1"/>
  <c r="AM54" i="2" a="1"/>
  <c r="AM54" i="2" s="1"/>
  <c r="BB54" i="2" s="1"/>
  <c r="AO32" i="2" a="1"/>
  <c r="AO32" i="2" s="1"/>
  <c r="BD32" i="2" s="1"/>
  <c r="AU58" i="2" a="1"/>
  <c r="AU58" i="2" s="1"/>
  <c r="BJ58" i="2" s="1"/>
  <c r="AR17" i="2" a="1"/>
  <c r="AR17" i="2" s="1"/>
  <c r="BG17" i="2" s="1"/>
  <c r="AK33" i="2" a="1"/>
  <c r="AK33" i="2" s="1"/>
  <c r="AZ33" i="2" s="1"/>
  <c r="AM28" i="2" a="1"/>
  <c r="AM28" i="2" s="1"/>
  <c r="BB28" i="2" s="1"/>
  <c r="AL44" i="2" a="1"/>
  <c r="AL44" i="2" s="1"/>
  <c r="BA44" i="2" s="1"/>
  <c r="AO71" i="2" a="1"/>
  <c r="AO71" i="2" s="1"/>
  <c r="BD71" i="2" s="1"/>
  <c r="AK71" i="2" a="1"/>
  <c r="AK71" i="2" s="1"/>
  <c r="AZ71" i="2" s="1"/>
  <c r="AP39" i="2" a="1"/>
  <c r="AP39" i="2" s="1"/>
  <c r="BE39" i="2" s="1"/>
  <c r="AR29" i="2" a="1"/>
  <c r="AR29" i="2" s="1"/>
  <c r="BG29" i="2" s="1"/>
  <c r="AQ24" i="2" a="1"/>
  <c r="AQ24" i="2" s="1"/>
  <c r="BF24" i="2" s="1"/>
  <c r="AL66" i="2" a="1"/>
  <c r="AL66" i="2" s="1"/>
  <c r="BA66" i="2" s="1"/>
  <c r="AU66" i="2" a="1"/>
  <c r="AU66" i="2" s="1"/>
  <c r="BJ66" i="2" s="1"/>
  <c r="AS30" i="2" a="1"/>
  <c r="AS30" i="2" s="1"/>
  <c r="BH30" i="2" s="1"/>
  <c r="AV4" i="2" a="1"/>
  <c r="AV4" i="2" s="1"/>
  <c r="BK4" i="2" s="1"/>
  <c r="AN60" i="2" a="1"/>
  <c r="AN60" i="2" s="1"/>
  <c r="BC60" i="2" s="1"/>
  <c r="AQ26" i="2" a="1"/>
  <c r="AQ26" i="2" s="1"/>
  <c r="BF26" i="2" s="1"/>
  <c r="AL62" i="2" a="1"/>
  <c r="AL62" i="2" s="1"/>
  <c r="BA62" i="2" s="1"/>
  <c r="AV69" i="2" a="1"/>
  <c r="AV69" i="2" s="1"/>
  <c r="BK69" i="2" s="1"/>
  <c r="AP53" i="2" a="1"/>
  <c r="AP53" i="2" s="1"/>
  <c r="BE53" i="2" s="1"/>
  <c r="AL31" i="2" a="1"/>
  <c r="AL31" i="2" s="1"/>
  <c r="BA31" i="2" s="1"/>
  <c r="AK62" i="2" a="1"/>
  <c r="AK62" i="2" s="1"/>
  <c r="AZ62" i="2" s="1"/>
  <c r="AN56" i="2" a="1"/>
  <c r="AN56" i="2" s="1"/>
  <c r="BC56" i="2" s="1"/>
  <c r="AU60" i="2" a="1"/>
  <c r="AU60" i="2" s="1"/>
  <c r="BJ60" i="2" s="1"/>
  <c r="AV41" i="2" a="1"/>
  <c r="AV41" i="2" s="1"/>
  <c r="BK41" i="2" s="1"/>
  <c r="AN3" i="2" a="1"/>
  <c r="AN3" i="2" s="1"/>
  <c r="BC3" i="2" s="1"/>
  <c r="AM4" i="2" a="1"/>
  <c r="AM4" i="2" s="1"/>
  <c r="BB4" i="2" s="1"/>
  <c r="AS20" i="2" a="1"/>
  <c r="AS20" i="2" s="1"/>
  <c r="BH20" i="2" s="1"/>
  <c r="AL36" i="2" a="1"/>
  <c r="AL36" i="2" s="1"/>
  <c r="BA36" i="2" s="1"/>
  <c r="AL53" i="2" a="1"/>
  <c r="AL53" i="2" s="1"/>
  <c r="BA53" i="2" s="1"/>
  <c r="AR15" i="2" a="1"/>
  <c r="AR15" i="2" s="1"/>
  <c r="BG15" i="2" s="1"/>
  <c r="AO31" i="2" a="1"/>
  <c r="AO31" i="2" s="1"/>
  <c r="BD31" i="2" s="1"/>
  <c r="AR62" i="2" a="1"/>
  <c r="AR62" i="2" s="1"/>
  <c r="BG62" i="2" s="1"/>
  <c r="AK56" i="2" a="1"/>
  <c r="AK56" i="2" s="1"/>
  <c r="AZ56" i="2" s="1"/>
  <c r="AL56" i="2" a="1"/>
  <c r="AL56" i="2" s="1"/>
  <c r="BA56" i="2" s="1"/>
  <c r="AU18" i="2" a="1"/>
  <c r="AU18" i="2" s="1"/>
  <c r="BJ18" i="2" s="1"/>
  <c r="AM40" i="2" a="1"/>
  <c r="AM40" i="2" s="1"/>
  <c r="BB40" i="2" s="1"/>
  <c r="AQ60" i="2" a="1"/>
  <c r="AQ60" i="2" s="1"/>
  <c r="BF60" i="2" s="1"/>
  <c r="AL41" i="2" a="1"/>
  <c r="AL41" i="2" s="1"/>
  <c r="BA41" i="2" s="1"/>
  <c r="AK26" i="2" a="1"/>
  <c r="AK26" i="2" s="1"/>
  <c r="AZ26" i="2" s="1"/>
  <c r="AV63" i="2" a="1"/>
  <c r="AV63" i="2" s="1"/>
  <c r="BK63" i="2" s="1"/>
  <c r="AO70" i="2" a="1"/>
  <c r="AO70" i="2" s="1"/>
  <c r="BD70" i="2" s="1"/>
  <c r="AM22" i="2" a="1"/>
  <c r="AM22" i="2" s="1"/>
  <c r="BB22" i="2" s="1"/>
  <c r="AL55" i="2" a="1"/>
  <c r="AL55" i="2" s="1"/>
  <c r="BA55" i="2" s="1"/>
  <c r="AK34" i="2" a="1"/>
  <c r="AK34" i="2" s="1"/>
  <c r="AZ34" i="2" s="1"/>
  <c r="AR34" i="2" a="1"/>
  <c r="AR34" i="2" s="1"/>
  <c r="BG34" i="2" s="1"/>
  <c r="AK65" i="2" a="1"/>
  <c r="AK65" i="2" s="1"/>
  <c r="AZ65" i="2" s="1"/>
  <c r="AO13" i="2" a="1"/>
  <c r="AO13" i="2" s="1"/>
  <c r="BD13" i="2" s="1"/>
  <c r="AP14" i="2" a="1"/>
  <c r="AP14" i="2" s="1"/>
  <c r="BE14" i="2" s="1"/>
  <c r="AL37" i="2" a="1"/>
  <c r="AL37" i="2" s="1"/>
  <c r="BA37" i="2" s="1"/>
  <c r="AU57" i="2" a="1"/>
  <c r="AU57" i="2" s="1"/>
  <c r="BJ57" i="2" s="1"/>
  <c r="AN32" i="2" a="1"/>
  <c r="AN32" i="2" s="1"/>
  <c r="BC32" i="2" s="1"/>
  <c r="AV27" i="2" a="1"/>
  <c r="AV27" i="2" s="1"/>
  <c r="BK27" i="2" s="1"/>
  <c r="AS38" i="2" a="1"/>
  <c r="AS38" i="2" s="1"/>
  <c r="BH38" i="2" s="1"/>
  <c r="AP64" i="2" a="1"/>
  <c r="AP64" i="2" s="1"/>
  <c r="BE64" i="2" s="1"/>
  <c r="AU64" i="2" a="1"/>
  <c r="AU64" i="2" s="1"/>
  <c r="BJ64" i="2" s="1"/>
  <c r="AL28" i="2" a="1"/>
  <c r="AL28" i="2" s="1"/>
  <c r="BA28" i="2" s="1"/>
  <c r="AV44" i="2" a="1"/>
  <c r="AV44" i="2" s="1"/>
  <c r="BK44" i="2" s="1"/>
  <c r="AS71" i="2" a="1"/>
  <c r="AS71" i="2" s="1"/>
  <c r="BH71" i="2" s="1"/>
  <c r="AL71" i="2" a="1"/>
  <c r="AL71" i="2" s="1"/>
  <c r="BA71" i="2" s="1"/>
  <c r="AU23" i="2" a="1"/>
  <c r="AU23" i="2" s="1"/>
  <c r="BJ23" i="2" s="1"/>
  <c r="AV39" i="2" a="1"/>
  <c r="AV39" i="2" s="1"/>
  <c r="BK39" i="2" s="1"/>
  <c r="AL29" i="2" a="1"/>
  <c r="AL29" i="2" s="1"/>
  <c r="BA29" i="2" s="1"/>
  <c r="AP19" i="2" a="1"/>
  <c r="AP19" i="2" s="1"/>
  <c r="BE19" i="2" s="1"/>
  <c r="AP25" i="2" a="1"/>
  <c r="AP25" i="2" s="1"/>
  <c r="BE25" i="2" s="1"/>
  <c r="AO66" i="2" a="1"/>
  <c r="AO66" i="2" s="1"/>
  <c r="BD66" i="2" s="1"/>
  <c r="AG41" i="2"/>
  <c r="AG36" i="2"/>
  <c r="AG38" i="2"/>
  <c r="AG63" i="2"/>
  <c r="R11" i="2"/>
  <c r="T11" i="2" s="1"/>
  <c r="AG29" i="2"/>
  <c r="R69" i="2"/>
  <c r="T69" i="2" s="1"/>
  <c r="R70" i="2"/>
  <c r="T70" i="2" s="1"/>
  <c r="AG59" i="2"/>
  <c r="AG34" i="2"/>
  <c r="R9" i="2"/>
  <c r="T9" i="2" s="1"/>
  <c r="AG26" i="2"/>
  <c r="R43" i="2"/>
  <c r="T43" i="2" s="1"/>
  <c r="AG17" i="2"/>
  <c r="R40" i="2"/>
  <c r="T40" i="2" s="1"/>
  <c r="AG39" i="2"/>
  <c r="AG56" i="2"/>
  <c r="R67" i="2"/>
  <c r="T67" i="2" s="1"/>
  <c r="AG14" i="2"/>
  <c r="R16" i="2"/>
  <c r="T16" i="2" s="1"/>
  <c r="R59" i="2"/>
  <c r="T59" i="2" s="1"/>
  <c r="R5" i="2"/>
  <c r="T5" i="2" s="1"/>
  <c r="AG43" i="2"/>
  <c r="R17" i="2"/>
  <c r="T17" i="2" s="1"/>
  <c r="R19" i="2"/>
  <c r="T19" i="2" s="1"/>
  <c r="R14" i="2"/>
  <c r="T14" i="2" s="1"/>
  <c r="R37" i="2"/>
  <c r="T37" i="2" s="1"/>
  <c r="R28" i="2"/>
  <c r="T28" i="2" s="1"/>
  <c r="AG18" i="2"/>
  <c r="AG40" i="2"/>
  <c r="AG65" i="2"/>
  <c r="AG31" i="2"/>
  <c r="AG8" i="2"/>
  <c r="AG4" i="2"/>
  <c r="R15" i="2"/>
  <c r="T15" i="2" s="1"/>
  <c r="R35" i="2"/>
  <c r="T35" i="2" s="1"/>
  <c r="R10" i="2"/>
  <c r="T10" i="2" s="1"/>
  <c r="AG22" i="2"/>
  <c r="R44" i="2"/>
  <c r="T44" i="2" s="1"/>
  <c r="R66" i="2"/>
  <c r="T66" i="2" s="1"/>
  <c r="R68" i="2"/>
  <c r="T68" i="2" s="1"/>
  <c r="AG70" i="2"/>
  <c r="R21" i="2"/>
  <c r="T21" i="2" s="1"/>
  <c r="R54" i="2"/>
  <c r="T54" i="2" s="1"/>
  <c r="AG12" i="2"/>
  <c r="AG28" i="2"/>
  <c r="AG71" i="2"/>
  <c r="R39" i="2"/>
  <c r="T39" i="2" s="1"/>
  <c r="R29" i="2"/>
  <c r="T29" i="2" s="1"/>
  <c r="R23" i="2"/>
  <c r="T23" i="2" s="1"/>
  <c r="AG33" i="2"/>
  <c r="AG62" i="2"/>
  <c r="R41" i="2"/>
  <c r="T41" i="2" s="1"/>
  <c r="AG20" i="2"/>
  <c r="AG69" i="2"/>
  <c r="AG37" i="2"/>
  <c r="AG54" i="2"/>
  <c r="R36" i="2"/>
  <c r="T36" i="2" s="1"/>
  <c r="R56" i="2"/>
  <c r="T56" i="2" s="1"/>
  <c r="AG27" i="2"/>
  <c r="R4" i="2"/>
  <c r="T4" i="2" s="1"/>
  <c r="AG57" i="2"/>
  <c r="AG32" i="2"/>
  <c r="AG19" i="2"/>
  <c r="AG60" i="2"/>
  <c r="AG68" i="2"/>
  <c r="R31" i="2"/>
  <c r="T31" i="2" s="1"/>
  <c r="AG7" i="2"/>
  <c r="AG67" i="2"/>
  <c r="R42" i="2"/>
  <c r="T42" i="2" s="1"/>
  <c r="R26" i="2"/>
  <c r="T26" i="2" s="1"/>
  <c r="AG6" i="2"/>
  <c r="R57" i="2"/>
  <c r="T57" i="2" s="1"/>
  <c r="R32" i="2"/>
  <c r="T32" i="2" s="1"/>
  <c r="R38" i="2"/>
  <c r="T38" i="2" s="1"/>
  <c r="AG58" i="2"/>
  <c r="R7" i="2"/>
  <c r="T7" i="2" s="1"/>
  <c r="AG11" i="2"/>
  <c r="R30" i="2"/>
  <c r="T30" i="2" s="1"/>
  <c r="AG66" i="2"/>
  <c r="AG30" i="2"/>
  <c r="R53" i="2"/>
  <c r="T53" i="2" s="1"/>
  <c r="AG53" i="2"/>
  <c r="R18" i="2"/>
  <c r="T18" i="2" s="1"/>
  <c r="AG35" i="2"/>
  <c r="R13" i="2"/>
  <c r="T13" i="2" s="1"/>
  <c r="R60" i="2"/>
  <c r="T60" i="2" s="1"/>
  <c r="AG42" i="2"/>
  <c r="AG55" i="2"/>
  <c r="R34" i="2"/>
  <c r="T34" i="2" s="1"/>
  <c r="R65" i="2"/>
  <c r="T65" i="2" s="1"/>
  <c r="AG21" i="2"/>
  <c r="R27" i="2"/>
  <c r="T27" i="2" s="1"/>
  <c r="R64" i="2"/>
  <c r="T64" i="2" s="1"/>
  <c r="AG64" i="2"/>
  <c r="AG23" i="2"/>
  <c r="R25" i="2"/>
  <c r="T25" i="2" s="1"/>
  <c r="R24" i="2"/>
  <c r="T24" i="2" s="1"/>
  <c r="AG15" i="2"/>
  <c r="R62" i="2"/>
  <c r="T62" i="2" s="1"/>
  <c r="AG10" i="2"/>
  <c r="AH10" i="2" s="1"/>
  <c r="AG44" i="2"/>
  <c r="R6" i="2"/>
  <c r="T6" i="2" s="1"/>
  <c r="R55" i="2"/>
  <c r="T55" i="2" s="1"/>
  <c r="AG13" i="2"/>
  <c r="AG9" i="2"/>
  <c r="AG5" i="2"/>
  <c r="R33" i="2"/>
  <c r="T33" i="2" s="1"/>
  <c r="R71" i="2"/>
  <c r="T71" i="2" s="1"/>
  <c r="R8" i="2"/>
  <c r="T8" i="2" s="1"/>
  <c r="R63" i="2"/>
  <c r="T63" i="2" s="1"/>
  <c r="R22" i="2"/>
  <c r="T22" i="2" s="1"/>
  <c r="AG16" i="2"/>
  <c r="R12" i="2"/>
  <c r="T12" i="2" s="1"/>
  <c r="R20" i="2"/>
  <c r="T20" i="2" s="1"/>
  <c r="R58" i="2"/>
  <c r="T58" i="2" s="1"/>
  <c r="AG25" i="2"/>
  <c r="AG24" i="2"/>
  <c r="AG3" i="2"/>
  <c r="AH3" i="2" s="1"/>
  <c r="AH69" i="2" l="1"/>
  <c r="AH15" i="2"/>
  <c r="AH42" i="2"/>
  <c r="AH23" i="2"/>
  <c r="AH21" i="2"/>
  <c r="AH13" i="2"/>
  <c r="AH20" i="2"/>
  <c r="AH67" i="2"/>
  <c r="AH53" i="2"/>
  <c r="AH11" i="2"/>
  <c r="AH59" i="2"/>
  <c r="AH6" i="2"/>
  <c r="AH43" i="2"/>
  <c r="AH24" i="2"/>
  <c r="AH22" i="2"/>
  <c r="AH35" i="2"/>
  <c r="AH16" i="2"/>
  <c r="AH30" i="2"/>
  <c r="AH40" i="2"/>
  <c r="AH17" i="2"/>
  <c r="AH12" i="2"/>
  <c r="AH18" i="2"/>
  <c r="AH58" i="2"/>
  <c r="AH27" i="2"/>
  <c r="AH26" i="2"/>
  <c r="AH5" i="2"/>
  <c r="AH70" i="2"/>
  <c r="AH55" i="2"/>
  <c r="AH9" i="2"/>
  <c r="F84" i="2"/>
  <c r="AH54" i="2"/>
  <c r="AH7" i="2"/>
  <c r="AH62" i="2"/>
  <c r="AJ63" i="2"/>
  <c r="AH63" i="2"/>
  <c r="AH37" i="2"/>
  <c r="AH14" i="2"/>
  <c r="AH34" i="2"/>
  <c r="AH25" i="2"/>
  <c r="AH33" i="2"/>
  <c r="AJ38" i="2"/>
  <c r="AH38" i="2"/>
  <c r="AH68" i="2"/>
  <c r="AH4" i="2"/>
  <c r="AJ36" i="2"/>
  <c r="AH36" i="2"/>
  <c r="AH44" i="2"/>
  <c r="AH60" i="2"/>
  <c r="AJ29" i="2"/>
  <c r="AH29" i="2"/>
  <c r="AH56" i="2"/>
  <c r="AH66" i="2"/>
  <c r="AH39" i="2"/>
  <c r="AH8" i="2"/>
  <c r="AJ41" i="2"/>
  <c r="AH41" i="2"/>
  <c r="AH19" i="2"/>
  <c r="AH31" i="2"/>
  <c r="AH64" i="2"/>
  <c r="AH32" i="2"/>
  <c r="AH71" i="2"/>
  <c r="AH65" i="2"/>
  <c r="AH28" i="2"/>
  <c r="AH57" i="2"/>
  <c r="BI83" i="2"/>
  <c r="AT83" i="2"/>
  <c r="T3" i="2"/>
  <c r="T83" i="2" s="1"/>
  <c r="R83" i="2"/>
  <c r="AU83" i="2"/>
  <c r="AU84" i="2" s="1"/>
  <c r="AB84" i="2"/>
  <c r="J84" i="2"/>
  <c r="Y84" i="2"/>
  <c r="U84" i="2"/>
  <c r="M84" i="2"/>
  <c r="BL34" i="2"/>
  <c r="BN34" i="2" s="1"/>
  <c r="BL42" i="2"/>
  <c r="BN42" i="2" s="1"/>
  <c r="BL71" i="2"/>
  <c r="BL12" i="2"/>
  <c r="BN12" i="2" s="1"/>
  <c r="BL13" i="2"/>
  <c r="BL29" i="2"/>
  <c r="BL8" i="2"/>
  <c r="BN8" i="2" s="1"/>
  <c r="BL14" i="2"/>
  <c r="BN14" i="2" s="1"/>
  <c r="BL54" i="2"/>
  <c r="BN54" i="2" s="1"/>
  <c r="BL36" i="2"/>
  <c r="BN36" i="2" s="1"/>
  <c r="BL56" i="2"/>
  <c r="BN56" i="2" s="1"/>
  <c r="BL66" i="2"/>
  <c r="BL67" i="2"/>
  <c r="BL35" i="2"/>
  <c r="BN35" i="2" s="1"/>
  <c r="BL38" i="2"/>
  <c r="BL15" i="2"/>
  <c r="BN15" i="2" s="1"/>
  <c r="AZ83" i="2"/>
  <c r="BL33" i="2"/>
  <c r="BN33" i="2" s="1"/>
  <c r="BL43" i="2"/>
  <c r="BN43" i="2" s="1"/>
  <c r="BL20" i="2"/>
  <c r="BN20" i="2" s="1"/>
  <c r="BL30" i="2"/>
  <c r="BL7" i="2"/>
  <c r="BN7" i="2" s="1"/>
  <c r="BL40" i="2"/>
  <c r="BL25" i="2"/>
  <c r="BN25" i="2" s="1"/>
  <c r="BL53" i="2"/>
  <c r="BN53" i="2" s="1"/>
  <c r="BL21" i="2"/>
  <c r="BN21" i="2" s="1"/>
  <c r="BL10" i="2"/>
  <c r="BN10" i="2" s="1"/>
  <c r="BL27" i="2"/>
  <c r="BN27" i="2" s="1"/>
  <c r="BK83" i="2"/>
  <c r="BK84" i="2" s="1"/>
  <c r="BL32" i="2"/>
  <c r="BN32" i="2" s="1"/>
  <c r="BL26" i="2"/>
  <c r="BN26" i="2" s="1"/>
  <c r="BL39" i="2"/>
  <c r="BL44" i="2"/>
  <c r="BN44" i="2" s="1"/>
  <c r="BL5" i="2"/>
  <c r="BN5" i="2" s="1"/>
  <c r="BL18" i="2"/>
  <c r="BL69" i="2"/>
  <c r="BN69" i="2" s="1"/>
  <c r="BL11" i="2"/>
  <c r="BN11" i="2" s="1"/>
  <c r="BL59" i="2"/>
  <c r="BN59" i="2" s="1"/>
  <c r="BL16" i="2"/>
  <c r="BF83" i="2"/>
  <c r="BL57" i="2"/>
  <c r="BN57" i="2" s="1"/>
  <c r="BL4" i="2"/>
  <c r="BN4" i="2" s="1"/>
  <c r="BL62" i="2"/>
  <c r="BN62" i="2" s="1"/>
  <c r="BL41" i="2"/>
  <c r="BN41" i="2" s="1"/>
  <c r="BL22" i="2"/>
  <c r="BN22" i="2" s="1"/>
  <c r="BL31" i="2"/>
  <c r="BL55" i="2"/>
  <c r="BN55" i="2" s="1"/>
  <c r="BL23" i="2"/>
  <c r="BL60" i="2"/>
  <c r="BN60" i="2" s="1"/>
  <c r="BL28" i="2"/>
  <c r="BA83" i="2"/>
  <c r="BL9" i="2"/>
  <c r="BN9" i="2" s="1"/>
  <c r="BL58" i="2"/>
  <c r="BN58" i="2" s="1"/>
  <c r="BL63" i="2"/>
  <c r="BN63" i="2" s="1"/>
  <c r="BL24" i="2"/>
  <c r="BN24" i="2" s="1"/>
  <c r="BL70" i="2"/>
  <c r="BN70" i="2" s="1"/>
  <c r="BL6" i="2"/>
  <c r="BN6" i="2" s="1"/>
  <c r="BL64" i="2"/>
  <c r="BN64" i="2" s="1"/>
  <c r="BL65" i="2"/>
  <c r="BN65" i="2" s="1"/>
  <c r="BL19" i="2"/>
  <c r="BN19" i="2" s="1"/>
  <c r="BL68" i="2"/>
  <c r="BL37" i="2"/>
  <c r="BL17" i="2"/>
  <c r="BJ83" i="2"/>
  <c r="BJ84" i="2" s="1"/>
  <c r="AW36" i="2"/>
  <c r="AY36" i="2" s="1"/>
  <c r="AJ4" i="2"/>
  <c r="AW53" i="2"/>
  <c r="AY53" i="2" s="1"/>
  <c r="AW30" i="2"/>
  <c r="AY30" i="2" s="1"/>
  <c r="AW19" i="2"/>
  <c r="AY19" i="2" s="1"/>
  <c r="AW23" i="2"/>
  <c r="AY23" i="2" s="1"/>
  <c r="AJ64" i="2"/>
  <c r="AJ54" i="2"/>
  <c r="AJ30" i="2"/>
  <c r="AJ7" i="2"/>
  <c r="AJ31" i="2"/>
  <c r="AW11" i="2"/>
  <c r="AY11" i="2" s="1"/>
  <c r="AW32" i="2"/>
  <c r="AY32" i="2" s="1"/>
  <c r="AW26" i="2"/>
  <c r="AY26" i="2" s="1"/>
  <c r="AW7" i="2"/>
  <c r="AY7" i="2" s="1"/>
  <c r="AJ69" i="2"/>
  <c r="AJ62" i="2"/>
  <c r="AJ70" i="2"/>
  <c r="AW31" i="2"/>
  <c r="AY31" i="2" s="1"/>
  <c r="AW43" i="2"/>
  <c r="AY43" i="2" s="1"/>
  <c r="AV83" i="2"/>
  <c r="AV84" i="2" s="1"/>
  <c r="AW64" i="2"/>
  <c r="AY64" i="2" s="1"/>
  <c r="AJ11" i="2"/>
  <c r="AJ12" i="2"/>
  <c r="AJ59" i="2"/>
  <c r="BE83" i="2"/>
  <c r="AP83" i="2"/>
  <c r="AW13" i="2"/>
  <c r="AY13" i="2" s="1"/>
  <c r="AJ8" i="2"/>
  <c r="AJ3" i="2"/>
  <c r="AG83" i="2"/>
  <c r="AG84" i="2" s="1"/>
  <c r="AJ44" i="2"/>
  <c r="AJ39" i="2"/>
  <c r="AW66" i="2"/>
  <c r="AY66" i="2" s="1"/>
  <c r="AJ26" i="2"/>
  <c r="AW12" i="2"/>
  <c r="AY12" i="2" s="1"/>
  <c r="AW67" i="2"/>
  <c r="AY67" i="2" s="1"/>
  <c r="AW5" i="2"/>
  <c r="AY5" i="2" s="1"/>
  <c r="AJ17" i="2"/>
  <c r="AW70" i="2"/>
  <c r="AY70" i="2" s="1"/>
  <c r="AJ18" i="2"/>
  <c r="AW18" i="2"/>
  <c r="AY18" i="2" s="1"/>
  <c r="AW22" i="2"/>
  <c r="AY22" i="2" s="1"/>
  <c r="AJ9" i="2"/>
  <c r="AW4" i="2"/>
  <c r="AY4" i="2" s="1"/>
  <c r="AJ20" i="2"/>
  <c r="AW68" i="2"/>
  <c r="AY68" i="2" s="1"/>
  <c r="BD83" i="2"/>
  <c r="AO83" i="2"/>
  <c r="AW41" i="2"/>
  <c r="AY41" i="2" s="1"/>
  <c r="AW20" i="2"/>
  <c r="AY20" i="2" s="1"/>
  <c r="AW6" i="2"/>
  <c r="AY6" i="2" s="1"/>
  <c r="AJ10" i="2"/>
  <c r="AJ42" i="2"/>
  <c r="AW17" i="2"/>
  <c r="AY17" i="2" s="1"/>
  <c r="BG83" i="2"/>
  <c r="AQ83" i="2"/>
  <c r="AJ25" i="2"/>
  <c r="AJ68" i="2"/>
  <c r="AJ27" i="2"/>
  <c r="AW65" i="2"/>
  <c r="AY65" i="2" s="1"/>
  <c r="AJ37" i="2"/>
  <c r="AJ56" i="2"/>
  <c r="AK83" i="2"/>
  <c r="AW69" i="2"/>
  <c r="AY69" i="2" s="1"/>
  <c r="AW29" i="2"/>
  <c r="AY29" i="2" s="1"/>
  <c r="AW16" i="2"/>
  <c r="AY16" i="2" s="1"/>
  <c r="AJ55" i="2"/>
  <c r="AW42" i="2"/>
  <c r="AY42" i="2" s="1"/>
  <c r="AW54" i="2"/>
  <c r="AY54" i="2" s="1"/>
  <c r="AJ33" i="2"/>
  <c r="AJ22" i="2"/>
  <c r="AJ14" i="2"/>
  <c r="AW15" i="2"/>
  <c r="AY15" i="2" s="1"/>
  <c r="AW62" i="2"/>
  <c r="AY62" i="2" s="1"/>
  <c r="AJ23" i="2"/>
  <c r="AJ67" i="2"/>
  <c r="AJ60" i="2"/>
  <c r="AJ71" i="2"/>
  <c r="AW10" i="2"/>
  <c r="AY10" i="2" s="1"/>
  <c r="AJ65" i="2"/>
  <c r="AW14" i="2"/>
  <c r="AY14" i="2" s="1"/>
  <c r="BC83" i="2"/>
  <c r="AN83" i="2"/>
  <c r="AJ16" i="2"/>
  <c r="AW63" i="2"/>
  <c r="AY63" i="2" s="1"/>
  <c r="AW60" i="2"/>
  <c r="AY60" i="2" s="1"/>
  <c r="AJ32" i="2"/>
  <c r="BB83" i="2"/>
  <c r="AM83" i="2"/>
  <c r="AJ13" i="2"/>
  <c r="AW34" i="2"/>
  <c r="AY34" i="2" s="1"/>
  <c r="AJ57" i="2"/>
  <c r="AR83" i="2"/>
  <c r="AJ66" i="2"/>
  <c r="AW57" i="2"/>
  <c r="AY57" i="2" s="1"/>
  <c r="AW55" i="2"/>
  <c r="AY55" i="2" s="1"/>
  <c r="AW27" i="2"/>
  <c r="AY27" i="2" s="1"/>
  <c r="AJ24" i="2"/>
  <c r="AW39" i="2"/>
  <c r="AY39" i="2" s="1"/>
  <c r="AW56" i="2"/>
  <c r="AY56" i="2" s="1"/>
  <c r="AJ58" i="2"/>
  <c r="AW71" i="2"/>
  <c r="AY71" i="2" s="1"/>
  <c r="AW44" i="2"/>
  <c r="AY44" i="2" s="1"/>
  <c r="AJ40" i="2"/>
  <c r="AJ43" i="2"/>
  <c r="AW9" i="2"/>
  <c r="AY9" i="2" s="1"/>
  <c r="AJ19" i="2"/>
  <c r="AW24" i="2"/>
  <c r="AY24" i="2" s="1"/>
  <c r="AJ5" i="2"/>
  <c r="AW58" i="2"/>
  <c r="AY58" i="2" s="1"/>
  <c r="AJ53" i="2"/>
  <c r="AW38" i="2"/>
  <c r="AY38" i="2" s="1"/>
  <c r="AW59" i="2"/>
  <c r="AY59" i="2" s="1"/>
  <c r="AW25" i="2"/>
  <c r="AY25" i="2" s="1"/>
  <c r="AW28" i="2"/>
  <c r="AY28" i="2" s="1"/>
  <c r="AJ35" i="2"/>
  <c r="AW37" i="2"/>
  <c r="AY37" i="2" s="1"/>
  <c r="AW35" i="2"/>
  <c r="AY35" i="2" s="1"/>
  <c r="AW21" i="2"/>
  <c r="AY21" i="2" s="1"/>
  <c r="AL83" i="2"/>
  <c r="AW8" i="2"/>
  <c r="AY8" i="2" s="1"/>
  <c r="AS83" i="2"/>
  <c r="AW33" i="2"/>
  <c r="AY33" i="2" s="1"/>
  <c r="AJ15" i="2"/>
  <c r="AJ21" i="2"/>
  <c r="AJ6" i="2"/>
  <c r="AJ28" i="2"/>
  <c r="AW40" i="2"/>
  <c r="AY40" i="2" s="1"/>
  <c r="AJ34" i="2"/>
  <c r="BH83" i="2"/>
  <c r="AW3" i="2"/>
  <c r="AY3" i="2" s="1"/>
  <c r="AY83" i="2" l="1"/>
  <c r="BL3" i="2"/>
  <c r="BL83" i="2" s="1"/>
  <c r="AR84" i="2"/>
  <c r="BD84" i="2"/>
  <c r="AW83" i="2"/>
  <c r="BN17" i="2"/>
  <c r="BN37" i="2"/>
  <c r="BN18" i="2"/>
  <c r="BN29" i="2"/>
  <c r="AK84" i="2"/>
  <c r="BN68" i="2"/>
  <c r="BG84" i="2"/>
  <c r="BN31" i="2"/>
  <c r="BN39" i="2"/>
  <c r="BN38" i="2"/>
  <c r="AJ83" i="2"/>
  <c r="BN67" i="2"/>
  <c r="BN40" i="2"/>
  <c r="BN28" i="2"/>
  <c r="BN30" i="2"/>
  <c r="BN23" i="2"/>
  <c r="BN13" i="2"/>
  <c r="AZ84" i="2"/>
  <c r="BN71" i="2"/>
  <c r="BN66" i="2"/>
  <c r="F85" i="2"/>
  <c r="BN16" i="2"/>
  <c r="AO84" i="2"/>
  <c r="R84" i="2"/>
  <c r="BN3" i="2" l="1"/>
  <c r="BN83" i="2" s="1"/>
  <c r="AZ85" i="2"/>
  <c r="AK85" i="2"/>
  <c r="S84" i="2" l="1"/>
  <c r="BO38" i="2" l="1"/>
  <c r="BO73" i="2"/>
  <c r="BO72" i="2"/>
  <c r="BO76" i="2"/>
  <c r="BO39" i="2"/>
  <c r="BO81" i="2"/>
  <c r="BO17" i="2"/>
  <c r="BO65" i="2"/>
  <c r="BO40" i="2"/>
  <c r="BO82" i="2"/>
  <c r="BO66" i="2"/>
  <c r="BO37" i="2"/>
  <c r="BO53" i="2"/>
  <c r="BO71" i="2"/>
  <c r="BO54" i="2"/>
  <c r="BO55" i="2"/>
  <c r="BO16" i="2"/>
  <c r="U85" i="2"/>
  <c r="C44" i="4" l="1"/>
  <c r="C45" i="4"/>
  <c r="C46" i="4"/>
  <c r="C47" i="4"/>
  <c r="C50" i="4"/>
  <c r="C51" i="4"/>
  <c r="C48" i="4"/>
  <c r="C49" i="4"/>
  <c r="CD83" i="2" l="1"/>
  <c r="CE83" i="2" l="1"/>
  <c r="CD85" i="2"/>
  <c r="CD84" i="2"/>
  <c r="CE84" i="2" s="1"/>
  <c r="BP44" i="2" l="1"/>
  <c r="CG44" i="2"/>
  <c r="CF44" i="2"/>
  <c r="B43" i="4" s="1"/>
  <c r="BP43" i="2"/>
  <c r="CG43" i="2"/>
  <c r="CF43" i="2"/>
  <c r="B42" i="4" s="1"/>
  <c r="BP41" i="2"/>
  <c r="CF41" i="2"/>
  <c r="B40" i="4" s="1"/>
  <c r="CG41" i="2"/>
  <c r="BP42" i="2"/>
  <c r="CF42" i="2"/>
  <c r="B41" i="4" s="1"/>
  <c r="CG42" i="2"/>
  <c r="BP36" i="2" l="1"/>
  <c r="CG36" i="2"/>
  <c r="CF36" i="2"/>
  <c r="B35" i="4" s="1"/>
  <c r="CF3" i="2"/>
  <c r="CG3" i="2"/>
  <c r="BP3" i="2"/>
  <c r="CF52" i="2" l="1"/>
  <c r="B51" i="4" s="1"/>
  <c r="BP52" i="2"/>
  <c r="CG52" i="2"/>
  <c r="CG50" i="2"/>
  <c r="CF50" i="2"/>
  <c r="B49" i="4" s="1"/>
  <c r="BP50" i="2"/>
  <c r="CG49" i="2"/>
  <c r="CF49" i="2"/>
  <c r="B48" i="4" s="1"/>
  <c r="BP49" i="2"/>
  <c r="BP48" i="2"/>
  <c r="CG48" i="2"/>
  <c r="CF48" i="2"/>
  <c r="B47" i="4" s="1"/>
  <c r="CF51" i="2"/>
  <c r="B50" i="4" s="1"/>
  <c r="BP51" i="2"/>
  <c r="CG51" i="2"/>
  <c r="B2" i="4"/>
  <c r="BP63" i="2" l="1"/>
  <c r="CG63" i="2"/>
  <c r="CF63" i="2"/>
  <c r="B62" i="4" s="1"/>
  <c r="BP5" i="2"/>
  <c r="CG5" i="2"/>
  <c r="CF5" i="2"/>
  <c r="B4" i="4" s="1"/>
  <c r="BP61" i="2"/>
  <c r="CG61" i="2"/>
  <c r="CF61" i="2"/>
  <c r="B60" i="4" s="1"/>
  <c r="BP75" i="2"/>
  <c r="CG75" i="2"/>
  <c r="CF75" i="2"/>
  <c r="B74" i="4" s="1"/>
  <c r="BP9" i="2"/>
  <c r="CG9" i="2"/>
  <c r="CF9" i="2"/>
  <c r="B8" i="4" s="1"/>
  <c r="BP74" i="2"/>
  <c r="CG74" i="2"/>
  <c r="CF74" i="2"/>
  <c r="B73" i="4" s="1"/>
  <c r="BP62" i="2"/>
  <c r="CG62" i="2"/>
  <c r="CF62" i="2"/>
  <c r="B61" i="4" s="1"/>
  <c r="BP32" i="2"/>
  <c r="CG32" i="2"/>
  <c r="CF32" i="2"/>
  <c r="B31" i="4" s="1"/>
  <c r="BP34" i="2"/>
  <c r="CG34" i="2"/>
  <c r="CF34" i="2"/>
  <c r="B33" i="4" s="1"/>
  <c r="BP23" i="2"/>
  <c r="CG23" i="2"/>
  <c r="CF23" i="2"/>
  <c r="B22" i="4" s="1"/>
  <c r="BP25" i="2"/>
  <c r="CF25" i="2"/>
  <c r="B24" i="4" s="1"/>
  <c r="CG25" i="2"/>
  <c r="BP26" i="2"/>
  <c r="CG26" i="2"/>
  <c r="CF26" i="2"/>
  <c r="B25" i="4" s="1"/>
  <c r="BP13" i="2"/>
  <c r="CF13" i="2"/>
  <c r="B12" i="4" s="1"/>
  <c r="CG13" i="2"/>
  <c r="BP77" i="2"/>
  <c r="CG77" i="2"/>
  <c r="CF77" i="2"/>
  <c r="B76" i="4" s="1"/>
  <c r="BP27" i="2"/>
  <c r="CF27" i="2"/>
  <c r="B26" i="4" s="1"/>
  <c r="CG27" i="2"/>
  <c r="BP78" i="2"/>
  <c r="CF78" i="2"/>
  <c r="B77" i="4" s="1"/>
  <c r="CG78" i="2"/>
  <c r="BP18" i="2"/>
  <c r="CF18" i="2"/>
  <c r="B17" i="4" s="1"/>
  <c r="CG18" i="2"/>
  <c r="BP20" i="2"/>
  <c r="CF20" i="2"/>
  <c r="B19" i="4" s="1"/>
  <c r="CG20" i="2"/>
  <c r="BP11" i="2"/>
  <c r="CF11" i="2"/>
  <c r="B10" i="4" s="1"/>
  <c r="CG11" i="2"/>
  <c r="BP28" i="2"/>
  <c r="CF28" i="2"/>
  <c r="B27" i="4" s="1"/>
  <c r="CG28" i="2"/>
  <c r="BP12" i="2"/>
  <c r="CF12" i="2"/>
  <c r="B11" i="4" s="1"/>
  <c r="CG12" i="2"/>
  <c r="BP7" i="2"/>
  <c r="CF7" i="2"/>
  <c r="B6" i="4" s="1"/>
  <c r="CG7" i="2"/>
  <c r="BP79" i="2"/>
  <c r="CF79" i="2"/>
  <c r="B78" i="4" s="1"/>
  <c r="CG79" i="2"/>
  <c r="BP33" i="2"/>
  <c r="CG33" i="2"/>
  <c r="CF33" i="2"/>
  <c r="B32" i="4" s="1"/>
  <c r="BP35" i="2"/>
  <c r="CG35" i="2"/>
  <c r="CF35" i="2"/>
  <c r="B34" i="4" s="1"/>
  <c r="BP24" i="2"/>
  <c r="CG24" i="2"/>
  <c r="CF24" i="2"/>
  <c r="B23" i="4" s="1"/>
  <c r="BP29" i="2"/>
  <c r="CF29" i="2"/>
  <c r="B28" i="4" s="1"/>
  <c r="CG29" i="2"/>
  <c r="BP6" i="2"/>
  <c r="CF6" i="2"/>
  <c r="B5" i="4" s="1"/>
  <c r="CG6" i="2"/>
  <c r="BP80" i="2"/>
  <c r="CF80" i="2"/>
  <c r="B79" i="4" s="1"/>
  <c r="CG80" i="2"/>
  <c r="BP68" i="2"/>
  <c r="CF68" i="2"/>
  <c r="B67" i="4" s="1"/>
  <c r="CG68" i="2"/>
  <c r="BP67" i="2"/>
  <c r="CG67" i="2"/>
  <c r="CF67" i="2"/>
  <c r="B66" i="4" s="1"/>
  <c r="BP64" i="2"/>
  <c r="CF64" i="2"/>
  <c r="B63" i="4" s="1"/>
  <c r="CG64" i="2"/>
  <c r="BP30" i="2"/>
  <c r="CG30" i="2"/>
  <c r="CF30" i="2"/>
  <c r="B29" i="4" s="1"/>
  <c r="BP70" i="2"/>
  <c r="CG70" i="2"/>
  <c r="CF70" i="2"/>
  <c r="B69" i="4" s="1"/>
  <c r="BP60" i="2"/>
  <c r="CG60" i="2"/>
  <c r="CF60" i="2"/>
  <c r="B59" i="4" s="1"/>
  <c r="BP69" i="2"/>
  <c r="CG69" i="2"/>
  <c r="CF69" i="2"/>
  <c r="B68" i="4" s="1"/>
  <c r="BP31" i="2"/>
  <c r="CG31" i="2"/>
  <c r="CF31" i="2"/>
  <c r="B30" i="4" s="1"/>
  <c r="BP45" i="2"/>
  <c r="CG45" i="2"/>
  <c r="CF45" i="2"/>
  <c r="B44" i="4" s="1"/>
  <c r="BP46" i="2"/>
  <c r="CF46" i="2"/>
  <c r="B45" i="4" s="1"/>
  <c r="CG46" i="2"/>
  <c r="BP57" i="2"/>
  <c r="CF57" i="2"/>
  <c r="B56" i="4" s="1"/>
  <c r="CG57" i="2"/>
  <c r="BP47" i="2"/>
  <c r="CG47" i="2"/>
  <c r="CF47" i="2"/>
  <c r="B46" i="4" s="1"/>
  <c r="CF4" i="2"/>
  <c r="BP4" i="2"/>
  <c r="CG4" i="2"/>
  <c r="BP15" i="2"/>
  <c r="CG15" i="2"/>
  <c r="CF15" i="2"/>
  <c r="B14" i="4" s="1"/>
  <c r="BP21" i="2"/>
  <c r="CF21" i="2"/>
  <c r="B20" i="4" s="1"/>
  <c r="CG21" i="2"/>
  <c r="BP19" i="2"/>
  <c r="CF19" i="2"/>
  <c r="B18" i="4" s="1"/>
  <c r="CG19" i="2"/>
  <c r="BP14" i="2"/>
  <c r="CF14" i="2"/>
  <c r="B13" i="4" s="1"/>
  <c r="CG14" i="2"/>
  <c r="BP10" i="2"/>
  <c r="CF10" i="2"/>
  <c r="B9" i="4" s="1"/>
  <c r="CG10" i="2"/>
  <c r="BP22" i="2"/>
  <c r="CG22" i="2"/>
  <c r="CF22" i="2"/>
  <c r="B21" i="4" s="1"/>
  <c r="BP8" i="2"/>
  <c r="CF8" i="2"/>
  <c r="B7" i="4" s="1"/>
  <c r="CG8" i="2"/>
  <c r="BP59" i="2"/>
  <c r="CF59" i="2"/>
  <c r="B58" i="4" s="1"/>
  <c r="CG59" i="2"/>
  <c r="B3" i="4" l="1"/>
  <c r="BP58" i="2" l="1"/>
  <c r="CF58" i="2"/>
  <c r="B57" i="4" s="1"/>
  <c r="CG58" i="2"/>
  <c r="CF56" i="2"/>
  <c r="B55" i="4" s="1"/>
  <c r="CG56" i="2"/>
  <c r="BP56" i="2"/>
  <c r="CF71" i="2" l="1"/>
  <c r="B70" i="4" s="1"/>
  <c r="BP71" i="2"/>
  <c r="CG71" i="2"/>
  <c r="CG66" i="2"/>
  <c r="CF66" i="2"/>
  <c r="B65" i="4" s="1"/>
  <c r="BP66" i="2"/>
  <c r="CF39" i="2"/>
  <c r="B38" i="4" s="1"/>
  <c r="CG39" i="2"/>
  <c r="BP39" i="2"/>
  <c r="CG65" i="2"/>
  <c r="BP65" i="2"/>
  <c r="CF65" i="2"/>
  <c r="B64" i="4" s="1"/>
  <c r="CF76" i="2"/>
  <c r="B75" i="4" s="1"/>
  <c r="CG76" i="2"/>
  <c r="BP76" i="2"/>
  <c r="BP37" i="2"/>
  <c r="CG37" i="2"/>
  <c r="CF37" i="2"/>
  <c r="B36" i="4" s="1"/>
  <c r="CF40" i="2"/>
  <c r="B39" i="4" s="1"/>
  <c r="BP40" i="2"/>
  <c r="CG40" i="2"/>
  <c r="CG16" i="2"/>
  <c r="BP16" i="2"/>
  <c r="CF16" i="2"/>
  <c r="BO83" i="2"/>
  <c r="CG81" i="2"/>
  <c r="CF81" i="2"/>
  <c r="B80" i="4" s="1"/>
  <c r="BP81" i="2"/>
  <c r="BP54" i="2"/>
  <c r="CG54" i="2"/>
  <c r="CF54" i="2"/>
  <c r="B53" i="4" s="1"/>
  <c r="CG73" i="2"/>
  <c r="CF73" i="2"/>
  <c r="B72" i="4" s="1"/>
  <c r="BP73" i="2"/>
  <c r="CG55" i="2"/>
  <c r="BP55" i="2"/>
  <c r="CF55" i="2"/>
  <c r="B54" i="4" s="1"/>
  <c r="CF72" i="2"/>
  <c r="B71" i="4" s="1"/>
  <c r="BP72" i="2"/>
  <c r="CG72" i="2"/>
  <c r="CG53" i="2"/>
  <c r="BP53" i="2"/>
  <c r="CF53" i="2"/>
  <c r="B52" i="4" s="1"/>
  <c r="CG82" i="2"/>
  <c r="BP82" i="2"/>
  <c r="CF82" i="2"/>
  <c r="B81" i="4" s="1"/>
  <c r="BP38" i="2"/>
  <c r="CF38" i="2"/>
  <c r="B37" i="4" s="1"/>
  <c r="CG38" i="2"/>
  <c r="CG17" i="2"/>
  <c r="BP17" i="2"/>
  <c r="CF17" i="2"/>
  <c r="B16" i="4" s="1"/>
  <c r="CG83" i="2" l="1"/>
  <c r="B15" i="4"/>
  <c r="CF8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</authors>
  <commentList>
    <comment ref="BO1" authorId="0" shapeId="0" xr:uid="{DFFE1351-64FE-4F78-8209-0987A3C883D8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скопировать значения предыдущие 2 стб "К ПОСТВКЕ"</t>
        </r>
      </text>
    </comment>
    <comment ref="CF1" authorId="0" shapeId="0" xr:uid="{34F63EDD-60E6-450E-B4B3-3D0D9AF3A184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Эти количества идут в заявку на Приемку на ФФ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<sst xmlns="http://schemas.openxmlformats.org/spreadsheetml/2006/main" count="8477" uniqueCount="507">
  <si>
    <t>Артикул ВБ</t>
  </si>
  <si>
    <t>Артикул поставщика</t>
  </si>
  <si>
    <t>Наименование</t>
  </si>
  <si>
    <t>ШК</t>
  </si>
  <si>
    <t>ACRF1BN101PN</t>
  </si>
  <si>
    <t>ACRF1BN101BC</t>
  </si>
  <si>
    <t>ACRF1BN201GR</t>
  </si>
  <si>
    <t>AHMA7BW101BG</t>
  </si>
  <si>
    <t>AHMA1BW101BG</t>
  </si>
  <si>
    <t>AHMA3BW101BG</t>
  </si>
  <si>
    <t>AHMA3BW102BG</t>
  </si>
  <si>
    <t>AHMA3BW201WH</t>
  </si>
  <si>
    <t>AHMA3BW202WH</t>
  </si>
  <si>
    <t>AHMA2BW201WH</t>
  </si>
  <si>
    <t>AHMA2BW202WH</t>
  </si>
  <si>
    <t>AHMA1BW112WH</t>
  </si>
  <si>
    <t>AHMA1BW111WH</t>
  </si>
  <si>
    <t>AHMA1BW302WH</t>
  </si>
  <si>
    <t>AHMA1BW301WH</t>
  </si>
  <si>
    <t>ACRA7TB101BC</t>
  </si>
  <si>
    <t>ACRA7TB101CL</t>
  </si>
  <si>
    <t>ACRA7TB201BC</t>
  </si>
  <si>
    <t>ACRH1MS101RJ</t>
  </si>
  <si>
    <t>ACRB1MS101RJ</t>
  </si>
  <si>
    <t>ACRB1MS101PN</t>
  </si>
  <si>
    <t>ACRB1MS101BL</t>
  </si>
  <si>
    <t>ACRB1SK101BC</t>
  </si>
  <si>
    <t>ACRB1SK101RD</t>
  </si>
  <si>
    <t>ACRB1SK101BL</t>
  </si>
  <si>
    <t>AAND1BL101RD</t>
  </si>
  <si>
    <t>AAND1BL101BL</t>
  </si>
  <si>
    <t>AAND1BL102RD</t>
  </si>
  <si>
    <t>AAND1BL102BL</t>
  </si>
  <si>
    <t>AAND1RP301BG</t>
  </si>
  <si>
    <t>AAND1RP301YL</t>
  </si>
  <si>
    <t>AKTA4ST101CL</t>
  </si>
  <si>
    <t>AKTA2KN101YL</t>
  </si>
  <si>
    <t>AKTA2KN102YL</t>
  </si>
  <si>
    <t>ИТОГО</t>
  </si>
  <si>
    <t>Бренд</t>
  </si>
  <si>
    <t>Предмет</t>
  </si>
  <si>
    <t>Сезон</t>
  </si>
  <si>
    <t>Коллекция</t>
  </si>
  <si>
    <t>Артикул продавца</t>
  </si>
  <si>
    <t>Артикул WB</t>
  </si>
  <si>
    <t>Баркод</t>
  </si>
  <si>
    <t>Размер</t>
  </si>
  <si>
    <t>Контракт</t>
  </si>
  <si>
    <t>Склад</t>
  </si>
  <si>
    <t>шт.</t>
  </si>
  <si>
    <t>Сумма заказов минус комиссия WB, руб.</t>
  </si>
  <si>
    <t>Выкупили, шт.</t>
  </si>
  <si>
    <t>К перечислению за товар, руб.</t>
  </si>
  <si>
    <t>Текущий остаток, шт.</t>
  </si>
  <si>
    <t>AROLS</t>
  </si>
  <si>
    <t>Бандажи косметические</t>
  </si>
  <si>
    <t>Маска-бандаж для лица подбородка косметический</t>
  </si>
  <si>
    <t>2038161736993</t>
  </si>
  <si>
    <t>0</t>
  </si>
  <si>
    <t>Казань</t>
  </si>
  <si>
    <t>Невинномысск</t>
  </si>
  <si>
    <t>Электросталь</t>
  </si>
  <si>
    <t>Тула</t>
  </si>
  <si>
    <t>Коледино</t>
  </si>
  <si>
    <t>Краснодар</t>
  </si>
  <si>
    <t>2038162681926</t>
  </si>
  <si>
    <t>2038172050200</t>
  </si>
  <si>
    <t>Рязань (Тюшевское)</t>
  </si>
  <si>
    <t>AROLS HOME</t>
  </si>
  <si>
    <t>Мешки для стирки</t>
  </si>
  <si>
    <t>Мешок для стирки белья -7 штук</t>
  </si>
  <si>
    <t>2038337652454</t>
  </si>
  <si>
    <t>Массажеры механические</t>
  </si>
  <si>
    <t>Массажер для пальцев рук роликовый механический</t>
  </si>
  <si>
    <t>2038430289250</t>
  </si>
  <si>
    <t>Мешок для стирки бюстгальтера</t>
  </si>
  <si>
    <t>2038597850744</t>
  </si>
  <si>
    <t>Мешки для стирки одежды - сетка мелкая - 3 штуки</t>
  </si>
  <si>
    <t>2038606201642</t>
  </si>
  <si>
    <t>Мешок для стирки белья - сетка крупная - 3 штуки</t>
  </si>
  <si>
    <t>2038606256161</t>
  </si>
  <si>
    <t>Мешок для стирки одежды - 3 штуки</t>
  </si>
  <si>
    <t>2038627692689</t>
  </si>
  <si>
    <t>Мешки для стирки белья - 3 штуки</t>
  </si>
  <si>
    <t>2038627713902</t>
  </si>
  <si>
    <t>Таблетницы</t>
  </si>
  <si>
    <t>2038890789598</t>
  </si>
  <si>
    <t>Белая дача</t>
  </si>
  <si>
    <t>2038891723249</t>
  </si>
  <si>
    <t>Котовск</t>
  </si>
  <si>
    <t>Мешки для стирки бюстгальтера - набор 2 штуки</t>
  </si>
  <si>
    <t>2039404446068</t>
  </si>
  <si>
    <t>2039813223373</t>
  </si>
  <si>
    <t>2039818580389</t>
  </si>
  <si>
    <t>Новосибирск</t>
  </si>
  <si>
    <t>Астана Карагандинское шоссе</t>
  </si>
  <si>
    <t>2040278804649</t>
  </si>
  <si>
    <t>2040278804496</t>
  </si>
  <si>
    <t>2040278810534</t>
  </si>
  <si>
    <t>2040278862540</t>
  </si>
  <si>
    <t>Большой мешок для стирки - 60*80 сетка крупная</t>
  </si>
  <si>
    <t>2040335626849</t>
  </si>
  <si>
    <t>Мешок для стирки большой - 60*80 сетка мелкая</t>
  </si>
  <si>
    <t>2040335648124</t>
  </si>
  <si>
    <t>Мешок для стирки обуви 35 см</t>
  </si>
  <si>
    <t>2040478696884</t>
  </si>
  <si>
    <t>Мешок для стирки обуви 30 см</t>
  </si>
  <si>
    <t>2040478720961</t>
  </si>
  <si>
    <t>DOG JOY</t>
  </si>
  <si>
    <t>Игрушки для животных</t>
  </si>
  <si>
    <t>Прочная игрушка-мяч для собак средних-крупных пород</t>
  </si>
  <si>
    <t>2040900511679</t>
  </si>
  <si>
    <t>2040902555480</t>
  </si>
  <si>
    <t>Прочная игрушка-мяч для собак средних-мелких пород</t>
  </si>
  <si>
    <t>2040903539366</t>
  </si>
  <si>
    <t>2040903547941</t>
  </si>
  <si>
    <t>Скакалки</t>
  </si>
  <si>
    <t>Скакалка спортивная скоростная</t>
  </si>
  <si>
    <t>2041473034138</t>
  </si>
  <si>
    <t>2041473034145</t>
  </si>
  <si>
    <t>2041473034169</t>
  </si>
  <si>
    <t>2041532808502</t>
  </si>
  <si>
    <t>Ножи для пиццы</t>
  </si>
  <si>
    <t>Нож для пиццы - теста - овощей</t>
  </si>
  <si>
    <t>2041533038113</t>
  </si>
  <si>
    <t>Шпатели кондитерские</t>
  </si>
  <si>
    <t>Шпатель скребок кондитерский для теста</t>
  </si>
  <si>
    <t>2041533399818</t>
  </si>
  <si>
    <t>Пробки для бутылок</t>
  </si>
  <si>
    <t>2041533648312</t>
  </si>
  <si>
    <t>Прочный канат для собак крупных - средних пород - 55 см</t>
  </si>
  <si>
    <t>2041534216404</t>
  </si>
  <si>
    <t>Прочный канат для собак средних - мелких пород 55 см</t>
  </si>
  <si>
    <t>2041534288661</t>
  </si>
  <si>
    <t>2041591042329</t>
  </si>
  <si>
    <t>2041591055954</t>
  </si>
  <si>
    <t>2041680530447</t>
  </si>
  <si>
    <t>ВСЕГО</t>
  </si>
  <si>
    <t>Владимир</t>
  </si>
  <si>
    <t>2042160422832</t>
  </si>
  <si>
    <t>AKTA4ST102CL</t>
  </si>
  <si>
    <t>AKTA2KN102GN</t>
  </si>
  <si>
    <t>Скакалка спортивная взрослая скоростная</t>
  </si>
  <si>
    <t/>
  </si>
  <si>
    <t>ACRB1MS103PN</t>
  </si>
  <si>
    <t>ACRB1MS103BL</t>
  </si>
  <si>
    <t>ACRB1MS103LI</t>
  </si>
  <si>
    <t>ACRB1MS103RJ</t>
  </si>
  <si>
    <t>AKTA1PR101GR</t>
  </si>
  <si>
    <t>2042678197468</t>
  </si>
  <si>
    <t>2042777181566</t>
  </si>
  <si>
    <t>Массажный мяч мфр для йоги - фитнеса пилатеса гимнастики</t>
  </si>
  <si>
    <t>2042985583893</t>
  </si>
  <si>
    <t>2042986356632</t>
  </si>
  <si>
    <t>2042986372359</t>
  </si>
  <si>
    <t>2042986377583</t>
  </si>
  <si>
    <t>Прессы для чеснока</t>
  </si>
  <si>
    <t>Чеснокодавка металлическая  пресс для чеснока измельчитель</t>
  </si>
  <si>
    <t>2042987041841</t>
  </si>
  <si>
    <t>2043048226719</t>
  </si>
  <si>
    <t>Товары из Китая</t>
  </si>
  <si>
    <t>Заказано</t>
  </si>
  <si>
    <t>Выкупленные товары</t>
  </si>
  <si>
    <t>Волгоград</t>
  </si>
  <si>
    <t>Артикулов ВБ</t>
  </si>
  <si>
    <t>Хватит , дней</t>
  </si>
  <si>
    <t>Мяч массажный мфр для йоги - фитнеса пилатеса</t>
  </si>
  <si>
    <t>OZON</t>
  </si>
  <si>
    <t>AKTA4ST103CL</t>
  </si>
  <si>
    <t>2043369663040</t>
  </si>
  <si>
    <t>2043369755509</t>
  </si>
  <si>
    <t>Самара (Новосемейкино)</t>
  </si>
  <si>
    <t>Таблетница на неделю 2 приема</t>
  </si>
  <si>
    <t>Необходимо к поставке на -&gt; дней  (указать рядом сколько дней)</t>
  </si>
  <si>
    <t>Таблетница на неделю 2 приема круглая черная</t>
  </si>
  <si>
    <t>Массажный мяч мфр 6 см для йоги фитнеса пилатеса</t>
  </si>
  <si>
    <t>ACRB1MS106RJ</t>
  </si>
  <si>
    <t>ACRB1MS106BL</t>
  </si>
  <si>
    <t>ACRB1MS106WH</t>
  </si>
  <si>
    <t>ACRB1MS106PN</t>
  </si>
  <si>
    <t>Таблетница на неделю 2 приема круглая цветная</t>
  </si>
  <si>
    <t>ACRA7TB301WH</t>
  </si>
  <si>
    <t>Таблетница на неделю 2 приема круглая серая</t>
  </si>
  <si>
    <t>ACRA7TB301GR</t>
  </si>
  <si>
    <t>ACRA7TB301CL</t>
  </si>
  <si>
    <t>ACRB1MS106BС</t>
  </si>
  <si>
    <t>3 мешка мелк сетка бол</t>
  </si>
  <si>
    <t>3 мешка мелк сетка сред</t>
  </si>
  <si>
    <t>3 мешка мелк сетка мал</t>
  </si>
  <si>
    <t>3 мешка крупн сетка бол</t>
  </si>
  <si>
    <t>3 мешка крупн сетка сред</t>
  </si>
  <si>
    <t>3 мешка крупн сетка мал</t>
  </si>
  <si>
    <t>2 мешка сер овал</t>
  </si>
  <si>
    <t>3 мешка беж делик овал для бюста</t>
  </si>
  <si>
    <t>3 мешка беж делик кругл для трусов</t>
  </si>
  <si>
    <t>3 мешка беж  рубашка</t>
  </si>
  <si>
    <t>табл автомат плох</t>
  </si>
  <si>
    <t>Рязань</t>
  </si>
  <si>
    <t>ACRA7TB201CL</t>
  </si>
  <si>
    <t>2044025155923</t>
  </si>
  <si>
    <t>ACRB1MS107RJ</t>
  </si>
  <si>
    <t>2044025288003</t>
  </si>
  <si>
    <t>ACRB1MS109RJ</t>
  </si>
  <si>
    <t>2044025291485</t>
  </si>
  <si>
    <t>ACRB1MS107PN</t>
  </si>
  <si>
    <t>2044025316447</t>
  </si>
  <si>
    <t>ACRB1MS109PN</t>
  </si>
  <si>
    <t>2044025321588</t>
  </si>
  <si>
    <t>ACRB1MS107BL</t>
  </si>
  <si>
    <t>2044025338661</t>
  </si>
  <si>
    <t>ACRB1MS109BL</t>
  </si>
  <si>
    <t>2044025342057</t>
  </si>
  <si>
    <t>ACRB1MS107BС</t>
  </si>
  <si>
    <t>2044025344532</t>
  </si>
  <si>
    <t>ACRB1MS109BС</t>
  </si>
  <si>
    <t>2044025347953</t>
  </si>
  <si>
    <t>ACRB1MS109LI</t>
  </si>
  <si>
    <t>2044025354937</t>
  </si>
  <si>
    <t>Артикул</t>
  </si>
  <si>
    <t>Таблетница на неделю 2 приема черная</t>
  </si>
  <si>
    <t>Таблетница на неделю 2 приема круглая</t>
  </si>
  <si>
    <t>Таблетница на неделю 2 приема цветная</t>
  </si>
  <si>
    <t>ОЗОН</t>
  </si>
  <si>
    <t>ИТОГ ВБ</t>
  </si>
  <si>
    <t>Оборотная ведомость</t>
  </si>
  <si>
    <t>Период формирования отчета с</t>
  </si>
  <si>
    <t>по</t>
  </si>
  <si>
    <t>Склады в фильтре:</t>
  </si>
  <si>
    <t>Все склады</t>
  </si>
  <si>
    <t>SKU</t>
  </si>
  <si>
    <t>Название склада</t>
  </si>
  <si>
    <t>Название товара</t>
  </si>
  <si>
    <t>Остаток на начало периода</t>
  </si>
  <si>
    <t>Приход</t>
  </si>
  <si>
    <t>Приход из поставок</t>
  </si>
  <si>
    <t>Расход</t>
  </si>
  <si>
    <t>Расход отгруженный в доставку</t>
  </si>
  <si>
    <t>Остаток на конец периода</t>
  </si>
  <si>
    <t>Валидный сток на конец периода</t>
  </si>
  <si>
    <t>Невалидный сток на конец периода</t>
  </si>
  <si>
    <t>1597441701</t>
  </si>
  <si>
    <t>Казань_РФЦ_НОВЫЙ</t>
  </si>
  <si>
    <t>Екатеринбург_РФЦ_НОВЫЙ</t>
  </si>
  <si>
    <t>САМАРА_РФЦ</t>
  </si>
  <si>
    <t>ПУШКИНО_1_РФЦ</t>
  </si>
  <si>
    <t>ХАБАРОВСК_2_РФЦ</t>
  </si>
  <si>
    <t>ОРЕНБУРГ_РФЦ</t>
  </si>
  <si>
    <t>ЯРОСЛАВЛЬ_РФЦ</t>
  </si>
  <si>
    <t>ТЮМЕНЬ_РФЦ</t>
  </si>
  <si>
    <t>1980924906</t>
  </si>
  <si>
    <t>Новосибирск_РФЦ_НОВЫЙ</t>
  </si>
  <si>
    <t>НОГИНСК_РФЦ</t>
  </si>
  <si>
    <t>ВОРОНЕЖ_2_РФЦ</t>
  </si>
  <si>
    <t>НЕВИННОМЫССК_РФЦ</t>
  </si>
  <si>
    <t>1980924909</t>
  </si>
  <si>
    <t>КАЛИНИНГРАД_МРФЦ</t>
  </si>
  <si>
    <t>СПБ_ШУШАРЫ_РФЦ</t>
  </si>
  <si>
    <t>1980924947</t>
  </si>
  <si>
    <t>АДЫГЕЙСК_РФЦ</t>
  </si>
  <si>
    <t>ДОМОДЕДОВО_РФЦ</t>
  </si>
  <si>
    <t>1980924996</t>
  </si>
  <si>
    <t>ПУШКИНО_2_РФЦ</t>
  </si>
  <si>
    <t>1980925084</t>
  </si>
  <si>
    <t>1980946313</t>
  </si>
  <si>
    <t>ЖУКОВСКИЙ_РФЦ</t>
  </si>
  <si>
    <t>ГРИВНО_РФЦ</t>
  </si>
  <si>
    <t>1980956952</t>
  </si>
  <si>
    <t>2082252055</t>
  </si>
  <si>
    <t>2082255799</t>
  </si>
  <si>
    <t>2168964833</t>
  </si>
  <si>
    <t>Артикул ОЗОН</t>
  </si>
  <si>
    <t>В период АКЦИЙ Необходимо к поставке на дней --&gt;</t>
  </si>
  <si>
    <t>КРАСНОЯРСК_МРФЦ</t>
  </si>
  <si>
    <t>Санкт_Петербург_РФЦ</t>
  </si>
  <si>
    <t>ОМСК_РФЦ</t>
  </si>
  <si>
    <t>СОФЬИНО_РФЦ</t>
  </si>
  <si>
    <t>ВБ</t>
  </si>
  <si>
    <t>ВСЕГО на дней</t>
  </si>
  <si>
    <t>ВСЕГО плюс %</t>
  </si>
  <si>
    <t>Бандаж для лица и подбородка многоразовый</t>
  </si>
  <si>
    <t>Бандаж для лица и подбородка многоразовый силиконовый</t>
  </si>
  <si>
    <t>Массажер для шеи спины тела ручной роликовый</t>
  </si>
  <si>
    <t>Массажный мяч мфр для йоги пилатеса с шипами жесткий 6 см</t>
  </si>
  <si>
    <t>Екатеринбург - Перспективный 12</t>
  </si>
  <si>
    <t>Пробка силиконовая многоразовая для бутылки 4 шт. Стоппер</t>
  </si>
  <si>
    <t>Массажный мяч для мфр йоги пилатеса с шипами жесткий 7 см</t>
  </si>
  <si>
    <t>Массажный мяч с шипами для мфр йоги пилатеса жесткий 9 см</t>
  </si>
  <si>
    <t>ОСТАТОК</t>
  </si>
  <si>
    <t>Сарапул</t>
  </si>
  <si>
    <t>Остальные</t>
  </si>
  <si>
    <t>НОВОРОССИЙСК_МРФЦ</t>
  </si>
  <si>
    <t>ВОЛГОГРАД_МРФЦ</t>
  </si>
  <si>
    <t>2086999506</t>
  </si>
  <si>
    <t>Нож для пиццы теста овощей</t>
  </si>
  <si>
    <t>2138705583</t>
  </si>
  <si>
    <t>2409845343</t>
  </si>
  <si>
    <t>ACRA7TB201LI</t>
  </si>
  <si>
    <t>2409846808</t>
  </si>
  <si>
    <t>ACRA7TB201WH</t>
  </si>
  <si>
    <t>2415742470</t>
  </si>
  <si>
    <t>Массажный мяч мфр 9 см для йоги фитнеса пилатеса</t>
  </si>
  <si>
    <t>2415742511</t>
  </si>
  <si>
    <t>2415742565</t>
  </si>
  <si>
    <t>2415742615</t>
  </si>
  <si>
    <t>2415742636</t>
  </si>
  <si>
    <t>2415742693</t>
  </si>
  <si>
    <t>2415742943</t>
  </si>
  <si>
    <t>Штрихкод базовый</t>
  </si>
  <si>
    <t>Количество</t>
  </si>
  <si>
    <t>Название</t>
  </si>
  <si>
    <t>Срок годности</t>
  </si>
  <si>
    <t>СПБ_БУГРЫ_РФЦ</t>
  </si>
  <si>
    <t>2044516485386</t>
  </si>
  <si>
    <t>2044516498812</t>
  </si>
  <si>
    <t>Массажер для пальцев рук и кистей</t>
  </si>
  <si>
    <t>2415742649</t>
  </si>
  <si>
    <t>2415742680</t>
  </si>
  <si>
    <t>2415743140</t>
  </si>
  <si>
    <t>2419349210</t>
  </si>
  <si>
    <t>2419349262</t>
  </si>
  <si>
    <t>2419349360</t>
  </si>
  <si>
    <t>2419349453</t>
  </si>
  <si>
    <t>2419349422</t>
  </si>
  <si>
    <t>2419349460</t>
  </si>
  <si>
    <t>Мешок для стирки белья - набор 7 штук</t>
  </si>
  <si>
    <t>2419349501</t>
  </si>
  <si>
    <t>2419349585</t>
  </si>
  <si>
    <t>2576041357</t>
  </si>
  <si>
    <t>Ростов_на_Дону_РФЦ</t>
  </si>
  <si>
    <t>ПЕРМЬ_РФЦ</t>
  </si>
  <si>
    <t>Рекомендация</t>
  </si>
  <si>
    <t>Кластер</t>
  </si>
  <si>
    <t>Схема продаж</t>
  </si>
  <si>
    <t>Дней без остатка за 28 дней</t>
  </si>
  <si>
    <t>Среднее время доставки, ч</t>
  </si>
  <si>
    <t>Среднесуточные продажи, руб. за 28дн</t>
  </si>
  <si>
    <t>Признак товара</t>
  </si>
  <si>
    <t>До конца остатка FBO, дн</t>
  </si>
  <si>
    <t>До конца остатка FBS, дн</t>
  </si>
  <si>
    <t>Остаток FBO, шт</t>
  </si>
  <si>
    <t>Остаток FBS, шт</t>
  </si>
  <si>
    <t>Товары в пути на склад озон, шт</t>
  </si>
  <si>
    <t>Среднесуточные продажи, шт. за 28дн</t>
  </si>
  <si>
    <t>Срочно поставить</t>
  </si>
  <si>
    <t>FBO</t>
  </si>
  <si>
    <t>28</t>
  </si>
  <si>
    <t>45</t>
  </si>
  <si>
    <t>60</t>
  </si>
  <si>
    <t>Уфа</t>
  </si>
  <si>
    <t>Самара</t>
  </si>
  <si>
    <t>75</t>
  </si>
  <si>
    <t>Санкт-Петербург и СЗО</t>
  </si>
  <si>
    <t>Саратов</t>
  </si>
  <si>
    <t>Красноярск</t>
  </si>
  <si>
    <t>Калининград</t>
  </si>
  <si>
    <t>Москва, МО и Дальние регионы</t>
  </si>
  <si>
    <t>Тюмень</t>
  </si>
  <si>
    <t>Пока хватает</t>
  </si>
  <si>
    <t>Дальний Восток</t>
  </si>
  <si>
    <t>Ярославль</t>
  </si>
  <si>
    <t>Воронеж</t>
  </si>
  <si>
    <t>Беларусь</t>
  </si>
  <si>
    <t>AROLS Спортивный массажный мяч</t>
  </si>
  <si>
    <t>11</t>
  </si>
  <si>
    <t>24</t>
  </si>
  <si>
    <t>AROLS Мешок для стирки длина 50см, 3 шт.</t>
  </si>
  <si>
    <t>AROLS Мешок для стирки длина 40см, 3 шт.</t>
  </si>
  <si>
    <t>AROLS Мешок для стирки длина 60см, ширина60 см, 1 шт.</t>
  </si>
  <si>
    <t>AROLS Мешок для стирки длина 80см, ширина60 см, 1 шт.</t>
  </si>
  <si>
    <t>AROLS Мешок для стирки длина 20см, 2 шт.</t>
  </si>
  <si>
    <t>AROLS Мешок для стирки длина 60см, 3 шт.</t>
  </si>
  <si>
    <t>AROLS Шпатель-скребок кондитерский, длина 15 см, 1 шт</t>
  </si>
  <si>
    <t xml:space="preserve">Остаток ФФ </t>
  </si>
  <si>
    <t>НИЖНИЙ_НОВГОРОД_РФЦ</t>
  </si>
  <si>
    <t>25</t>
  </si>
  <si>
    <t>САРАТОВ_РФЦ</t>
  </si>
  <si>
    <t>26</t>
  </si>
  <si>
    <t>23</t>
  </si>
  <si>
    <t>вставлены значения</t>
  </si>
  <si>
    <t>Останется на ФФ</t>
  </si>
  <si>
    <t>Отгрузка на ФФ Всего</t>
  </si>
  <si>
    <t>ОТГРУЖАЮ НА СКЛАДЫ МП</t>
  </si>
  <si>
    <t>ОТГРУЗКА НА МП ВСЕГО</t>
  </si>
  <si>
    <t>Остатки дома</t>
  </si>
  <si>
    <t>Остатки ФФ</t>
  </si>
  <si>
    <t>Номенклатура</t>
  </si>
  <si>
    <t>ПЕТРОВСКОЕ_РФЦ</t>
  </si>
  <si>
    <t>ВОРОНЕЖ_МРФЦ</t>
  </si>
  <si>
    <t>27</t>
  </si>
  <si>
    <t>22</t>
  </si>
  <si>
    <t>ЗАКАЗАНО ЗА</t>
  </si>
  <si>
    <t>дн.</t>
  </si>
  <si>
    <t>Таблетница органайзер на неделю 7 дней 14 приемов</t>
  </si>
  <si>
    <t>Таблетница на неделю 2 приема утро-вечер</t>
  </si>
  <si>
    <t>Таблетница на неделю 2 приема - контейнер для таблеток</t>
  </si>
  <si>
    <t>УФА_РФЦ</t>
  </si>
  <si>
    <t>1980958902</t>
  </si>
  <si>
    <t>Поставляется из Заказа</t>
  </si>
  <si>
    <t>Склад Шушары</t>
  </si>
  <si>
    <t>Бандаж для лица черный</t>
  </si>
  <si>
    <t>Бандаж для лица серый</t>
  </si>
  <si>
    <t>Мешки 7 шт.</t>
  </si>
  <si>
    <t>Мешок для бюстгалтеров</t>
  </si>
  <si>
    <t>Мешки/деликат 3 шт.</t>
  </si>
  <si>
    <t>Мешки/шнурок мелк 3 шт.</t>
  </si>
  <si>
    <t>Мешки/шнурок крупн 3 шт.</t>
  </si>
  <si>
    <t>Мешки 2 шт. серый</t>
  </si>
  <si>
    <t>Мешок 60*80 крупн</t>
  </si>
  <si>
    <t>Мешок 60*80 мелк</t>
  </si>
  <si>
    <t>Массажер для тела оранжевый</t>
  </si>
  <si>
    <t>Массажер для тела розовый</t>
  </si>
  <si>
    <t>Массажер для тела голубой</t>
  </si>
  <si>
    <t>Мяч с шипами белый 6 см</t>
  </si>
  <si>
    <t>Мяч с шипами розовый 9 см</t>
  </si>
  <si>
    <t>Мяч с шипами голубой 9 см</t>
  </si>
  <si>
    <t>Мяч с шипами оранжевый 9 см</t>
  </si>
  <si>
    <t>Мяч с шипами черный 9 см</t>
  </si>
  <si>
    <t>Мяч с шипами фиолетовый 9 см</t>
  </si>
  <si>
    <t>Набор эластичных лент 3 шт. в мешке</t>
  </si>
  <si>
    <t>Набор эластичных лент 5 шт. в мешке</t>
  </si>
  <si>
    <t>Таблетница прям 7*2 черн</t>
  </si>
  <si>
    <t>Таблетница прям 7*2 черн/цветн</t>
  </si>
  <si>
    <t>Таблетница прям 7*2 бел/цветн</t>
  </si>
  <si>
    <t>Таблетница прям 7*2 сирен/цветн</t>
  </si>
  <si>
    <t>Таблетница круглая 7*2 сер</t>
  </si>
  <si>
    <t>Таблетница круглая 7*2 сер /цвет</t>
  </si>
  <si>
    <t>Таблетница круглая 7*2 бел</t>
  </si>
  <si>
    <t>Мяч шина красный</t>
  </si>
  <si>
    <t>Мяч шина синий</t>
  </si>
  <si>
    <t>Учетная стоимость</t>
  </si>
  <si>
    <t>СПБ Шушары</t>
  </si>
  <si>
    <t xml:space="preserve">Фильтры:  с учетом товаров в заявках, FBO, FBS </t>
  </si>
  <si>
    <t>Тверь</t>
  </si>
  <si>
    <t>10</t>
  </si>
  <si>
    <t>7</t>
  </si>
  <si>
    <t>Ростов</t>
  </si>
  <si>
    <t>Екатеринбург</t>
  </si>
  <si>
    <t>Пермь</t>
  </si>
  <si>
    <t>Оренбург</t>
  </si>
  <si>
    <t>Омск</t>
  </si>
  <si>
    <t>Массажер для шеи спины тела роликовый</t>
  </si>
  <si>
    <t>17</t>
  </si>
  <si>
    <t>AROLS Мешок для стирки длина 18см, ширина18 см, 1 шт.</t>
  </si>
  <si>
    <t>Екатеринбург - Перспективная 14</t>
  </si>
  <si>
    <t>Атакент</t>
  </si>
  <si>
    <t>Эспандеры</t>
  </si>
  <si>
    <t>Фитнес резинки тканевые 5 шт эспандер для ног ягодиц</t>
  </si>
  <si>
    <t>ACRB5FR200CL</t>
  </si>
  <si>
    <t>2046392546618</t>
  </si>
  <si>
    <t>Набор фитнес резинок латексных 4 шт эспандер для йоги</t>
  </si>
  <si>
    <t>ACRB4FR300CL</t>
  </si>
  <si>
    <t>2046392546632</t>
  </si>
  <si>
    <t>Обухово</t>
  </si>
  <si>
    <t>Пенза</t>
  </si>
  <si>
    <t>Набор тканевых фитнес резинок 3 шт для ягодиц и ног</t>
  </si>
  <si>
    <t>Владивосток</t>
  </si>
  <si>
    <t>ACRB3FR101CL</t>
  </si>
  <si>
    <t>2048933027488</t>
  </si>
  <si>
    <t>КРАСНОДАР_2_РФЦ</t>
  </si>
  <si>
    <t>МАХАЧКАЛА_РФЦ</t>
  </si>
  <si>
    <t>МИНСК_МПСЦ</t>
  </si>
  <si>
    <t>СПБ_КОЛПИНО_РФЦ</t>
  </si>
  <si>
    <t>ТВЕРЬ_РФЦ</t>
  </si>
  <si>
    <t>2138709303</t>
  </si>
  <si>
    <t>2453533282</t>
  </si>
  <si>
    <t>Бандаж для лица подбородка</t>
  </si>
  <si>
    <t>21</t>
  </si>
  <si>
    <t>СЦ Шушары</t>
  </si>
  <si>
    <t xml:space="preserve">Рекомендуемая поставка: 28 дней </t>
  </si>
  <si>
    <t>Рекомендуемая поставка, шт на 28 дней</t>
  </si>
  <si>
    <t>1</t>
  </si>
  <si>
    <t>5</t>
  </si>
  <si>
    <t>50</t>
  </si>
  <si>
    <t>16</t>
  </si>
  <si>
    <t>8</t>
  </si>
  <si>
    <t>СК Ереван</t>
  </si>
  <si>
    <t>49</t>
  </si>
  <si>
    <t>18/02/2026</t>
  </si>
  <si>
    <t>19/04/2026</t>
  </si>
  <si>
    <t>2087000111</t>
  </si>
  <si>
    <t>Дата формирования отчета: 20.04.2026</t>
  </si>
  <si>
    <t>Отчет за период: 23.03.2026 - 19.04.2026</t>
  </si>
  <si>
    <t>120</t>
  </si>
  <si>
    <t>98</t>
  </si>
  <si>
    <t>39</t>
  </si>
  <si>
    <t>68</t>
  </si>
  <si>
    <t>6</t>
  </si>
  <si>
    <t>Алматы</t>
  </si>
  <si>
    <t>3</t>
  </si>
  <si>
    <t>2</t>
  </si>
  <si>
    <t>44</t>
  </si>
  <si>
    <t>AROLS Кухонный нож для зелени, для овощей, длина лезвия 20 см</t>
  </si>
  <si>
    <t>Отчёт по данным поставщика «Индивидуальный предприниматель Сидоренко Арина Евгеньевна» с 16.03.2026 по 15.05.2026 сформирован 16.05.2026 15:05:24. Склад: все</t>
  </si>
  <si>
    <t>СЦ Барнаул</t>
  </si>
  <si>
    <t>Мяч с шипами розовый 6 см</t>
  </si>
  <si>
    <t>Мяч с шипами голубой 6 см</t>
  </si>
  <si>
    <t>Мяч с шипами оранжевый 6 см</t>
  </si>
  <si>
    <t>Мяч с шипами черный 6 см</t>
  </si>
  <si>
    <t>Мяч с шипами белый 7 см</t>
  </si>
  <si>
    <t>Мяч с шипами розовый 7 см</t>
  </si>
  <si>
    <t>Мяч с шипами голубой 7 см</t>
  </si>
  <si>
    <t>Мяч с шипами оранжевый 7 см</t>
  </si>
  <si>
    <t>Мяч с шипами черный 7 см</t>
  </si>
  <si>
    <t>Мяч регби красный</t>
  </si>
  <si>
    <t>Мяч регби синий</t>
  </si>
  <si>
    <t>Набор пробок 4 шт. в коробке нежн</t>
  </si>
  <si>
    <t>Набор пробок 4 шт. в коробке ярк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</si>
</sst>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name val="Liberation Sans"/>
      <family val="2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525C65"/>
      <name val="Arial"/>
      <family val="2"/>
    </font>
    <font>
      <b/>
      <sz val="12"/>
      <color rgb="FF525C65"/>
      <name val="Arial"/>
      <family val="2"/>
    </font>
    <font>
      <sz val="12"/>
      <color rgb="FFA7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color rgb="FF000000"/>
      <name val="Calibri"/>
      <family val="2"/>
      <charset val="204"/>
      <scheme val="minor"/>
    </font>
    <font>
      <b/>
      <sz val="8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</patternFill>
    </fill>
    <fill>
      <patternFill patternType="solid">
        <fgColor rgb="FFFFCDD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4" fillId="0" borderId="0" applyFont="0" applyFill="0" applyBorder="0" applyAlignment="0" applyProtection="0"/>
  </cellStyleXfs>
  <cellXfs count="319">
    <xf numFmtId="0" fontId="0" fillId="0" borderId="0" xfId="0"/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6" fillId="0" borderId="1" xfId="1" quotePrefix="1" applyFont="1" applyBorder="1" applyAlignment="1">
      <alignment horizontal="center" vertical="top" wrapText="1"/>
    </xf>
    <xf numFmtId="0" fontId="7" fillId="0" borderId="0" xfId="1" applyFont="1" applyAlignment="1">
      <alignment horizontal="center" vertical="top" wrapText="1"/>
    </xf>
    <xf numFmtId="3" fontId="8" fillId="0" borderId="4" xfId="1" applyNumberFormat="1" applyFont="1" applyBorder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1" fontId="8" fillId="0" borderId="0" xfId="1" applyNumberFormat="1" applyFont="1" applyAlignment="1">
      <alignment horizontal="center" vertical="center"/>
    </xf>
    <xf numFmtId="3" fontId="6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1" fontId="9" fillId="0" borderId="0" xfId="1" applyNumberFormat="1" applyFont="1" applyAlignment="1">
      <alignment horizontal="center" vertical="center"/>
    </xf>
    <xf numFmtId="3" fontId="9" fillId="0" borderId="0" xfId="1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0" fontId="6" fillId="4" borderId="7" xfId="1" applyFont="1" applyFill="1" applyBorder="1" applyAlignment="1">
      <alignment horizontal="center" vertical="center" wrapText="1"/>
    </xf>
    <xf numFmtId="9" fontId="6" fillId="4" borderId="1" xfId="3" applyFont="1" applyFill="1" applyBorder="1" applyAlignment="1">
      <alignment horizontal="center" vertical="center" wrapText="1"/>
    </xf>
    <xf numFmtId="3" fontId="6" fillId="2" borderId="18" xfId="1" applyNumberFormat="1" applyFont="1" applyFill="1" applyBorder="1" applyAlignment="1">
      <alignment horizontal="center" vertical="top" wrapText="1"/>
    </xf>
    <xf numFmtId="3" fontId="6" fillId="6" borderId="20" xfId="1" applyNumberFormat="1" applyFont="1" applyFill="1" applyBorder="1" applyAlignment="1">
      <alignment horizontal="center" vertical="center"/>
    </xf>
    <xf numFmtId="3" fontId="6" fillId="4" borderId="5" xfId="1" applyNumberFormat="1" applyFont="1" applyFill="1" applyBorder="1" applyAlignment="1">
      <alignment horizontal="center" vertical="top" wrapText="1"/>
    </xf>
    <xf numFmtId="3" fontId="6" fillId="4" borderId="17" xfId="1" applyNumberFormat="1" applyFont="1" applyFill="1" applyBorder="1" applyAlignment="1">
      <alignment horizontal="center" vertical="top" wrapText="1"/>
    </xf>
    <xf numFmtId="3" fontId="6" fillId="3" borderId="2" xfId="1" applyNumberFormat="1" applyFont="1" applyFill="1" applyBorder="1" applyAlignment="1">
      <alignment horizontal="center" vertical="top" wrapText="1"/>
    </xf>
    <xf numFmtId="3" fontId="6" fillId="3" borderId="18" xfId="1" applyNumberFormat="1" applyFont="1" applyFill="1" applyBorder="1" applyAlignment="1">
      <alignment horizontal="center" vertical="top" wrapText="1"/>
    </xf>
    <xf numFmtId="0" fontId="6" fillId="0" borderId="1" xfId="1" quotePrefix="1" applyFont="1" applyBorder="1" applyAlignment="1">
      <alignment horizontal="left" vertical="top"/>
    </xf>
    <xf numFmtId="3" fontId="8" fillId="0" borderId="22" xfId="1" applyNumberFormat="1" applyFont="1" applyBorder="1" applyAlignment="1">
      <alignment horizontal="center" vertical="center"/>
    </xf>
    <xf numFmtId="3" fontId="6" fillId="6" borderId="3" xfId="1" applyNumberFormat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 wrapText="1"/>
    </xf>
    <xf numFmtId="0" fontId="6" fillId="4" borderId="6" xfId="1" applyFont="1" applyFill="1" applyBorder="1" applyAlignment="1">
      <alignment vertical="center"/>
    </xf>
    <xf numFmtId="0" fontId="6" fillId="6" borderId="14" xfId="1" applyFont="1" applyFill="1" applyBorder="1" applyAlignment="1">
      <alignment horizontal="center" vertical="top" wrapText="1"/>
    </xf>
    <xf numFmtId="0" fontId="6" fillId="6" borderId="17" xfId="1" applyFont="1" applyFill="1" applyBorder="1" applyAlignment="1">
      <alignment horizontal="center" vertical="top"/>
    </xf>
    <xf numFmtId="0" fontId="6" fillId="2" borderId="6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6" fillId="6" borderId="5" xfId="1" applyFont="1" applyFill="1" applyBorder="1" applyAlignment="1">
      <alignment horizontal="center" vertical="top"/>
    </xf>
    <xf numFmtId="0" fontId="6" fillId="3" borderId="6" xfId="1" applyFont="1" applyFill="1" applyBorder="1" applyAlignment="1">
      <alignment vertical="center"/>
    </xf>
    <xf numFmtId="0" fontId="6" fillId="3" borderId="8" xfId="1" applyFont="1" applyFill="1" applyBorder="1" applyAlignment="1">
      <alignment vertical="center"/>
    </xf>
    <xf numFmtId="0" fontId="6" fillId="3" borderId="7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6" fillId="2" borderId="11" xfId="1" applyNumberFormat="1" applyFont="1" applyFill="1" applyBorder="1" applyAlignment="1">
      <alignment vertical="center" wrapText="1"/>
    </xf>
    <xf numFmtId="1" fontId="6" fillId="2" borderId="2" xfId="1" applyNumberFormat="1" applyFont="1" applyFill="1" applyBorder="1" applyAlignment="1">
      <alignment horizontal="center" vertical="top" wrapText="1"/>
    </xf>
    <xf numFmtId="1" fontId="9" fillId="0" borderId="3" xfId="1" applyNumberFormat="1" applyFont="1" applyBorder="1" applyAlignment="1">
      <alignment horizontal="center" vertical="center"/>
    </xf>
    <xf numFmtId="1" fontId="6" fillId="2" borderId="11" xfId="1" applyNumberFormat="1" applyFont="1" applyFill="1" applyBorder="1" applyAlignment="1">
      <alignment vertical="center"/>
    </xf>
    <xf numFmtId="1" fontId="6" fillId="2" borderId="18" xfId="1" applyNumberFormat="1" applyFont="1" applyFill="1" applyBorder="1" applyAlignment="1">
      <alignment horizontal="center" vertical="top" wrapText="1"/>
    </xf>
    <xf numFmtId="1" fontId="6" fillId="2" borderId="21" xfId="1" applyNumberFormat="1" applyFont="1" applyFill="1" applyBorder="1" applyAlignment="1">
      <alignment horizontal="center" vertical="top" wrapText="1"/>
    </xf>
    <xf numFmtId="1" fontId="6" fillId="0" borderId="0" xfId="1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0" fontId="11" fillId="8" borderId="23" xfId="0" applyFont="1" applyFill="1" applyBorder="1" applyAlignment="1">
      <alignment horizontal="left" wrapText="1"/>
    </xf>
    <xf numFmtId="0" fontId="11" fillId="8" borderId="23" xfId="0" applyFont="1" applyFill="1" applyBorder="1" applyAlignment="1">
      <alignment horizontal="right" wrapText="1"/>
    </xf>
    <xf numFmtId="0" fontId="13" fillId="9" borderId="23" xfId="0" applyFont="1" applyFill="1" applyBorder="1" applyAlignment="1">
      <alignment horizontal="center" wrapText="1"/>
    </xf>
    <xf numFmtId="0" fontId="11" fillId="8" borderId="23" xfId="0" applyFont="1" applyFill="1" applyBorder="1" applyAlignment="1">
      <alignment horizontal="center" vertical="center" wrapText="1"/>
    </xf>
    <xf numFmtId="1" fontId="6" fillId="2" borderId="10" xfId="1" applyNumberFormat="1" applyFont="1" applyFill="1" applyBorder="1" applyAlignment="1">
      <alignment horizontal="center" vertical="top" wrapText="1"/>
    </xf>
    <xf numFmtId="1" fontId="9" fillId="0" borderId="16" xfId="1" applyNumberFormat="1" applyFont="1" applyBorder="1" applyAlignment="1">
      <alignment horizontal="center" vertical="center"/>
    </xf>
    <xf numFmtId="1" fontId="8" fillId="0" borderId="16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3" fontId="6" fillId="0" borderId="1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3" fontId="6" fillId="0" borderId="13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1" xfId="1" quotePrefix="1" applyNumberFormat="1" applyFont="1" applyBorder="1" applyAlignment="1">
      <alignment horizontal="center" vertical="top" wrapText="1"/>
    </xf>
    <xf numFmtId="1" fontId="7" fillId="0" borderId="31" xfId="1" applyNumberFormat="1" applyFont="1" applyBorder="1" applyAlignment="1">
      <alignment horizontal="center" vertical="center"/>
    </xf>
    <xf numFmtId="0" fontId="17" fillId="2" borderId="35" xfId="1" applyFont="1" applyFill="1" applyBorder="1" applyAlignment="1">
      <alignment vertical="center" wrapText="1"/>
    </xf>
    <xf numFmtId="0" fontId="16" fillId="2" borderId="36" xfId="1" applyFont="1" applyFill="1" applyBorder="1" applyAlignment="1">
      <alignment vertical="center" wrapText="1"/>
    </xf>
    <xf numFmtId="0" fontId="17" fillId="0" borderId="37" xfId="1" applyFont="1" applyBorder="1" applyAlignment="1">
      <alignment horizontal="center" vertical="top" wrapText="1"/>
    </xf>
    <xf numFmtId="0" fontId="7" fillId="0" borderId="20" xfId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1" xfId="1" applyFont="1" applyBorder="1" applyAlignment="1">
      <alignment horizontal="left" vertical="center"/>
    </xf>
    <xf numFmtId="1" fontId="1" fillId="0" borderId="0" xfId="1" applyNumberForma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3" fontId="18" fillId="0" borderId="1" xfId="1" applyNumberFormat="1" applyFont="1" applyBorder="1" applyAlignment="1">
      <alignment horizontal="left" vertical="center"/>
    </xf>
    <xf numFmtId="0" fontId="1" fillId="0" borderId="0" xfId="1" applyAlignment="1">
      <alignment horizontal="left" vertical="center"/>
    </xf>
    <xf numFmtId="1" fontId="18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3" fontId="18" fillId="0" borderId="1" xfId="1" applyNumberFormat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1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" fontId="19" fillId="0" borderId="0" xfId="1" applyNumberFormat="1" applyFont="1" applyAlignment="1">
      <alignment horizontal="center" vertical="center"/>
    </xf>
    <xf numFmtId="3" fontId="10" fillId="0" borderId="0" xfId="1" applyNumberFormat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1" fontId="8" fillId="0" borderId="9" xfId="2" applyNumberFormat="1" applyFont="1" applyBorder="1" applyAlignment="1">
      <alignment horizontal="left" vertical="center"/>
    </xf>
    <xf numFmtId="0" fontId="8" fillId="10" borderId="9" xfId="2" applyFont="1" applyFill="1" applyBorder="1" applyAlignment="1">
      <alignment horizontal="center" vertical="center"/>
    </xf>
    <xf numFmtId="1" fontId="8" fillId="10" borderId="9" xfId="2" applyNumberFormat="1" applyFont="1" applyFill="1" applyBorder="1" applyAlignment="1">
      <alignment horizontal="center" vertical="center"/>
    </xf>
    <xf numFmtId="1" fontId="8" fillId="0" borderId="5" xfId="1" applyNumberFormat="1" applyFont="1" applyBorder="1" applyAlignment="1">
      <alignment horizontal="center" vertical="center"/>
    </xf>
    <xf numFmtId="3" fontId="6" fillId="11" borderId="1" xfId="1" applyNumberFormat="1" applyFont="1" applyFill="1" applyBorder="1" applyAlignment="1">
      <alignment horizontal="center" vertical="center"/>
    </xf>
    <xf numFmtId="3" fontId="6" fillId="2" borderId="2" xfId="1" applyNumberFormat="1" applyFont="1" applyFill="1" applyBorder="1" applyAlignment="1">
      <alignment horizontal="center" vertical="top" wrapText="1"/>
    </xf>
    <xf numFmtId="3" fontId="6" fillId="2" borderId="12" xfId="1" applyNumberFormat="1" applyFont="1" applyFill="1" applyBorder="1" applyAlignment="1">
      <alignment horizontal="center" vertical="top" wrapText="1"/>
    </xf>
    <xf numFmtId="3" fontId="6" fillId="0" borderId="19" xfId="1" applyNumberFormat="1" applyFont="1" applyBorder="1" applyAlignment="1">
      <alignment horizontal="center" vertical="center"/>
    </xf>
    <xf numFmtId="3" fontId="6" fillId="0" borderId="40" xfId="1" applyNumberFormat="1" applyFont="1" applyBorder="1" applyAlignment="1">
      <alignment horizontal="center" vertical="center"/>
    </xf>
    <xf numFmtId="3" fontId="6" fillId="3" borderId="21" xfId="1" applyNumberFormat="1" applyFont="1" applyFill="1" applyBorder="1" applyAlignment="1">
      <alignment horizontal="center" vertical="top" wrapText="1"/>
    </xf>
    <xf numFmtId="3" fontId="6" fillId="3" borderId="24" xfId="1" applyNumberFormat="1" applyFont="1" applyFill="1" applyBorder="1" applyAlignment="1">
      <alignment horizontal="center" vertical="top" wrapText="1"/>
    </xf>
    <xf numFmtId="3" fontId="6" fillId="3" borderId="12" xfId="1" applyNumberFormat="1" applyFont="1" applyFill="1" applyBorder="1" applyAlignment="1">
      <alignment horizontal="center" vertical="top" wrapText="1"/>
    </xf>
    <xf numFmtId="3" fontId="8" fillId="0" borderId="34" xfId="1" applyNumberFormat="1" applyFont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/>
    </xf>
    <xf numFmtId="3" fontId="8" fillId="0" borderId="44" xfId="1" applyNumberFormat="1" applyFont="1" applyBorder="1" applyAlignment="1">
      <alignment horizontal="center" vertical="center"/>
    </xf>
    <xf numFmtId="3" fontId="6" fillId="3" borderId="42" xfId="1" applyNumberFormat="1" applyFont="1" applyFill="1" applyBorder="1" applyAlignment="1">
      <alignment horizontal="center" vertical="top" wrapText="1"/>
    </xf>
    <xf numFmtId="3" fontId="6" fillId="3" borderId="43" xfId="1" applyNumberFormat="1" applyFont="1" applyFill="1" applyBorder="1" applyAlignment="1">
      <alignment horizontal="center" vertical="top" wrapText="1"/>
    </xf>
    <xf numFmtId="0" fontId="6" fillId="4" borderId="7" xfId="1" applyFont="1" applyFill="1" applyBorder="1" applyAlignment="1">
      <alignment horizontal="right" vertical="center"/>
    </xf>
    <xf numFmtId="3" fontId="6" fillId="4" borderId="40" xfId="1" applyNumberFormat="1" applyFont="1" applyFill="1" applyBorder="1" applyAlignment="1">
      <alignment horizontal="center" vertical="top" wrapText="1"/>
    </xf>
    <xf numFmtId="3" fontId="6" fillId="4" borderId="1" xfId="1" applyNumberFormat="1" applyFont="1" applyFill="1" applyBorder="1" applyAlignment="1">
      <alignment horizontal="center" vertical="top" wrapText="1"/>
    </xf>
    <xf numFmtId="3" fontId="6" fillId="4" borderId="19" xfId="1" applyNumberFormat="1" applyFont="1" applyFill="1" applyBorder="1" applyAlignment="1">
      <alignment horizontal="center" vertical="top" wrapText="1"/>
    </xf>
    <xf numFmtId="3" fontId="6" fillId="4" borderId="11" xfId="1" applyNumberFormat="1" applyFont="1" applyFill="1" applyBorder="1" applyAlignment="1">
      <alignment horizontal="center" vertical="top" wrapText="1"/>
    </xf>
    <xf numFmtId="3" fontId="8" fillId="0" borderId="0" xfId="1" applyNumberFormat="1" applyFont="1" applyAlignment="1">
      <alignment vertical="center"/>
    </xf>
    <xf numFmtId="3" fontId="6" fillId="0" borderId="16" xfId="1" applyNumberFormat="1" applyFont="1" applyBorder="1" applyAlignment="1">
      <alignment horizontal="center" vertical="center"/>
    </xf>
    <xf numFmtId="3" fontId="6" fillId="12" borderId="2" xfId="1" applyNumberFormat="1" applyFont="1" applyFill="1" applyBorder="1" applyAlignment="1">
      <alignment horizontal="center" vertical="top" wrapText="1"/>
    </xf>
    <xf numFmtId="3" fontId="6" fillId="12" borderId="12" xfId="1" applyNumberFormat="1" applyFont="1" applyFill="1" applyBorder="1" applyAlignment="1">
      <alignment horizontal="center" vertical="top" wrapText="1"/>
    </xf>
    <xf numFmtId="3" fontId="6" fillId="12" borderId="40" xfId="1" applyNumberFormat="1" applyFont="1" applyFill="1" applyBorder="1" applyAlignment="1">
      <alignment horizontal="center" vertical="top" wrapText="1"/>
    </xf>
    <xf numFmtId="3" fontId="6" fillId="12" borderId="18" xfId="1" applyNumberFormat="1" applyFont="1" applyFill="1" applyBorder="1" applyAlignment="1">
      <alignment horizontal="center" vertical="top" wrapText="1"/>
    </xf>
    <xf numFmtId="3" fontId="6" fillId="12" borderId="19" xfId="1" applyNumberFormat="1" applyFont="1" applyFill="1" applyBorder="1" applyAlignment="1">
      <alignment horizontal="center" vertical="top" wrapText="1"/>
    </xf>
    <xf numFmtId="3" fontId="6" fillId="12" borderId="8" xfId="1" applyNumberFormat="1" applyFont="1" applyFill="1" applyBorder="1" applyAlignment="1">
      <alignment horizontal="center" vertical="top" wrapText="1"/>
    </xf>
    <xf numFmtId="3" fontId="6" fillId="12" borderId="6" xfId="1" applyNumberFormat="1" applyFont="1" applyFill="1" applyBorder="1" applyAlignment="1">
      <alignment horizontal="center" vertical="top" wrapText="1"/>
    </xf>
    <xf numFmtId="0" fontId="6" fillId="12" borderId="26" xfId="1" applyFont="1" applyFill="1" applyBorder="1" applyAlignment="1">
      <alignment horizontal="center" vertical="top"/>
    </xf>
    <xf numFmtId="3" fontId="6" fillId="12" borderId="1" xfId="1" applyNumberFormat="1" applyFont="1" applyFill="1" applyBorder="1" applyAlignment="1">
      <alignment horizontal="center" vertical="center"/>
    </xf>
    <xf numFmtId="0" fontId="6" fillId="12" borderId="15" xfId="1" applyFont="1" applyFill="1" applyBorder="1" applyAlignment="1">
      <alignment horizontal="center" vertical="top" wrapText="1"/>
    </xf>
    <xf numFmtId="3" fontId="6" fillId="12" borderId="15" xfId="1" applyNumberFormat="1" applyFont="1" applyFill="1" applyBorder="1" applyAlignment="1">
      <alignment horizontal="center" vertical="center"/>
    </xf>
    <xf numFmtId="0" fontId="6" fillId="12" borderId="0" xfId="1" applyFont="1" applyFill="1" applyAlignment="1">
      <alignment horizontal="center" vertical="top" wrapText="1"/>
    </xf>
    <xf numFmtId="0" fontId="6" fillId="12" borderId="20" xfId="1" applyFont="1" applyFill="1" applyBorder="1" applyAlignment="1">
      <alignment horizontal="center" vertical="top" wrapText="1"/>
    </xf>
    <xf numFmtId="0" fontId="6" fillId="12" borderId="15" xfId="1" applyFont="1" applyFill="1" applyBorder="1" applyAlignment="1">
      <alignment horizontal="center" vertical="top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quotePrefix="1" applyFont="1" applyFill="1" applyBorder="1" applyAlignment="1">
      <alignment horizontal="center" vertical="top" wrapText="1"/>
    </xf>
    <xf numFmtId="3" fontId="6" fillId="11" borderId="7" xfId="1" applyNumberFormat="1" applyFont="1" applyFill="1" applyBorder="1" applyAlignment="1">
      <alignment horizontal="center" vertical="center"/>
    </xf>
    <xf numFmtId="3" fontId="6" fillId="0" borderId="47" xfId="1" applyNumberFormat="1" applyFont="1" applyBorder="1" applyAlignment="1">
      <alignment horizontal="center" vertical="center"/>
    </xf>
    <xf numFmtId="3" fontId="8" fillId="0" borderId="50" xfId="1" applyNumberFormat="1" applyFont="1" applyBorder="1" applyAlignment="1">
      <alignment horizontal="center" vertical="center"/>
    </xf>
    <xf numFmtId="3" fontId="8" fillId="0" borderId="51" xfId="1" applyNumberFormat="1" applyFont="1" applyBorder="1" applyAlignment="1">
      <alignment horizontal="center" vertical="center"/>
    </xf>
    <xf numFmtId="3" fontId="8" fillId="0" borderId="53" xfId="1" applyNumberFormat="1" applyFont="1" applyBorder="1" applyAlignment="1">
      <alignment horizontal="center" vertical="center"/>
    </xf>
    <xf numFmtId="3" fontId="6" fillId="2" borderId="21" xfId="1" applyNumberFormat="1" applyFont="1" applyFill="1" applyBorder="1" applyAlignment="1">
      <alignment horizontal="center" vertical="top" wrapText="1"/>
    </xf>
    <xf numFmtId="3" fontId="8" fillId="0" borderId="56" xfId="1" applyNumberFormat="1" applyFont="1" applyBorder="1" applyAlignment="1">
      <alignment horizontal="center" vertical="center"/>
    </xf>
    <xf numFmtId="3" fontId="8" fillId="0" borderId="57" xfId="1" applyNumberFormat="1" applyFont="1" applyBorder="1" applyAlignment="1">
      <alignment horizontal="center" vertical="center"/>
    </xf>
    <xf numFmtId="3" fontId="6" fillId="2" borderId="24" xfId="1" applyNumberFormat="1" applyFont="1" applyFill="1" applyBorder="1" applyAlignment="1">
      <alignment horizontal="center" vertical="top" wrapText="1"/>
    </xf>
    <xf numFmtId="3" fontId="6" fillId="0" borderId="60" xfId="1" applyNumberFormat="1" applyFont="1" applyBorder="1" applyAlignment="1">
      <alignment horizontal="center" vertical="center"/>
    </xf>
    <xf numFmtId="3" fontId="6" fillId="6" borderId="61" xfId="1" applyNumberFormat="1" applyFont="1" applyFill="1" applyBorder="1" applyAlignment="1">
      <alignment horizontal="center" vertical="center"/>
    </xf>
    <xf numFmtId="3" fontId="6" fillId="12" borderId="61" xfId="1" applyNumberFormat="1" applyFont="1" applyFill="1" applyBorder="1" applyAlignment="1">
      <alignment horizontal="center" vertical="center"/>
    </xf>
    <xf numFmtId="3" fontId="6" fillId="12" borderId="45" xfId="1" applyNumberFormat="1" applyFont="1" applyFill="1" applyBorder="1" applyAlignment="1">
      <alignment horizontal="center" vertical="center"/>
    </xf>
    <xf numFmtId="0" fontId="6" fillId="2" borderId="64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right" vertical="center"/>
    </xf>
    <xf numFmtId="3" fontId="10" fillId="0" borderId="64" xfId="1" applyNumberFormat="1" applyFont="1" applyBorder="1" applyAlignment="1">
      <alignment horizontal="center" vertical="center"/>
    </xf>
    <xf numFmtId="1" fontId="6" fillId="0" borderId="20" xfId="1" applyNumberFormat="1" applyFont="1" applyBorder="1" applyAlignment="1">
      <alignment horizontal="center" vertical="center"/>
    </xf>
    <xf numFmtId="1" fontId="8" fillId="0" borderId="6" xfId="1" applyNumberFormat="1" applyFont="1" applyBorder="1" applyAlignment="1">
      <alignment vertical="center"/>
    </xf>
    <xf numFmtId="1" fontId="8" fillId="0" borderId="8" xfId="1" applyNumberFormat="1" applyFont="1" applyBorder="1" applyAlignment="1">
      <alignment vertical="center"/>
    </xf>
    <xf numFmtId="3" fontId="8" fillId="0" borderId="66" xfId="1" applyNumberFormat="1" applyFont="1" applyBorder="1" applyAlignment="1">
      <alignment horizontal="center" vertical="center"/>
    </xf>
    <xf numFmtId="3" fontId="6" fillId="2" borderId="67" xfId="1" applyNumberFormat="1" applyFont="1" applyFill="1" applyBorder="1" applyAlignment="1">
      <alignment horizontal="center" vertical="top" wrapText="1"/>
    </xf>
    <xf numFmtId="3" fontId="8" fillId="0" borderId="69" xfId="1" applyNumberFormat="1" applyFont="1" applyBorder="1" applyAlignment="1">
      <alignment horizontal="center" vertical="center"/>
    </xf>
    <xf numFmtId="3" fontId="6" fillId="3" borderId="67" xfId="1" applyNumberFormat="1" applyFont="1" applyFill="1" applyBorder="1" applyAlignment="1">
      <alignment horizontal="center" vertical="top" wrapText="1"/>
    </xf>
    <xf numFmtId="3" fontId="8" fillId="0" borderId="71" xfId="1" applyNumberFormat="1" applyFont="1" applyBorder="1" applyAlignment="1">
      <alignment horizontal="center" vertical="center"/>
    </xf>
    <xf numFmtId="1" fontId="6" fillId="2" borderId="12" xfId="1" applyNumberFormat="1" applyFont="1" applyFill="1" applyBorder="1" applyAlignment="1">
      <alignment horizontal="center" vertical="top" wrapText="1"/>
    </xf>
    <xf numFmtId="1" fontId="8" fillId="0" borderId="4" xfId="1" applyNumberFormat="1" applyFont="1" applyBorder="1" applyAlignment="1">
      <alignment horizontal="center" vertical="center"/>
    </xf>
    <xf numFmtId="1" fontId="6" fillId="2" borderId="67" xfId="1" applyNumberFormat="1" applyFont="1" applyFill="1" applyBorder="1" applyAlignment="1">
      <alignment horizontal="center" vertical="top" wrapText="1"/>
    </xf>
    <xf numFmtId="1" fontId="8" fillId="0" borderId="71" xfId="1" applyNumberFormat="1" applyFont="1" applyBorder="1" applyAlignment="1">
      <alignment horizontal="center" vertical="center"/>
    </xf>
    <xf numFmtId="1" fontId="6" fillId="0" borderId="4" xfId="1" applyNumberFormat="1" applyFont="1" applyBorder="1" applyAlignment="1">
      <alignment vertical="center"/>
    </xf>
    <xf numFmtId="1" fontId="6" fillId="0" borderId="0" xfId="1" applyNumberFormat="1" applyFont="1" applyAlignment="1">
      <alignment vertical="center"/>
    </xf>
    <xf numFmtId="1" fontId="6" fillId="0" borderId="16" xfId="1" applyNumberFormat="1" applyFont="1" applyBorder="1" applyAlignment="1">
      <alignment vertical="center"/>
    </xf>
    <xf numFmtId="1" fontId="6" fillId="0" borderId="16" xfId="1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vertical="center"/>
    </xf>
    <xf numFmtId="3" fontId="6" fillId="0" borderId="11" xfId="1" applyNumberFormat="1" applyFont="1" applyBorder="1" applyAlignment="1">
      <alignment horizontal="center" vertical="center"/>
    </xf>
    <xf numFmtId="0" fontId="0" fillId="7" borderId="0" xfId="0" applyFill="1"/>
    <xf numFmtId="3" fontId="8" fillId="0" borderId="47" xfId="1" applyNumberFormat="1" applyFont="1" applyBorder="1" applyAlignment="1">
      <alignment horizontal="center" vertical="center"/>
    </xf>
    <xf numFmtId="3" fontId="8" fillId="0" borderId="60" xfId="1" applyNumberFormat="1" applyFont="1" applyBorder="1" applyAlignment="1">
      <alignment horizontal="center" vertical="center"/>
    </xf>
    <xf numFmtId="3" fontId="8" fillId="6" borderId="61" xfId="1" applyNumberFormat="1" applyFont="1" applyFill="1" applyBorder="1" applyAlignment="1">
      <alignment horizontal="center" vertical="center"/>
    </xf>
    <xf numFmtId="3" fontId="8" fillId="12" borderId="15" xfId="1" applyNumberFormat="1" applyFont="1" applyFill="1" applyBorder="1" applyAlignment="1">
      <alignment horizontal="center" vertical="center"/>
    </xf>
    <xf numFmtId="3" fontId="8" fillId="6" borderId="20" xfId="1" applyNumberFormat="1" applyFont="1" applyFill="1" applyBorder="1" applyAlignment="1">
      <alignment horizontal="center" vertical="center"/>
    </xf>
    <xf numFmtId="3" fontId="8" fillId="12" borderId="61" xfId="1" applyNumberFormat="1" applyFont="1" applyFill="1" applyBorder="1" applyAlignment="1">
      <alignment horizontal="center" vertical="center"/>
    </xf>
    <xf numFmtId="3" fontId="8" fillId="6" borderId="3" xfId="1" applyNumberFormat="1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horizontal="center" vertical="center"/>
    </xf>
    <xf numFmtId="0" fontId="16" fillId="0" borderId="38" xfId="1" applyFont="1" applyBorder="1" applyAlignment="1">
      <alignment horizontal="center" vertical="top" wrapText="1"/>
    </xf>
    <xf numFmtId="3" fontId="18" fillId="0" borderId="73" xfId="1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49" fontId="8" fillId="0" borderId="71" xfId="1" applyNumberFormat="1" applyFont="1" applyBorder="1" applyAlignment="1">
      <alignment horizontal="center" vertical="center"/>
    </xf>
    <xf numFmtId="49" fontId="8" fillId="0" borderId="16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/>
    </xf>
    <xf numFmtId="3" fontId="8" fillId="0" borderId="6" xfId="1" applyNumberFormat="1" applyFont="1" applyBorder="1" applyAlignment="1">
      <alignment horizontal="center" vertical="center"/>
    </xf>
    <xf numFmtId="3" fontId="6" fillId="0" borderId="7" xfId="1" applyNumberFormat="1" applyFont="1" applyBorder="1" applyAlignment="1">
      <alignment horizontal="center" vertical="center"/>
    </xf>
    <xf numFmtId="9" fontId="8" fillId="0" borderId="1" xfId="1" applyNumberFormat="1" applyFont="1" applyBorder="1" applyAlignment="1">
      <alignment horizontal="center" vertical="center"/>
    </xf>
    <xf numFmtId="3" fontId="6" fillId="4" borderId="74" xfId="1" applyNumberFormat="1" applyFont="1" applyFill="1" applyBorder="1" applyAlignment="1">
      <alignment horizontal="center" vertical="top" wrapText="1"/>
    </xf>
    <xf numFmtId="3" fontId="6" fillId="0" borderId="74" xfId="1" applyNumberFormat="1" applyFont="1" applyBorder="1" applyAlignment="1">
      <alignment horizontal="center" vertical="center"/>
    </xf>
    <xf numFmtId="3" fontId="8" fillId="0" borderId="2" xfId="1" applyNumberFormat="1" applyFont="1" applyBorder="1" applyAlignment="1">
      <alignment horizontal="center" vertical="center"/>
    </xf>
    <xf numFmtId="0" fontId="3" fillId="0" borderId="0" xfId="0" applyFont="1"/>
    <xf numFmtId="0" fontId="12" fillId="8" borderId="23" xfId="0" applyFont="1" applyFill="1" applyBorder="1" applyAlignment="1">
      <alignment horizontal="left" vertical="top" wrapText="1"/>
    </xf>
    <xf numFmtId="49" fontId="8" fillId="0" borderId="50" xfId="1" applyNumberFormat="1" applyFont="1" applyBorder="1" applyAlignment="1">
      <alignment horizontal="center" vertical="center"/>
    </xf>
    <xf numFmtId="49" fontId="8" fillId="0" borderId="51" xfId="1" applyNumberFormat="1" applyFont="1" applyBorder="1" applyAlignment="1">
      <alignment horizontal="center" vertical="center"/>
    </xf>
    <xf numFmtId="49" fontId="8" fillId="0" borderId="53" xfId="1" applyNumberFormat="1" applyFont="1" applyBorder="1" applyAlignment="1">
      <alignment horizontal="center" vertical="center"/>
    </xf>
    <xf numFmtId="49" fontId="8" fillId="0" borderId="56" xfId="1" applyNumberFormat="1" applyFont="1" applyBorder="1" applyAlignment="1">
      <alignment horizontal="center" vertical="center"/>
    </xf>
    <xf numFmtId="49" fontId="8" fillId="0" borderId="57" xfId="1" applyNumberFormat="1" applyFont="1" applyBorder="1" applyAlignment="1">
      <alignment horizontal="center" vertical="center"/>
    </xf>
    <xf numFmtId="49" fontId="8" fillId="0" borderId="69" xfId="1" applyNumberFormat="1" applyFont="1" applyBorder="1" applyAlignment="1">
      <alignment horizontal="center" vertical="center"/>
    </xf>
    <xf numFmtId="49" fontId="8" fillId="0" borderId="66" xfId="1" applyNumberFormat="1" applyFont="1" applyBorder="1" applyAlignment="1">
      <alignment horizontal="center" vertical="center"/>
    </xf>
    <xf numFmtId="49" fontId="6" fillId="0" borderId="47" xfId="1" applyNumberFormat="1" applyFont="1" applyBorder="1" applyAlignment="1">
      <alignment horizontal="center" vertical="center"/>
    </xf>
    <xf numFmtId="49" fontId="6" fillId="0" borderId="60" xfId="1" applyNumberFormat="1" applyFont="1" applyBorder="1" applyAlignment="1">
      <alignment horizontal="center" vertical="center"/>
    </xf>
    <xf numFmtId="49" fontId="6" fillId="6" borderId="61" xfId="1" applyNumberFormat="1" applyFont="1" applyFill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/>
    </xf>
    <xf numFmtId="49" fontId="8" fillId="0" borderId="44" xfId="1" applyNumberFormat="1" applyFont="1" applyBorder="1" applyAlignment="1">
      <alignment horizontal="center" vertical="center"/>
    </xf>
    <xf numFmtId="49" fontId="8" fillId="0" borderId="34" xfId="1" applyNumberFormat="1" applyFont="1" applyBorder="1" applyAlignment="1">
      <alignment horizontal="center" vertical="center"/>
    </xf>
    <xf numFmtId="49" fontId="6" fillId="12" borderId="15" xfId="1" applyNumberFormat="1" applyFont="1" applyFill="1" applyBorder="1" applyAlignment="1">
      <alignment horizontal="center" vertical="center"/>
    </xf>
    <xf numFmtId="49" fontId="6" fillId="6" borderId="20" xfId="1" applyNumberFormat="1" applyFont="1" applyFill="1" applyBorder="1" applyAlignment="1">
      <alignment horizontal="center" vertical="center"/>
    </xf>
    <xf numFmtId="49" fontId="6" fillId="12" borderId="61" xfId="1" applyNumberFormat="1" applyFont="1" applyFill="1" applyBorder="1" applyAlignment="1">
      <alignment horizontal="center" vertical="center"/>
    </xf>
    <xf numFmtId="49" fontId="6" fillId="6" borderId="3" xfId="1" applyNumberFormat="1" applyFont="1" applyFill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3" fontId="6" fillId="13" borderId="1" xfId="1" applyNumberFormat="1" applyFont="1" applyFill="1" applyBorder="1" applyAlignment="1">
      <alignment horizontal="center" vertical="center"/>
    </xf>
    <xf numFmtId="0" fontId="6" fillId="13" borderId="12" xfId="1" applyFont="1" applyFill="1" applyBorder="1" applyAlignment="1">
      <alignment horizontal="center" vertical="center"/>
    </xf>
    <xf numFmtId="0" fontId="6" fillId="13" borderId="28" xfId="1" applyFont="1" applyFill="1" applyBorder="1" applyAlignment="1">
      <alignment horizontal="center" vertical="top" wrapText="1"/>
    </xf>
    <xf numFmtId="0" fontId="6" fillId="14" borderId="5" xfId="1" applyFont="1" applyFill="1" applyBorder="1" applyAlignment="1">
      <alignment horizontal="center" vertical="top"/>
    </xf>
    <xf numFmtId="1" fontId="6" fillId="14" borderId="1" xfId="1" applyNumberFormat="1" applyFont="1" applyFill="1" applyBorder="1" applyAlignment="1">
      <alignment horizontal="center" vertical="center" wrapText="1"/>
    </xf>
    <xf numFmtId="1" fontId="6" fillId="14" borderId="1" xfId="1" quotePrefix="1" applyNumberFormat="1" applyFont="1" applyFill="1" applyBorder="1" applyAlignment="1">
      <alignment horizontal="center" vertical="top" wrapText="1"/>
    </xf>
    <xf numFmtId="3" fontId="6" fillId="14" borderId="20" xfId="1" applyNumberFormat="1" applyFont="1" applyFill="1" applyBorder="1" applyAlignment="1">
      <alignment horizontal="center" vertical="center"/>
    </xf>
    <xf numFmtId="3" fontId="8" fillId="14" borderId="20" xfId="1" applyNumberFormat="1" applyFont="1" applyFill="1" applyBorder="1" applyAlignment="1">
      <alignment horizontal="center" vertical="center"/>
    </xf>
    <xf numFmtId="49" fontId="6" fillId="14" borderId="20" xfId="1" applyNumberFormat="1" applyFont="1" applyFill="1" applyBorder="1" applyAlignment="1">
      <alignment horizontal="center" vertical="center"/>
    </xf>
    <xf numFmtId="3" fontId="6" fillId="14" borderId="1" xfId="1" applyNumberFormat="1" applyFont="1" applyFill="1" applyBorder="1" applyAlignment="1">
      <alignment horizontal="center" vertical="center"/>
    </xf>
    <xf numFmtId="0" fontId="6" fillId="14" borderId="27" xfId="1" applyFont="1" applyFill="1" applyBorder="1" applyAlignment="1">
      <alignment horizontal="center" vertical="top"/>
    </xf>
    <xf numFmtId="3" fontId="6" fillId="14" borderId="9" xfId="1" applyNumberFormat="1" applyFont="1" applyFill="1" applyBorder="1" applyAlignment="1">
      <alignment horizontal="center" vertical="center"/>
    </xf>
    <xf numFmtId="3" fontId="8" fillId="14" borderId="9" xfId="1" applyNumberFormat="1" applyFont="1" applyFill="1" applyBorder="1" applyAlignment="1">
      <alignment horizontal="center" vertical="center"/>
    </xf>
    <xf numFmtId="49" fontId="6" fillId="14" borderId="9" xfId="1" applyNumberFormat="1" applyFont="1" applyFill="1" applyBorder="1" applyAlignment="1">
      <alignment horizontal="center" vertical="center"/>
    </xf>
    <xf numFmtId="3" fontId="6" fillId="14" borderId="45" xfId="1" applyNumberFormat="1" applyFont="1" applyFill="1" applyBorder="1" applyAlignment="1">
      <alignment horizontal="center" vertical="center"/>
    </xf>
    <xf numFmtId="0" fontId="6" fillId="14" borderId="20" xfId="1" applyFont="1" applyFill="1" applyBorder="1" applyAlignment="1">
      <alignment horizontal="center" vertical="top"/>
    </xf>
    <xf numFmtId="1" fontId="6" fillId="14" borderId="0" xfId="1" applyNumberFormat="1" applyFont="1" applyFill="1" applyAlignment="1">
      <alignment horizontal="center" vertical="top" wrapText="1"/>
    </xf>
    <xf numFmtId="3" fontId="8" fillId="0" borderId="12" xfId="1" applyNumberFormat="1" applyFont="1" applyBorder="1" applyAlignment="1">
      <alignment horizontal="center" vertical="center"/>
    </xf>
    <xf numFmtId="3" fontId="8" fillId="0" borderId="24" xfId="1" applyNumberFormat="1" applyFont="1" applyBorder="1" applyAlignment="1">
      <alignment horizontal="center" vertical="center"/>
    </xf>
    <xf numFmtId="3" fontId="6" fillId="13" borderId="29" xfId="1" applyNumberFormat="1" applyFont="1" applyFill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1" fontId="9" fillId="0" borderId="4" xfId="1" applyNumberFormat="1" applyFont="1" applyBorder="1" applyAlignment="1">
      <alignment horizontal="center" vertical="center"/>
    </xf>
    <xf numFmtId="1" fontId="9" fillId="0" borderId="44" xfId="1" applyNumberFormat="1" applyFont="1" applyBorder="1" applyAlignment="1">
      <alignment horizontal="center" vertical="center"/>
    </xf>
    <xf numFmtId="49" fontId="9" fillId="0" borderId="44" xfId="1" applyNumberFormat="1" applyFont="1" applyBorder="1" applyAlignment="1">
      <alignment horizontal="center" vertical="center"/>
    </xf>
    <xf numFmtId="1" fontId="8" fillId="0" borderId="22" xfId="1" applyNumberFormat="1" applyFont="1" applyBorder="1" applyAlignment="1">
      <alignment horizontal="center" vertical="center"/>
    </xf>
    <xf numFmtId="1" fontId="8" fillId="0" borderId="44" xfId="1" applyNumberFormat="1" applyFont="1" applyBorder="1" applyAlignment="1">
      <alignment horizontal="center" vertical="center"/>
    </xf>
    <xf numFmtId="0" fontId="8" fillId="15" borderId="9" xfId="2" applyFont="1" applyFill="1" applyBorder="1" applyAlignment="1">
      <alignment horizontal="center" vertical="center"/>
    </xf>
    <xf numFmtId="1" fontId="8" fillId="15" borderId="9" xfId="2" applyNumberFormat="1" applyFont="1" applyFill="1" applyBorder="1" applyAlignment="1">
      <alignment horizontal="center" vertical="center"/>
    </xf>
    <xf numFmtId="1" fontId="8" fillId="15" borderId="9" xfId="2" applyNumberFormat="1" applyFont="1" applyFill="1" applyBorder="1" applyAlignment="1">
      <alignment horizontal="left" vertical="center"/>
    </xf>
    <xf numFmtId="1" fontId="8" fillId="10" borderId="9" xfId="2" applyNumberFormat="1" applyFont="1" applyFill="1" applyBorder="1" applyAlignment="1">
      <alignment horizontal="left" vertical="center"/>
    </xf>
    <xf numFmtId="0" fontId="8" fillId="16" borderId="9" xfId="2" applyFont="1" applyFill="1" applyBorder="1" applyAlignment="1">
      <alignment horizontal="center" vertical="center"/>
    </xf>
    <xf numFmtId="1" fontId="8" fillId="16" borderId="9" xfId="2" applyNumberFormat="1" applyFont="1" applyFill="1" applyBorder="1" applyAlignment="1">
      <alignment horizontal="center" vertical="center"/>
    </xf>
    <xf numFmtId="1" fontId="8" fillId="16" borderId="9" xfId="2" applyNumberFormat="1" applyFont="1" applyFill="1" applyBorder="1" applyAlignment="1">
      <alignment horizontal="left" vertical="center"/>
    </xf>
    <xf numFmtId="0" fontId="8" fillId="0" borderId="9" xfId="2" applyFont="1" applyBorder="1" applyAlignment="1">
      <alignment horizontal="center" vertical="center"/>
    </xf>
    <xf numFmtId="1" fontId="8" fillId="0" borderId="9" xfId="2" applyNumberFormat="1" applyFont="1" applyBorder="1" applyAlignment="1">
      <alignment horizontal="center" vertical="center"/>
    </xf>
    <xf numFmtId="0" fontId="8" fillId="17" borderId="9" xfId="2" applyFont="1" applyFill="1" applyBorder="1" applyAlignment="1">
      <alignment horizontal="center" vertical="center"/>
    </xf>
    <xf numFmtId="1" fontId="8" fillId="17" borderId="9" xfId="2" applyNumberFormat="1" applyFont="1" applyFill="1" applyBorder="1" applyAlignment="1">
      <alignment horizontal="center" vertical="center"/>
    </xf>
    <xf numFmtId="1" fontId="8" fillId="17" borderId="9" xfId="2" applyNumberFormat="1" applyFont="1" applyFill="1" applyBorder="1" applyAlignment="1">
      <alignment horizontal="left" vertical="center"/>
    </xf>
    <xf numFmtId="0" fontId="8" fillId="18" borderId="9" xfId="2" applyFont="1" applyFill="1" applyBorder="1" applyAlignment="1">
      <alignment horizontal="center" vertical="center"/>
    </xf>
    <xf numFmtId="1" fontId="8" fillId="18" borderId="9" xfId="2" applyNumberFormat="1" applyFont="1" applyFill="1" applyBorder="1" applyAlignment="1">
      <alignment horizontal="center" vertical="center"/>
    </xf>
    <xf numFmtId="1" fontId="8" fillId="18" borderId="9" xfId="2" applyNumberFormat="1" applyFont="1" applyFill="1" applyBorder="1" applyAlignment="1">
      <alignment horizontal="left" vertical="center"/>
    </xf>
    <xf numFmtId="0" fontId="8" fillId="19" borderId="9" xfId="2" applyFont="1" applyFill="1" applyBorder="1" applyAlignment="1">
      <alignment horizontal="center" vertical="center"/>
    </xf>
    <xf numFmtId="1" fontId="8" fillId="19" borderId="9" xfId="2" applyNumberFormat="1" applyFont="1" applyFill="1" applyBorder="1" applyAlignment="1">
      <alignment horizontal="center" vertical="center"/>
    </xf>
    <xf numFmtId="1" fontId="8" fillId="19" borderId="9" xfId="2" applyNumberFormat="1" applyFont="1" applyFill="1" applyBorder="1" applyAlignment="1">
      <alignment horizontal="left" vertical="center"/>
    </xf>
    <xf numFmtId="0" fontId="8" fillId="20" borderId="9" xfId="2" applyFont="1" applyFill="1" applyBorder="1" applyAlignment="1">
      <alignment horizontal="center" vertical="center"/>
    </xf>
    <xf numFmtId="1" fontId="8" fillId="20" borderId="9" xfId="2" applyNumberFormat="1" applyFont="1" applyFill="1" applyBorder="1" applyAlignment="1">
      <alignment horizontal="center" vertical="center"/>
    </xf>
    <xf numFmtId="1" fontId="8" fillId="20" borderId="9" xfId="2" applyNumberFormat="1" applyFont="1" applyFill="1" applyBorder="1" applyAlignment="1">
      <alignment horizontal="left" vertical="center"/>
    </xf>
    <xf numFmtId="0" fontId="8" fillId="0" borderId="71" xfId="1" applyFont="1" applyBorder="1" applyAlignment="1">
      <alignment horizontal="center" vertical="center"/>
    </xf>
    <xf numFmtId="3" fontId="6" fillId="0" borderId="61" xfId="1" applyNumberFormat="1" applyFont="1" applyBorder="1" applyAlignment="1">
      <alignment horizontal="center" vertical="center"/>
    </xf>
    <xf numFmtId="3" fontId="6" fillId="0" borderId="15" xfId="1" applyNumberFormat="1" applyFont="1" applyBorder="1" applyAlignment="1">
      <alignment horizontal="center" vertical="center"/>
    </xf>
    <xf numFmtId="3" fontId="6" fillId="0" borderId="20" xfId="1" applyNumberFormat="1" applyFont="1" applyBorder="1" applyAlignment="1">
      <alignment horizontal="center" vertical="center"/>
    </xf>
    <xf numFmtId="3" fontId="6" fillId="0" borderId="9" xfId="1" applyNumberFormat="1" applyFont="1" applyBorder="1" applyAlignment="1">
      <alignment horizontal="center" vertical="center"/>
    </xf>
    <xf numFmtId="3" fontId="6" fillId="0" borderId="3" xfId="1" applyNumberFormat="1" applyFont="1" applyBorder="1" applyAlignment="1">
      <alignment horizontal="center" vertical="center"/>
    </xf>
    <xf numFmtId="3" fontId="8" fillId="0" borderId="70" xfId="1" applyNumberFormat="1" applyFont="1" applyBorder="1" applyAlignment="1">
      <alignment horizontal="center" vertical="center"/>
    </xf>
    <xf numFmtId="3" fontId="8" fillId="0" borderId="72" xfId="1" applyNumberFormat="1" applyFont="1" applyBorder="1" applyAlignment="1">
      <alignment horizontal="center" vertical="center"/>
    </xf>
    <xf numFmtId="3" fontId="6" fillId="0" borderId="29" xfId="1" applyNumberFormat="1" applyFont="1" applyBorder="1" applyAlignment="1">
      <alignment horizontal="center" vertical="center"/>
    </xf>
    <xf numFmtId="1" fontId="8" fillId="0" borderId="17" xfId="1" applyNumberFormat="1" applyFont="1" applyBorder="1" applyAlignment="1">
      <alignment horizontal="center" vertical="center"/>
    </xf>
    <xf numFmtId="1" fontId="8" fillId="0" borderId="11" xfId="1" applyNumberFormat="1" applyFont="1" applyBorder="1" applyAlignment="1">
      <alignment horizontal="center" vertical="center"/>
    </xf>
    <xf numFmtId="1" fontId="9" fillId="0" borderId="25" xfId="1" applyNumberFormat="1" applyFont="1" applyBorder="1" applyAlignment="1">
      <alignment horizontal="center" vertical="center"/>
    </xf>
    <xf numFmtId="1" fontId="8" fillId="0" borderId="39" xfId="1" applyNumberFormat="1" applyFont="1" applyBorder="1" applyAlignment="1">
      <alignment horizontal="center" vertical="center"/>
    </xf>
    <xf numFmtId="1" fontId="8" fillId="0" borderId="25" xfId="1" applyNumberFormat="1" applyFont="1" applyBorder="1" applyAlignment="1">
      <alignment horizontal="center" vertical="center"/>
    </xf>
    <xf numFmtId="1" fontId="8" fillId="0" borderId="72" xfId="1" applyNumberFormat="1" applyFont="1" applyBorder="1" applyAlignment="1">
      <alignment horizontal="center" vertical="center"/>
    </xf>
    <xf numFmtId="3" fontId="8" fillId="0" borderId="48" xfId="1" applyNumberFormat="1" applyFont="1" applyBorder="1" applyAlignment="1">
      <alignment horizontal="center" vertical="center"/>
    </xf>
    <xf numFmtId="3" fontId="8" fillId="0" borderId="49" xfId="1" applyNumberFormat="1" applyFont="1" applyBorder="1" applyAlignment="1">
      <alignment horizontal="center" vertical="center"/>
    </xf>
    <xf numFmtId="3" fontId="8" fillId="0" borderId="52" xfId="1" applyNumberFormat="1" applyFont="1" applyBorder="1" applyAlignment="1">
      <alignment horizontal="center" vertical="center"/>
    </xf>
    <xf numFmtId="3" fontId="8" fillId="0" borderId="54" xfId="1" applyNumberFormat="1" applyFont="1" applyBorder="1" applyAlignment="1">
      <alignment horizontal="center" vertical="center"/>
    </xf>
    <xf numFmtId="3" fontId="8" fillId="0" borderId="55" xfId="1" applyNumberFormat="1" applyFont="1" applyBorder="1" applyAlignment="1">
      <alignment horizontal="center" vertical="center"/>
    </xf>
    <xf numFmtId="3" fontId="8" fillId="0" borderId="68" xfId="1" applyNumberFormat="1" applyFont="1" applyBorder="1" applyAlignment="1">
      <alignment horizontal="center" vertical="center"/>
    </xf>
    <xf numFmtId="3" fontId="8" fillId="0" borderId="65" xfId="1" applyNumberFormat="1" applyFont="1" applyBorder="1" applyAlignment="1">
      <alignment horizontal="center" vertical="center"/>
    </xf>
    <xf numFmtId="3" fontId="6" fillId="0" borderId="46" xfId="1" applyNumberFormat="1" applyFont="1" applyBorder="1" applyAlignment="1">
      <alignment horizontal="center" vertical="center"/>
    </xf>
    <xf numFmtId="3" fontId="6" fillId="0" borderId="58" xfId="1" applyNumberFormat="1" applyFont="1" applyBorder="1" applyAlignment="1">
      <alignment horizontal="center" vertical="center"/>
    </xf>
    <xf numFmtId="3" fontId="6" fillId="6" borderId="59" xfId="1" applyNumberFormat="1" applyFont="1" applyFill="1" applyBorder="1" applyAlignment="1">
      <alignment horizontal="center" vertical="center"/>
    </xf>
    <xf numFmtId="3" fontId="8" fillId="0" borderId="42" xfId="1" applyNumberFormat="1" applyFont="1" applyBorder="1" applyAlignment="1">
      <alignment horizontal="center" vertical="center"/>
    </xf>
    <xf numFmtId="3" fontId="8" fillId="0" borderId="43" xfId="1" applyNumberFormat="1" applyFont="1" applyBorder="1" applyAlignment="1">
      <alignment horizontal="center" vertical="center"/>
    </xf>
    <xf numFmtId="3" fontId="8" fillId="0" borderId="67" xfId="1" applyNumberFormat="1" applyFont="1" applyBorder="1" applyAlignment="1">
      <alignment horizontal="center" vertical="center"/>
    </xf>
    <xf numFmtId="3" fontId="8" fillId="0" borderId="41" xfId="1" applyNumberFormat="1" applyFont="1" applyBorder="1" applyAlignment="1">
      <alignment horizontal="center" vertical="center"/>
    </xf>
    <xf numFmtId="3" fontId="6" fillId="12" borderId="62" xfId="1" applyNumberFormat="1" applyFont="1" applyFill="1" applyBorder="1" applyAlignment="1">
      <alignment horizontal="center" vertical="center"/>
    </xf>
    <xf numFmtId="3" fontId="6" fillId="14" borderId="6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8" fillId="0" borderId="4" xfId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/>
    </xf>
    <xf numFmtId="3" fontId="8" fillId="0" borderId="6" xfId="1" applyNumberFormat="1" applyFont="1" applyBorder="1" applyAlignment="1">
      <alignment horizontal="center" vertical="center"/>
    </xf>
    <xf numFmtId="3" fontId="8" fillId="0" borderId="8" xfId="1" applyNumberFormat="1" applyFont="1" applyBorder="1" applyAlignment="1">
      <alignment horizontal="center" vertical="center"/>
    </xf>
    <xf numFmtId="3" fontId="8" fillId="0" borderId="7" xfId="1" applyNumberFormat="1" applyFont="1" applyBorder="1" applyAlignment="1">
      <alignment horizontal="center" vertical="center"/>
    </xf>
    <xf numFmtId="0" fontId="7" fillId="5" borderId="27" xfId="1" applyFont="1" applyFill="1" applyBorder="1" applyAlignment="1">
      <alignment horizontal="center" vertical="top" wrapText="1"/>
    </xf>
    <xf numFmtId="0" fontId="7" fillId="5" borderId="3" xfId="1" applyFont="1" applyFill="1" applyBorder="1" applyAlignment="1">
      <alignment horizontal="center" vertical="top" wrapText="1"/>
    </xf>
    <xf numFmtId="1" fontId="7" fillId="6" borderId="30" xfId="1" applyNumberFormat="1" applyFont="1" applyFill="1" applyBorder="1" applyAlignment="1">
      <alignment horizontal="center" vertical="center" wrapText="1"/>
    </xf>
    <xf numFmtId="1" fontId="7" fillId="6" borderId="31" xfId="1" applyNumberFormat="1" applyFont="1" applyFill="1" applyBorder="1" applyAlignment="1">
      <alignment horizontal="center" vertical="center" wrapText="1"/>
    </xf>
    <xf numFmtId="0" fontId="6" fillId="12" borderId="8" xfId="1" applyFont="1" applyFill="1" applyBorder="1" applyAlignment="1">
      <alignment horizontal="center" vertical="center" wrapText="1"/>
    </xf>
    <xf numFmtId="0" fontId="6" fillId="12" borderId="24" xfId="1" applyFont="1" applyFill="1" applyBorder="1" applyAlignment="1">
      <alignment horizontal="center" vertical="center" wrapText="1"/>
    </xf>
    <xf numFmtId="0" fontId="6" fillId="12" borderId="10" xfId="1" applyFont="1" applyFill="1" applyBorder="1" applyAlignment="1">
      <alignment horizontal="center" vertical="center" wrapText="1"/>
    </xf>
    <xf numFmtId="3" fontId="6" fillId="0" borderId="5" xfId="1" applyNumberFormat="1" applyFont="1" applyBorder="1" applyAlignment="1">
      <alignment horizontal="center" vertical="center"/>
    </xf>
    <xf numFmtId="3" fontId="6" fillId="0" borderId="17" xfId="1" applyNumberFormat="1" applyFont="1" applyBorder="1" applyAlignment="1">
      <alignment horizontal="center" vertical="center"/>
    </xf>
    <xf numFmtId="1" fontId="6" fillId="2" borderId="32" xfId="1" applyNumberFormat="1" applyFont="1" applyFill="1" applyBorder="1" applyAlignment="1">
      <alignment horizontal="center" vertical="center" wrapText="1"/>
    </xf>
    <xf numFmtId="1" fontId="6" fillId="2" borderId="33" xfId="1" applyNumberFormat="1" applyFont="1" applyFill="1" applyBorder="1" applyAlignment="1">
      <alignment horizontal="center" vertical="center" wrapText="1"/>
    </xf>
    <xf numFmtId="3" fontId="6" fillId="0" borderId="39" xfId="1" applyNumberFormat="1" applyFont="1" applyBorder="1" applyAlignment="1">
      <alignment horizontal="center" vertical="center"/>
    </xf>
    <xf numFmtId="3" fontId="6" fillId="0" borderId="11" xfId="1" applyNumberFormat="1" applyFont="1" applyBorder="1" applyAlignment="1">
      <alignment horizontal="center" vertical="center"/>
    </xf>
    <xf numFmtId="3" fontId="6" fillId="0" borderId="25" xfId="1" applyNumberFormat="1" applyFont="1" applyBorder="1" applyAlignment="1">
      <alignment horizontal="center" vertical="center"/>
    </xf>
    <xf numFmtId="3" fontId="8" fillId="0" borderId="12" xfId="1" applyNumberFormat="1" applyFont="1" applyBorder="1" applyAlignment="1">
      <alignment horizontal="center" vertical="center"/>
    </xf>
    <xf numFmtId="3" fontId="8" fillId="0" borderId="24" xfId="1" applyNumberFormat="1" applyFont="1" applyBorder="1" applyAlignment="1">
      <alignment horizontal="center" vertical="center"/>
    </xf>
    <xf numFmtId="3" fontId="8" fillId="0" borderId="10" xfId="1" applyNumberFormat="1" applyFont="1" applyBorder="1" applyAlignment="1">
      <alignment horizontal="center" vertical="center"/>
    </xf>
    <xf numFmtId="0" fontId="3" fillId="0" borderId="0" xfId="0" applyFont="1"/>
    <xf numFmtId="0" fontId="11" fillId="0" borderId="0" xfId="0" applyFont="1"/>
    <xf numFmtId="0" fontId="0" fillId="0" borderId="0" xfId="0"/>
  </cellXfs>
  <cellStyles count="4">
    <cellStyle name="Обычный" xfId="0" builtinId="0"/>
    <cellStyle name="Обычный 2" xfId="1" xr:uid="{69FA4EA0-3ED3-470A-A47C-FF6F84116AC3}"/>
    <cellStyle name="Обычный 2 2" xfId="2" xr:uid="{D26734AA-075E-49A2-960D-868841B70C76}"/>
    <cellStyle name="Процентный" xfId="3" builtinId="5"/>
  </cellStyles>
  <dxfs count="13">
    <dxf>
      <fill>
        <patternFill patternType="none">
          <bgColor auto="1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strike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ill>
        <patternFill patternType="solid">
          <bgColor rgb="FFFF9999"/>
        </patternFill>
      </fill>
    </dxf>
    <dxf>
      <font>
        <color auto="1"/>
      </font>
      <fill>
        <patternFill>
          <bgColor rgb="FFC6EFCE"/>
        </patternFill>
      </fill>
    </dxf>
    <dxf>
      <fill>
        <patternFill patternType="solid">
          <bgColor rgb="FFFF9999"/>
        </patternFill>
      </fill>
    </dxf>
    <dxf>
      <font>
        <color auto="1"/>
      </font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CC99"/>
      <color rgb="FFCCFFCC"/>
      <color rgb="FF33CCFF"/>
      <color rgb="FF66FFCC"/>
      <color rgb="FFFFCC00"/>
      <color rgb="FFFF9999"/>
      <color rgb="FFCC99FF"/>
      <color rgb="FFCC66FF"/>
      <color rgb="FF9933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UNIT%20&#1055;&#1051;&#1040;&#1053;.xlsx" TargetMode="External"/><Relationship Id="rId1" Type="http://schemas.openxmlformats.org/officeDocument/2006/relationships/externalLinkPath" Target="UNIT%20&#1055;&#1051;&#1040;&#105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&#1047;&#1072;&#1082;&#1072;&#1079;&#1099;%20&#1050;&#1080;&#1090;&#1072;&#1081;\22%20&#1086;&#1090;%2014.05.2026\&#1047;&#1072;&#1082;&#1072;&#1079;%201281-22.xlsx" TargetMode="External"/><Relationship Id="rId1" Type="http://schemas.openxmlformats.org/officeDocument/2006/relationships/externalLinkPath" Target="&#1047;&#1072;&#1082;&#1072;&#1079;&#1099;%20&#1050;&#1080;&#1090;&#1072;&#1081;/22%20&#1086;&#1090;%2014.05.2026/&#1047;&#1072;&#1082;&#1072;&#1079;%201281-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&#1060;&#1060;\&#1058;&#1047;_&#1060;&#1060;.xlsx" TargetMode="External"/><Relationship Id="rId1" Type="http://schemas.openxmlformats.org/officeDocument/2006/relationships/externalLinkPath" Target="&#1060;&#1060;/&#1058;&#1047;_&#1060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Юнит"/>
      <sheetName val="Юнит Карго"/>
      <sheetName val="Расчет Карго"/>
      <sheetName val="Себес"/>
      <sheetName val="Себес 1С текущ"/>
      <sheetName val="Структура артикула"/>
      <sheetName val="Тарифы ОЗОН"/>
      <sheetName val="Тарифы ВБ"/>
      <sheetName val="Нормативное время доставки"/>
    </sheetNames>
    <sheetDataSet>
      <sheetData sheetId="0">
        <row r="1">
          <cell r="D1"/>
          <cell r="E1"/>
        </row>
        <row r="2">
          <cell r="D2"/>
          <cell r="E2"/>
        </row>
        <row r="3">
          <cell r="D3" t="str">
            <v>Номенклатура</v>
          </cell>
          <cell r="E3" t="str">
            <v>Штрихкод</v>
          </cell>
        </row>
        <row r="4">
          <cell r="D4" t="str">
            <v>4</v>
          </cell>
          <cell r="E4" t="str">
            <v>5</v>
          </cell>
        </row>
        <row r="5">
          <cell r="A5">
            <v>169112569</v>
          </cell>
          <cell r="B5"/>
          <cell r="C5" t="str">
            <v>ACRF1BN101PN</v>
          </cell>
          <cell r="D5" t="str">
            <v>Бандаж для лица розовый</v>
          </cell>
          <cell r="E5">
            <v>2038161736993</v>
          </cell>
        </row>
        <row r="6">
          <cell r="A6">
            <v>169153168</v>
          </cell>
          <cell r="B6">
            <v>2453533282</v>
          </cell>
          <cell r="C6" t="str">
            <v>ACRF1BN101BC</v>
          </cell>
          <cell r="D6" t="str">
            <v>Бандаж для лица черный</v>
          </cell>
          <cell r="E6">
            <v>2038162681926</v>
          </cell>
        </row>
        <row r="7">
          <cell r="A7">
            <v>169395410</v>
          </cell>
          <cell r="B7">
            <v>2419349210</v>
          </cell>
          <cell r="C7" t="str">
            <v>ACRF1BN201GR</v>
          </cell>
          <cell r="D7" t="str">
            <v>Бандаж для лица серый</v>
          </cell>
          <cell r="E7">
            <v>2038172050200</v>
          </cell>
        </row>
        <row r="8">
          <cell r="A8">
            <v>172832355</v>
          </cell>
          <cell r="B8">
            <v>2419349460</v>
          </cell>
          <cell r="C8" t="str">
            <v>AHMA7BW101BG</v>
          </cell>
          <cell r="D8" t="str">
            <v>Мешки 7 шт.</v>
          </cell>
          <cell r="E8">
            <v>2038337652454</v>
          </cell>
        </row>
        <row r="9">
          <cell r="A9">
            <v>176500218</v>
          </cell>
          <cell r="B9">
            <v>2138709303</v>
          </cell>
          <cell r="C9" t="str">
            <v>AHMA1BW101BG</v>
          </cell>
          <cell r="D9" t="str">
            <v>Мешок для бюстгалтеров</v>
          </cell>
          <cell r="E9">
            <v>2038597850744</v>
          </cell>
        </row>
        <row r="10">
          <cell r="A10">
            <v>177404837</v>
          </cell>
          <cell r="B10">
            <v>2419349262</v>
          </cell>
          <cell r="C10" t="str">
            <v>AHMA3BW101BG</v>
          </cell>
          <cell r="D10" t="str">
            <v>Мешки 3 шт.</v>
          </cell>
          <cell r="E10">
            <v>2038627692689</v>
          </cell>
        </row>
        <row r="11">
          <cell r="A11">
            <v>177405495</v>
          </cell>
          <cell r="B11">
            <v>2576041357</v>
          </cell>
          <cell r="C11" t="str">
            <v>AHMA3BW102BG</v>
          </cell>
          <cell r="D11" t="str">
            <v>Мешки/деликат 3 шт.</v>
          </cell>
          <cell r="E11">
            <v>2038627713902</v>
          </cell>
        </row>
        <row r="12">
          <cell r="A12">
            <v>176721350</v>
          </cell>
          <cell r="B12">
            <v>2419349585</v>
          </cell>
          <cell r="C12" t="str">
            <v>AHMA3BW201WH</v>
          </cell>
          <cell r="D12" t="str">
            <v>Мешки/шнурок мелк 3 шт.</v>
          </cell>
          <cell r="E12">
            <v>2038606201642</v>
          </cell>
        </row>
        <row r="13">
          <cell r="A13">
            <v>176723275</v>
          </cell>
          <cell r="B13">
            <v>2419349501</v>
          </cell>
          <cell r="C13" t="str">
            <v>AHMA3BW202WH</v>
          </cell>
          <cell r="D13" t="str">
            <v>Мешки/шнурок крупн 3 шт.</v>
          </cell>
          <cell r="E13">
            <v>2038606256161</v>
          </cell>
        </row>
        <row r="14">
          <cell r="A14">
            <v>204615141</v>
          </cell>
          <cell r="B14">
            <v>2419349453</v>
          </cell>
          <cell r="C14" t="str">
            <v>AHMA2BW201WH</v>
          </cell>
          <cell r="D14" t="str">
            <v>Мешки 2 шт. серый</v>
          </cell>
          <cell r="E14">
            <v>2039404446068</v>
          </cell>
        </row>
        <row r="15">
          <cell r="A15">
            <v>236074677</v>
          </cell>
          <cell r="B15"/>
          <cell r="C15" t="str">
            <v>AHMA2BW202WH</v>
          </cell>
          <cell r="D15" t="str">
            <v>Мешки 2 шт. розовый</v>
          </cell>
          <cell r="E15">
            <v>2040278862540</v>
          </cell>
        </row>
        <row r="16">
          <cell r="A16">
            <v>236929187</v>
          </cell>
          <cell r="B16">
            <v>2419349360</v>
          </cell>
          <cell r="C16" t="str">
            <v>AHMA1BW112WH</v>
          </cell>
          <cell r="D16" t="str">
            <v>Мешок 60*80 крупн</v>
          </cell>
          <cell r="E16">
            <v>2040335626849</v>
          </cell>
        </row>
        <row r="17">
          <cell r="A17">
            <v>236929188</v>
          </cell>
          <cell r="B17">
            <v>2419349422</v>
          </cell>
          <cell r="C17" t="str">
            <v>AHMA1BW111WH</v>
          </cell>
          <cell r="D17" t="str">
            <v>Мешок 60*80 мелк</v>
          </cell>
          <cell r="E17">
            <v>2040335648124</v>
          </cell>
        </row>
        <row r="18">
          <cell r="A18">
            <v>239235150</v>
          </cell>
          <cell r="B18"/>
          <cell r="C18" t="str">
            <v>AHMA1BW301WH</v>
          </cell>
          <cell r="D18" t="str">
            <v>Мешок для обуви L - 30 см</v>
          </cell>
          <cell r="E18">
            <v>2040478720961</v>
          </cell>
        </row>
        <row r="19">
          <cell r="A19">
            <v>239233529</v>
          </cell>
          <cell r="B19"/>
          <cell r="C19" t="str">
            <v>AHMA1BW302WH</v>
          </cell>
          <cell r="D19" t="str">
            <v>Мешок для обуви XL - 35 см</v>
          </cell>
          <cell r="E19">
            <v>2040478696884</v>
          </cell>
        </row>
        <row r="20">
          <cell r="A20">
            <v>173605843</v>
          </cell>
          <cell r="B20">
            <v>1597441701</v>
          </cell>
          <cell r="C20" t="str">
            <v>ACRH1MS101RJ</v>
          </cell>
          <cell r="D20" t="str">
            <v>Массажер для пальцев</v>
          </cell>
          <cell r="E20">
            <v>2038430289250</v>
          </cell>
        </row>
        <row r="21">
          <cell r="A21">
            <v>223420736</v>
          </cell>
          <cell r="B21">
            <v>2415742732</v>
          </cell>
          <cell r="C21" t="str">
            <v>ACRB1MS101RJ</v>
          </cell>
          <cell r="D21" t="str">
            <v>Массажер для тела оранжевый</v>
          </cell>
          <cell r="E21">
            <v>2039813223373</v>
          </cell>
        </row>
        <row r="22">
          <cell r="A22">
            <v>275208801</v>
          </cell>
          <cell r="B22">
            <v>2415742511</v>
          </cell>
          <cell r="C22" t="str">
            <v>ACRB1MS101PN</v>
          </cell>
          <cell r="D22" t="str">
            <v>Массажер для тела розовый</v>
          </cell>
          <cell r="E22">
            <v>2041591042329</v>
          </cell>
        </row>
        <row r="23">
          <cell r="A23">
            <v>275208802</v>
          </cell>
          <cell r="B23">
            <v>2415742636</v>
          </cell>
          <cell r="C23" t="str">
            <v>ACRB1MS101BL</v>
          </cell>
          <cell r="D23" t="str">
            <v>Массажер для тела голубой</v>
          </cell>
          <cell r="E23">
            <v>2041591055954</v>
          </cell>
        </row>
        <row r="24">
          <cell r="A24">
            <v>236072835</v>
          </cell>
          <cell r="B24">
            <v>1980924906</v>
          </cell>
          <cell r="C24" t="str">
            <v>ACRB1MS106WH</v>
          </cell>
          <cell r="D24" t="str">
            <v>Мяч с шипами белый 6 см</v>
          </cell>
          <cell r="E24">
            <v>2040278804496</v>
          </cell>
        </row>
        <row r="25">
          <cell r="A25">
            <v>236072836</v>
          </cell>
          <cell r="B25">
            <v>1980925084</v>
          </cell>
          <cell r="C25" t="str">
            <v>ACRB1MS106PN</v>
          </cell>
          <cell r="D25" t="str">
            <v>Мяч с шипами розовый 6 см</v>
          </cell>
          <cell r="E25">
            <v>2040278810534</v>
          </cell>
        </row>
        <row r="26">
          <cell r="A26">
            <v>236072834</v>
          </cell>
          <cell r="B26">
            <v>1980924909</v>
          </cell>
          <cell r="C26" t="str">
            <v>ACRB1MS106BL</v>
          </cell>
          <cell r="D26" t="str">
            <v>Мяч с шипами голубой 6 см</v>
          </cell>
          <cell r="E26">
            <v>2040278804649</v>
          </cell>
        </row>
        <row r="27">
          <cell r="A27">
            <v>223671295</v>
          </cell>
          <cell r="B27">
            <v>1980924947</v>
          </cell>
          <cell r="C27" t="str">
            <v>ACRB1MS106RJ</v>
          </cell>
          <cell r="D27" t="str">
            <v>Мяч с шипами оранжевый 6 см</v>
          </cell>
          <cell r="E27">
            <v>2039818580389</v>
          </cell>
        </row>
        <row r="28">
          <cell r="A28">
            <v>370591238</v>
          </cell>
          <cell r="B28">
            <v>1980924996</v>
          </cell>
          <cell r="C28" t="str">
            <v>ACRB1MS106BС</v>
          </cell>
          <cell r="D28" t="str">
            <v>Мяч с шипами черный 6 см</v>
          </cell>
          <cell r="E28">
            <v>2043369663040</v>
          </cell>
        </row>
        <row r="29">
          <cell r="A29">
            <v>419145391</v>
          </cell>
          <cell r="B29">
            <v>2415742768</v>
          </cell>
          <cell r="C29" t="str">
            <v>ACRB1MS107WH</v>
          </cell>
          <cell r="D29" t="str">
            <v>Мяч с шипами белый 7 см</v>
          </cell>
          <cell r="E29">
            <v>2044025326637</v>
          </cell>
        </row>
        <row r="30">
          <cell r="A30">
            <v>419145389</v>
          </cell>
          <cell r="B30">
            <v>2415742912</v>
          </cell>
          <cell r="C30" t="str">
            <v>ACRB1MS107PN</v>
          </cell>
          <cell r="D30" t="str">
            <v>Мяч с шипами розовый 7 см</v>
          </cell>
          <cell r="E30">
            <v>2044025316447</v>
          </cell>
        </row>
        <row r="31">
          <cell r="A31">
            <v>419145748</v>
          </cell>
          <cell r="B31">
            <v>2415742611</v>
          </cell>
          <cell r="C31" t="str">
            <v>ACRB1MS107BL</v>
          </cell>
          <cell r="D31" t="str">
            <v>Мяч с шипами голубой 7 см</v>
          </cell>
          <cell r="E31">
            <v>2044025338661</v>
          </cell>
        </row>
        <row r="32">
          <cell r="A32">
            <v>419141548</v>
          </cell>
          <cell r="B32">
            <v>2415742942</v>
          </cell>
          <cell r="C32" t="str">
            <v>ACRB1MS107RJ</v>
          </cell>
          <cell r="D32" t="str">
            <v>Мяч с шипами оранжевый 7 см</v>
          </cell>
          <cell r="E32">
            <v>2044025288003</v>
          </cell>
        </row>
        <row r="33">
          <cell r="A33">
            <v>419145985</v>
          </cell>
          <cell r="B33">
            <v>2415742795</v>
          </cell>
          <cell r="C33" t="str">
            <v>ACRB1MS107BС</v>
          </cell>
          <cell r="D33" t="str">
            <v>Мяч с шипами черный 7 см</v>
          </cell>
          <cell r="E33">
            <v>2044025344532</v>
          </cell>
        </row>
        <row r="34">
          <cell r="A34">
            <v>419145390</v>
          </cell>
          <cell r="B34">
            <v>2415742470</v>
          </cell>
          <cell r="C34" t="str">
            <v>ACRB1MS109PN</v>
          </cell>
          <cell r="D34" t="str">
            <v>Мяч с шипами розовый 9 см</v>
          </cell>
          <cell r="E34">
            <v>2044025321588</v>
          </cell>
        </row>
        <row r="35">
          <cell r="A35">
            <v>419145749</v>
          </cell>
          <cell r="B35">
            <v>2415742615</v>
          </cell>
          <cell r="C35" t="str">
            <v>ACRB1MS109BL</v>
          </cell>
          <cell r="D35" t="str">
            <v>Мяч с шипами голубой 9 см</v>
          </cell>
          <cell r="E35">
            <v>2044025342057</v>
          </cell>
        </row>
        <row r="36">
          <cell r="A36">
            <v>419141549</v>
          </cell>
          <cell r="B36">
            <v>2415742943</v>
          </cell>
          <cell r="C36" t="str">
            <v>ACRB1MS109RJ</v>
          </cell>
          <cell r="D36" t="str">
            <v>Мяч с шипами оранжевый 9 см</v>
          </cell>
          <cell r="E36">
            <v>2044025291485</v>
          </cell>
        </row>
        <row r="37">
          <cell r="A37">
            <v>419145986</v>
          </cell>
          <cell r="B37">
            <v>2415742693</v>
          </cell>
          <cell r="C37" t="str">
            <v>ACRB1MS109BС</v>
          </cell>
          <cell r="D37" t="str">
            <v>Мяч с шипами черный 9 см</v>
          </cell>
          <cell r="E37">
            <v>2044025347953</v>
          </cell>
        </row>
        <row r="38">
          <cell r="A38">
            <v>419146579</v>
          </cell>
          <cell r="B38">
            <v>2415742565</v>
          </cell>
          <cell r="C38" t="str">
            <v>ACRB1MS109LI</v>
          </cell>
          <cell r="D38" t="str">
            <v>Мяч с шипами фиолетовый 9 см</v>
          </cell>
          <cell r="E38">
            <v>2044025354937</v>
          </cell>
        </row>
        <row r="39">
          <cell r="A39">
            <v>340734340</v>
          </cell>
          <cell r="B39">
            <v>2415742594</v>
          </cell>
          <cell r="C39" t="str">
            <v>ACRB1MS103PN</v>
          </cell>
          <cell r="D39" t="str">
            <v>Мяч гладкий розовый</v>
          </cell>
          <cell r="E39">
            <v>2042985583893</v>
          </cell>
        </row>
        <row r="40">
          <cell r="A40">
            <v>340741532</v>
          </cell>
          <cell r="B40">
            <v>2415743200</v>
          </cell>
          <cell r="C40" t="str">
            <v>ACRB1MS103BL</v>
          </cell>
          <cell r="D40" t="str">
            <v>Мяч гладкий голубой</v>
          </cell>
          <cell r="E40">
            <v>2042986356632</v>
          </cell>
        </row>
        <row r="41">
          <cell r="A41">
            <v>340743352</v>
          </cell>
          <cell r="B41">
            <v>2415742578</v>
          </cell>
          <cell r="C41" t="str">
            <v>ACRB1MS103LI</v>
          </cell>
          <cell r="D41" t="str">
            <v>Мяч гладкий сиреневый</v>
          </cell>
          <cell r="E41">
            <v>2042986372359</v>
          </cell>
        </row>
        <row r="42">
          <cell r="A42">
            <v>340743911</v>
          </cell>
          <cell r="B42">
            <v>2415742537</v>
          </cell>
          <cell r="C42" t="str">
            <v>ACRB1MS103RJ</v>
          </cell>
          <cell r="D42" t="str">
            <v>Мяч гладкий оранжевый</v>
          </cell>
          <cell r="E42">
            <v>2042986377583</v>
          </cell>
        </row>
        <row r="43">
          <cell r="A43">
            <v>820643010</v>
          </cell>
          <cell r="B43"/>
          <cell r="C43" t="str">
            <v>ACRB3FR101CL</v>
          </cell>
          <cell r="D43" t="str">
            <v>Набор эластичных лент 3 шт. в мешке</v>
          </cell>
          <cell r="E43">
            <v>2048933027488</v>
          </cell>
        </row>
        <row r="44">
          <cell r="A44">
            <v>550539998</v>
          </cell>
          <cell r="B44"/>
          <cell r="C44" t="str">
            <v>ACRB5FR200CL</v>
          </cell>
          <cell r="D44" t="str">
            <v>Набор эластичных лент 5 шт. в мешке</v>
          </cell>
          <cell r="E44">
            <v>2046392546618</v>
          </cell>
        </row>
        <row r="45">
          <cell r="A45">
            <v>550539999</v>
          </cell>
          <cell r="B45"/>
          <cell r="C45" t="str">
            <v>ACRB4FR300CL</v>
          </cell>
          <cell r="D45" t="str">
            <v>Набор эластичных лент 4 шт.</v>
          </cell>
          <cell r="E45">
            <v>2046392546632</v>
          </cell>
        </row>
        <row r="46">
          <cell r="A46">
            <v>550540000</v>
          </cell>
          <cell r="B46"/>
          <cell r="C46" t="str">
            <v>ACRB5FR400CL</v>
          </cell>
          <cell r="D46" t="str">
            <v>Набор эластичных лент 5 шт.</v>
          </cell>
          <cell r="E46">
            <v>2046392546656</v>
          </cell>
        </row>
        <row r="47">
          <cell r="A47">
            <v>271440668</v>
          </cell>
          <cell r="B47">
            <v>2415742680</v>
          </cell>
          <cell r="C47" t="str">
            <v>ACRB1SK101BC</v>
          </cell>
          <cell r="D47" t="str">
            <v>Скакалка черная</v>
          </cell>
          <cell r="E47">
            <v>2041473034138</v>
          </cell>
        </row>
        <row r="48">
          <cell r="A48">
            <v>271440669</v>
          </cell>
          <cell r="B48">
            <v>2415742649</v>
          </cell>
          <cell r="C48" t="str">
            <v>ACRB1SK101RD</v>
          </cell>
          <cell r="D48" t="str">
            <v>Скакалка красная</v>
          </cell>
          <cell r="E48">
            <v>2041473034145</v>
          </cell>
        </row>
        <row r="49">
          <cell r="A49">
            <v>271440670</v>
          </cell>
          <cell r="B49">
            <v>2415743140</v>
          </cell>
          <cell r="C49" t="str">
            <v>ACRB1SK101BL</v>
          </cell>
          <cell r="D49" t="str">
            <v>Скакалка синяя</v>
          </cell>
          <cell r="E49">
            <v>2041473034169</v>
          </cell>
        </row>
        <row r="50">
          <cell r="A50">
            <v>550445272</v>
          </cell>
          <cell r="B50"/>
          <cell r="C50" t="str">
            <v>ACRF1KP101BC</v>
          </cell>
          <cell r="D50" t="str">
            <v>Капа черный/красный - черная коробка</v>
          </cell>
          <cell r="E50">
            <v>2046391283330</v>
          </cell>
        </row>
        <row r="51">
          <cell r="A51">
            <v>550445274</v>
          </cell>
          <cell r="B51"/>
          <cell r="C51" t="str">
            <v>ACRF1KP102BC</v>
          </cell>
          <cell r="D51" t="str">
            <v>Капа черный/белый-черная коробка</v>
          </cell>
          <cell r="E51">
            <v>2046391283385</v>
          </cell>
        </row>
        <row r="52">
          <cell r="A52">
            <v>550445275</v>
          </cell>
          <cell r="B52"/>
          <cell r="C52" t="str">
            <v>ACRF1KP103BC</v>
          </cell>
          <cell r="D52" t="str">
            <v>Капа белый/черный</v>
          </cell>
          <cell r="E52">
            <v>2046391283415</v>
          </cell>
        </row>
        <row r="53">
          <cell r="A53">
            <v>550445277</v>
          </cell>
          <cell r="B53"/>
          <cell r="C53" t="str">
            <v>ACRF1KP101RD</v>
          </cell>
          <cell r="D53" t="str">
            <v>Капа белый/красный</v>
          </cell>
          <cell r="E53">
            <v>2046391283446</v>
          </cell>
        </row>
        <row r="54">
          <cell r="A54">
            <v>550445279</v>
          </cell>
          <cell r="B54"/>
          <cell r="C54" t="str">
            <v>ACRF1KP102RD</v>
          </cell>
          <cell r="D54" t="str">
            <v>Капа красный/белый</v>
          </cell>
          <cell r="E54">
            <v>2046391283507</v>
          </cell>
        </row>
        <row r="55">
          <cell r="A55">
            <v>550445280</v>
          </cell>
          <cell r="B55"/>
          <cell r="C55" t="str">
            <v>ACRF1KP101BL</v>
          </cell>
          <cell r="D55" t="str">
            <v>Капа синий/белый</v>
          </cell>
          <cell r="E55">
            <v>2046391283545</v>
          </cell>
        </row>
        <row r="56">
          <cell r="A56">
            <v>550445281</v>
          </cell>
          <cell r="B56"/>
          <cell r="C56" t="str">
            <v>ACRF1KP101GN</v>
          </cell>
          <cell r="D56" t="str">
            <v>Капа зеленый/белый</v>
          </cell>
          <cell r="E56">
            <v>2046391283569</v>
          </cell>
        </row>
        <row r="57">
          <cell r="A57">
            <v>550445283</v>
          </cell>
          <cell r="B57"/>
          <cell r="C57" t="str">
            <v>ACRF1KP102GN</v>
          </cell>
          <cell r="D57" t="str">
            <v>Капа зеленый/черный</v>
          </cell>
          <cell r="E57">
            <v>2046391283613</v>
          </cell>
        </row>
        <row r="58">
          <cell r="A58">
            <v>186826338</v>
          </cell>
          <cell r="B58">
            <v>1980946313</v>
          </cell>
          <cell r="C58" t="str">
            <v>ACRA7TB201BC</v>
          </cell>
          <cell r="D58" t="str">
            <v>Таблетница прям 7*2 черн</v>
          </cell>
          <cell r="E58">
            <v>2038891723249</v>
          </cell>
        </row>
        <row r="59">
          <cell r="A59">
            <v>419130077</v>
          </cell>
          <cell r="B59">
            <v>2168964833</v>
          </cell>
          <cell r="C59" t="str">
            <v>ACRA7TB201CL</v>
          </cell>
          <cell r="D59" t="str">
            <v>Таблетница прям 7*2 черн/цветн</v>
          </cell>
          <cell r="E59">
            <v>2044025155923</v>
          </cell>
        </row>
        <row r="60">
          <cell r="A60">
            <v>448248943</v>
          </cell>
          <cell r="B60">
            <v>2409846808</v>
          </cell>
          <cell r="C60" t="str">
            <v>ACRA7TB201WH</v>
          </cell>
          <cell r="D60" t="str">
            <v>Таблетница прям 7*2 бел/цветн</v>
          </cell>
          <cell r="E60">
            <v>2044516485386</v>
          </cell>
        </row>
        <row r="61">
          <cell r="A61">
            <v>448254852</v>
          </cell>
          <cell r="B61">
            <v>2409845343</v>
          </cell>
          <cell r="C61" t="str">
            <v>ACRA7TB201LI</v>
          </cell>
          <cell r="D61" t="str">
            <v>Таблетница прям 7*2 сирен/цветн</v>
          </cell>
          <cell r="E61">
            <v>2044516498812</v>
          </cell>
        </row>
        <row r="62">
          <cell r="A62">
            <v>186800214</v>
          </cell>
          <cell r="B62">
            <v>2087001323</v>
          </cell>
          <cell r="C62" t="str">
            <v>ACRA7TB101BC</v>
          </cell>
          <cell r="D62" t="str">
            <v>Таблетница круглая 7*2 черн</v>
          </cell>
          <cell r="E62">
            <v>2038890789598</v>
          </cell>
        </row>
        <row r="63">
          <cell r="A63">
            <v>298193176</v>
          </cell>
          <cell r="B63">
            <v>2087000633</v>
          </cell>
          <cell r="C63" t="str">
            <v>ACRA7TB101CL</v>
          </cell>
          <cell r="D63" t="str">
            <v>Таблетница круглая 7*2 черн/цвет</v>
          </cell>
          <cell r="E63">
            <v>2042160422832</v>
          </cell>
        </row>
        <row r="64">
          <cell r="A64">
            <v>278515093</v>
          </cell>
          <cell r="B64">
            <v>2082252055</v>
          </cell>
          <cell r="C64" t="str">
            <v>ACRA7TB301GR</v>
          </cell>
          <cell r="D64" t="str">
            <v>Таблетница круглая 7*2 сер</v>
          </cell>
          <cell r="E64">
            <v>2041680530447</v>
          </cell>
        </row>
        <row r="65">
          <cell r="A65">
            <v>345168494</v>
          </cell>
          <cell r="B65">
            <v>2082255799</v>
          </cell>
          <cell r="C65" t="str">
            <v>ACRA7TB301CL</v>
          </cell>
          <cell r="D65" t="str">
            <v>Таблетница круглая 7*2 сер /цвет</v>
          </cell>
          <cell r="E65">
            <v>2043048226719</v>
          </cell>
        </row>
        <row r="66">
          <cell r="A66">
            <v>273516556</v>
          </cell>
          <cell r="B66">
            <v>2138705583</v>
          </cell>
          <cell r="C66" t="str">
            <v>ACRA7TB301WH</v>
          </cell>
          <cell r="D66" t="str">
            <v>Таблетница круглая 7*2 бел</v>
          </cell>
          <cell r="E66">
            <v>2041532808502</v>
          </cell>
        </row>
        <row r="67">
          <cell r="A67">
            <v>321907864</v>
          </cell>
          <cell r="B67">
            <v>2415742998</v>
          </cell>
          <cell r="C67" t="str">
            <v>ACRA7TB401BC</v>
          </cell>
          <cell r="D67" t="str">
            <v>Таблетница автомат 7*2 черн</v>
          </cell>
          <cell r="E67">
            <v>2042676873814</v>
          </cell>
        </row>
        <row r="68">
          <cell r="A68">
            <v>271441230</v>
          </cell>
          <cell r="B68"/>
          <cell r="C68" t="str">
            <v>ACRB1SK201BC</v>
          </cell>
          <cell r="D68" t="str">
            <v>Скакалка со счетчиком</v>
          </cell>
          <cell r="E68">
            <v>2041473042966</v>
          </cell>
        </row>
        <row r="69">
          <cell r="A69">
            <v>251537223</v>
          </cell>
          <cell r="B69">
            <v>2415742463</v>
          </cell>
          <cell r="C69" t="str">
            <v>AAND1BL101RD</v>
          </cell>
          <cell r="D69" t="str">
            <v>Мяч регби красный</v>
          </cell>
          <cell r="E69">
            <v>2040903539366</v>
          </cell>
        </row>
        <row r="70">
          <cell r="A70">
            <v>251537413</v>
          </cell>
          <cell r="B70">
            <v>2415743157</v>
          </cell>
          <cell r="C70" t="str">
            <v>AAND1BL101BL</v>
          </cell>
          <cell r="D70" t="str">
            <v>Мяч регби синий</v>
          </cell>
          <cell r="E70">
            <v>2040903547941</v>
          </cell>
        </row>
        <row r="71">
          <cell r="A71">
            <v>251516159</v>
          </cell>
          <cell r="B71">
            <v>1980956952</v>
          </cell>
          <cell r="C71" t="str">
            <v>AAND1BL102RD</v>
          </cell>
          <cell r="D71" t="str">
            <v>Мяч шина красный</v>
          </cell>
          <cell r="E71">
            <v>2040902555480</v>
          </cell>
        </row>
        <row r="72">
          <cell r="A72">
            <v>251407392</v>
          </cell>
          <cell r="B72">
            <v>1980958902</v>
          </cell>
          <cell r="C72" t="str">
            <v>AAND1BL102BL</v>
          </cell>
          <cell r="D72" t="str">
            <v>Мяч шина синий</v>
          </cell>
          <cell r="E72">
            <v>2040900511679</v>
          </cell>
        </row>
        <row r="73">
          <cell r="A73">
            <v>302564795</v>
          </cell>
          <cell r="B73"/>
          <cell r="C73" t="str">
            <v>AAND1ST202BL</v>
          </cell>
          <cell r="D73" t="str">
            <v>Палочка для жевания</v>
          </cell>
          <cell r="E73">
            <v>2042253544953</v>
          </cell>
        </row>
        <row r="74">
          <cell r="A74">
            <v>273588520</v>
          </cell>
          <cell r="B74"/>
          <cell r="C74" t="str">
            <v>AAND1RP301BG</v>
          </cell>
          <cell r="D74" t="str">
            <v>Канат бол бежевый 55см/520гр</v>
          </cell>
          <cell r="E74">
            <v>2041534216404</v>
          </cell>
        </row>
        <row r="75">
          <cell r="A75">
            <v>273589771</v>
          </cell>
          <cell r="B75"/>
          <cell r="C75" t="str">
            <v>AAND1RP301YL</v>
          </cell>
          <cell r="D75" t="str">
            <v>Канат мал желтый 55см/330гр</v>
          </cell>
          <cell r="E75">
            <v>2041534288661</v>
          </cell>
        </row>
        <row r="76">
          <cell r="A76">
            <v>273556717</v>
          </cell>
          <cell r="B76">
            <v>2415742645</v>
          </cell>
          <cell r="C76" t="str">
            <v>AKTA4ST101CL</v>
          </cell>
          <cell r="D76" t="str">
            <v>Набор пробок 4 шт. в коробке нежн</v>
          </cell>
          <cell r="E76">
            <v>2041533648312</v>
          </cell>
        </row>
        <row r="77">
          <cell r="A77">
            <v>370594147</v>
          </cell>
          <cell r="B77">
            <v>2415742703</v>
          </cell>
          <cell r="C77" t="str">
            <v>AKTA4ST103CL</v>
          </cell>
          <cell r="D77" t="str">
            <v>Набор пробок 4 шт. в коробке ярк</v>
          </cell>
          <cell r="E77">
            <v>2043369755509</v>
          </cell>
        </row>
        <row r="78">
          <cell r="A78">
            <v>321959186</v>
          </cell>
          <cell r="B78">
            <v>2415742927</v>
          </cell>
          <cell r="C78" t="str">
            <v>AKTA4ST102CL</v>
          </cell>
          <cell r="D78" t="str">
            <v>Набор пробок 4 шт.</v>
          </cell>
          <cell r="E78">
            <v>2042678197468</v>
          </cell>
        </row>
        <row r="79">
          <cell r="A79">
            <v>273546535</v>
          </cell>
          <cell r="B79">
            <v>2086999506</v>
          </cell>
          <cell r="C79" t="str">
            <v>AKTA2KN101YL</v>
          </cell>
          <cell r="D79" t="str">
            <v>Шпатель желтый</v>
          </cell>
          <cell r="E79">
            <v>2041533399818</v>
          </cell>
        </row>
        <row r="80">
          <cell r="A80">
            <v>273551028</v>
          </cell>
          <cell r="B80"/>
          <cell r="C80" t="str">
            <v>AKTA2KN101BL</v>
          </cell>
          <cell r="D80" t="str">
            <v>Шпатель голубой</v>
          </cell>
          <cell r="E80">
            <v>2041533587000</v>
          </cell>
        </row>
        <row r="81">
          <cell r="A81">
            <v>273527791</v>
          </cell>
          <cell r="B81">
            <v>2092093001</v>
          </cell>
          <cell r="C81" t="str">
            <v>AKTA2KN102YL</v>
          </cell>
          <cell r="D81" t="str">
            <v>Нож для пиццы желтый</v>
          </cell>
          <cell r="E81">
            <v>2041533038113</v>
          </cell>
        </row>
        <row r="82">
          <cell r="A82">
            <v>327442631</v>
          </cell>
          <cell r="B82">
            <v>2087000111</v>
          </cell>
          <cell r="C82" t="str">
            <v>AKTA2KN102GN</v>
          </cell>
          <cell r="D82" t="str">
            <v>Нож для пиццы зеленый</v>
          </cell>
          <cell r="E82">
            <v>2042777181566</v>
          </cell>
        </row>
        <row r="83">
          <cell r="A83">
            <v>340948906</v>
          </cell>
          <cell r="B83"/>
          <cell r="C83" t="str">
            <v>AKTA1KN101GR</v>
          </cell>
          <cell r="D83" t="str">
            <v>Консервный нож</v>
          </cell>
          <cell r="E83">
            <v>2042988749289</v>
          </cell>
        </row>
        <row r="84">
          <cell r="A84">
            <v>340802685</v>
          </cell>
          <cell r="B84"/>
          <cell r="C84" t="str">
            <v>AKTA1PR101GR</v>
          </cell>
          <cell r="D84" t="str">
            <v>Чеснокодавка</v>
          </cell>
          <cell r="E84">
            <v>2042987041841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Расчет стоимости и веса"/>
      <sheetName val="Лист1"/>
    </sheetNames>
    <sheetDataSet>
      <sheetData sheetId="0">
        <row r="1">
          <cell r="D1" t="str">
            <v>Кол-во, шт. протянуть формулу и изменять в ручную.</v>
          </cell>
          <cell r="I1" t="str">
            <v>Арт ВБ</v>
          </cell>
        </row>
        <row r="2">
          <cell r="D2">
            <v>0</v>
          </cell>
          <cell r="I2">
            <v>169112569</v>
          </cell>
        </row>
        <row r="3">
          <cell r="D3">
            <v>40</v>
          </cell>
          <cell r="I3">
            <v>169153168</v>
          </cell>
        </row>
        <row r="4">
          <cell r="D4">
            <v>0</v>
          </cell>
        </row>
        <row r="5">
          <cell r="D5">
            <v>40</v>
          </cell>
          <cell r="I5">
            <v>169395410</v>
          </cell>
        </row>
        <row r="6">
          <cell r="D6">
            <v>0</v>
          </cell>
          <cell r="I6"/>
        </row>
        <row r="7">
          <cell r="D7">
            <v>0</v>
          </cell>
          <cell r="I7">
            <v>173605843</v>
          </cell>
        </row>
        <row r="8">
          <cell r="D8">
            <v>0</v>
          </cell>
          <cell r="I8"/>
        </row>
        <row r="9">
          <cell r="D9">
            <v>10</v>
          </cell>
          <cell r="I9">
            <v>275208801</v>
          </cell>
        </row>
        <row r="10">
          <cell r="D10">
            <v>60</v>
          </cell>
          <cell r="I10">
            <v>275208802</v>
          </cell>
        </row>
        <row r="11">
          <cell r="D11">
            <v>50</v>
          </cell>
          <cell r="I11">
            <v>223420736</v>
          </cell>
        </row>
        <row r="12">
          <cell r="D12">
            <v>0</v>
          </cell>
        </row>
        <row r="13">
          <cell r="D13">
            <v>125</v>
          </cell>
          <cell r="I13">
            <v>236072835</v>
          </cell>
        </row>
        <row r="14">
          <cell r="D14">
            <v>300</v>
          </cell>
          <cell r="I14">
            <v>236072836</v>
          </cell>
        </row>
        <row r="15">
          <cell r="D15">
            <v>120</v>
          </cell>
          <cell r="I15">
            <v>236072834</v>
          </cell>
        </row>
        <row r="16">
          <cell r="D16">
            <v>20</v>
          </cell>
          <cell r="I16">
            <v>223671295</v>
          </cell>
        </row>
        <row r="17">
          <cell r="D17">
            <v>250</v>
          </cell>
          <cell r="I17">
            <v>370591238</v>
          </cell>
        </row>
        <row r="18">
          <cell r="D18">
            <v>0</v>
          </cell>
        </row>
        <row r="19">
          <cell r="D19">
            <v>300</v>
          </cell>
          <cell r="I19">
            <v>419145391</v>
          </cell>
        </row>
        <row r="20">
          <cell r="D20">
            <v>60</v>
          </cell>
          <cell r="I20">
            <v>419145389</v>
          </cell>
        </row>
        <row r="21">
          <cell r="D21">
            <v>40</v>
          </cell>
          <cell r="I21">
            <v>419145748</v>
          </cell>
        </row>
        <row r="22">
          <cell r="D22">
            <v>30</v>
          </cell>
          <cell r="I22">
            <v>419141548</v>
          </cell>
        </row>
        <row r="23">
          <cell r="D23">
            <v>30</v>
          </cell>
          <cell r="I23">
            <v>419145985</v>
          </cell>
        </row>
        <row r="24">
          <cell r="D24">
            <v>0</v>
          </cell>
        </row>
        <row r="25">
          <cell r="D25">
            <v>150</v>
          </cell>
          <cell r="I25">
            <v>419145390</v>
          </cell>
        </row>
        <row r="26">
          <cell r="D26">
            <v>40</v>
          </cell>
          <cell r="I26">
            <v>419145749</v>
          </cell>
        </row>
        <row r="27">
          <cell r="D27">
            <v>100</v>
          </cell>
          <cell r="I27">
            <v>419141549</v>
          </cell>
        </row>
        <row r="28">
          <cell r="D28">
            <v>30</v>
          </cell>
          <cell r="I28">
            <v>419145986</v>
          </cell>
        </row>
        <row r="29">
          <cell r="D29">
            <v>80</v>
          </cell>
          <cell r="I29">
            <v>419146579</v>
          </cell>
        </row>
        <row r="30">
          <cell r="D30">
            <v>0</v>
          </cell>
          <cell r="I30"/>
        </row>
        <row r="31">
          <cell r="D31">
            <v>60</v>
          </cell>
          <cell r="I31">
            <v>820643010</v>
          </cell>
        </row>
        <row r="32">
          <cell r="D32">
            <v>30</v>
          </cell>
          <cell r="I32">
            <v>550539998</v>
          </cell>
        </row>
        <row r="33">
          <cell r="D33">
            <v>0</v>
          </cell>
          <cell r="I33">
            <v>550539999</v>
          </cell>
        </row>
        <row r="34">
          <cell r="D34">
            <v>0</v>
          </cell>
          <cell r="I34">
            <v>550540000</v>
          </cell>
        </row>
        <row r="35">
          <cell r="D35">
            <v>0</v>
          </cell>
          <cell r="I35">
            <v>550540000</v>
          </cell>
        </row>
        <row r="36">
          <cell r="D36">
            <v>0</v>
          </cell>
          <cell r="I36">
            <v>550540000</v>
          </cell>
        </row>
        <row r="37">
          <cell r="D37">
            <v>0</v>
          </cell>
          <cell r="I37">
            <v>550540000</v>
          </cell>
        </row>
        <row r="38">
          <cell r="D38">
            <v>0</v>
          </cell>
          <cell r="I38">
            <v>550540000</v>
          </cell>
        </row>
        <row r="39">
          <cell r="D39">
            <v>0</v>
          </cell>
          <cell r="I39"/>
        </row>
        <row r="40">
          <cell r="D40">
            <v>0</v>
          </cell>
          <cell r="I40">
            <v>271440668</v>
          </cell>
        </row>
        <row r="41">
          <cell r="D41">
            <v>0</v>
          </cell>
          <cell r="I41">
            <v>271440669</v>
          </cell>
        </row>
        <row r="42">
          <cell r="D42">
            <v>0</v>
          </cell>
          <cell r="I42">
            <v>271440670</v>
          </cell>
        </row>
        <row r="43">
          <cell r="D43">
            <v>0</v>
          </cell>
        </row>
        <row r="44">
          <cell r="D44">
            <v>0</v>
          </cell>
          <cell r="I44">
            <v>271440668</v>
          </cell>
        </row>
        <row r="45">
          <cell r="D45">
            <v>0</v>
          </cell>
          <cell r="I45">
            <v>271440669</v>
          </cell>
        </row>
        <row r="46">
          <cell r="D46">
            <v>0</v>
          </cell>
          <cell r="I46">
            <v>271440670</v>
          </cell>
        </row>
        <row r="47">
          <cell r="D47">
            <v>0</v>
          </cell>
          <cell r="I47">
            <v>550445272</v>
          </cell>
        </row>
        <row r="48">
          <cell r="D48">
            <v>0</v>
          </cell>
          <cell r="I48">
            <v>550445274</v>
          </cell>
        </row>
        <row r="49">
          <cell r="D49">
            <v>0</v>
          </cell>
          <cell r="I49">
            <v>550445275</v>
          </cell>
        </row>
        <row r="50">
          <cell r="D50">
            <v>0</v>
          </cell>
          <cell r="I50">
            <v>550445277</v>
          </cell>
        </row>
        <row r="51">
          <cell r="D51">
            <v>0</v>
          </cell>
          <cell r="I51">
            <v>550445279</v>
          </cell>
        </row>
        <row r="52">
          <cell r="D52">
            <v>0</v>
          </cell>
        </row>
        <row r="53">
          <cell r="D53">
            <v>40</v>
          </cell>
          <cell r="I53">
            <v>176721350</v>
          </cell>
        </row>
        <row r="54">
          <cell r="D54">
            <v>40</v>
          </cell>
          <cell r="I54">
            <v>176721350</v>
          </cell>
        </row>
        <row r="55">
          <cell r="D55">
            <v>40</v>
          </cell>
          <cell r="I55">
            <v>176721350</v>
          </cell>
        </row>
        <row r="56">
          <cell r="D56">
            <v>80</v>
          </cell>
          <cell r="I56">
            <v>176723275</v>
          </cell>
        </row>
        <row r="57">
          <cell r="D57">
            <v>80</v>
          </cell>
          <cell r="I57">
            <v>176723275</v>
          </cell>
        </row>
        <row r="58">
          <cell r="D58">
            <v>80</v>
          </cell>
          <cell r="I58">
            <v>176723275</v>
          </cell>
        </row>
        <row r="59">
          <cell r="D59">
            <v>0</v>
          </cell>
          <cell r="I59"/>
        </row>
        <row r="60">
          <cell r="D60">
            <v>0</v>
          </cell>
          <cell r="I60">
            <v>236074677</v>
          </cell>
        </row>
        <row r="61">
          <cell r="D61">
            <v>0</v>
          </cell>
          <cell r="I61">
            <v>236074677</v>
          </cell>
        </row>
        <row r="62">
          <cell r="D62">
            <v>40</v>
          </cell>
          <cell r="I62">
            <v>204615141</v>
          </cell>
        </row>
        <row r="63">
          <cell r="D63">
            <v>40</v>
          </cell>
          <cell r="I63">
            <v>204615141</v>
          </cell>
        </row>
        <row r="64">
          <cell r="D64">
            <v>0</v>
          </cell>
          <cell r="I64"/>
        </row>
        <row r="65">
          <cell r="D65">
            <v>0</v>
          </cell>
          <cell r="I65"/>
        </row>
        <row r="66">
          <cell r="D66">
            <v>0</v>
          </cell>
          <cell r="I66"/>
        </row>
        <row r="67">
          <cell r="D67">
            <v>0</v>
          </cell>
          <cell r="I67"/>
        </row>
        <row r="68">
          <cell r="D68">
            <v>130</v>
          </cell>
          <cell r="I68">
            <v>236929188</v>
          </cell>
        </row>
        <row r="69">
          <cell r="D69">
            <v>0</v>
          </cell>
          <cell r="I69"/>
        </row>
        <row r="70">
          <cell r="D70">
            <v>0</v>
          </cell>
          <cell r="I70"/>
        </row>
        <row r="71">
          <cell r="D71">
            <v>0</v>
          </cell>
          <cell r="I71"/>
        </row>
        <row r="72">
          <cell r="D72">
            <v>100</v>
          </cell>
          <cell r="I72">
            <v>236929187</v>
          </cell>
        </row>
        <row r="73">
          <cell r="D73">
            <v>0</v>
          </cell>
        </row>
        <row r="74">
          <cell r="D74">
            <v>0</v>
          </cell>
          <cell r="I74">
            <v>177404837</v>
          </cell>
        </row>
        <row r="75">
          <cell r="D75">
            <v>0</v>
          </cell>
          <cell r="I75">
            <v>177404837</v>
          </cell>
        </row>
        <row r="76">
          <cell r="D76">
            <v>0</v>
          </cell>
          <cell r="I76">
            <v>177404837</v>
          </cell>
        </row>
        <row r="77">
          <cell r="D77">
            <v>40</v>
          </cell>
          <cell r="I77">
            <v>177405495</v>
          </cell>
        </row>
        <row r="78">
          <cell r="D78">
            <v>40</v>
          </cell>
          <cell r="I78">
            <v>177405495</v>
          </cell>
        </row>
        <row r="79">
          <cell r="D79">
            <v>40</v>
          </cell>
          <cell r="I79">
            <v>177405495</v>
          </cell>
        </row>
        <row r="80">
          <cell r="D80">
            <v>20</v>
          </cell>
          <cell r="I80">
            <v>176500218</v>
          </cell>
        </row>
        <row r="81">
          <cell r="D81">
            <v>20</v>
          </cell>
          <cell r="I81">
            <v>172832355</v>
          </cell>
        </row>
        <row r="82">
          <cell r="D82">
            <v>0</v>
          </cell>
        </row>
        <row r="83">
          <cell r="D83">
            <v>320</v>
          </cell>
          <cell r="I83">
            <v>278515093</v>
          </cell>
        </row>
        <row r="84">
          <cell r="D84">
            <v>40</v>
          </cell>
          <cell r="I84">
            <v>345168494</v>
          </cell>
        </row>
        <row r="85">
          <cell r="D85">
            <v>40</v>
          </cell>
          <cell r="I85">
            <v>273516556</v>
          </cell>
        </row>
        <row r="86">
          <cell r="D86">
            <v>0</v>
          </cell>
          <cell r="I86">
            <v>186800214</v>
          </cell>
        </row>
        <row r="87">
          <cell r="D87">
            <v>0</v>
          </cell>
          <cell r="I87">
            <v>298193176</v>
          </cell>
        </row>
        <row r="88">
          <cell r="D88">
            <v>0</v>
          </cell>
        </row>
        <row r="89">
          <cell r="D89">
            <v>72</v>
          </cell>
          <cell r="I89">
            <v>186826338</v>
          </cell>
        </row>
        <row r="90">
          <cell r="D90">
            <v>72</v>
          </cell>
          <cell r="I90">
            <v>419130077</v>
          </cell>
        </row>
        <row r="91">
          <cell r="D91">
            <v>72</v>
          </cell>
          <cell r="I91">
            <v>448248943</v>
          </cell>
        </row>
        <row r="92">
          <cell r="D92">
            <v>36</v>
          </cell>
          <cell r="I92">
            <v>448254852</v>
          </cell>
        </row>
        <row r="93">
          <cell r="D93">
            <v>0</v>
          </cell>
          <cell r="I93"/>
        </row>
        <row r="94">
          <cell r="D94">
            <v>90</v>
          </cell>
          <cell r="I94">
            <v>370594147</v>
          </cell>
        </row>
        <row r="95">
          <cell r="D95">
            <v>90</v>
          </cell>
          <cell r="I95">
            <v>273556717</v>
          </cell>
        </row>
        <row r="96">
          <cell r="D96">
            <v>0</v>
          </cell>
        </row>
        <row r="97">
          <cell r="D97">
            <v>0</v>
          </cell>
          <cell r="I97">
            <v>273546535</v>
          </cell>
        </row>
        <row r="98">
          <cell r="D98">
            <v>0</v>
          </cell>
          <cell r="I98">
            <v>273551028</v>
          </cell>
        </row>
        <row r="99">
          <cell r="D99">
            <v>0</v>
          </cell>
        </row>
        <row r="100">
          <cell r="D100">
            <v>0</v>
          </cell>
          <cell r="I100">
            <v>273527791</v>
          </cell>
        </row>
        <row r="101">
          <cell r="D101">
            <v>0</v>
          </cell>
          <cell r="I101">
            <v>327442631</v>
          </cell>
        </row>
        <row r="102">
          <cell r="D102">
            <v>0</v>
          </cell>
        </row>
        <row r="103">
          <cell r="D103">
            <v>100</v>
          </cell>
          <cell r="I103">
            <v>251537223</v>
          </cell>
        </row>
        <row r="104">
          <cell r="D104">
            <v>60</v>
          </cell>
          <cell r="I104">
            <v>251537413</v>
          </cell>
        </row>
        <row r="105">
          <cell r="D105">
            <v>140</v>
          </cell>
          <cell r="I105">
            <v>251516159</v>
          </cell>
        </row>
        <row r="106">
          <cell r="D106">
            <v>140</v>
          </cell>
          <cell r="I106">
            <v>251407392</v>
          </cell>
        </row>
        <row r="112">
          <cell r="D112">
            <v>0</v>
          </cell>
        </row>
        <row r="117">
          <cell r="D117">
            <v>0</v>
          </cell>
          <cell r="I117"/>
        </row>
        <row r="118">
          <cell r="D118">
            <v>0</v>
          </cell>
          <cell r="I118"/>
        </row>
        <row r="119">
          <cell r="D119">
            <v>0</v>
          </cell>
        </row>
        <row r="120">
          <cell r="D120">
            <v>0</v>
          </cell>
        </row>
        <row r="124">
          <cell r="D124">
            <v>0</v>
          </cell>
          <cell r="I124"/>
        </row>
        <row r="125">
          <cell r="D125">
            <v>0</v>
          </cell>
          <cell r="I125">
            <v>0</v>
          </cell>
        </row>
        <row r="133">
          <cell r="I133"/>
        </row>
        <row r="159">
          <cell r="D159"/>
          <cell r="I159">
            <v>0</v>
          </cell>
        </row>
        <row r="160">
          <cell r="D160"/>
          <cell r="I160">
            <v>0</v>
          </cell>
        </row>
        <row r="161">
          <cell r="D161"/>
          <cell r="I161">
            <v>0</v>
          </cell>
        </row>
        <row r="162">
          <cell r="D162"/>
          <cell r="I162">
            <v>0</v>
          </cell>
        </row>
        <row r="163">
          <cell r="D163"/>
          <cell r="I163">
            <v>0</v>
          </cell>
        </row>
        <row r="164">
          <cell r="D164"/>
          <cell r="I164">
            <v>0</v>
          </cell>
        </row>
        <row r="165">
          <cell r="D165"/>
          <cell r="I165">
            <v>0</v>
          </cell>
        </row>
        <row r="166">
          <cell r="D166"/>
          <cell r="I166">
            <v>0</v>
          </cell>
        </row>
        <row r="167">
          <cell r="D167"/>
          <cell r="I167">
            <v>0</v>
          </cell>
        </row>
        <row r="168">
          <cell r="D168"/>
          <cell r="I168">
            <v>0</v>
          </cell>
        </row>
        <row r="169">
          <cell r="D169"/>
          <cell r="I169">
            <v>0</v>
          </cell>
        </row>
        <row r="170">
          <cell r="D170"/>
          <cell r="I170"/>
        </row>
        <row r="171">
          <cell r="D171"/>
          <cell r="I171"/>
        </row>
        <row r="172">
          <cell r="D172">
            <v>700</v>
          </cell>
          <cell r="I172" t="str">
            <v>ВПП глб 16,5*22</v>
          </cell>
        </row>
        <row r="173">
          <cell r="D173"/>
          <cell r="I173" t="str">
            <v>ВПП черн 15*20</v>
          </cell>
        </row>
        <row r="174">
          <cell r="D174"/>
          <cell r="I174" t="str">
            <v>ВПП беж 16,5*22</v>
          </cell>
        </row>
        <row r="175">
          <cell r="D175"/>
          <cell r="I175" t="str">
            <v>ВПП глб 15*20</v>
          </cell>
        </row>
        <row r="176">
          <cell r="D176">
            <v>0</v>
          </cell>
          <cell r="I176"/>
        </row>
        <row r="177">
          <cell r="D177" t="str">
            <v>*</v>
          </cell>
        </row>
        <row r="178">
          <cell r="D178" t="str">
            <v>*</v>
          </cell>
        </row>
        <row r="179">
          <cell r="D179" t="str">
            <v>*</v>
          </cell>
        </row>
        <row r="180">
          <cell r="D180" t="str">
            <v>*</v>
          </cell>
        </row>
        <row r="181">
          <cell r="D181" t="str">
            <v>*</v>
          </cell>
        </row>
        <row r="182">
          <cell r="D182" t="str">
            <v>*</v>
          </cell>
        </row>
        <row r="183">
          <cell r="D183" t="str">
            <v>*</v>
          </cell>
        </row>
        <row r="184">
          <cell r="D184" t="str">
            <v>*</v>
          </cell>
          <cell r="I184"/>
        </row>
        <row r="185">
          <cell r="D185" t="str">
            <v>*</v>
          </cell>
          <cell r="I185"/>
        </row>
        <row r="186">
          <cell r="D186" t="str">
            <v>*</v>
          </cell>
          <cell r="I186" t="str">
            <v>Вес груза по таблице</v>
          </cell>
        </row>
        <row r="187">
          <cell r="D187" t="str">
            <v>&lt;------------ Ввести данные в желтые квадраты --------------&gt;</v>
          </cell>
          <cell r="I187">
            <v>423.29999999999995</v>
          </cell>
        </row>
        <row r="188">
          <cell r="D188" t="str">
            <v>*</v>
          </cell>
          <cell r="I188"/>
        </row>
        <row r="189">
          <cell r="D189" t="str">
            <v>юани</v>
          </cell>
          <cell r="I189" t="str">
            <v>руб.</v>
          </cell>
        </row>
        <row r="190">
          <cell r="D190">
            <v>572.39699999999993</v>
          </cell>
          <cell r="I190">
            <v>247666.39369999999</v>
          </cell>
        </row>
        <row r="191">
          <cell r="D191" t="str">
            <v>*</v>
          </cell>
          <cell r="I191"/>
        </row>
        <row r="192">
          <cell r="D192" t="str">
            <v>*</v>
          </cell>
        </row>
        <row r="193">
          <cell r="D193" t="str">
            <v>*</v>
          </cell>
        </row>
        <row r="194">
          <cell r="D194" t="str">
            <v>*</v>
          </cell>
        </row>
        <row r="195">
          <cell r="D195" t="str">
            <v>*</v>
          </cell>
        </row>
        <row r="196">
          <cell r="D196" t="str">
            <v>*</v>
          </cell>
        </row>
        <row r="197">
          <cell r="D197" t="str">
            <v>*</v>
          </cell>
        </row>
        <row r="198">
          <cell r="D198" t="str">
            <v>*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З_ФФ"/>
      <sheetName val="Сводная Озон"/>
      <sheetName val="ТЗ_ФФ (2)"/>
      <sheetName val="Итог"/>
      <sheetName val="АДЫГЕЙСК_РФЦ"/>
      <sheetName val="АСТАНА_РФЦ"/>
      <sheetName val="ВОЛГОГРАД_МРФЦ"/>
      <sheetName val="ДОМОДЕДОВО_РФЦ"/>
      <sheetName val="Екатеринбург_РФЦ_НОВЫЙ"/>
      <sheetName val="Казань_РФЦ_НОВЫЙ"/>
      <sheetName val="КАЛИНИНГРАД_МРФЦ"/>
      <sheetName val="КРАСНОЯРСК_МРФЦ"/>
      <sheetName val="МИНСК_МПСЦ"/>
      <sheetName val="НЕВИННОМЫССК_РФЦ"/>
      <sheetName val="Новосибирск_РФЦ_Новый"/>
      <sheetName val="НОВОРОССИЙСК_МРФЦ"/>
      <sheetName val="ОМСК_РФЦ"/>
      <sheetName val="ОРЕНБУРГ_РФЦ"/>
      <sheetName val="ПЕРМЬ_РФЦ"/>
      <sheetName val="ПУШКИНО_1_РФЦ"/>
      <sheetName val="Ростов_на_Дону_РФЦ"/>
      <sheetName val="САМАРА_РФЦ"/>
      <sheetName val="Санкт_Петербург_РФЦ"/>
      <sheetName val="СОФЬИНО_РФЦ"/>
      <sheetName val="СПБ_КОЛПИНО_РФЦ"/>
      <sheetName val="СПБ_ШУШАРЫ_РФЦ"/>
      <sheetName val="ТВЕРЬ_РФЦ"/>
      <sheetName val="ТЮМЕНЬ_РФЦ"/>
      <sheetName val="УФА_РФЦ"/>
      <sheetName val="ХАБАРОВСК_2_РФЦ"/>
      <sheetName val="ЯРОСЛАВЛЬ_РФЦ"/>
    </sheetNames>
    <sheetDataSet>
      <sheetData sheetId="0">
        <row r="1">
          <cell r="D1" t="str">
            <v>Бар-код</v>
          </cell>
          <cell r="AS1" t="str">
            <v>ИТОГО для ОЗОН</v>
          </cell>
        </row>
        <row r="3">
          <cell r="D3" t="str">
            <v>дата поставки</v>
          </cell>
        </row>
        <row r="4">
          <cell r="D4" t="str">
            <v>время отгрузки</v>
          </cell>
        </row>
        <row r="5">
          <cell r="D5" t="str">
            <v>Точка отгрузки</v>
          </cell>
        </row>
        <row r="6">
          <cell r="D6">
            <v>2038162681926</v>
          </cell>
          <cell r="AS6">
            <v>0</v>
          </cell>
        </row>
        <row r="7">
          <cell r="D7">
            <v>2038172050200</v>
          </cell>
          <cell r="AS7">
            <v>0</v>
          </cell>
        </row>
        <row r="8">
          <cell r="D8">
            <v>2038430289250</v>
          </cell>
          <cell r="AS8">
            <v>0</v>
          </cell>
        </row>
        <row r="9">
          <cell r="D9">
            <v>2041591042329</v>
          </cell>
          <cell r="AS9">
            <v>0</v>
          </cell>
        </row>
        <row r="10">
          <cell r="D10">
            <v>2041591055954</v>
          </cell>
          <cell r="AS10">
            <v>0</v>
          </cell>
        </row>
        <row r="11">
          <cell r="D11">
            <v>2039813223373</v>
          </cell>
          <cell r="AS11">
            <v>0</v>
          </cell>
        </row>
        <row r="12">
          <cell r="D12">
            <v>2040278804496</v>
          </cell>
          <cell r="AS12">
            <v>0</v>
          </cell>
        </row>
        <row r="13">
          <cell r="D13">
            <v>2040278810534</v>
          </cell>
          <cell r="AS13">
            <v>0</v>
          </cell>
        </row>
        <row r="14">
          <cell r="D14">
            <v>2040278804649</v>
          </cell>
          <cell r="AS14">
            <v>0</v>
          </cell>
        </row>
        <row r="15">
          <cell r="D15">
            <v>2039818580389</v>
          </cell>
          <cell r="AS15">
            <v>0</v>
          </cell>
        </row>
        <row r="16">
          <cell r="D16">
            <v>2043369663040</v>
          </cell>
          <cell r="AS16">
            <v>0</v>
          </cell>
        </row>
        <row r="17">
          <cell r="D17">
            <v>2044025326637</v>
          </cell>
          <cell r="AS17">
            <v>0</v>
          </cell>
        </row>
        <row r="18">
          <cell r="D18">
            <v>2044025316447</v>
          </cell>
          <cell r="AS18">
            <v>0</v>
          </cell>
        </row>
        <row r="19">
          <cell r="D19">
            <v>2044025338661</v>
          </cell>
          <cell r="AS19">
            <v>0</v>
          </cell>
        </row>
        <row r="20">
          <cell r="D20">
            <v>2044025288003</v>
          </cell>
          <cell r="AS20">
            <v>0</v>
          </cell>
        </row>
        <row r="21">
          <cell r="D21">
            <v>2044025344532</v>
          </cell>
          <cell r="AS21">
            <v>0</v>
          </cell>
        </row>
        <row r="22">
          <cell r="D22">
            <v>2044025321588</v>
          </cell>
          <cell r="AS22">
            <v>0</v>
          </cell>
        </row>
        <row r="23">
          <cell r="D23">
            <v>2044025342057</v>
          </cell>
          <cell r="AS23">
            <v>0</v>
          </cell>
        </row>
        <row r="24">
          <cell r="D24">
            <v>2044025291485</v>
          </cell>
          <cell r="AS24">
            <v>0</v>
          </cell>
        </row>
        <row r="25">
          <cell r="D25">
            <v>2044025354937</v>
          </cell>
          <cell r="AS25">
            <v>0</v>
          </cell>
        </row>
        <row r="26">
          <cell r="D26">
            <v>2044025347953</v>
          </cell>
          <cell r="AS26">
            <v>0</v>
          </cell>
        </row>
        <row r="27">
          <cell r="D27">
            <v>2042985583893</v>
          </cell>
          <cell r="AS27">
            <v>0</v>
          </cell>
        </row>
        <row r="28">
          <cell r="D28">
            <v>2042986356632</v>
          </cell>
          <cell r="AS28">
            <v>0</v>
          </cell>
        </row>
        <row r="29">
          <cell r="D29">
            <v>2042986372359</v>
          </cell>
          <cell r="AS29">
            <v>0</v>
          </cell>
        </row>
        <row r="30">
          <cell r="D30">
            <v>2042986377583</v>
          </cell>
          <cell r="AS30">
            <v>0</v>
          </cell>
        </row>
        <row r="31">
          <cell r="D31">
            <v>2048933027488</v>
          </cell>
        </row>
        <row r="32">
          <cell r="D32">
            <v>2046392546618</v>
          </cell>
        </row>
        <row r="33">
          <cell r="D33">
            <v>2046392546632</v>
          </cell>
        </row>
        <row r="34">
          <cell r="D34">
            <v>2046392546656</v>
          </cell>
        </row>
        <row r="35">
          <cell r="D35">
            <v>2046391283330</v>
          </cell>
          <cell r="AS35">
            <v>0</v>
          </cell>
        </row>
        <row r="36">
          <cell r="D36">
            <v>2046391283385</v>
          </cell>
          <cell r="AS36">
            <v>0</v>
          </cell>
        </row>
        <row r="37">
          <cell r="D37">
            <v>2046391283415</v>
          </cell>
          <cell r="AS37">
            <v>0</v>
          </cell>
        </row>
        <row r="38">
          <cell r="D38">
            <v>2046391283446</v>
          </cell>
          <cell r="AS38">
            <v>0</v>
          </cell>
        </row>
        <row r="39">
          <cell r="D39">
            <v>2046391283507</v>
          </cell>
          <cell r="AS39">
            <v>0</v>
          </cell>
        </row>
        <row r="40">
          <cell r="D40">
            <v>2046391283545</v>
          </cell>
          <cell r="AS40">
            <v>0</v>
          </cell>
        </row>
        <row r="41">
          <cell r="D41">
            <v>2046391283569</v>
          </cell>
          <cell r="AS41">
            <v>0</v>
          </cell>
        </row>
        <row r="42">
          <cell r="D42">
            <v>2046391283613</v>
          </cell>
          <cell r="AS42">
            <v>0</v>
          </cell>
        </row>
        <row r="43">
          <cell r="D43">
            <v>2038606201642</v>
          </cell>
          <cell r="AS43">
            <v>0</v>
          </cell>
        </row>
        <row r="44">
          <cell r="D44">
            <v>2038606256161</v>
          </cell>
          <cell r="AS44">
            <v>0</v>
          </cell>
        </row>
        <row r="45">
          <cell r="D45">
            <v>2040335648124</v>
          </cell>
          <cell r="AS45">
            <v>0</v>
          </cell>
        </row>
        <row r="46">
          <cell r="D46">
            <v>2040335626849</v>
          </cell>
          <cell r="AS46">
            <v>0</v>
          </cell>
        </row>
        <row r="47">
          <cell r="D47">
            <v>2039404446068</v>
          </cell>
          <cell r="AS47">
            <v>0</v>
          </cell>
        </row>
        <row r="48">
          <cell r="D48">
            <v>2038597850744</v>
          </cell>
          <cell r="AS48">
            <v>0</v>
          </cell>
        </row>
        <row r="49">
          <cell r="D49">
            <v>2038627692689</v>
          </cell>
          <cell r="AS49">
            <v>0</v>
          </cell>
        </row>
        <row r="50">
          <cell r="D50">
            <v>2038627713902</v>
          </cell>
          <cell r="AS50">
            <v>0</v>
          </cell>
        </row>
        <row r="51">
          <cell r="D51">
            <v>2038337652454</v>
          </cell>
          <cell r="AS51">
            <v>0</v>
          </cell>
        </row>
        <row r="52">
          <cell r="D52">
            <v>2038891723249</v>
          </cell>
          <cell r="AS52">
            <v>0</v>
          </cell>
        </row>
        <row r="53">
          <cell r="D53">
            <v>2044025155923</v>
          </cell>
          <cell r="AS53">
            <v>0</v>
          </cell>
        </row>
        <row r="54">
          <cell r="D54">
            <v>2044516485386</v>
          </cell>
          <cell r="AS54">
            <v>0</v>
          </cell>
        </row>
        <row r="55">
          <cell r="D55">
            <v>2044516498812</v>
          </cell>
          <cell r="AS55">
            <v>0</v>
          </cell>
        </row>
        <row r="56">
          <cell r="D56">
            <v>2038890789598</v>
          </cell>
          <cell r="AS56">
            <v>0</v>
          </cell>
        </row>
        <row r="57">
          <cell r="D57">
            <v>2042160422832</v>
          </cell>
          <cell r="AS57">
            <v>0</v>
          </cell>
        </row>
        <row r="58">
          <cell r="D58">
            <v>2041680530447</v>
          </cell>
          <cell r="AS58">
            <v>0</v>
          </cell>
        </row>
        <row r="59">
          <cell r="D59">
            <v>2043048226719</v>
          </cell>
          <cell r="AS59">
            <v>0</v>
          </cell>
        </row>
        <row r="60">
          <cell r="D60">
            <v>2041532808502</v>
          </cell>
          <cell r="AS60">
            <v>0</v>
          </cell>
        </row>
        <row r="61">
          <cell r="D61">
            <v>2043369755509</v>
          </cell>
          <cell r="AS61">
            <v>0</v>
          </cell>
        </row>
        <row r="62">
          <cell r="D62">
            <v>2041533648312</v>
          </cell>
          <cell r="AS62">
            <v>0</v>
          </cell>
        </row>
        <row r="63">
          <cell r="D63">
            <v>2042678197468</v>
          </cell>
          <cell r="AS63">
            <v>0</v>
          </cell>
        </row>
        <row r="64">
          <cell r="D64">
            <v>2041533038113</v>
          </cell>
          <cell r="AS64">
            <v>0</v>
          </cell>
        </row>
        <row r="65">
          <cell r="D65">
            <v>2042777181566</v>
          </cell>
          <cell r="AS65">
            <v>0</v>
          </cell>
        </row>
        <row r="66">
          <cell r="D66">
            <v>2041533399818</v>
          </cell>
          <cell r="AS66">
            <v>0</v>
          </cell>
        </row>
        <row r="67">
          <cell r="D67">
            <v>2040903547941</v>
          </cell>
          <cell r="AS67">
            <v>0</v>
          </cell>
        </row>
        <row r="68">
          <cell r="D68">
            <v>2040903539366</v>
          </cell>
          <cell r="AS68">
            <v>0</v>
          </cell>
        </row>
        <row r="69">
          <cell r="D69">
            <v>2040900511679</v>
          </cell>
          <cell r="AS69">
            <v>0</v>
          </cell>
        </row>
        <row r="70">
          <cell r="D70">
            <v>2040902555480</v>
          </cell>
          <cell r="AS70">
            <v>0</v>
          </cell>
        </row>
        <row r="71">
          <cell r="D71">
            <v>2041473034138</v>
          </cell>
          <cell r="AS71">
            <v>0</v>
          </cell>
        </row>
        <row r="72">
          <cell r="D72">
            <v>2041473034145</v>
          </cell>
          <cell r="AS72">
            <v>0</v>
          </cell>
        </row>
        <row r="73">
          <cell r="D73">
            <v>2041473034169</v>
          </cell>
          <cell r="AS73">
            <v>0</v>
          </cell>
        </row>
        <row r="74">
          <cell r="AS7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11">
    <wetp:webextensionref xmlns:r="http://schemas.openxmlformats.org/officeDocument/2006/relationships" r:id="rId2"/>
  </wetp:taskpane>
  <wetp:taskpane dockstate="right" visibility="0" width="350" row="12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756" row="9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B517D7DA-3713-45B4-BEFF-75F26A33F6D2}">
  <we:reference id="wa200005271" version="3.0.0.0" store="ru-RU" storeType="OMEX"/>
  <we:alternateReferences>
    <we:reference id="WA200005271" version="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A839551-F5C7-4FE2-8072-B268791EE0D3}">
  <we:reference id="wa200005502" version="1.0.0.12" store="ru-RU" storeType="OMEX"/>
  <we:alternateReferences>
    <we:reference id="WA200005502" version="1.0.0.12" store="" storeType="OMEX"/>
  </we:alternateReferences>
  <we:properties>
    <we:property name="docId" value="&quot;4P6TVrmIKvpDDy8FAUSf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DD7C949A-11F2-4269-BBCB-04E06B408F57}">
  <we:reference id="wa200007447" version="1.1.6.6" store="ru-RU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2018DDAC-5E11-4F18-992B-A0E9DCC11513}">
  <we:reference id="wa200010215" version="1.0.0.0" store="ru-RU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DDDB167B-FA8B-4824-A171-F2B0FAFE1C8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d570c3f-e111-4ced-80ea-81faa908c8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86F9-15DF-4F89-9206-18FE28F24139}">
  <sheetPr filterMode="1">
    <tabColor rgb="FF92D050"/>
    <pageSetUpPr fitToPage="1"/>
  </sheetPr>
  <dimension ref="A1:CG85"/>
  <sheetViews>
    <sheetView showZeros="0" tabSelected="1" zoomScaleNormal="100" workbookViewId="0">
      <pane xSplit="5" ySplit="2" topLeftCell="Y4" activePane="bottomRight" state="frozen"/>
      <selection pane="topRight" activeCell="E1" sqref="E1"/>
      <selection pane="bottomLeft" activeCell="A3" sqref="A3"/>
      <selection pane="bottomRight" activeCell="BP88" sqref="BP88"/>
    </sheetView>
  </sheetViews>
  <sheetFormatPr defaultColWidth="12.7109375" defaultRowHeight="15" customHeight="1" outlineLevelCol="1"/>
  <cols>
    <col min="1" max="1" width="9.5703125" style="9" bestFit="1" customWidth="1"/>
    <col min="2" max="2" width="11" style="15" customWidth="1"/>
    <col min="3" max="3" width="14.140625" style="9" customWidth="1"/>
    <col min="4" max="4" width="25.85546875" style="14" customWidth="1"/>
    <col min="5" max="5" width="13.42578125" style="15" bestFit="1" customWidth="1"/>
    <col min="6" max="6" width="5.140625" style="16" customWidth="1" outlineLevel="1"/>
    <col min="7" max="17" width="4.7109375" style="16" customWidth="1" outlineLevel="1"/>
    <col min="18" max="18" width="5.85546875" style="16" customWidth="1"/>
    <col min="19" max="19" width="6.28515625" style="16" customWidth="1"/>
    <col min="20" max="20" width="5.42578125" style="16" customWidth="1"/>
    <col min="21" max="21" width="6.5703125" style="16" customWidth="1" outlineLevel="1"/>
    <col min="22" max="22" width="6.28515625" style="16" customWidth="1" outlineLevel="1"/>
    <col min="23" max="29" width="4.7109375" style="16" customWidth="1" outlineLevel="1"/>
    <col min="30" max="30" width="6" style="16" customWidth="1" outlineLevel="1"/>
    <col min="31" max="32" width="4.7109375" style="16" customWidth="1" outlineLevel="1"/>
    <col min="33" max="33" width="6.5703125" style="17" customWidth="1"/>
    <col min="34" max="35" width="6.28515625" style="16" customWidth="1"/>
    <col min="36" max="36" width="5.85546875" style="16" customWidth="1"/>
    <col min="37" max="48" width="4.7109375" style="16" hidden="1" customWidth="1" outlineLevel="1"/>
    <col min="49" max="49" width="4.7109375" style="17" customWidth="1" collapsed="1"/>
    <col min="50" max="51" width="4.7109375" style="17" customWidth="1"/>
    <col min="52" max="52" width="5.42578125" style="16" hidden="1" customWidth="1" outlineLevel="1"/>
    <col min="53" max="65" width="4.7109375" style="16" hidden="1" customWidth="1" outlineLevel="1"/>
    <col min="66" max="66" width="5.85546875" style="17" customWidth="1" collapsed="1"/>
    <col min="67" max="68" width="6.28515625" style="9" customWidth="1"/>
    <col min="69" max="69" width="5.85546875" style="9" customWidth="1"/>
    <col min="70" max="70" width="5.5703125" style="15" customWidth="1" outlineLevel="1"/>
    <col min="71" max="71" width="5.140625" style="15" customWidth="1" outlineLevel="1"/>
    <col min="72" max="74" width="4.7109375" style="15" customWidth="1" outlineLevel="1"/>
    <col min="75" max="75" width="5.7109375" style="15" customWidth="1" outlineLevel="1"/>
    <col min="76" max="76" width="4.7109375" style="15" customWidth="1" outlineLevel="1"/>
    <col min="77" max="77" width="5.7109375" style="15" customWidth="1" outlineLevel="1"/>
    <col min="78" max="82" width="4.7109375" style="15" customWidth="1" outlineLevel="1"/>
    <col min="83" max="83" width="5.7109375" style="50" customWidth="1"/>
    <col min="84" max="84" width="5.7109375" style="9" customWidth="1"/>
    <col min="85" max="85" width="5.85546875" style="9" customWidth="1"/>
    <col min="86" max="16384" width="12.7109375" style="9"/>
  </cols>
  <sheetData>
    <row r="1" spans="1:85" s="3" customFormat="1" ht="39.75" customHeight="1" thickTop="1" thickBot="1">
      <c r="A1" s="128" t="s">
        <v>0</v>
      </c>
      <c r="B1" s="211" t="s">
        <v>270</v>
      </c>
      <c r="C1" s="1" t="s">
        <v>1</v>
      </c>
      <c r="D1" s="2" t="s">
        <v>2</v>
      </c>
      <c r="E1" s="67" t="s">
        <v>3</v>
      </c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144" t="s">
        <v>390</v>
      </c>
      <c r="R1" s="143">
        <v>60</v>
      </c>
      <c r="S1" s="34" t="s">
        <v>391</v>
      </c>
      <c r="T1" s="39"/>
      <c r="U1" s="36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 t="s">
        <v>287</v>
      </c>
      <c r="AI1" s="37"/>
      <c r="AJ1" s="38"/>
      <c r="AK1" s="303" t="s">
        <v>173</v>
      </c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4"/>
      <c r="AX1" s="305"/>
      <c r="AY1" s="208">
        <v>60</v>
      </c>
      <c r="AZ1" s="30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107" t="s">
        <v>271</v>
      </c>
      <c r="BM1" s="18">
        <v>60</v>
      </c>
      <c r="BN1" s="19">
        <v>0.3</v>
      </c>
      <c r="BO1" s="70" t="s">
        <v>397</v>
      </c>
      <c r="BP1" s="71" t="s">
        <v>378</v>
      </c>
      <c r="BQ1" s="299" t="s">
        <v>372</v>
      </c>
      <c r="BR1" s="46"/>
      <c r="BS1" s="43"/>
      <c r="BT1" s="43"/>
      <c r="BU1" s="46" t="s">
        <v>381</v>
      </c>
      <c r="BV1" s="43"/>
      <c r="BW1" s="43"/>
      <c r="BX1" s="43"/>
      <c r="BY1" s="43"/>
      <c r="BZ1" s="43"/>
      <c r="CA1" s="43"/>
      <c r="CB1" s="43"/>
      <c r="CC1" s="43"/>
      <c r="CD1" s="43"/>
      <c r="CE1" s="308" t="s">
        <v>382</v>
      </c>
      <c r="CF1" s="301" t="s">
        <v>380</v>
      </c>
      <c r="CG1" s="299" t="s">
        <v>379</v>
      </c>
    </row>
    <row r="2" spans="1:85" s="5" customFormat="1" ht="48" hidden="1" customHeight="1" thickBot="1">
      <c r="A2" s="129" t="s">
        <v>276</v>
      </c>
      <c r="B2" s="212" t="s">
        <v>222</v>
      </c>
      <c r="C2" s="4"/>
      <c r="D2" s="26"/>
      <c r="E2" s="68"/>
      <c r="F2" s="95" t="s">
        <v>61</v>
      </c>
      <c r="G2" s="95" t="s">
        <v>63</v>
      </c>
      <c r="H2" s="95" t="s">
        <v>62</v>
      </c>
      <c r="I2" s="96" t="s">
        <v>67</v>
      </c>
      <c r="J2" s="135" t="s">
        <v>64</v>
      </c>
      <c r="K2" s="95" t="s">
        <v>60</v>
      </c>
      <c r="L2" s="20" t="s">
        <v>163</v>
      </c>
      <c r="M2" s="135" t="s">
        <v>171</v>
      </c>
      <c r="N2" s="20" t="s">
        <v>59</v>
      </c>
      <c r="O2" s="138" t="s">
        <v>398</v>
      </c>
      <c r="P2" s="150" t="s">
        <v>283</v>
      </c>
      <c r="Q2" s="138" t="s">
        <v>94</v>
      </c>
      <c r="R2" s="126" t="s">
        <v>223</v>
      </c>
      <c r="S2" s="210" t="s">
        <v>222</v>
      </c>
      <c r="T2" s="32" t="s">
        <v>137</v>
      </c>
      <c r="U2" s="24" t="s">
        <v>61</v>
      </c>
      <c r="V2" s="24" t="s">
        <v>63</v>
      </c>
      <c r="W2" s="24" t="s">
        <v>62</v>
      </c>
      <c r="X2" s="101" t="s">
        <v>67</v>
      </c>
      <c r="Y2" s="99" t="s">
        <v>64</v>
      </c>
      <c r="Z2" s="24" t="s">
        <v>60</v>
      </c>
      <c r="AA2" s="25" t="s">
        <v>163</v>
      </c>
      <c r="AB2" s="105" t="s">
        <v>171</v>
      </c>
      <c r="AC2" s="106" t="s">
        <v>59</v>
      </c>
      <c r="AD2" s="100" t="s">
        <v>430</v>
      </c>
      <c r="AE2" s="152" t="s">
        <v>283</v>
      </c>
      <c r="AF2" s="100" t="s">
        <v>94</v>
      </c>
      <c r="AG2" s="123" t="s">
        <v>223</v>
      </c>
      <c r="AH2" s="125" t="s">
        <v>165</v>
      </c>
      <c r="AI2" s="210" t="s">
        <v>222</v>
      </c>
      <c r="AJ2" s="35" t="s">
        <v>137</v>
      </c>
      <c r="AK2" s="114" t="s">
        <v>61</v>
      </c>
      <c r="AL2" s="114" t="s">
        <v>63</v>
      </c>
      <c r="AM2" s="114" t="s">
        <v>62</v>
      </c>
      <c r="AN2" s="115" t="s">
        <v>67</v>
      </c>
      <c r="AO2" s="116" t="s">
        <v>64</v>
      </c>
      <c r="AP2" s="114" t="s">
        <v>60</v>
      </c>
      <c r="AQ2" s="117" t="s">
        <v>163</v>
      </c>
      <c r="AR2" s="116" t="s">
        <v>171</v>
      </c>
      <c r="AS2" s="118" t="s">
        <v>59</v>
      </c>
      <c r="AT2" s="119" t="s">
        <v>430</v>
      </c>
      <c r="AU2" s="119" t="s">
        <v>283</v>
      </c>
      <c r="AV2" s="120" t="s">
        <v>94</v>
      </c>
      <c r="AW2" s="121" t="s">
        <v>137</v>
      </c>
      <c r="AX2" s="217" t="s">
        <v>222</v>
      </c>
      <c r="AY2" s="209" t="s">
        <v>277</v>
      </c>
      <c r="AZ2" s="22" t="s">
        <v>61</v>
      </c>
      <c r="BA2" s="22" t="s">
        <v>63</v>
      </c>
      <c r="BB2" s="22" t="s">
        <v>62</v>
      </c>
      <c r="BC2" s="23" t="s">
        <v>67</v>
      </c>
      <c r="BD2" s="108" t="s">
        <v>64</v>
      </c>
      <c r="BE2" s="109" t="s">
        <v>60</v>
      </c>
      <c r="BF2" s="110" t="s">
        <v>163</v>
      </c>
      <c r="BG2" s="108" t="s">
        <v>171</v>
      </c>
      <c r="BH2" s="110" t="s">
        <v>59</v>
      </c>
      <c r="BI2" s="111" t="s">
        <v>430</v>
      </c>
      <c r="BJ2" s="184" t="s">
        <v>283</v>
      </c>
      <c r="BK2" s="111" t="s">
        <v>94</v>
      </c>
      <c r="BL2" s="127" t="s">
        <v>137</v>
      </c>
      <c r="BM2" s="222" t="s">
        <v>222</v>
      </c>
      <c r="BN2" s="31" t="s">
        <v>278</v>
      </c>
      <c r="BO2" s="72" t="s">
        <v>164</v>
      </c>
      <c r="BP2" s="173" t="s">
        <v>160</v>
      </c>
      <c r="BQ2" s="300"/>
      <c r="BR2" s="48" t="s">
        <v>61</v>
      </c>
      <c r="BS2" s="55" t="s">
        <v>63</v>
      </c>
      <c r="BT2" s="44" t="s">
        <v>62</v>
      </c>
      <c r="BU2" s="47" t="s">
        <v>197</v>
      </c>
      <c r="BV2" s="48" t="s">
        <v>64</v>
      </c>
      <c r="BW2" s="44" t="s">
        <v>60</v>
      </c>
      <c r="BX2" s="47" t="s">
        <v>163</v>
      </c>
      <c r="BY2" s="48" t="s">
        <v>171</v>
      </c>
      <c r="BZ2" s="47" t="s">
        <v>59</v>
      </c>
      <c r="CA2" s="154" t="s">
        <v>430</v>
      </c>
      <c r="CB2" s="156" t="s">
        <v>283</v>
      </c>
      <c r="CC2" s="55" t="s">
        <v>94</v>
      </c>
      <c r="CD2" s="223" t="s">
        <v>167</v>
      </c>
      <c r="CE2" s="309"/>
      <c r="CF2" s="302"/>
      <c r="CG2" s="300"/>
    </row>
    <row r="3" spans="1:85" ht="14.1" hidden="1" customHeight="1">
      <c r="A3" s="251">
        <f>[1]Юнит!A5</f>
        <v>169112569</v>
      </c>
      <c r="B3" s="252">
        <f>[1]Юнит!B5</f>
        <v>0</v>
      </c>
      <c r="C3" s="251" t="str">
        <f>[1]Юнит!C5</f>
        <v>ACRF1BN101PN</v>
      </c>
      <c r="D3" s="253" t="str">
        <f>[1]Юнит!D5</f>
        <v>Бандаж для лица розовый</v>
      </c>
      <c r="E3" s="90">
        <f>[1]Юнит!E5</f>
        <v>2038161736993</v>
      </c>
      <c r="F3" s="269">
        <f>ROUNDUP(SUMIFS('ВБ Отчет Продажи (за 60 дней)'!$L:$L,'ВБ Отчет Продажи (за 60 дней)'!$K:$K,"Электросталь",'ВБ Отчет Продажи (за 60 дней)'!$G:$G,$A3),0)</f>
        <v>2</v>
      </c>
      <c r="G3" s="270">
        <f>ROUNDUP(SUMIFS('ВБ Отчет Продажи (за 60 дней)'!$L:$L,'ВБ Отчет Продажи (за 60 дней)'!$K:$K,"Коледино",'ВБ Отчет Продажи (за 60 дней)'!$G:$G,$A3),0)</f>
        <v>3</v>
      </c>
      <c r="H3" s="270">
        <f>ROUNDUP(SUMIFS('ВБ Отчет Продажи (за 60 дней)'!$L:$L,'ВБ Отчет Продажи (за 60 дней)'!$K:$K,"Тула",'ВБ Отчет Продажи (за 60 дней)'!$G:$G,$A3),0)</f>
        <v>1</v>
      </c>
      <c r="I3" s="271">
        <f>ROUNDUP(SUMIFS('ВБ Отчет Продажи (за 60 дней)'!$L:$L,'ВБ Отчет Продажи (за 60 дней)'!$K:$K,"Рязань (Тюшевское)",'ВБ Отчет Продажи (за 60 дней)'!$G:$G,$A3),0)</f>
        <v>0</v>
      </c>
      <c r="J3" s="272">
        <f>ROUNDUP(SUMIFS('ВБ Отчет Продажи (за 60 дней)'!$L:$L,'ВБ Отчет Продажи (за 60 дней)'!$K:$K,"Краснодар",'ВБ Отчет Продажи (за 60 дней)'!$G:$G,$A3),0)</f>
        <v>1</v>
      </c>
      <c r="K3" s="270">
        <f>ROUNDUP(SUMIFS('ВБ Отчет Продажи (за 60 дней)'!$L:$L,'ВБ Отчет Продажи (за 60 дней)'!$K:$K,"Невинномысск",'ВБ Отчет Продажи (за 60 дней)'!$G:$G,$A3),0)</f>
        <v>0</v>
      </c>
      <c r="L3" s="273">
        <f>ROUNDUP(SUMIFS('ВБ Отчет Продажи (за 60 дней)'!$L:$L,'ВБ Отчет Продажи (за 60 дней)'!$K:$K,"Волгоград",'ВБ Отчет Продажи (за 60 дней)'!$G:$G,$A3),0)</f>
        <v>0</v>
      </c>
      <c r="M3" s="272">
        <f>ROUNDUP(SUMIFS('ВБ Отчет Продажи (за 60 дней)'!$L:$L,'ВБ Отчет Продажи (за 60 дней)'!$K:$K,"Самара (Новосемейкино)",'ВБ Отчет Продажи (за 60 дней)'!$G:$G,$A3),0)</f>
        <v>0</v>
      </c>
      <c r="N3" s="273">
        <f>ROUNDUP(SUMIFS('ВБ Отчет Продажи (за 60 дней)'!$L:$L,'ВБ Отчет Продажи (за 60 дней)'!$K:$K,"Казань",'ВБ Отчет Продажи (за 60 дней)'!$G:$G,$A3),0)</f>
        <v>2</v>
      </c>
      <c r="O3" s="273">
        <f>ROUNDUP(SUMIFS('ВБ Отчет Продажи (за 60 дней)'!$L:$L,'ВБ Отчет Продажи (за 60 дней)'!$K:$K,"СПБ Шушары",'ВБ Отчет Продажи (за 60 дней)'!$G:$G,$A3),0)</f>
        <v>0</v>
      </c>
      <c r="P3" s="274">
        <f>ROUNDUP(SUMIFS('ВБ Отчет Продажи (за 60 дней)'!$L:$L,'ВБ Отчет Продажи (за 60 дней)'!$K:$K,"Екатеринбург - Перспективный 12",'ВБ Отчет Продажи (за 60 дней)'!$G:$G,$A3),0)</f>
        <v>0</v>
      </c>
      <c r="Q3" s="275">
        <f>ROUNDUP(SUMIFS('ВБ Отчет Продажи (за 60 дней)'!$L:$L,'ВБ Отчет Продажи (за 60 дней)'!$K:$K,"Новосибирск",'ВБ Отчет Продажи (за 60 дней)'!$G:$G,$A3),0)</f>
        <v>0</v>
      </c>
      <c r="R3" s="276">
        <f t="shared" ref="R3:R34" si="0">SUM(F3:Q3)</f>
        <v>9</v>
      </c>
      <c r="S3" s="277">
        <f>SUMIFS('ОЗОН Оборот ведом (за 60 дней)'!I:I,'ОЗОН Оборот ведом (за 60 дней)'!A:A,B3)</f>
        <v>0</v>
      </c>
      <c r="T3" s="278">
        <f>SUM(R3:S3)</f>
        <v>9</v>
      </c>
      <c r="U3" s="224">
        <f>SUMIFS('ВБ Отчет Продажи (за 60 дней)'!$P:$P,'ВБ Отчет Продажи (за 60 дней)'!$K:$K,"Электросталь",'ВБ Отчет Продажи (за 60 дней)'!$G:$G,$A3)</f>
        <v>75</v>
      </c>
      <c r="V3" s="225">
        <f>SUMIFS('ВБ Отчет Продажи (за 60 дней)'!$P:$P,'ВБ Отчет Продажи (за 60 дней)'!$K:$K,"Коледино",'ВБ Отчет Продажи (за 60 дней)'!$G:$G,$A3)</f>
        <v>1</v>
      </c>
      <c r="W3" s="225">
        <f>SUMIFS('ВБ Отчет Продажи (за 60 дней)'!$P:$P,'ВБ Отчет Продажи (за 60 дней)'!$K:$K,"Тула",'ВБ Отчет Продажи (за 60 дней)'!$G:$G,$A3)</f>
        <v>21</v>
      </c>
      <c r="X3" s="225">
        <f>SUMIFS('ВБ Отчет Продажи (за 60 дней)'!$P:$P,'ВБ Отчет Продажи (за 60 дней)'!$K:$K,"Рязань (Тюшевское)",'ВБ Отчет Продажи (за 60 дней)'!$G:$G,$A3)</f>
        <v>0</v>
      </c>
      <c r="Y3" s="279">
        <f>SUMIFS('ВБ Отчет Продажи (за 60 дней)'!$P:$P,'ВБ Отчет Продажи (за 60 дней)'!$K:$K,"Краснодар",'ВБ Отчет Продажи (за 60 дней)'!$G:$G,$A3)</f>
        <v>36</v>
      </c>
      <c r="Z3" s="225">
        <f>SUMIFS('ВБ Отчет Продажи (за 60 дней)'!$P:$P,'ВБ Отчет Продажи (за 60 дней)'!$K:$K,"Невинномысск",'ВБ Отчет Продажи (за 60 дней)'!$G:$G,$A3)</f>
        <v>0</v>
      </c>
      <c r="AA3" s="280">
        <f>SUMIFS('ВБ Отчет Продажи (за 60 дней)'!$P:$P,'ВБ Отчет Продажи (за 60 дней)'!$K:$K,"Волгоград",'ВБ Отчет Продажи (за 60 дней)'!$G:$G,$A3)</f>
        <v>0</v>
      </c>
      <c r="AB3" s="279">
        <f>SUMIFS('ВБ Отчет Продажи (за 60 дней)'!$P:$P,'ВБ Отчет Продажи (за 60 дней)'!$K:$K,"Самара (Новосемейкино)",'ВБ Отчет Продажи (за 60 дней)'!$G:$G,$A3)</f>
        <v>1</v>
      </c>
      <c r="AC3" s="280">
        <f>SUMIFS('ВБ Отчет Продажи (за 60 дней)'!$P:$P,'ВБ Отчет Продажи (за 60 дней)'!$K:$K,"Казань",'ВБ Отчет Продажи (за 60 дней)'!$G:$G,$A3)</f>
        <v>0</v>
      </c>
      <c r="AD3" s="280">
        <f>SUMIFS('ВБ Отчет Продажи (за 60 дней)'!$P:$P,'ВБ Отчет Продажи (за 60 дней)'!$K:$K,"СПБ Шушары",'ВБ Отчет Продажи (за 60 дней)'!$G:$G,$A3)</f>
        <v>0</v>
      </c>
      <c r="AE3" s="281">
        <f>SUMIFS('ВБ Отчет Продажи (за 60 дней)'!$P:$P,'ВБ Отчет Продажи (за 60 дней)'!$K:$K,"Екатеринбург - Перспективный 12",'ВБ Отчет Продажи (за 60 дней)'!$G:$G,$A3)</f>
        <v>0</v>
      </c>
      <c r="AF3" s="282">
        <f>SUMIFS('ВБ Отчет Продажи (за 60 дней)'!$P:$P,'ВБ Отчет Продажи (за 60 дней)'!$K:$K,"Новосибирск",'ВБ Отчет Продажи (за 60 дней)'!$G:$G,$A3)</f>
        <v>0</v>
      </c>
      <c r="AG3" s="124">
        <f t="shared" ref="AG3" si="1">SUM(U3:AF3)</f>
        <v>134</v>
      </c>
      <c r="AH3" s="7">
        <f>IFERROR(AG3*$R$1/R3,0)</f>
        <v>893.33333333333337</v>
      </c>
      <c r="AI3" s="213">
        <f>SUMIFS('ОЗОН Оборот ведом (за 60 дней)'!J:J,'ОЗОН Оборот ведом (за 60 дней)'!A:A,B3)</f>
        <v>0</v>
      </c>
      <c r="AJ3" s="21">
        <f t="shared" ref="AJ3" si="2">AG3+AI3</f>
        <v>134</v>
      </c>
      <c r="AK3" s="7" cm="1">
        <f t="array" ref="AK3">IFERROR(_xlfn.IFS((F3-U3)&gt;0,F3/$R$1*$AY$1-U3,F3+U3=0,"нов"),0)</f>
        <v>0</v>
      </c>
      <c r="AL3" s="7" cm="1">
        <f t="array" ref="AL3">IFERROR(_xlfn.IFS((G3-V3)&gt;0,G3/$R$1*$AY$1-V3,G3+V3=0,"нов"),0)</f>
        <v>2</v>
      </c>
      <c r="AM3" s="7" cm="1">
        <f t="array" ref="AM3">IFERROR(_xlfn.IFS((H3-W3)&gt;0,H3/$R$1*$AY$1-W3,H3+W3=0,"нов"),0)</f>
        <v>0</v>
      </c>
      <c r="AN3" s="7" t="str" cm="1">
        <f t="array" ref="AN3">IFERROR(_xlfn.IFS((I3-X3)&gt;0,I3/$R$1*$AY$1-X3,I3+X3=0,"нов"),0)</f>
        <v>нов</v>
      </c>
      <c r="AO3" s="27" cm="1">
        <f t="array" ref="AO3">IFERROR(_xlfn.IFS((J3-Y3)&gt;0,J3/$R$1*$AY$1-Y3,J3+Y3=0,"нов"),0)</f>
        <v>0</v>
      </c>
      <c r="AP3" s="7" t="str" cm="1">
        <f t="array" ref="AP3">IFERROR(_xlfn.IFS((K3-Z3)&gt;0,K3/$R$1*$AY$1-Z3,K3+Z3=0,"нов"),0)</f>
        <v>нов</v>
      </c>
      <c r="AQ3" s="104" t="str" cm="1">
        <f t="array" ref="AQ3">IFERROR(_xlfn.IFS((L3-AA3)&gt;0,L3/$R$1*$AY$1-AA3,L3+AA3=0,"нов"),0)</f>
        <v>нов</v>
      </c>
      <c r="AR3" s="27" cm="1">
        <f t="array" ref="AR3">IFERROR(_xlfn.IFS((M3-AB3)&gt;0,M3/$R$1*$AY$1-AB3,M3+AB3=0,"нов"),0)</f>
        <v>0</v>
      </c>
      <c r="AS3" s="104" cm="1">
        <f t="array" ref="AS3">IFERROR(_xlfn.IFS((N3-AC3)&gt;0,N3/$R$1*$AY$1-AC3,N3+AC3=0,"нов"),0)</f>
        <v>2</v>
      </c>
      <c r="AT3" s="104" t="str" cm="1">
        <f t="array" ref="AT3">IFERROR(_xlfn.IFS((O3-AD3)&gt;0,O3/$R$1*$AY$1-AD3,O3+AD3=0,"нов"),0)</f>
        <v>нов</v>
      </c>
      <c r="AU3" s="104" t="str" cm="1">
        <f t="array" ref="AU3">IFERROR(_xlfn.IFS((P3-AE3)&gt;0,P3/$R$1*$AY$1-AE3,P3+AE3=0,"нов"),0)</f>
        <v>нов</v>
      </c>
      <c r="AV3" s="7" t="str" cm="1">
        <f t="array" ref="AV3">IFERROR(_xlfn.IFS((Q3-AF3)&gt;0,Q3/$R$1*$AY$1-AF3,Q3+AF3=0,"нов"),0)</f>
        <v>нов</v>
      </c>
      <c r="AW3" s="283">
        <f t="shared" ref="AW3" si="3">SUM(AK3:AV3)</f>
        <v>4</v>
      </c>
      <c r="AX3" s="284">
        <f>SUMIF('ОЗОН Доступн товара'!D:D,_xlfn.XLOOKUP($B3,'ОЗОН Доступн товара'!$A:$A,'ОЗОН Доступн товара'!$D:$D,0))</f>
        <v>0</v>
      </c>
      <c r="AY3" s="226">
        <f>SUM(AW3:AX3)</f>
        <v>4</v>
      </c>
      <c r="AZ3" s="7">
        <f t="shared" ref="AZ3:BK3" si="4">IF(AK3="нов","нов",ROUNDUP(AK3*1.3,0))</f>
        <v>0</v>
      </c>
      <c r="BA3" s="7">
        <f t="shared" si="4"/>
        <v>3</v>
      </c>
      <c r="BB3" s="7">
        <f t="shared" si="4"/>
        <v>0</v>
      </c>
      <c r="BC3" s="7" t="str">
        <f t="shared" si="4"/>
        <v>нов</v>
      </c>
      <c r="BD3" s="27">
        <f t="shared" si="4"/>
        <v>0</v>
      </c>
      <c r="BE3" s="7" t="str">
        <f t="shared" si="4"/>
        <v>нов</v>
      </c>
      <c r="BF3" s="104" t="str">
        <f t="shared" si="4"/>
        <v>нов</v>
      </c>
      <c r="BG3" s="27">
        <f t="shared" si="4"/>
        <v>0</v>
      </c>
      <c r="BH3" s="104">
        <f t="shared" si="4"/>
        <v>3</v>
      </c>
      <c r="BI3" s="7" t="str">
        <f t="shared" si="4"/>
        <v>нов</v>
      </c>
      <c r="BJ3" s="153" t="str">
        <f t="shared" si="4"/>
        <v>нов</v>
      </c>
      <c r="BK3" s="7" t="str">
        <f t="shared" si="4"/>
        <v>нов</v>
      </c>
      <c r="BL3" s="6">
        <f>SUM(AZ3:BK3)</f>
        <v>6</v>
      </c>
      <c r="BM3" s="6">
        <f>AX3*1.3</f>
        <v>0</v>
      </c>
      <c r="BN3" s="28">
        <f>SUM(BL3:BM3)</f>
        <v>6</v>
      </c>
      <c r="BO3" s="73">
        <f>IFERROR(_xlfn.XLOOKUP(A3,'[2] Расчет стоимости и веса'!$I:$I,'[2] Расчет стоимости и веса'!$D:$D),0)</f>
        <v>0</v>
      </c>
      <c r="BP3" s="227">
        <f>BO3</f>
        <v>0</v>
      </c>
      <c r="BQ3" s="8"/>
      <c r="BR3" s="228"/>
      <c r="BS3" s="12"/>
      <c r="BT3" s="12"/>
      <c r="BU3" s="229"/>
      <c r="BV3" s="12"/>
      <c r="BW3" s="12"/>
      <c r="BY3" s="231"/>
      <c r="BZ3" s="232"/>
      <c r="CA3" s="155"/>
      <c r="CB3" s="157"/>
      <c r="CC3" s="57"/>
      <c r="CD3" s="12">
        <f>_xlfn.XLOOKUP(E3,[3]ТЗ_ФФ!$D:$D,[3]ТЗ_ФФ!$AS:$AS,0)</f>
        <v>0</v>
      </c>
      <c r="CE3" s="146">
        <f t="shared" ref="CE3:CE66" si="5">SUM(BR3:CD3)</f>
        <v>0</v>
      </c>
      <c r="CF3" s="69">
        <f t="shared" ref="CF3:CF66" si="6">MAX(BO3,CE3)-BQ3</f>
        <v>0</v>
      </c>
      <c r="CG3" s="45">
        <f t="shared" ref="CG3:CG66" si="7">BO3+BQ3-CE3</f>
        <v>0</v>
      </c>
    </row>
    <row r="4" spans="1:85" ht="14.1" customHeight="1">
      <c r="A4" s="251">
        <f>[1]Юнит!A6</f>
        <v>169153168</v>
      </c>
      <c r="B4" s="252">
        <f>[1]Юнит!B6</f>
        <v>2453533282</v>
      </c>
      <c r="C4" s="251" t="str">
        <f>[1]Юнит!C6</f>
        <v>ACRF1BN101BC</v>
      </c>
      <c r="D4" s="253" t="str">
        <f>[1]Юнит!D6</f>
        <v>Бандаж для лица черный</v>
      </c>
      <c r="E4" s="90">
        <f>[1]Юнит!E6</f>
        <v>2038162681926</v>
      </c>
      <c r="F4" s="132">
        <f>ROUNDUP(SUMIFS('ВБ Отчет Продажи (за 60 дней)'!$L:$L,'ВБ Отчет Продажи (за 60 дней)'!$K:$K,"Электросталь",'ВБ Отчет Продажи (за 60 дней)'!$G:$G,$A4),0)</f>
        <v>4</v>
      </c>
      <c r="G4" s="133">
        <f>ROUNDUP(SUMIFS('ВБ Отчет Продажи (за 60 дней)'!$L:$L,'ВБ Отчет Продажи (за 60 дней)'!$K:$K,"Коледино",'ВБ Отчет Продажи (за 60 дней)'!$G:$G,$A4),0)</f>
        <v>8</v>
      </c>
      <c r="H4" s="133">
        <f>ROUNDUP(SUMIFS('ВБ Отчет Продажи (за 60 дней)'!$L:$L,'ВБ Отчет Продажи (за 60 дней)'!$K:$K,"Тула",'ВБ Отчет Продажи (за 60 дней)'!$G:$G,$A4),0)</f>
        <v>0</v>
      </c>
      <c r="I4" s="134">
        <f>ROUNDUP(SUMIFS('ВБ Отчет Продажи (за 60 дней)'!$L:$L,'ВБ Отчет Продажи (за 60 дней)'!$K:$K,"Рязань (Тюшевское)",'ВБ Отчет Продажи (за 60 дней)'!$G:$G,$A4),0)</f>
        <v>0</v>
      </c>
      <c r="J4" s="136">
        <f>ROUNDUP(SUMIFS('ВБ Отчет Продажи (за 60 дней)'!$L:$L,'ВБ Отчет Продажи (за 60 дней)'!$K:$K,"Краснодар",'ВБ Отчет Продажи (за 60 дней)'!$G:$G,$A4),0)</f>
        <v>7</v>
      </c>
      <c r="K4" s="133">
        <f>ROUNDUP(SUMIFS('ВБ Отчет Продажи (за 60 дней)'!$L:$L,'ВБ Отчет Продажи (за 60 дней)'!$K:$K,"Невинномысск",'ВБ Отчет Продажи (за 60 дней)'!$G:$G,$A4),0)</f>
        <v>1</v>
      </c>
      <c r="L4" s="137">
        <f>ROUNDUP(SUMIFS('ВБ Отчет Продажи (за 60 дней)'!$L:$L,'ВБ Отчет Продажи (за 60 дней)'!$K:$K,"Волгоград",'ВБ Отчет Продажи (за 60 дней)'!$G:$G,$A4),0)</f>
        <v>0</v>
      </c>
      <c r="M4" s="136">
        <f>ROUNDUP(SUMIFS('ВБ Отчет Продажи (за 60 дней)'!$L:$L,'ВБ Отчет Продажи (за 60 дней)'!$K:$K,"Самара (Новосемейкино)",'ВБ Отчет Продажи (за 60 дней)'!$G:$G,$A4),0)</f>
        <v>3</v>
      </c>
      <c r="N4" s="137">
        <f>ROUNDUP(SUMIFS('ВБ Отчет Продажи (за 60 дней)'!$L:$L,'ВБ Отчет Продажи (за 60 дней)'!$K:$K,"Казань",'ВБ Отчет Продажи (за 60 дней)'!$G:$G,$A4),0)</f>
        <v>4</v>
      </c>
      <c r="O4" s="137">
        <f>ROUNDUP(SUMIFS('ВБ Отчет Продажи (за 60 дней)'!$L:$L,'ВБ Отчет Продажи (за 60 дней)'!$K:$K,"СПБ Шушары",'ВБ Отчет Продажи (за 60 дней)'!$G:$G,$A4),0)</f>
        <v>0</v>
      </c>
      <c r="P4" s="151">
        <f>ROUNDUP(SUMIFS('ВБ Отчет Продажи (за 60 дней)'!$L:$L,'ВБ Отчет Продажи (за 60 дней)'!$K:$K,"Екатеринбург - Перспективный 12",'ВБ Отчет Продажи (за 60 дней)'!$G:$G,$A4),0)</f>
        <v>0</v>
      </c>
      <c r="Q4" s="149">
        <f>ROUNDUP(SUMIFS('ВБ Отчет Продажи (за 60 дней)'!$L:$L,'ВБ Отчет Продажи (за 60 дней)'!$K:$K,"Новосибирск",'ВБ Отчет Продажи (за 60 дней)'!$G:$G,$A4),0)</f>
        <v>0</v>
      </c>
      <c r="R4" s="131">
        <f t="shared" si="0"/>
        <v>27</v>
      </c>
      <c r="S4" s="139">
        <f>SUMIFS('ОЗОН Оборот ведом (за 60 дней)'!I:I,'ОЗОН Оборот ведом (за 60 дней)'!A:A,B4)</f>
        <v>5</v>
      </c>
      <c r="T4" s="140">
        <f t="shared" ref="T4:T67" si="8">SUM(R4:S4)</f>
        <v>32</v>
      </c>
      <c r="U4" s="6">
        <f>SUMIFS('ВБ Отчет Продажи (за 60 дней)'!$P:$P,'ВБ Отчет Продажи (за 60 дней)'!$K:$K,"Электросталь",'ВБ Отчет Продажи (за 60 дней)'!$G:$G,$A4)</f>
        <v>58</v>
      </c>
      <c r="V4" s="7">
        <f>SUMIFS('ВБ Отчет Продажи (за 60 дней)'!$P:$P,'ВБ Отчет Продажи (за 60 дней)'!$K:$K,"Коледино",'ВБ Отчет Продажи (за 60 дней)'!$G:$G,$A4)</f>
        <v>8</v>
      </c>
      <c r="W4" s="7">
        <f>SUMIFS('ВБ Отчет Продажи (за 60 дней)'!$P:$P,'ВБ Отчет Продажи (за 60 дней)'!$K:$K,"Тула",'ВБ Отчет Продажи (за 60 дней)'!$G:$G,$A4)</f>
        <v>0</v>
      </c>
      <c r="X4" s="7">
        <f>SUMIFS('ВБ Отчет Продажи (за 60 дней)'!$P:$P,'ВБ Отчет Продажи (за 60 дней)'!$K:$K,"Рязань (Тюшевское)",'ВБ Отчет Продажи (за 60 дней)'!$G:$G,$A4)</f>
        <v>5</v>
      </c>
      <c r="Y4" s="27">
        <f>SUMIFS('ВБ Отчет Продажи (за 60 дней)'!$P:$P,'ВБ Отчет Продажи (за 60 дней)'!$K:$K,"Краснодар",'ВБ Отчет Продажи (за 60 дней)'!$G:$G,$A4)</f>
        <v>23</v>
      </c>
      <c r="Z4" s="7">
        <f>SUMIFS('ВБ Отчет Продажи (за 60 дней)'!$P:$P,'ВБ Отчет Продажи (за 60 дней)'!$K:$K,"Невинномысск",'ВБ Отчет Продажи (за 60 дней)'!$G:$G,$A4)</f>
        <v>13</v>
      </c>
      <c r="AA4" s="104">
        <f>SUMIFS('ВБ Отчет Продажи (за 60 дней)'!$P:$P,'ВБ Отчет Продажи (за 60 дней)'!$K:$K,"Волгоград",'ВБ Отчет Продажи (за 60 дней)'!$G:$G,$A4)</f>
        <v>0</v>
      </c>
      <c r="AB4" s="27">
        <f>SUMIFS('ВБ Отчет Продажи (за 60 дней)'!$P:$P,'ВБ Отчет Продажи (за 60 дней)'!$K:$K,"Самара (Новосемейкино)",'ВБ Отчет Продажи (за 60 дней)'!$G:$G,$A4)</f>
        <v>21</v>
      </c>
      <c r="AC4" s="104">
        <f>SUMIFS('ВБ Отчет Продажи (за 60 дней)'!$P:$P,'ВБ Отчет Продажи (за 60 дней)'!$K:$K,"Казань",'ВБ Отчет Продажи (за 60 дней)'!$G:$G,$A4)</f>
        <v>44</v>
      </c>
      <c r="AD4" s="104">
        <f>SUMIFS('ВБ Отчет Продажи (за 60 дней)'!$P:$P,'ВБ Отчет Продажи (за 60 дней)'!$K:$K,"СПБ Шушары",'ВБ Отчет Продажи (за 60 дней)'!$G:$G,$A4)</f>
        <v>0</v>
      </c>
      <c r="AE4" s="153">
        <f>SUMIFS('ВБ Отчет Продажи (за 60 дней)'!$P:$P,'ВБ Отчет Продажи (за 60 дней)'!$K:$K,"Екатеринбург - Перспективный 12",'ВБ Отчет Продажи (за 60 дней)'!$G:$G,$A4)</f>
        <v>0</v>
      </c>
      <c r="AF4" s="102">
        <f>SUMIFS('ВБ Отчет Продажи (за 60 дней)'!$P:$P,'ВБ Отчет Продажи (за 60 дней)'!$K:$K,"Новосибирск",'ВБ Отчет Продажи (за 60 дней)'!$G:$G,$A4)</f>
        <v>0</v>
      </c>
      <c r="AG4" s="124">
        <f t="shared" ref="AG4:AG67" si="9">SUM(U4:AF4)</f>
        <v>172</v>
      </c>
      <c r="AH4" s="7">
        <f t="shared" ref="AH4:AH67" si="10">IFERROR(AG4*$R$1/R4,0)</f>
        <v>382.22222222222223</v>
      </c>
      <c r="AI4" s="213">
        <f>SUMIFS('ОЗОН Оборот ведом (за 60 дней)'!J:J,'ОЗОН Оборот ведом (за 60 дней)'!A:A,B4)</f>
        <v>0</v>
      </c>
      <c r="AJ4" s="21">
        <f t="shared" ref="AJ4:AJ67" si="11">AG4+AI4</f>
        <v>172</v>
      </c>
      <c r="AK4" s="7" cm="1">
        <f t="array" ref="AK4">IFERROR(_xlfn.IFS((F4-U4)&gt;0,F4/$R$1*$AY$1-U4,F4+U4=0,"нов"),0)</f>
        <v>0</v>
      </c>
      <c r="AL4" s="7" cm="1">
        <f t="array" ref="AL4">IFERROR(_xlfn.IFS((G4-V4)&gt;0,G4/$R$1*$AY$1-V4,G4+V4=0,"нов"),0)</f>
        <v>0</v>
      </c>
      <c r="AM4" s="7" t="str" cm="1">
        <f t="array" ref="AM4">IFERROR(_xlfn.IFS((H4-W4)&gt;0,H4/$R$1*$AY$1-W4,H4+W4=0,"нов"),0)</f>
        <v>нов</v>
      </c>
      <c r="AN4" s="7" cm="1">
        <f t="array" ref="AN4">IFERROR(_xlfn.IFS((I4-X4)&gt;0,I4/$R$1*$AY$1-X4,I4+X4=0,"нов"),0)</f>
        <v>0</v>
      </c>
      <c r="AO4" s="27" cm="1">
        <f t="array" ref="AO4">IFERROR(_xlfn.IFS((J4-Y4)&gt;0,J4/$R$1*$AY$1-Y4,J4+Y4=0,"нов"),0)</f>
        <v>0</v>
      </c>
      <c r="AP4" s="7" cm="1">
        <f t="array" ref="AP4">IFERROR(_xlfn.IFS((K4-Z4)&gt;0,K4/$R$1*$AY$1-Z4,K4+Z4=0,"нов"),0)</f>
        <v>0</v>
      </c>
      <c r="AQ4" s="104" t="str" cm="1">
        <f t="array" ref="AQ4">IFERROR(_xlfn.IFS((L4-AA4)&gt;0,L4/$R$1*$AY$1-AA4,L4+AA4=0,"нов"),0)</f>
        <v>нов</v>
      </c>
      <c r="AR4" s="27" cm="1">
        <f t="array" ref="AR4">IFERROR(_xlfn.IFS((M4-AB4)&gt;0,M4/$R$1*$AY$1-AB4,M4+AB4=0,"нов"),0)</f>
        <v>0</v>
      </c>
      <c r="AS4" s="104" cm="1">
        <f t="array" ref="AS4">IFERROR(_xlfn.IFS((N4-AC4)&gt;0,N4/$R$1*$AY$1-AC4,N4+AC4=0,"нов"),0)</f>
        <v>0</v>
      </c>
      <c r="AT4" s="104" t="str" cm="1">
        <f t="array" ref="AT4">IFERROR(_xlfn.IFS((O4-AD4)&gt;0,O4/$R$1*$AY$1-AD4,O4+AD4=0,"нов"),0)</f>
        <v>нов</v>
      </c>
      <c r="AU4" s="7" t="str" cm="1">
        <f t="array" ref="AU4">IFERROR(_xlfn.IFS((P4-AE4)&gt;0,P4/$R$1*$AY$1-AE4,P4+AE4=0,"нов"),0)</f>
        <v>нов</v>
      </c>
      <c r="AV4" s="7" t="str" cm="1">
        <f t="array" ref="AV4">IFERROR(_xlfn.IFS((Q4-AF4)&gt;0,Q4/$R$1*$AY$1-AF4,Q4+AF4=0,"нов"),0)</f>
        <v>нов</v>
      </c>
      <c r="AW4" s="141">
        <f t="shared" ref="AW4:AW67" si="12">SUM(AK4:AV4)</f>
        <v>0</v>
      </c>
      <c r="AX4" s="218">
        <f>SUMIF('ОЗОН Доступн товара'!D:D,_xlfn.XLOOKUP($B4,'ОЗОН Доступн товара'!$A:$A,'ОЗОН Доступн товара'!$D:$D,0))</f>
        <v>0</v>
      </c>
      <c r="AY4" s="226">
        <f t="shared" ref="AY4:AY67" si="13">SUM(AW4:AX4)</f>
        <v>0</v>
      </c>
      <c r="AZ4" s="7">
        <f t="shared" ref="AZ4:AZ67" si="14">IF(AK4="нов","нов",ROUNDUP(AK4*1.3,0))</f>
        <v>0</v>
      </c>
      <c r="BA4" s="7">
        <f t="shared" ref="BA4:BA67" si="15">IF(AL4="нов","нов",ROUNDUP(AL4*1.3,0))</f>
        <v>0</v>
      </c>
      <c r="BB4" s="7" t="str">
        <f t="shared" ref="BB4:BB67" si="16">IF(AM4="нов","нов",ROUNDUP(AM4*1.3,0))</f>
        <v>нов</v>
      </c>
      <c r="BC4" s="7">
        <f t="shared" ref="BC4:BC67" si="17">IF(AN4="нов","нов",ROUNDUP(AN4*1.3,0))</f>
        <v>0</v>
      </c>
      <c r="BD4" s="27">
        <f t="shared" ref="BD4:BD67" si="18">IF(AO4="нов","нов",ROUNDUP(AO4*1.3,0))</f>
        <v>0</v>
      </c>
      <c r="BE4" s="7">
        <f t="shared" ref="BE4:BE67" si="19">IF(AP4="нов","нов",ROUNDUP(AP4*1.3,0))</f>
        <v>0</v>
      </c>
      <c r="BF4" s="104" t="str">
        <f t="shared" ref="BF4:BF67" si="20">IF(AQ4="нов","нов",ROUNDUP(AQ4*1.3,0))</f>
        <v>нов</v>
      </c>
      <c r="BG4" s="27">
        <f t="shared" ref="BG4:BG67" si="21">IF(AR4="нов","нов",ROUNDUP(AR4*1.3,0))</f>
        <v>0</v>
      </c>
      <c r="BH4" s="104">
        <f t="shared" ref="BH4:BH67" si="22">IF(AS4="нов","нов",ROUNDUP(AS4*1.3,0))</f>
        <v>0</v>
      </c>
      <c r="BI4" s="7" t="str">
        <f t="shared" ref="BI4:BI67" si="23">IF(AT4="нов","нов",ROUNDUP(AT4*1.3,0))</f>
        <v>нов</v>
      </c>
      <c r="BJ4" s="153" t="str">
        <f t="shared" ref="BJ4:BJ67" si="24">IF(AU4="нов","нов",ROUNDUP(AU4*1.3,0))</f>
        <v>нов</v>
      </c>
      <c r="BK4" s="7" t="str">
        <f t="shared" ref="BK4:BK67" si="25">IF(AV4="нов","нов",ROUNDUP(AV4*1.3,0))</f>
        <v>нов</v>
      </c>
      <c r="BL4" s="6">
        <f t="shared" ref="BL4:BL67" si="26">SUM(AZ4:BK4)</f>
        <v>0</v>
      </c>
      <c r="BM4" s="6">
        <f t="shared" ref="BM4:BM67" si="27">AX4*1.3</f>
        <v>0</v>
      </c>
      <c r="BN4" s="28">
        <f t="shared" ref="BN4:BN67" si="28">SUM(BL4:BM4)</f>
        <v>0</v>
      </c>
      <c r="BO4" s="73">
        <f>IFERROR(_xlfn.XLOOKUP(A4,'[2] Расчет стоимости и веса'!$I:$I,'[2] Расчет стоимости и веса'!$D:$D),0)</f>
        <v>40</v>
      </c>
      <c r="BP4" s="227">
        <f t="shared" ref="BP4:BP67" si="29">BO4</f>
        <v>40</v>
      </c>
      <c r="BQ4" s="8"/>
      <c r="BR4" s="155"/>
      <c r="BS4" s="12"/>
      <c r="BT4" s="12"/>
      <c r="BU4" s="229"/>
      <c r="BV4" s="12"/>
      <c r="BW4" s="12"/>
      <c r="BY4" s="231"/>
      <c r="BZ4" s="232"/>
      <c r="CA4" s="155">
        <v>20</v>
      </c>
      <c r="CB4" s="157">
        <v>20</v>
      </c>
      <c r="CC4" s="57"/>
      <c r="CD4" s="12"/>
      <c r="CE4" s="146">
        <f t="shared" si="5"/>
        <v>40</v>
      </c>
      <c r="CF4" s="69">
        <f t="shared" si="6"/>
        <v>40</v>
      </c>
      <c r="CG4" s="45">
        <f t="shared" si="7"/>
        <v>0</v>
      </c>
    </row>
    <row r="5" spans="1:85" ht="14.1" customHeight="1">
      <c r="A5" s="251">
        <f>[1]Юнит!A7</f>
        <v>169395410</v>
      </c>
      <c r="B5" s="252">
        <f>[1]Юнит!B7</f>
        <v>2419349210</v>
      </c>
      <c r="C5" s="251" t="str">
        <f>[1]Юнит!C7</f>
        <v>ACRF1BN201GR</v>
      </c>
      <c r="D5" s="253" t="str">
        <f>[1]Юнит!D7</f>
        <v>Бандаж для лица серый</v>
      </c>
      <c r="E5" s="90">
        <f>[1]Юнит!E7</f>
        <v>2038172050200</v>
      </c>
      <c r="F5" s="132">
        <f>ROUNDUP(SUMIFS('ВБ Отчет Продажи (за 60 дней)'!$L:$L,'ВБ Отчет Продажи (за 60 дней)'!$K:$K,"Электросталь",'ВБ Отчет Продажи (за 60 дней)'!$G:$G,$A5),0)</f>
        <v>12</v>
      </c>
      <c r="G5" s="133">
        <f>ROUNDUP(SUMIFS('ВБ Отчет Продажи (за 60 дней)'!$L:$L,'ВБ Отчет Продажи (за 60 дней)'!$K:$K,"Коледино",'ВБ Отчет Продажи (за 60 дней)'!$G:$G,$A5),0)</f>
        <v>6</v>
      </c>
      <c r="H5" s="133">
        <f>ROUNDUP(SUMIFS('ВБ Отчет Продажи (за 60 дней)'!$L:$L,'ВБ Отчет Продажи (за 60 дней)'!$K:$K,"Тула",'ВБ Отчет Продажи (за 60 дней)'!$G:$G,$A5),0)</f>
        <v>2</v>
      </c>
      <c r="I5" s="134">
        <f>ROUNDUP(SUMIFS('ВБ Отчет Продажи (за 60 дней)'!$L:$L,'ВБ Отчет Продажи (за 60 дней)'!$K:$K,"Рязань (Тюшевское)",'ВБ Отчет Продажи (за 60 дней)'!$G:$G,$A5),0)</f>
        <v>2</v>
      </c>
      <c r="J5" s="136">
        <f>ROUNDUP(SUMIFS('ВБ Отчет Продажи (за 60 дней)'!$L:$L,'ВБ Отчет Продажи (за 60 дней)'!$K:$K,"Краснодар",'ВБ Отчет Продажи (за 60 дней)'!$G:$G,$A5),0)</f>
        <v>4</v>
      </c>
      <c r="K5" s="133">
        <f>ROUNDUP(SUMIFS('ВБ Отчет Продажи (за 60 дней)'!$L:$L,'ВБ Отчет Продажи (за 60 дней)'!$K:$K,"Невинномысск",'ВБ Отчет Продажи (за 60 дней)'!$G:$G,$A5),0)</f>
        <v>2</v>
      </c>
      <c r="L5" s="137">
        <f>ROUNDUP(SUMIFS('ВБ Отчет Продажи (за 60 дней)'!$L:$L,'ВБ Отчет Продажи (за 60 дней)'!$K:$K,"Волгоград",'ВБ Отчет Продажи (за 60 дней)'!$G:$G,$A5),0)</f>
        <v>0</v>
      </c>
      <c r="M5" s="136">
        <f>ROUNDUP(SUMIFS('ВБ Отчет Продажи (за 60 дней)'!$L:$L,'ВБ Отчет Продажи (за 60 дней)'!$K:$K,"Самара (Новосемейкино)",'ВБ Отчет Продажи (за 60 дней)'!$G:$G,$A5),0)</f>
        <v>3</v>
      </c>
      <c r="N5" s="137">
        <f>ROUNDUP(SUMIFS('ВБ Отчет Продажи (за 60 дней)'!$L:$L,'ВБ Отчет Продажи (за 60 дней)'!$K:$K,"Казань",'ВБ Отчет Продажи (за 60 дней)'!$G:$G,$A5),0)</f>
        <v>2</v>
      </c>
      <c r="O5" s="137">
        <f>ROUNDUP(SUMIFS('ВБ Отчет Продажи (за 60 дней)'!$L:$L,'ВБ Отчет Продажи (за 60 дней)'!$K:$K,"СПБ Шушары",'ВБ Отчет Продажи (за 60 дней)'!$G:$G,$A5),0)</f>
        <v>0</v>
      </c>
      <c r="P5" s="151">
        <f>ROUNDUP(SUMIFS('ВБ Отчет Продажи (за 60 дней)'!$L:$L,'ВБ Отчет Продажи (за 60 дней)'!$K:$K,"Екатеринбург - Перспективный 12",'ВБ Отчет Продажи (за 60 дней)'!$G:$G,$A5),0)</f>
        <v>0</v>
      </c>
      <c r="Q5" s="149">
        <f>ROUNDUP(SUMIFS('ВБ Отчет Продажи (за 60 дней)'!$L:$L,'ВБ Отчет Продажи (за 60 дней)'!$K:$K,"Новосибирск",'ВБ Отчет Продажи (за 60 дней)'!$G:$G,$A5),0)</f>
        <v>0</v>
      </c>
      <c r="R5" s="131">
        <f t="shared" si="0"/>
        <v>33</v>
      </c>
      <c r="S5" s="139">
        <f>SUMIFS('ОЗОН Оборот ведом (за 60 дней)'!I:I,'ОЗОН Оборот ведом (за 60 дней)'!A:A,B5)</f>
        <v>28</v>
      </c>
      <c r="T5" s="140">
        <f t="shared" si="8"/>
        <v>61</v>
      </c>
      <c r="U5" s="6">
        <f>SUMIFS('ВБ Отчет Продажи (за 60 дней)'!$P:$P,'ВБ Отчет Продажи (за 60 дней)'!$K:$K,"Электросталь",'ВБ Отчет Продажи (за 60 дней)'!$G:$G,$A5)</f>
        <v>26</v>
      </c>
      <c r="V5" s="7">
        <f>SUMIFS('ВБ Отчет Продажи (за 60 дней)'!$P:$P,'ВБ Отчет Продажи (за 60 дней)'!$K:$K,"Коледино",'ВБ Отчет Продажи (за 60 дней)'!$G:$G,$A5)</f>
        <v>30</v>
      </c>
      <c r="W5" s="7">
        <f>SUMIFS('ВБ Отчет Продажи (за 60 дней)'!$P:$P,'ВБ Отчет Продажи (за 60 дней)'!$K:$K,"Тула",'ВБ Отчет Продажи (за 60 дней)'!$G:$G,$A5)</f>
        <v>0</v>
      </c>
      <c r="X5" s="7">
        <f>SUMIFS('ВБ Отчет Продажи (за 60 дней)'!$P:$P,'ВБ Отчет Продажи (за 60 дней)'!$K:$K,"Рязань (Тюшевское)",'ВБ Отчет Продажи (за 60 дней)'!$G:$G,$A5)</f>
        <v>15</v>
      </c>
      <c r="Y5" s="27">
        <f>SUMIFS('ВБ Отчет Продажи (за 60 дней)'!$P:$P,'ВБ Отчет Продажи (за 60 дней)'!$K:$K,"Краснодар",'ВБ Отчет Продажи (за 60 дней)'!$G:$G,$A5)</f>
        <v>13</v>
      </c>
      <c r="Z5" s="7">
        <f>SUMIFS('ВБ Отчет Продажи (за 60 дней)'!$P:$P,'ВБ Отчет Продажи (за 60 дней)'!$K:$K,"Невинномысск",'ВБ Отчет Продажи (за 60 дней)'!$G:$G,$A5)</f>
        <v>31</v>
      </c>
      <c r="AA5" s="104">
        <f>SUMIFS('ВБ Отчет Продажи (за 60 дней)'!$P:$P,'ВБ Отчет Продажи (за 60 дней)'!$K:$K,"Волгоград",'ВБ Отчет Продажи (за 60 дней)'!$G:$G,$A5)</f>
        <v>0</v>
      </c>
      <c r="AB5" s="27">
        <f>SUMIFS('ВБ Отчет Продажи (за 60 дней)'!$P:$P,'ВБ Отчет Продажи (за 60 дней)'!$K:$K,"Самара (Новосемейкино)",'ВБ Отчет Продажи (за 60 дней)'!$G:$G,$A5)</f>
        <v>31</v>
      </c>
      <c r="AC5" s="104">
        <f>SUMIFS('ВБ Отчет Продажи (за 60 дней)'!$P:$P,'ВБ Отчет Продажи (за 60 дней)'!$K:$K,"Казань",'ВБ Отчет Продажи (за 60 дней)'!$G:$G,$A5)</f>
        <v>17</v>
      </c>
      <c r="AD5" s="104">
        <f>SUMIFS('ВБ Отчет Продажи (за 60 дней)'!$P:$P,'ВБ Отчет Продажи (за 60 дней)'!$K:$K,"СПБ Шушары",'ВБ Отчет Продажи (за 60 дней)'!$G:$G,$A5)</f>
        <v>0</v>
      </c>
      <c r="AE5" s="153">
        <f>SUMIFS('ВБ Отчет Продажи (за 60 дней)'!$P:$P,'ВБ Отчет Продажи (за 60 дней)'!$K:$K,"Екатеринбург - Перспективный 12",'ВБ Отчет Продажи (за 60 дней)'!$G:$G,$A5)</f>
        <v>0</v>
      </c>
      <c r="AF5" s="102">
        <f>SUMIFS('ВБ Отчет Продажи (за 60 дней)'!$P:$P,'ВБ Отчет Продажи (за 60 дней)'!$K:$K,"Новосибирск",'ВБ Отчет Продажи (за 60 дней)'!$G:$G,$A5)</f>
        <v>0</v>
      </c>
      <c r="AG5" s="124">
        <f t="shared" si="9"/>
        <v>163</v>
      </c>
      <c r="AH5" s="7">
        <f t="shared" si="10"/>
        <v>296.36363636363637</v>
      </c>
      <c r="AI5" s="213">
        <f>SUMIFS('ОЗОН Оборот ведом (за 60 дней)'!J:J,'ОЗОН Оборот ведом (за 60 дней)'!A:A,B5)</f>
        <v>1</v>
      </c>
      <c r="AJ5" s="21">
        <f t="shared" si="11"/>
        <v>164</v>
      </c>
      <c r="AK5" s="7" cm="1">
        <f t="array" ref="AK5">IFERROR(_xlfn.IFS((F5-U5)&gt;0,F5/$R$1*$AY$1-U5,F5+U5=0,"нов"),0)</f>
        <v>0</v>
      </c>
      <c r="AL5" s="7" cm="1">
        <f t="array" ref="AL5">IFERROR(_xlfn.IFS((G5-V5)&gt;0,G5/$R$1*$AY$1-V5,G5+V5=0,"нов"),0)</f>
        <v>0</v>
      </c>
      <c r="AM5" s="7" cm="1">
        <f t="array" ref="AM5">IFERROR(_xlfn.IFS((H5-W5)&gt;0,H5/$R$1*$AY$1-W5,H5+W5=0,"нов"),0)</f>
        <v>2</v>
      </c>
      <c r="AN5" s="7" cm="1">
        <f t="array" ref="AN5">IFERROR(_xlfn.IFS((I5-X5)&gt;0,I5/$R$1*$AY$1-X5,I5+X5=0,"нов"),0)</f>
        <v>0</v>
      </c>
      <c r="AO5" s="27" cm="1">
        <f t="array" ref="AO5">IFERROR(_xlfn.IFS((J5-Y5)&gt;0,J5/$R$1*$AY$1-Y5,J5+Y5=0,"нов"),0)</f>
        <v>0</v>
      </c>
      <c r="AP5" s="7" cm="1">
        <f t="array" ref="AP5">IFERROR(_xlfn.IFS((K5-Z5)&gt;0,K5/$R$1*$AY$1-Z5,K5+Z5=0,"нов"),0)</f>
        <v>0</v>
      </c>
      <c r="AQ5" s="104" t="str" cm="1">
        <f t="array" ref="AQ5">IFERROR(_xlfn.IFS((L5-AA5)&gt;0,L5/$R$1*$AY$1-AA5,L5+AA5=0,"нов"),0)</f>
        <v>нов</v>
      </c>
      <c r="AR5" s="27" cm="1">
        <f t="array" ref="AR5">IFERROR(_xlfn.IFS((M5-AB5)&gt;0,M5/$R$1*$AY$1-AB5,M5+AB5=0,"нов"),0)</f>
        <v>0</v>
      </c>
      <c r="AS5" s="104" cm="1">
        <f t="array" ref="AS5">IFERROR(_xlfn.IFS((N5-AC5)&gt;0,N5/$R$1*$AY$1-AC5,N5+AC5=0,"нов"),0)</f>
        <v>0</v>
      </c>
      <c r="AT5" s="104" t="str" cm="1">
        <f t="array" ref="AT5">IFERROR(_xlfn.IFS((O5-AD5)&gt;0,O5/$R$1*$AY$1-AD5,O5+AD5=0,"нов"),0)</f>
        <v>нов</v>
      </c>
      <c r="AU5" s="7" t="str" cm="1">
        <f t="array" ref="AU5">IFERROR(_xlfn.IFS((P5-AE5)&gt;0,P5/$R$1*$AY$1-AE5,P5+AE5=0,"нов"),0)</f>
        <v>нов</v>
      </c>
      <c r="AV5" s="7" t="str" cm="1">
        <f t="array" ref="AV5">IFERROR(_xlfn.IFS((Q5-AF5)&gt;0,Q5/$R$1*$AY$1-AF5,Q5+AF5=0,"нов"),0)</f>
        <v>нов</v>
      </c>
      <c r="AW5" s="141">
        <f t="shared" si="12"/>
        <v>2</v>
      </c>
      <c r="AX5" s="218">
        <f>SUMIF('ОЗОН Доступн товара'!D:D,_xlfn.XLOOKUP($B5,'ОЗОН Доступн товара'!$A:$A,'ОЗОН Доступн товара'!$D:$D,0))</f>
        <v>24</v>
      </c>
      <c r="AY5" s="226">
        <f t="shared" si="13"/>
        <v>26</v>
      </c>
      <c r="AZ5" s="7">
        <f t="shared" si="14"/>
        <v>0</v>
      </c>
      <c r="BA5" s="7">
        <f t="shared" si="15"/>
        <v>0</v>
      </c>
      <c r="BB5" s="7">
        <f t="shared" si="16"/>
        <v>3</v>
      </c>
      <c r="BC5" s="7">
        <f t="shared" si="17"/>
        <v>0</v>
      </c>
      <c r="BD5" s="27">
        <f t="shared" si="18"/>
        <v>0</v>
      </c>
      <c r="BE5" s="7">
        <f t="shared" si="19"/>
        <v>0</v>
      </c>
      <c r="BF5" s="104" t="str">
        <f t="shared" si="20"/>
        <v>нов</v>
      </c>
      <c r="BG5" s="27">
        <f t="shared" si="21"/>
        <v>0</v>
      </c>
      <c r="BH5" s="104">
        <f t="shared" si="22"/>
        <v>0</v>
      </c>
      <c r="BI5" s="7" t="str">
        <f t="shared" si="23"/>
        <v>нов</v>
      </c>
      <c r="BJ5" s="153" t="str">
        <f t="shared" si="24"/>
        <v>нов</v>
      </c>
      <c r="BK5" s="7" t="str">
        <f t="shared" si="25"/>
        <v>нов</v>
      </c>
      <c r="BL5" s="6">
        <f t="shared" si="26"/>
        <v>3</v>
      </c>
      <c r="BM5" s="6">
        <f t="shared" si="27"/>
        <v>31.200000000000003</v>
      </c>
      <c r="BN5" s="28">
        <f t="shared" si="28"/>
        <v>34.200000000000003</v>
      </c>
      <c r="BO5" s="73">
        <f>IFERROR(_xlfn.XLOOKUP(A5,'[2] Расчет стоимости и веса'!$I:$I,'[2] Расчет стоимости и веса'!$D:$D),0)</f>
        <v>40</v>
      </c>
      <c r="BP5" s="227">
        <f t="shared" si="29"/>
        <v>40</v>
      </c>
      <c r="BQ5" s="8"/>
      <c r="BR5" s="155"/>
      <c r="BS5" s="12"/>
      <c r="BT5" s="12"/>
      <c r="BU5" s="229"/>
      <c r="BV5" s="12"/>
      <c r="BW5" s="12"/>
      <c r="BY5" s="231"/>
      <c r="BZ5" s="232"/>
      <c r="CA5" s="155">
        <v>20</v>
      </c>
      <c r="CB5" s="157">
        <v>20</v>
      </c>
      <c r="CC5" s="57"/>
      <c r="CD5" s="12"/>
      <c r="CE5" s="146">
        <f t="shared" si="5"/>
        <v>40</v>
      </c>
      <c r="CF5" s="69">
        <f t="shared" si="6"/>
        <v>40</v>
      </c>
      <c r="CG5" s="45">
        <f t="shared" si="7"/>
        <v>0</v>
      </c>
    </row>
    <row r="6" spans="1:85" ht="14.1" customHeight="1">
      <c r="A6" s="233">
        <f>[1]Юнит!A8</f>
        <v>172832355</v>
      </c>
      <c r="B6" s="234">
        <f>[1]Юнит!B8</f>
        <v>2419349460</v>
      </c>
      <c r="C6" s="233" t="str">
        <f>[1]Юнит!C8</f>
        <v>AHMA7BW101BG</v>
      </c>
      <c r="D6" s="235" t="str">
        <f>[1]Юнит!D8</f>
        <v>Мешки 7 шт.</v>
      </c>
      <c r="E6" s="90">
        <f>[1]Юнит!E8</f>
        <v>2038337652454</v>
      </c>
      <c r="F6" s="132">
        <f>ROUNDUP(SUMIFS('ВБ Отчет Продажи (за 60 дней)'!$L:$L,'ВБ Отчет Продажи (за 60 дней)'!$K:$K,"Электросталь",'ВБ Отчет Продажи (за 60 дней)'!$G:$G,$A6),0)</f>
        <v>3</v>
      </c>
      <c r="G6" s="133">
        <f>ROUNDUP(SUMIFS('ВБ Отчет Продажи (за 60 дней)'!$L:$L,'ВБ Отчет Продажи (за 60 дней)'!$K:$K,"Коледино",'ВБ Отчет Продажи (за 60 дней)'!$G:$G,$A6),0)</f>
        <v>2</v>
      </c>
      <c r="H6" s="133">
        <f>ROUNDUP(SUMIFS('ВБ Отчет Продажи (за 60 дней)'!$L:$L,'ВБ Отчет Продажи (за 60 дней)'!$K:$K,"Тула",'ВБ Отчет Продажи (за 60 дней)'!$G:$G,$A6),0)</f>
        <v>0</v>
      </c>
      <c r="I6" s="134">
        <f>ROUNDUP(SUMIFS('ВБ Отчет Продажи (за 60 дней)'!$L:$L,'ВБ Отчет Продажи (за 60 дней)'!$K:$K,"Рязань (Тюшевское)",'ВБ Отчет Продажи (за 60 дней)'!$G:$G,$A6),0)</f>
        <v>2</v>
      </c>
      <c r="J6" s="136">
        <f>ROUNDUP(SUMIFS('ВБ Отчет Продажи (за 60 дней)'!$L:$L,'ВБ Отчет Продажи (за 60 дней)'!$K:$K,"Краснодар",'ВБ Отчет Продажи (за 60 дней)'!$G:$G,$A6),0)</f>
        <v>1</v>
      </c>
      <c r="K6" s="133">
        <f>ROUNDUP(SUMIFS('ВБ Отчет Продажи (за 60 дней)'!$L:$L,'ВБ Отчет Продажи (за 60 дней)'!$K:$K,"Невинномысск",'ВБ Отчет Продажи (за 60 дней)'!$G:$G,$A6),0)</f>
        <v>0</v>
      </c>
      <c r="L6" s="137">
        <f>ROUNDUP(SUMIFS('ВБ Отчет Продажи (за 60 дней)'!$L:$L,'ВБ Отчет Продажи (за 60 дней)'!$K:$K,"Волгоград",'ВБ Отчет Продажи (за 60 дней)'!$G:$G,$A6),0)</f>
        <v>0</v>
      </c>
      <c r="M6" s="136">
        <f>ROUNDUP(SUMIFS('ВБ Отчет Продажи (за 60 дней)'!$L:$L,'ВБ Отчет Продажи (за 60 дней)'!$K:$K,"Самара (Новосемейкино)",'ВБ Отчет Продажи (за 60 дней)'!$G:$G,$A6),0)</f>
        <v>1</v>
      </c>
      <c r="N6" s="137">
        <f>ROUNDUP(SUMIFS('ВБ Отчет Продажи (за 60 дней)'!$L:$L,'ВБ Отчет Продажи (за 60 дней)'!$K:$K,"Казань",'ВБ Отчет Продажи (за 60 дней)'!$G:$G,$A6),0)</f>
        <v>0</v>
      </c>
      <c r="O6" s="137">
        <f>ROUNDUP(SUMIFS('ВБ Отчет Продажи (за 60 дней)'!$L:$L,'ВБ Отчет Продажи (за 60 дней)'!$K:$K,"СПБ Шушары",'ВБ Отчет Продажи (за 60 дней)'!$G:$G,$A6),0)</f>
        <v>2</v>
      </c>
      <c r="P6" s="151">
        <f>ROUNDUP(SUMIFS('ВБ Отчет Продажи (за 60 дней)'!$L:$L,'ВБ Отчет Продажи (за 60 дней)'!$K:$K,"Екатеринбург - Перспективный 12",'ВБ Отчет Продажи (за 60 дней)'!$G:$G,$A6),0)</f>
        <v>0</v>
      </c>
      <c r="Q6" s="149">
        <f>ROUNDUP(SUMIFS('ВБ Отчет Продажи (за 60 дней)'!$L:$L,'ВБ Отчет Продажи (за 60 дней)'!$K:$K,"Новосибирск",'ВБ Отчет Продажи (за 60 дней)'!$G:$G,$A6),0)</f>
        <v>0</v>
      </c>
      <c r="R6" s="131">
        <f t="shared" si="0"/>
        <v>11</v>
      </c>
      <c r="S6" s="139">
        <f>SUMIFS('ОЗОН Оборот ведом (за 60 дней)'!I:I,'ОЗОН Оборот ведом (за 60 дней)'!A:A,B6)</f>
        <v>19</v>
      </c>
      <c r="T6" s="140">
        <f t="shared" si="8"/>
        <v>30</v>
      </c>
      <c r="U6" s="6">
        <f>SUMIFS('ВБ Отчет Продажи (за 60 дней)'!$P:$P,'ВБ Отчет Продажи (за 60 дней)'!$K:$K,"Электросталь",'ВБ Отчет Продажи (за 60 дней)'!$G:$G,$A6)</f>
        <v>38</v>
      </c>
      <c r="V6" s="7">
        <f>SUMIFS('ВБ Отчет Продажи (за 60 дней)'!$P:$P,'ВБ Отчет Продажи (за 60 дней)'!$K:$K,"Коледино",'ВБ Отчет Продажи (за 60 дней)'!$G:$G,$A6)</f>
        <v>9</v>
      </c>
      <c r="W6" s="7">
        <f>SUMIFS('ВБ Отчет Продажи (за 60 дней)'!$P:$P,'ВБ Отчет Продажи (за 60 дней)'!$K:$K,"Тула",'ВБ Отчет Продажи (за 60 дней)'!$G:$G,$A6)</f>
        <v>0</v>
      </c>
      <c r="X6" s="7">
        <f>SUMIFS('ВБ Отчет Продажи (за 60 дней)'!$P:$P,'ВБ Отчет Продажи (за 60 дней)'!$K:$K,"Рязань (Тюшевское)",'ВБ Отчет Продажи (за 60 дней)'!$G:$G,$A6)</f>
        <v>0</v>
      </c>
      <c r="Y6" s="27">
        <f>SUMIFS('ВБ Отчет Продажи (за 60 дней)'!$P:$P,'ВБ Отчет Продажи (за 60 дней)'!$K:$K,"Краснодар",'ВБ Отчет Продажи (за 60 дней)'!$G:$G,$A6)</f>
        <v>2</v>
      </c>
      <c r="Z6" s="7">
        <f>SUMIFS('ВБ Отчет Продажи (за 60 дней)'!$P:$P,'ВБ Отчет Продажи (за 60 дней)'!$K:$K,"Невинномысск",'ВБ Отчет Продажи (за 60 дней)'!$G:$G,$A6)</f>
        <v>26</v>
      </c>
      <c r="AA6" s="104">
        <f>SUMIFS('ВБ Отчет Продажи (за 60 дней)'!$P:$P,'ВБ Отчет Продажи (за 60 дней)'!$K:$K,"Волгоград",'ВБ Отчет Продажи (за 60 дней)'!$G:$G,$A6)</f>
        <v>0</v>
      </c>
      <c r="AB6" s="27">
        <f>SUMIFS('ВБ Отчет Продажи (за 60 дней)'!$P:$P,'ВБ Отчет Продажи (за 60 дней)'!$K:$K,"Самара (Новосемейкино)",'ВБ Отчет Продажи (за 60 дней)'!$G:$G,$A6)</f>
        <v>29</v>
      </c>
      <c r="AC6" s="104">
        <f>SUMIFS('ВБ Отчет Продажи (за 60 дней)'!$P:$P,'ВБ Отчет Продажи (за 60 дней)'!$K:$K,"Казань",'ВБ Отчет Продажи (за 60 дней)'!$G:$G,$A6)</f>
        <v>0</v>
      </c>
      <c r="AD6" s="104">
        <f>SUMIFS('ВБ Отчет Продажи (за 60 дней)'!$P:$P,'ВБ Отчет Продажи (за 60 дней)'!$K:$K,"СПБ Шушары",'ВБ Отчет Продажи (за 60 дней)'!$G:$G,$A6)</f>
        <v>8</v>
      </c>
      <c r="AE6" s="153">
        <f>SUMIFS('ВБ Отчет Продажи (за 60 дней)'!$P:$P,'ВБ Отчет Продажи (за 60 дней)'!$K:$K,"Екатеринбург - Перспективный 12",'ВБ Отчет Продажи (за 60 дней)'!$G:$G,$A6)</f>
        <v>0</v>
      </c>
      <c r="AF6" s="102">
        <f>SUMIFS('ВБ Отчет Продажи (за 60 дней)'!$P:$P,'ВБ Отчет Продажи (за 60 дней)'!$K:$K,"Новосибирск",'ВБ Отчет Продажи (за 60 дней)'!$G:$G,$A6)</f>
        <v>0</v>
      </c>
      <c r="AG6" s="124">
        <f t="shared" si="9"/>
        <v>112</v>
      </c>
      <c r="AH6" s="7">
        <f t="shared" si="10"/>
        <v>610.90909090909088</v>
      </c>
      <c r="AI6" s="213">
        <f>SUMIFS('ОЗОН Оборот ведом (за 60 дней)'!J:J,'ОЗОН Оборот ведом (за 60 дней)'!A:A,B6)</f>
        <v>0</v>
      </c>
      <c r="AJ6" s="21">
        <f t="shared" si="11"/>
        <v>112</v>
      </c>
      <c r="AK6" s="7" cm="1">
        <f t="array" ref="AK6">IFERROR(_xlfn.IFS((F6-U6)&gt;0,F6/$R$1*$AY$1-U6,F6+U6=0,"нов"),0)</f>
        <v>0</v>
      </c>
      <c r="AL6" s="7" cm="1">
        <f t="array" ref="AL6">IFERROR(_xlfn.IFS((G6-V6)&gt;0,G6/$R$1*$AY$1-V6,G6+V6=0,"нов"),0)</f>
        <v>0</v>
      </c>
      <c r="AM6" s="7" t="str" cm="1">
        <f t="array" ref="AM6">IFERROR(_xlfn.IFS((H6-W6)&gt;0,H6/$R$1*$AY$1-W6,H6+W6=0,"нов"),0)</f>
        <v>нов</v>
      </c>
      <c r="AN6" s="7" cm="1">
        <f t="array" ref="AN6">IFERROR(_xlfn.IFS((I6-X6)&gt;0,I6/$R$1*$AY$1-X6,I6+X6=0,"нов"),0)</f>
        <v>2</v>
      </c>
      <c r="AO6" s="27" cm="1">
        <f t="array" ref="AO6">IFERROR(_xlfn.IFS((J6-Y6)&gt;0,J6/$R$1*$AY$1-Y6,J6+Y6=0,"нов"),0)</f>
        <v>0</v>
      </c>
      <c r="AP6" s="7" cm="1">
        <f t="array" ref="AP6">IFERROR(_xlfn.IFS((K6-Z6)&gt;0,K6/$R$1*$AY$1-Z6,K6+Z6=0,"нов"),0)</f>
        <v>0</v>
      </c>
      <c r="AQ6" s="104" t="str" cm="1">
        <f t="array" ref="AQ6">IFERROR(_xlfn.IFS((L6-AA6)&gt;0,L6/$R$1*$AY$1-AA6,L6+AA6=0,"нов"),0)</f>
        <v>нов</v>
      </c>
      <c r="AR6" s="27" cm="1">
        <f t="array" ref="AR6">IFERROR(_xlfn.IFS((M6-AB6)&gt;0,M6/$R$1*$AY$1-AB6,M6+AB6=0,"нов"),0)</f>
        <v>0</v>
      </c>
      <c r="AS6" s="104" t="str" cm="1">
        <f t="array" ref="AS6">IFERROR(_xlfn.IFS((N6-AC6)&gt;0,N6/$R$1*$AY$1-AC6,N6+AC6=0,"нов"),0)</f>
        <v>нов</v>
      </c>
      <c r="AT6" s="104" cm="1">
        <f t="array" ref="AT6">IFERROR(_xlfn.IFS((O6-AD6)&gt;0,O6/$R$1*$AY$1-AD6,O6+AD6=0,"нов"),0)</f>
        <v>0</v>
      </c>
      <c r="AU6" s="7" t="str" cm="1">
        <f t="array" ref="AU6">IFERROR(_xlfn.IFS((P6-AE6)&gt;0,P6/$R$1*$AY$1-AE6,P6+AE6=0,"нов"),0)</f>
        <v>нов</v>
      </c>
      <c r="AV6" s="7" t="str" cm="1">
        <f t="array" ref="AV6">IFERROR(_xlfn.IFS((Q6-AF6)&gt;0,Q6/$R$1*$AY$1-AF6,Q6+AF6=0,"нов"),0)</f>
        <v>нов</v>
      </c>
      <c r="AW6" s="141">
        <f t="shared" si="12"/>
        <v>2</v>
      </c>
      <c r="AX6" s="218">
        <f>SUMIF('ОЗОН Доступн товара'!D:D,_xlfn.XLOOKUP($B6,'ОЗОН Доступн товара'!$A:$A,'ОЗОН Доступн товара'!$D:$D,0))</f>
        <v>0</v>
      </c>
      <c r="AY6" s="226">
        <f t="shared" si="13"/>
        <v>2</v>
      </c>
      <c r="AZ6" s="7">
        <f t="shared" si="14"/>
        <v>0</v>
      </c>
      <c r="BA6" s="7">
        <f t="shared" si="15"/>
        <v>0</v>
      </c>
      <c r="BB6" s="7" t="str">
        <f t="shared" si="16"/>
        <v>нов</v>
      </c>
      <c r="BC6" s="7">
        <f t="shared" si="17"/>
        <v>3</v>
      </c>
      <c r="BD6" s="27">
        <f t="shared" si="18"/>
        <v>0</v>
      </c>
      <c r="BE6" s="7">
        <f t="shared" si="19"/>
        <v>0</v>
      </c>
      <c r="BF6" s="104" t="str">
        <f t="shared" si="20"/>
        <v>нов</v>
      </c>
      <c r="BG6" s="27">
        <f t="shared" si="21"/>
        <v>0</v>
      </c>
      <c r="BH6" s="104" t="str">
        <f t="shared" si="22"/>
        <v>нов</v>
      </c>
      <c r="BI6" s="7">
        <f t="shared" si="23"/>
        <v>0</v>
      </c>
      <c r="BJ6" s="153" t="str">
        <f t="shared" si="24"/>
        <v>нов</v>
      </c>
      <c r="BK6" s="7" t="str">
        <f t="shared" si="25"/>
        <v>нов</v>
      </c>
      <c r="BL6" s="6">
        <f t="shared" si="26"/>
        <v>3</v>
      </c>
      <c r="BM6" s="6">
        <f t="shared" si="27"/>
        <v>0</v>
      </c>
      <c r="BN6" s="28">
        <f t="shared" si="28"/>
        <v>3</v>
      </c>
      <c r="BO6" s="73">
        <f>IFERROR(_xlfn.XLOOKUP(A6,'[2] Расчет стоимости и веса'!$I:$I,'[2] Расчет стоимости и веса'!$D:$D),0)</f>
        <v>20</v>
      </c>
      <c r="BP6" s="227">
        <f t="shared" si="29"/>
        <v>20</v>
      </c>
      <c r="BQ6" s="8"/>
      <c r="BR6" s="155"/>
      <c r="BS6" s="12"/>
      <c r="BT6" s="12"/>
      <c r="BU6" s="229"/>
      <c r="BV6" s="12"/>
      <c r="BW6" s="12"/>
      <c r="BY6" s="231"/>
      <c r="BZ6" s="232"/>
      <c r="CA6" s="155"/>
      <c r="CB6" s="157">
        <v>20</v>
      </c>
      <c r="CC6" s="57"/>
      <c r="CD6" s="12"/>
      <c r="CE6" s="146">
        <f t="shared" si="5"/>
        <v>20</v>
      </c>
      <c r="CF6" s="69">
        <f t="shared" si="6"/>
        <v>20</v>
      </c>
      <c r="CG6" s="45">
        <f t="shared" si="7"/>
        <v>0</v>
      </c>
    </row>
    <row r="7" spans="1:85" ht="14.1" customHeight="1">
      <c r="A7" s="233">
        <f>[1]Юнит!A9</f>
        <v>176500218</v>
      </c>
      <c r="B7" s="234">
        <f>[1]Юнит!B9</f>
        <v>2138709303</v>
      </c>
      <c r="C7" s="233" t="str">
        <f>[1]Юнит!C9</f>
        <v>AHMA1BW101BG</v>
      </c>
      <c r="D7" s="235" t="str">
        <f>[1]Юнит!D9</f>
        <v>Мешок для бюстгалтеров</v>
      </c>
      <c r="E7" s="90">
        <f>[1]Юнит!E9</f>
        <v>2038597850744</v>
      </c>
      <c r="F7" s="132">
        <f>ROUNDUP(SUMIFS('ВБ Отчет Продажи (за 60 дней)'!$L:$L,'ВБ Отчет Продажи (за 60 дней)'!$K:$K,"Электросталь",'ВБ Отчет Продажи (за 60 дней)'!$G:$G,$A7),0)</f>
        <v>8</v>
      </c>
      <c r="G7" s="133">
        <f>ROUNDUP(SUMIFS('ВБ Отчет Продажи (за 60 дней)'!$L:$L,'ВБ Отчет Продажи (за 60 дней)'!$K:$K,"Коледино",'ВБ Отчет Продажи (за 60 дней)'!$G:$G,$A7),0)</f>
        <v>7</v>
      </c>
      <c r="H7" s="133">
        <f>ROUNDUP(SUMIFS('ВБ Отчет Продажи (за 60 дней)'!$L:$L,'ВБ Отчет Продажи (за 60 дней)'!$K:$K,"Тула",'ВБ Отчет Продажи (за 60 дней)'!$G:$G,$A7),0)</f>
        <v>7</v>
      </c>
      <c r="I7" s="134">
        <f>ROUNDUP(SUMIFS('ВБ Отчет Продажи (за 60 дней)'!$L:$L,'ВБ Отчет Продажи (за 60 дней)'!$K:$K,"Рязань (Тюшевское)",'ВБ Отчет Продажи (за 60 дней)'!$G:$G,$A7),0)</f>
        <v>0</v>
      </c>
      <c r="J7" s="136">
        <f>ROUNDUP(SUMIFS('ВБ Отчет Продажи (за 60 дней)'!$L:$L,'ВБ Отчет Продажи (за 60 дней)'!$K:$K,"Краснодар",'ВБ Отчет Продажи (за 60 дней)'!$G:$G,$A7),0)</f>
        <v>0</v>
      </c>
      <c r="K7" s="133">
        <f>ROUNDUP(SUMIFS('ВБ Отчет Продажи (за 60 дней)'!$L:$L,'ВБ Отчет Продажи (за 60 дней)'!$K:$K,"Невинномысск",'ВБ Отчет Продажи (за 60 дней)'!$G:$G,$A7),0)</f>
        <v>3</v>
      </c>
      <c r="L7" s="137">
        <f>ROUNDUP(SUMIFS('ВБ Отчет Продажи (за 60 дней)'!$L:$L,'ВБ Отчет Продажи (за 60 дней)'!$K:$K,"Волгоград",'ВБ Отчет Продажи (за 60 дней)'!$G:$G,$A7),0)</f>
        <v>0</v>
      </c>
      <c r="M7" s="136">
        <f>ROUNDUP(SUMIFS('ВБ Отчет Продажи (за 60 дней)'!$L:$L,'ВБ Отчет Продажи (за 60 дней)'!$K:$K,"Самара (Новосемейкино)",'ВБ Отчет Продажи (за 60 дней)'!$G:$G,$A7),0)</f>
        <v>4</v>
      </c>
      <c r="N7" s="137">
        <f>ROUNDUP(SUMIFS('ВБ Отчет Продажи (за 60 дней)'!$L:$L,'ВБ Отчет Продажи (за 60 дней)'!$K:$K,"Казань",'ВБ Отчет Продажи (за 60 дней)'!$G:$G,$A7),0)</f>
        <v>0</v>
      </c>
      <c r="O7" s="137">
        <f>ROUNDUP(SUMIFS('ВБ Отчет Продажи (за 60 дней)'!$L:$L,'ВБ Отчет Продажи (за 60 дней)'!$K:$K,"СПБ Шушары",'ВБ Отчет Продажи (за 60 дней)'!$G:$G,$A7),0)</f>
        <v>1</v>
      </c>
      <c r="P7" s="151">
        <f>ROUNDUP(SUMIFS('ВБ Отчет Продажи (за 60 дней)'!$L:$L,'ВБ Отчет Продажи (за 60 дней)'!$K:$K,"Екатеринбург - Перспективный 12",'ВБ Отчет Продажи (за 60 дней)'!$G:$G,$A7),0)</f>
        <v>0</v>
      </c>
      <c r="Q7" s="149">
        <f>ROUNDUP(SUMIFS('ВБ Отчет Продажи (за 60 дней)'!$L:$L,'ВБ Отчет Продажи (за 60 дней)'!$K:$K,"Новосибирск",'ВБ Отчет Продажи (за 60 дней)'!$G:$G,$A7),0)</f>
        <v>0</v>
      </c>
      <c r="R7" s="131">
        <f t="shared" si="0"/>
        <v>30</v>
      </c>
      <c r="S7" s="139">
        <f>SUMIFS('ОЗОН Оборот ведом (за 60 дней)'!I:I,'ОЗОН Оборот ведом (за 60 дней)'!A:A,B7)</f>
        <v>11</v>
      </c>
      <c r="T7" s="140">
        <f t="shared" si="8"/>
        <v>41</v>
      </c>
      <c r="U7" s="6">
        <f>SUMIFS('ВБ Отчет Продажи (за 60 дней)'!$P:$P,'ВБ Отчет Продажи (за 60 дней)'!$K:$K,"Электросталь",'ВБ Отчет Продажи (за 60 дней)'!$G:$G,$A7)</f>
        <v>170</v>
      </c>
      <c r="V7" s="7">
        <f>SUMIFS('ВБ Отчет Продажи (за 60 дней)'!$P:$P,'ВБ Отчет Продажи (за 60 дней)'!$K:$K,"Коледино",'ВБ Отчет Продажи (за 60 дней)'!$G:$G,$A7)</f>
        <v>11</v>
      </c>
      <c r="W7" s="7">
        <f>SUMIFS('ВБ Отчет Продажи (за 60 дней)'!$P:$P,'ВБ Отчет Продажи (за 60 дней)'!$K:$K,"Тула",'ВБ Отчет Продажи (за 60 дней)'!$G:$G,$A7)</f>
        <v>20</v>
      </c>
      <c r="X7" s="7">
        <f>SUMIFS('ВБ Отчет Продажи (за 60 дней)'!$P:$P,'ВБ Отчет Продажи (за 60 дней)'!$K:$K,"Рязань (Тюшевское)",'ВБ Отчет Продажи (за 60 дней)'!$G:$G,$A7)</f>
        <v>0</v>
      </c>
      <c r="Y7" s="27">
        <f>SUMIFS('ВБ Отчет Продажи (за 60 дней)'!$P:$P,'ВБ Отчет Продажи (за 60 дней)'!$K:$K,"Краснодар",'ВБ Отчет Продажи (за 60 дней)'!$G:$G,$A7)</f>
        <v>0</v>
      </c>
      <c r="Z7" s="7">
        <f>SUMIFS('ВБ Отчет Продажи (за 60 дней)'!$P:$P,'ВБ Отчет Продажи (за 60 дней)'!$K:$K,"Невинномысск",'ВБ Отчет Продажи (за 60 дней)'!$G:$G,$A7)</f>
        <v>50</v>
      </c>
      <c r="AA7" s="104">
        <f>SUMIFS('ВБ Отчет Продажи (за 60 дней)'!$P:$P,'ВБ Отчет Продажи (за 60 дней)'!$K:$K,"Волгоград",'ВБ Отчет Продажи (за 60 дней)'!$G:$G,$A7)</f>
        <v>0</v>
      </c>
      <c r="AB7" s="27">
        <f>SUMIFS('ВБ Отчет Продажи (за 60 дней)'!$P:$P,'ВБ Отчет Продажи (за 60 дней)'!$K:$K,"Самара (Новосемейкино)",'ВБ Отчет Продажи (за 60 дней)'!$G:$G,$A7)</f>
        <v>51</v>
      </c>
      <c r="AC7" s="104">
        <f>SUMIFS('ВБ Отчет Продажи (за 60 дней)'!$P:$P,'ВБ Отчет Продажи (за 60 дней)'!$K:$K,"Казань",'ВБ Отчет Продажи (за 60 дней)'!$G:$G,$A7)</f>
        <v>0</v>
      </c>
      <c r="AD7" s="104">
        <f>SUMIFS('ВБ Отчет Продажи (за 60 дней)'!$P:$P,'ВБ Отчет Продажи (за 60 дней)'!$K:$K,"СПБ Шушары",'ВБ Отчет Продажи (за 60 дней)'!$G:$G,$A7)</f>
        <v>11</v>
      </c>
      <c r="AE7" s="153">
        <f>SUMIFS('ВБ Отчет Продажи (за 60 дней)'!$P:$P,'ВБ Отчет Продажи (за 60 дней)'!$K:$K,"Екатеринбург - Перспективный 12",'ВБ Отчет Продажи (за 60 дней)'!$G:$G,$A7)</f>
        <v>0</v>
      </c>
      <c r="AF7" s="102">
        <f>SUMIFS('ВБ Отчет Продажи (за 60 дней)'!$P:$P,'ВБ Отчет Продажи (за 60 дней)'!$K:$K,"Новосибирск",'ВБ Отчет Продажи (за 60 дней)'!$G:$G,$A7)</f>
        <v>0</v>
      </c>
      <c r="AG7" s="124">
        <f t="shared" si="9"/>
        <v>313</v>
      </c>
      <c r="AH7" s="7">
        <f t="shared" si="10"/>
        <v>626</v>
      </c>
      <c r="AI7" s="213">
        <f>SUMIFS('ОЗОН Оборот ведом (за 60 дней)'!J:J,'ОЗОН Оборот ведом (за 60 дней)'!A:A,B7)</f>
        <v>3</v>
      </c>
      <c r="AJ7" s="21">
        <f t="shared" si="11"/>
        <v>316</v>
      </c>
      <c r="AK7" s="7" cm="1">
        <f t="array" ref="AK7">IFERROR(_xlfn.IFS((F7-U7)&gt;0,F7/$R$1*$AY$1-U7,F7+U7=0,"нов"),0)</f>
        <v>0</v>
      </c>
      <c r="AL7" s="7" cm="1">
        <f t="array" ref="AL7">IFERROR(_xlfn.IFS((G7-V7)&gt;0,G7/$R$1*$AY$1-V7,G7+V7=0,"нов"),0)</f>
        <v>0</v>
      </c>
      <c r="AM7" s="7" cm="1">
        <f t="array" ref="AM7">IFERROR(_xlfn.IFS((H7-W7)&gt;0,H7/$R$1*$AY$1-W7,H7+W7=0,"нов"),0)</f>
        <v>0</v>
      </c>
      <c r="AN7" s="7" t="str" cm="1">
        <f t="array" ref="AN7">IFERROR(_xlfn.IFS((I7-X7)&gt;0,I7/$R$1*$AY$1-X7,I7+X7=0,"нов"),0)</f>
        <v>нов</v>
      </c>
      <c r="AO7" s="27" t="str" cm="1">
        <f t="array" ref="AO7">IFERROR(_xlfn.IFS((J7-Y7)&gt;0,J7/$R$1*$AY$1-Y7,J7+Y7=0,"нов"),0)</f>
        <v>нов</v>
      </c>
      <c r="AP7" s="7" cm="1">
        <f t="array" ref="AP7">IFERROR(_xlfn.IFS((K7-Z7)&gt;0,K7/$R$1*$AY$1-Z7,K7+Z7=0,"нов"),0)</f>
        <v>0</v>
      </c>
      <c r="AQ7" s="104" t="str" cm="1">
        <f t="array" ref="AQ7">IFERROR(_xlfn.IFS((L7-AA7)&gt;0,L7/$R$1*$AY$1-AA7,L7+AA7=0,"нов"),0)</f>
        <v>нов</v>
      </c>
      <c r="AR7" s="27" cm="1">
        <f t="array" ref="AR7">IFERROR(_xlfn.IFS((M7-AB7)&gt;0,M7/$R$1*$AY$1-AB7,M7+AB7=0,"нов"),0)</f>
        <v>0</v>
      </c>
      <c r="AS7" s="104" t="str" cm="1">
        <f t="array" ref="AS7">IFERROR(_xlfn.IFS((N7-AC7)&gt;0,N7/$R$1*$AY$1-AC7,N7+AC7=0,"нов"),0)</f>
        <v>нов</v>
      </c>
      <c r="AT7" s="104" cm="1">
        <f t="array" ref="AT7">IFERROR(_xlfn.IFS((O7-AD7)&gt;0,O7/$R$1*$AY$1-AD7,O7+AD7=0,"нов"),0)</f>
        <v>0</v>
      </c>
      <c r="AU7" s="7" t="str" cm="1">
        <f t="array" ref="AU7">IFERROR(_xlfn.IFS((P7-AE7)&gt;0,P7/$R$1*$AY$1-AE7,P7+AE7=0,"нов"),0)</f>
        <v>нов</v>
      </c>
      <c r="AV7" s="7" t="str" cm="1">
        <f t="array" ref="AV7">IFERROR(_xlfn.IFS((Q7-AF7)&gt;0,Q7/$R$1*$AY$1-AF7,Q7+AF7=0,"нов"),0)</f>
        <v>нов</v>
      </c>
      <c r="AW7" s="141">
        <f t="shared" si="12"/>
        <v>0</v>
      </c>
      <c r="AX7" s="218">
        <f>SUMIF('ОЗОН Доступн товара'!D:D,_xlfn.XLOOKUP($B7,'ОЗОН Доступн товара'!$A:$A,'ОЗОН Доступн товара'!$D:$D,0))</f>
        <v>62</v>
      </c>
      <c r="AY7" s="226">
        <f>SUM(AW7:AX7)</f>
        <v>62</v>
      </c>
      <c r="AZ7" s="7">
        <f t="shared" si="14"/>
        <v>0</v>
      </c>
      <c r="BA7" s="7">
        <f t="shared" si="15"/>
        <v>0</v>
      </c>
      <c r="BB7" s="7">
        <f t="shared" si="16"/>
        <v>0</v>
      </c>
      <c r="BC7" s="7" t="str">
        <f t="shared" si="17"/>
        <v>нов</v>
      </c>
      <c r="BD7" s="27" t="str">
        <f t="shared" si="18"/>
        <v>нов</v>
      </c>
      <c r="BE7" s="7">
        <f t="shared" si="19"/>
        <v>0</v>
      </c>
      <c r="BF7" s="104" t="str">
        <f t="shared" si="20"/>
        <v>нов</v>
      </c>
      <c r="BG7" s="27">
        <f t="shared" si="21"/>
        <v>0</v>
      </c>
      <c r="BH7" s="104" t="str">
        <f t="shared" si="22"/>
        <v>нов</v>
      </c>
      <c r="BI7" s="7">
        <f t="shared" si="23"/>
        <v>0</v>
      </c>
      <c r="BJ7" s="153" t="str">
        <f t="shared" si="24"/>
        <v>нов</v>
      </c>
      <c r="BK7" s="7" t="str">
        <f t="shared" si="25"/>
        <v>нов</v>
      </c>
      <c r="BL7" s="6">
        <f t="shared" si="26"/>
        <v>0</v>
      </c>
      <c r="BM7" s="6">
        <f t="shared" si="27"/>
        <v>80.600000000000009</v>
      </c>
      <c r="BN7" s="28">
        <f t="shared" si="28"/>
        <v>80.600000000000009</v>
      </c>
      <c r="BO7" s="73">
        <f>IFERROR(_xlfn.XLOOKUP(A7,'[2] Расчет стоимости и веса'!$I:$I,'[2] Расчет стоимости и веса'!$D:$D),0)</f>
        <v>20</v>
      </c>
      <c r="BP7" s="227">
        <f t="shared" si="29"/>
        <v>20</v>
      </c>
      <c r="BQ7" s="8"/>
      <c r="BR7" s="155"/>
      <c r="BS7" s="12"/>
      <c r="BT7" s="12"/>
      <c r="BU7" s="229"/>
      <c r="BV7" s="12"/>
      <c r="BW7" s="12"/>
      <c r="BY7" s="231"/>
      <c r="BZ7" s="232"/>
      <c r="CA7" s="155"/>
      <c r="CB7" s="157">
        <v>20</v>
      </c>
      <c r="CC7" s="57"/>
      <c r="CD7" s="12"/>
      <c r="CE7" s="146">
        <f t="shared" si="5"/>
        <v>20</v>
      </c>
      <c r="CF7" s="69">
        <f t="shared" si="6"/>
        <v>20</v>
      </c>
      <c r="CG7" s="45">
        <f t="shared" si="7"/>
        <v>0</v>
      </c>
    </row>
    <row r="8" spans="1:85" ht="14.1" hidden="1" customHeight="1">
      <c r="A8" s="233">
        <f>[1]Юнит!A10</f>
        <v>177404837</v>
      </c>
      <c r="B8" s="234">
        <f>[1]Юнит!B10</f>
        <v>2419349262</v>
      </c>
      <c r="C8" s="233" t="str">
        <f>[1]Юнит!C10</f>
        <v>AHMA3BW101BG</v>
      </c>
      <c r="D8" s="235" t="str">
        <f>[1]Юнит!D10</f>
        <v>Мешки 3 шт.</v>
      </c>
      <c r="E8" s="90">
        <f>[1]Юнит!E10</f>
        <v>2038627692689</v>
      </c>
      <c r="F8" s="132">
        <f>ROUNDUP(SUMIFS('ВБ Отчет Продажи (за 60 дней)'!$L:$L,'ВБ Отчет Продажи (за 60 дней)'!$K:$K,"Электросталь",'ВБ Отчет Продажи (за 60 дней)'!$G:$G,$A8),0)</f>
        <v>1</v>
      </c>
      <c r="G8" s="133">
        <f>ROUNDUP(SUMIFS('ВБ Отчет Продажи (за 60 дней)'!$L:$L,'ВБ Отчет Продажи (за 60 дней)'!$K:$K,"Коледино",'ВБ Отчет Продажи (за 60 дней)'!$G:$G,$A8),0)</f>
        <v>1</v>
      </c>
      <c r="H8" s="133">
        <f>ROUNDUP(SUMIFS('ВБ Отчет Продажи (за 60 дней)'!$L:$L,'ВБ Отчет Продажи (за 60 дней)'!$K:$K,"Тула",'ВБ Отчет Продажи (за 60 дней)'!$G:$G,$A8),0)</f>
        <v>1</v>
      </c>
      <c r="I8" s="134">
        <f>ROUNDUP(SUMIFS('ВБ Отчет Продажи (за 60 дней)'!$L:$L,'ВБ Отчет Продажи (за 60 дней)'!$K:$K,"Рязань (Тюшевское)",'ВБ Отчет Продажи (за 60 дней)'!$G:$G,$A8),0)</f>
        <v>0</v>
      </c>
      <c r="J8" s="136">
        <f>ROUNDUP(SUMIFS('ВБ Отчет Продажи (за 60 дней)'!$L:$L,'ВБ Отчет Продажи (за 60 дней)'!$K:$K,"Краснодар",'ВБ Отчет Продажи (за 60 дней)'!$G:$G,$A8),0)</f>
        <v>1</v>
      </c>
      <c r="K8" s="133">
        <f>ROUNDUP(SUMIFS('ВБ Отчет Продажи (за 60 дней)'!$L:$L,'ВБ Отчет Продажи (за 60 дней)'!$K:$K,"Невинномысск",'ВБ Отчет Продажи (за 60 дней)'!$G:$G,$A8),0)</f>
        <v>0</v>
      </c>
      <c r="L8" s="137">
        <f>ROUNDUP(SUMIFS('ВБ Отчет Продажи (за 60 дней)'!$L:$L,'ВБ Отчет Продажи (за 60 дней)'!$K:$K,"Волгоград",'ВБ Отчет Продажи (за 60 дней)'!$G:$G,$A8),0)</f>
        <v>1</v>
      </c>
      <c r="M8" s="136">
        <f>ROUNDUP(SUMIFS('ВБ Отчет Продажи (за 60 дней)'!$L:$L,'ВБ Отчет Продажи (за 60 дней)'!$K:$K,"Самара (Новосемейкино)",'ВБ Отчет Продажи (за 60 дней)'!$G:$G,$A8),0)</f>
        <v>1</v>
      </c>
      <c r="N8" s="137">
        <f>ROUNDUP(SUMIFS('ВБ Отчет Продажи (за 60 дней)'!$L:$L,'ВБ Отчет Продажи (за 60 дней)'!$K:$K,"Казань",'ВБ Отчет Продажи (за 60 дней)'!$G:$G,$A8),0)</f>
        <v>2</v>
      </c>
      <c r="O8" s="137">
        <f>ROUNDUP(SUMIFS('ВБ Отчет Продажи (за 60 дней)'!$L:$L,'ВБ Отчет Продажи (за 60 дней)'!$K:$K,"СПБ Шушары",'ВБ Отчет Продажи (за 60 дней)'!$G:$G,$A8),0)</f>
        <v>0</v>
      </c>
      <c r="P8" s="151">
        <f>ROUNDUP(SUMIFS('ВБ Отчет Продажи (за 60 дней)'!$L:$L,'ВБ Отчет Продажи (за 60 дней)'!$K:$K,"Екатеринбург - Перспективный 12",'ВБ Отчет Продажи (за 60 дней)'!$G:$G,$A8),0)</f>
        <v>0</v>
      </c>
      <c r="Q8" s="149">
        <f>ROUNDUP(SUMIFS('ВБ Отчет Продажи (за 60 дней)'!$L:$L,'ВБ Отчет Продажи (за 60 дней)'!$K:$K,"Новосибирск",'ВБ Отчет Продажи (за 60 дней)'!$G:$G,$A8),0)</f>
        <v>0</v>
      </c>
      <c r="R8" s="131">
        <f t="shared" si="0"/>
        <v>8</v>
      </c>
      <c r="S8" s="139">
        <f>SUMIFS('ОЗОН Оборот ведом (за 60 дней)'!I:I,'ОЗОН Оборот ведом (за 60 дней)'!A:A,B8)</f>
        <v>20</v>
      </c>
      <c r="T8" s="140">
        <f t="shared" si="8"/>
        <v>28</v>
      </c>
      <c r="U8" s="6">
        <f>SUMIFS('ВБ Отчет Продажи (за 60 дней)'!$P:$P,'ВБ Отчет Продажи (за 60 дней)'!$K:$K,"Электросталь",'ВБ Отчет Продажи (за 60 дней)'!$G:$G,$A8)</f>
        <v>29</v>
      </c>
      <c r="V8" s="7">
        <f>SUMIFS('ВБ Отчет Продажи (за 60 дней)'!$P:$P,'ВБ Отчет Продажи (за 60 дней)'!$K:$K,"Коледино",'ВБ Отчет Продажи (за 60 дней)'!$G:$G,$A8)</f>
        <v>10</v>
      </c>
      <c r="W8" s="7">
        <f>SUMIFS('ВБ Отчет Продажи (за 60 дней)'!$P:$P,'ВБ Отчет Продажи (за 60 дней)'!$K:$K,"Тула",'ВБ Отчет Продажи (за 60 дней)'!$G:$G,$A8)</f>
        <v>6</v>
      </c>
      <c r="X8" s="7">
        <f>SUMIFS('ВБ Отчет Продажи (за 60 дней)'!$P:$P,'ВБ Отчет Продажи (за 60 дней)'!$K:$K,"Рязань (Тюшевское)",'ВБ Отчет Продажи (за 60 дней)'!$G:$G,$A8)</f>
        <v>15</v>
      </c>
      <c r="Y8" s="27">
        <f>SUMIFS('ВБ Отчет Продажи (за 60 дней)'!$P:$P,'ВБ Отчет Продажи (за 60 дней)'!$K:$K,"Краснодар",'ВБ Отчет Продажи (за 60 дней)'!$G:$G,$A8)</f>
        <v>3</v>
      </c>
      <c r="Z8" s="7">
        <f>SUMIFS('ВБ Отчет Продажи (за 60 дней)'!$P:$P,'ВБ Отчет Продажи (за 60 дней)'!$K:$K,"Невинномысск",'ВБ Отчет Продажи (за 60 дней)'!$G:$G,$A8)</f>
        <v>43</v>
      </c>
      <c r="AA8" s="104">
        <f>SUMIFS('ВБ Отчет Продажи (за 60 дней)'!$P:$P,'ВБ Отчет Продажи (за 60 дней)'!$K:$K,"Волгоград",'ВБ Отчет Продажи (за 60 дней)'!$G:$G,$A8)</f>
        <v>0</v>
      </c>
      <c r="AB8" s="27">
        <f>SUMIFS('ВБ Отчет Продажи (за 60 дней)'!$P:$P,'ВБ Отчет Продажи (за 60 дней)'!$K:$K,"Самара (Новосемейкино)",'ВБ Отчет Продажи (за 60 дней)'!$G:$G,$A8)</f>
        <v>44</v>
      </c>
      <c r="AC8" s="104">
        <f>SUMIFS('ВБ Отчет Продажи (за 60 дней)'!$P:$P,'ВБ Отчет Продажи (за 60 дней)'!$K:$K,"Казань",'ВБ Отчет Продажи (за 60 дней)'!$G:$G,$A8)</f>
        <v>1</v>
      </c>
      <c r="AD8" s="104">
        <f>SUMIFS('ВБ Отчет Продажи (за 60 дней)'!$P:$P,'ВБ Отчет Продажи (за 60 дней)'!$K:$K,"СПБ Шушары",'ВБ Отчет Продажи (за 60 дней)'!$G:$G,$A8)</f>
        <v>0</v>
      </c>
      <c r="AE8" s="153">
        <f>SUMIFS('ВБ Отчет Продажи (за 60 дней)'!$P:$P,'ВБ Отчет Продажи (за 60 дней)'!$K:$K,"Екатеринбург - Перспективный 12",'ВБ Отчет Продажи (за 60 дней)'!$G:$G,$A8)</f>
        <v>0</v>
      </c>
      <c r="AF8" s="102">
        <f>SUMIFS('ВБ Отчет Продажи (за 60 дней)'!$P:$P,'ВБ Отчет Продажи (за 60 дней)'!$K:$K,"Новосибирск",'ВБ Отчет Продажи (за 60 дней)'!$G:$G,$A8)</f>
        <v>0</v>
      </c>
      <c r="AG8" s="124">
        <f t="shared" si="9"/>
        <v>151</v>
      </c>
      <c r="AH8" s="7">
        <f t="shared" si="10"/>
        <v>1132.5</v>
      </c>
      <c r="AI8" s="213">
        <f>SUMIFS('ОЗОН Оборот ведом (за 60 дней)'!J:J,'ОЗОН Оборот ведом (за 60 дней)'!A:A,B8)</f>
        <v>4</v>
      </c>
      <c r="AJ8" s="21">
        <f t="shared" si="11"/>
        <v>155</v>
      </c>
      <c r="AK8" s="7" cm="1">
        <f t="array" ref="AK8">IFERROR(_xlfn.IFS((F8-U8)&gt;0,F8/$R$1*$AY$1-U8,F8+U8=0,"нов"),0)</f>
        <v>0</v>
      </c>
      <c r="AL8" s="7" cm="1">
        <f t="array" ref="AL8">IFERROR(_xlfn.IFS((G8-V8)&gt;0,G8/$R$1*$AY$1-V8,G8+V8=0,"нов"),0)</f>
        <v>0</v>
      </c>
      <c r="AM8" s="7" cm="1">
        <f t="array" ref="AM8">IFERROR(_xlfn.IFS((H8-W8)&gt;0,H8/$R$1*$AY$1-W8,H8+W8=0,"нов"),0)</f>
        <v>0</v>
      </c>
      <c r="AN8" s="7" cm="1">
        <f t="array" ref="AN8">IFERROR(_xlfn.IFS((I8-X8)&gt;0,I8/$R$1*$AY$1-X8,I8+X8=0,"нов"),0)</f>
        <v>0</v>
      </c>
      <c r="AO8" s="27" cm="1">
        <f t="array" ref="AO8">IFERROR(_xlfn.IFS((J8-Y8)&gt;0,J8/$R$1*$AY$1-Y8,J8+Y8=0,"нов"),0)</f>
        <v>0</v>
      </c>
      <c r="AP8" s="7" cm="1">
        <f t="array" ref="AP8">IFERROR(_xlfn.IFS((K8-Z8)&gt;0,K8/$R$1*$AY$1-Z8,K8+Z8=0,"нов"),0)</f>
        <v>0</v>
      </c>
      <c r="AQ8" s="104" cm="1">
        <f t="array" ref="AQ8">IFERROR(_xlfn.IFS((L8-AA8)&gt;0,L8/$R$1*$AY$1-AA8,L8+AA8=0,"нов"),0)</f>
        <v>1</v>
      </c>
      <c r="AR8" s="27" cm="1">
        <f t="array" ref="AR8">IFERROR(_xlfn.IFS((M8-AB8)&gt;0,M8/$R$1*$AY$1-AB8,M8+AB8=0,"нов"),0)</f>
        <v>0</v>
      </c>
      <c r="AS8" s="104" cm="1">
        <f t="array" ref="AS8">IFERROR(_xlfn.IFS((N8-AC8)&gt;0,N8/$R$1*$AY$1-AC8,N8+AC8=0,"нов"),0)</f>
        <v>1</v>
      </c>
      <c r="AT8" s="104" t="str" cm="1">
        <f t="array" ref="AT8">IFERROR(_xlfn.IFS((O8-AD8)&gt;0,O8/$R$1*$AY$1-AD8,O8+AD8=0,"нов"),0)</f>
        <v>нов</v>
      </c>
      <c r="AU8" s="7" t="str" cm="1">
        <f t="array" ref="AU8">IFERROR(_xlfn.IFS((P8-AE8)&gt;0,P8/$R$1*$AY$1-AE8,P8+AE8=0,"нов"),0)</f>
        <v>нов</v>
      </c>
      <c r="AV8" s="7" t="str" cm="1">
        <f t="array" ref="AV8">IFERROR(_xlfn.IFS((Q8-AF8)&gt;0,Q8/$R$1*$AY$1-AF8,Q8+AF8=0,"нов"),0)</f>
        <v>нов</v>
      </c>
      <c r="AW8" s="141">
        <f t="shared" si="12"/>
        <v>2</v>
      </c>
      <c r="AX8" s="218">
        <f>SUMIF('ОЗОН Доступн товара'!D:D,_xlfn.XLOOKUP($B8,'ОЗОН Доступн товара'!$A:$A,'ОЗОН Доступн товара'!$D:$D,0))</f>
        <v>62</v>
      </c>
      <c r="AY8" s="226">
        <f t="shared" si="13"/>
        <v>64</v>
      </c>
      <c r="AZ8" s="7">
        <f t="shared" si="14"/>
        <v>0</v>
      </c>
      <c r="BA8" s="7">
        <f t="shared" si="15"/>
        <v>0</v>
      </c>
      <c r="BB8" s="7">
        <f t="shared" si="16"/>
        <v>0</v>
      </c>
      <c r="BC8" s="7">
        <f t="shared" si="17"/>
        <v>0</v>
      </c>
      <c r="BD8" s="27">
        <f t="shared" si="18"/>
        <v>0</v>
      </c>
      <c r="BE8" s="7">
        <f t="shared" si="19"/>
        <v>0</v>
      </c>
      <c r="BF8" s="104">
        <f t="shared" si="20"/>
        <v>2</v>
      </c>
      <c r="BG8" s="27">
        <f t="shared" si="21"/>
        <v>0</v>
      </c>
      <c r="BH8" s="104">
        <f t="shared" si="22"/>
        <v>2</v>
      </c>
      <c r="BI8" s="7" t="str">
        <f t="shared" si="23"/>
        <v>нов</v>
      </c>
      <c r="BJ8" s="153" t="str">
        <f t="shared" si="24"/>
        <v>нов</v>
      </c>
      <c r="BK8" s="7" t="str">
        <f t="shared" si="25"/>
        <v>нов</v>
      </c>
      <c r="BL8" s="6">
        <f t="shared" si="26"/>
        <v>4</v>
      </c>
      <c r="BM8" s="6">
        <f t="shared" si="27"/>
        <v>80.600000000000009</v>
      </c>
      <c r="BN8" s="28">
        <f t="shared" si="28"/>
        <v>84.600000000000009</v>
      </c>
      <c r="BO8" s="73">
        <f>IFERROR(_xlfn.XLOOKUP(A8,'[2] Расчет стоимости и веса'!$I:$I,'[2] Расчет стоимости и веса'!$D:$D),0)</f>
        <v>0</v>
      </c>
      <c r="BP8" s="227">
        <f>BO8*3</f>
        <v>0</v>
      </c>
      <c r="BQ8" s="8"/>
      <c r="BR8" s="155"/>
      <c r="BS8" s="12"/>
      <c r="BT8" s="12"/>
      <c r="BU8" s="229"/>
      <c r="BV8" s="12"/>
      <c r="BW8" s="12"/>
      <c r="BY8" s="231"/>
      <c r="BZ8" s="232"/>
      <c r="CA8" s="155"/>
      <c r="CB8" s="157"/>
      <c r="CC8" s="57"/>
      <c r="CD8" s="12"/>
      <c r="CE8" s="146">
        <f t="shared" si="5"/>
        <v>0</v>
      </c>
      <c r="CF8" s="69">
        <f t="shared" si="6"/>
        <v>0</v>
      </c>
      <c r="CG8" s="45">
        <f t="shared" si="7"/>
        <v>0</v>
      </c>
    </row>
    <row r="9" spans="1:85" ht="14.1" customHeight="1">
      <c r="A9" s="233">
        <f>[1]Юнит!A11</f>
        <v>177405495</v>
      </c>
      <c r="B9" s="234">
        <f>[1]Юнит!B11</f>
        <v>2576041357</v>
      </c>
      <c r="C9" s="233" t="str">
        <f>[1]Юнит!C11</f>
        <v>AHMA3BW102BG</v>
      </c>
      <c r="D9" s="235" t="str">
        <f>[1]Юнит!D11</f>
        <v>Мешки/деликат 3 шт.</v>
      </c>
      <c r="E9" s="90">
        <f>[1]Юнит!E11</f>
        <v>2038627713902</v>
      </c>
      <c r="F9" s="132">
        <f>ROUNDUP(SUMIFS('ВБ Отчет Продажи (за 60 дней)'!$L:$L,'ВБ Отчет Продажи (за 60 дней)'!$K:$K,"Электросталь",'ВБ Отчет Продажи (за 60 дней)'!$G:$G,$A9),0)</f>
        <v>2</v>
      </c>
      <c r="G9" s="133">
        <f>ROUNDUP(SUMIFS('ВБ Отчет Продажи (за 60 дней)'!$L:$L,'ВБ Отчет Продажи (за 60 дней)'!$K:$K,"Коледино",'ВБ Отчет Продажи (за 60 дней)'!$G:$G,$A9),0)</f>
        <v>2</v>
      </c>
      <c r="H9" s="133">
        <f>ROUNDUP(SUMIFS('ВБ Отчет Продажи (за 60 дней)'!$L:$L,'ВБ Отчет Продажи (за 60 дней)'!$K:$K,"Тула",'ВБ Отчет Продажи (за 60 дней)'!$G:$G,$A9),0)</f>
        <v>0</v>
      </c>
      <c r="I9" s="134">
        <f>ROUNDUP(SUMIFS('ВБ Отчет Продажи (за 60 дней)'!$L:$L,'ВБ Отчет Продажи (за 60 дней)'!$K:$K,"Рязань (Тюшевское)",'ВБ Отчет Продажи (за 60 дней)'!$G:$G,$A9),0)</f>
        <v>0</v>
      </c>
      <c r="J9" s="136">
        <f>ROUNDUP(SUMIFS('ВБ Отчет Продажи (за 60 дней)'!$L:$L,'ВБ Отчет Продажи (за 60 дней)'!$K:$K,"Краснодар",'ВБ Отчет Продажи (за 60 дней)'!$G:$G,$A9),0)</f>
        <v>0</v>
      </c>
      <c r="K9" s="133">
        <f>ROUNDUP(SUMIFS('ВБ Отчет Продажи (за 60 дней)'!$L:$L,'ВБ Отчет Продажи (за 60 дней)'!$K:$K,"Невинномысск",'ВБ Отчет Продажи (за 60 дней)'!$G:$G,$A9),0)</f>
        <v>0</v>
      </c>
      <c r="L9" s="137">
        <f>ROUNDUP(SUMIFS('ВБ Отчет Продажи (за 60 дней)'!$L:$L,'ВБ Отчет Продажи (за 60 дней)'!$K:$K,"Волгоград",'ВБ Отчет Продажи (за 60 дней)'!$G:$G,$A9),0)</f>
        <v>0</v>
      </c>
      <c r="M9" s="136">
        <f>ROUNDUP(SUMIFS('ВБ Отчет Продажи (за 60 дней)'!$L:$L,'ВБ Отчет Продажи (за 60 дней)'!$K:$K,"Самара (Новосемейкино)",'ВБ Отчет Продажи (за 60 дней)'!$G:$G,$A9),0)</f>
        <v>1</v>
      </c>
      <c r="N9" s="137">
        <f>ROUNDUP(SUMIFS('ВБ Отчет Продажи (за 60 дней)'!$L:$L,'ВБ Отчет Продажи (за 60 дней)'!$K:$K,"Казань",'ВБ Отчет Продажи (за 60 дней)'!$G:$G,$A9),0)</f>
        <v>0</v>
      </c>
      <c r="O9" s="137">
        <f>ROUNDUP(SUMIFS('ВБ Отчет Продажи (за 60 дней)'!$L:$L,'ВБ Отчет Продажи (за 60 дней)'!$K:$K,"СПБ Шушары",'ВБ Отчет Продажи (за 60 дней)'!$G:$G,$A9),0)</f>
        <v>0</v>
      </c>
      <c r="P9" s="151">
        <f>ROUNDUP(SUMIFS('ВБ Отчет Продажи (за 60 дней)'!$L:$L,'ВБ Отчет Продажи (за 60 дней)'!$K:$K,"Екатеринбург - Перспективный 12",'ВБ Отчет Продажи (за 60 дней)'!$G:$G,$A9),0)</f>
        <v>0</v>
      </c>
      <c r="Q9" s="149">
        <f>ROUNDUP(SUMIFS('ВБ Отчет Продажи (за 60 дней)'!$L:$L,'ВБ Отчет Продажи (за 60 дней)'!$K:$K,"Новосибирск",'ВБ Отчет Продажи (за 60 дней)'!$G:$G,$A9),0)</f>
        <v>0</v>
      </c>
      <c r="R9" s="131">
        <f t="shared" si="0"/>
        <v>5</v>
      </c>
      <c r="S9" s="139">
        <f>SUMIFS('ОЗОН Оборот ведом (за 60 дней)'!I:I,'ОЗОН Оборот ведом (за 60 дней)'!A:A,B9)</f>
        <v>1</v>
      </c>
      <c r="T9" s="140">
        <f t="shared" si="8"/>
        <v>6</v>
      </c>
      <c r="U9" s="6">
        <f>SUMIFS('ВБ Отчет Продажи (за 60 дней)'!$P:$P,'ВБ Отчет Продажи (за 60 дней)'!$K:$K,"Электросталь",'ВБ Отчет Продажи (за 60 дней)'!$G:$G,$A9)</f>
        <v>62</v>
      </c>
      <c r="V9" s="7">
        <f>SUMIFS('ВБ Отчет Продажи (за 60 дней)'!$P:$P,'ВБ Отчет Продажи (за 60 дней)'!$K:$K,"Коледино",'ВБ Отчет Продажи (за 60 дней)'!$G:$G,$A9)</f>
        <v>18</v>
      </c>
      <c r="W9" s="7">
        <f>SUMIFS('ВБ Отчет Продажи (за 60 дней)'!$P:$P,'ВБ Отчет Продажи (за 60 дней)'!$K:$K,"Тула",'ВБ Отчет Продажи (за 60 дней)'!$G:$G,$A9)</f>
        <v>0</v>
      </c>
      <c r="X9" s="7">
        <f>SUMIFS('ВБ Отчет Продажи (за 60 дней)'!$P:$P,'ВБ Отчет Продажи (за 60 дней)'!$K:$K,"Рязань (Тюшевское)",'ВБ Отчет Продажи (за 60 дней)'!$G:$G,$A9)</f>
        <v>9</v>
      </c>
      <c r="Y9" s="27">
        <f>SUMIFS('ВБ Отчет Продажи (за 60 дней)'!$P:$P,'ВБ Отчет Продажи (за 60 дней)'!$K:$K,"Краснодар",'ВБ Отчет Продажи (за 60 дней)'!$G:$G,$A9)</f>
        <v>14</v>
      </c>
      <c r="Z9" s="7">
        <f>SUMIFS('ВБ Отчет Продажи (за 60 дней)'!$P:$P,'ВБ Отчет Продажи (за 60 дней)'!$K:$K,"Невинномысск",'ВБ Отчет Продажи (за 60 дней)'!$G:$G,$A9)</f>
        <v>45</v>
      </c>
      <c r="AA9" s="104">
        <f>SUMIFS('ВБ Отчет Продажи (за 60 дней)'!$P:$P,'ВБ Отчет Продажи (за 60 дней)'!$K:$K,"Волгоград",'ВБ Отчет Продажи (за 60 дней)'!$G:$G,$A9)</f>
        <v>0</v>
      </c>
      <c r="AB9" s="27">
        <f>SUMIFS('ВБ Отчет Продажи (за 60 дней)'!$P:$P,'ВБ Отчет Продажи (за 60 дней)'!$K:$K,"Самара (Новосемейкино)",'ВБ Отчет Продажи (за 60 дней)'!$G:$G,$A9)</f>
        <v>52</v>
      </c>
      <c r="AC9" s="104">
        <f>SUMIFS('ВБ Отчет Продажи (за 60 дней)'!$P:$P,'ВБ Отчет Продажи (за 60 дней)'!$K:$K,"Казань",'ВБ Отчет Продажи (за 60 дней)'!$G:$G,$A9)</f>
        <v>0</v>
      </c>
      <c r="AD9" s="104">
        <f>SUMIFS('ВБ Отчет Продажи (за 60 дней)'!$P:$P,'ВБ Отчет Продажи (за 60 дней)'!$K:$K,"СПБ Шушары",'ВБ Отчет Продажи (за 60 дней)'!$G:$G,$A9)</f>
        <v>0</v>
      </c>
      <c r="AE9" s="153">
        <f>SUMIFS('ВБ Отчет Продажи (за 60 дней)'!$P:$P,'ВБ Отчет Продажи (за 60 дней)'!$K:$K,"Екатеринбург - Перспективный 12",'ВБ Отчет Продажи (за 60 дней)'!$G:$G,$A9)</f>
        <v>0</v>
      </c>
      <c r="AF9" s="102">
        <f>SUMIFS('ВБ Отчет Продажи (за 60 дней)'!$P:$P,'ВБ Отчет Продажи (за 60 дней)'!$K:$K,"Новосибирск",'ВБ Отчет Продажи (за 60 дней)'!$G:$G,$A9)</f>
        <v>0</v>
      </c>
      <c r="AG9" s="124">
        <f t="shared" si="9"/>
        <v>200</v>
      </c>
      <c r="AH9" s="7">
        <f t="shared" si="10"/>
        <v>2400</v>
      </c>
      <c r="AI9" s="213">
        <f>SUMIFS('ОЗОН Оборот ведом (за 60 дней)'!J:J,'ОЗОН Оборот ведом (за 60 дней)'!A:A,B9)</f>
        <v>0</v>
      </c>
      <c r="AJ9" s="21">
        <f t="shared" si="11"/>
        <v>200</v>
      </c>
      <c r="AK9" s="7" cm="1">
        <f t="array" ref="AK9">IFERROR(_xlfn.IFS((F9-U9)&gt;0,F9/$R$1*$AY$1-U9,F9+U9=0,"нов"),0)</f>
        <v>0</v>
      </c>
      <c r="AL9" s="7" cm="1">
        <f t="array" ref="AL9">IFERROR(_xlfn.IFS((G9-V9)&gt;0,G9/$R$1*$AY$1-V9,G9+V9=0,"нов"),0)</f>
        <v>0</v>
      </c>
      <c r="AM9" s="7" t="str" cm="1">
        <f t="array" ref="AM9">IFERROR(_xlfn.IFS((H9-W9)&gt;0,H9/$R$1*$AY$1-W9,H9+W9=0,"нов"),0)</f>
        <v>нов</v>
      </c>
      <c r="AN9" s="7" cm="1">
        <f t="array" ref="AN9">IFERROR(_xlfn.IFS((I9-X9)&gt;0,I9/$R$1*$AY$1-X9,I9+X9=0,"нов"),0)</f>
        <v>0</v>
      </c>
      <c r="AO9" s="27" cm="1">
        <f t="array" ref="AO9">IFERROR(_xlfn.IFS((J9-Y9)&gt;0,J9/$R$1*$AY$1-Y9,J9+Y9=0,"нов"),0)</f>
        <v>0</v>
      </c>
      <c r="AP9" s="7" cm="1">
        <f t="array" ref="AP9">IFERROR(_xlfn.IFS((K9-Z9)&gt;0,K9/$R$1*$AY$1-Z9,K9+Z9=0,"нов"),0)</f>
        <v>0</v>
      </c>
      <c r="AQ9" s="104" t="str" cm="1">
        <f t="array" ref="AQ9">IFERROR(_xlfn.IFS((L9-AA9)&gt;0,L9/$R$1*$AY$1-AA9,L9+AA9=0,"нов"),0)</f>
        <v>нов</v>
      </c>
      <c r="AR9" s="27" cm="1">
        <f t="array" ref="AR9">IFERROR(_xlfn.IFS((M9-AB9)&gt;0,M9/$R$1*$AY$1-AB9,M9+AB9=0,"нов"),0)</f>
        <v>0</v>
      </c>
      <c r="AS9" s="104" t="str" cm="1">
        <f t="array" ref="AS9">IFERROR(_xlfn.IFS((N9-AC9)&gt;0,N9/$R$1*$AY$1-AC9,N9+AC9=0,"нов"),0)</f>
        <v>нов</v>
      </c>
      <c r="AT9" s="104" t="str" cm="1">
        <f t="array" ref="AT9">IFERROR(_xlfn.IFS((O9-AD9)&gt;0,O9/$R$1*$AY$1-AD9,O9+AD9=0,"нов"),0)</f>
        <v>нов</v>
      </c>
      <c r="AU9" s="7" t="str" cm="1">
        <f t="array" ref="AU9">IFERROR(_xlfn.IFS((P9-AE9)&gt;0,P9/$R$1*$AY$1-AE9,P9+AE9=0,"нов"),0)</f>
        <v>нов</v>
      </c>
      <c r="AV9" s="7" t="str" cm="1">
        <f t="array" ref="AV9">IFERROR(_xlfn.IFS((Q9-AF9)&gt;0,Q9/$R$1*$AY$1-AF9,Q9+AF9=0,"нов"),0)</f>
        <v>нов</v>
      </c>
      <c r="AW9" s="141">
        <f t="shared" si="12"/>
        <v>0</v>
      </c>
      <c r="AX9" s="218">
        <f>SUMIF('ОЗОН Доступн товара'!D:D,_xlfn.XLOOKUP($B9,'ОЗОН Доступн товара'!$A:$A,'ОЗОН Доступн товара'!$D:$D,0))</f>
        <v>0</v>
      </c>
      <c r="AY9" s="226">
        <f t="shared" si="13"/>
        <v>0</v>
      </c>
      <c r="AZ9" s="7">
        <f t="shared" si="14"/>
        <v>0</v>
      </c>
      <c r="BA9" s="7">
        <f t="shared" si="15"/>
        <v>0</v>
      </c>
      <c r="BB9" s="7" t="str">
        <f t="shared" si="16"/>
        <v>нов</v>
      </c>
      <c r="BC9" s="7">
        <f t="shared" si="17"/>
        <v>0</v>
      </c>
      <c r="BD9" s="27">
        <f t="shared" si="18"/>
        <v>0</v>
      </c>
      <c r="BE9" s="7">
        <f t="shared" si="19"/>
        <v>0</v>
      </c>
      <c r="BF9" s="104" t="str">
        <f t="shared" si="20"/>
        <v>нов</v>
      </c>
      <c r="BG9" s="27">
        <f t="shared" si="21"/>
        <v>0</v>
      </c>
      <c r="BH9" s="104" t="str">
        <f t="shared" si="22"/>
        <v>нов</v>
      </c>
      <c r="BI9" s="7" t="str">
        <f t="shared" si="23"/>
        <v>нов</v>
      </c>
      <c r="BJ9" s="153" t="str">
        <f t="shared" si="24"/>
        <v>нов</v>
      </c>
      <c r="BK9" s="7" t="str">
        <f t="shared" si="25"/>
        <v>нов</v>
      </c>
      <c r="BL9" s="6">
        <f t="shared" si="26"/>
        <v>0</v>
      </c>
      <c r="BM9" s="6">
        <f t="shared" si="27"/>
        <v>0</v>
      </c>
      <c r="BN9" s="28">
        <f t="shared" si="28"/>
        <v>0</v>
      </c>
      <c r="BO9" s="73">
        <f>IFERROR(_xlfn.XLOOKUP(A9,'[2] Расчет стоимости и веса'!$I:$I,'[2] Расчет стоимости и веса'!$D:$D),0)</f>
        <v>40</v>
      </c>
      <c r="BP9" s="227">
        <f t="shared" ref="BP9:BP11" si="30">BO9*3</f>
        <v>120</v>
      </c>
      <c r="BQ9" s="8"/>
      <c r="BR9" s="155"/>
      <c r="BS9" s="12"/>
      <c r="BT9" s="12"/>
      <c r="BU9" s="229"/>
      <c r="BV9" s="12"/>
      <c r="BW9" s="12"/>
      <c r="BY9" s="231"/>
      <c r="BZ9" s="232"/>
      <c r="CA9" s="155">
        <v>20</v>
      </c>
      <c r="CB9" s="157">
        <v>20</v>
      </c>
      <c r="CC9" s="57"/>
      <c r="CD9" s="12"/>
      <c r="CE9" s="146">
        <f t="shared" si="5"/>
        <v>40</v>
      </c>
      <c r="CF9" s="69">
        <f t="shared" si="6"/>
        <v>40</v>
      </c>
      <c r="CG9" s="45">
        <f t="shared" si="7"/>
        <v>0</v>
      </c>
    </row>
    <row r="10" spans="1:85" ht="14.1" customHeight="1">
      <c r="A10" s="233">
        <f>[1]Юнит!A12</f>
        <v>176721350</v>
      </c>
      <c r="B10" s="234">
        <f>[1]Юнит!B12</f>
        <v>2419349585</v>
      </c>
      <c r="C10" s="233" t="str">
        <f>[1]Юнит!C12</f>
        <v>AHMA3BW201WH</v>
      </c>
      <c r="D10" s="235" t="str">
        <f>[1]Юнит!D12</f>
        <v>Мешки/шнурок мелк 3 шт.</v>
      </c>
      <c r="E10" s="90">
        <f>[1]Юнит!E12</f>
        <v>2038606201642</v>
      </c>
      <c r="F10" s="132">
        <f>ROUNDUP(SUMIFS('ВБ Отчет Продажи (за 60 дней)'!$L:$L,'ВБ Отчет Продажи (за 60 дней)'!$K:$K,"Электросталь",'ВБ Отчет Продажи (за 60 дней)'!$G:$G,$A10),0)</f>
        <v>6</v>
      </c>
      <c r="G10" s="133">
        <f>ROUNDUP(SUMIFS('ВБ Отчет Продажи (за 60 дней)'!$L:$L,'ВБ Отчет Продажи (за 60 дней)'!$K:$K,"Коледино",'ВБ Отчет Продажи (за 60 дней)'!$G:$G,$A10),0)</f>
        <v>7</v>
      </c>
      <c r="H10" s="133">
        <f>ROUNDUP(SUMIFS('ВБ Отчет Продажи (за 60 дней)'!$L:$L,'ВБ Отчет Продажи (за 60 дней)'!$K:$K,"Тула",'ВБ Отчет Продажи (за 60 дней)'!$G:$G,$A10),0)</f>
        <v>0</v>
      </c>
      <c r="I10" s="134">
        <f>ROUNDUP(SUMIFS('ВБ Отчет Продажи (за 60 дней)'!$L:$L,'ВБ Отчет Продажи (за 60 дней)'!$K:$K,"Рязань (Тюшевское)",'ВБ Отчет Продажи (за 60 дней)'!$G:$G,$A10),0)</f>
        <v>1</v>
      </c>
      <c r="J10" s="136">
        <f>ROUNDUP(SUMIFS('ВБ Отчет Продажи (за 60 дней)'!$L:$L,'ВБ Отчет Продажи (за 60 дней)'!$K:$K,"Краснодар",'ВБ Отчет Продажи (за 60 дней)'!$G:$G,$A10),0)</f>
        <v>2</v>
      </c>
      <c r="K10" s="133">
        <f>ROUNDUP(SUMIFS('ВБ Отчет Продажи (за 60 дней)'!$L:$L,'ВБ Отчет Продажи (за 60 дней)'!$K:$K,"Невинномысск",'ВБ Отчет Продажи (за 60 дней)'!$G:$G,$A10),0)</f>
        <v>0</v>
      </c>
      <c r="L10" s="137">
        <f>ROUNDUP(SUMIFS('ВБ Отчет Продажи (за 60 дней)'!$L:$L,'ВБ Отчет Продажи (за 60 дней)'!$K:$K,"Волгоград",'ВБ Отчет Продажи (за 60 дней)'!$G:$G,$A10),0)</f>
        <v>0</v>
      </c>
      <c r="M10" s="136">
        <f>ROUNDUP(SUMIFS('ВБ Отчет Продажи (за 60 дней)'!$L:$L,'ВБ Отчет Продажи (за 60 дней)'!$K:$K,"Самара (Новосемейкино)",'ВБ Отчет Продажи (за 60 дней)'!$G:$G,$A10),0)</f>
        <v>0</v>
      </c>
      <c r="N10" s="137">
        <f>ROUNDUP(SUMIFS('ВБ Отчет Продажи (за 60 дней)'!$L:$L,'ВБ Отчет Продажи (за 60 дней)'!$K:$K,"Казань",'ВБ Отчет Продажи (за 60 дней)'!$G:$G,$A10),0)</f>
        <v>0</v>
      </c>
      <c r="O10" s="137">
        <f>ROUNDUP(SUMIFS('ВБ Отчет Продажи (за 60 дней)'!$L:$L,'ВБ Отчет Продажи (за 60 дней)'!$K:$K,"СПБ Шушары",'ВБ Отчет Продажи (за 60 дней)'!$G:$G,$A10),0)</f>
        <v>0</v>
      </c>
      <c r="P10" s="151">
        <f>ROUNDUP(SUMIFS('ВБ Отчет Продажи (за 60 дней)'!$L:$L,'ВБ Отчет Продажи (за 60 дней)'!$K:$K,"Екатеринбург - Перспективный 12",'ВБ Отчет Продажи (за 60 дней)'!$G:$G,$A10),0)</f>
        <v>0</v>
      </c>
      <c r="Q10" s="149">
        <f>ROUNDUP(SUMIFS('ВБ Отчет Продажи (за 60 дней)'!$L:$L,'ВБ Отчет Продажи (за 60 дней)'!$K:$K,"Новосибирск",'ВБ Отчет Продажи (за 60 дней)'!$G:$G,$A10),0)</f>
        <v>0</v>
      </c>
      <c r="R10" s="131">
        <f t="shared" si="0"/>
        <v>16</v>
      </c>
      <c r="S10" s="139">
        <f>SUMIFS('ОЗОН Оборот ведом (за 60 дней)'!I:I,'ОЗОН Оборот ведом (за 60 дней)'!A:A,B10)</f>
        <v>6</v>
      </c>
      <c r="T10" s="140">
        <f t="shared" si="8"/>
        <v>22</v>
      </c>
      <c r="U10" s="6">
        <f>SUMIFS('ВБ Отчет Продажи (за 60 дней)'!$P:$P,'ВБ Отчет Продажи (за 60 дней)'!$K:$K,"Электросталь",'ВБ Отчет Продажи (за 60 дней)'!$G:$G,$A10)</f>
        <v>85</v>
      </c>
      <c r="V10" s="7">
        <f>SUMIFS('ВБ Отчет Продажи (за 60 дней)'!$P:$P,'ВБ Отчет Продажи (за 60 дней)'!$K:$K,"Коледино",'ВБ Отчет Продажи (за 60 дней)'!$G:$G,$A10)</f>
        <v>49</v>
      </c>
      <c r="W10" s="7">
        <f>SUMIFS('ВБ Отчет Продажи (за 60 дней)'!$P:$P,'ВБ Отчет Продажи (за 60 дней)'!$K:$K,"Тула",'ВБ Отчет Продажи (за 60 дней)'!$G:$G,$A10)</f>
        <v>0</v>
      </c>
      <c r="X10" s="7">
        <f>SUMIFS('ВБ Отчет Продажи (за 60 дней)'!$P:$P,'ВБ Отчет Продажи (за 60 дней)'!$K:$K,"Рязань (Тюшевское)",'ВБ Отчет Продажи (за 60 дней)'!$G:$G,$A10)</f>
        <v>0</v>
      </c>
      <c r="Y10" s="27">
        <f>SUMIFS('ВБ Отчет Продажи (за 60 дней)'!$P:$P,'ВБ Отчет Продажи (за 60 дней)'!$K:$K,"Краснодар",'ВБ Отчет Продажи (за 60 дней)'!$G:$G,$A10)</f>
        <v>7</v>
      </c>
      <c r="Z10" s="7">
        <f>SUMIFS('ВБ Отчет Продажи (за 60 дней)'!$P:$P,'ВБ Отчет Продажи (за 60 дней)'!$K:$K,"Невинномысск",'ВБ Отчет Продажи (за 60 дней)'!$G:$G,$A10)</f>
        <v>27</v>
      </c>
      <c r="AA10" s="104">
        <f>SUMIFS('ВБ Отчет Продажи (за 60 дней)'!$P:$P,'ВБ Отчет Продажи (за 60 дней)'!$K:$K,"Волгоград",'ВБ Отчет Продажи (за 60 дней)'!$G:$G,$A10)</f>
        <v>0</v>
      </c>
      <c r="AB10" s="27">
        <f>SUMIFS('ВБ Отчет Продажи (за 60 дней)'!$P:$P,'ВБ Отчет Продажи (за 60 дней)'!$K:$K,"Самара (Новосемейкино)",'ВБ Отчет Продажи (за 60 дней)'!$G:$G,$A10)</f>
        <v>48</v>
      </c>
      <c r="AC10" s="104">
        <f>SUMIFS('ВБ Отчет Продажи (за 60 дней)'!$P:$P,'ВБ Отчет Продажи (за 60 дней)'!$K:$K,"Казань",'ВБ Отчет Продажи (за 60 дней)'!$G:$G,$A10)</f>
        <v>0</v>
      </c>
      <c r="AD10" s="104">
        <f>SUMIFS('ВБ Отчет Продажи (за 60 дней)'!$P:$P,'ВБ Отчет Продажи (за 60 дней)'!$K:$K,"СПБ Шушары",'ВБ Отчет Продажи (за 60 дней)'!$G:$G,$A10)</f>
        <v>0</v>
      </c>
      <c r="AE10" s="153">
        <f>SUMIFS('ВБ Отчет Продажи (за 60 дней)'!$P:$P,'ВБ Отчет Продажи (за 60 дней)'!$K:$K,"Екатеринбург - Перспективный 12",'ВБ Отчет Продажи (за 60 дней)'!$G:$G,$A10)</f>
        <v>0</v>
      </c>
      <c r="AF10" s="102">
        <f>SUMIFS('ВБ Отчет Продажи (за 60 дней)'!$P:$P,'ВБ Отчет Продажи (за 60 дней)'!$K:$K,"Новосибирск",'ВБ Отчет Продажи (за 60 дней)'!$G:$G,$A10)</f>
        <v>0</v>
      </c>
      <c r="AG10" s="124">
        <f t="shared" si="9"/>
        <v>216</v>
      </c>
      <c r="AH10" s="7">
        <f t="shared" si="10"/>
        <v>810</v>
      </c>
      <c r="AI10" s="213">
        <f>SUMIFS('ОЗОН Оборот ведом (за 60 дней)'!J:J,'ОЗОН Оборот ведом (за 60 дней)'!A:A,B10)</f>
        <v>18</v>
      </c>
      <c r="AJ10" s="21">
        <f t="shared" si="11"/>
        <v>234</v>
      </c>
      <c r="AK10" s="7" cm="1">
        <f t="array" ref="AK10">IFERROR(_xlfn.IFS((F10-U10)&gt;0,F10/$R$1*$AY$1-U10,F10+U10=0,"нов"),0)</f>
        <v>0</v>
      </c>
      <c r="AL10" s="7" cm="1">
        <f t="array" ref="AL10">IFERROR(_xlfn.IFS((G10-V10)&gt;0,G10/$R$1*$AY$1-V10,G10+V10=0,"нов"),0)</f>
        <v>0</v>
      </c>
      <c r="AM10" s="7" t="str" cm="1">
        <f t="array" ref="AM10">IFERROR(_xlfn.IFS((H10-W10)&gt;0,H10/$R$1*$AY$1-W10,H10+W10=0,"нов"),0)</f>
        <v>нов</v>
      </c>
      <c r="AN10" s="7" cm="1">
        <f t="array" ref="AN10">IFERROR(_xlfn.IFS((I10-X10)&gt;0,I10/$R$1*$AY$1-X10,I10+X10=0,"нов"),0)</f>
        <v>1</v>
      </c>
      <c r="AO10" s="27" cm="1">
        <f t="array" ref="AO10">IFERROR(_xlfn.IFS((J10-Y10)&gt;0,J10/$R$1*$AY$1-Y10,J10+Y10=0,"нов"),0)</f>
        <v>0</v>
      </c>
      <c r="AP10" s="7" cm="1">
        <f t="array" ref="AP10">IFERROR(_xlfn.IFS((K10-Z10)&gt;0,K10/$R$1*$AY$1-Z10,K10+Z10=0,"нов"),0)</f>
        <v>0</v>
      </c>
      <c r="AQ10" s="104" t="str" cm="1">
        <f t="array" ref="AQ10">IFERROR(_xlfn.IFS((L10-AA10)&gt;0,L10/$R$1*$AY$1-AA10,L10+AA10=0,"нов"),0)</f>
        <v>нов</v>
      </c>
      <c r="AR10" s="27" cm="1">
        <f t="array" ref="AR10">IFERROR(_xlfn.IFS((M10-AB10)&gt;0,M10/$R$1*$AY$1-AB10,M10+AB10=0,"нов"),0)</f>
        <v>0</v>
      </c>
      <c r="AS10" s="104" t="str" cm="1">
        <f t="array" ref="AS10">IFERROR(_xlfn.IFS((N10-AC10)&gt;0,N10/$R$1*$AY$1-AC10,N10+AC10=0,"нов"),0)</f>
        <v>нов</v>
      </c>
      <c r="AT10" s="104" t="str" cm="1">
        <f t="array" ref="AT10">IFERROR(_xlfn.IFS((O10-AD10)&gt;0,O10/$R$1*$AY$1-AD10,O10+AD10=0,"нов"),0)</f>
        <v>нов</v>
      </c>
      <c r="AU10" s="7" t="str" cm="1">
        <f t="array" ref="AU10">IFERROR(_xlfn.IFS((P10-AE10)&gt;0,P10/$R$1*$AY$1-AE10,P10+AE10=0,"нов"),0)</f>
        <v>нов</v>
      </c>
      <c r="AV10" s="7" t="str" cm="1">
        <f t="array" ref="AV10">IFERROR(_xlfn.IFS((Q10-AF10)&gt;0,Q10/$R$1*$AY$1-AF10,Q10+AF10=0,"нов"),0)</f>
        <v>нов</v>
      </c>
      <c r="AW10" s="141">
        <f t="shared" si="12"/>
        <v>1</v>
      </c>
      <c r="AX10" s="218">
        <f>SUMIF('ОЗОН Доступн товара'!D:D,_xlfn.XLOOKUP($B10,'ОЗОН Доступн товара'!$A:$A,'ОЗОН Доступн товара'!$D:$D,0))</f>
        <v>0</v>
      </c>
      <c r="AY10" s="226">
        <f t="shared" si="13"/>
        <v>1</v>
      </c>
      <c r="AZ10" s="7">
        <f t="shared" si="14"/>
        <v>0</v>
      </c>
      <c r="BA10" s="7">
        <f t="shared" si="15"/>
        <v>0</v>
      </c>
      <c r="BB10" s="7" t="str">
        <f t="shared" si="16"/>
        <v>нов</v>
      </c>
      <c r="BC10" s="7">
        <f t="shared" si="17"/>
        <v>2</v>
      </c>
      <c r="BD10" s="27">
        <f t="shared" si="18"/>
        <v>0</v>
      </c>
      <c r="BE10" s="7">
        <f t="shared" si="19"/>
        <v>0</v>
      </c>
      <c r="BF10" s="104" t="str">
        <f t="shared" si="20"/>
        <v>нов</v>
      </c>
      <c r="BG10" s="27">
        <f t="shared" si="21"/>
        <v>0</v>
      </c>
      <c r="BH10" s="104" t="str">
        <f t="shared" si="22"/>
        <v>нов</v>
      </c>
      <c r="BI10" s="7" t="str">
        <f t="shared" si="23"/>
        <v>нов</v>
      </c>
      <c r="BJ10" s="153" t="str">
        <f t="shared" si="24"/>
        <v>нов</v>
      </c>
      <c r="BK10" s="7" t="str">
        <f t="shared" si="25"/>
        <v>нов</v>
      </c>
      <c r="BL10" s="6">
        <f t="shared" si="26"/>
        <v>2</v>
      </c>
      <c r="BM10" s="6">
        <f t="shared" si="27"/>
        <v>0</v>
      </c>
      <c r="BN10" s="28">
        <f t="shared" si="28"/>
        <v>2</v>
      </c>
      <c r="BO10" s="73">
        <f>IFERROR(_xlfn.XLOOKUP(A10,'[2] Расчет стоимости и веса'!$I:$I,'[2] Расчет стоимости и веса'!$D:$D),0)</f>
        <v>40</v>
      </c>
      <c r="BP10" s="227">
        <f t="shared" si="30"/>
        <v>120</v>
      </c>
      <c r="BQ10" s="8"/>
      <c r="BR10" s="155"/>
      <c r="BS10" s="12"/>
      <c r="BT10" s="12"/>
      <c r="BU10" s="229"/>
      <c r="BV10" s="12"/>
      <c r="BW10" s="12"/>
      <c r="BY10" s="231"/>
      <c r="BZ10" s="232"/>
      <c r="CA10" s="155">
        <v>20</v>
      </c>
      <c r="CB10" s="157">
        <v>20</v>
      </c>
      <c r="CC10" s="57"/>
      <c r="CD10" s="12"/>
      <c r="CE10" s="146">
        <f t="shared" si="5"/>
        <v>40</v>
      </c>
      <c r="CF10" s="69">
        <f t="shared" si="6"/>
        <v>40</v>
      </c>
      <c r="CG10" s="45">
        <f t="shared" si="7"/>
        <v>0</v>
      </c>
    </row>
    <row r="11" spans="1:85" ht="14.1" customHeight="1">
      <c r="A11" s="233">
        <f>[1]Юнит!A13</f>
        <v>176723275</v>
      </c>
      <c r="B11" s="234">
        <f>[1]Юнит!B13</f>
        <v>2419349501</v>
      </c>
      <c r="C11" s="233" t="str">
        <f>[1]Юнит!C13</f>
        <v>AHMA3BW202WH</v>
      </c>
      <c r="D11" s="235" t="str">
        <f>[1]Юнит!D13</f>
        <v>Мешки/шнурок крупн 3 шт.</v>
      </c>
      <c r="E11" s="90">
        <f>[1]Юнит!E13</f>
        <v>2038606256161</v>
      </c>
      <c r="F11" s="132">
        <f>ROUNDUP(SUMIFS('ВБ Отчет Продажи (за 60 дней)'!$L:$L,'ВБ Отчет Продажи (за 60 дней)'!$K:$K,"Электросталь",'ВБ Отчет Продажи (за 60 дней)'!$G:$G,$A11),0)</f>
        <v>31</v>
      </c>
      <c r="G11" s="133">
        <f>ROUNDUP(SUMIFS('ВБ Отчет Продажи (за 60 дней)'!$L:$L,'ВБ Отчет Продажи (за 60 дней)'!$K:$K,"Коледино",'ВБ Отчет Продажи (за 60 дней)'!$G:$G,$A11),0)</f>
        <v>0</v>
      </c>
      <c r="H11" s="133">
        <f>ROUNDUP(SUMIFS('ВБ Отчет Продажи (за 60 дней)'!$L:$L,'ВБ Отчет Продажи (за 60 дней)'!$K:$K,"Тула",'ВБ Отчет Продажи (за 60 дней)'!$G:$G,$A11),0)</f>
        <v>1</v>
      </c>
      <c r="I11" s="134">
        <f>ROUNDUP(SUMIFS('ВБ Отчет Продажи (за 60 дней)'!$L:$L,'ВБ Отчет Продажи (за 60 дней)'!$K:$K,"Рязань (Тюшевское)",'ВБ Отчет Продажи (за 60 дней)'!$G:$G,$A11),0)</f>
        <v>1</v>
      </c>
      <c r="J11" s="136">
        <f>ROUNDUP(SUMIFS('ВБ Отчет Продажи (за 60 дней)'!$L:$L,'ВБ Отчет Продажи (за 60 дней)'!$K:$K,"Краснодар",'ВБ Отчет Продажи (за 60 дней)'!$G:$G,$A11),0)</f>
        <v>0</v>
      </c>
      <c r="K11" s="133">
        <f>ROUNDUP(SUMIFS('ВБ Отчет Продажи (за 60 дней)'!$L:$L,'ВБ Отчет Продажи (за 60 дней)'!$K:$K,"Невинномысск",'ВБ Отчет Продажи (за 60 дней)'!$G:$G,$A11),0)</f>
        <v>11</v>
      </c>
      <c r="L11" s="137">
        <f>ROUNDUP(SUMIFS('ВБ Отчет Продажи (за 60 дней)'!$L:$L,'ВБ Отчет Продажи (за 60 дней)'!$K:$K,"Волгоград",'ВБ Отчет Продажи (за 60 дней)'!$G:$G,$A11),0)</f>
        <v>0</v>
      </c>
      <c r="M11" s="136">
        <f>ROUNDUP(SUMIFS('ВБ Отчет Продажи (за 60 дней)'!$L:$L,'ВБ Отчет Продажи (за 60 дней)'!$K:$K,"Самара (Новосемейкино)",'ВБ Отчет Продажи (за 60 дней)'!$G:$G,$A11),0)</f>
        <v>16</v>
      </c>
      <c r="N11" s="137">
        <f>ROUNDUP(SUMIFS('ВБ Отчет Продажи (за 60 дней)'!$L:$L,'ВБ Отчет Продажи (за 60 дней)'!$K:$K,"Казань",'ВБ Отчет Продажи (за 60 дней)'!$G:$G,$A11),0)</f>
        <v>0</v>
      </c>
      <c r="O11" s="137">
        <f>ROUNDUP(SUMIFS('ВБ Отчет Продажи (за 60 дней)'!$L:$L,'ВБ Отчет Продажи (за 60 дней)'!$K:$K,"СПБ Шушары",'ВБ Отчет Продажи (за 60 дней)'!$G:$G,$A11),0)</f>
        <v>0</v>
      </c>
      <c r="P11" s="151">
        <f>ROUNDUP(SUMIFS('ВБ Отчет Продажи (за 60 дней)'!$L:$L,'ВБ Отчет Продажи (за 60 дней)'!$K:$K,"Екатеринбург - Перспективный 12",'ВБ Отчет Продажи (за 60 дней)'!$G:$G,$A11),0)</f>
        <v>0</v>
      </c>
      <c r="Q11" s="149">
        <f>ROUNDUP(SUMIFS('ВБ Отчет Продажи (за 60 дней)'!$L:$L,'ВБ Отчет Продажи (за 60 дней)'!$K:$K,"Новосибирск",'ВБ Отчет Продажи (за 60 дней)'!$G:$G,$A11),0)</f>
        <v>0</v>
      </c>
      <c r="R11" s="131">
        <f t="shared" si="0"/>
        <v>60</v>
      </c>
      <c r="S11" s="139">
        <f>SUMIFS('ОЗОН Оборот ведом (за 60 дней)'!I:I,'ОЗОН Оборот ведом (за 60 дней)'!A:A,B11)</f>
        <v>9</v>
      </c>
      <c r="T11" s="140">
        <f t="shared" si="8"/>
        <v>69</v>
      </c>
      <c r="U11" s="6">
        <f>SUMIFS('ВБ Отчет Продажи (за 60 дней)'!$P:$P,'ВБ Отчет Продажи (за 60 дней)'!$K:$K,"Электросталь",'ВБ Отчет Продажи (за 60 дней)'!$G:$G,$A11)</f>
        <v>4</v>
      </c>
      <c r="V11" s="7">
        <f>SUMIFS('ВБ Отчет Продажи (за 60 дней)'!$P:$P,'ВБ Отчет Продажи (за 60 дней)'!$K:$K,"Коледино",'ВБ Отчет Продажи (за 60 дней)'!$G:$G,$A11)</f>
        <v>0</v>
      </c>
      <c r="W11" s="7">
        <f>SUMIFS('ВБ Отчет Продажи (за 60 дней)'!$P:$P,'ВБ Отчет Продажи (за 60 дней)'!$K:$K,"Тула",'ВБ Отчет Продажи (за 60 дней)'!$G:$G,$A11)</f>
        <v>0</v>
      </c>
      <c r="X11" s="7">
        <f>SUMIFS('ВБ Отчет Продажи (за 60 дней)'!$P:$P,'ВБ Отчет Продажи (за 60 дней)'!$K:$K,"Рязань (Тюшевское)",'ВБ Отчет Продажи (за 60 дней)'!$G:$G,$A11)</f>
        <v>0</v>
      </c>
      <c r="Y11" s="27">
        <f>SUMIFS('ВБ Отчет Продажи (за 60 дней)'!$P:$P,'ВБ Отчет Продажи (за 60 дней)'!$K:$K,"Краснодар",'ВБ Отчет Продажи (за 60 дней)'!$G:$G,$A11)</f>
        <v>0</v>
      </c>
      <c r="Z11" s="7">
        <f>SUMIFS('ВБ Отчет Продажи (за 60 дней)'!$P:$P,'ВБ Отчет Продажи (за 60 дней)'!$K:$K,"Невинномысск",'ВБ Отчет Продажи (за 60 дней)'!$G:$G,$A11)</f>
        <v>15</v>
      </c>
      <c r="AA11" s="104">
        <f>SUMIFS('ВБ Отчет Продажи (за 60 дней)'!$P:$P,'ВБ Отчет Продажи (за 60 дней)'!$K:$K,"Волгоград",'ВБ Отчет Продажи (за 60 дней)'!$G:$G,$A11)</f>
        <v>0</v>
      </c>
      <c r="AB11" s="27">
        <f>SUMIFS('ВБ Отчет Продажи (за 60 дней)'!$P:$P,'ВБ Отчет Продажи (за 60 дней)'!$K:$K,"Самара (Новосемейкино)",'ВБ Отчет Продажи (за 60 дней)'!$G:$G,$A11)</f>
        <v>14</v>
      </c>
      <c r="AC11" s="104">
        <f>SUMIFS('ВБ Отчет Продажи (за 60 дней)'!$P:$P,'ВБ Отчет Продажи (за 60 дней)'!$K:$K,"Казань",'ВБ Отчет Продажи (за 60 дней)'!$G:$G,$A11)</f>
        <v>0</v>
      </c>
      <c r="AD11" s="104">
        <f>SUMIFS('ВБ Отчет Продажи (за 60 дней)'!$P:$P,'ВБ Отчет Продажи (за 60 дней)'!$K:$K,"СПБ Шушары",'ВБ Отчет Продажи (за 60 дней)'!$G:$G,$A11)</f>
        <v>0</v>
      </c>
      <c r="AE11" s="153">
        <f>SUMIFS('ВБ Отчет Продажи (за 60 дней)'!$P:$P,'ВБ Отчет Продажи (за 60 дней)'!$K:$K,"Екатеринбург - Перспективный 12",'ВБ Отчет Продажи (за 60 дней)'!$G:$G,$A11)</f>
        <v>0</v>
      </c>
      <c r="AF11" s="102">
        <f>SUMIFS('ВБ Отчет Продажи (за 60 дней)'!$P:$P,'ВБ Отчет Продажи (за 60 дней)'!$K:$K,"Новосибирск",'ВБ Отчет Продажи (за 60 дней)'!$G:$G,$A11)</f>
        <v>0</v>
      </c>
      <c r="AG11" s="124">
        <f t="shared" si="9"/>
        <v>33</v>
      </c>
      <c r="AH11" s="7">
        <f t="shared" si="10"/>
        <v>33</v>
      </c>
      <c r="AI11" s="213">
        <f>SUMIFS('ОЗОН Оборот ведом (за 60 дней)'!J:J,'ОЗОН Оборот ведом (за 60 дней)'!A:A,B11)</f>
        <v>8</v>
      </c>
      <c r="AJ11" s="21">
        <f t="shared" si="11"/>
        <v>41</v>
      </c>
      <c r="AK11" s="7" cm="1">
        <f t="array" ref="AK11">IFERROR(_xlfn.IFS((F11-U11)&gt;0,F11/$R$1*$AY$1-U11,F11+U11=0,"нов"),0)</f>
        <v>27.000000000000004</v>
      </c>
      <c r="AL11" s="7" t="str" cm="1">
        <f t="array" ref="AL11">IFERROR(_xlfn.IFS((G11-V11)&gt;0,G11/$R$1*$AY$1-V11,G11+V11=0,"нов"),0)</f>
        <v>нов</v>
      </c>
      <c r="AM11" s="7" cm="1">
        <f t="array" ref="AM11">IFERROR(_xlfn.IFS((H11-W11)&gt;0,H11/$R$1*$AY$1-W11,H11+W11=0,"нов"),0)</f>
        <v>1</v>
      </c>
      <c r="AN11" s="7" cm="1">
        <f t="array" ref="AN11">IFERROR(_xlfn.IFS((I11-X11)&gt;0,I11/$R$1*$AY$1-X11,I11+X11=0,"нов"),0)</f>
        <v>1</v>
      </c>
      <c r="AO11" s="27" t="str" cm="1">
        <f t="array" ref="AO11">IFERROR(_xlfn.IFS((J11-Y11)&gt;0,J11/$R$1*$AY$1-Y11,J11+Y11=0,"нов"),0)</f>
        <v>нов</v>
      </c>
      <c r="AP11" s="7" cm="1">
        <f t="array" ref="AP11">IFERROR(_xlfn.IFS((K11-Z11)&gt;0,K11/$R$1*$AY$1-Z11,K11+Z11=0,"нов"),0)</f>
        <v>0</v>
      </c>
      <c r="AQ11" s="104" t="str" cm="1">
        <f t="array" ref="AQ11">IFERROR(_xlfn.IFS((L11-AA11)&gt;0,L11/$R$1*$AY$1-AA11,L11+AA11=0,"нов"),0)</f>
        <v>нов</v>
      </c>
      <c r="AR11" s="27" cm="1">
        <f t="array" ref="AR11">IFERROR(_xlfn.IFS((M11-AB11)&gt;0,M11/$R$1*$AY$1-AB11,M11+AB11=0,"нов"),0)</f>
        <v>2</v>
      </c>
      <c r="AS11" s="104" t="str" cm="1">
        <f t="array" ref="AS11">IFERROR(_xlfn.IFS((N11-AC11)&gt;0,N11/$R$1*$AY$1-AC11,N11+AC11=0,"нов"),0)</f>
        <v>нов</v>
      </c>
      <c r="AT11" s="104" t="str" cm="1">
        <f t="array" ref="AT11">IFERROR(_xlfn.IFS((O11-AD11)&gt;0,O11/$R$1*$AY$1-AD11,O11+AD11=0,"нов"),0)</f>
        <v>нов</v>
      </c>
      <c r="AU11" s="7" t="str" cm="1">
        <f t="array" ref="AU11">IFERROR(_xlfn.IFS((P11-AE11)&gt;0,P11/$R$1*$AY$1-AE11,P11+AE11=0,"нов"),0)</f>
        <v>нов</v>
      </c>
      <c r="AV11" s="7" t="str" cm="1">
        <f t="array" ref="AV11">IFERROR(_xlfn.IFS((Q11-AF11)&gt;0,Q11/$R$1*$AY$1-AF11,Q11+AF11=0,"нов"),0)</f>
        <v>нов</v>
      </c>
      <c r="AW11" s="141">
        <f t="shared" si="12"/>
        <v>31.000000000000004</v>
      </c>
      <c r="AX11" s="218">
        <f>SUMIF('ОЗОН Доступн товара'!D:D,_xlfn.XLOOKUP($B11,'ОЗОН Доступн товара'!$A:$A,'ОЗОН Доступн товара'!$D:$D,0))</f>
        <v>24</v>
      </c>
      <c r="AY11" s="226">
        <f t="shared" si="13"/>
        <v>55</v>
      </c>
      <c r="AZ11" s="7">
        <f t="shared" si="14"/>
        <v>36</v>
      </c>
      <c r="BA11" s="7" t="str">
        <f t="shared" si="15"/>
        <v>нов</v>
      </c>
      <c r="BB11" s="7">
        <f t="shared" si="16"/>
        <v>2</v>
      </c>
      <c r="BC11" s="7">
        <f t="shared" si="17"/>
        <v>2</v>
      </c>
      <c r="BD11" s="27" t="str">
        <f t="shared" si="18"/>
        <v>нов</v>
      </c>
      <c r="BE11" s="7">
        <f t="shared" si="19"/>
        <v>0</v>
      </c>
      <c r="BF11" s="104" t="str">
        <f t="shared" si="20"/>
        <v>нов</v>
      </c>
      <c r="BG11" s="27">
        <f t="shared" si="21"/>
        <v>3</v>
      </c>
      <c r="BH11" s="104" t="str">
        <f t="shared" si="22"/>
        <v>нов</v>
      </c>
      <c r="BI11" s="7" t="str">
        <f t="shared" si="23"/>
        <v>нов</v>
      </c>
      <c r="BJ11" s="153" t="str">
        <f t="shared" si="24"/>
        <v>нов</v>
      </c>
      <c r="BK11" s="7" t="str">
        <f t="shared" si="25"/>
        <v>нов</v>
      </c>
      <c r="BL11" s="6">
        <f t="shared" si="26"/>
        <v>43</v>
      </c>
      <c r="BM11" s="6">
        <f t="shared" si="27"/>
        <v>31.200000000000003</v>
      </c>
      <c r="BN11" s="28">
        <f t="shared" si="28"/>
        <v>74.2</v>
      </c>
      <c r="BO11" s="73">
        <f>IFERROR(_xlfn.XLOOKUP(A11,'[2] Расчет стоимости и веса'!$I:$I,'[2] Расчет стоимости и веса'!$D:$D),0)</f>
        <v>80</v>
      </c>
      <c r="BP11" s="227">
        <f t="shared" si="30"/>
        <v>240</v>
      </c>
      <c r="BQ11" s="8"/>
      <c r="BR11" s="155">
        <v>40</v>
      </c>
      <c r="BS11" s="12"/>
      <c r="BT11" s="12"/>
      <c r="BU11" s="229"/>
      <c r="BV11" s="12"/>
      <c r="BW11" s="12"/>
      <c r="BY11" s="231"/>
      <c r="BZ11" s="232"/>
      <c r="CA11" s="155">
        <v>20</v>
      </c>
      <c r="CB11" s="157">
        <v>20</v>
      </c>
      <c r="CC11" s="57"/>
      <c r="CD11" s="12"/>
      <c r="CE11" s="146">
        <f t="shared" si="5"/>
        <v>80</v>
      </c>
      <c r="CF11" s="69">
        <f t="shared" si="6"/>
        <v>80</v>
      </c>
      <c r="CG11" s="45">
        <f t="shared" si="7"/>
        <v>0</v>
      </c>
    </row>
    <row r="12" spans="1:85" ht="14.1" customHeight="1">
      <c r="A12" s="233">
        <f>[1]Юнит!A14</f>
        <v>204615141</v>
      </c>
      <c r="B12" s="234">
        <f>[1]Юнит!B14</f>
        <v>2419349453</v>
      </c>
      <c r="C12" s="233" t="str">
        <f>[1]Юнит!C14</f>
        <v>AHMA2BW201WH</v>
      </c>
      <c r="D12" s="235" t="str">
        <f>[1]Юнит!D14</f>
        <v>Мешки 2 шт. серый</v>
      </c>
      <c r="E12" s="90">
        <f>[1]Юнит!E14</f>
        <v>2039404446068</v>
      </c>
      <c r="F12" s="132">
        <f>ROUNDUP(SUMIFS('ВБ Отчет Продажи (за 60 дней)'!$L:$L,'ВБ Отчет Продажи (за 60 дней)'!$K:$K,"Электросталь",'ВБ Отчет Продажи (за 60 дней)'!$G:$G,$A12),0)</f>
        <v>11</v>
      </c>
      <c r="G12" s="133">
        <f>ROUNDUP(SUMIFS('ВБ Отчет Продажи (за 60 дней)'!$L:$L,'ВБ Отчет Продажи (за 60 дней)'!$K:$K,"Коледино",'ВБ Отчет Продажи (за 60 дней)'!$G:$G,$A12),0)</f>
        <v>5</v>
      </c>
      <c r="H12" s="133">
        <f>ROUNDUP(SUMIFS('ВБ Отчет Продажи (за 60 дней)'!$L:$L,'ВБ Отчет Продажи (за 60 дней)'!$K:$K,"Тула",'ВБ Отчет Продажи (за 60 дней)'!$G:$G,$A12),0)</f>
        <v>0</v>
      </c>
      <c r="I12" s="134">
        <f>ROUNDUP(SUMIFS('ВБ Отчет Продажи (за 60 дней)'!$L:$L,'ВБ Отчет Продажи (за 60 дней)'!$K:$K,"Рязань (Тюшевское)",'ВБ Отчет Продажи (за 60 дней)'!$G:$G,$A12),0)</f>
        <v>0</v>
      </c>
      <c r="J12" s="136">
        <f>ROUNDUP(SUMIFS('ВБ Отчет Продажи (за 60 дней)'!$L:$L,'ВБ Отчет Продажи (за 60 дней)'!$K:$K,"Краснодар",'ВБ Отчет Продажи (за 60 дней)'!$G:$G,$A12),0)</f>
        <v>3</v>
      </c>
      <c r="K12" s="133">
        <f>ROUNDUP(SUMIFS('ВБ Отчет Продажи (за 60 дней)'!$L:$L,'ВБ Отчет Продажи (за 60 дней)'!$K:$K,"Невинномысск",'ВБ Отчет Продажи (за 60 дней)'!$G:$G,$A12),0)</f>
        <v>1</v>
      </c>
      <c r="L12" s="137">
        <f>ROUNDUP(SUMIFS('ВБ Отчет Продажи (за 60 дней)'!$L:$L,'ВБ Отчет Продажи (за 60 дней)'!$K:$K,"Волгоград",'ВБ Отчет Продажи (за 60 дней)'!$G:$G,$A12),0)</f>
        <v>0</v>
      </c>
      <c r="M12" s="136">
        <f>ROUNDUP(SUMIFS('ВБ Отчет Продажи (за 60 дней)'!$L:$L,'ВБ Отчет Продажи (за 60 дней)'!$K:$K,"Самара (Новосемейкино)",'ВБ Отчет Продажи (за 60 дней)'!$G:$G,$A12),0)</f>
        <v>8</v>
      </c>
      <c r="N12" s="137">
        <f>ROUNDUP(SUMIFS('ВБ Отчет Продажи (за 60 дней)'!$L:$L,'ВБ Отчет Продажи (за 60 дней)'!$K:$K,"Казань",'ВБ Отчет Продажи (за 60 дней)'!$G:$G,$A12),0)</f>
        <v>0</v>
      </c>
      <c r="O12" s="137">
        <f>ROUNDUP(SUMIFS('ВБ Отчет Продажи (за 60 дней)'!$L:$L,'ВБ Отчет Продажи (за 60 дней)'!$K:$K,"СПБ Шушары",'ВБ Отчет Продажи (за 60 дней)'!$G:$G,$A12),0)</f>
        <v>0</v>
      </c>
      <c r="P12" s="151">
        <f>ROUNDUP(SUMIFS('ВБ Отчет Продажи (за 60 дней)'!$L:$L,'ВБ Отчет Продажи (за 60 дней)'!$K:$K,"Екатеринбург - Перспективный 12",'ВБ Отчет Продажи (за 60 дней)'!$G:$G,$A12),0)</f>
        <v>0</v>
      </c>
      <c r="Q12" s="149">
        <f>ROUNDUP(SUMIFS('ВБ Отчет Продажи (за 60 дней)'!$L:$L,'ВБ Отчет Продажи (за 60 дней)'!$K:$K,"Новосибирск",'ВБ Отчет Продажи (за 60 дней)'!$G:$G,$A12),0)</f>
        <v>0</v>
      </c>
      <c r="R12" s="131">
        <f t="shared" si="0"/>
        <v>28</v>
      </c>
      <c r="S12" s="139">
        <f>SUMIFS('ОЗОН Оборот ведом (за 60 дней)'!I:I,'ОЗОН Оборот ведом (за 60 дней)'!A:A,B12)</f>
        <v>16</v>
      </c>
      <c r="T12" s="140">
        <f t="shared" si="8"/>
        <v>44</v>
      </c>
      <c r="U12" s="6">
        <f>SUMIFS('ВБ Отчет Продажи (за 60 дней)'!$P:$P,'ВБ Отчет Продажи (за 60 дней)'!$K:$K,"Электросталь",'ВБ Отчет Продажи (за 60 дней)'!$G:$G,$A12)</f>
        <v>66</v>
      </c>
      <c r="V12" s="7">
        <f>SUMIFS('ВБ Отчет Продажи (за 60 дней)'!$P:$P,'ВБ Отчет Продажи (за 60 дней)'!$K:$K,"Коледино",'ВБ Отчет Продажи (за 60 дней)'!$G:$G,$A12)</f>
        <v>27</v>
      </c>
      <c r="W12" s="7">
        <f>SUMIFS('ВБ Отчет Продажи (за 60 дней)'!$P:$P,'ВБ Отчет Продажи (за 60 дней)'!$K:$K,"Тула",'ВБ Отчет Продажи (за 60 дней)'!$G:$G,$A12)</f>
        <v>0</v>
      </c>
      <c r="X12" s="7">
        <f>SUMIFS('ВБ Отчет Продажи (за 60 дней)'!$P:$P,'ВБ Отчет Продажи (за 60 дней)'!$K:$K,"Рязань (Тюшевское)",'ВБ Отчет Продажи (за 60 дней)'!$G:$G,$A12)</f>
        <v>0</v>
      </c>
      <c r="Y12" s="27">
        <f>SUMIFS('ВБ Отчет Продажи (за 60 дней)'!$P:$P,'ВБ Отчет Продажи (за 60 дней)'!$K:$K,"Краснодар",'ВБ Отчет Продажи (за 60 дней)'!$G:$G,$A12)</f>
        <v>4</v>
      </c>
      <c r="Z12" s="7">
        <f>SUMIFS('ВБ Отчет Продажи (за 60 дней)'!$P:$P,'ВБ Отчет Продажи (за 60 дней)'!$K:$K,"Невинномысск",'ВБ Отчет Продажи (за 60 дней)'!$G:$G,$A12)</f>
        <v>52</v>
      </c>
      <c r="AA12" s="104">
        <f>SUMIFS('ВБ Отчет Продажи (за 60 дней)'!$P:$P,'ВБ Отчет Продажи (за 60 дней)'!$K:$K,"Волгоград",'ВБ Отчет Продажи (за 60 дней)'!$G:$G,$A12)</f>
        <v>0</v>
      </c>
      <c r="AB12" s="27">
        <f>SUMIFS('ВБ Отчет Продажи (за 60 дней)'!$P:$P,'ВБ Отчет Продажи (за 60 дней)'!$K:$K,"Самара (Новосемейкино)",'ВБ Отчет Продажи (за 60 дней)'!$G:$G,$A12)</f>
        <v>45</v>
      </c>
      <c r="AC12" s="104">
        <f>SUMIFS('ВБ Отчет Продажи (за 60 дней)'!$P:$P,'ВБ Отчет Продажи (за 60 дней)'!$K:$K,"Казань",'ВБ Отчет Продажи (за 60 дней)'!$G:$G,$A12)</f>
        <v>0</v>
      </c>
      <c r="AD12" s="104">
        <f>SUMIFS('ВБ Отчет Продажи (за 60 дней)'!$P:$P,'ВБ Отчет Продажи (за 60 дней)'!$K:$K,"СПБ Шушары",'ВБ Отчет Продажи (за 60 дней)'!$G:$G,$A12)</f>
        <v>0</v>
      </c>
      <c r="AE12" s="153">
        <f>SUMIFS('ВБ Отчет Продажи (за 60 дней)'!$P:$P,'ВБ Отчет Продажи (за 60 дней)'!$K:$K,"Екатеринбург - Перспективный 12",'ВБ Отчет Продажи (за 60 дней)'!$G:$G,$A12)</f>
        <v>0</v>
      </c>
      <c r="AF12" s="102">
        <f>SUMIFS('ВБ Отчет Продажи (за 60 дней)'!$P:$P,'ВБ Отчет Продажи (за 60 дней)'!$K:$K,"Новосибирск",'ВБ Отчет Продажи (за 60 дней)'!$G:$G,$A12)</f>
        <v>0</v>
      </c>
      <c r="AG12" s="124">
        <f t="shared" si="9"/>
        <v>194</v>
      </c>
      <c r="AH12" s="7">
        <f t="shared" si="10"/>
        <v>415.71428571428572</v>
      </c>
      <c r="AI12" s="213">
        <f>SUMIFS('ОЗОН Оборот ведом (за 60 дней)'!J:J,'ОЗОН Оборот ведом (за 60 дней)'!A:A,B12)</f>
        <v>17</v>
      </c>
      <c r="AJ12" s="21">
        <f t="shared" si="11"/>
        <v>211</v>
      </c>
      <c r="AK12" s="7" cm="1">
        <f t="array" ref="AK12">IFERROR(_xlfn.IFS((F12-U12)&gt;0,F12/$R$1*$AY$1-U12,F12+U12=0,"нов"),0)</f>
        <v>0</v>
      </c>
      <c r="AL12" s="7" cm="1">
        <f t="array" ref="AL12">IFERROR(_xlfn.IFS((G12-V12)&gt;0,G12/$R$1*$AY$1-V12,G12+V12=0,"нов"),0)</f>
        <v>0</v>
      </c>
      <c r="AM12" s="7" t="str" cm="1">
        <f t="array" ref="AM12">IFERROR(_xlfn.IFS((H12-W12)&gt;0,H12/$R$1*$AY$1-W12,H12+W12=0,"нов"),0)</f>
        <v>нов</v>
      </c>
      <c r="AN12" s="7" t="str" cm="1">
        <f t="array" ref="AN12">IFERROR(_xlfn.IFS((I12-X12)&gt;0,I12/$R$1*$AY$1-X12,I12+X12=0,"нов"),0)</f>
        <v>нов</v>
      </c>
      <c r="AO12" s="27" cm="1">
        <f t="array" ref="AO12">IFERROR(_xlfn.IFS((J12-Y12)&gt;0,J12/$R$1*$AY$1-Y12,J12+Y12=0,"нов"),0)</f>
        <v>0</v>
      </c>
      <c r="AP12" s="7" cm="1">
        <f t="array" ref="AP12">IFERROR(_xlfn.IFS((K12-Z12)&gt;0,K12/$R$1*$AY$1-Z12,K12+Z12=0,"нов"),0)</f>
        <v>0</v>
      </c>
      <c r="AQ12" s="104" t="str" cm="1">
        <f t="array" ref="AQ12">IFERROR(_xlfn.IFS((L12-AA12)&gt;0,L12/$R$1*$AY$1-AA12,L12+AA12=0,"нов"),0)</f>
        <v>нов</v>
      </c>
      <c r="AR12" s="27" cm="1">
        <f t="array" ref="AR12">IFERROR(_xlfn.IFS((M12-AB12)&gt;0,M12/$R$1*$AY$1-AB12,M12+AB12=0,"нов"),0)</f>
        <v>0</v>
      </c>
      <c r="AS12" s="104" t="str" cm="1">
        <f t="array" ref="AS12">IFERROR(_xlfn.IFS((N12-AC12)&gt;0,N12/$R$1*$AY$1-AC12,N12+AC12=0,"нов"),0)</f>
        <v>нов</v>
      </c>
      <c r="AT12" s="104" t="str" cm="1">
        <f t="array" ref="AT12">IFERROR(_xlfn.IFS((O12-AD12)&gt;0,O12/$R$1*$AY$1-AD12,O12+AD12=0,"нов"),0)</f>
        <v>нов</v>
      </c>
      <c r="AU12" s="7" t="str" cm="1">
        <f t="array" ref="AU12">IFERROR(_xlfn.IFS((P12-AE12)&gt;0,P12/$R$1*$AY$1-AE12,P12+AE12=0,"нов"),0)</f>
        <v>нов</v>
      </c>
      <c r="AV12" s="7" t="str" cm="1">
        <f t="array" ref="AV12">IFERROR(_xlfn.IFS((Q12-AF12)&gt;0,Q12/$R$1*$AY$1-AF12,Q12+AF12=0,"нов"),0)</f>
        <v>нов</v>
      </c>
      <c r="AW12" s="141">
        <f t="shared" si="12"/>
        <v>0</v>
      </c>
      <c r="AX12" s="218">
        <f>SUMIF('ОЗОН Доступн товара'!D:D,_xlfn.XLOOKUP($B12,'ОЗОН Доступн товара'!$A:$A,'ОЗОН Доступн товара'!$D:$D,0))</f>
        <v>27</v>
      </c>
      <c r="AY12" s="226">
        <f t="shared" si="13"/>
        <v>27</v>
      </c>
      <c r="AZ12" s="7">
        <f t="shared" si="14"/>
        <v>0</v>
      </c>
      <c r="BA12" s="7">
        <f t="shared" si="15"/>
        <v>0</v>
      </c>
      <c r="BB12" s="7" t="str">
        <f t="shared" si="16"/>
        <v>нов</v>
      </c>
      <c r="BC12" s="7" t="str">
        <f t="shared" si="17"/>
        <v>нов</v>
      </c>
      <c r="BD12" s="27">
        <f t="shared" si="18"/>
        <v>0</v>
      </c>
      <c r="BE12" s="7">
        <f t="shared" si="19"/>
        <v>0</v>
      </c>
      <c r="BF12" s="104" t="str">
        <f t="shared" si="20"/>
        <v>нов</v>
      </c>
      <c r="BG12" s="27">
        <f t="shared" si="21"/>
        <v>0</v>
      </c>
      <c r="BH12" s="104" t="str">
        <f t="shared" si="22"/>
        <v>нов</v>
      </c>
      <c r="BI12" s="7" t="str">
        <f t="shared" si="23"/>
        <v>нов</v>
      </c>
      <c r="BJ12" s="153" t="str">
        <f t="shared" si="24"/>
        <v>нов</v>
      </c>
      <c r="BK12" s="7" t="str">
        <f t="shared" si="25"/>
        <v>нов</v>
      </c>
      <c r="BL12" s="6">
        <f t="shared" si="26"/>
        <v>0</v>
      </c>
      <c r="BM12" s="6">
        <f t="shared" si="27"/>
        <v>35.1</v>
      </c>
      <c r="BN12" s="28">
        <f t="shared" si="28"/>
        <v>35.1</v>
      </c>
      <c r="BO12" s="73">
        <f>IFERROR(_xlfn.XLOOKUP(A12,'[2] Расчет стоимости и веса'!$I:$I,'[2] Расчет стоимости и веса'!$D:$D),0)</f>
        <v>40</v>
      </c>
      <c r="BP12" s="227">
        <f>BO12*2</f>
        <v>80</v>
      </c>
      <c r="BQ12" s="8"/>
      <c r="BR12" s="155"/>
      <c r="BS12" s="12"/>
      <c r="BT12" s="12"/>
      <c r="BU12" s="229"/>
      <c r="BV12" s="12"/>
      <c r="BW12" s="12"/>
      <c r="BY12" s="231"/>
      <c r="BZ12" s="232"/>
      <c r="CA12" s="155">
        <v>20</v>
      </c>
      <c r="CB12" s="157">
        <v>20</v>
      </c>
      <c r="CC12" s="57"/>
      <c r="CD12" s="12"/>
      <c r="CE12" s="146">
        <f t="shared" si="5"/>
        <v>40</v>
      </c>
      <c r="CF12" s="69">
        <f t="shared" si="6"/>
        <v>40</v>
      </c>
      <c r="CG12" s="45">
        <f t="shared" si="7"/>
        <v>0</v>
      </c>
    </row>
    <row r="13" spans="1:85" ht="14.1" hidden="1" customHeight="1">
      <c r="A13" s="233">
        <f>[1]Юнит!A15</f>
        <v>236074677</v>
      </c>
      <c r="B13" s="234">
        <f>[1]Юнит!B15</f>
        <v>0</v>
      </c>
      <c r="C13" s="233" t="str">
        <f>[1]Юнит!C15</f>
        <v>AHMA2BW202WH</v>
      </c>
      <c r="D13" s="235" t="str">
        <f>[1]Юнит!D15</f>
        <v>Мешки 2 шт. розовый</v>
      </c>
      <c r="E13" s="90">
        <f>[1]Юнит!E15</f>
        <v>2040278862540</v>
      </c>
      <c r="F13" s="132">
        <f>ROUNDUP(SUMIFS('ВБ Отчет Продажи (за 60 дней)'!$L:$L,'ВБ Отчет Продажи (за 60 дней)'!$K:$K,"Электросталь",'ВБ Отчет Продажи (за 60 дней)'!$G:$G,$A13),0)</f>
        <v>5</v>
      </c>
      <c r="G13" s="133">
        <f>ROUNDUP(SUMIFS('ВБ Отчет Продажи (за 60 дней)'!$L:$L,'ВБ Отчет Продажи (за 60 дней)'!$K:$K,"Коледино",'ВБ Отчет Продажи (за 60 дней)'!$G:$G,$A13),0)</f>
        <v>1</v>
      </c>
      <c r="H13" s="133">
        <f>ROUNDUP(SUMIFS('ВБ Отчет Продажи (за 60 дней)'!$L:$L,'ВБ Отчет Продажи (за 60 дней)'!$K:$K,"Тула",'ВБ Отчет Продажи (за 60 дней)'!$G:$G,$A13),0)</f>
        <v>0</v>
      </c>
      <c r="I13" s="134">
        <f>ROUNDUP(SUMIFS('ВБ Отчет Продажи (за 60 дней)'!$L:$L,'ВБ Отчет Продажи (за 60 дней)'!$K:$K,"Рязань (Тюшевское)",'ВБ Отчет Продажи (за 60 дней)'!$G:$G,$A13),0)</f>
        <v>0</v>
      </c>
      <c r="J13" s="136">
        <f>ROUNDUP(SUMIFS('ВБ Отчет Продажи (за 60 дней)'!$L:$L,'ВБ Отчет Продажи (за 60 дней)'!$K:$K,"Краснодар",'ВБ Отчет Продажи (за 60 дней)'!$G:$G,$A13),0)</f>
        <v>0</v>
      </c>
      <c r="K13" s="133">
        <f>ROUNDUP(SUMIFS('ВБ Отчет Продажи (за 60 дней)'!$L:$L,'ВБ Отчет Продажи (за 60 дней)'!$K:$K,"Невинномысск",'ВБ Отчет Продажи (за 60 дней)'!$G:$G,$A13),0)</f>
        <v>0</v>
      </c>
      <c r="L13" s="137">
        <f>ROUNDUP(SUMIFS('ВБ Отчет Продажи (за 60 дней)'!$L:$L,'ВБ Отчет Продажи (за 60 дней)'!$K:$K,"Волгоград",'ВБ Отчет Продажи (за 60 дней)'!$G:$G,$A13),0)</f>
        <v>0</v>
      </c>
      <c r="M13" s="136">
        <f>ROUNDUP(SUMIFS('ВБ Отчет Продажи (за 60 дней)'!$L:$L,'ВБ Отчет Продажи (за 60 дней)'!$K:$K,"Самара (Новосемейкино)",'ВБ Отчет Продажи (за 60 дней)'!$G:$G,$A13),0)</f>
        <v>0</v>
      </c>
      <c r="N13" s="137">
        <f>ROUNDUP(SUMIFS('ВБ Отчет Продажи (за 60 дней)'!$L:$L,'ВБ Отчет Продажи (за 60 дней)'!$K:$K,"Казань",'ВБ Отчет Продажи (за 60 дней)'!$G:$G,$A13),0)</f>
        <v>0</v>
      </c>
      <c r="O13" s="137">
        <f>ROUNDUP(SUMIFS('ВБ Отчет Продажи (за 60 дней)'!$L:$L,'ВБ Отчет Продажи (за 60 дней)'!$K:$K,"СПБ Шушары",'ВБ Отчет Продажи (за 60 дней)'!$G:$G,$A13),0)</f>
        <v>0</v>
      </c>
      <c r="P13" s="151">
        <f>ROUNDUP(SUMIFS('ВБ Отчет Продажи (за 60 дней)'!$L:$L,'ВБ Отчет Продажи (за 60 дней)'!$K:$K,"Екатеринбург - Перспективный 12",'ВБ Отчет Продажи (за 60 дней)'!$G:$G,$A13),0)</f>
        <v>0</v>
      </c>
      <c r="Q13" s="149">
        <f>ROUNDUP(SUMIFS('ВБ Отчет Продажи (за 60 дней)'!$L:$L,'ВБ Отчет Продажи (за 60 дней)'!$K:$K,"Новосибирск",'ВБ Отчет Продажи (за 60 дней)'!$G:$G,$A13),0)</f>
        <v>0</v>
      </c>
      <c r="R13" s="131">
        <f t="shared" si="0"/>
        <v>6</v>
      </c>
      <c r="S13" s="139">
        <f>SUMIFS('ОЗОН Оборот ведом (за 60 дней)'!I:I,'ОЗОН Оборот ведом (за 60 дней)'!A:A,B13)</f>
        <v>0</v>
      </c>
      <c r="T13" s="140">
        <f t="shared" si="8"/>
        <v>6</v>
      </c>
      <c r="U13" s="6">
        <f>SUMIFS('ВБ Отчет Продажи (за 60 дней)'!$P:$P,'ВБ Отчет Продажи (за 60 дней)'!$K:$K,"Электросталь",'ВБ Отчет Продажи (за 60 дней)'!$G:$G,$A13)</f>
        <v>23</v>
      </c>
      <c r="V13" s="7">
        <f>SUMIFS('ВБ Отчет Продажи (за 60 дней)'!$P:$P,'ВБ Отчет Продажи (за 60 дней)'!$K:$K,"Коледино",'ВБ Отчет Продажи (за 60 дней)'!$G:$G,$A13)</f>
        <v>0</v>
      </c>
      <c r="W13" s="7">
        <f>SUMIFS('ВБ Отчет Продажи (за 60 дней)'!$P:$P,'ВБ Отчет Продажи (за 60 дней)'!$K:$K,"Тула",'ВБ Отчет Продажи (за 60 дней)'!$G:$G,$A13)</f>
        <v>0</v>
      </c>
      <c r="X13" s="7">
        <f>SUMIFS('ВБ Отчет Продажи (за 60 дней)'!$P:$P,'ВБ Отчет Продажи (за 60 дней)'!$K:$K,"Рязань (Тюшевское)",'ВБ Отчет Продажи (за 60 дней)'!$G:$G,$A13)</f>
        <v>0</v>
      </c>
      <c r="Y13" s="27">
        <f>SUMIFS('ВБ Отчет Продажи (за 60 дней)'!$P:$P,'ВБ Отчет Продажи (за 60 дней)'!$K:$K,"Краснодар",'ВБ Отчет Продажи (за 60 дней)'!$G:$G,$A13)</f>
        <v>0</v>
      </c>
      <c r="Z13" s="7">
        <f>SUMIFS('ВБ Отчет Продажи (за 60 дней)'!$P:$P,'ВБ Отчет Продажи (за 60 дней)'!$K:$K,"Невинномысск",'ВБ Отчет Продажи (за 60 дней)'!$G:$G,$A13)</f>
        <v>0</v>
      </c>
      <c r="AA13" s="104">
        <f>SUMIFS('ВБ Отчет Продажи (за 60 дней)'!$P:$P,'ВБ Отчет Продажи (за 60 дней)'!$K:$K,"Волгоград",'ВБ Отчет Продажи (за 60 дней)'!$G:$G,$A13)</f>
        <v>0</v>
      </c>
      <c r="AB13" s="27">
        <f>SUMIFS('ВБ Отчет Продажи (за 60 дней)'!$P:$P,'ВБ Отчет Продажи (за 60 дней)'!$K:$K,"Самара (Новосемейкино)",'ВБ Отчет Продажи (за 60 дней)'!$G:$G,$A13)</f>
        <v>0</v>
      </c>
      <c r="AC13" s="104">
        <f>SUMIFS('ВБ Отчет Продажи (за 60 дней)'!$P:$P,'ВБ Отчет Продажи (за 60 дней)'!$K:$K,"Казань",'ВБ Отчет Продажи (за 60 дней)'!$G:$G,$A13)</f>
        <v>0</v>
      </c>
      <c r="AD13" s="104">
        <f>SUMIFS('ВБ Отчет Продажи (за 60 дней)'!$P:$P,'ВБ Отчет Продажи (за 60 дней)'!$K:$K,"СПБ Шушары",'ВБ Отчет Продажи (за 60 дней)'!$G:$G,$A13)</f>
        <v>0</v>
      </c>
      <c r="AE13" s="153">
        <f>SUMIFS('ВБ Отчет Продажи (за 60 дней)'!$P:$P,'ВБ Отчет Продажи (за 60 дней)'!$K:$K,"Екатеринбург - Перспективный 12",'ВБ Отчет Продажи (за 60 дней)'!$G:$G,$A13)</f>
        <v>0</v>
      </c>
      <c r="AF13" s="102">
        <f>SUMIFS('ВБ Отчет Продажи (за 60 дней)'!$P:$P,'ВБ Отчет Продажи (за 60 дней)'!$K:$K,"Новосибирск",'ВБ Отчет Продажи (за 60 дней)'!$G:$G,$A13)</f>
        <v>0</v>
      </c>
      <c r="AG13" s="124">
        <f t="shared" si="9"/>
        <v>23</v>
      </c>
      <c r="AH13" s="7">
        <f t="shared" si="10"/>
        <v>230</v>
      </c>
      <c r="AI13" s="213">
        <f>SUMIFS('ОЗОН Оборот ведом (за 60 дней)'!J:J,'ОЗОН Оборот ведом (за 60 дней)'!A:A,B13)</f>
        <v>0</v>
      </c>
      <c r="AJ13" s="21">
        <f t="shared" si="11"/>
        <v>23</v>
      </c>
      <c r="AK13" s="7" cm="1">
        <f t="array" ref="AK13">IFERROR(_xlfn.IFS((F13-U13)&gt;0,F13/$R$1*$AY$1-U13,F13+U13=0,"нов"),0)</f>
        <v>0</v>
      </c>
      <c r="AL13" s="7" cm="1">
        <f t="array" ref="AL13">IFERROR(_xlfn.IFS((G13-V13)&gt;0,G13/$R$1*$AY$1-V13,G13+V13=0,"нов"),0)</f>
        <v>1</v>
      </c>
      <c r="AM13" s="7" t="str" cm="1">
        <f t="array" ref="AM13">IFERROR(_xlfn.IFS((H13-W13)&gt;0,H13/$R$1*$AY$1-W13,H13+W13=0,"нов"),0)</f>
        <v>нов</v>
      </c>
      <c r="AN13" s="7" t="str" cm="1">
        <f t="array" ref="AN13">IFERROR(_xlfn.IFS((I13-X13)&gt;0,I13/$R$1*$AY$1-X13,I13+X13=0,"нов"),0)</f>
        <v>нов</v>
      </c>
      <c r="AO13" s="27" t="str" cm="1">
        <f t="array" ref="AO13">IFERROR(_xlfn.IFS((J13-Y13)&gt;0,J13/$R$1*$AY$1-Y13,J13+Y13=0,"нов"),0)</f>
        <v>нов</v>
      </c>
      <c r="AP13" s="7" t="str" cm="1">
        <f t="array" ref="AP13">IFERROR(_xlfn.IFS((K13-Z13)&gt;0,K13/$R$1*$AY$1-Z13,K13+Z13=0,"нов"),0)</f>
        <v>нов</v>
      </c>
      <c r="AQ13" s="104" t="str" cm="1">
        <f t="array" ref="AQ13">IFERROR(_xlfn.IFS((L13-AA13)&gt;0,L13/$R$1*$AY$1-AA13,L13+AA13=0,"нов"),0)</f>
        <v>нов</v>
      </c>
      <c r="AR13" s="27" t="str" cm="1">
        <f t="array" ref="AR13">IFERROR(_xlfn.IFS((M13-AB13)&gt;0,M13/$R$1*$AY$1-AB13,M13+AB13=0,"нов"),0)</f>
        <v>нов</v>
      </c>
      <c r="AS13" s="104" t="str" cm="1">
        <f t="array" ref="AS13">IFERROR(_xlfn.IFS((N13-AC13)&gt;0,N13/$R$1*$AY$1-AC13,N13+AC13=0,"нов"),0)</f>
        <v>нов</v>
      </c>
      <c r="AT13" s="104" t="str" cm="1">
        <f t="array" ref="AT13">IFERROR(_xlfn.IFS((O13-AD13)&gt;0,O13/$R$1*$AY$1-AD13,O13+AD13=0,"нов"),0)</f>
        <v>нов</v>
      </c>
      <c r="AU13" s="7" t="str" cm="1">
        <f t="array" ref="AU13">IFERROR(_xlfn.IFS((P13-AE13)&gt;0,P13/$R$1*$AY$1-AE13,P13+AE13=0,"нов"),0)</f>
        <v>нов</v>
      </c>
      <c r="AV13" s="7" t="str" cm="1">
        <f t="array" ref="AV13">IFERROR(_xlfn.IFS((Q13-AF13)&gt;0,Q13/$R$1*$AY$1-AF13,Q13+AF13=0,"нов"),0)</f>
        <v>нов</v>
      </c>
      <c r="AW13" s="141">
        <f t="shared" si="12"/>
        <v>1</v>
      </c>
      <c r="AX13" s="218">
        <f>SUMIF('ОЗОН Доступн товара'!D:D,_xlfn.XLOOKUP($B13,'ОЗОН Доступн товара'!$A:$A,'ОЗОН Доступн товара'!$D:$D,0))</f>
        <v>0</v>
      </c>
      <c r="AY13" s="226">
        <f t="shared" si="13"/>
        <v>1</v>
      </c>
      <c r="AZ13" s="7">
        <f t="shared" si="14"/>
        <v>0</v>
      </c>
      <c r="BA13" s="7">
        <f t="shared" si="15"/>
        <v>2</v>
      </c>
      <c r="BB13" s="7" t="str">
        <f t="shared" si="16"/>
        <v>нов</v>
      </c>
      <c r="BC13" s="7" t="str">
        <f t="shared" si="17"/>
        <v>нов</v>
      </c>
      <c r="BD13" s="27" t="str">
        <f t="shared" si="18"/>
        <v>нов</v>
      </c>
      <c r="BE13" s="7" t="str">
        <f t="shared" si="19"/>
        <v>нов</v>
      </c>
      <c r="BF13" s="104" t="str">
        <f t="shared" si="20"/>
        <v>нов</v>
      </c>
      <c r="BG13" s="27" t="str">
        <f t="shared" si="21"/>
        <v>нов</v>
      </c>
      <c r="BH13" s="104" t="str">
        <f t="shared" si="22"/>
        <v>нов</v>
      </c>
      <c r="BI13" s="7" t="str">
        <f t="shared" si="23"/>
        <v>нов</v>
      </c>
      <c r="BJ13" s="153" t="str">
        <f t="shared" si="24"/>
        <v>нов</v>
      </c>
      <c r="BK13" s="7" t="str">
        <f t="shared" si="25"/>
        <v>нов</v>
      </c>
      <c r="BL13" s="6">
        <f t="shared" si="26"/>
        <v>2</v>
      </c>
      <c r="BM13" s="6">
        <f t="shared" si="27"/>
        <v>0</v>
      </c>
      <c r="BN13" s="28">
        <f t="shared" si="28"/>
        <v>2</v>
      </c>
      <c r="BO13" s="73">
        <f>IFERROR(_xlfn.XLOOKUP(A13,'[2] Расчет стоимости и веса'!$I:$I,'[2] Расчет стоимости и веса'!$D:$D),0)</f>
        <v>0</v>
      </c>
      <c r="BP13" s="227">
        <f>BO13*2</f>
        <v>0</v>
      </c>
      <c r="BQ13" s="8"/>
      <c r="BR13" s="155"/>
      <c r="BS13" s="12"/>
      <c r="BT13" s="12"/>
      <c r="BU13" s="229"/>
      <c r="BV13" s="12"/>
      <c r="BW13" s="12"/>
      <c r="BY13" s="231"/>
      <c r="BZ13" s="232"/>
      <c r="CA13" s="155"/>
      <c r="CB13" s="157"/>
      <c r="CC13" s="57"/>
      <c r="CD13" s="12"/>
      <c r="CE13" s="146">
        <f t="shared" si="5"/>
        <v>0</v>
      </c>
      <c r="CF13" s="69">
        <f t="shared" si="6"/>
        <v>0</v>
      </c>
      <c r="CG13" s="45">
        <f t="shared" si="7"/>
        <v>0</v>
      </c>
    </row>
    <row r="14" spans="1:85" ht="14.1" customHeight="1">
      <c r="A14" s="233">
        <f>[1]Юнит!A16</f>
        <v>236929187</v>
      </c>
      <c r="B14" s="234">
        <f>[1]Юнит!B16</f>
        <v>2419349360</v>
      </c>
      <c r="C14" s="233" t="str">
        <f>[1]Юнит!C16</f>
        <v>AHMA1BW112WH</v>
      </c>
      <c r="D14" s="235" t="str">
        <f>[1]Юнит!D16</f>
        <v>Мешок 60*80 крупн</v>
      </c>
      <c r="E14" s="90">
        <f>[1]Юнит!E16</f>
        <v>2040335626849</v>
      </c>
      <c r="F14" s="132">
        <f>ROUNDUP(SUMIFS('ВБ Отчет Продажи (за 60 дней)'!$L:$L,'ВБ Отчет Продажи (за 60 дней)'!$K:$K,"Электросталь",'ВБ Отчет Продажи (за 60 дней)'!$G:$G,$A14),0)</f>
        <v>22</v>
      </c>
      <c r="G14" s="133">
        <f>ROUNDUP(SUMIFS('ВБ Отчет Продажи (за 60 дней)'!$L:$L,'ВБ Отчет Продажи (за 60 дней)'!$K:$K,"Коледино",'ВБ Отчет Продажи (за 60 дней)'!$G:$G,$A14),0)</f>
        <v>1</v>
      </c>
      <c r="H14" s="133">
        <f>ROUNDUP(SUMIFS('ВБ Отчет Продажи (за 60 дней)'!$L:$L,'ВБ Отчет Продажи (за 60 дней)'!$K:$K,"Тула",'ВБ Отчет Продажи (за 60 дней)'!$G:$G,$A14),0)</f>
        <v>0</v>
      </c>
      <c r="I14" s="134">
        <f>ROUNDUP(SUMIFS('ВБ Отчет Продажи (за 60 дней)'!$L:$L,'ВБ Отчет Продажи (за 60 дней)'!$K:$K,"Рязань (Тюшевское)",'ВБ Отчет Продажи (за 60 дней)'!$G:$G,$A14),0)</f>
        <v>6</v>
      </c>
      <c r="J14" s="136">
        <f>ROUNDUP(SUMIFS('ВБ Отчет Продажи (за 60 дней)'!$L:$L,'ВБ Отчет Продажи (за 60 дней)'!$K:$K,"Краснодар",'ВБ Отчет Продажи (за 60 дней)'!$G:$G,$A14),0)</f>
        <v>1</v>
      </c>
      <c r="K14" s="133">
        <f>ROUNDUP(SUMIFS('ВБ Отчет Продажи (за 60 дней)'!$L:$L,'ВБ Отчет Продажи (за 60 дней)'!$K:$K,"Невинномысск",'ВБ Отчет Продажи (за 60 дней)'!$G:$G,$A14),0)</f>
        <v>24</v>
      </c>
      <c r="L14" s="137">
        <f>ROUNDUP(SUMIFS('ВБ Отчет Продажи (за 60 дней)'!$L:$L,'ВБ Отчет Продажи (за 60 дней)'!$K:$K,"Волгоград",'ВБ Отчет Продажи (за 60 дней)'!$G:$G,$A14),0)</f>
        <v>1</v>
      </c>
      <c r="M14" s="136">
        <f>ROUNDUP(SUMIFS('ВБ Отчет Продажи (за 60 дней)'!$L:$L,'ВБ Отчет Продажи (за 60 дней)'!$K:$K,"Самара (Новосемейкино)",'ВБ Отчет Продажи (за 60 дней)'!$G:$G,$A14),0)</f>
        <v>9</v>
      </c>
      <c r="N14" s="137">
        <f>ROUNDUP(SUMIFS('ВБ Отчет Продажи (за 60 дней)'!$L:$L,'ВБ Отчет Продажи (за 60 дней)'!$K:$K,"Казань",'ВБ Отчет Продажи (за 60 дней)'!$G:$G,$A14),0)</f>
        <v>0</v>
      </c>
      <c r="O14" s="137">
        <f>ROUNDUP(SUMIFS('ВБ Отчет Продажи (за 60 дней)'!$L:$L,'ВБ Отчет Продажи (за 60 дней)'!$K:$K,"СПБ Шушары",'ВБ Отчет Продажи (за 60 дней)'!$G:$G,$A14),0)</f>
        <v>0</v>
      </c>
      <c r="P14" s="151">
        <f>ROUNDUP(SUMIFS('ВБ Отчет Продажи (за 60 дней)'!$L:$L,'ВБ Отчет Продажи (за 60 дней)'!$K:$K,"Екатеринбург - Перспективный 12",'ВБ Отчет Продажи (за 60 дней)'!$G:$G,$A14),0)</f>
        <v>0</v>
      </c>
      <c r="Q14" s="149">
        <f>ROUNDUP(SUMIFS('ВБ Отчет Продажи (за 60 дней)'!$L:$L,'ВБ Отчет Продажи (за 60 дней)'!$K:$K,"Новосибирск",'ВБ Отчет Продажи (за 60 дней)'!$G:$G,$A14),0)</f>
        <v>0</v>
      </c>
      <c r="R14" s="131">
        <f t="shared" si="0"/>
        <v>64</v>
      </c>
      <c r="S14" s="139">
        <f>SUMIFS('ОЗОН Оборот ведом (за 60 дней)'!I:I,'ОЗОН Оборот ведом (за 60 дней)'!A:A,B14)</f>
        <v>11</v>
      </c>
      <c r="T14" s="140">
        <f t="shared" si="8"/>
        <v>75</v>
      </c>
      <c r="U14" s="6">
        <f>SUMIFS('ВБ Отчет Продажи (за 60 дней)'!$P:$P,'ВБ Отчет Продажи (за 60 дней)'!$K:$K,"Электросталь",'ВБ Отчет Продажи (за 60 дней)'!$G:$G,$A14)</f>
        <v>0</v>
      </c>
      <c r="V14" s="7">
        <f>SUMIFS('ВБ Отчет Продажи (за 60 дней)'!$P:$P,'ВБ Отчет Продажи (за 60 дней)'!$K:$K,"Коледино",'ВБ Отчет Продажи (за 60 дней)'!$G:$G,$A14)</f>
        <v>0</v>
      </c>
      <c r="W14" s="7">
        <f>SUMIFS('ВБ Отчет Продажи (за 60 дней)'!$P:$P,'ВБ Отчет Продажи (за 60 дней)'!$K:$K,"Тула",'ВБ Отчет Продажи (за 60 дней)'!$G:$G,$A14)</f>
        <v>0</v>
      </c>
      <c r="X14" s="7">
        <f>SUMIFS('ВБ Отчет Продажи (за 60 дней)'!$P:$P,'ВБ Отчет Продажи (за 60 дней)'!$K:$K,"Рязань (Тюшевское)",'ВБ Отчет Продажи (за 60 дней)'!$G:$G,$A14)</f>
        <v>0</v>
      </c>
      <c r="Y14" s="27">
        <f>SUMIFS('ВБ Отчет Продажи (за 60 дней)'!$P:$P,'ВБ Отчет Продажи (за 60 дней)'!$K:$K,"Краснодар",'ВБ Отчет Продажи (за 60 дней)'!$G:$G,$A14)</f>
        <v>0</v>
      </c>
      <c r="Z14" s="7">
        <f>SUMIFS('ВБ Отчет Продажи (за 60 дней)'!$P:$P,'ВБ Отчет Продажи (за 60 дней)'!$K:$K,"Невинномысск",'ВБ Отчет Продажи (за 60 дней)'!$G:$G,$A14)</f>
        <v>9</v>
      </c>
      <c r="AA14" s="104">
        <f>SUMIFS('ВБ Отчет Продажи (за 60 дней)'!$P:$P,'ВБ Отчет Продажи (за 60 дней)'!$K:$K,"Волгоград",'ВБ Отчет Продажи (за 60 дней)'!$G:$G,$A14)</f>
        <v>0</v>
      </c>
      <c r="AB14" s="27">
        <f>SUMIFS('ВБ Отчет Продажи (за 60 дней)'!$P:$P,'ВБ Отчет Продажи (за 60 дней)'!$K:$K,"Самара (Новосемейкино)",'ВБ Отчет Продажи (за 60 дней)'!$G:$G,$A14)</f>
        <v>0</v>
      </c>
      <c r="AC14" s="104">
        <f>SUMIFS('ВБ Отчет Продажи (за 60 дней)'!$P:$P,'ВБ Отчет Продажи (за 60 дней)'!$K:$K,"Казань",'ВБ Отчет Продажи (за 60 дней)'!$G:$G,$A14)</f>
        <v>0</v>
      </c>
      <c r="AD14" s="104">
        <f>SUMIFS('ВБ Отчет Продажи (за 60 дней)'!$P:$P,'ВБ Отчет Продажи (за 60 дней)'!$K:$K,"СПБ Шушары",'ВБ Отчет Продажи (за 60 дней)'!$G:$G,$A14)</f>
        <v>0</v>
      </c>
      <c r="AE14" s="153">
        <f>SUMIFS('ВБ Отчет Продажи (за 60 дней)'!$P:$P,'ВБ Отчет Продажи (за 60 дней)'!$K:$K,"Екатеринбург - Перспективный 12",'ВБ Отчет Продажи (за 60 дней)'!$G:$G,$A14)</f>
        <v>0</v>
      </c>
      <c r="AF14" s="102">
        <f>SUMIFS('ВБ Отчет Продажи (за 60 дней)'!$P:$P,'ВБ Отчет Продажи (за 60 дней)'!$K:$K,"Новосибирск",'ВБ Отчет Продажи (за 60 дней)'!$G:$G,$A14)</f>
        <v>0</v>
      </c>
      <c r="AG14" s="124">
        <f t="shared" si="9"/>
        <v>9</v>
      </c>
      <c r="AH14" s="7">
        <f t="shared" si="10"/>
        <v>8.4375</v>
      </c>
      <c r="AI14" s="213">
        <f>SUMIFS('ОЗОН Оборот ведом (за 60 дней)'!J:J,'ОЗОН Оборот ведом (за 60 дней)'!A:A,B14)</f>
        <v>21</v>
      </c>
      <c r="AJ14" s="21">
        <f t="shared" si="11"/>
        <v>30</v>
      </c>
      <c r="AK14" s="7" cm="1">
        <f t="array" ref="AK14">IFERROR(_xlfn.IFS((F14-U14)&gt;0,F14/$R$1*$AY$1-U14,F14+U14=0,"нов"),0)</f>
        <v>22</v>
      </c>
      <c r="AL14" s="7" cm="1">
        <f t="array" ref="AL14">IFERROR(_xlfn.IFS((G14-V14)&gt;0,G14/$R$1*$AY$1-V14,G14+V14=0,"нов"),0)</f>
        <v>1</v>
      </c>
      <c r="AM14" s="7" t="str" cm="1">
        <f t="array" ref="AM14">IFERROR(_xlfn.IFS((H14-W14)&gt;0,H14/$R$1*$AY$1-W14,H14+W14=0,"нов"),0)</f>
        <v>нов</v>
      </c>
      <c r="AN14" s="7" cm="1">
        <f t="array" ref="AN14">IFERROR(_xlfn.IFS((I14-X14)&gt;0,I14/$R$1*$AY$1-X14,I14+X14=0,"нов"),0)</f>
        <v>6</v>
      </c>
      <c r="AO14" s="27" cm="1">
        <f t="array" ref="AO14">IFERROR(_xlfn.IFS((J14-Y14)&gt;0,J14/$R$1*$AY$1-Y14,J14+Y14=0,"нов"),0)</f>
        <v>1</v>
      </c>
      <c r="AP14" s="7" cm="1">
        <f t="array" ref="AP14">IFERROR(_xlfn.IFS((K14-Z14)&gt;0,K14/$R$1*$AY$1-Z14,K14+Z14=0,"нов"),0)</f>
        <v>15</v>
      </c>
      <c r="AQ14" s="104" cm="1">
        <f t="array" ref="AQ14">IFERROR(_xlfn.IFS((L14-AA14)&gt;0,L14/$R$1*$AY$1-AA14,L14+AA14=0,"нов"),0)</f>
        <v>1</v>
      </c>
      <c r="AR14" s="27" cm="1">
        <f t="array" ref="AR14">IFERROR(_xlfn.IFS((M14-AB14)&gt;0,M14/$R$1*$AY$1-AB14,M14+AB14=0,"нов"),0)</f>
        <v>9</v>
      </c>
      <c r="AS14" s="104" t="str" cm="1">
        <f t="array" ref="AS14">IFERROR(_xlfn.IFS((N14-AC14)&gt;0,N14/$R$1*$AY$1-AC14,N14+AC14=0,"нов"),0)</f>
        <v>нов</v>
      </c>
      <c r="AT14" s="104" t="str" cm="1">
        <f t="array" ref="AT14">IFERROR(_xlfn.IFS((O14-AD14)&gt;0,O14/$R$1*$AY$1-AD14,O14+AD14=0,"нов"),0)</f>
        <v>нов</v>
      </c>
      <c r="AU14" s="7" t="str" cm="1">
        <f t="array" ref="AU14">IFERROR(_xlfn.IFS((P14-AE14)&gt;0,P14/$R$1*$AY$1-AE14,P14+AE14=0,"нов"),0)</f>
        <v>нов</v>
      </c>
      <c r="AV14" s="7" t="str" cm="1">
        <f t="array" ref="AV14">IFERROR(_xlfn.IFS((Q14-AF14)&gt;0,Q14/$R$1*$AY$1-AF14,Q14+AF14=0,"нов"),0)</f>
        <v>нов</v>
      </c>
      <c r="AW14" s="141">
        <f t="shared" si="12"/>
        <v>55</v>
      </c>
      <c r="AX14" s="218">
        <f>SUMIF('ОЗОН Доступн товара'!D:D,_xlfn.XLOOKUP($B14,'ОЗОН Доступн товара'!$A:$A,'ОЗОН Доступн товара'!$D:$D,0))</f>
        <v>0</v>
      </c>
      <c r="AY14" s="226">
        <f t="shared" si="13"/>
        <v>55</v>
      </c>
      <c r="AZ14" s="7">
        <f t="shared" si="14"/>
        <v>29</v>
      </c>
      <c r="BA14" s="7">
        <f t="shared" si="15"/>
        <v>2</v>
      </c>
      <c r="BB14" s="7" t="str">
        <f t="shared" si="16"/>
        <v>нов</v>
      </c>
      <c r="BC14" s="7">
        <f t="shared" si="17"/>
        <v>8</v>
      </c>
      <c r="BD14" s="27">
        <f t="shared" si="18"/>
        <v>2</v>
      </c>
      <c r="BE14" s="7">
        <f t="shared" si="19"/>
        <v>20</v>
      </c>
      <c r="BF14" s="104">
        <f t="shared" si="20"/>
        <v>2</v>
      </c>
      <c r="BG14" s="27">
        <f t="shared" si="21"/>
        <v>12</v>
      </c>
      <c r="BH14" s="104" t="str">
        <f t="shared" si="22"/>
        <v>нов</v>
      </c>
      <c r="BI14" s="7" t="str">
        <f t="shared" si="23"/>
        <v>нов</v>
      </c>
      <c r="BJ14" s="153" t="str">
        <f t="shared" si="24"/>
        <v>нов</v>
      </c>
      <c r="BK14" s="7" t="str">
        <f t="shared" si="25"/>
        <v>нов</v>
      </c>
      <c r="BL14" s="6">
        <f t="shared" si="26"/>
        <v>75</v>
      </c>
      <c r="BM14" s="6">
        <f t="shared" si="27"/>
        <v>0</v>
      </c>
      <c r="BN14" s="28">
        <f t="shared" si="28"/>
        <v>75</v>
      </c>
      <c r="BO14" s="73">
        <f>IFERROR(_xlfn.XLOOKUP(A14,'[2] Расчет стоимости и веса'!$I:$I,'[2] Расчет стоимости и веса'!$D:$D),0)</f>
        <v>100</v>
      </c>
      <c r="BP14" s="227">
        <f t="shared" si="29"/>
        <v>100</v>
      </c>
      <c r="BQ14" s="8"/>
      <c r="BR14" s="155">
        <v>30</v>
      </c>
      <c r="BS14" s="12"/>
      <c r="BT14" s="12"/>
      <c r="BU14" s="229"/>
      <c r="BV14" s="12"/>
      <c r="BW14" s="12">
        <v>10</v>
      </c>
      <c r="BY14" s="231">
        <v>20</v>
      </c>
      <c r="BZ14" s="232"/>
      <c r="CA14" s="155">
        <v>20</v>
      </c>
      <c r="CB14" s="157">
        <v>20</v>
      </c>
      <c r="CC14" s="57"/>
      <c r="CD14" s="12"/>
      <c r="CE14" s="146">
        <f t="shared" si="5"/>
        <v>100</v>
      </c>
      <c r="CF14" s="69">
        <f t="shared" si="6"/>
        <v>100</v>
      </c>
      <c r="CG14" s="45">
        <f t="shared" si="7"/>
        <v>0</v>
      </c>
    </row>
    <row r="15" spans="1:85" ht="14.1" customHeight="1">
      <c r="A15" s="233">
        <f>[1]Юнит!A17</f>
        <v>236929188</v>
      </c>
      <c r="B15" s="234">
        <f>[1]Юнит!B17</f>
        <v>2419349422</v>
      </c>
      <c r="C15" s="233" t="str">
        <f>[1]Юнит!C17</f>
        <v>AHMA1BW111WH</v>
      </c>
      <c r="D15" s="235" t="str">
        <f>[1]Юнит!D17</f>
        <v>Мешок 60*80 мелк</v>
      </c>
      <c r="E15" s="90">
        <f>[1]Юнит!E17</f>
        <v>2040335648124</v>
      </c>
      <c r="F15" s="132">
        <f>ROUNDUP(SUMIFS('ВБ Отчет Продажи (за 60 дней)'!$L:$L,'ВБ Отчет Продажи (за 60 дней)'!$K:$K,"Электросталь",'ВБ Отчет Продажи (за 60 дней)'!$G:$G,$A15),0)</f>
        <v>0</v>
      </c>
      <c r="G15" s="133">
        <f>ROUNDUP(SUMIFS('ВБ Отчет Продажи (за 60 дней)'!$L:$L,'ВБ Отчет Продажи (за 60 дней)'!$K:$K,"Коледино",'ВБ Отчет Продажи (за 60 дней)'!$G:$G,$A15),0)</f>
        <v>0</v>
      </c>
      <c r="H15" s="133">
        <f>ROUNDUP(SUMIFS('ВБ Отчет Продажи (за 60 дней)'!$L:$L,'ВБ Отчет Продажи (за 60 дней)'!$K:$K,"Тула",'ВБ Отчет Продажи (за 60 дней)'!$G:$G,$A15),0)</f>
        <v>1</v>
      </c>
      <c r="I15" s="134">
        <f>ROUNDUP(SUMIFS('ВБ Отчет Продажи (за 60 дней)'!$L:$L,'ВБ Отчет Продажи (за 60 дней)'!$K:$K,"Рязань (Тюшевское)",'ВБ Отчет Продажи (за 60 дней)'!$G:$G,$A15),0)</f>
        <v>0</v>
      </c>
      <c r="J15" s="136">
        <f>ROUNDUP(SUMIFS('ВБ Отчет Продажи (за 60 дней)'!$L:$L,'ВБ Отчет Продажи (за 60 дней)'!$K:$K,"Краснодар",'ВБ Отчет Продажи (за 60 дней)'!$G:$G,$A15),0)</f>
        <v>4</v>
      </c>
      <c r="K15" s="133">
        <f>ROUNDUP(SUMIFS('ВБ Отчет Продажи (за 60 дней)'!$L:$L,'ВБ Отчет Продажи (за 60 дней)'!$K:$K,"Невинномысск",'ВБ Отчет Продажи (за 60 дней)'!$G:$G,$A15),0)</f>
        <v>34</v>
      </c>
      <c r="L15" s="137">
        <f>ROUNDUP(SUMIFS('ВБ Отчет Продажи (за 60 дней)'!$L:$L,'ВБ Отчет Продажи (за 60 дней)'!$K:$K,"Волгоград",'ВБ Отчет Продажи (за 60 дней)'!$G:$G,$A15),0)</f>
        <v>0</v>
      </c>
      <c r="M15" s="136">
        <f>ROUNDUP(SUMIFS('ВБ Отчет Продажи (за 60 дней)'!$L:$L,'ВБ Отчет Продажи (за 60 дней)'!$K:$K,"Самара (Новосемейкино)",'ВБ Отчет Продажи (за 60 дней)'!$G:$G,$A15),0)</f>
        <v>12</v>
      </c>
      <c r="N15" s="137">
        <f>ROUNDUP(SUMIFS('ВБ Отчет Продажи (за 60 дней)'!$L:$L,'ВБ Отчет Продажи (за 60 дней)'!$K:$K,"Казань",'ВБ Отчет Продажи (за 60 дней)'!$G:$G,$A15),0)</f>
        <v>1</v>
      </c>
      <c r="O15" s="137">
        <f>ROUNDUP(SUMIFS('ВБ Отчет Продажи (за 60 дней)'!$L:$L,'ВБ Отчет Продажи (за 60 дней)'!$K:$K,"СПБ Шушары",'ВБ Отчет Продажи (за 60 дней)'!$G:$G,$A15),0)</f>
        <v>0</v>
      </c>
      <c r="P15" s="151">
        <f>ROUNDUP(SUMIFS('ВБ Отчет Продажи (за 60 дней)'!$L:$L,'ВБ Отчет Продажи (за 60 дней)'!$K:$K,"Екатеринбург - Перспективный 12",'ВБ Отчет Продажи (за 60 дней)'!$G:$G,$A15),0)</f>
        <v>0</v>
      </c>
      <c r="Q15" s="149">
        <f>ROUNDUP(SUMIFS('ВБ Отчет Продажи (за 60 дней)'!$L:$L,'ВБ Отчет Продажи (за 60 дней)'!$K:$K,"Новосибирск",'ВБ Отчет Продажи (за 60 дней)'!$G:$G,$A15),0)</f>
        <v>0</v>
      </c>
      <c r="R15" s="131">
        <f t="shared" si="0"/>
        <v>52</v>
      </c>
      <c r="S15" s="139">
        <f>SUMIFS('ОЗОН Оборот ведом (за 60 дней)'!I:I,'ОЗОН Оборот ведом (за 60 дней)'!A:A,B15)</f>
        <v>19</v>
      </c>
      <c r="T15" s="140">
        <f t="shared" si="8"/>
        <v>71</v>
      </c>
      <c r="U15" s="6">
        <f>SUMIFS('ВБ Отчет Продажи (за 60 дней)'!$P:$P,'ВБ Отчет Продажи (за 60 дней)'!$K:$K,"Электросталь",'ВБ Отчет Продажи (за 60 дней)'!$G:$G,$A15)</f>
        <v>0</v>
      </c>
      <c r="V15" s="7">
        <f>SUMIFS('ВБ Отчет Продажи (за 60 дней)'!$P:$P,'ВБ Отчет Продажи (за 60 дней)'!$K:$K,"Коледино",'ВБ Отчет Продажи (за 60 дней)'!$G:$G,$A15)</f>
        <v>0</v>
      </c>
      <c r="W15" s="7">
        <f>SUMIFS('ВБ Отчет Продажи (за 60 дней)'!$P:$P,'ВБ Отчет Продажи (за 60 дней)'!$K:$K,"Тула",'ВБ Отчет Продажи (за 60 дней)'!$G:$G,$A15)</f>
        <v>0</v>
      </c>
      <c r="X15" s="7">
        <f>SUMIFS('ВБ Отчет Продажи (за 60 дней)'!$P:$P,'ВБ Отчет Продажи (за 60 дней)'!$K:$K,"Рязань (Тюшевское)",'ВБ Отчет Продажи (за 60 дней)'!$G:$G,$A15)</f>
        <v>0</v>
      </c>
      <c r="Y15" s="27">
        <f>SUMIFS('ВБ Отчет Продажи (за 60 дней)'!$P:$P,'ВБ Отчет Продажи (за 60 дней)'!$K:$K,"Краснодар",'ВБ Отчет Продажи (за 60 дней)'!$G:$G,$A15)</f>
        <v>0</v>
      </c>
      <c r="Z15" s="7">
        <f>SUMIFS('ВБ Отчет Продажи (за 60 дней)'!$P:$P,'ВБ Отчет Продажи (за 60 дней)'!$K:$K,"Невинномысск",'ВБ Отчет Продажи (за 60 дней)'!$G:$G,$A15)</f>
        <v>0</v>
      </c>
      <c r="AA15" s="104">
        <f>SUMIFS('ВБ Отчет Продажи (за 60 дней)'!$P:$P,'ВБ Отчет Продажи (за 60 дней)'!$K:$K,"Волгоград",'ВБ Отчет Продажи (за 60 дней)'!$G:$G,$A15)</f>
        <v>0</v>
      </c>
      <c r="AB15" s="27">
        <f>SUMIFS('ВБ Отчет Продажи (за 60 дней)'!$P:$P,'ВБ Отчет Продажи (за 60 дней)'!$K:$K,"Самара (Новосемейкино)",'ВБ Отчет Продажи (за 60 дней)'!$G:$G,$A15)</f>
        <v>0</v>
      </c>
      <c r="AC15" s="104">
        <f>SUMIFS('ВБ Отчет Продажи (за 60 дней)'!$P:$P,'ВБ Отчет Продажи (за 60 дней)'!$K:$K,"Казань",'ВБ Отчет Продажи (за 60 дней)'!$G:$G,$A15)</f>
        <v>0</v>
      </c>
      <c r="AD15" s="104">
        <f>SUMIFS('ВБ Отчет Продажи (за 60 дней)'!$P:$P,'ВБ Отчет Продажи (за 60 дней)'!$K:$K,"СПБ Шушары",'ВБ Отчет Продажи (за 60 дней)'!$G:$G,$A15)</f>
        <v>0</v>
      </c>
      <c r="AE15" s="153">
        <f>SUMIFS('ВБ Отчет Продажи (за 60 дней)'!$P:$P,'ВБ Отчет Продажи (за 60 дней)'!$K:$K,"Екатеринбург - Перспективный 12",'ВБ Отчет Продажи (за 60 дней)'!$G:$G,$A15)</f>
        <v>0</v>
      </c>
      <c r="AF15" s="102">
        <f>SUMIFS('ВБ Отчет Продажи (за 60 дней)'!$P:$P,'ВБ Отчет Продажи (за 60 дней)'!$K:$K,"Новосибирск",'ВБ Отчет Продажи (за 60 дней)'!$G:$G,$A15)</f>
        <v>0</v>
      </c>
      <c r="AG15" s="124">
        <f t="shared" si="9"/>
        <v>0</v>
      </c>
      <c r="AH15" s="7">
        <f t="shared" si="10"/>
        <v>0</v>
      </c>
      <c r="AI15" s="213">
        <f>SUMIFS('ОЗОН Оборот ведом (за 60 дней)'!J:J,'ОЗОН Оборот ведом (за 60 дней)'!A:A,B15)</f>
        <v>7</v>
      </c>
      <c r="AJ15" s="21">
        <f t="shared" si="11"/>
        <v>7</v>
      </c>
      <c r="AK15" s="7" t="str" cm="1">
        <f t="array" ref="AK15">IFERROR(_xlfn.IFS((F15-U15)&gt;0,F15/$R$1*$AY$1-U15,F15+U15=0,"нов"),0)</f>
        <v>нов</v>
      </c>
      <c r="AL15" s="7" t="str" cm="1">
        <f t="array" ref="AL15">IFERROR(_xlfn.IFS((G15-V15)&gt;0,G15/$R$1*$AY$1-V15,G15+V15=0,"нов"),0)</f>
        <v>нов</v>
      </c>
      <c r="AM15" s="7" cm="1">
        <f t="array" ref="AM15">IFERROR(_xlfn.IFS((H15-W15)&gt;0,H15/$R$1*$AY$1-W15,H15+W15=0,"нов"),0)</f>
        <v>1</v>
      </c>
      <c r="AN15" s="7" t="str" cm="1">
        <f t="array" ref="AN15">IFERROR(_xlfn.IFS((I15-X15)&gt;0,I15/$R$1*$AY$1-X15,I15+X15=0,"нов"),0)</f>
        <v>нов</v>
      </c>
      <c r="AO15" s="27" cm="1">
        <f t="array" ref="AO15">IFERROR(_xlfn.IFS((J15-Y15)&gt;0,J15/$R$1*$AY$1-Y15,J15+Y15=0,"нов"),0)</f>
        <v>4</v>
      </c>
      <c r="AP15" s="7" cm="1">
        <f t="array" ref="AP15">IFERROR(_xlfn.IFS((K15-Z15)&gt;0,K15/$R$1*$AY$1-Z15,K15+Z15=0,"нов"),0)</f>
        <v>34</v>
      </c>
      <c r="AQ15" s="104" t="str" cm="1">
        <f t="array" ref="AQ15">IFERROR(_xlfn.IFS((L15-AA15)&gt;0,L15/$R$1*$AY$1-AA15,L15+AA15=0,"нов"),0)</f>
        <v>нов</v>
      </c>
      <c r="AR15" s="27" cm="1">
        <f t="array" ref="AR15">IFERROR(_xlfn.IFS((M15-AB15)&gt;0,M15/$R$1*$AY$1-AB15,M15+AB15=0,"нов"),0)</f>
        <v>12</v>
      </c>
      <c r="AS15" s="104" cm="1">
        <f t="array" ref="AS15">IFERROR(_xlfn.IFS((N15-AC15)&gt;0,N15/$R$1*$AY$1-AC15,N15+AC15=0,"нов"),0)</f>
        <v>1</v>
      </c>
      <c r="AT15" s="104" t="str" cm="1">
        <f t="array" ref="AT15">IFERROR(_xlfn.IFS((O15-AD15)&gt;0,O15/$R$1*$AY$1-AD15,O15+AD15=0,"нов"),0)</f>
        <v>нов</v>
      </c>
      <c r="AU15" s="7" t="str" cm="1">
        <f t="array" ref="AU15">IFERROR(_xlfn.IFS((P15-AE15)&gt;0,P15/$R$1*$AY$1-AE15,P15+AE15=0,"нов"),0)</f>
        <v>нов</v>
      </c>
      <c r="AV15" s="7" t="str" cm="1">
        <f t="array" ref="AV15">IFERROR(_xlfn.IFS((Q15-AF15)&gt;0,Q15/$R$1*$AY$1-AF15,Q15+AF15=0,"нов"),0)</f>
        <v>нов</v>
      </c>
      <c r="AW15" s="141">
        <f t="shared" si="12"/>
        <v>52</v>
      </c>
      <c r="AX15" s="218">
        <f>SUMIF('ОЗОН Доступн товара'!D:D,_xlfn.XLOOKUP($B15,'ОЗОН Доступн товара'!$A:$A,'ОЗОН Доступн товара'!$D:$D,0))</f>
        <v>27</v>
      </c>
      <c r="AY15" s="226">
        <f t="shared" si="13"/>
        <v>79</v>
      </c>
      <c r="AZ15" s="7" t="str">
        <f t="shared" si="14"/>
        <v>нов</v>
      </c>
      <c r="BA15" s="7" t="str">
        <f t="shared" si="15"/>
        <v>нов</v>
      </c>
      <c r="BB15" s="7">
        <f t="shared" si="16"/>
        <v>2</v>
      </c>
      <c r="BC15" s="7" t="str">
        <f t="shared" si="17"/>
        <v>нов</v>
      </c>
      <c r="BD15" s="27">
        <f t="shared" si="18"/>
        <v>6</v>
      </c>
      <c r="BE15" s="7">
        <f t="shared" si="19"/>
        <v>45</v>
      </c>
      <c r="BF15" s="104" t="str">
        <f t="shared" si="20"/>
        <v>нов</v>
      </c>
      <c r="BG15" s="27">
        <f t="shared" si="21"/>
        <v>16</v>
      </c>
      <c r="BH15" s="104">
        <f t="shared" si="22"/>
        <v>2</v>
      </c>
      <c r="BI15" s="7" t="str">
        <f t="shared" si="23"/>
        <v>нов</v>
      </c>
      <c r="BJ15" s="153" t="str">
        <f t="shared" si="24"/>
        <v>нов</v>
      </c>
      <c r="BK15" s="7" t="str">
        <f t="shared" si="25"/>
        <v>нов</v>
      </c>
      <c r="BL15" s="6">
        <f t="shared" si="26"/>
        <v>71</v>
      </c>
      <c r="BM15" s="6">
        <f t="shared" si="27"/>
        <v>35.1</v>
      </c>
      <c r="BN15" s="28">
        <f t="shared" si="28"/>
        <v>106.1</v>
      </c>
      <c r="BO15" s="73">
        <f>IFERROR(_xlfn.XLOOKUP(A15,'[2] Расчет стоимости и веса'!$I:$I,'[2] Расчет стоимости и веса'!$D:$D),0)</f>
        <v>130</v>
      </c>
      <c r="BP15" s="227">
        <f t="shared" si="29"/>
        <v>130</v>
      </c>
      <c r="BQ15" s="8"/>
      <c r="BR15" s="155">
        <v>30</v>
      </c>
      <c r="BS15" s="12"/>
      <c r="BU15" s="229"/>
      <c r="BV15" s="12"/>
      <c r="BW15" s="12">
        <v>30</v>
      </c>
      <c r="BY15" s="231">
        <v>30</v>
      </c>
      <c r="BZ15" s="232"/>
      <c r="CA15" s="155">
        <v>20</v>
      </c>
      <c r="CB15" s="157">
        <v>20</v>
      </c>
      <c r="CC15" s="56"/>
      <c r="CD15" s="12"/>
      <c r="CE15" s="146">
        <f t="shared" si="5"/>
        <v>130</v>
      </c>
      <c r="CF15" s="69">
        <f t="shared" si="6"/>
        <v>130</v>
      </c>
      <c r="CG15" s="45">
        <f t="shared" si="7"/>
        <v>0</v>
      </c>
    </row>
    <row r="16" spans="1:85" ht="14.1" hidden="1" customHeight="1">
      <c r="A16" s="240">
        <f>[1]Юнит!A18</f>
        <v>239235150</v>
      </c>
      <c r="B16" s="241">
        <f>[1]Юнит!B18</f>
        <v>0</v>
      </c>
      <c r="C16" s="240" t="str">
        <f>[1]Юнит!C18</f>
        <v>AHMA1BW301WH</v>
      </c>
      <c r="D16" s="90" t="str">
        <f>[1]Юнит!D18</f>
        <v>Мешок для обуви L - 30 см</v>
      </c>
      <c r="E16" s="90">
        <f>[1]Юнит!E18</f>
        <v>2040478720961</v>
      </c>
      <c r="F16" s="132">
        <f>ROUNDUP(SUMIFS('ВБ Отчет Продажи (за 60 дней)'!$L:$L,'ВБ Отчет Продажи (за 60 дней)'!$K:$K,"Электросталь",'ВБ Отчет Продажи (за 60 дней)'!$G:$G,$A16),0)</f>
        <v>9</v>
      </c>
      <c r="G16" s="133">
        <f>ROUNDUP(SUMIFS('ВБ Отчет Продажи (за 60 дней)'!$L:$L,'ВБ Отчет Продажи (за 60 дней)'!$K:$K,"Коледино",'ВБ Отчет Продажи (за 60 дней)'!$G:$G,$A16),0)</f>
        <v>0</v>
      </c>
      <c r="H16" s="133">
        <f>ROUNDUP(SUMIFS('ВБ Отчет Продажи (за 60 дней)'!$L:$L,'ВБ Отчет Продажи (за 60 дней)'!$K:$K,"Тула",'ВБ Отчет Продажи (за 60 дней)'!$G:$G,$A16),0)</f>
        <v>7</v>
      </c>
      <c r="I16" s="134">
        <f>ROUNDUP(SUMIFS('ВБ Отчет Продажи (за 60 дней)'!$L:$L,'ВБ Отчет Продажи (за 60 дней)'!$K:$K,"Рязань (Тюшевское)",'ВБ Отчет Продажи (за 60 дней)'!$G:$G,$A16),0)</f>
        <v>0</v>
      </c>
      <c r="J16" s="136">
        <f>ROUNDUP(SUMIFS('ВБ Отчет Продажи (за 60 дней)'!$L:$L,'ВБ Отчет Продажи (за 60 дней)'!$K:$K,"Краснодар",'ВБ Отчет Продажи (за 60 дней)'!$G:$G,$A16),0)</f>
        <v>0</v>
      </c>
      <c r="K16" s="133">
        <f>ROUNDUP(SUMIFS('ВБ Отчет Продажи (за 60 дней)'!$L:$L,'ВБ Отчет Продажи (за 60 дней)'!$K:$K,"Невинномысск",'ВБ Отчет Продажи (за 60 дней)'!$G:$G,$A16),0)</f>
        <v>0</v>
      </c>
      <c r="L16" s="137">
        <f>ROUNDUP(SUMIFS('ВБ Отчет Продажи (за 60 дней)'!$L:$L,'ВБ Отчет Продажи (за 60 дней)'!$K:$K,"Волгоград",'ВБ Отчет Продажи (за 60 дней)'!$G:$G,$A16),0)</f>
        <v>0</v>
      </c>
      <c r="M16" s="136">
        <f>ROUNDUP(SUMIFS('ВБ Отчет Продажи (за 60 дней)'!$L:$L,'ВБ Отчет Продажи (за 60 дней)'!$K:$K,"Самара (Новосемейкино)",'ВБ Отчет Продажи (за 60 дней)'!$G:$G,$A16),0)</f>
        <v>0</v>
      </c>
      <c r="N16" s="137">
        <f>ROUNDUP(SUMIFS('ВБ Отчет Продажи (за 60 дней)'!$L:$L,'ВБ Отчет Продажи (за 60 дней)'!$K:$K,"Казань",'ВБ Отчет Продажи (за 60 дней)'!$G:$G,$A16),0)</f>
        <v>11</v>
      </c>
      <c r="O16" s="137">
        <f>ROUNDUP(SUMIFS('ВБ Отчет Продажи (за 60 дней)'!$L:$L,'ВБ Отчет Продажи (за 60 дней)'!$K:$K,"СПБ Шушары",'ВБ Отчет Продажи (за 60 дней)'!$G:$G,$A16),0)</f>
        <v>0</v>
      </c>
      <c r="P16" s="151">
        <f>ROUNDUP(SUMIFS('ВБ Отчет Продажи (за 60 дней)'!$L:$L,'ВБ Отчет Продажи (за 60 дней)'!$K:$K,"Екатеринбург - Перспективный 12",'ВБ Отчет Продажи (за 60 дней)'!$G:$G,$A16),0)</f>
        <v>0</v>
      </c>
      <c r="Q16" s="149">
        <f>ROUNDUP(SUMIFS('ВБ Отчет Продажи (за 60 дней)'!$L:$L,'ВБ Отчет Продажи (за 60 дней)'!$K:$K,"Новосибирск",'ВБ Отчет Продажи (за 60 дней)'!$G:$G,$A16),0)</f>
        <v>0</v>
      </c>
      <c r="R16" s="131">
        <f t="shared" si="0"/>
        <v>27</v>
      </c>
      <c r="S16" s="139">
        <f>SUMIFS('ОЗОН Оборот ведом (за 60 дней)'!I:I,'ОЗОН Оборот ведом (за 60 дней)'!A:A,B16)</f>
        <v>0</v>
      </c>
      <c r="T16" s="140">
        <f t="shared" si="8"/>
        <v>27</v>
      </c>
      <c r="U16" s="6">
        <f>SUMIFS('ВБ Отчет Продажи (за 60 дней)'!$P:$P,'ВБ Отчет Продажи (за 60 дней)'!$K:$K,"Электросталь",'ВБ Отчет Продажи (за 60 дней)'!$G:$G,$A16)</f>
        <v>3</v>
      </c>
      <c r="V16" s="7">
        <f>SUMIFS('ВБ Отчет Продажи (за 60 дней)'!$P:$P,'ВБ Отчет Продажи (за 60 дней)'!$K:$K,"Коледино",'ВБ Отчет Продажи (за 60 дней)'!$G:$G,$A16)</f>
        <v>0</v>
      </c>
      <c r="W16" s="7">
        <f>SUMIFS('ВБ Отчет Продажи (за 60 дней)'!$P:$P,'ВБ Отчет Продажи (за 60 дней)'!$K:$K,"Тула",'ВБ Отчет Продажи (за 60 дней)'!$G:$G,$A16)</f>
        <v>6</v>
      </c>
      <c r="X16" s="7">
        <f>SUMIFS('ВБ Отчет Продажи (за 60 дней)'!$P:$P,'ВБ Отчет Продажи (за 60 дней)'!$K:$K,"Рязань (Тюшевское)",'ВБ Отчет Продажи (за 60 дней)'!$G:$G,$A16)</f>
        <v>0</v>
      </c>
      <c r="Y16" s="27">
        <f>SUMIFS('ВБ Отчет Продажи (за 60 дней)'!$P:$P,'ВБ Отчет Продажи (за 60 дней)'!$K:$K,"Краснодар",'ВБ Отчет Продажи (за 60 дней)'!$G:$G,$A16)</f>
        <v>0</v>
      </c>
      <c r="Z16" s="7">
        <f>SUMIFS('ВБ Отчет Продажи (за 60 дней)'!$P:$P,'ВБ Отчет Продажи (за 60 дней)'!$K:$K,"Невинномысск",'ВБ Отчет Продажи (за 60 дней)'!$G:$G,$A16)</f>
        <v>0</v>
      </c>
      <c r="AA16" s="104">
        <f>SUMIFS('ВБ Отчет Продажи (за 60 дней)'!$P:$P,'ВБ Отчет Продажи (за 60 дней)'!$K:$K,"Волгоград",'ВБ Отчет Продажи (за 60 дней)'!$G:$G,$A16)</f>
        <v>0</v>
      </c>
      <c r="AB16" s="27">
        <f>SUMIFS('ВБ Отчет Продажи (за 60 дней)'!$P:$P,'ВБ Отчет Продажи (за 60 дней)'!$K:$K,"Самара (Новосемейкино)",'ВБ Отчет Продажи (за 60 дней)'!$G:$G,$A16)</f>
        <v>0</v>
      </c>
      <c r="AC16" s="104">
        <f>SUMIFS('ВБ Отчет Продажи (за 60 дней)'!$P:$P,'ВБ Отчет Продажи (за 60 дней)'!$K:$K,"Казань",'ВБ Отчет Продажи (за 60 дней)'!$G:$G,$A16)</f>
        <v>14</v>
      </c>
      <c r="AD16" s="104">
        <f>SUMIFS('ВБ Отчет Продажи (за 60 дней)'!$P:$P,'ВБ Отчет Продажи (за 60 дней)'!$K:$K,"СПБ Шушары",'ВБ Отчет Продажи (за 60 дней)'!$G:$G,$A16)</f>
        <v>0</v>
      </c>
      <c r="AE16" s="153">
        <f>SUMIFS('ВБ Отчет Продажи (за 60 дней)'!$P:$P,'ВБ Отчет Продажи (за 60 дней)'!$K:$K,"Екатеринбург - Перспективный 12",'ВБ Отчет Продажи (за 60 дней)'!$G:$G,$A16)</f>
        <v>0</v>
      </c>
      <c r="AF16" s="102">
        <f>SUMIFS('ВБ Отчет Продажи (за 60 дней)'!$P:$P,'ВБ Отчет Продажи (за 60 дней)'!$K:$K,"Новосибирск",'ВБ Отчет Продажи (за 60 дней)'!$G:$G,$A16)</f>
        <v>0</v>
      </c>
      <c r="AG16" s="124">
        <f t="shared" si="9"/>
        <v>23</v>
      </c>
      <c r="AH16" s="7">
        <f t="shared" si="10"/>
        <v>51.111111111111114</v>
      </c>
      <c r="AI16" s="213">
        <f>SUMIFS('ОЗОН Оборот ведом (за 60 дней)'!J:J,'ОЗОН Оборот ведом (за 60 дней)'!A:A,B16)</f>
        <v>0</v>
      </c>
      <c r="AJ16" s="21">
        <f t="shared" si="11"/>
        <v>23</v>
      </c>
      <c r="AK16" s="7" cm="1">
        <f t="array" ref="AK16">IFERROR(_xlfn.IFS((F16-U16)&gt;0,F16/$R$1*$AY$1-U16,F16+U16=0,"нов"),0)</f>
        <v>6</v>
      </c>
      <c r="AL16" s="7" t="str" cm="1">
        <f t="array" ref="AL16">IFERROR(_xlfn.IFS((G16-V16)&gt;0,G16/$R$1*$AY$1-V16,G16+V16=0,"нов"),0)</f>
        <v>нов</v>
      </c>
      <c r="AM16" s="7" cm="1">
        <f t="array" ref="AM16">IFERROR(_xlfn.IFS((H16-W16)&gt;0,H16/$R$1*$AY$1-W16,H16+W16=0,"нов"),0)</f>
        <v>1</v>
      </c>
      <c r="AN16" s="7" t="str" cm="1">
        <f t="array" ref="AN16">IFERROR(_xlfn.IFS((I16-X16)&gt;0,I16/$R$1*$AY$1-X16,I16+X16=0,"нов"),0)</f>
        <v>нов</v>
      </c>
      <c r="AO16" s="27" t="str" cm="1">
        <f t="array" ref="AO16">IFERROR(_xlfn.IFS((J16-Y16)&gt;0,J16/$R$1*$AY$1-Y16,J16+Y16=0,"нов"),0)</f>
        <v>нов</v>
      </c>
      <c r="AP16" s="7" t="str" cm="1">
        <f t="array" ref="AP16">IFERROR(_xlfn.IFS((K16-Z16)&gt;0,K16/$R$1*$AY$1-Z16,K16+Z16=0,"нов"),0)</f>
        <v>нов</v>
      </c>
      <c r="AQ16" s="104" t="str" cm="1">
        <f t="array" ref="AQ16">IFERROR(_xlfn.IFS((L16-AA16)&gt;0,L16/$R$1*$AY$1-AA16,L16+AA16=0,"нов"),0)</f>
        <v>нов</v>
      </c>
      <c r="AR16" s="27" t="str" cm="1">
        <f t="array" ref="AR16">IFERROR(_xlfn.IFS((M16-AB16)&gt;0,M16/$R$1*$AY$1-AB16,M16+AB16=0,"нов"),0)</f>
        <v>нов</v>
      </c>
      <c r="AS16" s="104" cm="1">
        <f t="array" ref="AS16">IFERROR(_xlfn.IFS((N16-AC16)&gt;0,N16/$R$1*$AY$1-AC16,N16+AC16=0,"нов"),0)</f>
        <v>0</v>
      </c>
      <c r="AT16" s="104" t="str" cm="1">
        <f t="array" ref="AT16">IFERROR(_xlfn.IFS((O16-AD16)&gt;0,O16/$R$1*$AY$1-AD16,O16+AD16=0,"нов"),0)</f>
        <v>нов</v>
      </c>
      <c r="AU16" s="7" t="str" cm="1">
        <f t="array" ref="AU16">IFERROR(_xlfn.IFS((P16-AE16)&gt;0,P16/$R$1*$AY$1-AE16,P16+AE16=0,"нов"),0)</f>
        <v>нов</v>
      </c>
      <c r="AV16" s="7" t="str" cm="1">
        <f t="array" ref="AV16">IFERROR(_xlfn.IFS((Q16-AF16)&gt;0,Q16/$R$1*$AY$1-AF16,Q16+AF16=0,"нов"),0)</f>
        <v>нов</v>
      </c>
      <c r="AW16" s="141">
        <f t="shared" si="12"/>
        <v>7</v>
      </c>
      <c r="AX16" s="218">
        <f>SUMIF('ОЗОН Доступн товара'!D:D,_xlfn.XLOOKUP($B16,'ОЗОН Доступн товара'!$A:$A,'ОЗОН Доступн товара'!$D:$D,0))</f>
        <v>0</v>
      </c>
      <c r="AY16" s="226">
        <f t="shared" si="13"/>
        <v>7</v>
      </c>
      <c r="AZ16" s="7">
        <f t="shared" si="14"/>
        <v>8</v>
      </c>
      <c r="BA16" s="7" t="str">
        <f t="shared" si="15"/>
        <v>нов</v>
      </c>
      <c r="BB16" s="7">
        <f t="shared" si="16"/>
        <v>2</v>
      </c>
      <c r="BC16" s="7" t="str">
        <f t="shared" si="17"/>
        <v>нов</v>
      </c>
      <c r="BD16" s="27" t="str">
        <f t="shared" si="18"/>
        <v>нов</v>
      </c>
      <c r="BE16" s="7" t="str">
        <f t="shared" si="19"/>
        <v>нов</v>
      </c>
      <c r="BF16" s="104" t="str">
        <f t="shared" si="20"/>
        <v>нов</v>
      </c>
      <c r="BG16" s="27" t="str">
        <f t="shared" si="21"/>
        <v>нов</v>
      </c>
      <c r="BH16" s="104">
        <f t="shared" si="22"/>
        <v>0</v>
      </c>
      <c r="BI16" s="7" t="str">
        <f t="shared" si="23"/>
        <v>нов</v>
      </c>
      <c r="BJ16" s="153" t="str">
        <f t="shared" si="24"/>
        <v>нов</v>
      </c>
      <c r="BK16" s="7" t="str">
        <f t="shared" si="25"/>
        <v>нов</v>
      </c>
      <c r="BL16" s="6">
        <f t="shared" si="26"/>
        <v>10</v>
      </c>
      <c r="BM16" s="6">
        <f t="shared" si="27"/>
        <v>0</v>
      </c>
      <c r="BN16" s="28">
        <f t="shared" si="28"/>
        <v>10</v>
      </c>
      <c r="BO16" s="73">
        <f>IFERROR(_xlfn.XLOOKUP(A16,'[2] Расчет стоимости и веса'!$I:$I,'[2] Расчет стоимости и веса'!$D:$D),0)</f>
        <v>0</v>
      </c>
      <c r="BP16" s="227">
        <f t="shared" si="29"/>
        <v>0</v>
      </c>
      <c r="BQ16" s="8"/>
      <c r="BR16" s="155"/>
      <c r="BS16" s="12"/>
      <c r="BT16" s="12"/>
      <c r="BU16" s="229"/>
      <c r="BV16" s="12"/>
      <c r="BW16" s="12"/>
      <c r="BY16" s="231"/>
      <c r="BZ16" s="232"/>
      <c r="CA16" s="155"/>
      <c r="CB16" s="157"/>
      <c r="CC16" s="57"/>
      <c r="CD16" s="12"/>
      <c r="CE16" s="146">
        <f t="shared" si="5"/>
        <v>0</v>
      </c>
      <c r="CF16" s="69">
        <f t="shared" si="6"/>
        <v>0</v>
      </c>
      <c r="CG16" s="45">
        <f t="shared" si="7"/>
        <v>0</v>
      </c>
    </row>
    <row r="17" spans="1:85" ht="14.1" hidden="1" customHeight="1">
      <c r="A17" s="240">
        <f>[1]Юнит!A19</f>
        <v>239233529</v>
      </c>
      <c r="B17" s="241">
        <f>[1]Юнит!B19</f>
        <v>0</v>
      </c>
      <c r="C17" s="240" t="str">
        <f>[1]Юнит!C19</f>
        <v>AHMA1BW302WH</v>
      </c>
      <c r="D17" s="90" t="str">
        <f>[1]Юнит!D19</f>
        <v>Мешок для обуви XL - 35 см</v>
      </c>
      <c r="E17" s="90">
        <f>[1]Юнит!E19</f>
        <v>2040478696884</v>
      </c>
      <c r="F17" s="132">
        <f>ROUNDUP(SUMIFS('ВБ Отчет Продажи (за 60 дней)'!$L:$L,'ВБ Отчет Продажи (за 60 дней)'!$K:$K,"Электросталь",'ВБ Отчет Продажи (за 60 дней)'!$G:$G,$A17),0)</f>
        <v>0</v>
      </c>
      <c r="G17" s="133">
        <f>ROUNDUP(SUMIFS('ВБ Отчет Продажи (за 60 дней)'!$L:$L,'ВБ Отчет Продажи (за 60 дней)'!$K:$K,"Коледино",'ВБ Отчет Продажи (за 60 дней)'!$G:$G,$A17),0)</f>
        <v>0</v>
      </c>
      <c r="H17" s="133">
        <f>ROUNDUP(SUMIFS('ВБ Отчет Продажи (за 60 дней)'!$L:$L,'ВБ Отчет Продажи (за 60 дней)'!$K:$K,"Тула",'ВБ Отчет Продажи (за 60 дней)'!$G:$G,$A17),0)</f>
        <v>8</v>
      </c>
      <c r="I17" s="134">
        <f>ROUNDUP(SUMIFS('ВБ Отчет Продажи (за 60 дней)'!$L:$L,'ВБ Отчет Продажи (за 60 дней)'!$K:$K,"Рязань (Тюшевское)",'ВБ Отчет Продажи (за 60 дней)'!$G:$G,$A17),0)</f>
        <v>0</v>
      </c>
      <c r="J17" s="136">
        <f>ROUNDUP(SUMIFS('ВБ Отчет Продажи (за 60 дней)'!$L:$L,'ВБ Отчет Продажи (за 60 дней)'!$K:$K,"Краснодар",'ВБ Отчет Продажи (за 60 дней)'!$G:$G,$A17),0)</f>
        <v>0</v>
      </c>
      <c r="K17" s="133">
        <f>ROUNDUP(SUMIFS('ВБ Отчет Продажи (за 60 дней)'!$L:$L,'ВБ Отчет Продажи (за 60 дней)'!$K:$K,"Невинномысск",'ВБ Отчет Продажи (за 60 дней)'!$G:$G,$A17),0)</f>
        <v>0</v>
      </c>
      <c r="L17" s="137">
        <f>ROUNDUP(SUMIFS('ВБ Отчет Продажи (за 60 дней)'!$L:$L,'ВБ Отчет Продажи (за 60 дней)'!$K:$K,"Волгоград",'ВБ Отчет Продажи (за 60 дней)'!$G:$G,$A17),0)</f>
        <v>0</v>
      </c>
      <c r="M17" s="136">
        <f>ROUNDUP(SUMIFS('ВБ Отчет Продажи (за 60 дней)'!$L:$L,'ВБ Отчет Продажи (за 60 дней)'!$K:$K,"Самара (Новосемейкино)",'ВБ Отчет Продажи (за 60 дней)'!$G:$G,$A17),0)</f>
        <v>1</v>
      </c>
      <c r="N17" s="137">
        <f>ROUNDUP(SUMIFS('ВБ Отчет Продажи (за 60 дней)'!$L:$L,'ВБ Отчет Продажи (за 60 дней)'!$K:$K,"Казань",'ВБ Отчет Продажи (за 60 дней)'!$G:$G,$A17),0)</f>
        <v>8</v>
      </c>
      <c r="O17" s="137">
        <f>ROUNDUP(SUMIFS('ВБ Отчет Продажи (за 60 дней)'!$L:$L,'ВБ Отчет Продажи (за 60 дней)'!$K:$K,"СПБ Шушары",'ВБ Отчет Продажи (за 60 дней)'!$G:$G,$A17),0)</f>
        <v>0</v>
      </c>
      <c r="P17" s="151">
        <f>ROUNDUP(SUMIFS('ВБ Отчет Продажи (за 60 дней)'!$L:$L,'ВБ Отчет Продажи (за 60 дней)'!$K:$K,"Екатеринбург - Перспективный 12",'ВБ Отчет Продажи (за 60 дней)'!$G:$G,$A17),0)</f>
        <v>0</v>
      </c>
      <c r="Q17" s="149">
        <f>ROUNDUP(SUMIFS('ВБ Отчет Продажи (за 60 дней)'!$L:$L,'ВБ Отчет Продажи (за 60 дней)'!$K:$K,"Новосибирск",'ВБ Отчет Продажи (за 60 дней)'!$G:$G,$A17),0)</f>
        <v>0</v>
      </c>
      <c r="R17" s="131">
        <f t="shared" si="0"/>
        <v>17</v>
      </c>
      <c r="S17" s="139">
        <f>SUMIFS('ОЗОН Оборот ведом (за 60 дней)'!I:I,'ОЗОН Оборот ведом (за 60 дней)'!A:A,B17)</f>
        <v>0</v>
      </c>
      <c r="T17" s="140">
        <f t="shared" si="8"/>
        <v>17</v>
      </c>
      <c r="U17" s="6">
        <f>SUMIFS('ВБ Отчет Продажи (за 60 дней)'!$P:$P,'ВБ Отчет Продажи (за 60 дней)'!$K:$K,"Электросталь",'ВБ Отчет Продажи (за 60 дней)'!$G:$G,$A17)</f>
        <v>25</v>
      </c>
      <c r="V17" s="7">
        <f>SUMIFS('ВБ Отчет Продажи (за 60 дней)'!$P:$P,'ВБ Отчет Продажи (за 60 дней)'!$K:$K,"Коледино",'ВБ Отчет Продажи (за 60 дней)'!$G:$G,$A17)</f>
        <v>0</v>
      </c>
      <c r="W17" s="7">
        <f>SUMIFS('ВБ Отчет Продажи (за 60 дней)'!$P:$P,'ВБ Отчет Продажи (за 60 дней)'!$K:$K,"Тула",'ВБ Отчет Продажи (за 60 дней)'!$G:$G,$A17)</f>
        <v>23</v>
      </c>
      <c r="X17" s="7">
        <f>SUMIFS('ВБ Отчет Продажи (за 60 дней)'!$P:$P,'ВБ Отчет Продажи (за 60 дней)'!$K:$K,"Рязань (Тюшевское)",'ВБ Отчет Продажи (за 60 дней)'!$G:$G,$A17)</f>
        <v>0</v>
      </c>
      <c r="Y17" s="27">
        <f>SUMIFS('ВБ Отчет Продажи (за 60 дней)'!$P:$P,'ВБ Отчет Продажи (за 60 дней)'!$K:$K,"Краснодар",'ВБ Отчет Продажи (за 60 дней)'!$G:$G,$A17)</f>
        <v>0</v>
      </c>
      <c r="Z17" s="7">
        <f>SUMIFS('ВБ Отчет Продажи (за 60 дней)'!$P:$P,'ВБ Отчет Продажи (за 60 дней)'!$K:$K,"Невинномысск",'ВБ Отчет Продажи (за 60 дней)'!$G:$G,$A17)</f>
        <v>0</v>
      </c>
      <c r="AA17" s="104">
        <f>SUMIFS('ВБ Отчет Продажи (за 60 дней)'!$P:$P,'ВБ Отчет Продажи (за 60 дней)'!$K:$K,"Волгоград",'ВБ Отчет Продажи (за 60 дней)'!$G:$G,$A17)</f>
        <v>0</v>
      </c>
      <c r="AB17" s="27">
        <f>SUMIFS('ВБ Отчет Продажи (за 60 дней)'!$P:$P,'ВБ Отчет Продажи (за 60 дней)'!$K:$K,"Самара (Новосемейкино)",'ВБ Отчет Продажи (за 60 дней)'!$G:$G,$A17)</f>
        <v>0</v>
      </c>
      <c r="AC17" s="104">
        <f>SUMIFS('ВБ Отчет Продажи (за 60 дней)'!$P:$P,'ВБ Отчет Продажи (за 60 дней)'!$K:$K,"Казань",'ВБ Отчет Продажи (за 60 дней)'!$G:$G,$A17)</f>
        <v>13</v>
      </c>
      <c r="AD17" s="104">
        <f>SUMIFS('ВБ Отчет Продажи (за 60 дней)'!$P:$P,'ВБ Отчет Продажи (за 60 дней)'!$K:$K,"СПБ Шушары",'ВБ Отчет Продажи (за 60 дней)'!$G:$G,$A17)</f>
        <v>0</v>
      </c>
      <c r="AE17" s="153">
        <f>SUMIFS('ВБ Отчет Продажи (за 60 дней)'!$P:$P,'ВБ Отчет Продажи (за 60 дней)'!$K:$K,"Екатеринбург - Перспективный 12",'ВБ Отчет Продажи (за 60 дней)'!$G:$G,$A17)</f>
        <v>0</v>
      </c>
      <c r="AF17" s="102">
        <f>SUMIFS('ВБ Отчет Продажи (за 60 дней)'!$P:$P,'ВБ Отчет Продажи (за 60 дней)'!$K:$K,"Новосибирск",'ВБ Отчет Продажи (за 60 дней)'!$G:$G,$A17)</f>
        <v>0</v>
      </c>
      <c r="AG17" s="124">
        <f t="shared" si="9"/>
        <v>61</v>
      </c>
      <c r="AH17" s="7">
        <f t="shared" si="10"/>
        <v>215.29411764705881</v>
      </c>
      <c r="AI17" s="213">
        <f>SUMIFS('ОЗОН Оборот ведом (за 60 дней)'!J:J,'ОЗОН Оборот ведом (за 60 дней)'!A:A,B17)</f>
        <v>0</v>
      </c>
      <c r="AJ17" s="21">
        <f t="shared" si="11"/>
        <v>61</v>
      </c>
      <c r="AK17" s="7" cm="1">
        <f t="array" ref="AK17">IFERROR(_xlfn.IFS((F17-U17)&gt;0,F17/$R$1*$AY$1-U17,F17+U17=0,"нов"),0)</f>
        <v>0</v>
      </c>
      <c r="AL17" s="7" t="str" cm="1">
        <f t="array" ref="AL17">IFERROR(_xlfn.IFS((G17-V17)&gt;0,G17/$R$1*$AY$1-V17,G17+V17=0,"нов"),0)</f>
        <v>нов</v>
      </c>
      <c r="AM17" s="7" cm="1">
        <f t="array" ref="AM17">IFERROR(_xlfn.IFS((H17-W17)&gt;0,H17/$R$1*$AY$1-W17,H17+W17=0,"нов"),0)</f>
        <v>0</v>
      </c>
      <c r="AN17" s="7" t="str" cm="1">
        <f t="array" ref="AN17">IFERROR(_xlfn.IFS((I17-X17)&gt;0,I17/$R$1*$AY$1-X17,I17+X17=0,"нов"),0)</f>
        <v>нов</v>
      </c>
      <c r="AO17" s="27" t="str" cm="1">
        <f t="array" ref="AO17">IFERROR(_xlfn.IFS((J17-Y17)&gt;0,J17/$R$1*$AY$1-Y17,J17+Y17=0,"нов"),0)</f>
        <v>нов</v>
      </c>
      <c r="AP17" s="7" t="str" cm="1">
        <f t="array" ref="AP17">IFERROR(_xlfn.IFS((K17-Z17)&gt;0,K17/$R$1*$AY$1-Z17,K17+Z17=0,"нов"),0)</f>
        <v>нов</v>
      </c>
      <c r="AQ17" s="104" t="str" cm="1">
        <f t="array" ref="AQ17">IFERROR(_xlfn.IFS((L17-AA17)&gt;0,L17/$R$1*$AY$1-AA17,L17+AA17=0,"нов"),0)</f>
        <v>нов</v>
      </c>
      <c r="AR17" s="27" cm="1">
        <f t="array" ref="AR17">IFERROR(_xlfn.IFS((M17-AB17)&gt;0,M17/$R$1*$AY$1-AB17,M17+AB17=0,"нов"),0)</f>
        <v>1</v>
      </c>
      <c r="AS17" s="104" cm="1">
        <f t="array" ref="AS17">IFERROR(_xlfn.IFS((N17-AC17)&gt;0,N17/$R$1*$AY$1-AC17,N17+AC17=0,"нов"),0)</f>
        <v>0</v>
      </c>
      <c r="AT17" s="104" t="str" cm="1">
        <f t="array" ref="AT17">IFERROR(_xlfn.IFS((O17-AD17)&gt;0,O17/$R$1*$AY$1-AD17,O17+AD17=0,"нов"),0)</f>
        <v>нов</v>
      </c>
      <c r="AU17" s="7" t="str" cm="1">
        <f t="array" ref="AU17">IFERROR(_xlfn.IFS((P17-AE17)&gt;0,P17/$R$1*$AY$1-AE17,P17+AE17=0,"нов"),0)</f>
        <v>нов</v>
      </c>
      <c r="AV17" s="7" t="str" cm="1">
        <f t="array" ref="AV17">IFERROR(_xlfn.IFS((Q17-AF17)&gt;0,Q17/$R$1*$AY$1-AF17,Q17+AF17=0,"нов"),0)</f>
        <v>нов</v>
      </c>
      <c r="AW17" s="141">
        <f t="shared" si="12"/>
        <v>1</v>
      </c>
      <c r="AX17" s="218">
        <f>SUMIF('ОЗОН Доступн товара'!D:D,_xlfn.XLOOKUP($B17,'ОЗОН Доступн товара'!$A:$A,'ОЗОН Доступн товара'!$D:$D,0))</f>
        <v>0</v>
      </c>
      <c r="AY17" s="226">
        <f t="shared" si="13"/>
        <v>1</v>
      </c>
      <c r="AZ17" s="7">
        <f t="shared" si="14"/>
        <v>0</v>
      </c>
      <c r="BA17" s="7" t="str">
        <f t="shared" si="15"/>
        <v>нов</v>
      </c>
      <c r="BB17" s="7">
        <f t="shared" si="16"/>
        <v>0</v>
      </c>
      <c r="BC17" s="7" t="str">
        <f t="shared" si="17"/>
        <v>нов</v>
      </c>
      <c r="BD17" s="27" t="str">
        <f t="shared" si="18"/>
        <v>нов</v>
      </c>
      <c r="BE17" s="7" t="str">
        <f t="shared" si="19"/>
        <v>нов</v>
      </c>
      <c r="BF17" s="104" t="str">
        <f t="shared" si="20"/>
        <v>нов</v>
      </c>
      <c r="BG17" s="27">
        <f t="shared" si="21"/>
        <v>2</v>
      </c>
      <c r="BH17" s="104">
        <f t="shared" si="22"/>
        <v>0</v>
      </c>
      <c r="BI17" s="7" t="str">
        <f t="shared" si="23"/>
        <v>нов</v>
      </c>
      <c r="BJ17" s="153" t="str">
        <f t="shared" si="24"/>
        <v>нов</v>
      </c>
      <c r="BK17" s="7" t="str">
        <f t="shared" si="25"/>
        <v>нов</v>
      </c>
      <c r="BL17" s="6">
        <f t="shared" si="26"/>
        <v>2</v>
      </c>
      <c r="BM17" s="6">
        <f t="shared" si="27"/>
        <v>0</v>
      </c>
      <c r="BN17" s="28">
        <f t="shared" si="28"/>
        <v>2</v>
      </c>
      <c r="BO17" s="73">
        <f>IFERROR(_xlfn.XLOOKUP(A17,'[2] Расчет стоимости и веса'!$I:$I,'[2] Расчет стоимости и веса'!$D:$D),0)</f>
        <v>0</v>
      </c>
      <c r="BP17" s="227">
        <f t="shared" si="29"/>
        <v>0</v>
      </c>
      <c r="BQ17" s="8"/>
      <c r="BR17" s="155"/>
      <c r="BS17" s="12"/>
      <c r="BT17" s="12"/>
      <c r="BU17" s="229"/>
      <c r="BV17" s="12"/>
      <c r="BW17" s="12"/>
      <c r="BY17" s="231"/>
      <c r="BZ17" s="232"/>
      <c r="CA17" s="155"/>
      <c r="CB17" s="157"/>
      <c r="CC17" s="57"/>
      <c r="CD17" s="12"/>
      <c r="CE17" s="146">
        <f t="shared" si="5"/>
        <v>0</v>
      </c>
      <c r="CF17" s="69">
        <f t="shared" si="6"/>
        <v>0</v>
      </c>
      <c r="CG17" s="45">
        <f t="shared" si="7"/>
        <v>0</v>
      </c>
    </row>
    <row r="18" spans="1:85" ht="14.1" hidden="1" customHeight="1">
      <c r="A18" s="240">
        <f>[1]Юнит!A20</f>
        <v>173605843</v>
      </c>
      <c r="B18" s="241">
        <f>[1]Юнит!B20</f>
        <v>1597441701</v>
      </c>
      <c r="C18" s="240" t="str">
        <f>[1]Юнит!C20</f>
        <v>ACRH1MS101RJ</v>
      </c>
      <c r="D18" s="90" t="str">
        <f>[1]Юнит!D20</f>
        <v>Массажер для пальцев</v>
      </c>
      <c r="E18" s="90">
        <f>[1]Юнит!E20</f>
        <v>2038430289250</v>
      </c>
      <c r="F18" s="132">
        <f>ROUNDUP(SUMIFS('ВБ Отчет Продажи (за 60 дней)'!$L:$L,'ВБ Отчет Продажи (за 60 дней)'!$K:$K,"Электросталь",'ВБ Отчет Продажи (за 60 дней)'!$G:$G,$A18),0)</f>
        <v>0</v>
      </c>
      <c r="G18" s="133">
        <f>ROUNDUP(SUMIFS('ВБ Отчет Продажи (за 60 дней)'!$L:$L,'ВБ Отчет Продажи (за 60 дней)'!$K:$K,"Коледино",'ВБ Отчет Продажи (за 60 дней)'!$G:$G,$A18),0)</f>
        <v>4</v>
      </c>
      <c r="H18" s="133">
        <f>ROUNDUP(SUMIFS('ВБ Отчет Продажи (за 60 дней)'!$L:$L,'ВБ Отчет Продажи (за 60 дней)'!$K:$K,"Тула",'ВБ Отчет Продажи (за 60 дней)'!$G:$G,$A18),0)</f>
        <v>0</v>
      </c>
      <c r="I18" s="134">
        <f>ROUNDUP(SUMIFS('ВБ Отчет Продажи (за 60 дней)'!$L:$L,'ВБ Отчет Продажи (за 60 дней)'!$K:$K,"Рязань (Тюшевское)",'ВБ Отчет Продажи (за 60 дней)'!$G:$G,$A18),0)</f>
        <v>0</v>
      </c>
      <c r="J18" s="136">
        <f>ROUNDUP(SUMIFS('ВБ Отчет Продажи (за 60 дней)'!$L:$L,'ВБ Отчет Продажи (за 60 дней)'!$K:$K,"Краснодар",'ВБ Отчет Продажи (за 60 дней)'!$G:$G,$A18),0)</f>
        <v>1</v>
      </c>
      <c r="K18" s="133">
        <f>ROUNDUP(SUMIFS('ВБ Отчет Продажи (за 60 дней)'!$L:$L,'ВБ Отчет Продажи (за 60 дней)'!$K:$K,"Невинномысск",'ВБ Отчет Продажи (за 60 дней)'!$G:$G,$A18),0)</f>
        <v>0</v>
      </c>
      <c r="L18" s="137">
        <f>ROUNDUP(SUMIFS('ВБ Отчет Продажи (за 60 дней)'!$L:$L,'ВБ Отчет Продажи (за 60 дней)'!$K:$K,"Волгоград",'ВБ Отчет Продажи (за 60 дней)'!$G:$G,$A18),0)</f>
        <v>0</v>
      </c>
      <c r="M18" s="136">
        <f>ROUNDUP(SUMIFS('ВБ Отчет Продажи (за 60 дней)'!$L:$L,'ВБ Отчет Продажи (за 60 дней)'!$K:$K,"Самара (Новосемейкино)",'ВБ Отчет Продажи (за 60 дней)'!$G:$G,$A18),0)</f>
        <v>0</v>
      </c>
      <c r="N18" s="137">
        <f>ROUNDUP(SUMIFS('ВБ Отчет Продажи (за 60 дней)'!$L:$L,'ВБ Отчет Продажи (за 60 дней)'!$K:$K,"Казань",'ВБ Отчет Продажи (за 60 дней)'!$G:$G,$A18),0)</f>
        <v>0</v>
      </c>
      <c r="O18" s="137">
        <f>ROUNDUP(SUMIFS('ВБ Отчет Продажи (за 60 дней)'!$L:$L,'ВБ Отчет Продажи (за 60 дней)'!$K:$K,"СПБ Шушары",'ВБ Отчет Продажи (за 60 дней)'!$G:$G,$A18),0)</f>
        <v>0</v>
      </c>
      <c r="P18" s="151">
        <f>ROUNDUP(SUMIFS('ВБ Отчет Продажи (за 60 дней)'!$L:$L,'ВБ Отчет Продажи (за 60 дней)'!$K:$K,"Екатеринбург - Перспективный 12",'ВБ Отчет Продажи (за 60 дней)'!$G:$G,$A18),0)</f>
        <v>0</v>
      </c>
      <c r="Q18" s="149">
        <f>ROUNDUP(SUMIFS('ВБ Отчет Продажи (за 60 дней)'!$L:$L,'ВБ Отчет Продажи (за 60 дней)'!$K:$K,"Новосибирск",'ВБ Отчет Продажи (за 60 дней)'!$G:$G,$A18),0)</f>
        <v>0</v>
      </c>
      <c r="R18" s="131">
        <f t="shared" si="0"/>
        <v>5</v>
      </c>
      <c r="S18" s="139">
        <f>SUMIFS('ОЗОН Оборот ведом (за 60 дней)'!I:I,'ОЗОН Оборот ведом (за 60 дней)'!A:A,B18)</f>
        <v>0</v>
      </c>
      <c r="T18" s="140">
        <f t="shared" si="8"/>
        <v>5</v>
      </c>
      <c r="U18" s="6">
        <f>SUMIFS('ВБ Отчет Продажи (за 60 дней)'!$P:$P,'ВБ Отчет Продажи (за 60 дней)'!$K:$K,"Электросталь",'ВБ Отчет Продажи (за 60 дней)'!$G:$G,$A18)</f>
        <v>1</v>
      </c>
      <c r="V18" s="7">
        <f>SUMIFS('ВБ Отчет Продажи (за 60 дней)'!$P:$P,'ВБ Отчет Продажи (за 60 дней)'!$K:$K,"Коледино",'ВБ Отчет Продажи (за 60 дней)'!$G:$G,$A18)</f>
        <v>62</v>
      </c>
      <c r="W18" s="7">
        <f>SUMIFS('ВБ Отчет Продажи (за 60 дней)'!$P:$P,'ВБ Отчет Продажи (за 60 дней)'!$K:$K,"Тула",'ВБ Отчет Продажи (за 60 дней)'!$G:$G,$A18)</f>
        <v>162</v>
      </c>
      <c r="X18" s="7">
        <f>SUMIFS('ВБ Отчет Продажи (за 60 дней)'!$P:$P,'ВБ Отчет Продажи (за 60 дней)'!$K:$K,"Рязань (Тюшевское)",'ВБ Отчет Продажи (за 60 дней)'!$G:$G,$A18)</f>
        <v>0</v>
      </c>
      <c r="Y18" s="27">
        <f>SUMIFS('ВБ Отчет Продажи (за 60 дней)'!$P:$P,'ВБ Отчет Продажи (за 60 дней)'!$K:$K,"Краснодар",'ВБ Отчет Продажи (за 60 дней)'!$G:$G,$A18)</f>
        <v>46</v>
      </c>
      <c r="Z18" s="7">
        <f>SUMIFS('ВБ Отчет Продажи (за 60 дней)'!$P:$P,'ВБ Отчет Продажи (за 60 дней)'!$K:$K,"Невинномысск",'ВБ Отчет Продажи (за 60 дней)'!$G:$G,$A18)</f>
        <v>82</v>
      </c>
      <c r="AA18" s="104">
        <f>SUMIFS('ВБ Отчет Продажи (за 60 дней)'!$P:$P,'ВБ Отчет Продажи (за 60 дней)'!$K:$K,"Волгоград",'ВБ Отчет Продажи (за 60 дней)'!$G:$G,$A18)</f>
        <v>0</v>
      </c>
      <c r="AB18" s="27">
        <f>SUMIFS('ВБ Отчет Продажи (за 60 дней)'!$P:$P,'ВБ Отчет Продажи (за 60 дней)'!$K:$K,"Самара (Новосемейкино)",'ВБ Отчет Продажи (за 60 дней)'!$G:$G,$A18)</f>
        <v>1</v>
      </c>
      <c r="AC18" s="104">
        <f>SUMIFS('ВБ Отчет Продажи (за 60 дней)'!$P:$P,'ВБ Отчет Продажи (за 60 дней)'!$K:$K,"Казань",'ВБ Отчет Продажи (за 60 дней)'!$G:$G,$A18)</f>
        <v>142</v>
      </c>
      <c r="AD18" s="104">
        <f>SUMIFS('ВБ Отчет Продажи (за 60 дней)'!$P:$P,'ВБ Отчет Продажи (за 60 дней)'!$K:$K,"СПБ Шушары",'ВБ Отчет Продажи (за 60 дней)'!$G:$G,$A18)</f>
        <v>0</v>
      </c>
      <c r="AE18" s="153">
        <f>SUMIFS('ВБ Отчет Продажи (за 60 дней)'!$P:$P,'ВБ Отчет Продажи (за 60 дней)'!$K:$K,"Екатеринбург - Перспективный 12",'ВБ Отчет Продажи (за 60 дней)'!$G:$G,$A18)</f>
        <v>0</v>
      </c>
      <c r="AF18" s="102">
        <f>SUMIFS('ВБ Отчет Продажи (за 60 дней)'!$P:$P,'ВБ Отчет Продажи (за 60 дней)'!$K:$K,"Новосибирск",'ВБ Отчет Продажи (за 60 дней)'!$G:$G,$A18)</f>
        <v>0</v>
      </c>
      <c r="AG18" s="124">
        <f t="shared" si="9"/>
        <v>496</v>
      </c>
      <c r="AH18" s="7">
        <f t="shared" si="10"/>
        <v>5952</v>
      </c>
      <c r="AI18" s="213">
        <f>SUMIFS('ОЗОН Оборот ведом (за 60 дней)'!J:J,'ОЗОН Оборот ведом (за 60 дней)'!A:A,B18)</f>
        <v>0</v>
      </c>
      <c r="AJ18" s="21">
        <f t="shared" si="11"/>
        <v>496</v>
      </c>
      <c r="AK18" s="7" cm="1">
        <f t="array" ref="AK18">IFERROR(_xlfn.IFS((F18-U18)&gt;0,F18/$R$1*$AY$1-U18,F18+U18=0,"нов"),0)</f>
        <v>0</v>
      </c>
      <c r="AL18" s="7" cm="1">
        <f t="array" ref="AL18">IFERROR(_xlfn.IFS((G18-V18)&gt;0,G18/$R$1*$AY$1-V18,G18+V18=0,"нов"),0)</f>
        <v>0</v>
      </c>
      <c r="AM18" s="7" cm="1">
        <f t="array" ref="AM18">IFERROR(_xlfn.IFS((H18-W18)&gt;0,H18/$R$1*$AY$1-W18,H18+W18=0,"нов"),0)</f>
        <v>0</v>
      </c>
      <c r="AN18" s="7" t="str" cm="1">
        <f t="array" ref="AN18">IFERROR(_xlfn.IFS((I18-X18)&gt;0,I18/$R$1*$AY$1-X18,I18+X18=0,"нов"),0)</f>
        <v>нов</v>
      </c>
      <c r="AO18" s="27" cm="1">
        <f t="array" ref="AO18">IFERROR(_xlfn.IFS((J18-Y18)&gt;0,J18/$R$1*$AY$1-Y18,J18+Y18=0,"нов"),0)</f>
        <v>0</v>
      </c>
      <c r="AP18" s="7" cm="1">
        <f t="array" ref="AP18">IFERROR(_xlfn.IFS((K18-Z18)&gt;0,K18/$R$1*$AY$1-Z18,K18+Z18=0,"нов"),0)</f>
        <v>0</v>
      </c>
      <c r="AQ18" s="104" t="str" cm="1">
        <f t="array" ref="AQ18">IFERROR(_xlfn.IFS((L18-AA18)&gt;0,L18/$R$1*$AY$1-AA18,L18+AA18=0,"нов"),0)</f>
        <v>нов</v>
      </c>
      <c r="AR18" s="27" cm="1">
        <f t="array" ref="AR18">IFERROR(_xlfn.IFS((M18-AB18)&gt;0,M18/$R$1*$AY$1-AB18,M18+AB18=0,"нов"),0)</f>
        <v>0</v>
      </c>
      <c r="AS18" s="104" cm="1">
        <f t="array" ref="AS18">IFERROR(_xlfn.IFS((N18-AC18)&gt;0,N18/$R$1*$AY$1-AC18,N18+AC18=0,"нов"),0)</f>
        <v>0</v>
      </c>
      <c r="AT18" s="104" t="str" cm="1">
        <f t="array" ref="AT18">IFERROR(_xlfn.IFS((O18-AD18)&gt;0,O18/$R$1*$AY$1-AD18,O18+AD18=0,"нов"),0)</f>
        <v>нов</v>
      </c>
      <c r="AU18" s="7" t="str" cm="1">
        <f t="array" ref="AU18">IFERROR(_xlfn.IFS((P18-AE18)&gt;0,P18/$R$1*$AY$1-AE18,P18+AE18=0,"нов"),0)</f>
        <v>нов</v>
      </c>
      <c r="AV18" s="7" t="str" cm="1">
        <f t="array" ref="AV18">IFERROR(_xlfn.IFS((Q18-AF18)&gt;0,Q18/$R$1*$AY$1-AF18,Q18+AF18=0,"нов"),0)</f>
        <v>нов</v>
      </c>
      <c r="AW18" s="141">
        <f t="shared" si="12"/>
        <v>0</v>
      </c>
      <c r="AX18" s="218">
        <f>SUMIF('ОЗОН Доступн товара'!D:D,_xlfn.XLOOKUP($B18,'ОЗОН Доступн товара'!$A:$A,'ОЗОН Доступн товара'!$D:$D,0))</f>
        <v>0</v>
      </c>
      <c r="AY18" s="226">
        <f t="shared" si="13"/>
        <v>0</v>
      </c>
      <c r="AZ18" s="7">
        <f t="shared" si="14"/>
        <v>0</v>
      </c>
      <c r="BA18" s="7">
        <f t="shared" si="15"/>
        <v>0</v>
      </c>
      <c r="BB18" s="7">
        <f t="shared" si="16"/>
        <v>0</v>
      </c>
      <c r="BC18" s="7" t="str">
        <f t="shared" si="17"/>
        <v>нов</v>
      </c>
      <c r="BD18" s="27">
        <f t="shared" si="18"/>
        <v>0</v>
      </c>
      <c r="BE18" s="7">
        <f t="shared" si="19"/>
        <v>0</v>
      </c>
      <c r="BF18" s="104" t="str">
        <f t="shared" si="20"/>
        <v>нов</v>
      </c>
      <c r="BG18" s="27">
        <f t="shared" si="21"/>
        <v>0</v>
      </c>
      <c r="BH18" s="104">
        <f t="shared" si="22"/>
        <v>0</v>
      </c>
      <c r="BI18" s="7" t="str">
        <f t="shared" si="23"/>
        <v>нов</v>
      </c>
      <c r="BJ18" s="153" t="str">
        <f t="shared" si="24"/>
        <v>нов</v>
      </c>
      <c r="BK18" s="7" t="str">
        <f t="shared" si="25"/>
        <v>нов</v>
      </c>
      <c r="BL18" s="6">
        <f t="shared" si="26"/>
        <v>0</v>
      </c>
      <c r="BM18" s="6">
        <f t="shared" si="27"/>
        <v>0</v>
      </c>
      <c r="BN18" s="28">
        <f t="shared" si="28"/>
        <v>0</v>
      </c>
      <c r="BO18" s="73">
        <f>IFERROR(_xlfn.XLOOKUP(A18,'[2] Расчет стоимости и веса'!$I:$I,'[2] Расчет стоимости и веса'!$D:$D),0)</f>
        <v>0</v>
      </c>
      <c r="BP18" s="227">
        <f t="shared" si="29"/>
        <v>0</v>
      </c>
      <c r="BQ18" s="8"/>
      <c r="BR18" s="155"/>
      <c r="BS18" s="12"/>
      <c r="BT18" s="12"/>
      <c r="BU18" s="229"/>
      <c r="BV18" s="12"/>
      <c r="BW18" s="12"/>
      <c r="BY18" s="231"/>
      <c r="BZ18" s="232"/>
      <c r="CA18" s="155"/>
      <c r="CB18" s="157"/>
      <c r="CC18" s="57"/>
      <c r="CD18" s="12"/>
      <c r="CE18" s="146">
        <f t="shared" si="5"/>
        <v>0</v>
      </c>
      <c r="CF18" s="69">
        <f t="shared" si="6"/>
        <v>0</v>
      </c>
      <c r="CG18" s="45">
        <f t="shared" si="7"/>
        <v>0</v>
      </c>
    </row>
    <row r="19" spans="1:85" ht="14.1" customHeight="1">
      <c r="A19" s="91">
        <f>[1]Юнит!A21</f>
        <v>223420736</v>
      </c>
      <c r="B19" s="92">
        <f>[1]Юнит!B21</f>
        <v>2415742732</v>
      </c>
      <c r="C19" s="91" t="str">
        <f>[1]Юнит!C21</f>
        <v>ACRB1MS101RJ</v>
      </c>
      <c r="D19" s="236" t="str">
        <f>[1]Юнит!D21</f>
        <v>Массажер для тела оранжевый</v>
      </c>
      <c r="E19" s="90">
        <f>[1]Юнит!E21</f>
        <v>2039813223373</v>
      </c>
      <c r="F19" s="132">
        <f>ROUNDUP(SUMIFS('ВБ Отчет Продажи (за 60 дней)'!$L:$L,'ВБ Отчет Продажи (за 60 дней)'!$K:$K,"Электросталь",'ВБ Отчет Продажи (за 60 дней)'!$G:$G,$A19),0)</f>
        <v>0</v>
      </c>
      <c r="G19" s="133">
        <f>ROUNDUP(SUMIFS('ВБ Отчет Продажи (за 60 дней)'!$L:$L,'ВБ Отчет Продажи (за 60 дней)'!$K:$K,"Коледино",'ВБ Отчет Продажи (за 60 дней)'!$G:$G,$A19),0)</f>
        <v>0</v>
      </c>
      <c r="H19" s="133">
        <f>ROUNDUP(SUMIFS('ВБ Отчет Продажи (за 60 дней)'!$L:$L,'ВБ Отчет Продажи (за 60 дней)'!$K:$K,"Тула",'ВБ Отчет Продажи (за 60 дней)'!$G:$G,$A19),0)</f>
        <v>3</v>
      </c>
      <c r="I19" s="134">
        <f>ROUNDUP(SUMIFS('ВБ Отчет Продажи (за 60 дней)'!$L:$L,'ВБ Отчет Продажи (за 60 дней)'!$K:$K,"Рязань (Тюшевское)",'ВБ Отчет Продажи (за 60 дней)'!$G:$G,$A19),0)</f>
        <v>0</v>
      </c>
      <c r="J19" s="136">
        <f>ROUNDUP(SUMIFS('ВБ Отчет Продажи (за 60 дней)'!$L:$L,'ВБ Отчет Продажи (за 60 дней)'!$K:$K,"Краснодар",'ВБ Отчет Продажи (за 60 дней)'!$G:$G,$A19),0)</f>
        <v>0</v>
      </c>
      <c r="K19" s="133">
        <f>ROUNDUP(SUMIFS('ВБ Отчет Продажи (за 60 дней)'!$L:$L,'ВБ Отчет Продажи (за 60 дней)'!$K:$K,"Невинномысск",'ВБ Отчет Продажи (за 60 дней)'!$G:$G,$A19),0)</f>
        <v>0</v>
      </c>
      <c r="L19" s="137">
        <f>ROUNDUP(SUMIFS('ВБ Отчет Продажи (за 60 дней)'!$L:$L,'ВБ Отчет Продажи (за 60 дней)'!$K:$K,"Волгоград",'ВБ Отчет Продажи (за 60 дней)'!$G:$G,$A19),0)</f>
        <v>0</v>
      </c>
      <c r="M19" s="136">
        <f>ROUNDUP(SUMIFS('ВБ Отчет Продажи (за 60 дней)'!$L:$L,'ВБ Отчет Продажи (за 60 дней)'!$K:$K,"Самара (Новосемейкино)",'ВБ Отчет Продажи (за 60 дней)'!$G:$G,$A19),0)</f>
        <v>0</v>
      </c>
      <c r="N19" s="137">
        <f>ROUNDUP(SUMIFS('ВБ Отчет Продажи (за 60 дней)'!$L:$L,'ВБ Отчет Продажи (за 60 дней)'!$K:$K,"Казань",'ВБ Отчет Продажи (за 60 дней)'!$G:$G,$A19),0)</f>
        <v>0</v>
      </c>
      <c r="O19" s="137">
        <f>ROUNDUP(SUMIFS('ВБ Отчет Продажи (за 60 дней)'!$L:$L,'ВБ Отчет Продажи (за 60 дней)'!$K:$K,"СПБ Шушары",'ВБ Отчет Продажи (за 60 дней)'!$G:$G,$A19),0)</f>
        <v>0</v>
      </c>
      <c r="P19" s="151">
        <f>ROUNDUP(SUMIFS('ВБ Отчет Продажи (за 60 дней)'!$L:$L,'ВБ Отчет Продажи (за 60 дней)'!$K:$K,"Екатеринбург - Перспективный 12",'ВБ Отчет Продажи (за 60 дней)'!$G:$G,$A19),0)</f>
        <v>0</v>
      </c>
      <c r="Q19" s="149">
        <f>ROUNDUP(SUMIFS('ВБ Отчет Продажи (за 60 дней)'!$L:$L,'ВБ Отчет Продажи (за 60 дней)'!$K:$K,"Новосибирск",'ВБ Отчет Продажи (за 60 дней)'!$G:$G,$A19),0)</f>
        <v>0</v>
      </c>
      <c r="R19" s="131">
        <f t="shared" si="0"/>
        <v>3</v>
      </c>
      <c r="S19" s="139">
        <f>SUMIFS('ОЗОН Оборот ведом (за 60 дней)'!I:I,'ОЗОН Оборот ведом (за 60 дней)'!A:A,B19)</f>
        <v>0</v>
      </c>
      <c r="T19" s="140">
        <f t="shared" si="8"/>
        <v>3</v>
      </c>
      <c r="U19" s="6">
        <f>SUMIFS('ВБ Отчет Продажи (за 60 дней)'!$P:$P,'ВБ Отчет Продажи (за 60 дней)'!$K:$K,"Электросталь",'ВБ Отчет Продажи (за 60 дней)'!$G:$G,$A19)</f>
        <v>0</v>
      </c>
      <c r="V19" s="7">
        <f>SUMIFS('ВБ Отчет Продажи (за 60 дней)'!$P:$P,'ВБ Отчет Продажи (за 60 дней)'!$K:$K,"Коледино",'ВБ Отчет Продажи (за 60 дней)'!$G:$G,$A19)</f>
        <v>0</v>
      </c>
      <c r="W19" s="7">
        <f>SUMIFS('ВБ Отчет Продажи (за 60 дней)'!$P:$P,'ВБ Отчет Продажи (за 60 дней)'!$K:$K,"Тула",'ВБ Отчет Продажи (за 60 дней)'!$G:$G,$A19)</f>
        <v>0</v>
      </c>
      <c r="X19" s="7">
        <f>SUMIFS('ВБ Отчет Продажи (за 60 дней)'!$P:$P,'ВБ Отчет Продажи (за 60 дней)'!$K:$K,"Рязань (Тюшевское)",'ВБ Отчет Продажи (за 60 дней)'!$G:$G,$A19)</f>
        <v>0</v>
      </c>
      <c r="Y19" s="27">
        <f>SUMIFS('ВБ Отчет Продажи (за 60 дней)'!$P:$P,'ВБ Отчет Продажи (за 60 дней)'!$K:$K,"Краснодар",'ВБ Отчет Продажи (за 60 дней)'!$G:$G,$A19)</f>
        <v>0</v>
      </c>
      <c r="Z19" s="7">
        <f>SUMIFS('ВБ Отчет Продажи (за 60 дней)'!$P:$P,'ВБ Отчет Продажи (за 60 дней)'!$K:$K,"Невинномысск",'ВБ Отчет Продажи (за 60 дней)'!$G:$G,$A19)</f>
        <v>0</v>
      </c>
      <c r="AA19" s="104">
        <f>SUMIFS('ВБ Отчет Продажи (за 60 дней)'!$P:$P,'ВБ Отчет Продажи (за 60 дней)'!$K:$K,"Волгоград",'ВБ Отчет Продажи (за 60 дней)'!$G:$G,$A19)</f>
        <v>0</v>
      </c>
      <c r="AB19" s="27">
        <f>SUMIFS('ВБ Отчет Продажи (за 60 дней)'!$P:$P,'ВБ Отчет Продажи (за 60 дней)'!$K:$K,"Самара (Новосемейкино)",'ВБ Отчет Продажи (за 60 дней)'!$G:$G,$A19)</f>
        <v>1</v>
      </c>
      <c r="AC19" s="104">
        <f>SUMIFS('ВБ Отчет Продажи (за 60 дней)'!$P:$P,'ВБ Отчет Продажи (за 60 дней)'!$K:$K,"Казань",'ВБ Отчет Продажи (за 60 дней)'!$G:$G,$A19)</f>
        <v>0</v>
      </c>
      <c r="AD19" s="104">
        <f>SUMIFS('ВБ Отчет Продажи (за 60 дней)'!$P:$P,'ВБ Отчет Продажи (за 60 дней)'!$K:$K,"СПБ Шушары",'ВБ Отчет Продажи (за 60 дней)'!$G:$G,$A19)</f>
        <v>7</v>
      </c>
      <c r="AE19" s="153">
        <f>SUMIFS('ВБ Отчет Продажи (за 60 дней)'!$P:$P,'ВБ Отчет Продажи (за 60 дней)'!$K:$K,"Екатеринбург - Перспективный 12",'ВБ Отчет Продажи (за 60 дней)'!$G:$G,$A19)</f>
        <v>0</v>
      </c>
      <c r="AF19" s="102">
        <f>SUMIFS('ВБ Отчет Продажи (за 60 дней)'!$P:$P,'ВБ Отчет Продажи (за 60 дней)'!$K:$K,"Новосибирск",'ВБ Отчет Продажи (за 60 дней)'!$G:$G,$A19)</f>
        <v>0</v>
      </c>
      <c r="AG19" s="124">
        <f t="shared" si="9"/>
        <v>8</v>
      </c>
      <c r="AH19" s="7">
        <f t="shared" si="10"/>
        <v>160</v>
      </c>
      <c r="AI19" s="213">
        <f>SUMIFS('ОЗОН Оборот ведом (за 60 дней)'!J:J,'ОЗОН Оборот ведом (за 60 дней)'!A:A,B19)</f>
        <v>0</v>
      </c>
      <c r="AJ19" s="21">
        <f t="shared" si="11"/>
        <v>8</v>
      </c>
      <c r="AK19" s="7" t="str" cm="1">
        <f t="array" ref="AK19">IFERROR(_xlfn.IFS((F19-U19)&gt;0,F19/$R$1*$AY$1-U19,F19+U19=0,"нов"),0)</f>
        <v>нов</v>
      </c>
      <c r="AL19" s="7" t="str" cm="1">
        <f t="array" ref="AL19">IFERROR(_xlfn.IFS((G19-V19)&gt;0,G19/$R$1*$AY$1-V19,G19+V19=0,"нов"),0)</f>
        <v>нов</v>
      </c>
      <c r="AM19" s="7" cm="1">
        <f t="array" ref="AM19">IFERROR(_xlfn.IFS((H19-W19)&gt;0,H19/$R$1*$AY$1-W19,H19+W19=0,"нов"),0)</f>
        <v>3</v>
      </c>
      <c r="AN19" s="7" t="str" cm="1">
        <f t="array" ref="AN19">IFERROR(_xlfn.IFS((I19-X19)&gt;0,I19/$R$1*$AY$1-X19,I19+X19=0,"нов"),0)</f>
        <v>нов</v>
      </c>
      <c r="AO19" s="27" t="str" cm="1">
        <f t="array" ref="AO19">IFERROR(_xlfn.IFS((J19-Y19)&gt;0,J19/$R$1*$AY$1-Y19,J19+Y19=0,"нов"),0)</f>
        <v>нов</v>
      </c>
      <c r="AP19" s="7" t="str" cm="1">
        <f t="array" ref="AP19">IFERROR(_xlfn.IFS((K19-Z19)&gt;0,K19/$R$1*$AY$1-Z19,K19+Z19=0,"нов"),0)</f>
        <v>нов</v>
      </c>
      <c r="AQ19" s="104" t="str" cm="1">
        <f t="array" ref="AQ19">IFERROR(_xlfn.IFS((L19-AA19)&gt;0,L19/$R$1*$AY$1-AA19,L19+AA19=0,"нов"),0)</f>
        <v>нов</v>
      </c>
      <c r="AR19" s="27" cm="1">
        <f t="array" ref="AR19">IFERROR(_xlfn.IFS((M19-AB19)&gt;0,M19/$R$1*$AY$1-AB19,M19+AB19=0,"нов"),0)</f>
        <v>0</v>
      </c>
      <c r="AS19" s="104" t="str" cm="1">
        <f t="array" ref="AS19">IFERROR(_xlfn.IFS((N19-AC19)&gt;0,N19/$R$1*$AY$1-AC19,N19+AC19=0,"нов"),0)</f>
        <v>нов</v>
      </c>
      <c r="AT19" s="104" cm="1">
        <f t="array" ref="AT19">IFERROR(_xlfn.IFS((O19-AD19)&gt;0,O19/$R$1*$AY$1-AD19,O19+AD19=0,"нов"),0)</f>
        <v>0</v>
      </c>
      <c r="AU19" s="7" t="str" cm="1">
        <f t="array" ref="AU19">IFERROR(_xlfn.IFS((P19-AE19)&gt;0,P19/$R$1*$AY$1-AE19,P19+AE19=0,"нов"),0)</f>
        <v>нов</v>
      </c>
      <c r="AV19" s="7" t="str" cm="1">
        <f t="array" ref="AV19">IFERROR(_xlfn.IFS((Q19-AF19)&gt;0,Q19/$R$1*$AY$1-AF19,Q19+AF19=0,"нов"),0)</f>
        <v>нов</v>
      </c>
      <c r="AW19" s="141">
        <f t="shared" si="12"/>
        <v>3</v>
      </c>
      <c r="AX19" s="218">
        <f>SUMIF('ОЗОН Доступн товара'!D:D,_xlfn.XLOOKUP($B19,'ОЗОН Доступн товара'!$A:$A,'ОЗОН Доступн товара'!$D:$D,0))</f>
        <v>0</v>
      </c>
      <c r="AY19" s="226">
        <f t="shared" si="13"/>
        <v>3</v>
      </c>
      <c r="AZ19" s="7" t="str">
        <f t="shared" si="14"/>
        <v>нов</v>
      </c>
      <c r="BA19" s="7" t="str">
        <f t="shared" si="15"/>
        <v>нов</v>
      </c>
      <c r="BB19" s="7">
        <f t="shared" si="16"/>
        <v>4</v>
      </c>
      <c r="BC19" s="7" t="str">
        <f t="shared" si="17"/>
        <v>нов</v>
      </c>
      <c r="BD19" s="27" t="str">
        <f t="shared" si="18"/>
        <v>нов</v>
      </c>
      <c r="BE19" s="7" t="str">
        <f t="shared" si="19"/>
        <v>нов</v>
      </c>
      <c r="BF19" s="104" t="str">
        <f t="shared" si="20"/>
        <v>нов</v>
      </c>
      <c r="BG19" s="27">
        <f t="shared" si="21"/>
        <v>0</v>
      </c>
      <c r="BH19" s="104" t="str">
        <f t="shared" si="22"/>
        <v>нов</v>
      </c>
      <c r="BI19" s="7">
        <f t="shared" si="23"/>
        <v>0</v>
      </c>
      <c r="BJ19" s="153" t="str">
        <f t="shared" si="24"/>
        <v>нов</v>
      </c>
      <c r="BK19" s="7" t="str">
        <f t="shared" si="25"/>
        <v>нов</v>
      </c>
      <c r="BL19" s="6">
        <f t="shared" si="26"/>
        <v>4</v>
      </c>
      <c r="BM19" s="6">
        <f t="shared" si="27"/>
        <v>0</v>
      </c>
      <c r="BN19" s="28">
        <f t="shared" si="28"/>
        <v>4</v>
      </c>
      <c r="BO19" s="73">
        <f>IFERROR(_xlfn.XLOOKUP(A19,'[2] Расчет стоимости и веса'!$I:$I,'[2] Расчет стоимости и веса'!$D:$D),0)</f>
        <v>50</v>
      </c>
      <c r="BP19" s="227">
        <f t="shared" si="29"/>
        <v>50</v>
      </c>
      <c r="BQ19" s="8"/>
      <c r="BR19" s="155">
        <v>20</v>
      </c>
      <c r="BS19" s="12"/>
      <c r="BT19" s="12"/>
      <c r="BU19" s="229"/>
      <c r="BV19" s="12"/>
      <c r="BW19" s="12">
        <v>10</v>
      </c>
      <c r="BY19" s="231">
        <v>10</v>
      </c>
      <c r="BZ19" s="232"/>
      <c r="CA19" s="155"/>
      <c r="CB19" s="157">
        <v>10</v>
      </c>
      <c r="CC19" s="57"/>
      <c r="CD19" s="12"/>
      <c r="CE19" s="146">
        <f t="shared" si="5"/>
        <v>50</v>
      </c>
      <c r="CF19" s="69">
        <f t="shared" si="6"/>
        <v>50</v>
      </c>
      <c r="CG19" s="45">
        <f t="shared" si="7"/>
        <v>0</v>
      </c>
    </row>
    <row r="20" spans="1:85" ht="14.1" customHeight="1">
      <c r="A20" s="91">
        <f>[1]Юнит!A22</f>
        <v>275208801</v>
      </c>
      <c r="B20" s="92">
        <f>[1]Юнит!B22</f>
        <v>2415742511</v>
      </c>
      <c r="C20" s="91" t="str">
        <f>[1]Юнит!C22</f>
        <v>ACRB1MS101PN</v>
      </c>
      <c r="D20" s="236" t="str">
        <f>[1]Юнит!D22</f>
        <v>Массажер для тела розовый</v>
      </c>
      <c r="E20" s="90">
        <f>[1]Юнит!E22</f>
        <v>2041591042329</v>
      </c>
      <c r="F20" s="132">
        <f>ROUNDUP(SUMIFS('ВБ Отчет Продажи (за 60 дней)'!$L:$L,'ВБ Отчет Продажи (за 60 дней)'!$K:$K,"Электросталь",'ВБ Отчет Продажи (за 60 дней)'!$G:$G,$A20),0)</f>
        <v>0</v>
      </c>
      <c r="G20" s="133">
        <f>ROUNDUP(SUMIFS('ВБ Отчет Продажи (за 60 дней)'!$L:$L,'ВБ Отчет Продажи (за 60 дней)'!$K:$K,"Коледино",'ВБ Отчет Продажи (за 60 дней)'!$G:$G,$A20),0)</f>
        <v>4</v>
      </c>
      <c r="H20" s="133">
        <f>ROUNDUP(SUMIFS('ВБ Отчет Продажи (за 60 дней)'!$L:$L,'ВБ Отчет Продажи (за 60 дней)'!$K:$K,"Тула",'ВБ Отчет Продажи (за 60 дней)'!$G:$G,$A20),0)</f>
        <v>1</v>
      </c>
      <c r="I20" s="134">
        <f>ROUNDUP(SUMIFS('ВБ Отчет Продажи (за 60 дней)'!$L:$L,'ВБ Отчет Продажи (за 60 дней)'!$K:$K,"Рязань (Тюшевское)",'ВБ Отчет Продажи (за 60 дней)'!$G:$G,$A20),0)</f>
        <v>1</v>
      </c>
      <c r="J20" s="136">
        <f>ROUNDUP(SUMIFS('ВБ Отчет Продажи (за 60 дней)'!$L:$L,'ВБ Отчет Продажи (за 60 дней)'!$K:$K,"Краснодар",'ВБ Отчет Продажи (за 60 дней)'!$G:$G,$A20),0)</f>
        <v>0</v>
      </c>
      <c r="K20" s="133">
        <f>ROUNDUP(SUMIFS('ВБ Отчет Продажи (за 60 дней)'!$L:$L,'ВБ Отчет Продажи (за 60 дней)'!$K:$K,"Невинномысск",'ВБ Отчет Продажи (за 60 дней)'!$G:$G,$A20),0)</f>
        <v>0</v>
      </c>
      <c r="L20" s="137">
        <f>ROUNDUP(SUMIFS('ВБ Отчет Продажи (за 60 дней)'!$L:$L,'ВБ Отчет Продажи (за 60 дней)'!$K:$K,"Волгоград",'ВБ Отчет Продажи (за 60 дней)'!$G:$G,$A20),0)</f>
        <v>1</v>
      </c>
      <c r="M20" s="136">
        <f>ROUNDUP(SUMIFS('ВБ Отчет Продажи (за 60 дней)'!$L:$L,'ВБ Отчет Продажи (за 60 дней)'!$K:$K,"Самара (Новосемейкино)",'ВБ Отчет Продажи (за 60 дней)'!$G:$G,$A20),0)</f>
        <v>2</v>
      </c>
      <c r="N20" s="137">
        <f>ROUNDUP(SUMIFS('ВБ Отчет Продажи (за 60 дней)'!$L:$L,'ВБ Отчет Продажи (за 60 дней)'!$K:$K,"Казань",'ВБ Отчет Продажи (за 60 дней)'!$G:$G,$A20),0)</f>
        <v>1</v>
      </c>
      <c r="O20" s="137">
        <f>ROUNDUP(SUMIFS('ВБ Отчет Продажи (за 60 дней)'!$L:$L,'ВБ Отчет Продажи (за 60 дней)'!$K:$K,"СПБ Шушары",'ВБ Отчет Продажи (за 60 дней)'!$G:$G,$A20),0)</f>
        <v>2</v>
      </c>
      <c r="P20" s="151">
        <f>ROUNDUP(SUMIFS('ВБ Отчет Продажи (за 60 дней)'!$L:$L,'ВБ Отчет Продажи (за 60 дней)'!$K:$K,"Екатеринбург - Перспективный 12",'ВБ Отчет Продажи (за 60 дней)'!$G:$G,$A20),0)</f>
        <v>0</v>
      </c>
      <c r="Q20" s="149">
        <f>ROUNDUP(SUMIFS('ВБ Отчет Продажи (за 60 дней)'!$L:$L,'ВБ Отчет Продажи (за 60 дней)'!$K:$K,"Новосибирск",'ВБ Отчет Продажи (за 60 дней)'!$G:$G,$A20),0)</f>
        <v>0</v>
      </c>
      <c r="R20" s="131">
        <f t="shared" si="0"/>
        <v>12</v>
      </c>
      <c r="S20" s="139">
        <f>SUMIFS('ОЗОН Оборот ведом (за 60 дней)'!I:I,'ОЗОН Оборот ведом (за 60 дней)'!A:A,B20)</f>
        <v>2</v>
      </c>
      <c r="T20" s="140">
        <f t="shared" si="8"/>
        <v>14</v>
      </c>
      <c r="U20" s="6">
        <f>SUMIFS('ВБ Отчет Продажи (за 60 дней)'!$P:$P,'ВБ Отчет Продажи (за 60 дней)'!$K:$K,"Электросталь",'ВБ Отчет Продажи (за 60 дней)'!$G:$G,$A20)</f>
        <v>0</v>
      </c>
      <c r="V20" s="7">
        <f>SUMIFS('ВБ Отчет Продажи (за 60 дней)'!$P:$P,'ВБ Отчет Продажи (за 60 дней)'!$K:$K,"Коледино",'ВБ Отчет Продажи (за 60 дней)'!$G:$G,$A20)</f>
        <v>1</v>
      </c>
      <c r="W20" s="7">
        <f>SUMIFS('ВБ Отчет Продажи (за 60 дней)'!$P:$P,'ВБ Отчет Продажи (за 60 дней)'!$K:$K,"Тула",'ВБ Отчет Продажи (за 60 дней)'!$G:$G,$A20)</f>
        <v>13</v>
      </c>
      <c r="X20" s="7">
        <f>SUMIFS('ВБ Отчет Продажи (за 60 дней)'!$P:$P,'ВБ Отчет Продажи (за 60 дней)'!$K:$K,"Рязань (Тюшевское)",'ВБ Отчет Продажи (за 60 дней)'!$G:$G,$A20)</f>
        <v>9</v>
      </c>
      <c r="Y20" s="27">
        <f>SUMIFS('ВБ Отчет Продажи (за 60 дней)'!$P:$P,'ВБ Отчет Продажи (за 60 дней)'!$K:$K,"Краснодар",'ВБ Отчет Продажи (за 60 дней)'!$G:$G,$A20)</f>
        <v>12</v>
      </c>
      <c r="Z20" s="7">
        <f>SUMIFS('ВБ Отчет Продажи (за 60 дней)'!$P:$P,'ВБ Отчет Продажи (за 60 дней)'!$K:$K,"Невинномысск",'ВБ Отчет Продажи (за 60 дней)'!$G:$G,$A20)</f>
        <v>0</v>
      </c>
      <c r="AA20" s="104">
        <f>SUMIFS('ВБ Отчет Продажи (за 60 дней)'!$P:$P,'ВБ Отчет Продажи (за 60 дней)'!$K:$K,"Волгоград",'ВБ Отчет Продажи (за 60 дней)'!$G:$G,$A20)</f>
        <v>0</v>
      </c>
      <c r="AB20" s="27">
        <f>SUMIFS('ВБ Отчет Продажи (за 60 дней)'!$P:$P,'ВБ Отчет Продажи (за 60 дней)'!$K:$K,"Самара (Новосемейкино)",'ВБ Отчет Продажи (за 60 дней)'!$G:$G,$A20)</f>
        <v>10</v>
      </c>
      <c r="AC20" s="104">
        <f>SUMIFS('ВБ Отчет Продажи (за 60 дней)'!$P:$P,'ВБ Отчет Продажи (за 60 дней)'!$K:$K,"Казань",'ВБ Отчет Продажи (за 60 дней)'!$G:$G,$A20)</f>
        <v>1</v>
      </c>
      <c r="AD20" s="104">
        <f>SUMIFS('ВБ Отчет Продажи (за 60 дней)'!$P:$P,'ВБ Отчет Продажи (за 60 дней)'!$K:$K,"СПБ Шушары",'ВБ Отчет Продажи (за 60 дней)'!$G:$G,$A20)</f>
        <v>10</v>
      </c>
      <c r="AE20" s="153">
        <f>SUMIFS('ВБ Отчет Продажи (за 60 дней)'!$P:$P,'ВБ Отчет Продажи (за 60 дней)'!$K:$K,"Екатеринбург - Перспективный 12",'ВБ Отчет Продажи (за 60 дней)'!$G:$G,$A20)</f>
        <v>0</v>
      </c>
      <c r="AF20" s="102">
        <f>SUMIFS('ВБ Отчет Продажи (за 60 дней)'!$P:$P,'ВБ Отчет Продажи (за 60 дней)'!$K:$K,"Новосибирск",'ВБ Отчет Продажи (за 60 дней)'!$G:$G,$A20)</f>
        <v>0</v>
      </c>
      <c r="AG20" s="124">
        <f t="shared" si="9"/>
        <v>56</v>
      </c>
      <c r="AH20" s="7">
        <f t="shared" si="10"/>
        <v>280</v>
      </c>
      <c r="AI20" s="213">
        <f>SUMIFS('ОЗОН Оборот ведом (за 60 дней)'!J:J,'ОЗОН Оборот ведом (за 60 дней)'!A:A,B20)</f>
        <v>0</v>
      </c>
      <c r="AJ20" s="21">
        <f t="shared" si="11"/>
        <v>56</v>
      </c>
      <c r="AK20" s="7" t="str" cm="1">
        <f t="array" ref="AK20">IFERROR(_xlfn.IFS((F20-U20)&gt;0,F20/$R$1*$AY$1-U20,F20+U20=0,"нов"),0)</f>
        <v>нов</v>
      </c>
      <c r="AL20" s="7" cm="1">
        <f t="array" ref="AL20">IFERROR(_xlfn.IFS((G20-V20)&gt;0,G20/$R$1*$AY$1-V20,G20+V20=0,"нов"),0)</f>
        <v>3</v>
      </c>
      <c r="AM20" s="7" cm="1">
        <f t="array" ref="AM20">IFERROR(_xlfn.IFS((H20-W20)&gt;0,H20/$R$1*$AY$1-W20,H20+W20=0,"нов"),0)</f>
        <v>0</v>
      </c>
      <c r="AN20" s="7" cm="1">
        <f t="array" ref="AN20">IFERROR(_xlfn.IFS((I20-X20)&gt;0,I20/$R$1*$AY$1-X20,I20+X20=0,"нов"),0)</f>
        <v>0</v>
      </c>
      <c r="AO20" s="27" cm="1">
        <f t="array" ref="AO20">IFERROR(_xlfn.IFS((J20-Y20)&gt;0,J20/$R$1*$AY$1-Y20,J20+Y20=0,"нов"),0)</f>
        <v>0</v>
      </c>
      <c r="AP20" s="7" t="str" cm="1">
        <f t="array" ref="AP20">IFERROR(_xlfn.IFS((K20-Z20)&gt;0,K20/$R$1*$AY$1-Z20,K20+Z20=0,"нов"),0)</f>
        <v>нов</v>
      </c>
      <c r="AQ20" s="104" cm="1">
        <f t="array" ref="AQ20">IFERROR(_xlfn.IFS((L20-AA20)&gt;0,L20/$R$1*$AY$1-AA20,L20+AA20=0,"нов"),0)</f>
        <v>1</v>
      </c>
      <c r="AR20" s="27" cm="1">
        <f t="array" ref="AR20">IFERROR(_xlfn.IFS((M20-AB20)&gt;0,M20/$R$1*$AY$1-AB20,M20+AB20=0,"нов"),0)</f>
        <v>0</v>
      </c>
      <c r="AS20" s="104" cm="1">
        <f t="array" ref="AS20">IFERROR(_xlfn.IFS((N20-AC20)&gt;0,N20/$R$1*$AY$1-AC20,N20+AC20=0,"нов"),0)</f>
        <v>0</v>
      </c>
      <c r="AT20" s="104" cm="1">
        <f t="array" ref="AT20">IFERROR(_xlfn.IFS((O20-AD20)&gt;0,O20/$R$1*$AY$1-AD20,O20+AD20=0,"нов"),0)</f>
        <v>0</v>
      </c>
      <c r="AU20" s="7" t="str" cm="1">
        <f t="array" ref="AU20">IFERROR(_xlfn.IFS((P20-AE20)&gt;0,P20/$R$1*$AY$1-AE20,P20+AE20=0,"нов"),0)</f>
        <v>нов</v>
      </c>
      <c r="AV20" s="7" t="str" cm="1">
        <f t="array" ref="AV20">IFERROR(_xlfn.IFS((Q20-AF20)&gt;0,Q20/$R$1*$AY$1-AF20,Q20+AF20=0,"нов"),0)</f>
        <v>нов</v>
      </c>
      <c r="AW20" s="141">
        <f t="shared" si="12"/>
        <v>4</v>
      </c>
      <c r="AX20" s="218">
        <f>SUMIF('ОЗОН Доступн товара'!D:D,_xlfn.XLOOKUP($B20,'ОЗОН Доступн товара'!$A:$A,'ОЗОН Доступн товара'!$D:$D,0))</f>
        <v>0</v>
      </c>
      <c r="AY20" s="226">
        <f t="shared" si="13"/>
        <v>4</v>
      </c>
      <c r="AZ20" s="7" t="str">
        <f t="shared" si="14"/>
        <v>нов</v>
      </c>
      <c r="BA20" s="7">
        <f t="shared" si="15"/>
        <v>4</v>
      </c>
      <c r="BB20" s="7">
        <f t="shared" si="16"/>
        <v>0</v>
      </c>
      <c r="BC20" s="7">
        <f t="shared" si="17"/>
        <v>0</v>
      </c>
      <c r="BD20" s="27">
        <f t="shared" si="18"/>
        <v>0</v>
      </c>
      <c r="BE20" s="7" t="str">
        <f t="shared" si="19"/>
        <v>нов</v>
      </c>
      <c r="BF20" s="104">
        <f t="shared" si="20"/>
        <v>2</v>
      </c>
      <c r="BG20" s="27">
        <f t="shared" si="21"/>
        <v>0</v>
      </c>
      <c r="BH20" s="104">
        <f t="shared" si="22"/>
        <v>0</v>
      </c>
      <c r="BI20" s="7">
        <f t="shared" si="23"/>
        <v>0</v>
      </c>
      <c r="BJ20" s="153" t="str">
        <f t="shared" si="24"/>
        <v>нов</v>
      </c>
      <c r="BK20" s="7" t="str">
        <f t="shared" si="25"/>
        <v>нов</v>
      </c>
      <c r="BL20" s="6">
        <f t="shared" si="26"/>
        <v>6</v>
      </c>
      <c r="BM20" s="6">
        <f t="shared" si="27"/>
        <v>0</v>
      </c>
      <c r="BN20" s="28">
        <f t="shared" si="28"/>
        <v>6</v>
      </c>
      <c r="BO20" s="73">
        <f>IFERROR(_xlfn.XLOOKUP(A20,'[2] Расчет стоимости и веса'!$I:$I,'[2] Расчет стоимости и веса'!$D:$D),0)</f>
        <v>10</v>
      </c>
      <c r="BP20" s="227">
        <f t="shared" si="29"/>
        <v>10</v>
      </c>
      <c r="BQ20" s="8"/>
      <c r="BR20" s="155"/>
      <c r="BS20" s="12"/>
      <c r="BT20" s="12"/>
      <c r="BU20" s="229"/>
      <c r="BV20" s="12"/>
      <c r="BW20" s="12"/>
      <c r="BY20" s="231"/>
      <c r="BZ20" s="232"/>
      <c r="CA20" s="155"/>
      <c r="CB20" s="157">
        <v>10</v>
      </c>
      <c r="CC20" s="57"/>
      <c r="CD20" s="12"/>
      <c r="CE20" s="146">
        <f t="shared" si="5"/>
        <v>10</v>
      </c>
      <c r="CF20" s="69">
        <f t="shared" si="6"/>
        <v>10</v>
      </c>
      <c r="CG20" s="45">
        <f t="shared" si="7"/>
        <v>0</v>
      </c>
    </row>
    <row r="21" spans="1:85" ht="14.1" customHeight="1">
      <c r="A21" s="91">
        <f>[1]Юнит!A23</f>
        <v>275208802</v>
      </c>
      <c r="B21" s="92">
        <f>[1]Юнит!B23</f>
        <v>2415742636</v>
      </c>
      <c r="C21" s="91" t="str">
        <f>[1]Юнит!C23</f>
        <v>ACRB1MS101BL</v>
      </c>
      <c r="D21" s="236" t="str">
        <f>[1]Юнит!D23</f>
        <v>Массажер для тела голубой</v>
      </c>
      <c r="E21" s="90">
        <f>[1]Юнит!E23</f>
        <v>2041591055954</v>
      </c>
      <c r="F21" s="132">
        <f>ROUNDUP(SUMIFS('ВБ Отчет Продажи (за 60 дней)'!$L:$L,'ВБ Отчет Продажи (за 60 дней)'!$K:$K,"Электросталь",'ВБ Отчет Продажи (за 60 дней)'!$G:$G,$A21),0)</f>
        <v>0</v>
      </c>
      <c r="G21" s="133">
        <f>ROUNDUP(SUMIFS('ВБ Отчет Продажи (за 60 дней)'!$L:$L,'ВБ Отчет Продажи (за 60 дней)'!$K:$K,"Коледино",'ВБ Отчет Продажи (за 60 дней)'!$G:$G,$A21),0)</f>
        <v>0</v>
      </c>
      <c r="H21" s="133">
        <f>ROUNDUP(SUMIFS('ВБ Отчет Продажи (за 60 дней)'!$L:$L,'ВБ Отчет Продажи (за 60 дней)'!$K:$K,"Тула",'ВБ Отчет Продажи (за 60 дней)'!$G:$G,$A21),0)</f>
        <v>0</v>
      </c>
      <c r="I21" s="134">
        <f>ROUNDUP(SUMIFS('ВБ Отчет Продажи (за 60 дней)'!$L:$L,'ВБ Отчет Продажи (за 60 дней)'!$K:$K,"Рязань (Тюшевское)",'ВБ Отчет Продажи (за 60 дней)'!$G:$G,$A21),0)</f>
        <v>0</v>
      </c>
      <c r="J21" s="136">
        <f>ROUNDUP(SUMIFS('ВБ Отчет Продажи (за 60 дней)'!$L:$L,'ВБ Отчет Продажи (за 60 дней)'!$K:$K,"Краснодар",'ВБ Отчет Продажи (за 60 дней)'!$G:$G,$A21),0)</f>
        <v>2</v>
      </c>
      <c r="K21" s="133">
        <f>ROUNDUP(SUMIFS('ВБ Отчет Продажи (за 60 дней)'!$L:$L,'ВБ Отчет Продажи (за 60 дней)'!$K:$K,"Невинномысск",'ВБ Отчет Продажи (за 60 дней)'!$G:$G,$A21),0)</f>
        <v>2</v>
      </c>
      <c r="L21" s="137">
        <f>ROUNDUP(SUMIFS('ВБ Отчет Продажи (за 60 дней)'!$L:$L,'ВБ Отчет Продажи (за 60 дней)'!$K:$K,"Волгоград",'ВБ Отчет Продажи (за 60 дней)'!$G:$G,$A21),0)</f>
        <v>0</v>
      </c>
      <c r="M21" s="136">
        <f>ROUNDUP(SUMIFS('ВБ Отчет Продажи (за 60 дней)'!$L:$L,'ВБ Отчет Продажи (за 60 дней)'!$K:$K,"Самара (Новосемейкино)",'ВБ Отчет Продажи (за 60 дней)'!$G:$G,$A21),0)</f>
        <v>1</v>
      </c>
      <c r="N21" s="137">
        <f>ROUNDUP(SUMIFS('ВБ Отчет Продажи (за 60 дней)'!$L:$L,'ВБ Отчет Продажи (за 60 дней)'!$K:$K,"Казань",'ВБ Отчет Продажи (за 60 дней)'!$G:$G,$A21),0)</f>
        <v>0</v>
      </c>
      <c r="O21" s="137">
        <f>ROUNDUP(SUMIFS('ВБ Отчет Продажи (за 60 дней)'!$L:$L,'ВБ Отчет Продажи (за 60 дней)'!$K:$K,"СПБ Шушары",'ВБ Отчет Продажи (за 60 дней)'!$G:$G,$A21),0)</f>
        <v>0</v>
      </c>
      <c r="P21" s="151">
        <f>ROUNDUP(SUMIFS('ВБ Отчет Продажи (за 60 дней)'!$L:$L,'ВБ Отчет Продажи (за 60 дней)'!$K:$K,"Екатеринбург - Перспективный 12",'ВБ Отчет Продажи (за 60 дней)'!$G:$G,$A21),0)</f>
        <v>0</v>
      </c>
      <c r="Q21" s="149">
        <f>ROUNDUP(SUMIFS('ВБ Отчет Продажи (за 60 дней)'!$L:$L,'ВБ Отчет Продажи (за 60 дней)'!$K:$K,"Новосибирск",'ВБ Отчет Продажи (за 60 дней)'!$G:$G,$A21),0)</f>
        <v>0</v>
      </c>
      <c r="R21" s="131">
        <f t="shared" si="0"/>
        <v>5</v>
      </c>
      <c r="S21" s="139">
        <f>SUMIFS('ОЗОН Оборот ведом (за 60 дней)'!I:I,'ОЗОН Оборот ведом (за 60 дней)'!A:A,B21)</f>
        <v>1</v>
      </c>
      <c r="T21" s="140">
        <f t="shared" si="8"/>
        <v>6</v>
      </c>
      <c r="U21" s="6">
        <f>SUMIFS('ВБ Отчет Продажи (за 60 дней)'!$P:$P,'ВБ Отчет Продажи (за 60 дней)'!$K:$K,"Электросталь",'ВБ Отчет Продажи (за 60 дней)'!$G:$G,$A21)</f>
        <v>0</v>
      </c>
      <c r="V21" s="7">
        <f>SUMIFS('ВБ Отчет Продажи (за 60 дней)'!$P:$P,'ВБ Отчет Продажи (за 60 дней)'!$K:$K,"Коледино",'ВБ Отчет Продажи (за 60 дней)'!$G:$G,$A21)</f>
        <v>0</v>
      </c>
      <c r="W21" s="7">
        <f>SUMIFS('ВБ Отчет Продажи (за 60 дней)'!$P:$P,'ВБ Отчет Продажи (за 60 дней)'!$K:$K,"Тула",'ВБ Отчет Продажи (за 60 дней)'!$G:$G,$A21)</f>
        <v>0</v>
      </c>
      <c r="X21" s="7">
        <f>SUMIFS('ВБ Отчет Продажи (за 60 дней)'!$P:$P,'ВБ Отчет Продажи (за 60 дней)'!$K:$K,"Рязань (Тюшевское)",'ВБ Отчет Продажи (за 60 дней)'!$G:$G,$A21)</f>
        <v>0</v>
      </c>
      <c r="Y21" s="27">
        <f>SUMIFS('ВБ Отчет Продажи (за 60 дней)'!$P:$P,'ВБ Отчет Продажи (за 60 дней)'!$K:$K,"Краснодар",'ВБ Отчет Продажи (за 60 дней)'!$G:$G,$A21)</f>
        <v>0</v>
      </c>
      <c r="Z21" s="7">
        <f>SUMIFS('ВБ Отчет Продажи (за 60 дней)'!$P:$P,'ВБ Отчет Продажи (за 60 дней)'!$K:$K,"Невинномысск",'ВБ Отчет Продажи (за 60 дней)'!$G:$G,$A21)</f>
        <v>0</v>
      </c>
      <c r="AA21" s="104">
        <f>SUMIFS('ВБ Отчет Продажи (за 60 дней)'!$P:$P,'ВБ Отчет Продажи (за 60 дней)'!$K:$K,"Волгоград",'ВБ Отчет Продажи (за 60 дней)'!$G:$G,$A21)</f>
        <v>0</v>
      </c>
      <c r="AB21" s="27">
        <f>SUMIFS('ВБ Отчет Продажи (за 60 дней)'!$P:$P,'ВБ Отчет Продажи (за 60 дней)'!$K:$K,"Самара (Новосемейкино)",'ВБ Отчет Продажи (за 60 дней)'!$G:$G,$A21)</f>
        <v>0</v>
      </c>
      <c r="AC21" s="104">
        <f>SUMIFS('ВБ Отчет Продажи (за 60 дней)'!$P:$P,'ВБ Отчет Продажи (за 60 дней)'!$K:$K,"Казань",'ВБ Отчет Продажи (за 60 дней)'!$G:$G,$A21)</f>
        <v>0</v>
      </c>
      <c r="AD21" s="104">
        <f>SUMIFS('ВБ Отчет Продажи (за 60 дней)'!$P:$P,'ВБ Отчет Продажи (за 60 дней)'!$K:$K,"СПБ Шушары",'ВБ Отчет Продажи (за 60 дней)'!$G:$G,$A21)</f>
        <v>0</v>
      </c>
      <c r="AE21" s="153">
        <f>SUMIFS('ВБ Отчет Продажи (за 60 дней)'!$P:$P,'ВБ Отчет Продажи (за 60 дней)'!$K:$K,"Екатеринбург - Перспективный 12",'ВБ Отчет Продажи (за 60 дней)'!$G:$G,$A21)</f>
        <v>0</v>
      </c>
      <c r="AF21" s="102">
        <f>SUMIFS('ВБ Отчет Продажи (за 60 дней)'!$P:$P,'ВБ Отчет Продажи (за 60 дней)'!$K:$K,"Новосибирск",'ВБ Отчет Продажи (за 60 дней)'!$G:$G,$A21)</f>
        <v>0</v>
      </c>
      <c r="AG21" s="124">
        <f t="shared" si="9"/>
        <v>0</v>
      </c>
      <c r="AH21" s="7">
        <f t="shared" si="10"/>
        <v>0</v>
      </c>
      <c r="AI21" s="213">
        <f>SUMIFS('ОЗОН Оборот ведом (за 60 дней)'!J:J,'ОЗОН Оборот ведом (за 60 дней)'!A:A,B21)</f>
        <v>0</v>
      </c>
      <c r="AJ21" s="21">
        <f t="shared" si="11"/>
        <v>0</v>
      </c>
      <c r="AK21" s="7" t="str" cm="1">
        <f t="array" ref="AK21">IFERROR(_xlfn.IFS((F21-U21)&gt;0,F21/$R$1*$AY$1-U21,F21+U21=0,"нов"),0)</f>
        <v>нов</v>
      </c>
      <c r="AL21" s="7" t="str" cm="1">
        <f t="array" ref="AL21">IFERROR(_xlfn.IFS((G21-V21)&gt;0,G21/$R$1*$AY$1-V21,G21+V21=0,"нов"),0)</f>
        <v>нов</v>
      </c>
      <c r="AM21" s="7" t="str" cm="1">
        <f t="array" ref="AM21">IFERROR(_xlfn.IFS((H21-W21)&gt;0,H21/$R$1*$AY$1-W21,H21+W21=0,"нов"),0)</f>
        <v>нов</v>
      </c>
      <c r="AN21" s="7" t="str" cm="1">
        <f t="array" ref="AN21">IFERROR(_xlfn.IFS((I21-X21)&gt;0,I21/$R$1*$AY$1-X21,I21+X21=0,"нов"),0)</f>
        <v>нов</v>
      </c>
      <c r="AO21" s="27" cm="1">
        <f t="array" ref="AO21">IFERROR(_xlfn.IFS((J21-Y21)&gt;0,J21/$R$1*$AY$1-Y21,J21+Y21=0,"нов"),0)</f>
        <v>2</v>
      </c>
      <c r="AP21" s="7" cm="1">
        <f t="array" ref="AP21">IFERROR(_xlfn.IFS((K21-Z21)&gt;0,K21/$R$1*$AY$1-Z21,K21+Z21=0,"нов"),0)</f>
        <v>2</v>
      </c>
      <c r="AQ21" s="104" t="str" cm="1">
        <f t="array" ref="AQ21">IFERROR(_xlfn.IFS((L21-AA21)&gt;0,L21/$R$1*$AY$1-AA21,L21+AA21=0,"нов"),0)</f>
        <v>нов</v>
      </c>
      <c r="AR21" s="27" cm="1">
        <f t="array" ref="AR21">IFERROR(_xlfn.IFS((M21-AB21)&gt;0,M21/$R$1*$AY$1-AB21,M21+AB21=0,"нов"),0)</f>
        <v>1</v>
      </c>
      <c r="AS21" s="104" t="str" cm="1">
        <f t="array" ref="AS21">IFERROR(_xlfn.IFS((N21-AC21)&gt;0,N21/$R$1*$AY$1-AC21,N21+AC21=0,"нов"),0)</f>
        <v>нов</v>
      </c>
      <c r="AT21" s="104" t="str" cm="1">
        <f t="array" ref="AT21">IFERROR(_xlfn.IFS((O21-AD21)&gt;0,O21/$R$1*$AY$1-AD21,O21+AD21=0,"нов"),0)</f>
        <v>нов</v>
      </c>
      <c r="AU21" s="7" t="str" cm="1">
        <f t="array" ref="AU21">IFERROR(_xlfn.IFS((P21-AE21)&gt;0,P21/$R$1*$AY$1-AE21,P21+AE21=0,"нов"),0)</f>
        <v>нов</v>
      </c>
      <c r="AV21" s="7" t="str" cm="1">
        <f t="array" ref="AV21">IFERROR(_xlfn.IFS((Q21-AF21)&gt;0,Q21/$R$1*$AY$1-AF21,Q21+AF21=0,"нов"),0)</f>
        <v>нов</v>
      </c>
      <c r="AW21" s="141">
        <f t="shared" si="12"/>
        <v>5</v>
      </c>
      <c r="AX21" s="218">
        <f>SUMIF('ОЗОН Доступн товара'!D:D,_xlfn.XLOOKUP($B21,'ОЗОН Доступн товара'!$A:$A,'ОЗОН Доступн товара'!$D:$D,0))</f>
        <v>0</v>
      </c>
      <c r="AY21" s="226">
        <f t="shared" si="13"/>
        <v>5</v>
      </c>
      <c r="AZ21" s="7" t="str">
        <f t="shared" si="14"/>
        <v>нов</v>
      </c>
      <c r="BA21" s="7" t="str">
        <f t="shared" si="15"/>
        <v>нов</v>
      </c>
      <c r="BB21" s="7" t="str">
        <f t="shared" si="16"/>
        <v>нов</v>
      </c>
      <c r="BC21" s="7" t="str">
        <f t="shared" si="17"/>
        <v>нов</v>
      </c>
      <c r="BD21" s="27">
        <f t="shared" si="18"/>
        <v>3</v>
      </c>
      <c r="BE21" s="7">
        <f t="shared" si="19"/>
        <v>3</v>
      </c>
      <c r="BF21" s="104" t="str">
        <f t="shared" si="20"/>
        <v>нов</v>
      </c>
      <c r="BG21" s="27">
        <f t="shared" si="21"/>
        <v>2</v>
      </c>
      <c r="BH21" s="104" t="str">
        <f t="shared" si="22"/>
        <v>нов</v>
      </c>
      <c r="BI21" s="7" t="str">
        <f t="shared" si="23"/>
        <v>нов</v>
      </c>
      <c r="BJ21" s="153" t="str">
        <f t="shared" si="24"/>
        <v>нов</v>
      </c>
      <c r="BK21" s="7" t="str">
        <f t="shared" si="25"/>
        <v>нов</v>
      </c>
      <c r="BL21" s="6">
        <f t="shared" si="26"/>
        <v>8</v>
      </c>
      <c r="BM21" s="6">
        <f t="shared" si="27"/>
        <v>0</v>
      </c>
      <c r="BN21" s="28">
        <f t="shared" si="28"/>
        <v>8</v>
      </c>
      <c r="BO21" s="73">
        <f>IFERROR(_xlfn.XLOOKUP(A21,'[2] Расчет стоимости и веса'!$I:$I,'[2] Расчет стоимости и веса'!$D:$D),0)</f>
        <v>60</v>
      </c>
      <c r="BP21" s="227">
        <f t="shared" si="29"/>
        <v>60</v>
      </c>
      <c r="BQ21" s="8"/>
      <c r="BR21" s="155">
        <v>20</v>
      </c>
      <c r="BS21" s="12"/>
      <c r="BT21" s="12"/>
      <c r="BU21" s="229"/>
      <c r="BV21" s="12"/>
      <c r="BW21" s="12">
        <v>10</v>
      </c>
      <c r="BY21" s="231">
        <v>10</v>
      </c>
      <c r="BZ21" s="232"/>
      <c r="CA21" s="155">
        <v>10</v>
      </c>
      <c r="CB21" s="157">
        <v>10</v>
      </c>
      <c r="CC21" s="57"/>
      <c r="CD21" s="12"/>
      <c r="CE21" s="146">
        <f t="shared" si="5"/>
        <v>60</v>
      </c>
      <c r="CF21" s="69">
        <f t="shared" si="6"/>
        <v>60</v>
      </c>
      <c r="CG21" s="45">
        <f t="shared" si="7"/>
        <v>0</v>
      </c>
    </row>
    <row r="22" spans="1:85" ht="14.1" customHeight="1">
      <c r="A22" s="91">
        <f>[1]Юнит!A24</f>
        <v>236072835</v>
      </c>
      <c r="B22" s="92">
        <f>[1]Юнит!B24</f>
        <v>1980924906</v>
      </c>
      <c r="C22" s="91" t="str">
        <f>[1]Юнит!C24</f>
        <v>ACRB1MS106WH</v>
      </c>
      <c r="D22" s="236" t="str">
        <f>[1]Юнит!D24</f>
        <v>Мяч с шипами белый 6 см</v>
      </c>
      <c r="E22" s="90">
        <f>[1]Юнит!E24</f>
        <v>2040278804496</v>
      </c>
      <c r="F22" s="132">
        <f>ROUNDUP(SUMIFS('ВБ Отчет Продажи (за 60 дней)'!$L:$L,'ВБ Отчет Продажи (за 60 дней)'!$K:$K,"Электросталь",'ВБ Отчет Продажи (за 60 дней)'!$G:$G,$A22),0)</f>
        <v>20</v>
      </c>
      <c r="G22" s="133">
        <f>ROUNDUP(SUMIFS('ВБ Отчет Продажи (за 60 дней)'!$L:$L,'ВБ Отчет Продажи (за 60 дней)'!$K:$K,"Коледино",'ВБ Отчет Продажи (за 60 дней)'!$G:$G,$A22),0)</f>
        <v>3</v>
      </c>
      <c r="H22" s="133">
        <f>ROUNDUP(SUMIFS('ВБ Отчет Продажи (за 60 дней)'!$L:$L,'ВБ Отчет Продажи (за 60 дней)'!$K:$K,"Тула",'ВБ Отчет Продажи (за 60 дней)'!$G:$G,$A22),0)</f>
        <v>3</v>
      </c>
      <c r="I22" s="134">
        <f>ROUNDUP(SUMIFS('ВБ Отчет Продажи (за 60 дней)'!$L:$L,'ВБ Отчет Продажи (за 60 дней)'!$K:$K,"Рязань (Тюшевское)",'ВБ Отчет Продажи (за 60 дней)'!$G:$G,$A22),0)</f>
        <v>6</v>
      </c>
      <c r="J22" s="136">
        <f>ROUNDUP(SUMIFS('ВБ Отчет Продажи (за 60 дней)'!$L:$L,'ВБ Отчет Продажи (за 60 дней)'!$K:$K,"Краснодар",'ВБ Отчет Продажи (за 60 дней)'!$G:$G,$A22),0)</f>
        <v>1</v>
      </c>
      <c r="K22" s="133">
        <f>ROUNDUP(SUMIFS('ВБ Отчет Продажи (за 60 дней)'!$L:$L,'ВБ Отчет Продажи (за 60 дней)'!$K:$K,"Невинномысск",'ВБ Отчет Продажи (за 60 дней)'!$G:$G,$A22),0)</f>
        <v>10</v>
      </c>
      <c r="L22" s="137">
        <f>ROUNDUP(SUMIFS('ВБ Отчет Продажи (за 60 дней)'!$L:$L,'ВБ Отчет Продажи (за 60 дней)'!$K:$K,"Волгоград",'ВБ Отчет Продажи (за 60 дней)'!$G:$G,$A22),0)</f>
        <v>0</v>
      </c>
      <c r="M22" s="136">
        <f>ROUNDUP(SUMIFS('ВБ Отчет Продажи (за 60 дней)'!$L:$L,'ВБ Отчет Продажи (за 60 дней)'!$K:$K,"Самара (Новосемейкино)",'ВБ Отчет Продажи (за 60 дней)'!$G:$G,$A22),0)</f>
        <v>29</v>
      </c>
      <c r="N22" s="137">
        <f>ROUNDUP(SUMIFS('ВБ Отчет Продажи (за 60 дней)'!$L:$L,'ВБ Отчет Продажи (за 60 дней)'!$K:$K,"Казань",'ВБ Отчет Продажи (за 60 дней)'!$G:$G,$A22),0)</f>
        <v>0</v>
      </c>
      <c r="O22" s="137">
        <f>ROUNDUP(SUMIFS('ВБ Отчет Продажи (за 60 дней)'!$L:$L,'ВБ Отчет Продажи (за 60 дней)'!$K:$K,"СПБ Шушары",'ВБ Отчет Продажи (за 60 дней)'!$G:$G,$A22),0)</f>
        <v>16</v>
      </c>
      <c r="P22" s="151">
        <f>ROUNDUP(SUMIFS('ВБ Отчет Продажи (за 60 дней)'!$L:$L,'ВБ Отчет Продажи (за 60 дней)'!$K:$K,"Екатеринбург - Перспективный 12",'ВБ Отчет Продажи (за 60 дней)'!$G:$G,$A22),0)</f>
        <v>0</v>
      </c>
      <c r="Q22" s="149">
        <f>ROUNDUP(SUMIFS('ВБ Отчет Продажи (за 60 дней)'!$L:$L,'ВБ Отчет Продажи (за 60 дней)'!$K:$K,"Новосибирск",'ВБ Отчет Продажи (за 60 дней)'!$G:$G,$A22),0)</f>
        <v>0</v>
      </c>
      <c r="R22" s="131">
        <f t="shared" si="0"/>
        <v>88</v>
      </c>
      <c r="S22" s="139">
        <f>SUMIFS('ОЗОН Оборот ведом (за 60 дней)'!I:I,'ОЗОН Оборот ведом (за 60 дней)'!A:A,B22)</f>
        <v>26</v>
      </c>
      <c r="T22" s="140">
        <f t="shared" si="8"/>
        <v>114</v>
      </c>
      <c r="U22" s="6">
        <f>SUMIFS('ВБ Отчет Продажи (за 60 дней)'!$P:$P,'ВБ Отчет Продажи (за 60 дней)'!$K:$K,"Электросталь",'ВБ Отчет Продажи (за 60 дней)'!$G:$G,$A22)</f>
        <v>16</v>
      </c>
      <c r="V22" s="7">
        <f>SUMIFS('ВБ Отчет Продажи (за 60 дней)'!$P:$P,'ВБ Отчет Продажи (за 60 дней)'!$K:$K,"Коледино",'ВБ Отчет Продажи (за 60 дней)'!$G:$G,$A22)</f>
        <v>1</v>
      </c>
      <c r="W22" s="7">
        <f>SUMIFS('ВБ Отчет Продажи (за 60 дней)'!$P:$P,'ВБ Отчет Продажи (за 60 дней)'!$K:$K,"Тула",'ВБ Отчет Продажи (за 60 дней)'!$G:$G,$A22)</f>
        <v>0</v>
      </c>
      <c r="X22" s="7">
        <f>SUMIFS('ВБ Отчет Продажи (за 60 дней)'!$P:$P,'ВБ Отчет Продажи (за 60 дней)'!$K:$K,"Рязань (Тюшевское)",'ВБ Отчет Продажи (за 60 дней)'!$G:$G,$A22)</f>
        <v>24</v>
      </c>
      <c r="Y22" s="27">
        <f>SUMIFS('ВБ Отчет Продажи (за 60 дней)'!$P:$P,'ВБ Отчет Продажи (за 60 дней)'!$K:$K,"Краснодар",'ВБ Отчет Продажи (за 60 дней)'!$G:$G,$A22)</f>
        <v>0</v>
      </c>
      <c r="Z22" s="7">
        <f>SUMIFS('ВБ Отчет Продажи (за 60 дней)'!$P:$P,'ВБ Отчет Продажи (за 60 дней)'!$K:$K,"Невинномысск",'ВБ Отчет Продажи (за 60 дней)'!$G:$G,$A22)</f>
        <v>64</v>
      </c>
      <c r="AA22" s="104">
        <f>SUMIFS('ВБ Отчет Продажи (за 60 дней)'!$P:$P,'ВБ Отчет Продажи (за 60 дней)'!$K:$K,"Волгоград",'ВБ Отчет Продажи (за 60 дней)'!$G:$G,$A22)</f>
        <v>0</v>
      </c>
      <c r="AB22" s="27">
        <f>SUMIFS('ВБ Отчет Продажи (за 60 дней)'!$P:$P,'ВБ Отчет Продажи (за 60 дней)'!$K:$K,"Самара (Новосемейкино)",'ВБ Отчет Продажи (за 60 дней)'!$G:$G,$A22)</f>
        <v>40</v>
      </c>
      <c r="AC22" s="104">
        <f>SUMIFS('ВБ Отчет Продажи (за 60 дней)'!$P:$P,'ВБ Отчет Продажи (за 60 дней)'!$K:$K,"Казань",'ВБ Отчет Продажи (за 60 дней)'!$G:$G,$A22)</f>
        <v>0</v>
      </c>
      <c r="AD22" s="104">
        <f>SUMIFS('ВБ Отчет Продажи (за 60 дней)'!$P:$P,'ВБ Отчет Продажи (за 60 дней)'!$K:$K,"СПБ Шушары",'ВБ Отчет Продажи (за 60 дней)'!$G:$G,$A22)</f>
        <v>119</v>
      </c>
      <c r="AE22" s="153">
        <f>SUMIFS('ВБ Отчет Продажи (за 60 дней)'!$P:$P,'ВБ Отчет Продажи (за 60 дней)'!$K:$K,"Екатеринбург - Перспективный 12",'ВБ Отчет Продажи (за 60 дней)'!$G:$G,$A22)</f>
        <v>0</v>
      </c>
      <c r="AF22" s="102">
        <f>SUMIFS('ВБ Отчет Продажи (за 60 дней)'!$P:$P,'ВБ Отчет Продажи (за 60 дней)'!$K:$K,"Новосибирск",'ВБ Отчет Продажи (за 60 дней)'!$G:$G,$A22)</f>
        <v>0</v>
      </c>
      <c r="AG22" s="124">
        <f t="shared" si="9"/>
        <v>264</v>
      </c>
      <c r="AH22" s="7">
        <f t="shared" si="10"/>
        <v>180</v>
      </c>
      <c r="AI22" s="213">
        <f>SUMIFS('ОЗОН Оборот ведом (за 60 дней)'!J:J,'ОЗОН Оборот ведом (за 60 дней)'!A:A,B22)</f>
        <v>1</v>
      </c>
      <c r="AJ22" s="21">
        <f t="shared" si="11"/>
        <v>265</v>
      </c>
      <c r="AK22" s="7" cm="1">
        <f t="array" ref="AK22">IFERROR(_xlfn.IFS((F22-U22)&gt;0,F22/$R$1*$AY$1-U22,F22+U22=0,"нов"),0)</f>
        <v>4</v>
      </c>
      <c r="AL22" s="7" cm="1">
        <f t="array" ref="AL22">IFERROR(_xlfn.IFS((G22-V22)&gt;0,G22/$R$1*$AY$1-V22,G22+V22=0,"нов"),0)</f>
        <v>2</v>
      </c>
      <c r="AM22" s="7" cm="1">
        <f t="array" ref="AM22">IFERROR(_xlfn.IFS((H22-W22)&gt;0,H22/$R$1*$AY$1-W22,H22+W22=0,"нов"),0)</f>
        <v>3</v>
      </c>
      <c r="AN22" s="7" cm="1">
        <f t="array" ref="AN22">IFERROR(_xlfn.IFS((I22-X22)&gt;0,I22/$R$1*$AY$1-X22,I22+X22=0,"нов"),0)</f>
        <v>0</v>
      </c>
      <c r="AO22" s="27" cm="1">
        <f t="array" ref="AO22">IFERROR(_xlfn.IFS((J22-Y22)&gt;0,J22/$R$1*$AY$1-Y22,J22+Y22=0,"нов"),0)</f>
        <v>1</v>
      </c>
      <c r="AP22" s="7" cm="1">
        <f t="array" ref="AP22">IFERROR(_xlfn.IFS((K22-Z22)&gt;0,K22/$R$1*$AY$1-Z22,K22+Z22=0,"нов"),0)</f>
        <v>0</v>
      </c>
      <c r="AQ22" s="104" t="str" cm="1">
        <f t="array" ref="AQ22">IFERROR(_xlfn.IFS((L22-AA22)&gt;0,L22/$R$1*$AY$1-AA22,L22+AA22=0,"нов"),0)</f>
        <v>нов</v>
      </c>
      <c r="AR22" s="27" cm="1">
        <f t="array" ref="AR22">IFERROR(_xlfn.IFS((M22-AB22)&gt;0,M22/$R$1*$AY$1-AB22,M22+AB22=0,"нов"),0)</f>
        <v>0</v>
      </c>
      <c r="AS22" s="104" t="str" cm="1">
        <f t="array" ref="AS22">IFERROR(_xlfn.IFS((N22-AC22)&gt;0,N22/$R$1*$AY$1-AC22,N22+AC22=0,"нов"),0)</f>
        <v>нов</v>
      </c>
      <c r="AT22" s="104" cm="1">
        <f t="array" ref="AT22">IFERROR(_xlfn.IFS((O22-AD22)&gt;0,O22/$R$1*$AY$1-AD22,O22+AD22=0,"нов"),0)</f>
        <v>0</v>
      </c>
      <c r="AU22" s="7" t="str" cm="1">
        <f t="array" ref="AU22">IFERROR(_xlfn.IFS((P22-AE22)&gt;0,P22/$R$1*$AY$1-AE22,P22+AE22=0,"нов"),0)</f>
        <v>нов</v>
      </c>
      <c r="AV22" s="7" t="str" cm="1">
        <f t="array" ref="AV22">IFERROR(_xlfn.IFS((Q22-AF22)&gt;0,Q22/$R$1*$AY$1-AF22,Q22+AF22=0,"нов"),0)</f>
        <v>нов</v>
      </c>
      <c r="AW22" s="141">
        <f t="shared" si="12"/>
        <v>10</v>
      </c>
      <c r="AX22" s="218">
        <f>SUMIF('ОЗОН Доступн товара'!D:D,_xlfn.XLOOKUP($B22,'ОЗОН Доступн товара'!$A:$A,'ОЗОН Доступн товара'!$D:$D,0))</f>
        <v>0</v>
      </c>
      <c r="AY22" s="226">
        <f t="shared" si="13"/>
        <v>10</v>
      </c>
      <c r="AZ22" s="7">
        <f t="shared" si="14"/>
        <v>6</v>
      </c>
      <c r="BA22" s="7">
        <f t="shared" si="15"/>
        <v>3</v>
      </c>
      <c r="BB22" s="7">
        <f t="shared" si="16"/>
        <v>4</v>
      </c>
      <c r="BC22" s="7">
        <f t="shared" si="17"/>
        <v>0</v>
      </c>
      <c r="BD22" s="27">
        <f t="shared" si="18"/>
        <v>2</v>
      </c>
      <c r="BE22" s="7">
        <f t="shared" si="19"/>
        <v>0</v>
      </c>
      <c r="BF22" s="104" t="str">
        <f t="shared" si="20"/>
        <v>нов</v>
      </c>
      <c r="BG22" s="27">
        <f t="shared" si="21"/>
        <v>0</v>
      </c>
      <c r="BH22" s="104" t="str">
        <f t="shared" si="22"/>
        <v>нов</v>
      </c>
      <c r="BI22" s="7">
        <f t="shared" si="23"/>
        <v>0</v>
      </c>
      <c r="BJ22" s="153" t="str">
        <f t="shared" si="24"/>
        <v>нов</v>
      </c>
      <c r="BK22" s="7" t="str">
        <f t="shared" si="25"/>
        <v>нов</v>
      </c>
      <c r="BL22" s="6">
        <f t="shared" si="26"/>
        <v>15</v>
      </c>
      <c r="BM22" s="6">
        <f t="shared" si="27"/>
        <v>0</v>
      </c>
      <c r="BN22" s="28">
        <f t="shared" si="28"/>
        <v>15</v>
      </c>
      <c r="BO22" s="73">
        <f>IFERROR(_xlfn.XLOOKUP(A22,'[2] Расчет стоимости и веса'!$I:$I,'[2] Расчет стоимости и веса'!$D:$D),0)</f>
        <v>125</v>
      </c>
      <c r="BP22" s="227">
        <f t="shared" si="29"/>
        <v>125</v>
      </c>
      <c r="BQ22" s="8"/>
      <c r="BR22" s="155">
        <v>75</v>
      </c>
      <c r="BS22" s="12"/>
      <c r="BT22" s="12"/>
      <c r="BU22" s="229"/>
      <c r="BV22" s="12"/>
      <c r="BW22" s="12"/>
      <c r="BY22" s="231"/>
      <c r="BZ22" s="232"/>
      <c r="CA22" s="155"/>
      <c r="CB22" s="157">
        <v>50</v>
      </c>
      <c r="CC22" s="57"/>
      <c r="CD22" s="12"/>
      <c r="CE22" s="146">
        <f t="shared" si="5"/>
        <v>125</v>
      </c>
      <c r="CF22" s="69">
        <f t="shared" si="6"/>
        <v>125</v>
      </c>
      <c r="CG22" s="45">
        <f t="shared" si="7"/>
        <v>0</v>
      </c>
    </row>
    <row r="23" spans="1:85" ht="14.1" customHeight="1">
      <c r="A23" s="91">
        <f>[1]Юнит!A25</f>
        <v>236072836</v>
      </c>
      <c r="B23" s="92">
        <f>[1]Юнит!B25</f>
        <v>1980925084</v>
      </c>
      <c r="C23" s="91" t="str">
        <f>[1]Юнит!C25</f>
        <v>ACRB1MS106PN</v>
      </c>
      <c r="D23" s="236" t="str">
        <f>[1]Юнит!D25</f>
        <v>Мяч с шипами розовый 6 см</v>
      </c>
      <c r="E23" s="90">
        <f>[1]Юнит!E25</f>
        <v>2040278810534</v>
      </c>
      <c r="F23" s="132">
        <f>ROUNDUP(SUMIFS('ВБ Отчет Продажи (за 60 дней)'!$L:$L,'ВБ Отчет Продажи (за 60 дней)'!$K:$K,"Электросталь",'ВБ Отчет Продажи (за 60 дней)'!$G:$G,$A23),0)</f>
        <v>1</v>
      </c>
      <c r="G23" s="133">
        <f>ROUNDUP(SUMIFS('ВБ Отчет Продажи (за 60 дней)'!$L:$L,'ВБ Отчет Продажи (за 60 дней)'!$K:$K,"Коледино",'ВБ Отчет Продажи (за 60 дней)'!$G:$G,$A23),0)</f>
        <v>4</v>
      </c>
      <c r="H23" s="133">
        <f>ROUNDUP(SUMIFS('ВБ Отчет Продажи (за 60 дней)'!$L:$L,'ВБ Отчет Продажи (за 60 дней)'!$K:$K,"Тула",'ВБ Отчет Продажи (за 60 дней)'!$G:$G,$A23),0)</f>
        <v>1</v>
      </c>
      <c r="I23" s="134">
        <f>ROUNDUP(SUMIFS('ВБ Отчет Продажи (за 60 дней)'!$L:$L,'ВБ Отчет Продажи (за 60 дней)'!$K:$K,"Рязань (Тюшевское)",'ВБ Отчет Продажи (за 60 дней)'!$G:$G,$A23),0)</f>
        <v>15</v>
      </c>
      <c r="J23" s="136">
        <f>ROUNDUP(SUMIFS('ВБ Отчет Продажи (за 60 дней)'!$L:$L,'ВБ Отчет Продажи (за 60 дней)'!$K:$K,"Краснодар",'ВБ Отчет Продажи (за 60 дней)'!$G:$G,$A23),0)</f>
        <v>14</v>
      </c>
      <c r="K23" s="133">
        <f>ROUNDUP(SUMIFS('ВБ Отчет Продажи (за 60 дней)'!$L:$L,'ВБ Отчет Продажи (за 60 дней)'!$K:$K,"Невинномысск",'ВБ Отчет Продажи (за 60 дней)'!$G:$G,$A23),0)</f>
        <v>1</v>
      </c>
      <c r="L23" s="137">
        <f>ROUNDUP(SUMIFS('ВБ Отчет Продажи (за 60 дней)'!$L:$L,'ВБ Отчет Продажи (за 60 дней)'!$K:$K,"Волгоград",'ВБ Отчет Продажи (за 60 дней)'!$G:$G,$A23),0)</f>
        <v>0</v>
      </c>
      <c r="M23" s="136">
        <f>ROUNDUP(SUMIFS('ВБ Отчет Продажи (за 60 дней)'!$L:$L,'ВБ Отчет Продажи (за 60 дней)'!$K:$K,"Самара (Новосемейкино)",'ВБ Отчет Продажи (за 60 дней)'!$G:$G,$A23),0)</f>
        <v>45</v>
      </c>
      <c r="N23" s="137">
        <f>ROUNDUP(SUMIFS('ВБ Отчет Продажи (за 60 дней)'!$L:$L,'ВБ Отчет Продажи (за 60 дней)'!$K:$K,"Казань",'ВБ Отчет Продажи (за 60 дней)'!$G:$G,$A23),0)</f>
        <v>0</v>
      </c>
      <c r="O23" s="137">
        <f>ROUNDUP(SUMIFS('ВБ Отчет Продажи (за 60 дней)'!$L:$L,'ВБ Отчет Продажи (за 60 дней)'!$K:$K,"СПБ Шушары",'ВБ Отчет Продажи (за 60 дней)'!$G:$G,$A23),0)</f>
        <v>28</v>
      </c>
      <c r="P23" s="151">
        <f>ROUNDUP(SUMIFS('ВБ Отчет Продажи (за 60 дней)'!$L:$L,'ВБ Отчет Продажи (за 60 дней)'!$K:$K,"Екатеринбург - Перспективный 12",'ВБ Отчет Продажи (за 60 дней)'!$G:$G,$A23),0)</f>
        <v>0</v>
      </c>
      <c r="Q23" s="149">
        <f>ROUNDUP(SUMIFS('ВБ Отчет Продажи (за 60 дней)'!$L:$L,'ВБ Отчет Продажи (за 60 дней)'!$K:$K,"Новосибирск",'ВБ Отчет Продажи (за 60 дней)'!$G:$G,$A23),0)</f>
        <v>0</v>
      </c>
      <c r="R23" s="131">
        <f t="shared" si="0"/>
        <v>109</v>
      </c>
      <c r="S23" s="139">
        <f>SUMIFS('ОЗОН Оборот ведом (за 60 дней)'!I:I,'ОЗОН Оборот ведом (за 60 дней)'!A:A,B23)</f>
        <v>60</v>
      </c>
      <c r="T23" s="140">
        <f t="shared" si="8"/>
        <v>169</v>
      </c>
      <c r="U23" s="6">
        <f>SUMIFS('ВБ Отчет Продажи (за 60 дней)'!$P:$P,'ВБ Отчет Продажи (за 60 дней)'!$K:$K,"Электросталь",'ВБ Отчет Продажи (за 60 дней)'!$G:$G,$A23)</f>
        <v>0</v>
      </c>
      <c r="V23" s="7">
        <f>SUMIFS('ВБ Отчет Продажи (за 60 дней)'!$P:$P,'ВБ Отчет Продажи (за 60 дней)'!$K:$K,"Коледино",'ВБ Отчет Продажи (за 60 дней)'!$G:$G,$A23)</f>
        <v>0</v>
      </c>
      <c r="W23" s="7">
        <f>SUMIFS('ВБ Отчет Продажи (за 60 дней)'!$P:$P,'ВБ Отчет Продажи (за 60 дней)'!$K:$K,"Тула",'ВБ Отчет Продажи (за 60 дней)'!$G:$G,$A23)</f>
        <v>1</v>
      </c>
      <c r="X23" s="7">
        <f>SUMIFS('ВБ Отчет Продажи (за 60 дней)'!$P:$P,'ВБ Отчет Продажи (за 60 дней)'!$K:$K,"Рязань (Тюшевское)",'ВБ Отчет Продажи (за 60 дней)'!$G:$G,$A23)</f>
        <v>0</v>
      </c>
      <c r="Y23" s="27">
        <f>SUMIFS('ВБ Отчет Продажи (за 60 дней)'!$P:$P,'ВБ Отчет Продажи (за 60 дней)'!$K:$K,"Краснодар",'ВБ Отчет Продажи (за 60 дней)'!$G:$G,$A23)</f>
        <v>0</v>
      </c>
      <c r="Z23" s="7">
        <f>SUMIFS('ВБ Отчет Продажи (за 60 дней)'!$P:$P,'ВБ Отчет Продажи (за 60 дней)'!$K:$K,"Невинномысск",'ВБ Отчет Продажи (за 60 дней)'!$G:$G,$A23)</f>
        <v>0</v>
      </c>
      <c r="AA23" s="104">
        <f>SUMIFS('ВБ Отчет Продажи (за 60 дней)'!$P:$P,'ВБ Отчет Продажи (за 60 дней)'!$K:$K,"Волгоград",'ВБ Отчет Продажи (за 60 дней)'!$G:$G,$A23)</f>
        <v>0</v>
      </c>
      <c r="AB23" s="27">
        <f>SUMIFS('ВБ Отчет Продажи (за 60 дней)'!$P:$P,'ВБ Отчет Продажи (за 60 дней)'!$K:$K,"Самара (Новосемейкино)",'ВБ Отчет Продажи (за 60 дней)'!$G:$G,$A23)</f>
        <v>0</v>
      </c>
      <c r="AC23" s="104">
        <f>SUMIFS('ВБ Отчет Продажи (за 60 дней)'!$P:$P,'ВБ Отчет Продажи (за 60 дней)'!$K:$K,"Казань",'ВБ Отчет Продажи (за 60 дней)'!$G:$G,$A23)</f>
        <v>0</v>
      </c>
      <c r="AD23" s="104">
        <f>SUMIFS('ВБ Отчет Продажи (за 60 дней)'!$P:$P,'ВБ Отчет Продажи (за 60 дней)'!$K:$K,"СПБ Шушары",'ВБ Отчет Продажи (за 60 дней)'!$G:$G,$A23)</f>
        <v>0</v>
      </c>
      <c r="AE23" s="153">
        <f>SUMIFS('ВБ Отчет Продажи (за 60 дней)'!$P:$P,'ВБ Отчет Продажи (за 60 дней)'!$K:$K,"Екатеринбург - Перспективный 12",'ВБ Отчет Продажи (за 60 дней)'!$G:$G,$A23)</f>
        <v>0</v>
      </c>
      <c r="AF23" s="102">
        <f>SUMIFS('ВБ Отчет Продажи (за 60 дней)'!$P:$P,'ВБ Отчет Продажи (за 60 дней)'!$K:$K,"Новосибирск",'ВБ Отчет Продажи (за 60 дней)'!$G:$G,$A23)</f>
        <v>0</v>
      </c>
      <c r="AG23" s="124">
        <f t="shared" si="9"/>
        <v>1</v>
      </c>
      <c r="AH23" s="7">
        <f t="shared" si="10"/>
        <v>0.55045871559633031</v>
      </c>
      <c r="AI23" s="213">
        <f>SUMIFS('ОЗОН Оборот ведом (за 60 дней)'!J:J,'ОЗОН Оборот ведом (за 60 дней)'!A:A,B23)</f>
        <v>0</v>
      </c>
      <c r="AJ23" s="21">
        <f t="shared" si="11"/>
        <v>1</v>
      </c>
      <c r="AK23" s="7" cm="1">
        <f t="array" ref="AK23">IFERROR(_xlfn.IFS((F23-U23)&gt;0,F23/$R$1*$AY$1-U23,F23+U23=0,"нов"),0)</f>
        <v>1</v>
      </c>
      <c r="AL23" s="7" cm="1">
        <f t="array" ref="AL23">IFERROR(_xlfn.IFS((G23-V23)&gt;0,G23/$R$1*$AY$1-V23,G23+V23=0,"нов"),0)</f>
        <v>4</v>
      </c>
      <c r="AM23" s="7" cm="1">
        <f t="array" ref="AM23">IFERROR(_xlfn.IFS((H23-W23)&gt;0,H23/$R$1*$AY$1-W23,H23+W23=0,"нов"),0)</f>
        <v>0</v>
      </c>
      <c r="AN23" s="7" cm="1">
        <f t="array" ref="AN23">IFERROR(_xlfn.IFS((I23-X23)&gt;0,I23/$R$1*$AY$1-X23,I23+X23=0,"нов"),0)</f>
        <v>15</v>
      </c>
      <c r="AO23" s="27" cm="1">
        <f t="array" ref="AO23">IFERROR(_xlfn.IFS((J23-Y23)&gt;0,J23/$R$1*$AY$1-Y23,J23+Y23=0,"нов"),0)</f>
        <v>14</v>
      </c>
      <c r="AP23" s="7" cm="1">
        <f t="array" ref="AP23">IFERROR(_xlfn.IFS((K23-Z23)&gt;0,K23/$R$1*$AY$1-Z23,K23+Z23=0,"нов"),0)</f>
        <v>1</v>
      </c>
      <c r="AQ23" s="104" t="str" cm="1">
        <f t="array" ref="AQ23">IFERROR(_xlfn.IFS((L23-AA23)&gt;0,L23/$R$1*$AY$1-AA23,L23+AA23=0,"нов"),0)</f>
        <v>нов</v>
      </c>
      <c r="AR23" s="27" cm="1">
        <f t="array" ref="AR23">IFERROR(_xlfn.IFS((M23-AB23)&gt;0,M23/$R$1*$AY$1-AB23,M23+AB23=0,"нов"),0)</f>
        <v>45</v>
      </c>
      <c r="AS23" s="104" t="str" cm="1">
        <f t="array" ref="AS23">IFERROR(_xlfn.IFS((N23-AC23)&gt;0,N23/$R$1*$AY$1-AC23,N23+AC23=0,"нов"),0)</f>
        <v>нов</v>
      </c>
      <c r="AT23" s="104" cm="1">
        <f t="array" ref="AT23">IFERROR(_xlfn.IFS((O23-AD23)&gt;0,O23/$R$1*$AY$1-AD23,O23+AD23=0,"нов"),0)</f>
        <v>28</v>
      </c>
      <c r="AU23" s="7" t="str" cm="1">
        <f t="array" ref="AU23">IFERROR(_xlfn.IFS((P23-AE23)&gt;0,P23/$R$1*$AY$1-AE23,P23+AE23=0,"нов"),0)</f>
        <v>нов</v>
      </c>
      <c r="AV23" s="7" t="str" cm="1">
        <f t="array" ref="AV23">IFERROR(_xlfn.IFS((Q23-AF23)&gt;0,Q23/$R$1*$AY$1-AF23,Q23+AF23=0,"нов"),0)</f>
        <v>нов</v>
      </c>
      <c r="AW23" s="141">
        <f t="shared" si="12"/>
        <v>108</v>
      </c>
      <c r="AX23" s="218">
        <f>SUMIF('ОЗОН Доступн товара'!D:D,_xlfn.XLOOKUP($B23,'ОЗОН Доступн товара'!$A:$A,'ОЗОН Доступн товара'!$D:$D,0))</f>
        <v>24</v>
      </c>
      <c r="AY23" s="226">
        <f t="shared" si="13"/>
        <v>132</v>
      </c>
      <c r="AZ23" s="7">
        <f t="shared" si="14"/>
        <v>2</v>
      </c>
      <c r="BA23" s="7">
        <f t="shared" si="15"/>
        <v>6</v>
      </c>
      <c r="BB23" s="7">
        <f t="shared" si="16"/>
        <v>0</v>
      </c>
      <c r="BC23" s="7">
        <f t="shared" si="17"/>
        <v>20</v>
      </c>
      <c r="BD23" s="27">
        <f t="shared" si="18"/>
        <v>19</v>
      </c>
      <c r="BE23" s="7">
        <f t="shared" si="19"/>
        <v>2</v>
      </c>
      <c r="BF23" s="104" t="str">
        <f t="shared" si="20"/>
        <v>нов</v>
      </c>
      <c r="BG23" s="27">
        <f t="shared" si="21"/>
        <v>59</v>
      </c>
      <c r="BH23" s="104" t="str">
        <f t="shared" si="22"/>
        <v>нов</v>
      </c>
      <c r="BI23" s="7">
        <f t="shared" si="23"/>
        <v>37</v>
      </c>
      <c r="BJ23" s="153" t="str">
        <f t="shared" si="24"/>
        <v>нов</v>
      </c>
      <c r="BK23" s="7" t="str">
        <f t="shared" si="25"/>
        <v>нов</v>
      </c>
      <c r="BL23" s="6">
        <f t="shared" si="26"/>
        <v>145</v>
      </c>
      <c r="BM23" s="6">
        <f t="shared" si="27"/>
        <v>31.200000000000003</v>
      </c>
      <c r="BN23" s="28">
        <f t="shared" si="28"/>
        <v>176.2</v>
      </c>
      <c r="BO23" s="73">
        <f>IFERROR(_xlfn.XLOOKUP(A23,'[2] Расчет стоимости и веса'!$I:$I,'[2] Расчет стоимости и веса'!$D:$D),0)</f>
        <v>300</v>
      </c>
      <c r="BP23" s="227">
        <f t="shared" si="29"/>
        <v>300</v>
      </c>
      <c r="BQ23" s="8"/>
      <c r="BR23" s="155">
        <v>100</v>
      </c>
      <c r="BS23" s="12"/>
      <c r="BT23" s="12"/>
      <c r="BU23" s="229"/>
      <c r="BV23" s="12"/>
      <c r="BW23" s="12">
        <v>50</v>
      </c>
      <c r="BY23" s="231">
        <v>50</v>
      </c>
      <c r="BZ23" s="232"/>
      <c r="CA23" s="155">
        <v>50</v>
      </c>
      <c r="CB23" s="157">
        <v>50</v>
      </c>
      <c r="CC23" s="57"/>
      <c r="CD23" s="12"/>
      <c r="CE23" s="146">
        <f t="shared" si="5"/>
        <v>300</v>
      </c>
      <c r="CF23" s="69">
        <f t="shared" si="6"/>
        <v>300</v>
      </c>
      <c r="CG23" s="45">
        <f t="shared" si="7"/>
        <v>0</v>
      </c>
    </row>
    <row r="24" spans="1:85" ht="14.1" customHeight="1">
      <c r="A24" s="91">
        <f>[1]Юнит!A26</f>
        <v>236072834</v>
      </c>
      <c r="B24" s="92">
        <f>[1]Юнит!B26</f>
        <v>1980924909</v>
      </c>
      <c r="C24" s="91" t="str">
        <f>[1]Юнит!C26</f>
        <v>ACRB1MS106BL</v>
      </c>
      <c r="D24" s="236" t="str">
        <f>[1]Юнит!D26</f>
        <v>Мяч с шипами голубой 6 см</v>
      </c>
      <c r="E24" s="90">
        <f>[1]Юнит!E26</f>
        <v>2040278804649</v>
      </c>
      <c r="F24" s="132">
        <f>ROUNDUP(SUMIFS('ВБ Отчет Продажи (за 60 дней)'!$L:$L,'ВБ Отчет Продажи (за 60 дней)'!$K:$K,"Электросталь",'ВБ Отчет Продажи (за 60 дней)'!$G:$G,$A24),0)</f>
        <v>23</v>
      </c>
      <c r="G24" s="133">
        <f>ROUNDUP(SUMIFS('ВБ Отчет Продажи (за 60 дней)'!$L:$L,'ВБ Отчет Продажи (за 60 дней)'!$K:$K,"Коледино",'ВБ Отчет Продажи (за 60 дней)'!$G:$G,$A24),0)</f>
        <v>1</v>
      </c>
      <c r="H24" s="133">
        <f>ROUNDUP(SUMIFS('ВБ Отчет Продажи (за 60 дней)'!$L:$L,'ВБ Отчет Продажи (за 60 дней)'!$K:$K,"Тула",'ВБ Отчет Продажи (за 60 дней)'!$G:$G,$A24),0)</f>
        <v>5</v>
      </c>
      <c r="I24" s="134">
        <f>ROUNDUP(SUMIFS('ВБ Отчет Продажи (за 60 дней)'!$L:$L,'ВБ Отчет Продажи (за 60 дней)'!$K:$K,"Рязань (Тюшевское)",'ВБ Отчет Продажи (за 60 дней)'!$G:$G,$A24),0)</f>
        <v>0</v>
      </c>
      <c r="J24" s="136">
        <f>ROUNDUP(SUMIFS('ВБ Отчет Продажи (за 60 дней)'!$L:$L,'ВБ Отчет Продажи (за 60 дней)'!$K:$K,"Краснодар",'ВБ Отчет Продажи (за 60 дней)'!$G:$G,$A24),0)</f>
        <v>1</v>
      </c>
      <c r="K24" s="133">
        <f>ROUNDUP(SUMIFS('ВБ Отчет Продажи (за 60 дней)'!$L:$L,'ВБ Отчет Продажи (за 60 дней)'!$K:$K,"Невинномысск",'ВБ Отчет Продажи (за 60 дней)'!$G:$G,$A24),0)</f>
        <v>11</v>
      </c>
      <c r="L24" s="137">
        <f>ROUNDUP(SUMIFS('ВБ Отчет Продажи (за 60 дней)'!$L:$L,'ВБ Отчет Продажи (за 60 дней)'!$K:$K,"Волгоград",'ВБ Отчет Продажи (за 60 дней)'!$G:$G,$A24),0)</f>
        <v>0</v>
      </c>
      <c r="M24" s="136">
        <f>ROUNDUP(SUMIFS('ВБ Отчет Продажи (за 60 дней)'!$L:$L,'ВБ Отчет Продажи (за 60 дней)'!$K:$K,"Самара (Новосемейкино)",'ВБ Отчет Продажи (за 60 дней)'!$G:$G,$A24),0)</f>
        <v>12</v>
      </c>
      <c r="N24" s="137">
        <f>ROUNDUP(SUMIFS('ВБ Отчет Продажи (за 60 дней)'!$L:$L,'ВБ Отчет Продажи (за 60 дней)'!$K:$K,"Казань",'ВБ Отчет Продажи (за 60 дней)'!$G:$G,$A24),0)</f>
        <v>2</v>
      </c>
      <c r="O24" s="137">
        <f>ROUNDUP(SUMIFS('ВБ Отчет Продажи (за 60 дней)'!$L:$L,'ВБ Отчет Продажи (за 60 дней)'!$K:$K,"СПБ Шушары",'ВБ Отчет Продажи (за 60 дней)'!$G:$G,$A24),0)</f>
        <v>2</v>
      </c>
      <c r="P24" s="151">
        <f>ROUNDUP(SUMIFS('ВБ Отчет Продажи (за 60 дней)'!$L:$L,'ВБ Отчет Продажи (за 60 дней)'!$K:$K,"Екатеринбург - Перспективный 12",'ВБ Отчет Продажи (за 60 дней)'!$G:$G,$A24),0)</f>
        <v>0</v>
      </c>
      <c r="Q24" s="149">
        <f>ROUNDUP(SUMIFS('ВБ Отчет Продажи (за 60 дней)'!$L:$L,'ВБ Отчет Продажи (за 60 дней)'!$K:$K,"Новосибирск",'ВБ Отчет Продажи (за 60 дней)'!$G:$G,$A24),0)</f>
        <v>0</v>
      </c>
      <c r="R24" s="131">
        <f t="shared" si="0"/>
        <v>57</v>
      </c>
      <c r="S24" s="139">
        <f>SUMIFS('ОЗОН Оборот ведом (за 60 дней)'!I:I,'ОЗОН Оборот ведом (за 60 дней)'!A:A,B24)</f>
        <v>6</v>
      </c>
      <c r="T24" s="140">
        <f t="shared" si="8"/>
        <v>63</v>
      </c>
      <c r="U24" s="6">
        <f>SUMIFS('ВБ Отчет Продажи (за 60 дней)'!$P:$P,'ВБ Отчет Продажи (за 60 дней)'!$K:$K,"Электросталь",'ВБ Отчет Продажи (за 60 дней)'!$G:$G,$A24)</f>
        <v>25</v>
      </c>
      <c r="V24" s="7">
        <f>SUMIFS('ВБ Отчет Продажи (за 60 дней)'!$P:$P,'ВБ Отчет Продажи (за 60 дней)'!$K:$K,"Коледино",'ВБ Отчет Продажи (за 60 дней)'!$G:$G,$A24)</f>
        <v>0</v>
      </c>
      <c r="W24" s="7">
        <f>SUMIFS('ВБ Отчет Продажи (за 60 дней)'!$P:$P,'ВБ Отчет Продажи (за 60 дней)'!$K:$K,"Тула",'ВБ Отчет Продажи (за 60 дней)'!$G:$G,$A24)</f>
        <v>9</v>
      </c>
      <c r="X24" s="7">
        <f>SUMIFS('ВБ Отчет Продажи (за 60 дней)'!$P:$P,'ВБ Отчет Продажи (за 60 дней)'!$K:$K,"Рязань (Тюшевское)",'ВБ Отчет Продажи (за 60 дней)'!$G:$G,$A24)</f>
        <v>52</v>
      </c>
      <c r="Y24" s="27">
        <f>SUMIFS('ВБ Отчет Продажи (за 60 дней)'!$P:$P,'ВБ Отчет Продажи (за 60 дней)'!$K:$K,"Краснодар",'ВБ Отчет Продажи (за 60 дней)'!$G:$G,$A24)</f>
        <v>1</v>
      </c>
      <c r="Z24" s="7">
        <f>SUMIFS('ВБ Отчет Продажи (за 60 дней)'!$P:$P,'ВБ Отчет Продажи (за 60 дней)'!$K:$K,"Невинномысск",'ВБ Отчет Продажи (за 60 дней)'!$G:$G,$A24)</f>
        <v>36</v>
      </c>
      <c r="AA24" s="104">
        <f>SUMIFS('ВБ Отчет Продажи (за 60 дней)'!$P:$P,'ВБ Отчет Продажи (за 60 дней)'!$K:$K,"Волгоград",'ВБ Отчет Продажи (за 60 дней)'!$G:$G,$A24)</f>
        <v>0</v>
      </c>
      <c r="AB24" s="27">
        <f>SUMIFS('ВБ Отчет Продажи (за 60 дней)'!$P:$P,'ВБ Отчет Продажи (за 60 дней)'!$K:$K,"Самара (Новосемейкино)",'ВБ Отчет Продажи (за 60 дней)'!$G:$G,$A24)</f>
        <v>16</v>
      </c>
      <c r="AC24" s="104">
        <f>SUMIFS('ВБ Отчет Продажи (за 60 дней)'!$P:$P,'ВБ Отчет Продажи (за 60 дней)'!$K:$K,"Казань",'ВБ Отчет Продажи (за 60 дней)'!$G:$G,$A24)</f>
        <v>0</v>
      </c>
      <c r="AD24" s="104">
        <f>SUMIFS('ВБ Отчет Продажи (за 60 дней)'!$P:$P,'ВБ Отчет Продажи (за 60 дней)'!$K:$K,"СПБ Шушары",'ВБ Отчет Продажи (за 60 дней)'!$G:$G,$A24)</f>
        <v>0</v>
      </c>
      <c r="AE24" s="153">
        <f>SUMIFS('ВБ Отчет Продажи (за 60 дней)'!$P:$P,'ВБ Отчет Продажи (за 60 дней)'!$K:$K,"Екатеринбург - Перспективный 12",'ВБ Отчет Продажи (за 60 дней)'!$G:$G,$A24)</f>
        <v>0</v>
      </c>
      <c r="AF24" s="102">
        <f>SUMIFS('ВБ Отчет Продажи (за 60 дней)'!$P:$P,'ВБ Отчет Продажи (за 60 дней)'!$K:$K,"Новосибирск",'ВБ Отчет Продажи (за 60 дней)'!$G:$G,$A24)</f>
        <v>0</v>
      </c>
      <c r="AG24" s="124">
        <f t="shared" si="9"/>
        <v>139</v>
      </c>
      <c r="AH24" s="7">
        <f t="shared" si="10"/>
        <v>146.31578947368422</v>
      </c>
      <c r="AI24" s="213">
        <f>SUMIFS('ОЗОН Оборот ведом (за 60 дней)'!J:J,'ОЗОН Оборот ведом (за 60 дней)'!A:A,B24)</f>
        <v>0</v>
      </c>
      <c r="AJ24" s="21">
        <f t="shared" si="11"/>
        <v>139</v>
      </c>
      <c r="AK24" s="7" cm="1">
        <f t="array" ref="AK24">IFERROR(_xlfn.IFS((F24-U24)&gt;0,F24/$R$1*$AY$1-U24,F24+U24=0,"нов"),0)</f>
        <v>0</v>
      </c>
      <c r="AL24" s="7" cm="1">
        <f t="array" ref="AL24">IFERROR(_xlfn.IFS((G24-V24)&gt;0,G24/$R$1*$AY$1-V24,G24+V24=0,"нов"),0)</f>
        <v>1</v>
      </c>
      <c r="AM24" s="7" cm="1">
        <f t="array" ref="AM24">IFERROR(_xlfn.IFS((H24-W24)&gt;0,H24/$R$1*$AY$1-W24,H24+W24=0,"нов"),0)</f>
        <v>0</v>
      </c>
      <c r="AN24" s="7" cm="1">
        <f t="array" ref="AN24">IFERROR(_xlfn.IFS((I24-X24)&gt;0,I24/$R$1*$AY$1-X24,I24+X24=0,"нов"),0)</f>
        <v>0</v>
      </c>
      <c r="AO24" s="27" cm="1">
        <f t="array" ref="AO24">IFERROR(_xlfn.IFS((J24-Y24)&gt;0,J24/$R$1*$AY$1-Y24,J24+Y24=0,"нов"),0)</f>
        <v>0</v>
      </c>
      <c r="AP24" s="7" cm="1">
        <f t="array" ref="AP24">IFERROR(_xlfn.IFS((K24-Z24)&gt;0,K24/$R$1*$AY$1-Z24,K24+Z24=0,"нов"),0)</f>
        <v>0</v>
      </c>
      <c r="AQ24" s="104" t="str" cm="1">
        <f t="array" ref="AQ24">IFERROR(_xlfn.IFS((L24-AA24)&gt;0,L24/$R$1*$AY$1-AA24,L24+AA24=0,"нов"),0)</f>
        <v>нов</v>
      </c>
      <c r="AR24" s="27" cm="1">
        <f t="array" ref="AR24">IFERROR(_xlfn.IFS((M24-AB24)&gt;0,M24/$R$1*$AY$1-AB24,M24+AB24=0,"нов"),0)</f>
        <v>0</v>
      </c>
      <c r="AS24" s="104" cm="1">
        <f t="array" ref="AS24">IFERROR(_xlfn.IFS((N24-AC24)&gt;0,N24/$R$1*$AY$1-AC24,N24+AC24=0,"нов"),0)</f>
        <v>2</v>
      </c>
      <c r="AT24" s="104" cm="1">
        <f t="array" ref="AT24">IFERROR(_xlfn.IFS((O24-AD24)&gt;0,O24/$R$1*$AY$1-AD24,O24+AD24=0,"нов"),0)</f>
        <v>2</v>
      </c>
      <c r="AU24" s="7" t="str" cm="1">
        <f t="array" ref="AU24">IFERROR(_xlfn.IFS((P24-AE24)&gt;0,P24/$R$1*$AY$1-AE24,P24+AE24=0,"нов"),0)</f>
        <v>нов</v>
      </c>
      <c r="AV24" s="7" t="str" cm="1">
        <f t="array" ref="AV24">IFERROR(_xlfn.IFS((Q24-AF24)&gt;0,Q24/$R$1*$AY$1-AF24,Q24+AF24=0,"нов"),0)</f>
        <v>нов</v>
      </c>
      <c r="AW24" s="141">
        <f t="shared" si="12"/>
        <v>5</v>
      </c>
      <c r="AX24" s="218">
        <f>SUMIF('ОЗОН Доступн товара'!D:D,_xlfn.XLOOKUP($B24,'ОЗОН Доступн товара'!$A:$A,'ОЗОН Доступн товара'!$D:$D,0))</f>
        <v>0</v>
      </c>
      <c r="AY24" s="226">
        <f t="shared" si="13"/>
        <v>5</v>
      </c>
      <c r="AZ24" s="7">
        <f t="shared" si="14"/>
        <v>0</v>
      </c>
      <c r="BA24" s="7">
        <f t="shared" si="15"/>
        <v>2</v>
      </c>
      <c r="BB24" s="7">
        <f t="shared" si="16"/>
        <v>0</v>
      </c>
      <c r="BC24" s="7">
        <f t="shared" si="17"/>
        <v>0</v>
      </c>
      <c r="BD24" s="27">
        <f t="shared" si="18"/>
        <v>0</v>
      </c>
      <c r="BE24" s="7">
        <f t="shared" si="19"/>
        <v>0</v>
      </c>
      <c r="BF24" s="104" t="str">
        <f t="shared" si="20"/>
        <v>нов</v>
      </c>
      <c r="BG24" s="27">
        <f t="shared" si="21"/>
        <v>0</v>
      </c>
      <c r="BH24" s="104">
        <f t="shared" si="22"/>
        <v>3</v>
      </c>
      <c r="BI24" s="7">
        <f t="shared" si="23"/>
        <v>3</v>
      </c>
      <c r="BJ24" s="153" t="str">
        <f t="shared" si="24"/>
        <v>нов</v>
      </c>
      <c r="BK24" s="7" t="str">
        <f t="shared" si="25"/>
        <v>нов</v>
      </c>
      <c r="BL24" s="6">
        <f t="shared" si="26"/>
        <v>8</v>
      </c>
      <c r="BM24" s="6">
        <f t="shared" si="27"/>
        <v>0</v>
      </c>
      <c r="BN24" s="28">
        <f t="shared" si="28"/>
        <v>8</v>
      </c>
      <c r="BO24" s="73">
        <f>IFERROR(_xlfn.XLOOKUP(A24,'[2] Расчет стоимости и веса'!$I:$I,'[2] Расчет стоимости и веса'!$D:$D),0)</f>
        <v>120</v>
      </c>
      <c r="BP24" s="227">
        <f t="shared" si="29"/>
        <v>120</v>
      </c>
      <c r="BQ24" s="8"/>
      <c r="BR24" s="155"/>
      <c r="BS24" s="12"/>
      <c r="BT24" s="12"/>
      <c r="BU24" s="229"/>
      <c r="BV24" s="12"/>
      <c r="BW24" s="12"/>
      <c r="BY24" s="231">
        <v>20</v>
      </c>
      <c r="BZ24" s="232"/>
      <c r="CA24" s="155">
        <v>50</v>
      </c>
      <c r="CB24" s="157">
        <v>50</v>
      </c>
      <c r="CC24" s="57"/>
      <c r="CD24" s="12"/>
      <c r="CE24" s="146">
        <f t="shared" si="5"/>
        <v>120</v>
      </c>
      <c r="CF24" s="69">
        <f t="shared" si="6"/>
        <v>120</v>
      </c>
      <c r="CG24" s="45">
        <f t="shared" si="7"/>
        <v>0</v>
      </c>
    </row>
    <row r="25" spans="1:85" ht="14.1" customHeight="1">
      <c r="A25" s="91">
        <f>[1]Юнит!A27</f>
        <v>223671295</v>
      </c>
      <c r="B25" s="92">
        <f>[1]Юнит!B27</f>
        <v>1980924947</v>
      </c>
      <c r="C25" s="91" t="str">
        <f>[1]Юнит!C27</f>
        <v>ACRB1MS106RJ</v>
      </c>
      <c r="D25" s="236" t="str">
        <f>[1]Юнит!D27</f>
        <v>Мяч с шипами оранжевый 6 см</v>
      </c>
      <c r="E25" s="90">
        <f>[1]Юнит!E27</f>
        <v>2039818580389</v>
      </c>
      <c r="F25" s="132">
        <f>ROUNDUP(SUMIFS('ВБ Отчет Продажи (за 60 дней)'!$L:$L,'ВБ Отчет Продажи (за 60 дней)'!$K:$K,"Электросталь",'ВБ Отчет Продажи (за 60 дней)'!$G:$G,$A25),0)</f>
        <v>3</v>
      </c>
      <c r="G25" s="133">
        <f>ROUNDUP(SUMIFS('ВБ Отчет Продажи (за 60 дней)'!$L:$L,'ВБ Отчет Продажи (за 60 дней)'!$K:$K,"Коледино",'ВБ Отчет Продажи (за 60 дней)'!$G:$G,$A25),0)</f>
        <v>10</v>
      </c>
      <c r="H25" s="133">
        <f>ROUNDUP(SUMIFS('ВБ Отчет Продажи (за 60 дней)'!$L:$L,'ВБ Отчет Продажи (за 60 дней)'!$K:$K,"Тула",'ВБ Отчет Продажи (за 60 дней)'!$G:$G,$A25),0)</f>
        <v>2</v>
      </c>
      <c r="I25" s="134">
        <f>ROUNDUP(SUMIFS('ВБ Отчет Продажи (за 60 дней)'!$L:$L,'ВБ Отчет Продажи (за 60 дней)'!$K:$K,"Рязань (Тюшевское)",'ВБ Отчет Продажи (за 60 дней)'!$G:$G,$A25),0)</f>
        <v>0</v>
      </c>
      <c r="J25" s="136">
        <f>ROUNDUP(SUMIFS('ВБ Отчет Продажи (за 60 дней)'!$L:$L,'ВБ Отчет Продажи (за 60 дней)'!$K:$K,"Краснодар",'ВБ Отчет Продажи (за 60 дней)'!$G:$G,$A25),0)</f>
        <v>2</v>
      </c>
      <c r="K25" s="133">
        <f>ROUNDUP(SUMIFS('ВБ Отчет Продажи (за 60 дней)'!$L:$L,'ВБ Отчет Продажи (за 60 дней)'!$K:$K,"Невинномысск",'ВБ Отчет Продажи (за 60 дней)'!$G:$G,$A25),0)</f>
        <v>6</v>
      </c>
      <c r="L25" s="137">
        <f>ROUNDUP(SUMIFS('ВБ Отчет Продажи (за 60 дней)'!$L:$L,'ВБ Отчет Продажи (за 60 дней)'!$K:$K,"Волгоград",'ВБ Отчет Продажи (за 60 дней)'!$G:$G,$A25),0)</f>
        <v>0</v>
      </c>
      <c r="M25" s="136">
        <f>ROUNDUP(SUMIFS('ВБ Отчет Продажи (за 60 дней)'!$L:$L,'ВБ Отчет Продажи (за 60 дней)'!$K:$K,"Самара (Новосемейкино)",'ВБ Отчет Продажи (за 60 дней)'!$G:$G,$A25),0)</f>
        <v>1</v>
      </c>
      <c r="N25" s="137">
        <f>ROUNDUP(SUMIFS('ВБ Отчет Продажи (за 60 дней)'!$L:$L,'ВБ Отчет Продажи (за 60 дней)'!$K:$K,"Казань",'ВБ Отчет Продажи (за 60 дней)'!$G:$G,$A25),0)</f>
        <v>0</v>
      </c>
      <c r="O25" s="137">
        <f>ROUNDUP(SUMIFS('ВБ Отчет Продажи (за 60 дней)'!$L:$L,'ВБ Отчет Продажи (за 60 дней)'!$K:$K,"СПБ Шушары",'ВБ Отчет Продажи (за 60 дней)'!$G:$G,$A25),0)</f>
        <v>3</v>
      </c>
      <c r="P25" s="151">
        <f>ROUNDUP(SUMIFS('ВБ Отчет Продажи (за 60 дней)'!$L:$L,'ВБ Отчет Продажи (за 60 дней)'!$K:$K,"Екатеринбург - Перспективный 12",'ВБ Отчет Продажи (за 60 дней)'!$G:$G,$A25),0)</f>
        <v>0</v>
      </c>
      <c r="Q25" s="149">
        <f>ROUNDUP(SUMIFS('ВБ Отчет Продажи (за 60 дней)'!$L:$L,'ВБ Отчет Продажи (за 60 дней)'!$K:$K,"Новосибирск",'ВБ Отчет Продажи (за 60 дней)'!$G:$G,$A25),0)</f>
        <v>0</v>
      </c>
      <c r="R25" s="131">
        <f t="shared" si="0"/>
        <v>27</v>
      </c>
      <c r="S25" s="139">
        <f>SUMIFS('ОЗОН Оборот ведом (за 60 дней)'!I:I,'ОЗОН Оборот ведом (за 60 дней)'!A:A,B25)</f>
        <v>18</v>
      </c>
      <c r="T25" s="140">
        <f t="shared" si="8"/>
        <v>45</v>
      </c>
      <c r="U25" s="6">
        <f>SUMIFS('ВБ Отчет Продажи (за 60 дней)'!$P:$P,'ВБ Отчет Продажи (за 60 дней)'!$K:$K,"Электросталь",'ВБ Отчет Продажи (за 60 дней)'!$G:$G,$A25)</f>
        <v>50</v>
      </c>
      <c r="V25" s="7">
        <f>SUMIFS('ВБ Отчет Продажи (за 60 дней)'!$P:$P,'ВБ Отчет Продажи (за 60 дней)'!$K:$K,"Коледино",'ВБ Отчет Продажи (за 60 дней)'!$G:$G,$A25)</f>
        <v>66</v>
      </c>
      <c r="W25" s="7">
        <f>SUMIFS('ВБ Отчет Продажи (за 60 дней)'!$P:$P,'ВБ Отчет Продажи (за 60 дней)'!$K:$K,"Тула",'ВБ Отчет Продажи (за 60 дней)'!$G:$G,$A25)</f>
        <v>42</v>
      </c>
      <c r="X25" s="7">
        <f>SUMIFS('ВБ Отчет Продажи (за 60 дней)'!$P:$P,'ВБ Отчет Продажи (за 60 дней)'!$K:$K,"Рязань (Тюшевское)",'ВБ Отчет Продажи (за 60 дней)'!$G:$G,$A25)</f>
        <v>50</v>
      </c>
      <c r="Y25" s="27">
        <f>SUMIFS('ВБ Отчет Продажи (за 60 дней)'!$P:$P,'ВБ Отчет Продажи (за 60 дней)'!$K:$K,"Краснодар",'ВБ Отчет Продажи (за 60 дней)'!$G:$G,$A25)</f>
        <v>0</v>
      </c>
      <c r="Z25" s="7">
        <f>SUMIFS('ВБ Отчет Продажи (за 60 дней)'!$P:$P,'ВБ Отчет Продажи (за 60 дней)'!$K:$K,"Невинномысск",'ВБ Отчет Продажи (за 60 дней)'!$G:$G,$A25)</f>
        <v>68</v>
      </c>
      <c r="AA25" s="104">
        <f>SUMIFS('ВБ Отчет Продажи (за 60 дней)'!$P:$P,'ВБ Отчет Продажи (за 60 дней)'!$K:$K,"Волгоград",'ВБ Отчет Продажи (за 60 дней)'!$G:$G,$A25)</f>
        <v>0</v>
      </c>
      <c r="AB25" s="27">
        <f>SUMIFS('ВБ Отчет Продажи (за 60 дней)'!$P:$P,'ВБ Отчет Продажи (за 60 дней)'!$K:$K,"Самара (Новосемейкино)",'ВБ Отчет Продажи (за 60 дней)'!$G:$G,$A25)</f>
        <v>89</v>
      </c>
      <c r="AC25" s="104">
        <f>SUMIFS('ВБ Отчет Продажи (за 60 дней)'!$P:$P,'ВБ Отчет Продажи (за 60 дней)'!$K:$K,"Казань",'ВБ Отчет Продажи (за 60 дней)'!$G:$G,$A25)</f>
        <v>0</v>
      </c>
      <c r="AD25" s="104">
        <f>SUMIFS('ВБ Отчет Продажи (за 60 дней)'!$P:$P,'ВБ Отчет Продажи (за 60 дней)'!$K:$K,"СПБ Шушары",'ВБ Отчет Продажи (за 60 дней)'!$G:$G,$A25)</f>
        <v>42</v>
      </c>
      <c r="AE25" s="153">
        <f>SUMIFS('ВБ Отчет Продажи (за 60 дней)'!$P:$P,'ВБ Отчет Продажи (за 60 дней)'!$K:$K,"Екатеринбург - Перспективный 12",'ВБ Отчет Продажи (за 60 дней)'!$G:$G,$A25)</f>
        <v>0</v>
      </c>
      <c r="AF25" s="102">
        <f>SUMIFS('ВБ Отчет Продажи (за 60 дней)'!$P:$P,'ВБ Отчет Продажи (за 60 дней)'!$K:$K,"Новосибирск",'ВБ Отчет Продажи (за 60 дней)'!$G:$G,$A25)</f>
        <v>0</v>
      </c>
      <c r="AG25" s="124">
        <f t="shared" si="9"/>
        <v>407</v>
      </c>
      <c r="AH25" s="7">
        <f t="shared" si="10"/>
        <v>904.44444444444446</v>
      </c>
      <c r="AI25" s="213">
        <f>SUMIFS('ОЗОН Оборот ведом (за 60 дней)'!J:J,'ОЗОН Оборот ведом (за 60 дней)'!A:A,B25)</f>
        <v>2</v>
      </c>
      <c r="AJ25" s="21">
        <f t="shared" si="11"/>
        <v>409</v>
      </c>
      <c r="AK25" s="7" cm="1">
        <f t="array" ref="AK25">IFERROR(_xlfn.IFS((F25-U25)&gt;0,F25/$R$1*$AY$1-U25,F25+U25=0,"нов"),0)</f>
        <v>0</v>
      </c>
      <c r="AL25" s="7" cm="1">
        <f t="array" ref="AL25">IFERROR(_xlfn.IFS((G25-V25)&gt;0,G25/$R$1*$AY$1-V25,G25+V25=0,"нов"),0)</f>
        <v>0</v>
      </c>
      <c r="AM25" s="7" cm="1">
        <f t="array" ref="AM25">IFERROR(_xlfn.IFS((H25-W25)&gt;0,H25/$R$1*$AY$1-W25,H25+W25=0,"нов"),0)</f>
        <v>0</v>
      </c>
      <c r="AN25" s="7" cm="1">
        <f t="array" ref="AN25">IFERROR(_xlfn.IFS((I25-X25)&gt;0,I25/$R$1*$AY$1-X25,I25+X25=0,"нов"),0)</f>
        <v>0</v>
      </c>
      <c r="AO25" s="27" cm="1">
        <f t="array" ref="AO25">IFERROR(_xlfn.IFS((J25-Y25)&gt;0,J25/$R$1*$AY$1-Y25,J25+Y25=0,"нов"),0)</f>
        <v>2</v>
      </c>
      <c r="AP25" s="7" cm="1">
        <f t="array" ref="AP25">IFERROR(_xlfn.IFS((K25-Z25)&gt;0,K25/$R$1*$AY$1-Z25,K25+Z25=0,"нов"),0)</f>
        <v>0</v>
      </c>
      <c r="AQ25" s="104" t="str" cm="1">
        <f t="array" ref="AQ25">IFERROR(_xlfn.IFS((L25-AA25)&gt;0,L25/$R$1*$AY$1-AA25,L25+AA25=0,"нов"),0)</f>
        <v>нов</v>
      </c>
      <c r="AR25" s="27" cm="1">
        <f t="array" ref="AR25">IFERROR(_xlfn.IFS((M25-AB25)&gt;0,M25/$R$1*$AY$1-AB25,M25+AB25=0,"нов"),0)</f>
        <v>0</v>
      </c>
      <c r="AS25" s="104" t="str" cm="1">
        <f t="array" ref="AS25">IFERROR(_xlfn.IFS((N25-AC25)&gt;0,N25/$R$1*$AY$1-AC25,N25+AC25=0,"нов"),0)</f>
        <v>нов</v>
      </c>
      <c r="AT25" s="104" cm="1">
        <f t="array" ref="AT25">IFERROR(_xlfn.IFS((O25-AD25)&gt;0,O25/$R$1*$AY$1-AD25,O25+AD25=0,"нов"),0)</f>
        <v>0</v>
      </c>
      <c r="AU25" s="7" t="str" cm="1">
        <f t="array" ref="AU25">IFERROR(_xlfn.IFS((P25-AE25)&gt;0,P25/$R$1*$AY$1-AE25,P25+AE25=0,"нов"),0)</f>
        <v>нов</v>
      </c>
      <c r="AV25" s="7" t="str" cm="1">
        <f t="array" ref="AV25">IFERROR(_xlfn.IFS((Q25-AF25)&gt;0,Q25/$R$1*$AY$1-AF25,Q25+AF25=0,"нов"),0)</f>
        <v>нов</v>
      </c>
      <c r="AW25" s="141">
        <f t="shared" si="12"/>
        <v>2</v>
      </c>
      <c r="AX25" s="218">
        <f>SUMIF('ОЗОН Доступн товара'!D:D,_xlfn.XLOOKUP($B25,'ОЗОН Доступн товара'!$A:$A,'ОЗОН Доступн товара'!$D:$D,0))</f>
        <v>62</v>
      </c>
      <c r="AY25" s="226">
        <f t="shared" si="13"/>
        <v>64</v>
      </c>
      <c r="AZ25" s="7">
        <f t="shared" si="14"/>
        <v>0</v>
      </c>
      <c r="BA25" s="7">
        <f t="shared" si="15"/>
        <v>0</v>
      </c>
      <c r="BB25" s="7">
        <f t="shared" si="16"/>
        <v>0</v>
      </c>
      <c r="BC25" s="7">
        <f t="shared" si="17"/>
        <v>0</v>
      </c>
      <c r="BD25" s="27">
        <f t="shared" si="18"/>
        <v>3</v>
      </c>
      <c r="BE25" s="7">
        <f t="shared" si="19"/>
        <v>0</v>
      </c>
      <c r="BF25" s="104" t="str">
        <f t="shared" si="20"/>
        <v>нов</v>
      </c>
      <c r="BG25" s="27">
        <f t="shared" si="21"/>
        <v>0</v>
      </c>
      <c r="BH25" s="104" t="str">
        <f t="shared" si="22"/>
        <v>нов</v>
      </c>
      <c r="BI25" s="7">
        <f t="shared" si="23"/>
        <v>0</v>
      </c>
      <c r="BJ25" s="153" t="str">
        <f t="shared" si="24"/>
        <v>нов</v>
      </c>
      <c r="BK25" s="7" t="str">
        <f t="shared" si="25"/>
        <v>нов</v>
      </c>
      <c r="BL25" s="6">
        <f t="shared" si="26"/>
        <v>3</v>
      </c>
      <c r="BM25" s="6">
        <f t="shared" si="27"/>
        <v>80.600000000000009</v>
      </c>
      <c r="BN25" s="28">
        <f t="shared" si="28"/>
        <v>83.600000000000009</v>
      </c>
      <c r="BO25" s="73">
        <f>IFERROR(_xlfn.XLOOKUP(A25,'[2] Расчет стоимости и веса'!$I:$I,'[2] Расчет стоимости и веса'!$D:$D),0)</f>
        <v>20</v>
      </c>
      <c r="BP25" s="227">
        <f t="shared" si="29"/>
        <v>20</v>
      </c>
      <c r="BQ25" s="8"/>
      <c r="BR25" s="155"/>
      <c r="BS25" s="12"/>
      <c r="BT25" s="12"/>
      <c r="BU25" s="229"/>
      <c r="BV25" s="12"/>
      <c r="BW25" s="12"/>
      <c r="BY25" s="231"/>
      <c r="BZ25" s="232"/>
      <c r="CA25" s="155"/>
      <c r="CB25" s="157">
        <v>20</v>
      </c>
      <c r="CC25" s="57"/>
      <c r="CD25" s="12"/>
      <c r="CE25" s="146">
        <f t="shared" si="5"/>
        <v>20</v>
      </c>
      <c r="CF25" s="69">
        <f t="shared" si="6"/>
        <v>20</v>
      </c>
      <c r="CG25" s="45">
        <f t="shared" si="7"/>
        <v>0</v>
      </c>
    </row>
    <row r="26" spans="1:85" ht="14.1" customHeight="1">
      <c r="A26" s="91">
        <f>[1]Юнит!A28</f>
        <v>370591238</v>
      </c>
      <c r="B26" s="92">
        <f>[1]Юнит!B28</f>
        <v>1980924996</v>
      </c>
      <c r="C26" s="91" t="str">
        <f>[1]Юнит!C28</f>
        <v>ACRB1MS106BС</v>
      </c>
      <c r="D26" s="236" t="str">
        <f>[1]Юнит!D28</f>
        <v>Мяч с шипами черный 6 см</v>
      </c>
      <c r="E26" s="90">
        <f>[1]Юнит!E28</f>
        <v>2043369663040</v>
      </c>
      <c r="F26" s="132">
        <f>ROUNDUP(SUMIFS('ВБ Отчет Продажи (за 60 дней)'!$L:$L,'ВБ Отчет Продажи (за 60 дней)'!$K:$K,"Электросталь",'ВБ Отчет Продажи (за 60 дней)'!$G:$G,$A26),0)</f>
        <v>0</v>
      </c>
      <c r="G26" s="133">
        <f>ROUNDUP(SUMIFS('ВБ Отчет Продажи (за 60 дней)'!$L:$L,'ВБ Отчет Продажи (за 60 дней)'!$K:$K,"Коледино",'ВБ Отчет Продажи (за 60 дней)'!$G:$G,$A26),0)</f>
        <v>2</v>
      </c>
      <c r="H26" s="133">
        <f>ROUNDUP(SUMIFS('ВБ Отчет Продажи (за 60 дней)'!$L:$L,'ВБ Отчет Продажи (за 60 дней)'!$K:$K,"Тула",'ВБ Отчет Продажи (за 60 дней)'!$G:$G,$A26),0)</f>
        <v>1</v>
      </c>
      <c r="I26" s="134">
        <f>ROUNDUP(SUMIFS('ВБ Отчет Продажи (за 60 дней)'!$L:$L,'ВБ Отчет Продажи (за 60 дней)'!$K:$K,"Рязань (Тюшевское)",'ВБ Отчет Продажи (за 60 дней)'!$G:$G,$A26),0)</f>
        <v>2</v>
      </c>
      <c r="J26" s="136">
        <f>ROUNDUP(SUMIFS('ВБ Отчет Продажи (за 60 дней)'!$L:$L,'ВБ Отчет Продажи (за 60 дней)'!$K:$K,"Краснодар",'ВБ Отчет Продажи (за 60 дней)'!$G:$G,$A26),0)</f>
        <v>16</v>
      </c>
      <c r="K26" s="133">
        <f>ROUNDUP(SUMIFS('ВБ Отчет Продажи (за 60 дней)'!$L:$L,'ВБ Отчет Продажи (за 60 дней)'!$K:$K,"Невинномысск",'ВБ Отчет Продажи (за 60 дней)'!$G:$G,$A26),0)</f>
        <v>2</v>
      </c>
      <c r="L26" s="137">
        <f>ROUNDUP(SUMIFS('ВБ Отчет Продажи (за 60 дней)'!$L:$L,'ВБ Отчет Продажи (за 60 дней)'!$K:$K,"Волгоград",'ВБ Отчет Продажи (за 60 дней)'!$G:$G,$A26),0)</f>
        <v>0</v>
      </c>
      <c r="M26" s="136">
        <f>ROUNDUP(SUMIFS('ВБ Отчет Продажи (за 60 дней)'!$L:$L,'ВБ Отчет Продажи (за 60 дней)'!$K:$K,"Самара (Новосемейкино)",'ВБ Отчет Продажи (за 60 дней)'!$G:$G,$A26),0)</f>
        <v>0</v>
      </c>
      <c r="N26" s="137">
        <f>ROUNDUP(SUMIFS('ВБ Отчет Продажи (за 60 дней)'!$L:$L,'ВБ Отчет Продажи (за 60 дней)'!$K:$K,"Казань",'ВБ Отчет Продажи (за 60 дней)'!$G:$G,$A26),0)</f>
        <v>4</v>
      </c>
      <c r="O26" s="137">
        <f>ROUNDUP(SUMIFS('ВБ Отчет Продажи (за 60 дней)'!$L:$L,'ВБ Отчет Продажи (за 60 дней)'!$K:$K,"СПБ Шушары",'ВБ Отчет Продажи (за 60 дней)'!$G:$G,$A26),0)</f>
        <v>1</v>
      </c>
      <c r="P26" s="151">
        <f>ROUNDUP(SUMIFS('ВБ Отчет Продажи (за 60 дней)'!$L:$L,'ВБ Отчет Продажи (за 60 дней)'!$K:$K,"Екатеринбург - Перспективный 12",'ВБ Отчет Продажи (за 60 дней)'!$G:$G,$A26),0)</f>
        <v>0</v>
      </c>
      <c r="Q26" s="149">
        <f>ROUNDUP(SUMIFS('ВБ Отчет Продажи (за 60 дней)'!$L:$L,'ВБ Отчет Продажи (за 60 дней)'!$K:$K,"Новосибирск",'ВБ Отчет Продажи (за 60 дней)'!$G:$G,$A26),0)</f>
        <v>0</v>
      </c>
      <c r="R26" s="131">
        <f t="shared" si="0"/>
        <v>28</v>
      </c>
      <c r="S26" s="139">
        <f>SUMIFS('ОЗОН Оборот ведом (за 60 дней)'!I:I,'ОЗОН Оборот ведом (за 60 дней)'!A:A,B26)</f>
        <v>25</v>
      </c>
      <c r="T26" s="140">
        <f t="shared" si="8"/>
        <v>53</v>
      </c>
      <c r="U26" s="6">
        <f>SUMIFS('ВБ Отчет Продажи (за 60 дней)'!$P:$P,'ВБ Отчет Продажи (за 60 дней)'!$K:$K,"Электросталь",'ВБ Отчет Продажи (за 60 дней)'!$G:$G,$A26)</f>
        <v>0</v>
      </c>
      <c r="V26" s="7">
        <f>SUMIFS('ВБ Отчет Продажи (за 60 дней)'!$P:$P,'ВБ Отчет Продажи (за 60 дней)'!$K:$K,"Коледино",'ВБ Отчет Продажи (за 60 дней)'!$G:$G,$A26)</f>
        <v>0</v>
      </c>
      <c r="W26" s="7">
        <f>SUMIFS('ВБ Отчет Продажи (за 60 дней)'!$P:$P,'ВБ Отчет Продажи (за 60 дней)'!$K:$K,"Тула",'ВБ Отчет Продажи (за 60 дней)'!$G:$G,$A26)</f>
        <v>0</v>
      </c>
      <c r="X26" s="7">
        <f>SUMIFS('ВБ Отчет Продажи (за 60 дней)'!$P:$P,'ВБ Отчет Продажи (за 60 дней)'!$K:$K,"Рязань (Тюшевское)",'ВБ Отчет Продажи (за 60 дней)'!$G:$G,$A26)</f>
        <v>0</v>
      </c>
      <c r="Y26" s="27">
        <f>SUMIFS('ВБ Отчет Продажи (за 60 дней)'!$P:$P,'ВБ Отчет Продажи (за 60 дней)'!$K:$K,"Краснодар",'ВБ Отчет Продажи (за 60 дней)'!$G:$G,$A26)</f>
        <v>0</v>
      </c>
      <c r="Z26" s="7">
        <f>SUMIFS('ВБ Отчет Продажи (за 60 дней)'!$P:$P,'ВБ Отчет Продажи (за 60 дней)'!$K:$K,"Невинномысск",'ВБ Отчет Продажи (за 60 дней)'!$G:$G,$A26)</f>
        <v>0</v>
      </c>
      <c r="AA26" s="104">
        <f>SUMIFS('ВБ Отчет Продажи (за 60 дней)'!$P:$P,'ВБ Отчет Продажи (за 60 дней)'!$K:$K,"Волгоград",'ВБ Отчет Продажи (за 60 дней)'!$G:$G,$A26)</f>
        <v>0</v>
      </c>
      <c r="AB26" s="27">
        <f>SUMIFS('ВБ Отчет Продажи (за 60 дней)'!$P:$P,'ВБ Отчет Продажи (за 60 дней)'!$K:$K,"Самара (Новосемейкино)",'ВБ Отчет Продажи (за 60 дней)'!$G:$G,$A26)</f>
        <v>0</v>
      </c>
      <c r="AC26" s="104">
        <f>SUMIFS('ВБ Отчет Продажи (за 60 дней)'!$P:$P,'ВБ Отчет Продажи (за 60 дней)'!$K:$K,"Казань",'ВБ Отчет Продажи (за 60 дней)'!$G:$G,$A26)</f>
        <v>0</v>
      </c>
      <c r="AD26" s="104">
        <f>SUMIFS('ВБ Отчет Продажи (за 60 дней)'!$P:$P,'ВБ Отчет Продажи (за 60 дней)'!$K:$K,"СПБ Шушары",'ВБ Отчет Продажи (за 60 дней)'!$G:$G,$A26)</f>
        <v>0</v>
      </c>
      <c r="AE26" s="153">
        <f>SUMIFS('ВБ Отчет Продажи (за 60 дней)'!$P:$P,'ВБ Отчет Продажи (за 60 дней)'!$K:$K,"Екатеринбург - Перспективный 12",'ВБ Отчет Продажи (за 60 дней)'!$G:$G,$A26)</f>
        <v>0</v>
      </c>
      <c r="AF26" s="102">
        <f>SUMIFS('ВБ Отчет Продажи (за 60 дней)'!$P:$P,'ВБ Отчет Продажи (за 60 дней)'!$K:$K,"Новосибирск",'ВБ Отчет Продажи (за 60 дней)'!$G:$G,$A26)</f>
        <v>0</v>
      </c>
      <c r="AG26" s="124">
        <f t="shared" si="9"/>
        <v>0</v>
      </c>
      <c r="AH26" s="7">
        <f t="shared" si="10"/>
        <v>0</v>
      </c>
      <c r="AI26" s="213">
        <f>SUMIFS('ОЗОН Оборот ведом (за 60 дней)'!J:J,'ОЗОН Оборот ведом (за 60 дней)'!A:A,B26)</f>
        <v>1</v>
      </c>
      <c r="AJ26" s="21">
        <f t="shared" si="11"/>
        <v>1</v>
      </c>
      <c r="AK26" s="7" t="str" cm="1">
        <f t="array" ref="AK26">IFERROR(_xlfn.IFS((F26-U26)&gt;0,F26/$R$1*$AY$1-U26,F26+U26=0,"нов"),0)</f>
        <v>нов</v>
      </c>
      <c r="AL26" s="7" cm="1">
        <f t="array" ref="AL26">IFERROR(_xlfn.IFS((G26-V26)&gt;0,G26/$R$1*$AY$1-V26,G26+V26=0,"нов"),0)</f>
        <v>2</v>
      </c>
      <c r="AM26" s="7" cm="1">
        <f t="array" ref="AM26">IFERROR(_xlfn.IFS((H26-W26)&gt;0,H26/$R$1*$AY$1-W26,H26+W26=0,"нов"),0)</f>
        <v>1</v>
      </c>
      <c r="AN26" s="7" cm="1">
        <f t="array" ref="AN26">IFERROR(_xlfn.IFS((I26-X26)&gt;0,I26/$R$1*$AY$1-X26,I26+X26=0,"нов"),0)</f>
        <v>2</v>
      </c>
      <c r="AO26" s="27" cm="1">
        <f t="array" ref="AO26">IFERROR(_xlfn.IFS((J26-Y26)&gt;0,J26/$R$1*$AY$1-Y26,J26+Y26=0,"нов"),0)</f>
        <v>16</v>
      </c>
      <c r="AP26" s="7" cm="1">
        <f t="array" ref="AP26">IFERROR(_xlfn.IFS((K26-Z26)&gt;0,K26/$R$1*$AY$1-Z26,K26+Z26=0,"нов"),0)</f>
        <v>2</v>
      </c>
      <c r="AQ26" s="104" t="str" cm="1">
        <f t="array" ref="AQ26">IFERROR(_xlfn.IFS((L26-AA26)&gt;0,L26/$R$1*$AY$1-AA26,L26+AA26=0,"нов"),0)</f>
        <v>нов</v>
      </c>
      <c r="AR26" s="27" t="str" cm="1">
        <f t="array" ref="AR26">IFERROR(_xlfn.IFS((M26-AB26)&gt;0,M26/$R$1*$AY$1-AB26,M26+AB26=0,"нов"),0)</f>
        <v>нов</v>
      </c>
      <c r="AS26" s="104" cm="1">
        <f t="array" ref="AS26">IFERROR(_xlfn.IFS((N26-AC26)&gt;0,N26/$R$1*$AY$1-AC26,N26+AC26=0,"нов"),0)</f>
        <v>4</v>
      </c>
      <c r="AT26" s="104" cm="1">
        <f t="array" ref="AT26">IFERROR(_xlfn.IFS((O26-AD26)&gt;0,O26/$R$1*$AY$1-AD26,O26+AD26=0,"нов"),0)</f>
        <v>1</v>
      </c>
      <c r="AU26" s="7" t="str" cm="1">
        <f t="array" ref="AU26">IFERROR(_xlfn.IFS((P26-AE26)&gt;0,P26/$R$1*$AY$1-AE26,P26+AE26=0,"нов"),0)</f>
        <v>нов</v>
      </c>
      <c r="AV26" s="7" t="str" cm="1">
        <f t="array" ref="AV26">IFERROR(_xlfn.IFS((Q26-AF26)&gt;0,Q26/$R$1*$AY$1-AF26,Q26+AF26=0,"нов"),0)</f>
        <v>нов</v>
      </c>
      <c r="AW26" s="141">
        <f t="shared" si="12"/>
        <v>28</v>
      </c>
      <c r="AX26" s="218">
        <f>SUMIF('ОЗОН Доступн товара'!D:D,_xlfn.XLOOKUP($B26,'ОЗОН Доступн товара'!$A:$A,'ОЗОН Доступн товара'!$D:$D,0))</f>
        <v>62</v>
      </c>
      <c r="AY26" s="226">
        <f t="shared" si="13"/>
        <v>90</v>
      </c>
      <c r="AZ26" s="7" t="str">
        <f t="shared" si="14"/>
        <v>нов</v>
      </c>
      <c r="BA26" s="7">
        <f t="shared" si="15"/>
        <v>3</v>
      </c>
      <c r="BB26" s="7">
        <f t="shared" si="16"/>
        <v>2</v>
      </c>
      <c r="BC26" s="7">
        <f t="shared" si="17"/>
        <v>3</v>
      </c>
      <c r="BD26" s="27">
        <f t="shared" si="18"/>
        <v>21</v>
      </c>
      <c r="BE26" s="7">
        <f t="shared" si="19"/>
        <v>3</v>
      </c>
      <c r="BF26" s="104" t="str">
        <f t="shared" si="20"/>
        <v>нов</v>
      </c>
      <c r="BG26" s="27" t="str">
        <f t="shared" si="21"/>
        <v>нов</v>
      </c>
      <c r="BH26" s="104">
        <f t="shared" si="22"/>
        <v>6</v>
      </c>
      <c r="BI26" s="7">
        <f t="shared" si="23"/>
        <v>2</v>
      </c>
      <c r="BJ26" s="153" t="str">
        <f t="shared" si="24"/>
        <v>нов</v>
      </c>
      <c r="BK26" s="7" t="str">
        <f t="shared" si="25"/>
        <v>нов</v>
      </c>
      <c r="BL26" s="6">
        <f t="shared" si="26"/>
        <v>40</v>
      </c>
      <c r="BM26" s="6">
        <f t="shared" si="27"/>
        <v>80.600000000000009</v>
      </c>
      <c r="BN26" s="28">
        <f t="shared" si="28"/>
        <v>120.60000000000001</v>
      </c>
      <c r="BO26" s="73">
        <f>IFERROR(_xlfn.XLOOKUP(A26,'[2] Расчет стоимости и веса'!$I:$I,'[2] Расчет стоимости и веса'!$D:$D),0)</f>
        <v>250</v>
      </c>
      <c r="BP26" s="227">
        <f t="shared" si="29"/>
        <v>250</v>
      </c>
      <c r="BQ26" s="8"/>
      <c r="BR26" s="155">
        <v>50</v>
      </c>
      <c r="BS26" s="12"/>
      <c r="BT26" s="12"/>
      <c r="BU26" s="229"/>
      <c r="BV26" s="12"/>
      <c r="BW26" s="12">
        <v>50</v>
      </c>
      <c r="BY26" s="231">
        <v>50</v>
      </c>
      <c r="BZ26" s="232"/>
      <c r="CA26" s="155">
        <v>50</v>
      </c>
      <c r="CB26" s="157">
        <v>50</v>
      </c>
      <c r="CC26" s="57"/>
      <c r="CD26" s="12"/>
      <c r="CE26" s="146">
        <f t="shared" si="5"/>
        <v>250</v>
      </c>
      <c r="CF26" s="69">
        <f t="shared" si="6"/>
        <v>250</v>
      </c>
      <c r="CG26" s="45">
        <f t="shared" si="7"/>
        <v>0</v>
      </c>
    </row>
    <row r="27" spans="1:85" ht="14.1" customHeight="1">
      <c r="A27" s="91">
        <f>[1]Юнит!A29</f>
        <v>419145391</v>
      </c>
      <c r="B27" s="92">
        <f>[1]Юнит!B29</f>
        <v>2415742768</v>
      </c>
      <c r="C27" s="91" t="str">
        <f>[1]Юнит!C29</f>
        <v>ACRB1MS107WH</v>
      </c>
      <c r="D27" s="236" t="str">
        <f>[1]Юнит!D29</f>
        <v>Мяч с шипами белый 7 см</v>
      </c>
      <c r="E27" s="90">
        <f>[1]Юнит!E29</f>
        <v>2044025326637</v>
      </c>
      <c r="F27" s="132">
        <f>ROUNDUP(SUMIFS('ВБ Отчет Продажи (за 60 дней)'!$L:$L,'ВБ Отчет Продажи (за 60 дней)'!$K:$K,"Электросталь",'ВБ Отчет Продажи (за 60 дней)'!$G:$G,$A27),0)</f>
        <v>0</v>
      </c>
      <c r="G27" s="133">
        <f>ROUNDUP(SUMIFS('ВБ Отчет Продажи (за 60 дней)'!$L:$L,'ВБ Отчет Продажи (за 60 дней)'!$K:$K,"Коледино",'ВБ Отчет Продажи (за 60 дней)'!$G:$G,$A27),0)</f>
        <v>0</v>
      </c>
      <c r="H27" s="133">
        <f>ROUNDUP(SUMIFS('ВБ Отчет Продажи (за 60 дней)'!$L:$L,'ВБ Отчет Продажи (за 60 дней)'!$K:$K,"Тула",'ВБ Отчет Продажи (за 60 дней)'!$G:$G,$A27),0)</f>
        <v>0</v>
      </c>
      <c r="I27" s="134">
        <f>ROUNDUP(SUMIFS('ВБ Отчет Продажи (за 60 дней)'!$L:$L,'ВБ Отчет Продажи (за 60 дней)'!$K:$K,"Рязань (Тюшевское)",'ВБ Отчет Продажи (за 60 дней)'!$G:$G,$A27),0)</f>
        <v>0</v>
      </c>
      <c r="J27" s="136">
        <f>ROUNDUP(SUMIFS('ВБ Отчет Продажи (за 60 дней)'!$L:$L,'ВБ Отчет Продажи (за 60 дней)'!$K:$K,"Краснодар",'ВБ Отчет Продажи (за 60 дней)'!$G:$G,$A27),0)</f>
        <v>0</v>
      </c>
      <c r="K27" s="133">
        <f>ROUNDUP(SUMIFS('ВБ Отчет Продажи (за 60 дней)'!$L:$L,'ВБ Отчет Продажи (за 60 дней)'!$K:$K,"Невинномысск",'ВБ Отчет Продажи (за 60 дней)'!$G:$G,$A27),0)</f>
        <v>0</v>
      </c>
      <c r="L27" s="137">
        <f>ROUNDUP(SUMIFS('ВБ Отчет Продажи (за 60 дней)'!$L:$L,'ВБ Отчет Продажи (за 60 дней)'!$K:$K,"Волгоград",'ВБ Отчет Продажи (за 60 дней)'!$G:$G,$A27),0)</f>
        <v>0</v>
      </c>
      <c r="M27" s="136">
        <f>ROUNDUP(SUMIFS('ВБ Отчет Продажи (за 60 дней)'!$L:$L,'ВБ Отчет Продажи (за 60 дней)'!$K:$K,"Самара (Новосемейкино)",'ВБ Отчет Продажи (за 60 дней)'!$G:$G,$A27),0)</f>
        <v>0</v>
      </c>
      <c r="N27" s="137">
        <f>ROUNDUP(SUMIFS('ВБ Отчет Продажи (за 60 дней)'!$L:$L,'ВБ Отчет Продажи (за 60 дней)'!$K:$K,"Казань",'ВБ Отчет Продажи (за 60 дней)'!$G:$G,$A27),0)</f>
        <v>0</v>
      </c>
      <c r="O27" s="137">
        <f>ROUNDUP(SUMIFS('ВБ Отчет Продажи (за 60 дней)'!$L:$L,'ВБ Отчет Продажи (за 60 дней)'!$K:$K,"СПБ Шушары",'ВБ Отчет Продажи (за 60 дней)'!$G:$G,$A27),0)</f>
        <v>0</v>
      </c>
      <c r="P27" s="151">
        <f>ROUNDUP(SUMIFS('ВБ Отчет Продажи (за 60 дней)'!$L:$L,'ВБ Отчет Продажи (за 60 дней)'!$K:$K,"Екатеринбург - Перспективный 12",'ВБ Отчет Продажи (за 60 дней)'!$G:$G,$A27),0)</f>
        <v>0</v>
      </c>
      <c r="Q27" s="149">
        <f>ROUNDUP(SUMIFS('ВБ Отчет Продажи (за 60 дней)'!$L:$L,'ВБ Отчет Продажи (за 60 дней)'!$K:$K,"Новосибирск",'ВБ Отчет Продажи (за 60 дней)'!$G:$G,$A27),0)</f>
        <v>0</v>
      </c>
      <c r="R27" s="131">
        <f t="shared" si="0"/>
        <v>0</v>
      </c>
      <c r="S27" s="139">
        <f>SUMIFS('ОЗОН Оборот ведом (за 60 дней)'!I:I,'ОЗОН Оборот ведом (за 60 дней)'!A:A,B27)</f>
        <v>0</v>
      </c>
      <c r="T27" s="140">
        <f t="shared" si="8"/>
        <v>0</v>
      </c>
      <c r="U27" s="6">
        <f>SUMIFS('ВБ Отчет Продажи (за 60 дней)'!$P:$P,'ВБ Отчет Продажи (за 60 дней)'!$K:$K,"Электросталь",'ВБ Отчет Продажи (за 60 дней)'!$G:$G,$A27)</f>
        <v>0</v>
      </c>
      <c r="V27" s="7">
        <f>SUMIFS('ВБ Отчет Продажи (за 60 дней)'!$P:$P,'ВБ Отчет Продажи (за 60 дней)'!$K:$K,"Коледино",'ВБ Отчет Продажи (за 60 дней)'!$G:$G,$A27)</f>
        <v>0</v>
      </c>
      <c r="W27" s="7">
        <f>SUMIFS('ВБ Отчет Продажи (за 60 дней)'!$P:$P,'ВБ Отчет Продажи (за 60 дней)'!$K:$K,"Тула",'ВБ Отчет Продажи (за 60 дней)'!$G:$G,$A27)</f>
        <v>0</v>
      </c>
      <c r="X27" s="7">
        <f>SUMIFS('ВБ Отчет Продажи (за 60 дней)'!$P:$P,'ВБ Отчет Продажи (за 60 дней)'!$K:$K,"Рязань (Тюшевское)",'ВБ Отчет Продажи (за 60 дней)'!$G:$G,$A27)</f>
        <v>0</v>
      </c>
      <c r="Y27" s="27">
        <f>SUMIFS('ВБ Отчет Продажи (за 60 дней)'!$P:$P,'ВБ Отчет Продажи (за 60 дней)'!$K:$K,"Краснодар",'ВБ Отчет Продажи (за 60 дней)'!$G:$G,$A27)</f>
        <v>0</v>
      </c>
      <c r="Z27" s="7">
        <f>SUMIFS('ВБ Отчет Продажи (за 60 дней)'!$P:$P,'ВБ Отчет Продажи (за 60 дней)'!$K:$K,"Невинномысск",'ВБ Отчет Продажи (за 60 дней)'!$G:$G,$A27)</f>
        <v>0</v>
      </c>
      <c r="AA27" s="104">
        <f>SUMIFS('ВБ Отчет Продажи (за 60 дней)'!$P:$P,'ВБ Отчет Продажи (за 60 дней)'!$K:$K,"Волгоград",'ВБ Отчет Продажи (за 60 дней)'!$G:$G,$A27)</f>
        <v>0</v>
      </c>
      <c r="AB27" s="27">
        <f>SUMIFS('ВБ Отчет Продажи (за 60 дней)'!$P:$P,'ВБ Отчет Продажи (за 60 дней)'!$K:$K,"Самара (Новосемейкино)",'ВБ Отчет Продажи (за 60 дней)'!$G:$G,$A27)</f>
        <v>0</v>
      </c>
      <c r="AC27" s="104">
        <f>SUMIFS('ВБ Отчет Продажи (за 60 дней)'!$P:$P,'ВБ Отчет Продажи (за 60 дней)'!$K:$K,"Казань",'ВБ Отчет Продажи (за 60 дней)'!$G:$G,$A27)</f>
        <v>0</v>
      </c>
      <c r="AD27" s="104">
        <f>SUMIFS('ВБ Отчет Продажи (за 60 дней)'!$P:$P,'ВБ Отчет Продажи (за 60 дней)'!$K:$K,"СПБ Шушары",'ВБ Отчет Продажи (за 60 дней)'!$G:$G,$A27)</f>
        <v>0</v>
      </c>
      <c r="AE27" s="153">
        <f>SUMIFS('ВБ Отчет Продажи (за 60 дней)'!$P:$P,'ВБ Отчет Продажи (за 60 дней)'!$K:$K,"Екатеринбург - Перспективный 12",'ВБ Отчет Продажи (за 60 дней)'!$G:$G,$A27)</f>
        <v>0</v>
      </c>
      <c r="AF27" s="102">
        <f>SUMIFS('ВБ Отчет Продажи (за 60 дней)'!$P:$P,'ВБ Отчет Продажи (за 60 дней)'!$K:$K,"Новосибирск",'ВБ Отчет Продажи (за 60 дней)'!$G:$G,$A27)</f>
        <v>0</v>
      </c>
      <c r="AG27" s="124">
        <f t="shared" si="9"/>
        <v>0</v>
      </c>
      <c r="AH27" s="7">
        <f t="shared" si="10"/>
        <v>0</v>
      </c>
      <c r="AI27" s="213">
        <f>SUMIFS('ОЗОН Оборот ведом (за 60 дней)'!J:J,'ОЗОН Оборот ведом (за 60 дней)'!A:A,B27)</f>
        <v>0</v>
      </c>
      <c r="AJ27" s="21">
        <f t="shared" si="11"/>
        <v>0</v>
      </c>
      <c r="AK27" s="7" t="str" cm="1">
        <f t="array" ref="AK27">IFERROR(_xlfn.IFS((F27-U27)&gt;0,F27/$R$1*$AY$1-U27,F27+U27=0,"нов"),0)</f>
        <v>нов</v>
      </c>
      <c r="AL27" s="7" t="str" cm="1">
        <f t="array" ref="AL27">IFERROR(_xlfn.IFS((G27-V27)&gt;0,G27/$R$1*$AY$1-V27,G27+V27=0,"нов"),0)</f>
        <v>нов</v>
      </c>
      <c r="AM27" s="7" t="str" cm="1">
        <f t="array" ref="AM27">IFERROR(_xlfn.IFS((H27-W27)&gt;0,H27/$R$1*$AY$1-W27,H27+W27=0,"нов"),0)</f>
        <v>нов</v>
      </c>
      <c r="AN27" s="7" t="str" cm="1">
        <f t="array" ref="AN27">IFERROR(_xlfn.IFS((I27-X27)&gt;0,I27/$R$1*$AY$1-X27,I27+X27=0,"нов"),0)</f>
        <v>нов</v>
      </c>
      <c r="AO27" s="27" t="str" cm="1">
        <f t="array" ref="AO27">IFERROR(_xlfn.IFS((J27-Y27)&gt;0,J27/$R$1*$AY$1-Y27,J27+Y27=0,"нов"),0)</f>
        <v>нов</v>
      </c>
      <c r="AP27" s="7" t="str" cm="1">
        <f t="array" ref="AP27">IFERROR(_xlfn.IFS((K27-Z27)&gt;0,K27/$R$1*$AY$1-Z27,K27+Z27=0,"нов"),0)</f>
        <v>нов</v>
      </c>
      <c r="AQ27" s="104" t="str" cm="1">
        <f t="array" ref="AQ27">IFERROR(_xlfn.IFS((L27-AA27)&gt;0,L27/$R$1*$AY$1-AA27,L27+AA27=0,"нов"),0)</f>
        <v>нов</v>
      </c>
      <c r="AR27" s="27" t="str" cm="1">
        <f t="array" ref="AR27">IFERROR(_xlfn.IFS((M27-AB27)&gt;0,M27/$R$1*$AY$1-AB27,M27+AB27=0,"нов"),0)</f>
        <v>нов</v>
      </c>
      <c r="AS27" s="104" t="str" cm="1">
        <f t="array" ref="AS27">IFERROR(_xlfn.IFS((N27-AC27)&gt;0,N27/$R$1*$AY$1-AC27,N27+AC27=0,"нов"),0)</f>
        <v>нов</v>
      </c>
      <c r="AT27" s="104" t="str" cm="1">
        <f t="array" ref="AT27">IFERROR(_xlfn.IFS((O27-AD27)&gt;0,O27/$R$1*$AY$1-AD27,O27+AD27=0,"нов"),0)</f>
        <v>нов</v>
      </c>
      <c r="AU27" s="7" t="str" cm="1">
        <f t="array" ref="AU27">IFERROR(_xlfn.IFS((P27-AE27)&gt;0,P27/$R$1*$AY$1-AE27,P27+AE27=0,"нов"),0)</f>
        <v>нов</v>
      </c>
      <c r="AV27" s="7" t="str" cm="1">
        <f t="array" ref="AV27">IFERROR(_xlfn.IFS((Q27-AF27)&gt;0,Q27/$R$1*$AY$1-AF27,Q27+AF27=0,"нов"),0)</f>
        <v>нов</v>
      </c>
      <c r="AW27" s="141">
        <f t="shared" si="12"/>
        <v>0</v>
      </c>
      <c r="AX27" s="218">
        <f>SUMIF('ОЗОН Доступн товара'!D:D,_xlfn.XLOOKUP($B27,'ОЗОН Доступн товара'!$A:$A,'ОЗОН Доступн товара'!$D:$D,0))</f>
        <v>0</v>
      </c>
      <c r="AY27" s="226">
        <f t="shared" si="13"/>
        <v>0</v>
      </c>
      <c r="AZ27" s="7" t="str">
        <f t="shared" si="14"/>
        <v>нов</v>
      </c>
      <c r="BA27" s="7" t="str">
        <f t="shared" si="15"/>
        <v>нов</v>
      </c>
      <c r="BB27" s="7" t="str">
        <f t="shared" si="16"/>
        <v>нов</v>
      </c>
      <c r="BC27" s="7" t="str">
        <f t="shared" si="17"/>
        <v>нов</v>
      </c>
      <c r="BD27" s="27" t="str">
        <f t="shared" si="18"/>
        <v>нов</v>
      </c>
      <c r="BE27" s="7" t="str">
        <f t="shared" si="19"/>
        <v>нов</v>
      </c>
      <c r="BF27" s="104" t="str">
        <f t="shared" si="20"/>
        <v>нов</v>
      </c>
      <c r="BG27" s="27" t="str">
        <f t="shared" si="21"/>
        <v>нов</v>
      </c>
      <c r="BH27" s="104" t="str">
        <f t="shared" si="22"/>
        <v>нов</v>
      </c>
      <c r="BI27" s="7" t="str">
        <f t="shared" si="23"/>
        <v>нов</v>
      </c>
      <c r="BJ27" s="153" t="str">
        <f t="shared" si="24"/>
        <v>нов</v>
      </c>
      <c r="BK27" s="7" t="str">
        <f t="shared" si="25"/>
        <v>нов</v>
      </c>
      <c r="BL27" s="6">
        <f t="shared" si="26"/>
        <v>0</v>
      </c>
      <c r="BM27" s="6">
        <f t="shared" si="27"/>
        <v>0</v>
      </c>
      <c r="BN27" s="28">
        <f t="shared" si="28"/>
        <v>0</v>
      </c>
      <c r="BO27" s="73">
        <f>IFERROR(_xlfn.XLOOKUP(A27,'[2] Расчет стоимости и веса'!$I:$I,'[2] Расчет стоимости и веса'!$D:$D),0)</f>
        <v>300</v>
      </c>
      <c r="BP27" s="227">
        <f t="shared" si="29"/>
        <v>300</v>
      </c>
      <c r="BQ27" s="8"/>
      <c r="BR27" s="155">
        <v>100</v>
      </c>
      <c r="BS27" s="12"/>
      <c r="BT27" s="12"/>
      <c r="BU27" s="229"/>
      <c r="BV27" s="12"/>
      <c r="BW27" s="12">
        <v>50</v>
      </c>
      <c r="BY27" s="231">
        <v>50</v>
      </c>
      <c r="BZ27" s="232"/>
      <c r="CA27" s="155">
        <v>50</v>
      </c>
      <c r="CB27" s="157">
        <v>50</v>
      </c>
      <c r="CC27" s="57"/>
      <c r="CD27" s="12"/>
      <c r="CE27" s="146">
        <f t="shared" si="5"/>
        <v>300</v>
      </c>
      <c r="CF27" s="69">
        <f t="shared" si="6"/>
        <v>300</v>
      </c>
      <c r="CG27" s="45">
        <f t="shared" si="7"/>
        <v>0</v>
      </c>
    </row>
    <row r="28" spans="1:85" ht="14.1" customHeight="1">
      <c r="A28" s="91">
        <f>[1]Юнит!A30</f>
        <v>419145389</v>
      </c>
      <c r="B28" s="92">
        <f>[1]Юнит!B30</f>
        <v>2415742912</v>
      </c>
      <c r="C28" s="91" t="str">
        <f>[1]Юнит!C30</f>
        <v>ACRB1MS107PN</v>
      </c>
      <c r="D28" s="236" t="str">
        <f>[1]Юнит!D30</f>
        <v>Мяч с шипами розовый 7 см</v>
      </c>
      <c r="E28" s="90">
        <f>[1]Юнит!E30</f>
        <v>2044025316447</v>
      </c>
      <c r="F28" s="132">
        <f>ROUNDUP(SUMIFS('ВБ Отчет Продажи (за 60 дней)'!$L:$L,'ВБ Отчет Продажи (за 60 дней)'!$K:$K,"Электросталь",'ВБ Отчет Продажи (за 60 дней)'!$G:$G,$A28),0)</f>
        <v>0</v>
      </c>
      <c r="G28" s="133">
        <f>ROUNDUP(SUMIFS('ВБ Отчет Продажи (за 60 дней)'!$L:$L,'ВБ Отчет Продажи (за 60 дней)'!$K:$K,"Коледино",'ВБ Отчет Продажи (за 60 дней)'!$G:$G,$A28),0)</f>
        <v>0</v>
      </c>
      <c r="H28" s="133">
        <f>ROUNDUP(SUMIFS('ВБ Отчет Продажи (за 60 дней)'!$L:$L,'ВБ Отчет Продажи (за 60 дней)'!$K:$K,"Тула",'ВБ Отчет Продажи (за 60 дней)'!$G:$G,$A28),0)</f>
        <v>0</v>
      </c>
      <c r="I28" s="134">
        <f>ROUNDUP(SUMIFS('ВБ Отчет Продажи (за 60 дней)'!$L:$L,'ВБ Отчет Продажи (за 60 дней)'!$K:$K,"Рязань (Тюшевское)",'ВБ Отчет Продажи (за 60 дней)'!$G:$G,$A28),0)</f>
        <v>3</v>
      </c>
      <c r="J28" s="136">
        <f>ROUNDUP(SUMIFS('ВБ Отчет Продажи (за 60 дней)'!$L:$L,'ВБ Отчет Продажи (за 60 дней)'!$K:$K,"Краснодар",'ВБ Отчет Продажи (за 60 дней)'!$G:$G,$A28),0)</f>
        <v>1</v>
      </c>
      <c r="K28" s="133">
        <f>ROUNDUP(SUMIFS('ВБ Отчет Продажи (за 60 дней)'!$L:$L,'ВБ Отчет Продажи (за 60 дней)'!$K:$K,"Невинномысск",'ВБ Отчет Продажи (за 60 дней)'!$G:$G,$A28),0)</f>
        <v>0</v>
      </c>
      <c r="L28" s="137">
        <f>ROUNDUP(SUMIFS('ВБ Отчет Продажи (за 60 дней)'!$L:$L,'ВБ Отчет Продажи (за 60 дней)'!$K:$K,"Волгоград",'ВБ Отчет Продажи (за 60 дней)'!$G:$G,$A28),0)</f>
        <v>0</v>
      </c>
      <c r="M28" s="136">
        <f>ROUNDUP(SUMIFS('ВБ Отчет Продажи (за 60 дней)'!$L:$L,'ВБ Отчет Продажи (за 60 дней)'!$K:$K,"Самара (Новосемейкино)",'ВБ Отчет Продажи (за 60 дней)'!$G:$G,$A28),0)</f>
        <v>0</v>
      </c>
      <c r="N28" s="137">
        <f>ROUNDUP(SUMIFS('ВБ Отчет Продажи (за 60 дней)'!$L:$L,'ВБ Отчет Продажи (за 60 дней)'!$K:$K,"Казань",'ВБ Отчет Продажи (за 60 дней)'!$G:$G,$A28),0)</f>
        <v>0</v>
      </c>
      <c r="O28" s="137">
        <f>ROUNDUP(SUMIFS('ВБ Отчет Продажи (за 60 дней)'!$L:$L,'ВБ Отчет Продажи (за 60 дней)'!$K:$K,"СПБ Шушары",'ВБ Отчет Продажи (за 60 дней)'!$G:$G,$A28),0)</f>
        <v>0</v>
      </c>
      <c r="P28" s="151">
        <f>ROUNDUP(SUMIFS('ВБ Отчет Продажи (за 60 дней)'!$L:$L,'ВБ Отчет Продажи (за 60 дней)'!$K:$K,"Екатеринбург - Перспективный 12",'ВБ Отчет Продажи (за 60 дней)'!$G:$G,$A28),0)</f>
        <v>0</v>
      </c>
      <c r="Q28" s="149">
        <f>ROUNDUP(SUMIFS('ВБ Отчет Продажи (за 60 дней)'!$L:$L,'ВБ Отчет Продажи (за 60 дней)'!$K:$K,"Новосибирск",'ВБ Отчет Продажи (за 60 дней)'!$G:$G,$A28),0)</f>
        <v>0</v>
      </c>
      <c r="R28" s="131">
        <f t="shared" si="0"/>
        <v>4</v>
      </c>
      <c r="S28" s="139">
        <f>SUMIFS('ОЗОН Оборот ведом (за 60 дней)'!I:I,'ОЗОН Оборот ведом (за 60 дней)'!A:A,B28)</f>
        <v>0</v>
      </c>
      <c r="T28" s="140">
        <f t="shared" si="8"/>
        <v>4</v>
      </c>
      <c r="U28" s="6">
        <f>SUMIFS('ВБ Отчет Продажи (за 60 дней)'!$P:$P,'ВБ Отчет Продажи (за 60 дней)'!$K:$K,"Электросталь",'ВБ Отчет Продажи (за 60 дней)'!$G:$G,$A28)</f>
        <v>0</v>
      </c>
      <c r="V28" s="7">
        <f>SUMIFS('ВБ Отчет Продажи (за 60 дней)'!$P:$P,'ВБ Отчет Продажи (за 60 дней)'!$K:$K,"Коледино",'ВБ Отчет Продажи (за 60 дней)'!$G:$G,$A28)</f>
        <v>0</v>
      </c>
      <c r="W28" s="7">
        <f>SUMIFS('ВБ Отчет Продажи (за 60 дней)'!$P:$P,'ВБ Отчет Продажи (за 60 дней)'!$K:$K,"Тула",'ВБ Отчет Продажи (за 60 дней)'!$G:$G,$A28)</f>
        <v>0</v>
      </c>
      <c r="X28" s="7">
        <f>SUMIFS('ВБ Отчет Продажи (за 60 дней)'!$P:$P,'ВБ Отчет Продажи (за 60 дней)'!$K:$K,"Рязань (Тюшевское)",'ВБ Отчет Продажи (за 60 дней)'!$G:$G,$A28)</f>
        <v>4</v>
      </c>
      <c r="Y28" s="27">
        <f>SUMIFS('ВБ Отчет Продажи (за 60 дней)'!$P:$P,'ВБ Отчет Продажи (за 60 дней)'!$K:$K,"Краснодар",'ВБ Отчет Продажи (за 60 дней)'!$G:$G,$A28)</f>
        <v>14</v>
      </c>
      <c r="Z28" s="7">
        <f>SUMIFS('ВБ Отчет Продажи (за 60 дней)'!$P:$P,'ВБ Отчет Продажи (за 60 дней)'!$K:$K,"Невинномысск",'ВБ Отчет Продажи (за 60 дней)'!$G:$G,$A28)</f>
        <v>0</v>
      </c>
      <c r="AA28" s="104">
        <f>SUMIFS('ВБ Отчет Продажи (за 60 дней)'!$P:$P,'ВБ Отчет Продажи (за 60 дней)'!$K:$K,"Волгоград",'ВБ Отчет Продажи (за 60 дней)'!$G:$G,$A28)</f>
        <v>0</v>
      </c>
      <c r="AB28" s="27">
        <f>SUMIFS('ВБ Отчет Продажи (за 60 дней)'!$P:$P,'ВБ Отчет Продажи (за 60 дней)'!$K:$K,"Самара (Новосемейкино)",'ВБ Отчет Продажи (за 60 дней)'!$G:$G,$A28)</f>
        <v>0</v>
      </c>
      <c r="AC28" s="104">
        <f>SUMIFS('ВБ Отчет Продажи (за 60 дней)'!$P:$P,'ВБ Отчет Продажи (за 60 дней)'!$K:$K,"Казань",'ВБ Отчет Продажи (за 60 дней)'!$G:$G,$A28)</f>
        <v>0</v>
      </c>
      <c r="AD28" s="104">
        <f>SUMIFS('ВБ Отчет Продажи (за 60 дней)'!$P:$P,'ВБ Отчет Продажи (за 60 дней)'!$K:$K,"СПБ Шушары",'ВБ Отчет Продажи (за 60 дней)'!$G:$G,$A28)</f>
        <v>19</v>
      </c>
      <c r="AE28" s="153">
        <f>SUMIFS('ВБ Отчет Продажи (за 60 дней)'!$P:$P,'ВБ Отчет Продажи (за 60 дней)'!$K:$K,"Екатеринбург - Перспективный 12",'ВБ Отчет Продажи (за 60 дней)'!$G:$G,$A28)</f>
        <v>0</v>
      </c>
      <c r="AF28" s="102">
        <f>SUMIFS('ВБ Отчет Продажи (за 60 дней)'!$P:$P,'ВБ Отчет Продажи (за 60 дней)'!$K:$K,"Новосибирск",'ВБ Отчет Продажи (за 60 дней)'!$G:$G,$A28)</f>
        <v>0</v>
      </c>
      <c r="AG28" s="124">
        <f t="shared" si="9"/>
        <v>37</v>
      </c>
      <c r="AH28" s="7">
        <f t="shared" si="10"/>
        <v>555</v>
      </c>
      <c r="AI28" s="213">
        <f>SUMIFS('ОЗОН Оборот ведом (за 60 дней)'!J:J,'ОЗОН Оборот ведом (за 60 дней)'!A:A,B28)</f>
        <v>0</v>
      </c>
      <c r="AJ28" s="21">
        <f t="shared" si="11"/>
        <v>37</v>
      </c>
      <c r="AK28" s="7" t="str" cm="1">
        <f t="array" ref="AK28">IFERROR(_xlfn.IFS((F28-U28)&gt;0,F28/$R$1*$AY$1-U28,F28+U28=0,"нов"),0)</f>
        <v>нов</v>
      </c>
      <c r="AL28" s="7" t="str" cm="1">
        <f t="array" ref="AL28">IFERROR(_xlfn.IFS((G28-V28)&gt;0,G28/$R$1*$AY$1-V28,G28+V28=0,"нов"),0)</f>
        <v>нов</v>
      </c>
      <c r="AM28" s="7" t="str" cm="1">
        <f t="array" ref="AM28">IFERROR(_xlfn.IFS((H28-W28)&gt;0,H28/$R$1*$AY$1-W28,H28+W28=0,"нов"),0)</f>
        <v>нов</v>
      </c>
      <c r="AN28" s="7" cm="1">
        <f t="array" ref="AN28">IFERROR(_xlfn.IFS((I28-X28)&gt;0,I28/$R$1*$AY$1-X28,I28+X28=0,"нов"),0)</f>
        <v>0</v>
      </c>
      <c r="AO28" s="27" cm="1">
        <f t="array" ref="AO28">IFERROR(_xlfn.IFS((J28-Y28)&gt;0,J28/$R$1*$AY$1-Y28,J28+Y28=0,"нов"),0)</f>
        <v>0</v>
      </c>
      <c r="AP28" s="7" t="str" cm="1">
        <f t="array" ref="AP28">IFERROR(_xlfn.IFS((K28-Z28)&gt;0,K28/$R$1*$AY$1-Z28,K28+Z28=0,"нов"),0)</f>
        <v>нов</v>
      </c>
      <c r="AQ28" s="104" t="str" cm="1">
        <f t="array" ref="AQ28">IFERROR(_xlfn.IFS((L28-AA28)&gt;0,L28/$R$1*$AY$1-AA28,L28+AA28=0,"нов"),0)</f>
        <v>нов</v>
      </c>
      <c r="AR28" s="27" t="str" cm="1">
        <f t="array" ref="AR28">IFERROR(_xlfn.IFS((M28-AB28)&gt;0,M28/$R$1*$AY$1-AB28,M28+AB28=0,"нов"),0)</f>
        <v>нов</v>
      </c>
      <c r="AS28" s="104" t="str" cm="1">
        <f t="array" ref="AS28">IFERROR(_xlfn.IFS((N28-AC28)&gt;0,N28/$R$1*$AY$1-AC28,N28+AC28=0,"нов"),0)</f>
        <v>нов</v>
      </c>
      <c r="AT28" s="104" cm="1">
        <f t="array" ref="AT28">IFERROR(_xlfn.IFS((O28-AD28)&gt;0,O28/$R$1*$AY$1-AD28,O28+AD28=0,"нов"),0)</f>
        <v>0</v>
      </c>
      <c r="AU28" s="7" t="str" cm="1">
        <f t="array" ref="AU28">IFERROR(_xlfn.IFS((P28-AE28)&gt;0,P28/$R$1*$AY$1-AE28,P28+AE28=0,"нов"),0)</f>
        <v>нов</v>
      </c>
      <c r="AV28" s="7" t="str" cm="1">
        <f t="array" ref="AV28">IFERROR(_xlfn.IFS((Q28-AF28)&gt;0,Q28/$R$1*$AY$1-AF28,Q28+AF28=0,"нов"),0)</f>
        <v>нов</v>
      </c>
      <c r="AW28" s="141">
        <f t="shared" si="12"/>
        <v>0</v>
      </c>
      <c r="AX28" s="218">
        <f>SUMIF('ОЗОН Доступн товара'!D:D,_xlfn.XLOOKUP($B28,'ОЗОН Доступн товара'!$A:$A,'ОЗОН Доступн товара'!$D:$D,0))</f>
        <v>0</v>
      </c>
      <c r="AY28" s="226">
        <f t="shared" si="13"/>
        <v>0</v>
      </c>
      <c r="AZ28" s="7" t="str">
        <f t="shared" si="14"/>
        <v>нов</v>
      </c>
      <c r="BA28" s="7" t="str">
        <f t="shared" si="15"/>
        <v>нов</v>
      </c>
      <c r="BB28" s="7" t="str">
        <f t="shared" si="16"/>
        <v>нов</v>
      </c>
      <c r="BC28" s="7">
        <f t="shared" si="17"/>
        <v>0</v>
      </c>
      <c r="BD28" s="27">
        <f t="shared" si="18"/>
        <v>0</v>
      </c>
      <c r="BE28" s="7" t="str">
        <f t="shared" si="19"/>
        <v>нов</v>
      </c>
      <c r="BF28" s="104" t="str">
        <f t="shared" si="20"/>
        <v>нов</v>
      </c>
      <c r="BG28" s="27" t="str">
        <f t="shared" si="21"/>
        <v>нов</v>
      </c>
      <c r="BH28" s="104" t="str">
        <f t="shared" si="22"/>
        <v>нов</v>
      </c>
      <c r="BI28" s="7">
        <f t="shared" si="23"/>
        <v>0</v>
      </c>
      <c r="BJ28" s="153" t="str">
        <f t="shared" si="24"/>
        <v>нов</v>
      </c>
      <c r="BK28" s="7" t="str">
        <f t="shared" si="25"/>
        <v>нов</v>
      </c>
      <c r="BL28" s="6">
        <f t="shared" si="26"/>
        <v>0</v>
      </c>
      <c r="BM28" s="6">
        <f t="shared" si="27"/>
        <v>0</v>
      </c>
      <c r="BN28" s="28">
        <f t="shared" si="28"/>
        <v>0</v>
      </c>
      <c r="BO28" s="73">
        <f>IFERROR(_xlfn.XLOOKUP(A28,'[2] Расчет стоимости и веса'!$I:$I,'[2] Расчет стоимости и веса'!$D:$D),0)</f>
        <v>60</v>
      </c>
      <c r="BP28" s="227">
        <f t="shared" si="29"/>
        <v>60</v>
      </c>
      <c r="BQ28" s="8">
        <v>0</v>
      </c>
      <c r="BR28" s="155">
        <v>20</v>
      </c>
      <c r="BS28" s="12"/>
      <c r="BT28" s="12"/>
      <c r="BU28" s="229"/>
      <c r="BV28" s="12"/>
      <c r="BW28" s="12"/>
      <c r="BY28" s="231">
        <v>20</v>
      </c>
      <c r="BZ28" s="232"/>
      <c r="CA28" s="155"/>
      <c r="CB28" s="157">
        <v>20</v>
      </c>
      <c r="CC28" s="57"/>
      <c r="CD28" s="12"/>
      <c r="CE28" s="146">
        <f t="shared" si="5"/>
        <v>60</v>
      </c>
      <c r="CF28" s="69">
        <f t="shared" si="6"/>
        <v>60</v>
      </c>
      <c r="CG28" s="45">
        <f t="shared" si="7"/>
        <v>0</v>
      </c>
    </row>
    <row r="29" spans="1:85" ht="14.1" customHeight="1">
      <c r="A29" s="91">
        <f>[1]Юнит!A31</f>
        <v>419145748</v>
      </c>
      <c r="B29" s="92">
        <f>[1]Юнит!B31</f>
        <v>2415742611</v>
      </c>
      <c r="C29" s="91" t="str">
        <f>[1]Юнит!C31</f>
        <v>ACRB1MS107BL</v>
      </c>
      <c r="D29" s="236" t="str">
        <f>[1]Юнит!D31</f>
        <v>Мяч с шипами голубой 7 см</v>
      </c>
      <c r="E29" s="90">
        <f>[1]Юнит!E31</f>
        <v>2044025338661</v>
      </c>
      <c r="F29" s="132">
        <f>ROUNDUP(SUMIFS('ВБ Отчет Продажи (за 60 дней)'!$L:$L,'ВБ Отчет Продажи (за 60 дней)'!$K:$K,"Электросталь",'ВБ Отчет Продажи (за 60 дней)'!$G:$G,$A29),0)</f>
        <v>0</v>
      </c>
      <c r="G29" s="133">
        <f>ROUNDUP(SUMIFS('ВБ Отчет Продажи (за 60 дней)'!$L:$L,'ВБ Отчет Продажи (за 60 дней)'!$K:$K,"Коледино",'ВБ Отчет Продажи (за 60 дней)'!$G:$G,$A29),0)</f>
        <v>1</v>
      </c>
      <c r="H29" s="133">
        <f>ROUNDUP(SUMIFS('ВБ Отчет Продажи (за 60 дней)'!$L:$L,'ВБ Отчет Продажи (за 60 дней)'!$K:$K,"Тула",'ВБ Отчет Продажи (за 60 дней)'!$G:$G,$A29),0)</f>
        <v>0</v>
      </c>
      <c r="I29" s="134">
        <f>ROUNDUP(SUMIFS('ВБ Отчет Продажи (за 60 дней)'!$L:$L,'ВБ Отчет Продажи (за 60 дней)'!$K:$K,"Рязань (Тюшевское)",'ВБ Отчет Продажи (за 60 дней)'!$G:$G,$A29),0)</f>
        <v>0</v>
      </c>
      <c r="J29" s="136">
        <f>ROUNDUP(SUMIFS('ВБ Отчет Продажи (за 60 дней)'!$L:$L,'ВБ Отчет Продажи (за 60 дней)'!$K:$K,"Краснодар",'ВБ Отчет Продажи (за 60 дней)'!$G:$G,$A29),0)</f>
        <v>0</v>
      </c>
      <c r="K29" s="133">
        <f>ROUNDUP(SUMIFS('ВБ Отчет Продажи (за 60 дней)'!$L:$L,'ВБ Отчет Продажи (за 60 дней)'!$K:$K,"Невинномысск",'ВБ Отчет Продажи (за 60 дней)'!$G:$G,$A29),0)</f>
        <v>0</v>
      </c>
      <c r="L29" s="137">
        <f>ROUNDUP(SUMIFS('ВБ Отчет Продажи (за 60 дней)'!$L:$L,'ВБ Отчет Продажи (за 60 дней)'!$K:$K,"Волгоград",'ВБ Отчет Продажи (за 60 дней)'!$G:$G,$A29),0)</f>
        <v>0</v>
      </c>
      <c r="M29" s="136">
        <f>ROUNDUP(SUMIFS('ВБ Отчет Продажи (за 60 дней)'!$L:$L,'ВБ Отчет Продажи (за 60 дней)'!$K:$K,"Самара (Новосемейкино)",'ВБ Отчет Продажи (за 60 дней)'!$G:$G,$A29),0)</f>
        <v>0</v>
      </c>
      <c r="N29" s="137">
        <f>ROUNDUP(SUMIFS('ВБ Отчет Продажи (за 60 дней)'!$L:$L,'ВБ Отчет Продажи (за 60 дней)'!$K:$K,"Казань",'ВБ Отчет Продажи (за 60 дней)'!$G:$G,$A29),0)</f>
        <v>0</v>
      </c>
      <c r="O29" s="137">
        <f>ROUNDUP(SUMIFS('ВБ Отчет Продажи (за 60 дней)'!$L:$L,'ВБ Отчет Продажи (за 60 дней)'!$K:$K,"СПБ Шушары",'ВБ Отчет Продажи (за 60 дней)'!$G:$G,$A29),0)</f>
        <v>2</v>
      </c>
      <c r="P29" s="151">
        <f>ROUNDUP(SUMIFS('ВБ Отчет Продажи (за 60 дней)'!$L:$L,'ВБ Отчет Продажи (за 60 дней)'!$K:$K,"Екатеринбург - Перспективный 12",'ВБ Отчет Продажи (за 60 дней)'!$G:$G,$A29),0)</f>
        <v>0</v>
      </c>
      <c r="Q29" s="149">
        <f>ROUNDUP(SUMIFS('ВБ Отчет Продажи (за 60 дней)'!$L:$L,'ВБ Отчет Продажи (за 60 дней)'!$K:$K,"Новосибирск",'ВБ Отчет Продажи (за 60 дней)'!$G:$G,$A29),0)</f>
        <v>0</v>
      </c>
      <c r="R29" s="131">
        <f t="shared" si="0"/>
        <v>3</v>
      </c>
      <c r="S29" s="139">
        <f>SUMIFS('ОЗОН Оборот ведом (за 60 дней)'!I:I,'ОЗОН Оборот ведом (за 60 дней)'!A:A,B29)</f>
        <v>0</v>
      </c>
      <c r="T29" s="140">
        <f t="shared" si="8"/>
        <v>3</v>
      </c>
      <c r="U29" s="6">
        <f>SUMIFS('ВБ Отчет Продажи (за 60 дней)'!$P:$P,'ВБ Отчет Продажи (за 60 дней)'!$K:$K,"Электросталь",'ВБ Отчет Продажи (за 60 дней)'!$G:$G,$A29)</f>
        <v>0</v>
      </c>
      <c r="V29" s="7">
        <f>SUMIFS('ВБ Отчет Продажи (за 60 дней)'!$P:$P,'ВБ Отчет Продажи (за 60 дней)'!$K:$K,"Коледино",'ВБ Отчет Продажи (за 60 дней)'!$G:$G,$A29)</f>
        <v>11</v>
      </c>
      <c r="W29" s="7">
        <f>SUMIFS('ВБ Отчет Продажи (за 60 дней)'!$P:$P,'ВБ Отчет Продажи (за 60 дней)'!$K:$K,"Тула",'ВБ Отчет Продажи (за 60 дней)'!$G:$G,$A29)</f>
        <v>0</v>
      </c>
      <c r="X29" s="7">
        <f>SUMIFS('ВБ Отчет Продажи (за 60 дней)'!$P:$P,'ВБ Отчет Продажи (за 60 дней)'!$K:$K,"Рязань (Тюшевское)",'ВБ Отчет Продажи (за 60 дней)'!$G:$G,$A29)</f>
        <v>16</v>
      </c>
      <c r="Y29" s="27">
        <f>SUMIFS('ВБ Отчет Продажи (за 60 дней)'!$P:$P,'ВБ Отчет Продажи (за 60 дней)'!$K:$K,"Краснодар",'ВБ Отчет Продажи (за 60 дней)'!$G:$G,$A29)</f>
        <v>18</v>
      </c>
      <c r="Z29" s="7">
        <f>SUMIFS('ВБ Отчет Продажи (за 60 дней)'!$P:$P,'ВБ Отчет Продажи (за 60 дней)'!$K:$K,"Невинномысск",'ВБ Отчет Продажи (за 60 дней)'!$G:$G,$A29)</f>
        <v>0</v>
      </c>
      <c r="AA29" s="104">
        <f>SUMIFS('ВБ Отчет Продажи (за 60 дней)'!$P:$P,'ВБ Отчет Продажи (за 60 дней)'!$K:$K,"Волгоград",'ВБ Отчет Продажи (за 60 дней)'!$G:$G,$A29)</f>
        <v>0</v>
      </c>
      <c r="AB29" s="27">
        <f>SUMIFS('ВБ Отчет Продажи (за 60 дней)'!$P:$P,'ВБ Отчет Продажи (за 60 дней)'!$K:$K,"Самара (Новосемейкино)",'ВБ Отчет Продажи (за 60 дней)'!$G:$G,$A29)</f>
        <v>0</v>
      </c>
      <c r="AC29" s="104">
        <f>SUMIFS('ВБ Отчет Продажи (за 60 дней)'!$P:$P,'ВБ Отчет Продажи (за 60 дней)'!$K:$K,"Казань",'ВБ Отчет Продажи (за 60 дней)'!$G:$G,$A29)</f>
        <v>0</v>
      </c>
      <c r="AD29" s="104">
        <f>SUMIFS('ВБ Отчет Продажи (за 60 дней)'!$P:$P,'ВБ Отчет Продажи (за 60 дней)'!$K:$K,"СПБ Шушары",'ВБ Отчет Продажи (за 60 дней)'!$G:$G,$A29)</f>
        <v>15</v>
      </c>
      <c r="AE29" s="153">
        <f>SUMIFS('ВБ Отчет Продажи (за 60 дней)'!$P:$P,'ВБ Отчет Продажи (за 60 дней)'!$K:$K,"Екатеринбург - Перспективный 12",'ВБ Отчет Продажи (за 60 дней)'!$G:$G,$A29)</f>
        <v>0</v>
      </c>
      <c r="AF29" s="102">
        <f>SUMIFS('ВБ Отчет Продажи (за 60 дней)'!$P:$P,'ВБ Отчет Продажи (за 60 дней)'!$K:$K,"Новосибирск",'ВБ Отчет Продажи (за 60 дней)'!$G:$G,$A29)</f>
        <v>0</v>
      </c>
      <c r="AG29" s="124">
        <f t="shared" si="9"/>
        <v>60</v>
      </c>
      <c r="AH29" s="7">
        <f t="shared" si="10"/>
        <v>1200</v>
      </c>
      <c r="AI29" s="213">
        <f>SUMIFS('ОЗОН Оборот ведом (за 60 дней)'!J:J,'ОЗОН Оборот ведом (за 60 дней)'!A:A,B29)</f>
        <v>0</v>
      </c>
      <c r="AJ29" s="21">
        <f t="shared" si="11"/>
        <v>60</v>
      </c>
      <c r="AK29" s="7" t="str" cm="1">
        <f t="array" ref="AK29">IFERROR(_xlfn.IFS((F29-U29)&gt;0,F29/$R$1*$AY$1-U29,F29+U29=0,"нов"),0)</f>
        <v>нов</v>
      </c>
      <c r="AL29" s="7" cm="1">
        <f t="array" ref="AL29">IFERROR(_xlfn.IFS((G29-V29)&gt;0,G29/$R$1*$AY$1-V29,G29+V29=0,"нов"),0)</f>
        <v>0</v>
      </c>
      <c r="AM29" s="7" t="str" cm="1">
        <f t="array" ref="AM29">IFERROR(_xlfn.IFS((H29-W29)&gt;0,H29/$R$1*$AY$1-W29,H29+W29=0,"нов"),0)</f>
        <v>нов</v>
      </c>
      <c r="AN29" s="7" cm="1">
        <f t="array" ref="AN29">IFERROR(_xlfn.IFS((I29-X29)&gt;0,I29/$R$1*$AY$1-X29,I29+X29=0,"нов"),0)</f>
        <v>0</v>
      </c>
      <c r="AO29" s="27" cm="1">
        <f t="array" ref="AO29">IFERROR(_xlfn.IFS((J29-Y29)&gt;0,J29/$R$1*$AY$1-Y29,J29+Y29=0,"нов"),0)</f>
        <v>0</v>
      </c>
      <c r="AP29" s="7" t="str" cm="1">
        <f t="array" ref="AP29">IFERROR(_xlfn.IFS((K29-Z29)&gt;0,K29/$R$1*$AY$1-Z29,K29+Z29=0,"нов"),0)</f>
        <v>нов</v>
      </c>
      <c r="AQ29" s="104" t="str" cm="1">
        <f t="array" ref="AQ29">IFERROR(_xlfn.IFS((L29-AA29)&gt;0,L29/$R$1*$AY$1-AA29,L29+AA29=0,"нов"),0)</f>
        <v>нов</v>
      </c>
      <c r="AR29" s="27" t="str" cm="1">
        <f t="array" ref="AR29">IFERROR(_xlfn.IFS((M29-AB29)&gt;0,M29/$R$1*$AY$1-AB29,M29+AB29=0,"нов"),0)</f>
        <v>нов</v>
      </c>
      <c r="AS29" s="104" t="str" cm="1">
        <f t="array" ref="AS29">IFERROR(_xlfn.IFS((N29-AC29)&gt;0,N29/$R$1*$AY$1-AC29,N29+AC29=0,"нов"),0)</f>
        <v>нов</v>
      </c>
      <c r="AT29" s="104" cm="1">
        <f t="array" ref="AT29">IFERROR(_xlfn.IFS((O29-AD29)&gt;0,O29/$R$1*$AY$1-AD29,O29+AD29=0,"нов"),0)</f>
        <v>0</v>
      </c>
      <c r="AU29" s="7" t="str" cm="1">
        <f t="array" ref="AU29">IFERROR(_xlfn.IFS((P29-AE29)&gt;0,P29/$R$1*$AY$1-AE29,P29+AE29=0,"нов"),0)</f>
        <v>нов</v>
      </c>
      <c r="AV29" s="7" t="str" cm="1">
        <f t="array" ref="AV29">IFERROR(_xlfn.IFS((Q29-AF29)&gt;0,Q29/$R$1*$AY$1-AF29,Q29+AF29=0,"нов"),0)</f>
        <v>нов</v>
      </c>
      <c r="AW29" s="141">
        <f t="shared" si="12"/>
        <v>0</v>
      </c>
      <c r="AX29" s="218">
        <f>SUMIF('ОЗОН Доступн товара'!D:D,_xlfn.XLOOKUP($B29,'ОЗОН Доступн товара'!$A:$A,'ОЗОН Доступн товара'!$D:$D,0))</f>
        <v>0</v>
      </c>
      <c r="AY29" s="226">
        <f t="shared" si="13"/>
        <v>0</v>
      </c>
      <c r="AZ29" s="7" t="str">
        <f t="shared" si="14"/>
        <v>нов</v>
      </c>
      <c r="BA29" s="7">
        <f t="shared" si="15"/>
        <v>0</v>
      </c>
      <c r="BB29" s="7" t="str">
        <f t="shared" si="16"/>
        <v>нов</v>
      </c>
      <c r="BC29" s="7">
        <f t="shared" si="17"/>
        <v>0</v>
      </c>
      <c r="BD29" s="27">
        <f t="shared" si="18"/>
        <v>0</v>
      </c>
      <c r="BE29" s="7" t="str">
        <f t="shared" si="19"/>
        <v>нов</v>
      </c>
      <c r="BF29" s="104" t="str">
        <f t="shared" si="20"/>
        <v>нов</v>
      </c>
      <c r="BG29" s="27" t="str">
        <f t="shared" si="21"/>
        <v>нов</v>
      </c>
      <c r="BH29" s="104" t="str">
        <f t="shared" si="22"/>
        <v>нов</v>
      </c>
      <c r="BI29" s="7">
        <f t="shared" si="23"/>
        <v>0</v>
      </c>
      <c r="BJ29" s="153" t="str">
        <f t="shared" si="24"/>
        <v>нов</v>
      </c>
      <c r="BK29" s="7" t="str">
        <f t="shared" si="25"/>
        <v>нов</v>
      </c>
      <c r="BL29" s="6">
        <f t="shared" si="26"/>
        <v>0</v>
      </c>
      <c r="BM29" s="6">
        <f t="shared" si="27"/>
        <v>0</v>
      </c>
      <c r="BN29" s="28">
        <f t="shared" si="28"/>
        <v>0</v>
      </c>
      <c r="BO29" s="73">
        <f>IFERROR(_xlfn.XLOOKUP(A29,'[2] Расчет стоимости и веса'!$I:$I,'[2] Расчет стоимости и веса'!$D:$D),0)</f>
        <v>40</v>
      </c>
      <c r="BP29" s="227">
        <f t="shared" si="29"/>
        <v>40</v>
      </c>
      <c r="BQ29" s="8">
        <v>0</v>
      </c>
      <c r="BR29" s="155"/>
      <c r="BS29" s="12"/>
      <c r="BT29" s="12"/>
      <c r="BU29" s="229"/>
      <c r="BV29" s="12"/>
      <c r="BW29" s="12"/>
      <c r="BY29" s="231">
        <v>20</v>
      </c>
      <c r="BZ29" s="232"/>
      <c r="CA29" s="155"/>
      <c r="CB29" s="157">
        <v>20</v>
      </c>
      <c r="CC29" s="57"/>
      <c r="CD29" s="12"/>
      <c r="CE29" s="146">
        <f t="shared" si="5"/>
        <v>40</v>
      </c>
      <c r="CF29" s="69">
        <f t="shared" si="6"/>
        <v>40</v>
      </c>
      <c r="CG29" s="45">
        <f t="shared" si="7"/>
        <v>0</v>
      </c>
    </row>
    <row r="30" spans="1:85" ht="14.1" customHeight="1">
      <c r="A30" s="91">
        <f>[1]Юнит!A32</f>
        <v>419141548</v>
      </c>
      <c r="B30" s="92">
        <f>[1]Юнит!B32</f>
        <v>2415742942</v>
      </c>
      <c r="C30" s="91" t="str">
        <f>[1]Юнит!C32</f>
        <v>ACRB1MS107RJ</v>
      </c>
      <c r="D30" s="236" t="str">
        <f>[1]Юнит!D32</f>
        <v>Мяч с шипами оранжевый 7 см</v>
      </c>
      <c r="E30" s="90">
        <f>[1]Юнит!E32</f>
        <v>2044025288003</v>
      </c>
      <c r="F30" s="132">
        <f>ROUNDUP(SUMIFS('ВБ Отчет Продажи (за 60 дней)'!$L:$L,'ВБ Отчет Продажи (за 60 дней)'!$K:$K,"Электросталь",'ВБ Отчет Продажи (за 60 дней)'!$G:$G,$A30),0)</f>
        <v>0</v>
      </c>
      <c r="G30" s="133">
        <f>ROUNDUP(SUMIFS('ВБ Отчет Продажи (за 60 дней)'!$L:$L,'ВБ Отчет Продажи (за 60 дней)'!$K:$K,"Коледино",'ВБ Отчет Продажи (за 60 дней)'!$G:$G,$A30),0)</f>
        <v>3</v>
      </c>
      <c r="H30" s="133">
        <f>ROUNDUP(SUMIFS('ВБ Отчет Продажи (за 60 дней)'!$L:$L,'ВБ Отчет Продажи (за 60 дней)'!$K:$K,"Тула",'ВБ Отчет Продажи (за 60 дней)'!$G:$G,$A30),0)</f>
        <v>0</v>
      </c>
      <c r="I30" s="134">
        <f>ROUNDUP(SUMIFS('ВБ Отчет Продажи (за 60 дней)'!$L:$L,'ВБ Отчет Продажи (за 60 дней)'!$K:$K,"Рязань (Тюшевское)",'ВБ Отчет Продажи (за 60 дней)'!$G:$G,$A30),0)</f>
        <v>2</v>
      </c>
      <c r="J30" s="136">
        <f>ROUNDUP(SUMIFS('ВБ Отчет Продажи (за 60 дней)'!$L:$L,'ВБ Отчет Продажи (за 60 дней)'!$K:$K,"Краснодар",'ВБ Отчет Продажи (за 60 дней)'!$G:$G,$A30),0)</f>
        <v>0</v>
      </c>
      <c r="K30" s="133">
        <f>ROUNDUP(SUMIFS('ВБ Отчет Продажи (за 60 дней)'!$L:$L,'ВБ Отчет Продажи (за 60 дней)'!$K:$K,"Невинномысск",'ВБ Отчет Продажи (за 60 дней)'!$G:$G,$A30),0)</f>
        <v>0</v>
      </c>
      <c r="L30" s="137">
        <f>ROUNDUP(SUMIFS('ВБ Отчет Продажи (за 60 дней)'!$L:$L,'ВБ Отчет Продажи (за 60 дней)'!$K:$K,"Волгоград",'ВБ Отчет Продажи (за 60 дней)'!$G:$G,$A30),0)</f>
        <v>0</v>
      </c>
      <c r="M30" s="136">
        <f>ROUNDUP(SUMIFS('ВБ Отчет Продажи (за 60 дней)'!$L:$L,'ВБ Отчет Продажи (за 60 дней)'!$K:$K,"Самара (Новосемейкино)",'ВБ Отчет Продажи (за 60 дней)'!$G:$G,$A30),0)</f>
        <v>0</v>
      </c>
      <c r="N30" s="137">
        <f>ROUNDUP(SUMIFS('ВБ Отчет Продажи (за 60 дней)'!$L:$L,'ВБ Отчет Продажи (за 60 дней)'!$K:$K,"Казань",'ВБ Отчет Продажи (за 60 дней)'!$G:$G,$A30),0)</f>
        <v>1</v>
      </c>
      <c r="O30" s="137">
        <f>ROUNDUP(SUMIFS('ВБ Отчет Продажи (за 60 дней)'!$L:$L,'ВБ Отчет Продажи (за 60 дней)'!$K:$K,"СПБ Шушары",'ВБ Отчет Продажи (за 60 дней)'!$G:$G,$A30),0)</f>
        <v>2</v>
      </c>
      <c r="P30" s="151">
        <f>ROUNDUP(SUMIFS('ВБ Отчет Продажи (за 60 дней)'!$L:$L,'ВБ Отчет Продажи (за 60 дней)'!$K:$K,"Екатеринбург - Перспективный 12",'ВБ Отчет Продажи (за 60 дней)'!$G:$G,$A30),0)</f>
        <v>0</v>
      </c>
      <c r="Q30" s="149">
        <f>ROUNDUP(SUMIFS('ВБ Отчет Продажи (за 60 дней)'!$L:$L,'ВБ Отчет Продажи (за 60 дней)'!$K:$K,"Новосибирск",'ВБ Отчет Продажи (за 60 дней)'!$G:$G,$A30),0)</f>
        <v>0</v>
      </c>
      <c r="R30" s="131">
        <f t="shared" si="0"/>
        <v>8</v>
      </c>
      <c r="S30" s="139">
        <f>SUMIFS('ОЗОН Оборот ведом (за 60 дней)'!I:I,'ОЗОН Оборот ведом (за 60 дней)'!A:A,B30)</f>
        <v>0</v>
      </c>
      <c r="T30" s="140">
        <f t="shared" si="8"/>
        <v>8</v>
      </c>
      <c r="U30" s="6">
        <f>SUMIFS('ВБ Отчет Продажи (за 60 дней)'!$P:$P,'ВБ Отчет Продажи (за 60 дней)'!$K:$K,"Электросталь",'ВБ Отчет Продажи (за 60 дней)'!$G:$G,$A30)</f>
        <v>0</v>
      </c>
      <c r="V30" s="7">
        <f>SUMIFS('ВБ Отчет Продажи (за 60 дней)'!$P:$P,'ВБ Отчет Продажи (за 60 дней)'!$K:$K,"Коледино",'ВБ Отчет Продажи (за 60 дней)'!$G:$G,$A30)</f>
        <v>0</v>
      </c>
      <c r="W30" s="7">
        <f>SUMIFS('ВБ Отчет Продажи (за 60 дней)'!$P:$P,'ВБ Отчет Продажи (за 60 дней)'!$K:$K,"Тула",'ВБ Отчет Продажи (за 60 дней)'!$G:$G,$A30)</f>
        <v>0</v>
      </c>
      <c r="X30" s="7">
        <f>SUMIFS('ВБ Отчет Продажи (за 60 дней)'!$P:$P,'ВБ Отчет Продажи (за 60 дней)'!$K:$K,"Рязань (Тюшевское)",'ВБ Отчет Продажи (за 60 дней)'!$G:$G,$A30)</f>
        <v>11</v>
      </c>
      <c r="Y30" s="27">
        <f>SUMIFS('ВБ Отчет Продажи (за 60 дней)'!$P:$P,'ВБ Отчет Продажи (за 60 дней)'!$K:$K,"Краснодар",'ВБ Отчет Продажи (за 60 дней)'!$G:$G,$A30)</f>
        <v>17</v>
      </c>
      <c r="Z30" s="7">
        <f>SUMIFS('ВБ Отчет Продажи (за 60 дней)'!$P:$P,'ВБ Отчет Продажи (за 60 дней)'!$K:$K,"Невинномысск",'ВБ Отчет Продажи (за 60 дней)'!$G:$G,$A30)</f>
        <v>0</v>
      </c>
      <c r="AA30" s="104">
        <f>SUMIFS('ВБ Отчет Продажи (за 60 дней)'!$P:$P,'ВБ Отчет Продажи (за 60 дней)'!$K:$K,"Волгоград",'ВБ Отчет Продажи (за 60 дней)'!$G:$G,$A30)</f>
        <v>0</v>
      </c>
      <c r="AB30" s="27">
        <f>SUMIFS('ВБ Отчет Продажи (за 60 дней)'!$P:$P,'ВБ Отчет Продажи (за 60 дней)'!$K:$K,"Самара (Новосемейкино)",'ВБ Отчет Продажи (за 60 дней)'!$G:$G,$A30)</f>
        <v>0</v>
      </c>
      <c r="AC30" s="104">
        <f>SUMIFS('ВБ Отчет Продажи (за 60 дней)'!$P:$P,'ВБ Отчет Продажи (за 60 дней)'!$K:$K,"Казань",'ВБ Отчет Продажи (за 60 дней)'!$G:$G,$A30)</f>
        <v>0</v>
      </c>
      <c r="AD30" s="104">
        <f>SUMIFS('ВБ Отчет Продажи (за 60 дней)'!$P:$P,'ВБ Отчет Продажи (за 60 дней)'!$K:$K,"СПБ Шушары",'ВБ Отчет Продажи (за 60 дней)'!$G:$G,$A30)</f>
        <v>16</v>
      </c>
      <c r="AE30" s="153">
        <f>SUMIFS('ВБ Отчет Продажи (за 60 дней)'!$P:$P,'ВБ Отчет Продажи (за 60 дней)'!$K:$K,"Екатеринбург - Перспективный 12",'ВБ Отчет Продажи (за 60 дней)'!$G:$G,$A30)</f>
        <v>0</v>
      </c>
      <c r="AF30" s="102">
        <f>SUMIFS('ВБ Отчет Продажи (за 60 дней)'!$P:$P,'ВБ Отчет Продажи (за 60 дней)'!$K:$K,"Новосибирск",'ВБ Отчет Продажи (за 60 дней)'!$G:$G,$A30)</f>
        <v>0</v>
      </c>
      <c r="AG30" s="124">
        <f t="shared" si="9"/>
        <v>44</v>
      </c>
      <c r="AH30" s="7">
        <f t="shared" si="10"/>
        <v>330</v>
      </c>
      <c r="AI30" s="213">
        <f>SUMIFS('ОЗОН Оборот ведом (за 60 дней)'!J:J,'ОЗОН Оборот ведом (за 60 дней)'!A:A,B30)</f>
        <v>0</v>
      </c>
      <c r="AJ30" s="21">
        <f t="shared" si="11"/>
        <v>44</v>
      </c>
      <c r="AK30" s="7" t="str" cm="1">
        <f t="array" ref="AK30">IFERROR(_xlfn.IFS((F30-U30)&gt;0,F30/$R$1*$AY$1-U30,F30+U30=0,"нов"),0)</f>
        <v>нов</v>
      </c>
      <c r="AL30" s="7" cm="1">
        <f t="array" ref="AL30">IFERROR(_xlfn.IFS((G30-V30)&gt;0,G30/$R$1*$AY$1-V30,G30+V30=0,"нов"),0)</f>
        <v>3</v>
      </c>
      <c r="AM30" s="7" t="str" cm="1">
        <f t="array" ref="AM30">IFERROR(_xlfn.IFS((H30-W30)&gt;0,H30/$R$1*$AY$1-W30,H30+W30=0,"нов"),0)</f>
        <v>нов</v>
      </c>
      <c r="AN30" s="7" cm="1">
        <f t="array" ref="AN30">IFERROR(_xlfn.IFS((I30-X30)&gt;0,I30/$R$1*$AY$1-X30,I30+X30=0,"нов"),0)</f>
        <v>0</v>
      </c>
      <c r="AO30" s="27" cm="1">
        <f t="array" ref="AO30">IFERROR(_xlfn.IFS((J30-Y30)&gt;0,J30/$R$1*$AY$1-Y30,J30+Y30=0,"нов"),0)</f>
        <v>0</v>
      </c>
      <c r="AP30" s="7" t="str" cm="1">
        <f t="array" ref="AP30">IFERROR(_xlfn.IFS((K30-Z30)&gt;0,K30/$R$1*$AY$1-Z30,K30+Z30=0,"нов"),0)</f>
        <v>нов</v>
      </c>
      <c r="AQ30" s="104" t="str" cm="1">
        <f t="array" ref="AQ30">IFERROR(_xlfn.IFS((L30-AA30)&gt;0,L30/$R$1*$AY$1-AA30,L30+AA30=0,"нов"),0)</f>
        <v>нов</v>
      </c>
      <c r="AR30" s="27" t="str" cm="1">
        <f t="array" ref="AR30">IFERROR(_xlfn.IFS((M30-AB30)&gt;0,M30/$R$1*$AY$1-AB30,M30+AB30=0,"нов"),0)</f>
        <v>нов</v>
      </c>
      <c r="AS30" s="104" cm="1">
        <f t="array" ref="AS30">IFERROR(_xlfn.IFS((N30-AC30)&gt;0,N30/$R$1*$AY$1-AC30,N30+AC30=0,"нов"),0)</f>
        <v>1</v>
      </c>
      <c r="AT30" s="104" cm="1">
        <f t="array" ref="AT30">IFERROR(_xlfn.IFS((O30-AD30)&gt;0,O30/$R$1*$AY$1-AD30,O30+AD30=0,"нов"),0)</f>
        <v>0</v>
      </c>
      <c r="AU30" s="7" t="str" cm="1">
        <f t="array" ref="AU30">IFERROR(_xlfn.IFS((P30-AE30)&gt;0,P30/$R$1*$AY$1-AE30,P30+AE30=0,"нов"),0)</f>
        <v>нов</v>
      </c>
      <c r="AV30" s="7" t="str" cm="1">
        <f t="array" ref="AV30">IFERROR(_xlfn.IFS((Q30-AF30)&gt;0,Q30/$R$1*$AY$1-AF30,Q30+AF30=0,"нов"),0)</f>
        <v>нов</v>
      </c>
      <c r="AW30" s="141">
        <f t="shared" si="12"/>
        <v>4</v>
      </c>
      <c r="AX30" s="218">
        <f>SUMIF('ОЗОН Доступн товара'!D:D,_xlfn.XLOOKUP($B30,'ОЗОН Доступн товара'!$A:$A,'ОЗОН Доступн товара'!$D:$D,0))</f>
        <v>0</v>
      </c>
      <c r="AY30" s="226">
        <f t="shared" si="13"/>
        <v>4</v>
      </c>
      <c r="AZ30" s="7" t="str">
        <f t="shared" si="14"/>
        <v>нов</v>
      </c>
      <c r="BA30" s="7">
        <f t="shared" si="15"/>
        <v>4</v>
      </c>
      <c r="BB30" s="7" t="str">
        <f t="shared" si="16"/>
        <v>нов</v>
      </c>
      <c r="BC30" s="7">
        <f t="shared" si="17"/>
        <v>0</v>
      </c>
      <c r="BD30" s="27">
        <f t="shared" si="18"/>
        <v>0</v>
      </c>
      <c r="BE30" s="7" t="str">
        <f t="shared" si="19"/>
        <v>нов</v>
      </c>
      <c r="BF30" s="104" t="str">
        <f t="shared" si="20"/>
        <v>нов</v>
      </c>
      <c r="BG30" s="27" t="str">
        <f t="shared" si="21"/>
        <v>нов</v>
      </c>
      <c r="BH30" s="104">
        <f t="shared" si="22"/>
        <v>2</v>
      </c>
      <c r="BI30" s="7">
        <f t="shared" si="23"/>
        <v>0</v>
      </c>
      <c r="BJ30" s="153" t="str">
        <f t="shared" si="24"/>
        <v>нов</v>
      </c>
      <c r="BK30" s="7" t="str">
        <f t="shared" si="25"/>
        <v>нов</v>
      </c>
      <c r="BL30" s="6">
        <f t="shared" si="26"/>
        <v>6</v>
      </c>
      <c r="BM30" s="6">
        <f t="shared" si="27"/>
        <v>0</v>
      </c>
      <c r="BN30" s="28">
        <f t="shared" si="28"/>
        <v>6</v>
      </c>
      <c r="BO30" s="73">
        <f>IFERROR(_xlfn.XLOOKUP(A30,'[2] Расчет стоимости и веса'!$I:$I,'[2] Расчет стоимости и веса'!$D:$D),0)</f>
        <v>30</v>
      </c>
      <c r="BP30" s="227">
        <f t="shared" si="29"/>
        <v>30</v>
      </c>
      <c r="BQ30" s="8">
        <v>0</v>
      </c>
      <c r="BR30" s="155">
        <v>10</v>
      </c>
      <c r="BS30" s="12"/>
      <c r="BT30" s="12"/>
      <c r="BU30" s="229"/>
      <c r="BV30" s="12"/>
      <c r="BW30" s="12"/>
      <c r="BY30" s="231">
        <v>10</v>
      </c>
      <c r="BZ30" s="232"/>
      <c r="CA30" s="155"/>
      <c r="CB30" s="157">
        <v>10</v>
      </c>
      <c r="CC30" s="57"/>
      <c r="CD30" s="12"/>
      <c r="CE30" s="146">
        <f t="shared" si="5"/>
        <v>30</v>
      </c>
      <c r="CF30" s="69">
        <f t="shared" si="6"/>
        <v>30</v>
      </c>
      <c r="CG30" s="45">
        <f t="shared" si="7"/>
        <v>0</v>
      </c>
    </row>
    <row r="31" spans="1:85" ht="14.1" customHeight="1">
      <c r="A31" s="91">
        <f>[1]Юнит!A33</f>
        <v>419145985</v>
      </c>
      <c r="B31" s="92">
        <f>[1]Юнит!B33</f>
        <v>2415742795</v>
      </c>
      <c r="C31" s="91" t="str">
        <f>[1]Юнит!C33</f>
        <v>ACRB1MS107BС</v>
      </c>
      <c r="D31" s="236" t="str">
        <f>[1]Юнит!D33</f>
        <v>Мяч с шипами черный 7 см</v>
      </c>
      <c r="E31" s="90">
        <f>[1]Юнит!E33</f>
        <v>2044025344532</v>
      </c>
      <c r="F31" s="132">
        <f>ROUNDUP(SUMIFS('ВБ Отчет Продажи (за 60 дней)'!$L:$L,'ВБ Отчет Продажи (за 60 дней)'!$K:$K,"Электросталь",'ВБ Отчет Продажи (за 60 дней)'!$G:$G,$A31),0)</f>
        <v>0</v>
      </c>
      <c r="G31" s="133">
        <f>ROUNDUP(SUMIFS('ВБ Отчет Продажи (за 60 дней)'!$L:$L,'ВБ Отчет Продажи (за 60 дней)'!$K:$K,"Коледино",'ВБ Отчет Продажи (за 60 дней)'!$G:$G,$A31),0)</f>
        <v>2</v>
      </c>
      <c r="H31" s="133">
        <f>ROUNDUP(SUMIFS('ВБ Отчет Продажи (за 60 дней)'!$L:$L,'ВБ Отчет Продажи (за 60 дней)'!$K:$K,"Тула",'ВБ Отчет Продажи (за 60 дней)'!$G:$G,$A31),0)</f>
        <v>0</v>
      </c>
      <c r="I31" s="134">
        <f>ROUNDUP(SUMIFS('ВБ Отчет Продажи (за 60 дней)'!$L:$L,'ВБ Отчет Продажи (за 60 дней)'!$K:$K,"Рязань (Тюшевское)",'ВБ Отчет Продажи (за 60 дней)'!$G:$G,$A31),0)</f>
        <v>1</v>
      </c>
      <c r="J31" s="136">
        <f>ROUNDUP(SUMIFS('ВБ Отчет Продажи (за 60 дней)'!$L:$L,'ВБ Отчет Продажи (за 60 дней)'!$K:$K,"Краснодар",'ВБ Отчет Продажи (за 60 дней)'!$G:$G,$A31),0)</f>
        <v>0</v>
      </c>
      <c r="K31" s="133">
        <f>ROUNDUP(SUMIFS('ВБ Отчет Продажи (за 60 дней)'!$L:$L,'ВБ Отчет Продажи (за 60 дней)'!$K:$K,"Невинномысск",'ВБ Отчет Продажи (за 60 дней)'!$G:$G,$A31),0)</f>
        <v>0</v>
      </c>
      <c r="L31" s="137">
        <f>ROUNDUP(SUMIFS('ВБ Отчет Продажи (за 60 дней)'!$L:$L,'ВБ Отчет Продажи (за 60 дней)'!$K:$K,"Волгоград",'ВБ Отчет Продажи (за 60 дней)'!$G:$G,$A31),0)</f>
        <v>0</v>
      </c>
      <c r="M31" s="136">
        <f>ROUNDUP(SUMIFS('ВБ Отчет Продажи (за 60 дней)'!$L:$L,'ВБ Отчет Продажи (за 60 дней)'!$K:$K,"Самара (Новосемейкино)",'ВБ Отчет Продажи (за 60 дней)'!$G:$G,$A31),0)</f>
        <v>0</v>
      </c>
      <c r="N31" s="137">
        <f>ROUNDUP(SUMIFS('ВБ Отчет Продажи (за 60 дней)'!$L:$L,'ВБ Отчет Продажи (за 60 дней)'!$K:$K,"Казань",'ВБ Отчет Продажи (за 60 дней)'!$G:$G,$A31),0)</f>
        <v>0</v>
      </c>
      <c r="O31" s="137">
        <f>ROUNDUP(SUMIFS('ВБ Отчет Продажи (за 60 дней)'!$L:$L,'ВБ Отчет Продажи (за 60 дней)'!$K:$K,"СПБ Шушары",'ВБ Отчет Продажи (за 60 дней)'!$G:$G,$A31),0)</f>
        <v>0</v>
      </c>
      <c r="P31" s="151">
        <f>ROUNDUP(SUMIFS('ВБ Отчет Продажи (за 60 дней)'!$L:$L,'ВБ Отчет Продажи (за 60 дней)'!$K:$K,"Екатеринбург - Перспективный 12",'ВБ Отчет Продажи (за 60 дней)'!$G:$G,$A31),0)</f>
        <v>0</v>
      </c>
      <c r="Q31" s="149">
        <f>ROUNDUP(SUMIFS('ВБ Отчет Продажи (за 60 дней)'!$L:$L,'ВБ Отчет Продажи (за 60 дней)'!$K:$K,"Новосибирск",'ВБ Отчет Продажи (за 60 дней)'!$G:$G,$A31),0)</f>
        <v>0</v>
      </c>
      <c r="R31" s="131">
        <f t="shared" si="0"/>
        <v>3</v>
      </c>
      <c r="S31" s="139">
        <f>SUMIFS('ОЗОН Оборот ведом (за 60 дней)'!I:I,'ОЗОН Оборот ведом (за 60 дней)'!A:A,B31)</f>
        <v>0</v>
      </c>
      <c r="T31" s="140">
        <f t="shared" si="8"/>
        <v>3</v>
      </c>
      <c r="U31" s="6">
        <f>SUMIFS('ВБ Отчет Продажи (за 60 дней)'!$P:$P,'ВБ Отчет Продажи (за 60 дней)'!$K:$K,"Электросталь",'ВБ Отчет Продажи (за 60 дней)'!$G:$G,$A31)</f>
        <v>2</v>
      </c>
      <c r="V31" s="7">
        <f>SUMIFS('ВБ Отчет Продажи (за 60 дней)'!$P:$P,'ВБ Отчет Продажи (за 60 дней)'!$K:$K,"Коледино",'ВБ Отчет Продажи (за 60 дней)'!$G:$G,$A31)</f>
        <v>6</v>
      </c>
      <c r="W31" s="7">
        <f>SUMIFS('ВБ Отчет Продажи (за 60 дней)'!$P:$P,'ВБ Отчет Продажи (за 60 дней)'!$K:$K,"Тула",'ВБ Отчет Продажи (за 60 дней)'!$G:$G,$A31)</f>
        <v>1</v>
      </c>
      <c r="X31" s="7">
        <f>SUMIFS('ВБ Отчет Продажи (за 60 дней)'!$P:$P,'ВБ Отчет Продажи (за 60 дней)'!$K:$K,"Рязань (Тюшевское)",'ВБ Отчет Продажи (за 60 дней)'!$G:$G,$A31)</f>
        <v>15</v>
      </c>
      <c r="Y31" s="27">
        <f>SUMIFS('ВБ Отчет Продажи (за 60 дней)'!$P:$P,'ВБ Отчет Продажи (за 60 дней)'!$K:$K,"Краснодар",'ВБ Отчет Продажи (за 60 дней)'!$G:$G,$A31)</f>
        <v>18</v>
      </c>
      <c r="Z31" s="7">
        <f>SUMIFS('ВБ Отчет Продажи (за 60 дней)'!$P:$P,'ВБ Отчет Продажи (за 60 дней)'!$K:$K,"Невинномысск",'ВБ Отчет Продажи (за 60 дней)'!$G:$G,$A31)</f>
        <v>0</v>
      </c>
      <c r="AA31" s="104">
        <f>SUMIFS('ВБ Отчет Продажи (за 60 дней)'!$P:$P,'ВБ Отчет Продажи (за 60 дней)'!$K:$K,"Волгоград",'ВБ Отчет Продажи (за 60 дней)'!$G:$G,$A31)</f>
        <v>1</v>
      </c>
      <c r="AB31" s="27">
        <f>SUMIFS('ВБ Отчет Продажи (за 60 дней)'!$P:$P,'ВБ Отчет Продажи (за 60 дней)'!$K:$K,"Самара (Новосемейкино)",'ВБ Отчет Продажи (за 60 дней)'!$G:$G,$A31)</f>
        <v>0</v>
      </c>
      <c r="AC31" s="104">
        <f>SUMIFS('ВБ Отчет Продажи (за 60 дней)'!$P:$P,'ВБ Отчет Продажи (за 60 дней)'!$K:$K,"Казань",'ВБ Отчет Продажи (за 60 дней)'!$G:$G,$A31)</f>
        <v>0</v>
      </c>
      <c r="AD31" s="104">
        <f>SUMIFS('ВБ Отчет Продажи (за 60 дней)'!$P:$P,'ВБ Отчет Продажи (за 60 дней)'!$K:$K,"СПБ Шушары",'ВБ Отчет Продажи (за 60 дней)'!$G:$G,$A31)</f>
        <v>14</v>
      </c>
      <c r="AE31" s="153">
        <f>SUMIFS('ВБ Отчет Продажи (за 60 дней)'!$P:$P,'ВБ Отчет Продажи (за 60 дней)'!$K:$K,"Екатеринбург - Перспективный 12",'ВБ Отчет Продажи (за 60 дней)'!$G:$G,$A31)</f>
        <v>0</v>
      </c>
      <c r="AF31" s="102">
        <f>SUMIFS('ВБ Отчет Продажи (за 60 дней)'!$P:$P,'ВБ Отчет Продажи (за 60 дней)'!$K:$K,"Новосибирск",'ВБ Отчет Продажи (за 60 дней)'!$G:$G,$A31)</f>
        <v>0</v>
      </c>
      <c r="AG31" s="124">
        <f t="shared" si="9"/>
        <v>57</v>
      </c>
      <c r="AH31" s="7">
        <f t="shared" si="10"/>
        <v>1140</v>
      </c>
      <c r="AI31" s="213">
        <f>SUMIFS('ОЗОН Оборот ведом (за 60 дней)'!J:J,'ОЗОН Оборот ведом (за 60 дней)'!A:A,B31)</f>
        <v>0</v>
      </c>
      <c r="AJ31" s="21">
        <f t="shared" si="11"/>
        <v>57</v>
      </c>
      <c r="AK31" s="7" cm="1">
        <f t="array" ref="AK31">IFERROR(_xlfn.IFS((F31-U31)&gt;0,F31/$R$1*$AY$1-U31,F31+U31=0,"нов"),0)</f>
        <v>0</v>
      </c>
      <c r="AL31" s="7" cm="1">
        <f t="array" ref="AL31">IFERROR(_xlfn.IFS((G31-V31)&gt;0,G31/$R$1*$AY$1-V31,G31+V31=0,"нов"),0)</f>
        <v>0</v>
      </c>
      <c r="AM31" s="7" cm="1">
        <f t="array" ref="AM31">IFERROR(_xlfn.IFS((H31-W31)&gt;0,H31/$R$1*$AY$1-W31,H31+W31=0,"нов"),0)</f>
        <v>0</v>
      </c>
      <c r="AN31" s="7" cm="1">
        <f t="array" ref="AN31">IFERROR(_xlfn.IFS((I31-X31)&gt;0,I31/$R$1*$AY$1-X31,I31+X31=0,"нов"),0)</f>
        <v>0</v>
      </c>
      <c r="AO31" s="27" cm="1">
        <f t="array" ref="AO31">IFERROR(_xlfn.IFS((J31-Y31)&gt;0,J31/$R$1*$AY$1-Y31,J31+Y31=0,"нов"),0)</f>
        <v>0</v>
      </c>
      <c r="AP31" s="7" t="str" cm="1">
        <f t="array" ref="AP31">IFERROR(_xlfn.IFS((K31-Z31)&gt;0,K31/$R$1*$AY$1-Z31,K31+Z31=0,"нов"),0)</f>
        <v>нов</v>
      </c>
      <c r="AQ31" s="104" cm="1">
        <f t="array" ref="AQ31">IFERROR(_xlfn.IFS((L31-AA31)&gt;0,L31/$R$1*$AY$1-AA31,L31+AA31=0,"нов"),0)</f>
        <v>0</v>
      </c>
      <c r="AR31" s="27" t="str" cm="1">
        <f t="array" ref="AR31">IFERROR(_xlfn.IFS((M31-AB31)&gt;0,M31/$R$1*$AY$1-AB31,M31+AB31=0,"нов"),0)</f>
        <v>нов</v>
      </c>
      <c r="AS31" s="104" t="str" cm="1">
        <f t="array" ref="AS31">IFERROR(_xlfn.IFS((N31-AC31)&gt;0,N31/$R$1*$AY$1-AC31,N31+AC31=0,"нов"),0)</f>
        <v>нов</v>
      </c>
      <c r="AT31" s="104" cm="1">
        <f t="array" ref="AT31">IFERROR(_xlfn.IFS((O31-AD31)&gt;0,O31/$R$1*$AY$1-AD31,O31+AD31=0,"нов"),0)</f>
        <v>0</v>
      </c>
      <c r="AU31" s="7" t="str" cm="1">
        <f t="array" ref="AU31">IFERROR(_xlfn.IFS((P31-AE31)&gt;0,P31/$R$1*$AY$1-AE31,P31+AE31=0,"нов"),0)</f>
        <v>нов</v>
      </c>
      <c r="AV31" s="7" t="str" cm="1">
        <f t="array" ref="AV31">IFERROR(_xlfn.IFS((Q31-AF31)&gt;0,Q31/$R$1*$AY$1-AF31,Q31+AF31=0,"нов"),0)</f>
        <v>нов</v>
      </c>
      <c r="AW31" s="141">
        <f t="shared" si="12"/>
        <v>0</v>
      </c>
      <c r="AX31" s="218">
        <f>SUMIF('ОЗОН Доступн товара'!D:D,_xlfn.XLOOKUP($B31,'ОЗОН Доступн товара'!$A:$A,'ОЗОН Доступн товара'!$D:$D,0))</f>
        <v>0</v>
      </c>
      <c r="AY31" s="226">
        <f t="shared" si="13"/>
        <v>0</v>
      </c>
      <c r="AZ31" s="7">
        <f t="shared" si="14"/>
        <v>0</v>
      </c>
      <c r="BA31" s="7">
        <f t="shared" si="15"/>
        <v>0</v>
      </c>
      <c r="BB31" s="7">
        <f t="shared" si="16"/>
        <v>0</v>
      </c>
      <c r="BC31" s="7">
        <f t="shared" si="17"/>
        <v>0</v>
      </c>
      <c r="BD31" s="27">
        <f t="shared" si="18"/>
        <v>0</v>
      </c>
      <c r="BE31" s="7" t="str">
        <f t="shared" si="19"/>
        <v>нов</v>
      </c>
      <c r="BF31" s="104">
        <f t="shared" si="20"/>
        <v>0</v>
      </c>
      <c r="BG31" s="27" t="str">
        <f t="shared" si="21"/>
        <v>нов</v>
      </c>
      <c r="BH31" s="104" t="str">
        <f t="shared" si="22"/>
        <v>нов</v>
      </c>
      <c r="BI31" s="7">
        <f t="shared" si="23"/>
        <v>0</v>
      </c>
      <c r="BJ31" s="153" t="str">
        <f t="shared" si="24"/>
        <v>нов</v>
      </c>
      <c r="BK31" s="7" t="str">
        <f t="shared" si="25"/>
        <v>нов</v>
      </c>
      <c r="BL31" s="6">
        <f t="shared" si="26"/>
        <v>0</v>
      </c>
      <c r="BM31" s="6">
        <f t="shared" si="27"/>
        <v>0</v>
      </c>
      <c r="BN31" s="28">
        <f t="shared" si="28"/>
        <v>0</v>
      </c>
      <c r="BO31" s="73">
        <f>IFERROR(_xlfn.XLOOKUP(A31,'[2] Расчет стоимости и веса'!$I:$I,'[2] Расчет стоимости и веса'!$D:$D),0)</f>
        <v>30</v>
      </c>
      <c r="BP31" s="227">
        <f t="shared" si="29"/>
        <v>30</v>
      </c>
      <c r="BQ31" s="8"/>
      <c r="BR31" s="155"/>
      <c r="BS31" s="12"/>
      <c r="BT31" s="12"/>
      <c r="BU31" s="229"/>
      <c r="BV31" s="12"/>
      <c r="BW31" s="12"/>
      <c r="BY31" s="231">
        <v>10</v>
      </c>
      <c r="BZ31" s="232"/>
      <c r="CA31" s="155"/>
      <c r="CB31" s="157">
        <v>20</v>
      </c>
      <c r="CC31" s="57"/>
      <c r="CD31" s="12"/>
      <c r="CE31" s="146">
        <f t="shared" si="5"/>
        <v>30</v>
      </c>
      <c r="CF31" s="69">
        <f t="shared" si="6"/>
        <v>30</v>
      </c>
      <c r="CG31" s="45">
        <f t="shared" si="7"/>
        <v>0</v>
      </c>
    </row>
    <row r="32" spans="1:85" ht="14.1" customHeight="1">
      <c r="A32" s="91">
        <f>[1]Юнит!A34</f>
        <v>419145390</v>
      </c>
      <c r="B32" s="92">
        <f>[1]Юнит!B34</f>
        <v>2415742470</v>
      </c>
      <c r="C32" s="91" t="str">
        <f>[1]Юнит!C34</f>
        <v>ACRB1MS109PN</v>
      </c>
      <c r="D32" s="236" t="str">
        <f>[1]Юнит!D34</f>
        <v>Мяч с шипами розовый 9 см</v>
      </c>
      <c r="E32" s="90">
        <f>[1]Юнит!E34</f>
        <v>2044025321588</v>
      </c>
      <c r="F32" s="132">
        <f>ROUNDUP(SUMIFS('ВБ Отчет Продажи (за 60 дней)'!$L:$L,'ВБ Отчет Продажи (за 60 дней)'!$K:$K,"Электросталь",'ВБ Отчет Продажи (за 60 дней)'!$G:$G,$A32),0)</f>
        <v>2</v>
      </c>
      <c r="G32" s="133">
        <f>ROUNDUP(SUMIFS('ВБ Отчет Продажи (за 60 дней)'!$L:$L,'ВБ Отчет Продажи (за 60 дней)'!$K:$K,"Коледино",'ВБ Отчет Продажи (за 60 дней)'!$G:$G,$A32),0)</f>
        <v>2</v>
      </c>
      <c r="H32" s="133">
        <f>ROUNDUP(SUMIFS('ВБ Отчет Продажи (за 60 дней)'!$L:$L,'ВБ Отчет Продажи (за 60 дней)'!$K:$K,"Тула",'ВБ Отчет Продажи (за 60 дней)'!$G:$G,$A32),0)</f>
        <v>0</v>
      </c>
      <c r="I32" s="134">
        <f>ROUNDUP(SUMIFS('ВБ Отчет Продажи (за 60 дней)'!$L:$L,'ВБ Отчет Продажи (за 60 дней)'!$K:$K,"Рязань (Тюшевское)",'ВБ Отчет Продажи (за 60 дней)'!$G:$G,$A32),0)</f>
        <v>0</v>
      </c>
      <c r="J32" s="136">
        <f>ROUNDUP(SUMIFS('ВБ Отчет Продажи (за 60 дней)'!$L:$L,'ВБ Отчет Продажи (за 60 дней)'!$K:$K,"Краснодар",'ВБ Отчет Продажи (за 60 дней)'!$G:$G,$A32),0)</f>
        <v>0</v>
      </c>
      <c r="K32" s="133">
        <f>ROUNDUP(SUMIFS('ВБ Отчет Продажи (за 60 дней)'!$L:$L,'ВБ Отчет Продажи (за 60 дней)'!$K:$K,"Невинномысск",'ВБ Отчет Продажи (за 60 дней)'!$G:$G,$A32),0)</f>
        <v>0</v>
      </c>
      <c r="L32" s="137">
        <f>ROUNDUP(SUMIFS('ВБ Отчет Продажи (за 60 дней)'!$L:$L,'ВБ Отчет Продажи (за 60 дней)'!$K:$K,"Волгоград",'ВБ Отчет Продажи (за 60 дней)'!$G:$G,$A32),0)</f>
        <v>0</v>
      </c>
      <c r="M32" s="136">
        <f>ROUNDUP(SUMIFS('ВБ Отчет Продажи (за 60 дней)'!$L:$L,'ВБ Отчет Продажи (за 60 дней)'!$K:$K,"Самара (Новосемейкино)",'ВБ Отчет Продажи (за 60 дней)'!$G:$G,$A32),0)</f>
        <v>0</v>
      </c>
      <c r="N32" s="137">
        <f>ROUNDUP(SUMIFS('ВБ Отчет Продажи (за 60 дней)'!$L:$L,'ВБ Отчет Продажи (за 60 дней)'!$K:$K,"Казань",'ВБ Отчет Продажи (за 60 дней)'!$G:$G,$A32),0)</f>
        <v>1</v>
      </c>
      <c r="O32" s="137">
        <f>ROUNDUP(SUMIFS('ВБ Отчет Продажи (за 60 дней)'!$L:$L,'ВБ Отчет Продажи (за 60 дней)'!$K:$K,"СПБ Шушары",'ВБ Отчет Продажи (за 60 дней)'!$G:$G,$A32),0)</f>
        <v>0</v>
      </c>
      <c r="P32" s="151">
        <f>ROUNDUP(SUMIFS('ВБ Отчет Продажи (за 60 дней)'!$L:$L,'ВБ Отчет Продажи (за 60 дней)'!$K:$K,"Екатеринбург - Перспективный 12",'ВБ Отчет Продажи (за 60 дней)'!$G:$G,$A32),0)</f>
        <v>0</v>
      </c>
      <c r="Q32" s="149">
        <f>ROUNDUP(SUMIFS('ВБ Отчет Продажи (за 60 дней)'!$L:$L,'ВБ Отчет Продажи (за 60 дней)'!$K:$K,"Новосибирск",'ВБ Отчет Продажи (за 60 дней)'!$G:$G,$A32),0)</f>
        <v>0</v>
      </c>
      <c r="R32" s="131">
        <f t="shared" si="0"/>
        <v>5</v>
      </c>
      <c r="S32" s="139">
        <f>SUMIFS('ОЗОН Оборот ведом (за 60 дней)'!I:I,'ОЗОН Оборот ведом (за 60 дней)'!A:A,B32)</f>
        <v>4</v>
      </c>
      <c r="T32" s="140">
        <f t="shared" si="8"/>
        <v>9</v>
      </c>
      <c r="U32" s="6">
        <f>SUMIFS('ВБ Отчет Продажи (за 60 дней)'!$P:$P,'ВБ Отчет Продажи (за 60 дней)'!$K:$K,"Электросталь",'ВБ Отчет Продажи (за 60 дней)'!$G:$G,$A32)</f>
        <v>0</v>
      </c>
      <c r="V32" s="7">
        <f>SUMIFS('ВБ Отчет Продажи (за 60 дней)'!$P:$P,'ВБ Отчет Продажи (за 60 дней)'!$K:$K,"Коледино",'ВБ Отчет Продажи (за 60 дней)'!$G:$G,$A32)</f>
        <v>0</v>
      </c>
      <c r="W32" s="7">
        <f>SUMIFS('ВБ Отчет Продажи (за 60 дней)'!$P:$P,'ВБ Отчет Продажи (за 60 дней)'!$K:$K,"Тула",'ВБ Отчет Продажи (за 60 дней)'!$G:$G,$A32)</f>
        <v>0</v>
      </c>
      <c r="X32" s="7">
        <f>SUMIFS('ВБ Отчет Продажи (за 60 дней)'!$P:$P,'ВБ Отчет Продажи (за 60 дней)'!$K:$K,"Рязань (Тюшевское)",'ВБ Отчет Продажи (за 60 дней)'!$G:$G,$A32)</f>
        <v>0</v>
      </c>
      <c r="Y32" s="27">
        <f>SUMIFS('ВБ Отчет Продажи (за 60 дней)'!$P:$P,'ВБ Отчет Продажи (за 60 дней)'!$K:$K,"Краснодар",'ВБ Отчет Продажи (за 60 дней)'!$G:$G,$A32)</f>
        <v>0</v>
      </c>
      <c r="Z32" s="7">
        <f>SUMIFS('ВБ Отчет Продажи (за 60 дней)'!$P:$P,'ВБ Отчет Продажи (за 60 дней)'!$K:$K,"Невинномысск",'ВБ Отчет Продажи (за 60 дней)'!$G:$G,$A32)</f>
        <v>0</v>
      </c>
      <c r="AA32" s="104">
        <f>SUMIFS('ВБ Отчет Продажи (за 60 дней)'!$P:$P,'ВБ Отчет Продажи (за 60 дней)'!$K:$K,"Волгоград",'ВБ Отчет Продажи (за 60 дней)'!$G:$G,$A32)</f>
        <v>0</v>
      </c>
      <c r="AB32" s="27">
        <f>SUMIFS('ВБ Отчет Продажи (за 60 дней)'!$P:$P,'ВБ Отчет Продажи (за 60 дней)'!$K:$K,"Самара (Новосемейкино)",'ВБ Отчет Продажи (за 60 дней)'!$G:$G,$A32)</f>
        <v>0</v>
      </c>
      <c r="AC32" s="104">
        <f>SUMIFS('ВБ Отчет Продажи (за 60 дней)'!$P:$P,'ВБ Отчет Продажи (за 60 дней)'!$K:$K,"Казань",'ВБ Отчет Продажи (за 60 дней)'!$G:$G,$A32)</f>
        <v>0</v>
      </c>
      <c r="AD32" s="104">
        <f>SUMIFS('ВБ Отчет Продажи (за 60 дней)'!$P:$P,'ВБ Отчет Продажи (за 60 дней)'!$K:$K,"СПБ Шушары",'ВБ Отчет Продажи (за 60 дней)'!$G:$G,$A32)</f>
        <v>0</v>
      </c>
      <c r="AE32" s="153">
        <f>SUMIFS('ВБ Отчет Продажи (за 60 дней)'!$P:$P,'ВБ Отчет Продажи (за 60 дней)'!$K:$K,"Екатеринбург - Перспективный 12",'ВБ Отчет Продажи (за 60 дней)'!$G:$G,$A32)</f>
        <v>0</v>
      </c>
      <c r="AF32" s="102">
        <f>SUMIFS('ВБ Отчет Продажи (за 60 дней)'!$P:$P,'ВБ Отчет Продажи (за 60 дней)'!$K:$K,"Новосибирск",'ВБ Отчет Продажи (за 60 дней)'!$G:$G,$A32)</f>
        <v>0</v>
      </c>
      <c r="AG32" s="124">
        <f t="shared" si="9"/>
        <v>0</v>
      </c>
      <c r="AH32" s="7">
        <f t="shared" si="10"/>
        <v>0</v>
      </c>
      <c r="AI32" s="213">
        <f>SUMIFS('ОЗОН Оборот ведом (за 60 дней)'!J:J,'ОЗОН Оборот ведом (за 60 дней)'!A:A,B32)</f>
        <v>1</v>
      </c>
      <c r="AJ32" s="21">
        <f t="shared" si="11"/>
        <v>1</v>
      </c>
      <c r="AK32" s="7" cm="1">
        <f t="array" ref="AK32">IFERROR(_xlfn.IFS((F32-U32)&gt;0,F32/$R$1*$AY$1-U32,F32+U32=0,"нов"),0)</f>
        <v>2</v>
      </c>
      <c r="AL32" s="7" cm="1">
        <f t="array" ref="AL32">IFERROR(_xlfn.IFS((G32-V32)&gt;0,G32/$R$1*$AY$1-V32,G32+V32=0,"нов"),0)</f>
        <v>2</v>
      </c>
      <c r="AM32" s="7" t="str" cm="1">
        <f t="array" ref="AM32">IFERROR(_xlfn.IFS((H32-W32)&gt;0,H32/$R$1*$AY$1-W32,H32+W32=0,"нов"),0)</f>
        <v>нов</v>
      </c>
      <c r="AN32" s="7" t="str" cm="1">
        <f t="array" ref="AN32">IFERROR(_xlfn.IFS((I32-X32)&gt;0,I32/$R$1*$AY$1-X32,I32+X32=0,"нов"),0)</f>
        <v>нов</v>
      </c>
      <c r="AO32" s="27" t="str" cm="1">
        <f t="array" ref="AO32">IFERROR(_xlfn.IFS((J32-Y32)&gt;0,J32/$R$1*$AY$1-Y32,J32+Y32=0,"нов"),0)</f>
        <v>нов</v>
      </c>
      <c r="AP32" s="7" t="str" cm="1">
        <f t="array" ref="AP32">IFERROR(_xlfn.IFS((K32-Z32)&gt;0,K32/$R$1*$AY$1-Z32,K32+Z32=0,"нов"),0)</f>
        <v>нов</v>
      </c>
      <c r="AQ32" s="104" t="str" cm="1">
        <f t="array" ref="AQ32">IFERROR(_xlfn.IFS((L32-AA32)&gt;0,L32/$R$1*$AY$1-AA32,L32+AA32=0,"нов"),0)</f>
        <v>нов</v>
      </c>
      <c r="AR32" s="27" t="str" cm="1">
        <f t="array" ref="AR32">IFERROR(_xlfn.IFS((M32-AB32)&gt;0,M32/$R$1*$AY$1-AB32,M32+AB32=0,"нов"),0)</f>
        <v>нов</v>
      </c>
      <c r="AS32" s="104" cm="1">
        <f t="array" ref="AS32">IFERROR(_xlfn.IFS((N32-AC32)&gt;0,N32/$R$1*$AY$1-AC32,N32+AC32=0,"нов"),0)</f>
        <v>1</v>
      </c>
      <c r="AT32" s="104" t="str" cm="1">
        <f t="array" ref="AT32">IFERROR(_xlfn.IFS((O32-AD32)&gt;0,O32/$R$1*$AY$1-AD32,O32+AD32=0,"нов"),0)</f>
        <v>нов</v>
      </c>
      <c r="AU32" s="7" t="str" cm="1">
        <f t="array" ref="AU32">IFERROR(_xlfn.IFS((P32-AE32)&gt;0,P32/$R$1*$AY$1-AE32,P32+AE32=0,"нов"),0)</f>
        <v>нов</v>
      </c>
      <c r="AV32" s="7" t="str" cm="1">
        <f t="array" ref="AV32">IFERROR(_xlfn.IFS((Q32-AF32)&gt;0,Q32/$R$1*$AY$1-AF32,Q32+AF32=0,"нов"),0)</f>
        <v>нов</v>
      </c>
      <c r="AW32" s="141">
        <f t="shared" si="12"/>
        <v>5</v>
      </c>
      <c r="AX32" s="218">
        <f>SUMIF('ОЗОН Доступн товара'!D:D,_xlfn.XLOOKUP($B32,'ОЗОН Доступн товара'!$A:$A,'ОЗОН Доступн товара'!$D:$D,0))</f>
        <v>0</v>
      </c>
      <c r="AY32" s="226">
        <f t="shared" si="13"/>
        <v>5</v>
      </c>
      <c r="AZ32" s="7">
        <f t="shared" si="14"/>
        <v>3</v>
      </c>
      <c r="BA32" s="7">
        <f t="shared" si="15"/>
        <v>3</v>
      </c>
      <c r="BB32" s="7" t="str">
        <f t="shared" si="16"/>
        <v>нов</v>
      </c>
      <c r="BC32" s="7" t="str">
        <f t="shared" si="17"/>
        <v>нов</v>
      </c>
      <c r="BD32" s="27" t="str">
        <f t="shared" si="18"/>
        <v>нов</v>
      </c>
      <c r="BE32" s="7" t="str">
        <f t="shared" si="19"/>
        <v>нов</v>
      </c>
      <c r="BF32" s="104" t="str">
        <f t="shared" si="20"/>
        <v>нов</v>
      </c>
      <c r="BG32" s="27" t="str">
        <f t="shared" si="21"/>
        <v>нов</v>
      </c>
      <c r="BH32" s="104">
        <f t="shared" si="22"/>
        <v>2</v>
      </c>
      <c r="BI32" s="7" t="str">
        <f t="shared" si="23"/>
        <v>нов</v>
      </c>
      <c r="BJ32" s="153" t="str">
        <f t="shared" si="24"/>
        <v>нов</v>
      </c>
      <c r="BK32" s="7" t="str">
        <f t="shared" si="25"/>
        <v>нов</v>
      </c>
      <c r="BL32" s="6">
        <f t="shared" si="26"/>
        <v>8</v>
      </c>
      <c r="BM32" s="6">
        <f t="shared" si="27"/>
        <v>0</v>
      </c>
      <c r="BN32" s="28">
        <f t="shared" si="28"/>
        <v>8</v>
      </c>
      <c r="BO32" s="73">
        <f>IFERROR(_xlfn.XLOOKUP(A32,'[2] Расчет стоимости и веса'!$I:$I,'[2] Расчет стоимости и веса'!$D:$D),0)</f>
        <v>150</v>
      </c>
      <c r="BP32" s="227">
        <f t="shared" si="29"/>
        <v>150</v>
      </c>
      <c r="BQ32" s="8"/>
      <c r="BR32" s="155">
        <v>30</v>
      </c>
      <c r="BS32" s="12"/>
      <c r="BT32" s="12"/>
      <c r="BU32" s="229"/>
      <c r="BV32" s="12"/>
      <c r="BW32" s="12">
        <v>30</v>
      </c>
      <c r="BY32" s="231">
        <v>30</v>
      </c>
      <c r="BZ32" s="232"/>
      <c r="CA32" s="155">
        <v>30</v>
      </c>
      <c r="CB32" s="157">
        <v>30</v>
      </c>
      <c r="CC32" s="57"/>
      <c r="CD32" s="12"/>
      <c r="CE32" s="146">
        <f t="shared" si="5"/>
        <v>150</v>
      </c>
      <c r="CF32" s="69">
        <f t="shared" si="6"/>
        <v>150</v>
      </c>
      <c r="CG32" s="45">
        <f t="shared" si="7"/>
        <v>0</v>
      </c>
    </row>
    <row r="33" spans="1:85" ht="14.1" customHeight="1">
      <c r="A33" s="91">
        <f>[1]Юнит!A35</f>
        <v>419145749</v>
      </c>
      <c r="B33" s="92">
        <f>[1]Юнит!B35</f>
        <v>2415742615</v>
      </c>
      <c r="C33" s="91" t="str">
        <f>[1]Юнит!C35</f>
        <v>ACRB1MS109BL</v>
      </c>
      <c r="D33" s="236" t="str">
        <f>[1]Юнит!D35</f>
        <v>Мяч с шипами голубой 9 см</v>
      </c>
      <c r="E33" s="90">
        <f>[1]Юнит!E35</f>
        <v>2044025342057</v>
      </c>
      <c r="F33" s="132">
        <f>ROUNDUP(SUMIFS('ВБ Отчет Продажи (за 60 дней)'!$L:$L,'ВБ Отчет Продажи (за 60 дней)'!$K:$K,"Электросталь",'ВБ Отчет Продажи (за 60 дней)'!$G:$G,$A33),0)</f>
        <v>0</v>
      </c>
      <c r="G33" s="133">
        <f>ROUNDUP(SUMIFS('ВБ Отчет Продажи (за 60 дней)'!$L:$L,'ВБ Отчет Продажи (за 60 дней)'!$K:$K,"Коледино",'ВБ Отчет Продажи (за 60 дней)'!$G:$G,$A33),0)</f>
        <v>1</v>
      </c>
      <c r="H33" s="133">
        <f>ROUNDUP(SUMIFS('ВБ Отчет Продажи (за 60 дней)'!$L:$L,'ВБ Отчет Продажи (за 60 дней)'!$K:$K,"Тула",'ВБ Отчет Продажи (за 60 дней)'!$G:$G,$A33),0)</f>
        <v>0</v>
      </c>
      <c r="I33" s="134">
        <f>ROUNDUP(SUMIFS('ВБ Отчет Продажи (за 60 дней)'!$L:$L,'ВБ Отчет Продажи (за 60 дней)'!$K:$K,"Рязань (Тюшевское)",'ВБ Отчет Продажи (за 60 дней)'!$G:$G,$A33),0)</f>
        <v>1</v>
      </c>
      <c r="J33" s="136">
        <f>ROUNDUP(SUMIFS('ВБ Отчет Продажи (за 60 дней)'!$L:$L,'ВБ Отчет Продажи (за 60 дней)'!$K:$K,"Краснодар",'ВБ Отчет Продажи (за 60 дней)'!$G:$G,$A33),0)</f>
        <v>3</v>
      </c>
      <c r="K33" s="133">
        <f>ROUNDUP(SUMIFS('ВБ Отчет Продажи (за 60 дней)'!$L:$L,'ВБ Отчет Продажи (за 60 дней)'!$K:$K,"Невинномысск",'ВБ Отчет Продажи (за 60 дней)'!$G:$G,$A33),0)</f>
        <v>0</v>
      </c>
      <c r="L33" s="137">
        <f>ROUNDUP(SUMIFS('ВБ Отчет Продажи (за 60 дней)'!$L:$L,'ВБ Отчет Продажи (за 60 дней)'!$K:$K,"Волгоград",'ВБ Отчет Продажи (за 60 дней)'!$G:$G,$A33),0)</f>
        <v>0</v>
      </c>
      <c r="M33" s="136">
        <f>ROUNDUP(SUMIFS('ВБ Отчет Продажи (за 60 дней)'!$L:$L,'ВБ Отчет Продажи (за 60 дней)'!$K:$K,"Самара (Новосемейкино)",'ВБ Отчет Продажи (за 60 дней)'!$G:$G,$A33),0)</f>
        <v>0</v>
      </c>
      <c r="N33" s="137">
        <f>ROUNDUP(SUMIFS('ВБ Отчет Продажи (за 60 дней)'!$L:$L,'ВБ Отчет Продажи (за 60 дней)'!$K:$K,"Казань",'ВБ Отчет Продажи (за 60 дней)'!$G:$G,$A33),0)</f>
        <v>0</v>
      </c>
      <c r="O33" s="137">
        <f>ROUNDUP(SUMIFS('ВБ Отчет Продажи (за 60 дней)'!$L:$L,'ВБ Отчет Продажи (за 60 дней)'!$K:$K,"СПБ Шушары",'ВБ Отчет Продажи (за 60 дней)'!$G:$G,$A33),0)</f>
        <v>0</v>
      </c>
      <c r="P33" s="151">
        <f>ROUNDUP(SUMIFS('ВБ Отчет Продажи (за 60 дней)'!$L:$L,'ВБ Отчет Продажи (за 60 дней)'!$K:$K,"Екатеринбург - Перспективный 12",'ВБ Отчет Продажи (за 60 дней)'!$G:$G,$A33),0)</f>
        <v>0</v>
      </c>
      <c r="Q33" s="149">
        <f>ROUNDUP(SUMIFS('ВБ Отчет Продажи (за 60 дней)'!$L:$L,'ВБ Отчет Продажи (за 60 дней)'!$K:$K,"Новосибирск",'ВБ Отчет Продажи (за 60 дней)'!$G:$G,$A33),0)</f>
        <v>0</v>
      </c>
      <c r="R33" s="131">
        <f t="shared" si="0"/>
        <v>5</v>
      </c>
      <c r="S33" s="139">
        <f>SUMIFS('ОЗОН Оборот ведом (за 60 дней)'!I:I,'ОЗОН Оборот ведом (за 60 дней)'!A:A,B33)</f>
        <v>1</v>
      </c>
      <c r="T33" s="140">
        <f t="shared" si="8"/>
        <v>6</v>
      </c>
      <c r="U33" s="6">
        <f>SUMIFS('ВБ Отчет Продажи (за 60 дней)'!$P:$P,'ВБ Отчет Продажи (за 60 дней)'!$K:$K,"Электросталь",'ВБ Отчет Продажи (за 60 дней)'!$G:$G,$A33)</f>
        <v>5</v>
      </c>
      <c r="V33" s="7">
        <f>SUMIFS('ВБ Отчет Продажи (за 60 дней)'!$P:$P,'ВБ Отчет Продажи (за 60 дней)'!$K:$K,"Коледино",'ВБ Отчет Продажи (за 60 дней)'!$G:$G,$A33)</f>
        <v>9</v>
      </c>
      <c r="W33" s="7">
        <f>SUMIFS('ВБ Отчет Продажи (за 60 дней)'!$P:$P,'ВБ Отчет Продажи (за 60 дней)'!$K:$K,"Тула",'ВБ Отчет Продажи (за 60 дней)'!$G:$G,$A33)</f>
        <v>0</v>
      </c>
      <c r="X33" s="7">
        <f>SUMIFS('ВБ Отчет Продажи (за 60 дней)'!$P:$P,'ВБ Отчет Продажи (за 60 дней)'!$K:$K,"Рязань (Тюшевское)",'ВБ Отчет Продажи (за 60 дней)'!$G:$G,$A33)</f>
        <v>13</v>
      </c>
      <c r="Y33" s="27">
        <f>SUMIFS('ВБ Отчет Продажи (за 60 дней)'!$P:$P,'ВБ Отчет Продажи (за 60 дней)'!$K:$K,"Краснодар",'ВБ Отчет Продажи (за 60 дней)'!$G:$G,$A33)</f>
        <v>12</v>
      </c>
      <c r="Z33" s="7">
        <f>SUMIFS('ВБ Отчет Продажи (за 60 дней)'!$P:$P,'ВБ Отчет Продажи (за 60 дней)'!$K:$K,"Невинномысск",'ВБ Отчет Продажи (за 60 дней)'!$G:$G,$A33)</f>
        <v>8</v>
      </c>
      <c r="AA33" s="104">
        <f>SUMIFS('ВБ Отчет Продажи (за 60 дней)'!$P:$P,'ВБ Отчет Продажи (за 60 дней)'!$K:$K,"Волгоград",'ВБ Отчет Продажи (за 60 дней)'!$G:$G,$A33)</f>
        <v>0</v>
      </c>
      <c r="AB33" s="27">
        <f>SUMIFS('ВБ Отчет Продажи (за 60 дней)'!$P:$P,'ВБ Отчет Продажи (за 60 дней)'!$K:$K,"Самара (Новосемейкино)",'ВБ Отчет Продажи (за 60 дней)'!$G:$G,$A33)</f>
        <v>5</v>
      </c>
      <c r="AC33" s="104">
        <f>SUMIFS('ВБ Отчет Продажи (за 60 дней)'!$P:$P,'ВБ Отчет Продажи (за 60 дней)'!$K:$K,"Казань",'ВБ Отчет Продажи (за 60 дней)'!$G:$G,$A33)</f>
        <v>0</v>
      </c>
      <c r="AD33" s="104">
        <f>SUMIFS('ВБ Отчет Продажи (за 60 дней)'!$P:$P,'ВБ Отчет Продажи (за 60 дней)'!$K:$K,"СПБ Шушары",'ВБ Отчет Продажи (за 60 дней)'!$G:$G,$A33)</f>
        <v>10</v>
      </c>
      <c r="AE33" s="153">
        <f>SUMIFS('ВБ Отчет Продажи (за 60 дней)'!$P:$P,'ВБ Отчет Продажи (за 60 дней)'!$K:$K,"Екатеринбург - Перспективный 12",'ВБ Отчет Продажи (за 60 дней)'!$G:$G,$A33)</f>
        <v>0</v>
      </c>
      <c r="AF33" s="102">
        <f>SUMIFS('ВБ Отчет Продажи (за 60 дней)'!$P:$P,'ВБ Отчет Продажи (за 60 дней)'!$K:$K,"Новосибирск",'ВБ Отчет Продажи (за 60 дней)'!$G:$G,$A33)</f>
        <v>0</v>
      </c>
      <c r="AG33" s="124">
        <f t="shared" si="9"/>
        <v>62</v>
      </c>
      <c r="AH33" s="7">
        <f t="shared" si="10"/>
        <v>744</v>
      </c>
      <c r="AI33" s="213">
        <f>SUMIFS('ОЗОН Оборот ведом (за 60 дней)'!J:J,'ОЗОН Оборот ведом (за 60 дней)'!A:A,B33)</f>
        <v>0</v>
      </c>
      <c r="AJ33" s="21">
        <f t="shared" si="11"/>
        <v>62</v>
      </c>
      <c r="AK33" s="7" cm="1">
        <f t="array" ref="AK33">IFERROR(_xlfn.IFS((F33-U33)&gt;0,F33/$R$1*$AY$1-U33,F33+U33=0,"нов"),0)</f>
        <v>0</v>
      </c>
      <c r="AL33" s="7" cm="1">
        <f t="array" ref="AL33">IFERROR(_xlfn.IFS((G33-V33)&gt;0,G33/$R$1*$AY$1-V33,G33+V33=0,"нов"),0)</f>
        <v>0</v>
      </c>
      <c r="AM33" s="7" t="str" cm="1">
        <f t="array" ref="AM33">IFERROR(_xlfn.IFS((H33-W33)&gt;0,H33/$R$1*$AY$1-W33,H33+W33=0,"нов"),0)</f>
        <v>нов</v>
      </c>
      <c r="AN33" s="7" cm="1">
        <f t="array" ref="AN33">IFERROR(_xlfn.IFS((I33-X33)&gt;0,I33/$R$1*$AY$1-X33,I33+X33=0,"нов"),0)</f>
        <v>0</v>
      </c>
      <c r="AO33" s="27" cm="1">
        <f t="array" ref="AO33">IFERROR(_xlfn.IFS((J33-Y33)&gt;0,J33/$R$1*$AY$1-Y33,J33+Y33=0,"нов"),0)</f>
        <v>0</v>
      </c>
      <c r="AP33" s="7" cm="1">
        <f t="array" ref="AP33">IFERROR(_xlfn.IFS((K33-Z33)&gt;0,K33/$R$1*$AY$1-Z33,K33+Z33=0,"нов"),0)</f>
        <v>0</v>
      </c>
      <c r="AQ33" s="104" t="str" cm="1">
        <f t="array" ref="AQ33">IFERROR(_xlfn.IFS((L33-AA33)&gt;0,L33/$R$1*$AY$1-AA33,L33+AA33=0,"нов"),0)</f>
        <v>нов</v>
      </c>
      <c r="AR33" s="27" cm="1">
        <f t="array" ref="AR33">IFERROR(_xlfn.IFS((M33-AB33)&gt;0,M33/$R$1*$AY$1-AB33,M33+AB33=0,"нов"),0)</f>
        <v>0</v>
      </c>
      <c r="AS33" s="104" t="str" cm="1">
        <f t="array" ref="AS33">IFERROR(_xlfn.IFS((N33-AC33)&gt;0,N33/$R$1*$AY$1-AC33,N33+AC33=0,"нов"),0)</f>
        <v>нов</v>
      </c>
      <c r="AT33" s="104" cm="1">
        <f t="array" ref="AT33">IFERROR(_xlfn.IFS((O33-AD33)&gt;0,O33/$R$1*$AY$1-AD33,O33+AD33=0,"нов"),0)</f>
        <v>0</v>
      </c>
      <c r="AU33" s="7" t="str" cm="1">
        <f t="array" ref="AU33">IFERROR(_xlfn.IFS((P33-AE33)&gt;0,P33/$R$1*$AY$1-AE33,P33+AE33=0,"нов"),0)</f>
        <v>нов</v>
      </c>
      <c r="AV33" s="7" t="str" cm="1">
        <f t="array" ref="AV33">IFERROR(_xlfn.IFS((Q33-AF33)&gt;0,Q33/$R$1*$AY$1-AF33,Q33+AF33=0,"нов"),0)</f>
        <v>нов</v>
      </c>
      <c r="AW33" s="141">
        <f t="shared" si="12"/>
        <v>0</v>
      </c>
      <c r="AX33" s="218">
        <f>SUMIF('ОЗОН Доступн товара'!D:D,_xlfn.XLOOKUP($B33,'ОЗОН Доступн товара'!$A:$A,'ОЗОН Доступн товара'!$D:$D,0))</f>
        <v>0</v>
      </c>
      <c r="AY33" s="226">
        <f t="shared" si="13"/>
        <v>0</v>
      </c>
      <c r="AZ33" s="7">
        <f t="shared" si="14"/>
        <v>0</v>
      </c>
      <c r="BA33" s="7">
        <f t="shared" si="15"/>
        <v>0</v>
      </c>
      <c r="BB33" s="7" t="str">
        <f t="shared" si="16"/>
        <v>нов</v>
      </c>
      <c r="BC33" s="7">
        <f t="shared" si="17"/>
        <v>0</v>
      </c>
      <c r="BD33" s="27">
        <f t="shared" si="18"/>
        <v>0</v>
      </c>
      <c r="BE33" s="7">
        <f t="shared" si="19"/>
        <v>0</v>
      </c>
      <c r="BF33" s="104" t="str">
        <f t="shared" si="20"/>
        <v>нов</v>
      </c>
      <c r="BG33" s="27">
        <f t="shared" si="21"/>
        <v>0</v>
      </c>
      <c r="BH33" s="104" t="str">
        <f t="shared" si="22"/>
        <v>нов</v>
      </c>
      <c r="BI33" s="7">
        <f t="shared" si="23"/>
        <v>0</v>
      </c>
      <c r="BJ33" s="153" t="str">
        <f t="shared" si="24"/>
        <v>нов</v>
      </c>
      <c r="BK33" s="7" t="str">
        <f t="shared" si="25"/>
        <v>нов</v>
      </c>
      <c r="BL33" s="6">
        <f t="shared" si="26"/>
        <v>0</v>
      </c>
      <c r="BM33" s="6">
        <f t="shared" si="27"/>
        <v>0</v>
      </c>
      <c r="BN33" s="28">
        <f t="shared" si="28"/>
        <v>0</v>
      </c>
      <c r="BO33" s="73">
        <f>IFERROR(_xlfn.XLOOKUP(A33,'[2] Расчет стоимости и веса'!$I:$I,'[2] Расчет стоимости и веса'!$D:$D),0)</f>
        <v>40</v>
      </c>
      <c r="BP33" s="227">
        <f t="shared" si="29"/>
        <v>40</v>
      </c>
      <c r="BQ33" s="8"/>
      <c r="BR33" s="155"/>
      <c r="BS33" s="12"/>
      <c r="BT33" s="12"/>
      <c r="BU33" s="229"/>
      <c r="BV33" s="12"/>
      <c r="BW33" s="12"/>
      <c r="BY33" s="231">
        <v>20</v>
      </c>
      <c r="BZ33" s="232"/>
      <c r="CA33" s="155"/>
      <c r="CB33" s="157">
        <v>20</v>
      </c>
      <c r="CC33" s="57"/>
      <c r="CD33" s="12"/>
      <c r="CE33" s="146">
        <f t="shared" si="5"/>
        <v>40</v>
      </c>
      <c r="CF33" s="69">
        <f t="shared" si="6"/>
        <v>40</v>
      </c>
      <c r="CG33" s="45">
        <f t="shared" si="7"/>
        <v>0</v>
      </c>
    </row>
    <row r="34" spans="1:85" ht="14.1" customHeight="1">
      <c r="A34" s="91">
        <f>[1]Юнит!A36</f>
        <v>419141549</v>
      </c>
      <c r="B34" s="92">
        <f>[1]Юнит!B36</f>
        <v>2415742943</v>
      </c>
      <c r="C34" s="91" t="str">
        <f>[1]Юнит!C36</f>
        <v>ACRB1MS109RJ</v>
      </c>
      <c r="D34" s="236" t="str">
        <f>[1]Юнит!D36</f>
        <v>Мяч с шипами оранжевый 9 см</v>
      </c>
      <c r="E34" s="90">
        <f>[1]Юнит!E36</f>
        <v>2044025291485</v>
      </c>
      <c r="F34" s="132">
        <f>ROUNDUP(SUMIFS('ВБ Отчет Продажи (за 60 дней)'!$L:$L,'ВБ Отчет Продажи (за 60 дней)'!$K:$K,"Электросталь",'ВБ Отчет Продажи (за 60 дней)'!$G:$G,$A34),0)</f>
        <v>0</v>
      </c>
      <c r="G34" s="133">
        <f>ROUNDUP(SUMIFS('ВБ Отчет Продажи (за 60 дней)'!$L:$L,'ВБ Отчет Продажи (за 60 дней)'!$K:$K,"Коледино",'ВБ Отчет Продажи (за 60 дней)'!$G:$G,$A34),0)</f>
        <v>0</v>
      </c>
      <c r="H34" s="133">
        <f>ROUNDUP(SUMIFS('ВБ Отчет Продажи (за 60 дней)'!$L:$L,'ВБ Отчет Продажи (за 60 дней)'!$K:$K,"Тула",'ВБ Отчет Продажи (за 60 дней)'!$G:$G,$A34),0)</f>
        <v>1</v>
      </c>
      <c r="I34" s="134">
        <f>ROUNDUP(SUMIFS('ВБ Отчет Продажи (за 60 дней)'!$L:$L,'ВБ Отчет Продажи (за 60 дней)'!$K:$K,"Рязань (Тюшевское)",'ВБ Отчет Продажи (за 60 дней)'!$G:$G,$A34),0)</f>
        <v>0</v>
      </c>
      <c r="J34" s="136">
        <f>ROUNDUP(SUMIFS('ВБ Отчет Продажи (за 60 дней)'!$L:$L,'ВБ Отчет Продажи (за 60 дней)'!$K:$K,"Краснодар",'ВБ Отчет Продажи (за 60 дней)'!$G:$G,$A34),0)</f>
        <v>1</v>
      </c>
      <c r="K34" s="133">
        <f>ROUNDUP(SUMIFS('ВБ Отчет Продажи (за 60 дней)'!$L:$L,'ВБ Отчет Продажи (за 60 дней)'!$K:$K,"Невинномысск",'ВБ Отчет Продажи (за 60 дней)'!$G:$G,$A34),0)</f>
        <v>4</v>
      </c>
      <c r="L34" s="137">
        <f>ROUNDUP(SUMIFS('ВБ Отчет Продажи (за 60 дней)'!$L:$L,'ВБ Отчет Продажи (за 60 дней)'!$K:$K,"Волгоград",'ВБ Отчет Продажи (за 60 дней)'!$G:$G,$A34),0)</f>
        <v>0</v>
      </c>
      <c r="M34" s="136">
        <f>ROUNDUP(SUMIFS('ВБ Отчет Продажи (за 60 дней)'!$L:$L,'ВБ Отчет Продажи (за 60 дней)'!$K:$K,"Самара (Новосемейкино)",'ВБ Отчет Продажи (за 60 дней)'!$G:$G,$A34),0)</f>
        <v>0</v>
      </c>
      <c r="N34" s="137">
        <f>ROUNDUP(SUMIFS('ВБ Отчет Продажи (за 60 дней)'!$L:$L,'ВБ Отчет Продажи (за 60 дней)'!$K:$K,"Казань",'ВБ Отчет Продажи (за 60 дней)'!$G:$G,$A34),0)</f>
        <v>0</v>
      </c>
      <c r="O34" s="137">
        <f>ROUNDUP(SUMIFS('ВБ Отчет Продажи (за 60 дней)'!$L:$L,'ВБ Отчет Продажи (за 60 дней)'!$K:$K,"СПБ Шушары",'ВБ Отчет Продажи (за 60 дней)'!$G:$G,$A34),0)</f>
        <v>0</v>
      </c>
      <c r="P34" s="151">
        <f>ROUNDUP(SUMIFS('ВБ Отчет Продажи (за 60 дней)'!$L:$L,'ВБ Отчет Продажи (за 60 дней)'!$K:$K,"Екатеринбург - Перспективный 12",'ВБ Отчет Продажи (за 60 дней)'!$G:$G,$A34),0)</f>
        <v>0</v>
      </c>
      <c r="Q34" s="149">
        <f>ROUNDUP(SUMIFS('ВБ Отчет Продажи (за 60 дней)'!$L:$L,'ВБ Отчет Продажи (за 60 дней)'!$K:$K,"Новосибирск",'ВБ Отчет Продажи (за 60 дней)'!$G:$G,$A34),0)</f>
        <v>0</v>
      </c>
      <c r="R34" s="131">
        <f t="shared" si="0"/>
        <v>6</v>
      </c>
      <c r="S34" s="139">
        <f>SUMIFS('ОЗОН Оборот ведом (за 60 дней)'!I:I,'ОЗОН Оборот ведом (за 60 дней)'!A:A,B34)</f>
        <v>6</v>
      </c>
      <c r="T34" s="140">
        <f t="shared" si="8"/>
        <v>12</v>
      </c>
      <c r="U34" s="6">
        <f>SUMIFS('ВБ Отчет Продажи (за 60 дней)'!$P:$P,'ВБ Отчет Продажи (за 60 дней)'!$K:$K,"Электросталь",'ВБ Отчет Продажи (за 60 дней)'!$G:$G,$A34)</f>
        <v>0</v>
      </c>
      <c r="V34" s="7">
        <f>SUMIFS('ВБ Отчет Продажи (за 60 дней)'!$P:$P,'ВБ Отчет Продажи (за 60 дней)'!$K:$K,"Коледино",'ВБ Отчет Продажи (за 60 дней)'!$G:$G,$A34)</f>
        <v>0</v>
      </c>
      <c r="W34" s="7">
        <f>SUMIFS('ВБ Отчет Продажи (за 60 дней)'!$P:$P,'ВБ Отчет Продажи (за 60 дней)'!$K:$K,"Тула",'ВБ Отчет Продажи (за 60 дней)'!$G:$G,$A34)</f>
        <v>0</v>
      </c>
      <c r="X34" s="7">
        <f>SUMIFS('ВБ Отчет Продажи (за 60 дней)'!$P:$P,'ВБ Отчет Продажи (за 60 дней)'!$K:$K,"Рязань (Тюшевское)",'ВБ Отчет Продажи (за 60 дней)'!$G:$G,$A34)</f>
        <v>0</v>
      </c>
      <c r="Y34" s="27">
        <f>SUMIFS('ВБ Отчет Продажи (за 60 дней)'!$P:$P,'ВБ Отчет Продажи (за 60 дней)'!$K:$K,"Краснодар",'ВБ Отчет Продажи (за 60 дней)'!$G:$G,$A34)</f>
        <v>0</v>
      </c>
      <c r="Z34" s="7">
        <f>SUMIFS('ВБ Отчет Продажи (за 60 дней)'!$P:$P,'ВБ Отчет Продажи (за 60 дней)'!$K:$K,"Невинномысск",'ВБ Отчет Продажи (за 60 дней)'!$G:$G,$A34)</f>
        <v>0</v>
      </c>
      <c r="AA34" s="104">
        <f>SUMIFS('ВБ Отчет Продажи (за 60 дней)'!$P:$P,'ВБ Отчет Продажи (за 60 дней)'!$K:$K,"Волгоград",'ВБ Отчет Продажи (за 60 дней)'!$G:$G,$A34)</f>
        <v>0</v>
      </c>
      <c r="AB34" s="27">
        <f>SUMIFS('ВБ Отчет Продажи (за 60 дней)'!$P:$P,'ВБ Отчет Продажи (за 60 дней)'!$K:$K,"Самара (Новосемейкино)",'ВБ Отчет Продажи (за 60 дней)'!$G:$G,$A34)</f>
        <v>0</v>
      </c>
      <c r="AC34" s="104">
        <f>SUMIFS('ВБ Отчет Продажи (за 60 дней)'!$P:$P,'ВБ Отчет Продажи (за 60 дней)'!$K:$K,"Казань",'ВБ Отчет Продажи (за 60 дней)'!$G:$G,$A34)</f>
        <v>0</v>
      </c>
      <c r="AD34" s="104">
        <f>SUMIFS('ВБ Отчет Продажи (за 60 дней)'!$P:$P,'ВБ Отчет Продажи (за 60 дней)'!$K:$K,"СПБ Шушары",'ВБ Отчет Продажи (за 60 дней)'!$G:$G,$A34)</f>
        <v>0</v>
      </c>
      <c r="AE34" s="153">
        <f>SUMIFS('ВБ Отчет Продажи (за 60 дней)'!$P:$P,'ВБ Отчет Продажи (за 60 дней)'!$K:$K,"Екатеринбург - Перспективный 12",'ВБ Отчет Продажи (за 60 дней)'!$G:$G,$A34)</f>
        <v>0</v>
      </c>
      <c r="AF34" s="102">
        <f>SUMIFS('ВБ Отчет Продажи (за 60 дней)'!$P:$P,'ВБ Отчет Продажи (за 60 дней)'!$K:$K,"Новосибирск",'ВБ Отчет Продажи (за 60 дней)'!$G:$G,$A34)</f>
        <v>0</v>
      </c>
      <c r="AG34" s="124">
        <f t="shared" si="9"/>
        <v>0</v>
      </c>
      <c r="AH34" s="7">
        <f t="shared" si="10"/>
        <v>0</v>
      </c>
      <c r="AI34" s="213">
        <f>SUMIFS('ОЗОН Оборот ведом (за 60 дней)'!J:J,'ОЗОН Оборот ведом (за 60 дней)'!A:A,B34)</f>
        <v>0</v>
      </c>
      <c r="AJ34" s="21">
        <f t="shared" si="11"/>
        <v>0</v>
      </c>
      <c r="AK34" s="7" t="str" cm="1">
        <f t="array" ref="AK34">IFERROR(_xlfn.IFS((F34-U34)&gt;0,F34/$R$1*$AY$1-U34,F34+U34=0,"нов"),0)</f>
        <v>нов</v>
      </c>
      <c r="AL34" s="7" t="str" cm="1">
        <f t="array" ref="AL34">IFERROR(_xlfn.IFS((G34-V34)&gt;0,G34/$R$1*$AY$1-V34,G34+V34=0,"нов"),0)</f>
        <v>нов</v>
      </c>
      <c r="AM34" s="7" cm="1">
        <f t="array" ref="AM34">IFERROR(_xlfn.IFS((H34-W34)&gt;0,H34/$R$1*$AY$1-W34,H34+W34=0,"нов"),0)</f>
        <v>1</v>
      </c>
      <c r="AN34" s="7" t="str" cm="1">
        <f t="array" ref="AN34">IFERROR(_xlfn.IFS((I34-X34)&gt;0,I34/$R$1*$AY$1-X34,I34+X34=0,"нов"),0)</f>
        <v>нов</v>
      </c>
      <c r="AO34" s="27" cm="1">
        <f t="array" ref="AO34">IFERROR(_xlfn.IFS((J34-Y34)&gt;0,J34/$R$1*$AY$1-Y34,J34+Y34=0,"нов"),0)</f>
        <v>1</v>
      </c>
      <c r="AP34" s="7" cm="1">
        <f t="array" ref="AP34">IFERROR(_xlfn.IFS((K34-Z34)&gt;0,K34/$R$1*$AY$1-Z34,K34+Z34=0,"нов"),0)</f>
        <v>4</v>
      </c>
      <c r="AQ34" s="104" t="str" cm="1">
        <f t="array" ref="AQ34">IFERROR(_xlfn.IFS((L34-AA34)&gt;0,L34/$R$1*$AY$1-AA34,L34+AA34=0,"нов"),0)</f>
        <v>нов</v>
      </c>
      <c r="AR34" s="27" t="str" cm="1">
        <f t="array" ref="AR34">IFERROR(_xlfn.IFS((M34-AB34)&gt;0,M34/$R$1*$AY$1-AB34,M34+AB34=0,"нов"),0)</f>
        <v>нов</v>
      </c>
      <c r="AS34" s="104" t="str" cm="1">
        <f t="array" ref="AS34">IFERROR(_xlfn.IFS((N34-AC34)&gt;0,N34/$R$1*$AY$1-AC34,N34+AC34=0,"нов"),0)</f>
        <v>нов</v>
      </c>
      <c r="AT34" s="104" t="str" cm="1">
        <f t="array" ref="AT34">IFERROR(_xlfn.IFS((O34-AD34)&gt;0,O34/$R$1*$AY$1-AD34,O34+AD34=0,"нов"),0)</f>
        <v>нов</v>
      </c>
      <c r="AU34" s="7" t="str" cm="1">
        <f t="array" ref="AU34">IFERROR(_xlfn.IFS((P34-AE34)&gt;0,P34/$R$1*$AY$1-AE34,P34+AE34=0,"нов"),0)</f>
        <v>нов</v>
      </c>
      <c r="AV34" s="7" t="str" cm="1">
        <f t="array" ref="AV34">IFERROR(_xlfn.IFS((Q34-AF34)&gt;0,Q34/$R$1*$AY$1-AF34,Q34+AF34=0,"нов"),0)</f>
        <v>нов</v>
      </c>
      <c r="AW34" s="141">
        <f t="shared" si="12"/>
        <v>6</v>
      </c>
      <c r="AX34" s="218">
        <f>SUMIF('ОЗОН Доступн товара'!D:D,_xlfn.XLOOKUP($B34,'ОЗОН Доступн товара'!$A:$A,'ОЗОН Доступн товара'!$D:$D,0))</f>
        <v>0</v>
      </c>
      <c r="AY34" s="226">
        <f t="shared" si="13"/>
        <v>6</v>
      </c>
      <c r="AZ34" s="7" t="str">
        <f t="shared" si="14"/>
        <v>нов</v>
      </c>
      <c r="BA34" s="7" t="str">
        <f t="shared" si="15"/>
        <v>нов</v>
      </c>
      <c r="BB34" s="7">
        <f t="shared" si="16"/>
        <v>2</v>
      </c>
      <c r="BC34" s="7" t="str">
        <f t="shared" si="17"/>
        <v>нов</v>
      </c>
      <c r="BD34" s="27">
        <f t="shared" si="18"/>
        <v>2</v>
      </c>
      <c r="BE34" s="7">
        <f t="shared" si="19"/>
        <v>6</v>
      </c>
      <c r="BF34" s="104" t="str">
        <f t="shared" si="20"/>
        <v>нов</v>
      </c>
      <c r="BG34" s="27" t="str">
        <f t="shared" si="21"/>
        <v>нов</v>
      </c>
      <c r="BH34" s="104" t="str">
        <f t="shared" si="22"/>
        <v>нов</v>
      </c>
      <c r="BI34" s="7" t="str">
        <f t="shared" si="23"/>
        <v>нов</v>
      </c>
      <c r="BJ34" s="153" t="str">
        <f t="shared" si="24"/>
        <v>нов</v>
      </c>
      <c r="BK34" s="7" t="str">
        <f t="shared" si="25"/>
        <v>нов</v>
      </c>
      <c r="BL34" s="6">
        <f t="shared" si="26"/>
        <v>10</v>
      </c>
      <c r="BM34" s="6">
        <f t="shared" si="27"/>
        <v>0</v>
      </c>
      <c r="BN34" s="28">
        <f t="shared" si="28"/>
        <v>10</v>
      </c>
      <c r="BO34" s="73">
        <f>IFERROR(_xlfn.XLOOKUP(A34,'[2] Расчет стоимости и веса'!$I:$I,'[2] Расчет стоимости и веса'!$D:$D),0)</f>
        <v>100</v>
      </c>
      <c r="BP34" s="227">
        <f t="shared" si="29"/>
        <v>100</v>
      </c>
      <c r="BQ34" s="8"/>
      <c r="BR34" s="155">
        <v>20</v>
      </c>
      <c r="BS34" s="12"/>
      <c r="BT34" s="12"/>
      <c r="BU34" s="229"/>
      <c r="BV34" s="12"/>
      <c r="BW34" s="12">
        <v>20</v>
      </c>
      <c r="BY34" s="231">
        <v>20</v>
      </c>
      <c r="BZ34" s="232"/>
      <c r="CA34" s="155">
        <v>20</v>
      </c>
      <c r="CB34" s="157">
        <v>20</v>
      </c>
      <c r="CC34" s="57"/>
      <c r="CD34" s="12"/>
      <c r="CE34" s="146">
        <f t="shared" si="5"/>
        <v>100</v>
      </c>
      <c r="CF34" s="69">
        <f t="shared" si="6"/>
        <v>100</v>
      </c>
      <c r="CG34" s="45">
        <f t="shared" si="7"/>
        <v>0</v>
      </c>
    </row>
    <row r="35" spans="1:85" ht="14.1" customHeight="1">
      <c r="A35" s="91">
        <f>[1]Юнит!A37</f>
        <v>419145986</v>
      </c>
      <c r="B35" s="92">
        <f>[1]Юнит!B37</f>
        <v>2415742693</v>
      </c>
      <c r="C35" s="91" t="str">
        <f>[1]Юнит!C37</f>
        <v>ACRB1MS109BС</v>
      </c>
      <c r="D35" s="236" t="str">
        <f>[1]Юнит!D37</f>
        <v>Мяч с шипами черный 9 см</v>
      </c>
      <c r="E35" s="90">
        <f>[1]Юнит!E37</f>
        <v>2044025347953</v>
      </c>
      <c r="F35" s="132">
        <f>ROUNDUP(SUMIFS('ВБ Отчет Продажи (за 60 дней)'!$L:$L,'ВБ Отчет Продажи (за 60 дней)'!$K:$K,"Электросталь",'ВБ Отчет Продажи (за 60 дней)'!$G:$G,$A35),0)</f>
        <v>1</v>
      </c>
      <c r="G35" s="133">
        <f>ROUNDUP(SUMIFS('ВБ Отчет Продажи (за 60 дней)'!$L:$L,'ВБ Отчет Продажи (за 60 дней)'!$K:$K,"Коледино",'ВБ Отчет Продажи (за 60 дней)'!$G:$G,$A35),0)</f>
        <v>6</v>
      </c>
      <c r="H35" s="133">
        <f>ROUNDUP(SUMIFS('ВБ Отчет Продажи (за 60 дней)'!$L:$L,'ВБ Отчет Продажи (за 60 дней)'!$K:$K,"Тула",'ВБ Отчет Продажи (за 60 дней)'!$G:$G,$A35),0)</f>
        <v>1</v>
      </c>
      <c r="I35" s="134">
        <f>ROUNDUP(SUMIFS('ВБ Отчет Продажи (за 60 дней)'!$L:$L,'ВБ Отчет Продажи (за 60 дней)'!$K:$K,"Рязань (Тюшевское)",'ВБ Отчет Продажи (за 60 дней)'!$G:$G,$A35),0)</f>
        <v>0</v>
      </c>
      <c r="J35" s="136">
        <f>ROUNDUP(SUMIFS('ВБ Отчет Продажи (за 60 дней)'!$L:$L,'ВБ Отчет Продажи (за 60 дней)'!$K:$K,"Краснодар",'ВБ Отчет Продажи (за 60 дней)'!$G:$G,$A35),0)</f>
        <v>0</v>
      </c>
      <c r="K35" s="133">
        <f>ROUNDUP(SUMIFS('ВБ Отчет Продажи (за 60 дней)'!$L:$L,'ВБ Отчет Продажи (за 60 дней)'!$K:$K,"Невинномысск",'ВБ Отчет Продажи (за 60 дней)'!$G:$G,$A35),0)</f>
        <v>1</v>
      </c>
      <c r="L35" s="137">
        <f>ROUNDUP(SUMIFS('ВБ Отчет Продажи (за 60 дней)'!$L:$L,'ВБ Отчет Продажи (за 60 дней)'!$K:$K,"Волгоград",'ВБ Отчет Продажи (за 60 дней)'!$G:$G,$A35),0)</f>
        <v>0</v>
      </c>
      <c r="M35" s="136">
        <f>ROUNDUP(SUMIFS('ВБ Отчет Продажи (за 60 дней)'!$L:$L,'ВБ Отчет Продажи (за 60 дней)'!$K:$K,"Самара (Новосемейкино)",'ВБ Отчет Продажи (за 60 дней)'!$G:$G,$A35),0)</f>
        <v>0</v>
      </c>
      <c r="N35" s="137">
        <f>ROUNDUP(SUMIFS('ВБ Отчет Продажи (за 60 дней)'!$L:$L,'ВБ Отчет Продажи (за 60 дней)'!$K:$K,"Казань",'ВБ Отчет Продажи (за 60 дней)'!$G:$G,$A35),0)</f>
        <v>0</v>
      </c>
      <c r="O35" s="137">
        <f>ROUNDUP(SUMIFS('ВБ Отчет Продажи (за 60 дней)'!$L:$L,'ВБ Отчет Продажи (за 60 дней)'!$K:$K,"СПБ Шушары",'ВБ Отчет Продажи (за 60 дней)'!$G:$G,$A35),0)</f>
        <v>0</v>
      </c>
      <c r="P35" s="151">
        <f>ROUNDUP(SUMIFS('ВБ Отчет Продажи (за 60 дней)'!$L:$L,'ВБ Отчет Продажи (за 60 дней)'!$K:$K,"Екатеринбург - Перспективный 12",'ВБ Отчет Продажи (за 60 дней)'!$G:$G,$A35),0)</f>
        <v>0</v>
      </c>
      <c r="Q35" s="149">
        <f>ROUNDUP(SUMIFS('ВБ Отчет Продажи (за 60 дней)'!$L:$L,'ВБ Отчет Продажи (за 60 дней)'!$K:$K,"Новосибирск",'ВБ Отчет Продажи (за 60 дней)'!$G:$G,$A35),0)</f>
        <v>0</v>
      </c>
      <c r="R35" s="131">
        <f t="shared" ref="R35:R66" si="31">SUM(F35:Q35)</f>
        <v>9</v>
      </c>
      <c r="S35" s="139">
        <f>SUMIFS('ОЗОН Оборот ведом (за 60 дней)'!I:I,'ОЗОН Оборот ведом (за 60 дней)'!A:A,B35)</f>
        <v>10</v>
      </c>
      <c r="T35" s="140">
        <f t="shared" si="8"/>
        <v>19</v>
      </c>
      <c r="U35" s="6">
        <f>SUMIFS('ВБ Отчет Продажи (за 60 дней)'!$P:$P,'ВБ Отчет Продажи (за 60 дней)'!$K:$K,"Электросталь",'ВБ Отчет Продажи (за 60 дней)'!$G:$G,$A35)</f>
        <v>9</v>
      </c>
      <c r="V35" s="7">
        <f>SUMIFS('ВБ Отчет Продажи (за 60 дней)'!$P:$P,'ВБ Отчет Продажи (за 60 дней)'!$K:$K,"Коледино",'ВБ Отчет Продажи (за 60 дней)'!$G:$G,$A35)</f>
        <v>4</v>
      </c>
      <c r="W35" s="7">
        <f>SUMIFS('ВБ Отчет Продажи (за 60 дней)'!$P:$P,'ВБ Отчет Продажи (за 60 дней)'!$K:$K,"Тула",'ВБ Отчет Продажи (за 60 дней)'!$G:$G,$A35)</f>
        <v>0</v>
      </c>
      <c r="X35" s="7">
        <f>SUMIFS('ВБ Отчет Продажи (за 60 дней)'!$P:$P,'ВБ Отчет Продажи (за 60 дней)'!$K:$K,"Рязань (Тюшевское)",'ВБ Отчет Продажи (за 60 дней)'!$G:$G,$A35)</f>
        <v>19</v>
      </c>
      <c r="Y35" s="27">
        <f>SUMIFS('ВБ Отчет Продажи (за 60 дней)'!$P:$P,'ВБ Отчет Продажи (за 60 дней)'!$K:$K,"Краснодар",'ВБ Отчет Продажи (за 60 дней)'!$G:$G,$A35)</f>
        <v>19</v>
      </c>
      <c r="Z35" s="7">
        <f>SUMIFS('ВБ Отчет Продажи (за 60 дней)'!$P:$P,'ВБ Отчет Продажи (за 60 дней)'!$K:$K,"Невинномысск",'ВБ Отчет Продажи (за 60 дней)'!$G:$G,$A35)</f>
        <v>9</v>
      </c>
      <c r="AA35" s="104">
        <f>SUMIFS('ВБ Отчет Продажи (за 60 дней)'!$P:$P,'ВБ Отчет Продажи (за 60 дней)'!$K:$K,"Волгоград",'ВБ Отчет Продажи (за 60 дней)'!$G:$G,$A35)</f>
        <v>0</v>
      </c>
      <c r="AB35" s="27">
        <f>SUMIFS('ВБ Отчет Продажи (за 60 дней)'!$P:$P,'ВБ Отчет Продажи (за 60 дней)'!$K:$K,"Самара (Новосемейкино)",'ВБ Отчет Продажи (за 60 дней)'!$G:$G,$A35)</f>
        <v>9</v>
      </c>
      <c r="AC35" s="104">
        <f>SUMIFS('ВБ Отчет Продажи (за 60 дней)'!$P:$P,'ВБ Отчет Продажи (за 60 дней)'!$K:$K,"Казань",'ВБ Отчет Продажи (за 60 дней)'!$G:$G,$A35)</f>
        <v>2</v>
      </c>
      <c r="AD35" s="104">
        <f>SUMIFS('ВБ Отчет Продажи (за 60 дней)'!$P:$P,'ВБ Отчет Продажи (за 60 дней)'!$K:$K,"СПБ Шушары",'ВБ Отчет Продажи (за 60 дней)'!$G:$G,$A35)</f>
        <v>11</v>
      </c>
      <c r="AE35" s="153">
        <f>SUMIFS('ВБ Отчет Продажи (за 60 дней)'!$P:$P,'ВБ Отчет Продажи (за 60 дней)'!$K:$K,"Екатеринбург - Перспективный 12",'ВБ Отчет Продажи (за 60 дней)'!$G:$G,$A35)</f>
        <v>0</v>
      </c>
      <c r="AF35" s="102">
        <f>SUMIFS('ВБ Отчет Продажи (за 60 дней)'!$P:$P,'ВБ Отчет Продажи (за 60 дней)'!$K:$K,"Новосибирск",'ВБ Отчет Продажи (за 60 дней)'!$G:$G,$A35)</f>
        <v>0</v>
      </c>
      <c r="AG35" s="124">
        <f t="shared" si="9"/>
        <v>82</v>
      </c>
      <c r="AH35" s="7">
        <f t="shared" si="10"/>
        <v>546.66666666666663</v>
      </c>
      <c r="AI35" s="213">
        <f>SUMIFS('ОЗОН Оборот ведом (за 60 дней)'!J:J,'ОЗОН Оборот ведом (за 60 дней)'!A:A,B35)</f>
        <v>11</v>
      </c>
      <c r="AJ35" s="21">
        <f t="shared" si="11"/>
        <v>93</v>
      </c>
      <c r="AK35" s="7" cm="1">
        <f t="array" ref="AK35">IFERROR(_xlfn.IFS((F35-U35)&gt;0,F35/$R$1*$AY$1-U35,F35+U35=0,"нов"),0)</f>
        <v>0</v>
      </c>
      <c r="AL35" s="7" cm="1">
        <f t="array" ref="AL35">IFERROR(_xlfn.IFS((G35-V35)&gt;0,G35/$R$1*$AY$1-V35,G35+V35=0,"нов"),0)</f>
        <v>2</v>
      </c>
      <c r="AM35" s="7" cm="1">
        <f t="array" ref="AM35">IFERROR(_xlfn.IFS((H35-W35)&gt;0,H35/$R$1*$AY$1-W35,H35+W35=0,"нов"),0)</f>
        <v>1</v>
      </c>
      <c r="AN35" s="7" cm="1">
        <f t="array" ref="AN35">IFERROR(_xlfn.IFS((I35-X35)&gt;0,I35/$R$1*$AY$1-X35,I35+X35=0,"нов"),0)</f>
        <v>0</v>
      </c>
      <c r="AO35" s="27" cm="1">
        <f t="array" ref="AO35">IFERROR(_xlfn.IFS((J35-Y35)&gt;0,J35/$R$1*$AY$1-Y35,J35+Y35=0,"нов"),0)</f>
        <v>0</v>
      </c>
      <c r="AP35" s="7" cm="1">
        <f t="array" ref="AP35">IFERROR(_xlfn.IFS((K35-Z35)&gt;0,K35/$R$1*$AY$1-Z35,K35+Z35=0,"нов"),0)</f>
        <v>0</v>
      </c>
      <c r="AQ35" s="104" t="str" cm="1">
        <f t="array" ref="AQ35">IFERROR(_xlfn.IFS((L35-AA35)&gt;0,L35/$R$1*$AY$1-AA35,L35+AA35=0,"нов"),0)</f>
        <v>нов</v>
      </c>
      <c r="AR35" s="27" cm="1">
        <f t="array" ref="AR35">IFERROR(_xlfn.IFS((M35-AB35)&gt;0,M35/$R$1*$AY$1-AB35,M35+AB35=0,"нов"),0)</f>
        <v>0</v>
      </c>
      <c r="AS35" s="104" cm="1">
        <f t="array" ref="AS35">IFERROR(_xlfn.IFS((N35-AC35)&gt;0,N35/$R$1*$AY$1-AC35,N35+AC35=0,"нов"),0)</f>
        <v>0</v>
      </c>
      <c r="AT35" s="104" cm="1">
        <f t="array" ref="AT35">IFERROR(_xlfn.IFS((O35-AD35)&gt;0,O35/$R$1*$AY$1-AD35,O35+AD35=0,"нов"),0)</f>
        <v>0</v>
      </c>
      <c r="AU35" s="7" t="str" cm="1">
        <f t="array" ref="AU35">IFERROR(_xlfn.IFS((P35-AE35)&gt;0,P35/$R$1*$AY$1-AE35,P35+AE35=0,"нов"),0)</f>
        <v>нов</v>
      </c>
      <c r="AV35" s="7" t="str" cm="1">
        <f t="array" ref="AV35">IFERROR(_xlfn.IFS((Q35-AF35)&gt;0,Q35/$R$1*$AY$1-AF35,Q35+AF35=0,"нов"),0)</f>
        <v>нов</v>
      </c>
      <c r="AW35" s="141">
        <f t="shared" si="12"/>
        <v>3</v>
      </c>
      <c r="AX35" s="218">
        <f>SUMIF('ОЗОН Доступн товара'!D:D,_xlfn.XLOOKUP($B35,'ОЗОН Доступн товара'!$A:$A,'ОЗОН Доступн товара'!$D:$D,0))</f>
        <v>24</v>
      </c>
      <c r="AY35" s="226">
        <f t="shared" si="13"/>
        <v>27</v>
      </c>
      <c r="AZ35" s="7">
        <f t="shared" si="14"/>
        <v>0</v>
      </c>
      <c r="BA35" s="7">
        <f t="shared" si="15"/>
        <v>3</v>
      </c>
      <c r="BB35" s="7">
        <f t="shared" si="16"/>
        <v>2</v>
      </c>
      <c r="BC35" s="7">
        <f t="shared" si="17"/>
        <v>0</v>
      </c>
      <c r="BD35" s="27">
        <f t="shared" si="18"/>
        <v>0</v>
      </c>
      <c r="BE35" s="7">
        <f t="shared" si="19"/>
        <v>0</v>
      </c>
      <c r="BF35" s="104" t="str">
        <f t="shared" si="20"/>
        <v>нов</v>
      </c>
      <c r="BG35" s="27">
        <f t="shared" si="21"/>
        <v>0</v>
      </c>
      <c r="BH35" s="104">
        <f t="shared" si="22"/>
        <v>0</v>
      </c>
      <c r="BI35" s="7">
        <f t="shared" si="23"/>
        <v>0</v>
      </c>
      <c r="BJ35" s="153" t="str">
        <f t="shared" si="24"/>
        <v>нов</v>
      </c>
      <c r="BK35" s="7" t="str">
        <f t="shared" si="25"/>
        <v>нов</v>
      </c>
      <c r="BL35" s="6">
        <f t="shared" si="26"/>
        <v>5</v>
      </c>
      <c r="BM35" s="6">
        <f t="shared" si="27"/>
        <v>31.200000000000003</v>
      </c>
      <c r="BN35" s="28">
        <f t="shared" si="28"/>
        <v>36.200000000000003</v>
      </c>
      <c r="BO35" s="73">
        <f>IFERROR(_xlfn.XLOOKUP(A35,'[2] Расчет стоимости и веса'!$I:$I,'[2] Расчет стоимости и веса'!$D:$D),0)</f>
        <v>30</v>
      </c>
      <c r="BP35" s="227">
        <f t="shared" si="29"/>
        <v>30</v>
      </c>
      <c r="BQ35" s="8"/>
      <c r="BR35" s="155">
        <v>10</v>
      </c>
      <c r="BS35" s="12"/>
      <c r="BT35" s="12"/>
      <c r="BU35" s="229"/>
      <c r="BV35" s="12"/>
      <c r="BW35" s="12"/>
      <c r="BY35" s="231"/>
      <c r="BZ35" s="232"/>
      <c r="CA35" s="155"/>
      <c r="CB35" s="157">
        <v>20</v>
      </c>
      <c r="CC35" s="57"/>
      <c r="CD35" s="12"/>
      <c r="CE35" s="146">
        <f t="shared" si="5"/>
        <v>30</v>
      </c>
      <c r="CF35" s="69">
        <f t="shared" si="6"/>
        <v>30</v>
      </c>
      <c r="CG35" s="45">
        <f t="shared" si="7"/>
        <v>0</v>
      </c>
    </row>
    <row r="36" spans="1:85" ht="14.1" customHeight="1">
      <c r="A36" s="91">
        <f>[1]Юнит!A38</f>
        <v>419146579</v>
      </c>
      <c r="B36" s="92">
        <f>[1]Юнит!B38</f>
        <v>2415742565</v>
      </c>
      <c r="C36" s="91" t="str">
        <f>[1]Юнит!C38</f>
        <v>ACRB1MS109LI</v>
      </c>
      <c r="D36" s="236" t="str">
        <f>[1]Юнит!D38</f>
        <v>Мяч с шипами фиолетовый 9 см</v>
      </c>
      <c r="E36" s="90">
        <f>[1]Юнит!E38</f>
        <v>2044025354937</v>
      </c>
      <c r="F36" s="132">
        <f>ROUNDUP(SUMIFS('ВБ Отчет Продажи (за 60 дней)'!$L:$L,'ВБ Отчет Продажи (за 60 дней)'!$K:$K,"Электросталь",'ВБ Отчет Продажи (за 60 дней)'!$G:$G,$A36),0)</f>
        <v>1</v>
      </c>
      <c r="G36" s="133">
        <f>ROUNDUP(SUMIFS('ВБ Отчет Продажи (за 60 дней)'!$L:$L,'ВБ Отчет Продажи (за 60 дней)'!$K:$K,"Коледино",'ВБ Отчет Продажи (за 60 дней)'!$G:$G,$A36),0)</f>
        <v>2</v>
      </c>
      <c r="H36" s="133">
        <f>ROUNDUP(SUMIFS('ВБ Отчет Продажи (за 60 дней)'!$L:$L,'ВБ Отчет Продажи (за 60 дней)'!$K:$K,"Тула",'ВБ Отчет Продажи (за 60 дней)'!$G:$G,$A36),0)</f>
        <v>4</v>
      </c>
      <c r="I36" s="134">
        <f>ROUNDUP(SUMIFS('ВБ Отчет Продажи (за 60 дней)'!$L:$L,'ВБ Отчет Продажи (за 60 дней)'!$K:$K,"Рязань (Тюшевское)",'ВБ Отчет Продажи (за 60 дней)'!$G:$G,$A36),0)</f>
        <v>0</v>
      </c>
      <c r="J36" s="136">
        <f>ROUNDUP(SUMIFS('ВБ Отчет Продажи (за 60 дней)'!$L:$L,'ВБ Отчет Продажи (за 60 дней)'!$K:$K,"Краснодар",'ВБ Отчет Продажи (за 60 дней)'!$G:$G,$A36),0)</f>
        <v>0</v>
      </c>
      <c r="K36" s="133">
        <f>ROUNDUP(SUMIFS('ВБ Отчет Продажи (за 60 дней)'!$L:$L,'ВБ Отчет Продажи (за 60 дней)'!$K:$K,"Невинномысск",'ВБ Отчет Продажи (за 60 дней)'!$G:$G,$A36),0)</f>
        <v>1</v>
      </c>
      <c r="L36" s="137">
        <f>ROUNDUP(SUMIFS('ВБ Отчет Продажи (за 60 дней)'!$L:$L,'ВБ Отчет Продажи (за 60 дней)'!$K:$K,"Волгоград",'ВБ Отчет Продажи (за 60 дней)'!$G:$G,$A36),0)</f>
        <v>0</v>
      </c>
      <c r="M36" s="136">
        <f>ROUNDUP(SUMIFS('ВБ Отчет Продажи (за 60 дней)'!$L:$L,'ВБ Отчет Продажи (за 60 дней)'!$K:$K,"Самара (Новосемейкино)",'ВБ Отчет Продажи (за 60 дней)'!$G:$G,$A36),0)</f>
        <v>1</v>
      </c>
      <c r="N36" s="137">
        <f>ROUNDUP(SUMIFS('ВБ Отчет Продажи (за 60 дней)'!$L:$L,'ВБ Отчет Продажи (за 60 дней)'!$K:$K,"Казань",'ВБ Отчет Продажи (за 60 дней)'!$G:$G,$A36),0)</f>
        <v>0</v>
      </c>
      <c r="O36" s="137">
        <f>ROUNDUP(SUMIFS('ВБ Отчет Продажи (за 60 дней)'!$L:$L,'ВБ Отчет Продажи (за 60 дней)'!$K:$K,"СПБ Шушары",'ВБ Отчет Продажи (за 60 дней)'!$G:$G,$A36),0)</f>
        <v>3</v>
      </c>
      <c r="P36" s="151">
        <f>ROUNDUP(SUMIFS('ВБ Отчет Продажи (за 60 дней)'!$L:$L,'ВБ Отчет Продажи (за 60 дней)'!$K:$K,"Екатеринбург - Перспективный 12",'ВБ Отчет Продажи (за 60 дней)'!$G:$G,$A36),0)</f>
        <v>0</v>
      </c>
      <c r="Q36" s="149">
        <f>ROUNDUP(SUMIFS('ВБ Отчет Продажи (за 60 дней)'!$L:$L,'ВБ Отчет Продажи (за 60 дней)'!$K:$K,"Новосибирск",'ВБ Отчет Продажи (за 60 дней)'!$G:$G,$A36),0)</f>
        <v>0</v>
      </c>
      <c r="R36" s="131">
        <f t="shared" si="31"/>
        <v>12</v>
      </c>
      <c r="S36" s="139">
        <f>SUMIFS('ОЗОН Оборот ведом (за 60 дней)'!I:I,'ОЗОН Оборот ведом (за 60 дней)'!A:A,B36)</f>
        <v>2</v>
      </c>
      <c r="T36" s="140">
        <f t="shared" si="8"/>
        <v>14</v>
      </c>
      <c r="U36" s="6">
        <f>SUMIFS('ВБ Отчет Продажи (за 60 дней)'!$P:$P,'ВБ Отчет Продажи (за 60 дней)'!$K:$K,"Электросталь",'ВБ Отчет Продажи (за 60 дней)'!$G:$G,$A36)</f>
        <v>0</v>
      </c>
      <c r="V36" s="7">
        <f>SUMIFS('ВБ Отчет Продажи (за 60 дней)'!$P:$P,'ВБ Отчет Продажи (за 60 дней)'!$K:$K,"Коледино",'ВБ Отчет Продажи (за 60 дней)'!$G:$G,$A36)</f>
        <v>0</v>
      </c>
      <c r="W36" s="7">
        <f>SUMIFS('ВБ Отчет Продажи (за 60 дней)'!$P:$P,'ВБ Отчет Продажи (за 60 дней)'!$K:$K,"Тула",'ВБ Отчет Продажи (за 60 дней)'!$G:$G,$A36)</f>
        <v>1</v>
      </c>
      <c r="X36" s="7">
        <f>SUMIFS('ВБ Отчет Продажи (за 60 дней)'!$P:$P,'ВБ Отчет Продажи (за 60 дней)'!$K:$K,"Рязань (Тюшевское)",'ВБ Отчет Продажи (за 60 дней)'!$G:$G,$A36)</f>
        <v>2</v>
      </c>
      <c r="Y36" s="27">
        <f>SUMIFS('ВБ Отчет Продажи (за 60 дней)'!$P:$P,'ВБ Отчет Продажи (за 60 дней)'!$K:$K,"Краснодар",'ВБ Отчет Продажи (за 60 дней)'!$G:$G,$A36)</f>
        <v>15</v>
      </c>
      <c r="Z36" s="7">
        <f>SUMIFS('ВБ Отчет Продажи (за 60 дней)'!$P:$P,'ВБ Отчет Продажи (за 60 дней)'!$K:$K,"Невинномысск",'ВБ Отчет Продажи (за 60 дней)'!$G:$G,$A36)</f>
        <v>13</v>
      </c>
      <c r="AA36" s="104">
        <f>SUMIFS('ВБ Отчет Продажи (за 60 дней)'!$P:$P,'ВБ Отчет Продажи (за 60 дней)'!$K:$K,"Волгоград",'ВБ Отчет Продажи (за 60 дней)'!$G:$G,$A36)</f>
        <v>0</v>
      </c>
      <c r="AB36" s="27">
        <f>SUMIFS('ВБ Отчет Продажи (за 60 дней)'!$P:$P,'ВБ Отчет Продажи (за 60 дней)'!$K:$K,"Самара (Новосемейкино)",'ВБ Отчет Продажи (за 60 дней)'!$G:$G,$A36)</f>
        <v>1</v>
      </c>
      <c r="AC36" s="104">
        <f>SUMIFS('ВБ Отчет Продажи (за 60 дней)'!$P:$P,'ВБ Отчет Продажи (за 60 дней)'!$K:$K,"Казань",'ВБ Отчет Продажи (за 60 дней)'!$G:$G,$A36)</f>
        <v>0</v>
      </c>
      <c r="AD36" s="104">
        <f>SUMIFS('ВБ Отчет Продажи (за 60 дней)'!$P:$P,'ВБ Отчет Продажи (за 60 дней)'!$K:$K,"СПБ Шушары",'ВБ Отчет Продажи (за 60 дней)'!$G:$G,$A36)</f>
        <v>6</v>
      </c>
      <c r="AE36" s="153">
        <f>SUMIFS('ВБ Отчет Продажи (за 60 дней)'!$P:$P,'ВБ Отчет Продажи (за 60 дней)'!$K:$K,"Екатеринбург - Перспективный 12",'ВБ Отчет Продажи (за 60 дней)'!$G:$G,$A36)</f>
        <v>0</v>
      </c>
      <c r="AF36" s="102">
        <f>SUMIFS('ВБ Отчет Продажи (за 60 дней)'!$P:$P,'ВБ Отчет Продажи (за 60 дней)'!$K:$K,"Новосибирск",'ВБ Отчет Продажи (за 60 дней)'!$G:$G,$A36)</f>
        <v>0</v>
      </c>
      <c r="AG36" s="124">
        <f t="shared" si="9"/>
        <v>38</v>
      </c>
      <c r="AH36" s="7">
        <f t="shared" si="10"/>
        <v>190</v>
      </c>
      <c r="AI36" s="213">
        <f>SUMIFS('ОЗОН Оборот ведом (за 60 дней)'!J:J,'ОЗОН Оборот ведом (за 60 дней)'!A:A,B36)</f>
        <v>9</v>
      </c>
      <c r="AJ36" s="21">
        <f t="shared" si="11"/>
        <v>47</v>
      </c>
      <c r="AK36" s="7" cm="1">
        <f t="array" ref="AK36">IFERROR(_xlfn.IFS((F36-U36)&gt;0,F36/$R$1*$AY$1-U36,F36+U36=0,"нов"),0)</f>
        <v>1</v>
      </c>
      <c r="AL36" s="7" cm="1">
        <f t="array" ref="AL36">IFERROR(_xlfn.IFS((G36-V36)&gt;0,G36/$R$1*$AY$1-V36,G36+V36=0,"нов"),0)</f>
        <v>2</v>
      </c>
      <c r="AM36" s="7" cm="1">
        <f t="array" ref="AM36">IFERROR(_xlfn.IFS((H36-W36)&gt;0,H36/$R$1*$AY$1-W36,H36+W36=0,"нов"),0)</f>
        <v>3</v>
      </c>
      <c r="AN36" s="7" cm="1">
        <f t="array" ref="AN36">IFERROR(_xlfn.IFS((I36-X36)&gt;0,I36/$R$1*$AY$1-X36,I36+X36=0,"нов"),0)</f>
        <v>0</v>
      </c>
      <c r="AO36" s="27" cm="1">
        <f t="array" ref="AO36">IFERROR(_xlfn.IFS((J36-Y36)&gt;0,J36/$R$1*$AY$1-Y36,J36+Y36=0,"нов"),0)</f>
        <v>0</v>
      </c>
      <c r="AP36" s="7" cm="1">
        <f t="array" ref="AP36">IFERROR(_xlfn.IFS((K36-Z36)&gt;0,K36/$R$1*$AY$1-Z36,K36+Z36=0,"нов"),0)</f>
        <v>0</v>
      </c>
      <c r="AQ36" s="104" t="str" cm="1">
        <f t="array" ref="AQ36">IFERROR(_xlfn.IFS((L36-AA36)&gt;0,L36/$R$1*$AY$1-AA36,L36+AA36=0,"нов"),0)</f>
        <v>нов</v>
      </c>
      <c r="AR36" s="27" cm="1">
        <f t="array" ref="AR36">IFERROR(_xlfn.IFS((M36-AB36)&gt;0,M36/$R$1*$AY$1-AB36,M36+AB36=0,"нов"),0)</f>
        <v>0</v>
      </c>
      <c r="AS36" s="104" t="str" cm="1">
        <f t="array" ref="AS36">IFERROR(_xlfn.IFS((N36-AC36)&gt;0,N36/$R$1*$AY$1-AC36,N36+AC36=0,"нов"),0)</f>
        <v>нов</v>
      </c>
      <c r="AT36" s="104" cm="1">
        <f t="array" ref="AT36">IFERROR(_xlfn.IFS((O36-AD36)&gt;0,O36/$R$1*$AY$1-AD36,O36+AD36=0,"нов"),0)</f>
        <v>0</v>
      </c>
      <c r="AU36" s="7" t="str" cm="1">
        <f t="array" ref="AU36">IFERROR(_xlfn.IFS((P36-AE36)&gt;0,P36/$R$1*$AY$1-AE36,P36+AE36=0,"нов"),0)</f>
        <v>нов</v>
      </c>
      <c r="AV36" s="7" t="str" cm="1">
        <f t="array" ref="AV36">IFERROR(_xlfn.IFS((Q36-AF36)&gt;0,Q36/$R$1*$AY$1-AF36,Q36+AF36=0,"нов"),0)</f>
        <v>нов</v>
      </c>
      <c r="AW36" s="141">
        <f t="shared" si="12"/>
        <v>6</v>
      </c>
      <c r="AX36" s="218">
        <f>SUMIF('ОЗОН Доступн товара'!D:D,_xlfn.XLOOKUP($B36,'ОЗОН Доступн товара'!$A:$A,'ОЗОН Доступн товара'!$D:$D,0))</f>
        <v>0</v>
      </c>
      <c r="AY36" s="226">
        <f t="shared" si="13"/>
        <v>6</v>
      </c>
      <c r="AZ36" s="7">
        <f t="shared" si="14"/>
        <v>2</v>
      </c>
      <c r="BA36" s="7">
        <f t="shared" si="15"/>
        <v>3</v>
      </c>
      <c r="BB36" s="7">
        <f t="shared" si="16"/>
        <v>4</v>
      </c>
      <c r="BC36" s="7">
        <f t="shared" si="17"/>
        <v>0</v>
      </c>
      <c r="BD36" s="27">
        <f t="shared" si="18"/>
        <v>0</v>
      </c>
      <c r="BE36" s="7">
        <f t="shared" si="19"/>
        <v>0</v>
      </c>
      <c r="BF36" s="104" t="str">
        <f t="shared" si="20"/>
        <v>нов</v>
      </c>
      <c r="BG36" s="27">
        <f t="shared" si="21"/>
        <v>0</v>
      </c>
      <c r="BH36" s="104" t="str">
        <f t="shared" si="22"/>
        <v>нов</v>
      </c>
      <c r="BI36" s="7">
        <f t="shared" si="23"/>
        <v>0</v>
      </c>
      <c r="BJ36" s="153" t="str">
        <f t="shared" si="24"/>
        <v>нов</v>
      </c>
      <c r="BK36" s="7" t="str">
        <f t="shared" si="25"/>
        <v>нов</v>
      </c>
      <c r="BL36" s="6">
        <f t="shared" si="26"/>
        <v>9</v>
      </c>
      <c r="BM36" s="6">
        <f t="shared" si="27"/>
        <v>0</v>
      </c>
      <c r="BN36" s="28">
        <f t="shared" si="28"/>
        <v>9</v>
      </c>
      <c r="BO36" s="73">
        <f>IFERROR(_xlfn.XLOOKUP(A36,'[2] Расчет стоимости и веса'!$I:$I,'[2] Расчет стоимости и веса'!$D:$D),0)</f>
        <v>80</v>
      </c>
      <c r="BP36" s="227">
        <f t="shared" si="29"/>
        <v>80</v>
      </c>
      <c r="BQ36" s="8"/>
      <c r="BR36" s="155">
        <v>25</v>
      </c>
      <c r="BS36" s="12"/>
      <c r="BT36" s="12"/>
      <c r="BU36" s="229"/>
      <c r="BV36" s="12"/>
      <c r="BW36" s="12"/>
      <c r="BY36" s="231">
        <v>20</v>
      </c>
      <c r="BZ36" s="232"/>
      <c r="CA36" s="155">
        <v>15</v>
      </c>
      <c r="CB36" s="157">
        <v>20</v>
      </c>
      <c r="CC36" s="57"/>
      <c r="CD36" s="12"/>
      <c r="CE36" s="146">
        <f t="shared" si="5"/>
        <v>80</v>
      </c>
      <c r="CF36" s="69">
        <f t="shared" si="6"/>
        <v>80</v>
      </c>
      <c r="CG36" s="45">
        <f t="shared" si="7"/>
        <v>0</v>
      </c>
    </row>
    <row r="37" spans="1:85" ht="14.1" hidden="1" customHeight="1">
      <c r="A37" s="240">
        <f>[1]Юнит!A39</f>
        <v>340734340</v>
      </c>
      <c r="B37" s="241">
        <f>[1]Юнит!B39</f>
        <v>2415742594</v>
      </c>
      <c r="C37" s="240" t="str">
        <f>[1]Юнит!C39</f>
        <v>ACRB1MS103PN</v>
      </c>
      <c r="D37" s="90" t="str">
        <f>[1]Юнит!D39</f>
        <v>Мяч гладкий розовый</v>
      </c>
      <c r="E37" s="90">
        <f>[1]Юнит!E39</f>
        <v>2042985583893</v>
      </c>
      <c r="F37" s="132">
        <f>ROUNDUP(SUMIFS('ВБ Отчет Продажи (за 60 дней)'!$L:$L,'ВБ Отчет Продажи (за 60 дней)'!$K:$K,"Электросталь",'ВБ Отчет Продажи (за 60 дней)'!$G:$G,$A37),0)</f>
        <v>0</v>
      </c>
      <c r="G37" s="133">
        <f>ROUNDUP(SUMIFS('ВБ Отчет Продажи (за 60 дней)'!$L:$L,'ВБ Отчет Продажи (за 60 дней)'!$K:$K,"Коледино",'ВБ Отчет Продажи (за 60 дней)'!$G:$G,$A37),0)</f>
        <v>0</v>
      </c>
      <c r="H37" s="133">
        <f>ROUNDUP(SUMIFS('ВБ Отчет Продажи (за 60 дней)'!$L:$L,'ВБ Отчет Продажи (за 60 дней)'!$K:$K,"Тула",'ВБ Отчет Продажи (за 60 дней)'!$G:$G,$A37),0)</f>
        <v>1</v>
      </c>
      <c r="I37" s="134">
        <f>ROUNDUP(SUMIFS('ВБ Отчет Продажи (за 60 дней)'!$L:$L,'ВБ Отчет Продажи (за 60 дней)'!$K:$K,"Рязань (Тюшевское)",'ВБ Отчет Продажи (за 60 дней)'!$G:$G,$A37),0)</f>
        <v>0</v>
      </c>
      <c r="J37" s="136">
        <f>ROUNDUP(SUMIFS('ВБ Отчет Продажи (за 60 дней)'!$L:$L,'ВБ Отчет Продажи (за 60 дней)'!$K:$K,"Краснодар",'ВБ Отчет Продажи (за 60 дней)'!$G:$G,$A37),0)</f>
        <v>0</v>
      </c>
      <c r="K37" s="133">
        <f>ROUNDUP(SUMIFS('ВБ Отчет Продажи (за 60 дней)'!$L:$L,'ВБ Отчет Продажи (за 60 дней)'!$K:$K,"Невинномысск",'ВБ Отчет Продажи (за 60 дней)'!$G:$G,$A37),0)</f>
        <v>0</v>
      </c>
      <c r="L37" s="137">
        <f>ROUNDUP(SUMIFS('ВБ Отчет Продажи (за 60 дней)'!$L:$L,'ВБ Отчет Продажи (за 60 дней)'!$K:$K,"Волгоград",'ВБ Отчет Продажи (за 60 дней)'!$G:$G,$A37),0)</f>
        <v>0</v>
      </c>
      <c r="M37" s="136">
        <f>ROUNDUP(SUMIFS('ВБ Отчет Продажи (за 60 дней)'!$L:$L,'ВБ Отчет Продажи (за 60 дней)'!$K:$K,"Самара (Новосемейкино)",'ВБ Отчет Продажи (за 60 дней)'!$G:$G,$A37),0)</f>
        <v>0</v>
      </c>
      <c r="N37" s="137">
        <f>ROUNDUP(SUMIFS('ВБ Отчет Продажи (за 60 дней)'!$L:$L,'ВБ Отчет Продажи (за 60 дней)'!$K:$K,"Казань",'ВБ Отчет Продажи (за 60 дней)'!$G:$G,$A37),0)</f>
        <v>1</v>
      </c>
      <c r="O37" s="137">
        <f>ROUNDUP(SUMIFS('ВБ Отчет Продажи (за 60 дней)'!$L:$L,'ВБ Отчет Продажи (за 60 дней)'!$K:$K,"СПБ Шушары",'ВБ Отчет Продажи (за 60 дней)'!$G:$G,$A37),0)</f>
        <v>7</v>
      </c>
      <c r="P37" s="151">
        <f>ROUNDUP(SUMIFS('ВБ Отчет Продажи (за 60 дней)'!$L:$L,'ВБ Отчет Продажи (за 60 дней)'!$K:$K,"Екатеринбург - Перспективный 12",'ВБ Отчет Продажи (за 60 дней)'!$G:$G,$A37),0)</f>
        <v>0</v>
      </c>
      <c r="Q37" s="149">
        <f>ROUNDUP(SUMIFS('ВБ Отчет Продажи (за 60 дней)'!$L:$L,'ВБ Отчет Продажи (за 60 дней)'!$K:$K,"Новосибирск",'ВБ Отчет Продажи (за 60 дней)'!$G:$G,$A37),0)</f>
        <v>0</v>
      </c>
      <c r="R37" s="131">
        <f t="shared" si="31"/>
        <v>9</v>
      </c>
      <c r="S37" s="139">
        <f>SUMIFS('ОЗОН Оборот ведом (за 60 дней)'!I:I,'ОЗОН Оборот ведом (за 60 дней)'!A:A,B37)</f>
        <v>0</v>
      </c>
      <c r="T37" s="140">
        <f t="shared" si="8"/>
        <v>9</v>
      </c>
      <c r="U37" s="6">
        <f>SUMIFS('ВБ Отчет Продажи (за 60 дней)'!$P:$P,'ВБ Отчет Продажи (за 60 дней)'!$K:$K,"Электросталь",'ВБ Отчет Продажи (за 60 дней)'!$G:$G,$A37)</f>
        <v>0</v>
      </c>
      <c r="V37" s="7">
        <f>SUMIFS('ВБ Отчет Продажи (за 60 дней)'!$P:$P,'ВБ Отчет Продажи (за 60 дней)'!$K:$K,"Коледино",'ВБ Отчет Продажи (за 60 дней)'!$G:$G,$A37)</f>
        <v>0</v>
      </c>
      <c r="W37" s="7">
        <f>SUMIFS('ВБ Отчет Продажи (за 60 дней)'!$P:$P,'ВБ Отчет Продажи (за 60 дней)'!$K:$K,"Тула",'ВБ Отчет Продажи (за 60 дней)'!$G:$G,$A37)</f>
        <v>0</v>
      </c>
      <c r="X37" s="7">
        <f>SUMIFS('ВБ Отчет Продажи (за 60 дней)'!$P:$P,'ВБ Отчет Продажи (за 60 дней)'!$K:$K,"Рязань (Тюшевское)",'ВБ Отчет Продажи (за 60 дней)'!$G:$G,$A37)</f>
        <v>1</v>
      </c>
      <c r="Y37" s="27">
        <f>SUMIFS('ВБ Отчет Продажи (за 60 дней)'!$P:$P,'ВБ Отчет Продажи (за 60 дней)'!$K:$K,"Краснодар",'ВБ Отчет Продажи (за 60 дней)'!$G:$G,$A37)</f>
        <v>0</v>
      </c>
      <c r="Z37" s="7">
        <f>SUMIFS('ВБ Отчет Продажи (за 60 дней)'!$P:$P,'ВБ Отчет Продажи (за 60 дней)'!$K:$K,"Невинномысск",'ВБ Отчет Продажи (за 60 дней)'!$G:$G,$A37)</f>
        <v>1</v>
      </c>
      <c r="AA37" s="104">
        <f>SUMIFS('ВБ Отчет Продажи (за 60 дней)'!$P:$P,'ВБ Отчет Продажи (за 60 дней)'!$K:$K,"Волгоград",'ВБ Отчет Продажи (за 60 дней)'!$G:$G,$A37)</f>
        <v>0</v>
      </c>
      <c r="AB37" s="27">
        <f>SUMIFS('ВБ Отчет Продажи (за 60 дней)'!$P:$P,'ВБ Отчет Продажи (за 60 дней)'!$K:$K,"Самара (Новосемейкино)",'ВБ Отчет Продажи (за 60 дней)'!$G:$G,$A37)</f>
        <v>0</v>
      </c>
      <c r="AC37" s="104">
        <f>SUMIFS('ВБ Отчет Продажи (за 60 дней)'!$P:$P,'ВБ Отчет Продажи (за 60 дней)'!$K:$K,"Казань",'ВБ Отчет Продажи (за 60 дней)'!$G:$G,$A37)</f>
        <v>0</v>
      </c>
      <c r="AD37" s="104">
        <f>SUMIFS('ВБ Отчет Продажи (за 60 дней)'!$P:$P,'ВБ Отчет Продажи (за 60 дней)'!$K:$K,"СПБ Шушары",'ВБ Отчет Продажи (за 60 дней)'!$G:$G,$A37)</f>
        <v>3</v>
      </c>
      <c r="AE37" s="153">
        <f>SUMIFS('ВБ Отчет Продажи (за 60 дней)'!$P:$P,'ВБ Отчет Продажи (за 60 дней)'!$K:$K,"Екатеринбург - Перспективный 12",'ВБ Отчет Продажи (за 60 дней)'!$G:$G,$A37)</f>
        <v>0</v>
      </c>
      <c r="AF37" s="102">
        <f>SUMIFS('ВБ Отчет Продажи (за 60 дней)'!$P:$P,'ВБ Отчет Продажи (за 60 дней)'!$K:$K,"Новосибирск",'ВБ Отчет Продажи (за 60 дней)'!$G:$G,$A37)</f>
        <v>0</v>
      </c>
      <c r="AG37" s="124">
        <f t="shared" si="9"/>
        <v>5</v>
      </c>
      <c r="AH37" s="7">
        <f t="shared" si="10"/>
        <v>33.333333333333336</v>
      </c>
      <c r="AI37" s="213">
        <f>SUMIFS('ОЗОН Оборот ведом (за 60 дней)'!J:J,'ОЗОН Оборот ведом (за 60 дней)'!A:A,B37)</f>
        <v>0</v>
      </c>
      <c r="AJ37" s="21">
        <f t="shared" si="11"/>
        <v>5</v>
      </c>
      <c r="AK37" s="7" t="str" cm="1">
        <f t="array" ref="AK37">IFERROR(_xlfn.IFS((F37-U37)&gt;0,F37/$R$1*$AY$1-U37,F37+U37=0,"нов"),0)</f>
        <v>нов</v>
      </c>
      <c r="AL37" s="7" t="str" cm="1">
        <f t="array" ref="AL37">IFERROR(_xlfn.IFS((G37-V37)&gt;0,G37/$R$1*$AY$1-V37,G37+V37=0,"нов"),0)</f>
        <v>нов</v>
      </c>
      <c r="AM37" s="7" cm="1">
        <f t="array" ref="AM37">IFERROR(_xlfn.IFS((H37-W37)&gt;0,H37/$R$1*$AY$1-W37,H37+W37=0,"нов"),0)</f>
        <v>1</v>
      </c>
      <c r="AN37" s="7" cm="1">
        <f t="array" ref="AN37">IFERROR(_xlfn.IFS((I37-X37)&gt;0,I37/$R$1*$AY$1-X37,I37+X37=0,"нов"),0)</f>
        <v>0</v>
      </c>
      <c r="AO37" s="27" t="str" cm="1">
        <f t="array" ref="AO37">IFERROR(_xlfn.IFS((J37-Y37)&gt;0,J37/$R$1*$AY$1-Y37,J37+Y37=0,"нов"),0)</f>
        <v>нов</v>
      </c>
      <c r="AP37" s="7" cm="1">
        <f t="array" ref="AP37">IFERROR(_xlfn.IFS((K37-Z37)&gt;0,K37/$R$1*$AY$1-Z37,K37+Z37=0,"нов"),0)</f>
        <v>0</v>
      </c>
      <c r="AQ37" s="104" t="str" cm="1">
        <f t="array" ref="AQ37">IFERROR(_xlfn.IFS((L37-AA37)&gt;0,L37/$R$1*$AY$1-AA37,L37+AA37=0,"нов"),0)</f>
        <v>нов</v>
      </c>
      <c r="AR37" s="27" t="str" cm="1">
        <f t="array" ref="AR37">IFERROR(_xlfn.IFS((M37-AB37)&gt;0,M37/$R$1*$AY$1-AB37,M37+AB37=0,"нов"),0)</f>
        <v>нов</v>
      </c>
      <c r="AS37" s="104" cm="1">
        <f t="array" ref="AS37">IFERROR(_xlfn.IFS((N37-AC37)&gt;0,N37/$R$1*$AY$1-AC37,N37+AC37=0,"нов"),0)</f>
        <v>1</v>
      </c>
      <c r="AT37" s="104" cm="1">
        <f t="array" ref="AT37">IFERROR(_xlfn.IFS((O37-AD37)&gt;0,O37/$R$1*$AY$1-AD37,O37+AD37=0,"нов"),0)</f>
        <v>4</v>
      </c>
      <c r="AU37" s="7" t="str" cm="1">
        <f t="array" ref="AU37">IFERROR(_xlfn.IFS((P37-AE37)&gt;0,P37/$R$1*$AY$1-AE37,P37+AE37=0,"нов"),0)</f>
        <v>нов</v>
      </c>
      <c r="AV37" s="7" t="str" cm="1">
        <f t="array" ref="AV37">IFERROR(_xlfn.IFS((Q37-AF37)&gt;0,Q37/$R$1*$AY$1-AF37,Q37+AF37=0,"нов"),0)</f>
        <v>нов</v>
      </c>
      <c r="AW37" s="141">
        <f t="shared" si="12"/>
        <v>6</v>
      </c>
      <c r="AX37" s="218">
        <f>SUMIF('ОЗОН Доступн товара'!D:D,_xlfn.XLOOKUP($B37,'ОЗОН Доступн товара'!$A:$A,'ОЗОН Доступн товара'!$D:$D,0))</f>
        <v>0</v>
      </c>
      <c r="AY37" s="226">
        <f t="shared" si="13"/>
        <v>6</v>
      </c>
      <c r="AZ37" s="7" t="str">
        <f t="shared" si="14"/>
        <v>нов</v>
      </c>
      <c r="BA37" s="7" t="str">
        <f t="shared" si="15"/>
        <v>нов</v>
      </c>
      <c r="BB37" s="7">
        <f t="shared" si="16"/>
        <v>2</v>
      </c>
      <c r="BC37" s="7">
        <f t="shared" si="17"/>
        <v>0</v>
      </c>
      <c r="BD37" s="27" t="str">
        <f t="shared" si="18"/>
        <v>нов</v>
      </c>
      <c r="BE37" s="7">
        <f t="shared" si="19"/>
        <v>0</v>
      </c>
      <c r="BF37" s="104" t="str">
        <f t="shared" si="20"/>
        <v>нов</v>
      </c>
      <c r="BG37" s="27" t="str">
        <f t="shared" si="21"/>
        <v>нов</v>
      </c>
      <c r="BH37" s="104">
        <f t="shared" si="22"/>
        <v>2</v>
      </c>
      <c r="BI37" s="7">
        <f t="shared" si="23"/>
        <v>6</v>
      </c>
      <c r="BJ37" s="153" t="str">
        <f t="shared" si="24"/>
        <v>нов</v>
      </c>
      <c r="BK37" s="7" t="str">
        <f t="shared" si="25"/>
        <v>нов</v>
      </c>
      <c r="BL37" s="6">
        <f t="shared" si="26"/>
        <v>10</v>
      </c>
      <c r="BM37" s="6">
        <f t="shared" si="27"/>
        <v>0</v>
      </c>
      <c r="BN37" s="28">
        <f t="shared" si="28"/>
        <v>10</v>
      </c>
      <c r="BO37" s="73">
        <f>IFERROR(_xlfn.XLOOKUP(A37,'[2] Расчет стоимости и веса'!$I:$I,'[2] Расчет стоимости и веса'!$D:$D),0)</f>
        <v>0</v>
      </c>
      <c r="BP37" s="227">
        <f t="shared" si="29"/>
        <v>0</v>
      </c>
      <c r="BQ37" s="8"/>
      <c r="BR37" s="155"/>
      <c r="BS37" s="12"/>
      <c r="BT37" s="12"/>
      <c r="BU37" s="229"/>
      <c r="BV37" s="12"/>
      <c r="BW37" s="12"/>
      <c r="BY37" s="231"/>
      <c r="BZ37" s="232"/>
      <c r="CA37" s="155"/>
      <c r="CB37" s="157"/>
      <c r="CC37" s="57"/>
      <c r="CD37" s="12"/>
      <c r="CE37" s="146">
        <f t="shared" si="5"/>
        <v>0</v>
      </c>
      <c r="CF37" s="69">
        <f t="shared" si="6"/>
        <v>0</v>
      </c>
      <c r="CG37" s="45">
        <f t="shared" si="7"/>
        <v>0</v>
      </c>
    </row>
    <row r="38" spans="1:85" ht="14.1" hidden="1" customHeight="1">
      <c r="A38" s="240">
        <f>[1]Юнит!A40</f>
        <v>340741532</v>
      </c>
      <c r="B38" s="241">
        <f>[1]Юнит!B40</f>
        <v>2415743200</v>
      </c>
      <c r="C38" s="240" t="str">
        <f>[1]Юнит!C40</f>
        <v>ACRB1MS103BL</v>
      </c>
      <c r="D38" s="90" t="str">
        <f>[1]Юнит!D40</f>
        <v>Мяч гладкий голубой</v>
      </c>
      <c r="E38" s="90">
        <f>[1]Юнит!E40</f>
        <v>2042986356632</v>
      </c>
      <c r="F38" s="132">
        <f>ROUNDUP(SUMIFS('ВБ Отчет Продажи (за 60 дней)'!$L:$L,'ВБ Отчет Продажи (за 60 дней)'!$K:$K,"Электросталь",'ВБ Отчет Продажи (за 60 дней)'!$G:$G,$A38),0)</f>
        <v>3</v>
      </c>
      <c r="G38" s="133">
        <f>ROUNDUP(SUMIFS('ВБ Отчет Продажи (за 60 дней)'!$L:$L,'ВБ Отчет Продажи (за 60 дней)'!$K:$K,"Коледино",'ВБ Отчет Продажи (за 60 дней)'!$G:$G,$A38),0)</f>
        <v>1</v>
      </c>
      <c r="H38" s="133">
        <f>ROUNDUP(SUMIFS('ВБ Отчет Продажи (за 60 дней)'!$L:$L,'ВБ Отчет Продажи (за 60 дней)'!$K:$K,"Тула",'ВБ Отчет Продажи (за 60 дней)'!$G:$G,$A38),0)</f>
        <v>1</v>
      </c>
      <c r="I38" s="134">
        <f>ROUNDUP(SUMIFS('ВБ Отчет Продажи (за 60 дней)'!$L:$L,'ВБ Отчет Продажи (за 60 дней)'!$K:$K,"Рязань (Тюшевское)",'ВБ Отчет Продажи (за 60 дней)'!$G:$G,$A38),0)</f>
        <v>0</v>
      </c>
      <c r="J38" s="136">
        <f>ROUNDUP(SUMIFS('ВБ Отчет Продажи (за 60 дней)'!$L:$L,'ВБ Отчет Продажи (за 60 дней)'!$K:$K,"Краснодар",'ВБ Отчет Продажи (за 60 дней)'!$G:$G,$A38),0)</f>
        <v>0</v>
      </c>
      <c r="K38" s="133">
        <f>ROUNDUP(SUMIFS('ВБ Отчет Продажи (за 60 дней)'!$L:$L,'ВБ Отчет Продажи (за 60 дней)'!$K:$K,"Невинномысск",'ВБ Отчет Продажи (за 60 дней)'!$G:$G,$A38),0)</f>
        <v>0</v>
      </c>
      <c r="L38" s="137">
        <f>ROUNDUP(SUMIFS('ВБ Отчет Продажи (за 60 дней)'!$L:$L,'ВБ Отчет Продажи (за 60 дней)'!$K:$K,"Волгоград",'ВБ Отчет Продажи (за 60 дней)'!$G:$G,$A38),0)</f>
        <v>0</v>
      </c>
      <c r="M38" s="136">
        <f>ROUNDUP(SUMIFS('ВБ Отчет Продажи (за 60 дней)'!$L:$L,'ВБ Отчет Продажи (за 60 дней)'!$K:$K,"Самара (Новосемейкино)",'ВБ Отчет Продажи (за 60 дней)'!$G:$G,$A38),0)</f>
        <v>0</v>
      </c>
      <c r="N38" s="137">
        <f>ROUNDUP(SUMIFS('ВБ Отчет Продажи (за 60 дней)'!$L:$L,'ВБ Отчет Продажи (за 60 дней)'!$K:$K,"Казань",'ВБ Отчет Продажи (за 60 дней)'!$G:$G,$A38),0)</f>
        <v>1</v>
      </c>
      <c r="O38" s="137">
        <f>ROUNDUP(SUMIFS('ВБ Отчет Продажи (за 60 дней)'!$L:$L,'ВБ Отчет Продажи (за 60 дней)'!$K:$K,"СПБ Шушары",'ВБ Отчет Продажи (за 60 дней)'!$G:$G,$A38),0)</f>
        <v>0</v>
      </c>
      <c r="P38" s="151">
        <f>ROUNDUP(SUMIFS('ВБ Отчет Продажи (за 60 дней)'!$L:$L,'ВБ Отчет Продажи (за 60 дней)'!$K:$K,"Екатеринбург - Перспективный 12",'ВБ Отчет Продажи (за 60 дней)'!$G:$G,$A38),0)</f>
        <v>0</v>
      </c>
      <c r="Q38" s="149">
        <f>ROUNDUP(SUMIFS('ВБ Отчет Продажи (за 60 дней)'!$L:$L,'ВБ Отчет Продажи (за 60 дней)'!$K:$K,"Новосибирск",'ВБ Отчет Продажи (за 60 дней)'!$G:$G,$A38),0)</f>
        <v>0</v>
      </c>
      <c r="R38" s="131">
        <f t="shared" si="31"/>
        <v>6</v>
      </c>
      <c r="S38" s="139">
        <f>SUMIFS('ОЗОН Оборот ведом (за 60 дней)'!I:I,'ОЗОН Оборот ведом (за 60 дней)'!A:A,B38)</f>
        <v>0</v>
      </c>
      <c r="T38" s="140">
        <f t="shared" si="8"/>
        <v>6</v>
      </c>
      <c r="U38" s="6">
        <f>SUMIFS('ВБ Отчет Продажи (за 60 дней)'!$P:$P,'ВБ Отчет Продажи (за 60 дней)'!$K:$K,"Электросталь",'ВБ Отчет Продажи (за 60 дней)'!$G:$G,$A38)</f>
        <v>0</v>
      </c>
      <c r="V38" s="7">
        <f>SUMIFS('ВБ Отчет Продажи (за 60 дней)'!$P:$P,'ВБ Отчет Продажи (за 60 дней)'!$K:$K,"Коледино",'ВБ Отчет Продажи (за 60 дней)'!$G:$G,$A38)</f>
        <v>12</v>
      </c>
      <c r="W38" s="7">
        <f>SUMIFS('ВБ Отчет Продажи (за 60 дней)'!$P:$P,'ВБ Отчет Продажи (за 60 дней)'!$K:$K,"Тула",'ВБ Отчет Продажи (за 60 дней)'!$G:$G,$A38)</f>
        <v>23</v>
      </c>
      <c r="X38" s="7">
        <f>SUMIFS('ВБ Отчет Продажи (за 60 дней)'!$P:$P,'ВБ Отчет Продажи (за 60 дней)'!$K:$K,"Рязань (Тюшевское)",'ВБ Отчет Продажи (за 60 дней)'!$G:$G,$A38)</f>
        <v>6</v>
      </c>
      <c r="Y38" s="27">
        <f>SUMIFS('ВБ Отчет Продажи (за 60 дней)'!$P:$P,'ВБ Отчет Продажи (за 60 дней)'!$K:$K,"Краснодар",'ВБ Отчет Продажи (за 60 дней)'!$G:$G,$A38)</f>
        <v>1</v>
      </c>
      <c r="Z38" s="7">
        <f>SUMIFS('ВБ Отчет Продажи (за 60 дней)'!$P:$P,'ВБ Отчет Продажи (за 60 дней)'!$K:$K,"Невинномысск",'ВБ Отчет Продажи (за 60 дней)'!$G:$G,$A38)</f>
        <v>8</v>
      </c>
      <c r="AA38" s="104">
        <f>SUMIFS('ВБ Отчет Продажи (за 60 дней)'!$P:$P,'ВБ Отчет Продажи (за 60 дней)'!$K:$K,"Волгоград",'ВБ Отчет Продажи (за 60 дней)'!$G:$G,$A38)</f>
        <v>0</v>
      </c>
      <c r="AB38" s="27">
        <f>SUMIFS('ВБ Отчет Продажи (за 60 дней)'!$P:$P,'ВБ Отчет Продажи (за 60 дней)'!$K:$K,"Самара (Новосемейкино)",'ВБ Отчет Продажи (за 60 дней)'!$G:$G,$A38)</f>
        <v>0</v>
      </c>
      <c r="AC38" s="104">
        <f>SUMIFS('ВБ Отчет Продажи (за 60 дней)'!$P:$P,'ВБ Отчет Продажи (за 60 дней)'!$K:$K,"Казань",'ВБ Отчет Продажи (за 60 дней)'!$G:$G,$A38)</f>
        <v>0</v>
      </c>
      <c r="AD38" s="104">
        <f>SUMIFS('ВБ Отчет Продажи (за 60 дней)'!$P:$P,'ВБ Отчет Продажи (за 60 дней)'!$K:$K,"СПБ Шушары",'ВБ Отчет Продажи (за 60 дней)'!$G:$G,$A38)</f>
        <v>11</v>
      </c>
      <c r="AE38" s="153">
        <f>SUMIFS('ВБ Отчет Продажи (за 60 дней)'!$P:$P,'ВБ Отчет Продажи (за 60 дней)'!$K:$K,"Екатеринбург - Перспективный 12",'ВБ Отчет Продажи (за 60 дней)'!$G:$G,$A38)</f>
        <v>0</v>
      </c>
      <c r="AF38" s="102">
        <f>SUMIFS('ВБ Отчет Продажи (за 60 дней)'!$P:$P,'ВБ Отчет Продажи (за 60 дней)'!$K:$K,"Новосибирск",'ВБ Отчет Продажи (за 60 дней)'!$G:$G,$A38)</f>
        <v>0</v>
      </c>
      <c r="AG38" s="124">
        <f t="shared" si="9"/>
        <v>61</v>
      </c>
      <c r="AH38" s="7">
        <f t="shared" si="10"/>
        <v>610</v>
      </c>
      <c r="AI38" s="213">
        <f>SUMIFS('ОЗОН Оборот ведом (за 60 дней)'!J:J,'ОЗОН Оборот ведом (за 60 дней)'!A:A,B38)</f>
        <v>0</v>
      </c>
      <c r="AJ38" s="21">
        <f t="shared" si="11"/>
        <v>61</v>
      </c>
      <c r="AK38" s="7" cm="1">
        <f t="array" ref="AK38">IFERROR(_xlfn.IFS((F38-U38)&gt;0,F38/$R$1*$AY$1-U38,F38+U38=0,"нов"),0)</f>
        <v>3</v>
      </c>
      <c r="AL38" s="7" cm="1">
        <f t="array" ref="AL38">IFERROR(_xlfn.IFS((G38-V38)&gt;0,G38/$R$1*$AY$1-V38,G38+V38=0,"нов"),0)</f>
        <v>0</v>
      </c>
      <c r="AM38" s="7" cm="1">
        <f t="array" ref="AM38">IFERROR(_xlfn.IFS((H38-W38)&gt;0,H38/$R$1*$AY$1-W38,H38+W38=0,"нов"),0)</f>
        <v>0</v>
      </c>
      <c r="AN38" s="7" cm="1">
        <f t="array" ref="AN38">IFERROR(_xlfn.IFS((I38-X38)&gt;0,I38/$R$1*$AY$1-X38,I38+X38=0,"нов"),0)</f>
        <v>0</v>
      </c>
      <c r="AO38" s="27" cm="1">
        <f t="array" ref="AO38">IFERROR(_xlfn.IFS((J38-Y38)&gt;0,J38/$R$1*$AY$1-Y38,J38+Y38=0,"нов"),0)</f>
        <v>0</v>
      </c>
      <c r="AP38" s="7" cm="1">
        <f t="array" ref="AP38">IFERROR(_xlfn.IFS((K38-Z38)&gt;0,K38/$R$1*$AY$1-Z38,K38+Z38=0,"нов"),0)</f>
        <v>0</v>
      </c>
      <c r="AQ38" s="104" t="str" cm="1">
        <f t="array" ref="AQ38">IFERROR(_xlfn.IFS((L38-AA38)&gt;0,L38/$R$1*$AY$1-AA38,L38+AA38=0,"нов"),0)</f>
        <v>нов</v>
      </c>
      <c r="AR38" s="27" t="str" cm="1">
        <f t="array" ref="AR38">IFERROR(_xlfn.IFS((M38-AB38)&gt;0,M38/$R$1*$AY$1-AB38,M38+AB38=0,"нов"),0)</f>
        <v>нов</v>
      </c>
      <c r="AS38" s="104" cm="1">
        <f t="array" ref="AS38">IFERROR(_xlfn.IFS((N38-AC38)&gt;0,N38/$R$1*$AY$1-AC38,N38+AC38=0,"нов"),0)</f>
        <v>1</v>
      </c>
      <c r="AT38" s="104" cm="1">
        <f t="array" ref="AT38">IFERROR(_xlfn.IFS((O38-AD38)&gt;0,O38/$R$1*$AY$1-AD38,O38+AD38=0,"нов"),0)</f>
        <v>0</v>
      </c>
      <c r="AU38" s="7" t="str" cm="1">
        <f t="array" ref="AU38">IFERROR(_xlfn.IFS((P38-AE38)&gt;0,P38/$R$1*$AY$1-AE38,P38+AE38=0,"нов"),0)</f>
        <v>нов</v>
      </c>
      <c r="AV38" s="7" t="str" cm="1">
        <f t="array" ref="AV38">IFERROR(_xlfn.IFS((Q38-AF38)&gt;0,Q38/$R$1*$AY$1-AF38,Q38+AF38=0,"нов"),0)</f>
        <v>нов</v>
      </c>
      <c r="AW38" s="141">
        <f t="shared" si="12"/>
        <v>4</v>
      </c>
      <c r="AX38" s="218">
        <f>SUMIF('ОЗОН Доступн товара'!D:D,_xlfn.XLOOKUP($B38,'ОЗОН Доступн товара'!$A:$A,'ОЗОН Доступн товара'!$D:$D,0))</f>
        <v>0</v>
      </c>
      <c r="AY38" s="226">
        <f t="shared" si="13"/>
        <v>4</v>
      </c>
      <c r="AZ38" s="7">
        <f t="shared" si="14"/>
        <v>4</v>
      </c>
      <c r="BA38" s="7">
        <f t="shared" si="15"/>
        <v>0</v>
      </c>
      <c r="BB38" s="7">
        <f t="shared" si="16"/>
        <v>0</v>
      </c>
      <c r="BC38" s="7">
        <f t="shared" si="17"/>
        <v>0</v>
      </c>
      <c r="BD38" s="27">
        <f t="shared" si="18"/>
        <v>0</v>
      </c>
      <c r="BE38" s="7">
        <f t="shared" si="19"/>
        <v>0</v>
      </c>
      <c r="BF38" s="104" t="str">
        <f t="shared" si="20"/>
        <v>нов</v>
      </c>
      <c r="BG38" s="27" t="str">
        <f t="shared" si="21"/>
        <v>нов</v>
      </c>
      <c r="BH38" s="104">
        <f t="shared" si="22"/>
        <v>2</v>
      </c>
      <c r="BI38" s="7">
        <f t="shared" si="23"/>
        <v>0</v>
      </c>
      <c r="BJ38" s="153" t="str">
        <f t="shared" si="24"/>
        <v>нов</v>
      </c>
      <c r="BK38" s="7" t="str">
        <f t="shared" si="25"/>
        <v>нов</v>
      </c>
      <c r="BL38" s="6">
        <f t="shared" si="26"/>
        <v>6</v>
      </c>
      <c r="BM38" s="6">
        <f t="shared" si="27"/>
        <v>0</v>
      </c>
      <c r="BN38" s="28">
        <f t="shared" si="28"/>
        <v>6</v>
      </c>
      <c r="BO38" s="73">
        <f>IFERROR(_xlfn.XLOOKUP(A38,'[2] Расчет стоимости и веса'!$I:$I,'[2] Расчет стоимости и веса'!$D:$D),0)</f>
        <v>0</v>
      </c>
      <c r="BP38" s="227">
        <f t="shared" si="29"/>
        <v>0</v>
      </c>
      <c r="BQ38" s="8"/>
      <c r="BR38" s="155"/>
      <c r="BS38" s="12"/>
      <c r="BT38" s="12"/>
      <c r="BU38" s="229"/>
      <c r="BV38" s="12"/>
      <c r="BW38" s="12"/>
      <c r="BY38" s="231"/>
      <c r="BZ38" s="232"/>
      <c r="CA38" s="155"/>
      <c r="CB38" s="157"/>
      <c r="CC38" s="57"/>
      <c r="CD38" s="12"/>
      <c r="CE38" s="146">
        <f t="shared" si="5"/>
        <v>0</v>
      </c>
      <c r="CF38" s="69">
        <f t="shared" si="6"/>
        <v>0</v>
      </c>
      <c r="CG38" s="45">
        <f t="shared" si="7"/>
        <v>0</v>
      </c>
    </row>
    <row r="39" spans="1:85" ht="14.1" hidden="1" customHeight="1">
      <c r="A39" s="240">
        <f>[1]Юнит!A41</f>
        <v>340743352</v>
      </c>
      <c r="B39" s="241">
        <f>[1]Юнит!B41</f>
        <v>2415742578</v>
      </c>
      <c r="C39" s="240" t="str">
        <f>[1]Юнит!C41</f>
        <v>ACRB1MS103LI</v>
      </c>
      <c r="D39" s="90" t="str">
        <f>[1]Юнит!D41</f>
        <v>Мяч гладкий сиреневый</v>
      </c>
      <c r="E39" s="90">
        <f>[1]Юнит!E41</f>
        <v>2042986372359</v>
      </c>
      <c r="F39" s="132">
        <f>ROUNDUP(SUMIFS('ВБ Отчет Продажи (за 60 дней)'!$L:$L,'ВБ Отчет Продажи (за 60 дней)'!$K:$K,"Электросталь",'ВБ Отчет Продажи (за 60 дней)'!$G:$G,$A39),0)</f>
        <v>1</v>
      </c>
      <c r="G39" s="133">
        <f>ROUNDUP(SUMIFS('ВБ Отчет Продажи (за 60 дней)'!$L:$L,'ВБ Отчет Продажи (за 60 дней)'!$K:$K,"Коледино",'ВБ Отчет Продажи (за 60 дней)'!$G:$G,$A39),0)</f>
        <v>2</v>
      </c>
      <c r="H39" s="133">
        <f>ROUNDUP(SUMIFS('ВБ Отчет Продажи (за 60 дней)'!$L:$L,'ВБ Отчет Продажи (за 60 дней)'!$K:$K,"Тула",'ВБ Отчет Продажи (за 60 дней)'!$G:$G,$A39),0)</f>
        <v>1</v>
      </c>
      <c r="I39" s="134">
        <f>ROUNDUP(SUMIFS('ВБ Отчет Продажи (за 60 дней)'!$L:$L,'ВБ Отчет Продажи (за 60 дней)'!$K:$K,"Рязань (Тюшевское)",'ВБ Отчет Продажи (за 60 дней)'!$G:$G,$A39),0)</f>
        <v>2</v>
      </c>
      <c r="J39" s="136">
        <f>ROUNDUP(SUMIFS('ВБ Отчет Продажи (за 60 дней)'!$L:$L,'ВБ Отчет Продажи (за 60 дней)'!$K:$K,"Краснодар",'ВБ Отчет Продажи (за 60 дней)'!$G:$G,$A39),0)</f>
        <v>0</v>
      </c>
      <c r="K39" s="133">
        <f>ROUNDUP(SUMIFS('ВБ Отчет Продажи (за 60 дней)'!$L:$L,'ВБ Отчет Продажи (за 60 дней)'!$K:$K,"Невинномысск",'ВБ Отчет Продажи (за 60 дней)'!$G:$G,$A39),0)</f>
        <v>2</v>
      </c>
      <c r="L39" s="137">
        <f>ROUNDUP(SUMIFS('ВБ Отчет Продажи (за 60 дней)'!$L:$L,'ВБ Отчет Продажи (за 60 дней)'!$K:$K,"Волгоград",'ВБ Отчет Продажи (за 60 дней)'!$G:$G,$A39),0)</f>
        <v>0</v>
      </c>
      <c r="M39" s="136">
        <f>ROUNDUP(SUMIFS('ВБ Отчет Продажи (за 60 дней)'!$L:$L,'ВБ Отчет Продажи (за 60 дней)'!$K:$K,"Самара (Новосемейкино)",'ВБ Отчет Продажи (за 60 дней)'!$G:$G,$A39),0)</f>
        <v>0</v>
      </c>
      <c r="N39" s="137">
        <f>ROUNDUP(SUMIFS('ВБ Отчет Продажи (за 60 дней)'!$L:$L,'ВБ Отчет Продажи (за 60 дней)'!$K:$K,"Казань",'ВБ Отчет Продажи (за 60 дней)'!$G:$G,$A39),0)</f>
        <v>2</v>
      </c>
      <c r="O39" s="137">
        <f>ROUNDUP(SUMIFS('ВБ Отчет Продажи (за 60 дней)'!$L:$L,'ВБ Отчет Продажи (за 60 дней)'!$K:$K,"СПБ Шушары",'ВБ Отчет Продажи (за 60 дней)'!$G:$G,$A39),0)</f>
        <v>0</v>
      </c>
      <c r="P39" s="151">
        <f>ROUNDUP(SUMIFS('ВБ Отчет Продажи (за 60 дней)'!$L:$L,'ВБ Отчет Продажи (за 60 дней)'!$K:$K,"Екатеринбург - Перспективный 12",'ВБ Отчет Продажи (за 60 дней)'!$G:$G,$A39),0)</f>
        <v>0</v>
      </c>
      <c r="Q39" s="149">
        <f>ROUNDUP(SUMIFS('ВБ Отчет Продажи (за 60 дней)'!$L:$L,'ВБ Отчет Продажи (за 60 дней)'!$K:$K,"Новосибирск",'ВБ Отчет Продажи (за 60 дней)'!$G:$G,$A39),0)</f>
        <v>0</v>
      </c>
      <c r="R39" s="131">
        <f t="shared" si="31"/>
        <v>10</v>
      </c>
      <c r="S39" s="139">
        <f>SUMIFS('ОЗОН Оборот ведом (за 60 дней)'!I:I,'ОЗОН Оборот ведом (за 60 дней)'!A:A,B39)</f>
        <v>0</v>
      </c>
      <c r="T39" s="140">
        <f t="shared" si="8"/>
        <v>10</v>
      </c>
      <c r="U39" s="6">
        <f>SUMIFS('ВБ Отчет Продажи (за 60 дней)'!$P:$P,'ВБ Отчет Продажи (за 60 дней)'!$K:$K,"Электросталь",'ВБ Отчет Продажи (за 60 дней)'!$G:$G,$A39)</f>
        <v>0</v>
      </c>
      <c r="V39" s="7">
        <f>SUMIFS('ВБ Отчет Продажи (за 60 дней)'!$P:$P,'ВБ Отчет Продажи (за 60 дней)'!$K:$K,"Коледино",'ВБ Отчет Продажи (за 60 дней)'!$G:$G,$A39)</f>
        <v>7</v>
      </c>
      <c r="W39" s="7">
        <f>SUMIFS('ВБ Отчет Продажи (за 60 дней)'!$P:$P,'ВБ Отчет Продажи (за 60 дней)'!$K:$K,"Тула",'ВБ Отчет Продажи (за 60 дней)'!$G:$G,$A39)</f>
        <v>10</v>
      </c>
      <c r="X39" s="7">
        <f>SUMIFS('ВБ Отчет Продажи (за 60 дней)'!$P:$P,'ВБ Отчет Продажи (за 60 дней)'!$K:$K,"Рязань (Тюшевское)",'ВБ Отчет Продажи (за 60 дней)'!$G:$G,$A39)</f>
        <v>0</v>
      </c>
      <c r="Y39" s="27">
        <f>SUMIFS('ВБ Отчет Продажи (за 60 дней)'!$P:$P,'ВБ Отчет Продажи (за 60 дней)'!$K:$K,"Краснодар",'ВБ Отчет Продажи (за 60 дней)'!$G:$G,$A39)</f>
        <v>0</v>
      </c>
      <c r="Z39" s="7">
        <f>SUMIFS('ВБ Отчет Продажи (за 60 дней)'!$P:$P,'ВБ Отчет Продажи (за 60 дней)'!$K:$K,"Невинномысск",'ВБ Отчет Продажи (за 60 дней)'!$G:$G,$A39)</f>
        <v>2</v>
      </c>
      <c r="AA39" s="104">
        <f>SUMIFS('ВБ Отчет Продажи (за 60 дней)'!$P:$P,'ВБ Отчет Продажи (за 60 дней)'!$K:$K,"Волгоград",'ВБ Отчет Продажи (за 60 дней)'!$G:$G,$A39)</f>
        <v>0</v>
      </c>
      <c r="AB39" s="27">
        <f>SUMIFS('ВБ Отчет Продажи (за 60 дней)'!$P:$P,'ВБ Отчет Продажи (за 60 дней)'!$K:$K,"Самара (Новосемейкино)",'ВБ Отчет Продажи (за 60 дней)'!$G:$G,$A39)</f>
        <v>0</v>
      </c>
      <c r="AC39" s="104">
        <f>SUMIFS('ВБ Отчет Продажи (за 60 дней)'!$P:$P,'ВБ Отчет Продажи (за 60 дней)'!$K:$K,"Казань",'ВБ Отчет Продажи (за 60 дней)'!$G:$G,$A39)</f>
        <v>0</v>
      </c>
      <c r="AD39" s="104">
        <f>SUMIFS('ВБ Отчет Продажи (за 60 дней)'!$P:$P,'ВБ Отчет Продажи (за 60 дней)'!$K:$K,"СПБ Шушары",'ВБ Отчет Продажи (за 60 дней)'!$G:$G,$A39)</f>
        <v>11</v>
      </c>
      <c r="AE39" s="153">
        <f>SUMIFS('ВБ Отчет Продажи (за 60 дней)'!$P:$P,'ВБ Отчет Продажи (за 60 дней)'!$K:$K,"Екатеринбург - Перспективный 12",'ВБ Отчет Продажи (за 60 дней)'!$G:$G,$A39)</f>
        <v>0</v>
      </c>
      <c r="AF39" s="102">
        <f>SUMIFS('ВБ Отчет Продажи (за 60 дней)'!$P:$P,'ВБ Отчет Продажи (за 60 дней)'!$K:$K,"Новосибирск",'ВБ Отчет Продажи (за 60 дней)'!$G:$G,$A39)</f>
        <v>0</v>
      </c>
      <c r="AG39" s="124">
        <f t="shared" si="9"/>
        <v>30</v>
      </c>
      <c r="AH39" s="7">
        <f t="shared" si="10"/>
        <v>180</v>
      </c>
      <c r="AI39" s="213">
        <f>SUMIFS('ОЗОН Оборот ведом (за 60 дней)'!J:J,'ОЗОН Оборот ведом (за 60 дней)'!A:A,B39)</f>
        <v>0</v>
      </c>
      <c r="AJ39" s="21">
        <f t="shared" si="11"/>
        <v>30</v>
      </c>
      <c r="AK39" s="7" cm="1">
        <f t="array" ref="AK39">IFERROR(_xlfn.IFS((F39-U39)&gt;0,F39/$R$1*$AY$1-U39,F39+U39=0,"нов"),0)</f>
        <v>1</v>
      </c>
      <c r="AL39" s="7" cm="1">
        <f t="array" ref="AL39">IFERROR(_xlfn.IFS((G39-V39)&gt;0,G39/$R$1*$AY$1-V39,G39+V39=0,"нов"),0)</f>
        <v>0</v>
      </c>
      <c r="AM39" s="7" cm="1">
        <f t="array" ref="AM39">IFERROR(_xlfn.IFS((H39-W39)&gt;0,H39/$R$1*$AY$1-W39,H39+W39=0,"нов"),0)</f>
        <v>0</v>
      </c>
      <c r="AN39" s="7" cm="1">
        <f t="array" ref="AN39">IFERROR(_xlfn.IFS((I39-X39)&gt;0,I39/$R$1*$AY$1-X39,I39+X39=0,"нов"),0)</f>
        <v>2</v>
      </c>
      <c r="AO39" s="27" t="str" cm="1">
        <f t="array" ref="AO39">IFERROR(_xlfn.IFS((J39-Y39)&gt;0,J39/$R$1*$AY$1-Y39,J39+Y39=0,"нов"),0)</f>
        <v>нов</v>
      </c>
      <c r="AP39" s="7" cm="1">
        <f t="array" ref="AP39">IFERROR(_xlfn.IFS((K39-Z39)&gt;0,K39/$R$1*$AY$1-Z39,K39+Z39=0,"нов"),0)</f>
        <v>0</v>
      </c>
      <c r="AQ39" s="104" t="str" cm="1">
        <f t="array" ref="AQ39">IFERROR(_xlfn.IFS((L39-AA39)&gt;0,L39/$R$1*$AY$1-AA39,L39+AA39=0,"нов"),0)</f>
        <v>нов</v>
      </c>
      <c r="AR39" s="27" t="str" cm="1">
        <f t="array" ref="AR39">IFERROR(_xlfn.IFS((M39-AB39)&gt;0,M39/$R$1*$AY$1-AB39,M39+AB39=0,"нов"),0)</f>
        <v>нов</v>
      </c>
      <c r="AS39" s="104" cm="1">
        <f t="array" ref="AS39">IFERROR(_xlfn.IFS((N39-AC39)&gt;0,N39/$R$1*$AY$1-AC39,N39+AC39=0,"нов"),0)</f>
        <v>2</v>
      </c>
      <c r="AT39" s="104" cm="1">
        <f t="array" ref="AT39">IFERROR(_xlfn.IFS((O39-AD39)&gt;0,O39/$R$1*$AY$1-AD39,O39+AD39=0,"нов"),0)</f>
        <v>0</v>
      </c>
      <c r="AU39" s="7" t="str" cm="1">
        <f t="array" ref="AU39">IFERROR(_xlfn.IFS((P39-AE39)&gt;0,P39/$R$1*$AY$1-AE39,P39+AE39=0,"нов"),0)</f>
        <v>нов</v>
      </c>
      <c r="AV39" s="7" t="str" cm="1">
        <f t="array" ref="AV39">IFERROR(_xlfn.IFS((Q39-AF39)&gt;0,Q39/$R$1*$AY$1-AF39,Q39+AF39=0,"нов"),0)</f>
        <v>нов</v>
      </c>
      <c r="AW39" s="141">
        <f t="shared" si="12"/>
        <v>5</v>
      </c>
      <c r="AX39" s="218">
        <f>SUMIF('ОЗОН Доступн товара'!D:D,_xlfn.XLOOKUP($B39,'ОЗОН Доступн товара'!$A:$A,'ОЗОН Доступн товара'!$D:$D,0))</f>
        <v>0</v>
      </c>
      <c r="AY39" s="226">
        <f t="shared" si="13"/>
        <v>5</v>
      </c>
      <c r="AZ39" s="7">
        <f t="shared" si="14"/>
        <v>2</v>
      </c>
      <c r="BA39" s="7">
        <f t="shared" si="15"/>
        <v>0</v>
      </c>
      <c r="BB39" s="7">
        <f t="shared" si="16"/>
        <v>0</v>
      </c>
      <c r="BC39" s="7">
        <f t="shared" si="17"/>
        <v>3</v>
      </c>
      <c r="BD39" s="27" t="str">
        <f t="shared" si="18"/>
        <v>нов</v>
      </c>
      <c r="BE39" s="7">
        <f t="shared" si="19"/>
        <v>0</v>
      </c>
      <c r="BF39" s="104" t="str">
        <f t="shared" si="20"/>
        <v>нов</v>
      </c>
      <c r="BG39" s="27" t="str">
        <f t="shared" si="21"/>
        <v>нов</v>
      </c>
      <c r="BH39" s="104">
        <f t="shared" si="22"/>
        <v>3</v>
      </c>
      <c r="BI39" s="7">
        <f t="shared" si="23"/>
        <v>0</v>
      </c>
      <c r="BJ39" s="153" t="str">
        <f t="shared" si="24"/>
        <v>нов</v>
      </c>
      <c r="BK39" s="7" t="str">
        <f t="shared" si="25"/>
        <v>нов</v>
      </c>
      <c r="BL39" s="6">
        <f t="shared" si="26"/>
        <v>8</v>
      </c>
      <c r="BM39" s="6">
        <f t="shared" si="27"/>
        <v>0</v>
      </c>
      <c r="BN39" s="28">
        <f t="shared" si="28"/>
        <v>8</v>
      </c>
      <c r="BO39" s="73">
        <f>IFERROR(_xlfn.XLOOKUP(A39,'[2] Расчет стоимости и веса'!$I:$I,'[2] Расчет стоимости и веса'!$D:$D),0)</f>
        <v>0</v>
      </c>
      <c r="BP39" s="227">
        <f t="shared" si="29"/>
        <v>0</v>
      </c>
      <c r="BQ39" s="8"/>
      <c r="BR39" s="155"/>
      <c r="BS39" s="12"/>
      <c r="BT39" s="12"/>
      <c r="BU39" s="229"/>
      <c r="BV39" s="12"/>
      <c r="BW39" s="12"/>
      <c r="BY39" s="231"/>
      <c r="BZ39" s="232"/>
      <c r="CA39" s="155"/>
      <c r="CB39" s="157"/>
      <c r="CC39" s="57"/>
      <c r="CD39" s="12"/>
      <c r="CE39" s="146">
        <f t="shared" si="5"/>
        <v>0</v>
      </c>
      <c r="CF39" s="69">
        <f t="shared" si="6"/>
        <v>0</v>
      </c>
      <c r="CG39" s="45">
        <f t="shared" si="7"/>
        <v>0</v>
      </c>
    </row>
    <row r="40" spans="1:85" ht="14.1" hidden="1" customHeight="1">
      <c r="A40" s="240">
        <f>[1]Юнит!A42</f>
        <v>340743911</v>
      </c>
      <c r="B40" s="241">
        <f>[1]Юнит!B42</f>
        <v>2415742537</v>
      </c>
      <c r="C40" s="240" t="str">
        <f>[1]Юнит!C42</f>
        <v>ACRB1MS103RJ</v>
      </c>
      <c r="D40" s="90" t="str">
        <f>[1]Юнит!D42</f>
        <v>Мяч гладкий оранжевый</v>
      </c>
      <c r="E40" s="90">
        <f>[1]Юнит!E42</f>
        <v>2042986377583</v>
      </c>
      <c r="F40" s="132">
        <f>ROUNDUP(SUMIFS('ВБ Отчет Продажи (за 60 дней)'!$L:$L,'ВБ Отчет Продажи (за 60 дней)'!$K:$K,"Электросталь",'ВБ Отчет Продажи (за 60 дней)'!$G:$G,$A40),0)</f>
        <v>0</v>
      </c>
      <c r="G40" s="133">
        <f>ROUNDUP(SUMIFS('ВБ Отчет Продажи (за 60 дней)'!$L:$L,'ВБ Отчет Продажи (за 60 дней)'!$K:$K,"Коледино",'ВБ Отчет Продажи (за 60 дней)'!$G:$G,$A40),0)</f>
        <v>0</v>
      </c>
      <c r="H40" s="133">
        <f>ROUNDUP(SUMIFS('ВБ Отчет Продажи (за 60 дней)'!$L:$L,'ВБ Отчет Продажи (за 60 дней)'!$K:$K,"Тула",'ВБ Отчет Продажи (за 60 дней)'!$G:$G,$A40),0)</f>
        <v>5</v>
      </c>
      <c r="I40" s="134">
        <f>ROUNDUP(SUMIFS('ВБ Отчет Продажи (за 60 дней)'!$L:$L,'ВБ Отчет Продажи (за 60 дней)'!$K:$K,"Рязань (Тюшевское)",'ВБ Отчет Продажи (за 60 дней)'!$G:$G,$A40),0)</f>
        <v>2</v>
      </c>
      <c r="J40" s="136">
        <f>ROUNDUP(SUMIFS('ВБ Отчет Продажи (за 60 дней)'!$L:$L,'ВБ Отчет Продажи (за 60 дней)'!$K:$K,"Краснодар",'ВБ Отчет Продажи (за 60 дней)'!$G:$G,$A40),0)</f>
        <v>0</v>
      </c>
      <c r="K40" s="133">
        <f>ROUNDUP(SUMIFS('ВБ Отчет Продажи (за 60 дней)'!$L:$L,'ВБ Отчет Продажи (за 60 дней)'!$K:$K,"Невинномысск",'ВБ Отчет Продажи (за 60 дней)'!$G:$G,$A40),0)</f>
        <v>0</v>
      </c>
      <c r="L40" s="137">
        <f>ROUNDUP(SUMIFS('ВБ Отчет Продажи (за 60 дней)'!$L:$L,'ВБ Отчет Продажи (за 60 дней)'!$K:$K,"Волгоград",'ВБ Отчет Продажи (за 60 дней)'!$G:$G,$A40),0)</f>
        <v>0</v>
      </c>
      <c r="M40" s="136">
        <f>ROUNDUP(SUMIFS('ВБ Отчет Продажи (за 60 дней)'!$L:$L,'ВБ Отчет Продажи (за 60 дней)'!$K:$K,"Самара (Новосемейкино)",'ВБ Отчет Продажи (за 60 дней)'!$G:$G,$A40),0)</f>
        <v>0</v>
      </c>
      <c r="N40" s="137">
        <f>ROUNDUP(SUMIFS('ВБ Отчет Продажи (за 60 дней)'!$L:$L,'ВБ Отчет Продажи (за 60 дней)'!$K:$K,"Казань",'ВБ Отчет Продажи (за 60 дней)'!$G:$G,$A40),0)</f>
        <v>10</v>
      </c>
      <c r="O40" s="137">
        <f>ROUNDUP(SUMIFS('ВБ Отчет Продажи (за 60 дней)'!$L:$L,'ВБ Отчет Продажи (за 60 дней)'!$K:$K,"СПБ Шушары",'ВБ Отчет Продажи (за 60 дней)'!$G:$G,$A40),0)</f>
        <v>2</v>
      </c>
      <c r="P40" s="151">
        <f>ROUNDUP(SUMIFS('ВБ Отчет Продажи (за 60 дней)'!$L:$L,'ВБ Отчет Продажи (за 60 дней)'!$K:$K,"Екатеринбург - Перспективный 12",'ВБ Отчет Продажи (за 60 дней)'!$G:$G,$A40),0)</f>
        <v>0</v>
      </c>
      <c r="Q40" s="149">
        <f>ROUNDUP(SUMIFS('ВБ Отчет Продажи (за 60 дней)'!$L:$L,'ВБ Отчет Продажи (за 60 дней)'!$K:$K,"Новосибирск",'ВБ Отчет Продажи (за 60 дней)'!$G:$G,$A40),0)</f>
        <v>0</v>
      </c>
      <c r="R40" s="131">
        <f t="shared" si="31"/>
        <v>19</v>
      </c>
      <c r="S40" s="139">
        <f>SUMIFS('ОЗОН Оборот ведом (за 60 дней)'!I:I,'ОЗОН Оборот ведом (за 60 дней)'!A:A,B40)</f>
        <v>0</v>
      </c>
      <c r="T40" s="140">
        <f t="shared" si="8"/>
        <v>19</v>
      </c>
      <c r="U40" s="6">
        <f>SUMIFS('ВБ Отчет Продажи (за 60 дней)'!$P:$P,'ВБ Отчет Продажи (за 60 дней)'!$K:$K,"Электросталь",'ВБ Отчет Продажи (за 60 дней)'!$G:$G,$A40)</f>
        <v>1</v>
      </c>
      <c r="V40" s="7">
        <f>SUMIFS('ВБ Отчет Продажи (за 60 дней)'!$P:$P,'ВБ Отчет Продажи (за 60 дней)'!$K:$K,"Коледино",'ВБ Отчет Продажи (за 60 дней)'!$G:$G,$A40)</f>
        <v>2</v>
      </c>
      <c r="W40" s="7">
        <f>SUMIFS('ВБ Отчет Продажи (за 60 дней)'!$P:$P,'ВБ Отчет Продажи (за 60 дней)'!$K:$K,"Тула",'ВБ Отчет Продажи (за 60 дней)'!$G:$G,$A40)</f>
        <v>0</v>
      </c>
      <c r="X40" s="7">
        <f>SUMIFS('ВБ Отчет Продажи (за 60 дней)'!$P:$P,'ВБ Отчет Продажи (за 60 дней)'!$K:$K,"Рязань (Тюшевское)",'ВБ Отчет Продажи (за 60 дней)'!$G:$G,$A40)</f>
        <v>0</v>
      </c>
      <c r="Y40" s="27">
        <f>SUMIFS('ВБ Отчет Продажи (за 60 дней)'!$P:$P,'ВБ Отчет Продажи (за 60 дней)'!$K:$K,"Краснодар",'ВБ Отчет Продажи (за 60 дней)'!$G:$G,$A40)</f>
        <v>0</v>
      </c>
      <c r="Z40" s="7">
        <f>SUMIFS('ВБ Отчет Продажи (за 60 дней)'!$P:$P,'ВБ Отчет Продажи (за 60 дней)'!$K:$K,"Невинномысск",'ВБ Отчет Продажи (за 60 дней)'!$G:$G,$A40)</f>
        <v>1</v>
      </c>
      <c r="AA40" s="104">
        <f>SUMIFS('ВБ Отчет Продажи (за 60 дней)'!$P:$P,'ВБ Отчет Продажи (за 60 дней)'!$K:$K,"Волгоград",'ВБ Отчет Продажи (за 60 дней)'!$G:$G,$A40)</f>
        <v>2</v>
      </c>
      <c r="AB40" s="27">
        <f>SUMIFS('ВБ Отчет Продажи (за 60 дней)'!$P:$P,'ВБ Отчет Продажи (за 60 дней)'!$K:$K,"Самара (Новосемейкино)",'ВБ Отчет Продажи (за 60 дней)'!$G:$G,$A40)</f>
        <v>0</v>
      </c>
      <c r="AC40" s="104">
        <f>SUMIFS('ВБ Отчет Продажи (за 60 дней)'!$P:$P,'ВБ Отчет Продажи (за 60 дней)'!$K:$K,"Казань",'ВБ Отчет Продажи (за 60 дней)'!$G:$G,$A40)</f>
        <v>0</v>
      </c>
      <c r="AD40" s="104">
        <f>SUMIFS('ВБ Отчет Продажи (за 60 дней)'!$P:$P,'ВБ Отчет Продажи (за 60 дней)'!$K:$K,"СПБ Шушары",'ВБ Отчет Продажи (за 60 дней)'!$G:$G,$A40)</f>
        <v>8</v>
      </c>
      <c r="AE40" s="153">
        <f>SUMIFS('ВБ Отчет Продажи (за 60 дней)'!$P:$P,'ВБ Отчет Продажи (за 60 дней)'!$K:$K,"Екатеринбург - Перспективный 12",'ВБ Отчет Продажи (за 60 дней)'!$G:$G,$A40)</f>
        <v>0</v>
      </c>
      <c r="AF40" s="102">
        <f>SUMIFS('ВБ Отчет Продажи (за 60 дней)'!$P:$P,'ВБ Отчет Продажи (за 60 дней)'!$K:$K,"Новосибирск",'ВБ Отчет Продажи (за 60 дней)'!$G:$G,$A40)</f>
        <v>0</v>
      </c>
      <c r="AG40" s="124">
        <f t="shared" si="9"/>
        <v>14</v>
      </c>
      <c r="AH40" s="7">
        <f t="shared" si="10"/>
        <v>44.210526315789473</v>
      </c>
      <c r="AI40" s="213">
        <f>SUMIFS('ОЗОН Оборот ведом (за 60 дней)'!J:J,'ОЗОН Оборот ведом (за 60 дней)'!A:A,B40)</f>
        <v>0</v>
      </c>
      <c r="AJ40" s="21">
        <f t="shared" si="11"/>
        <v>14</v>
      </c>
      <c r="AK40" s="7" cm="1">
        <f t="array" ref="AK40">IFERROR(_xlfn.IFS((F40-U40)&gt;0,F40/$R$1*$AY$1-U40,F40+U40=0,"нов"),0)</f>
        <v>0</v>
      </c>
      <c r="AL40" s="7" cm="1">
        <f t="array" ref="AL40">IFERROR(_xlfn.IFS((G40-V40)&gt;0,G40/$R$1*$AY$1-V40,G40+V40=0,"нов"),0)</f>
        <v>0</v>
      </c>
      <c r="AM40" s="7" cm="1">
        <f t="array" ref="AM40">IFERROR(_xlfn.IFS((H40-W40)&gt;0,H40/$R$1*$AY$1-W40,H40+W40=0,"нов"),0)</f>
        <v>5</v>
      </c>
      <c r="AN40" s="7" cm="1">
        <f t="array" ref="AN40">IFERROR(_xlfn.IFS((I40-X40)&gt;0,I40/$R$1*$AY$1-X40,I40+X40=0,"нов"),0)</f>
        <v>2</v>
      </c>
      <c r="AO40" s="27" t="str" cm="1">
        <f t="array" ref="AO40">IFERROR(_xlfn.IFS((J40-Y40)&gt;0,J40/$R$1*$AY$1-Y40,J40+Y40=0,"нов"),0)</f>
        <v>нов</v>
      </c>
      <c r="AP40" s="7" cm="1">
        <f t="array" ref="AP40">IFERROR(_xlfn.IFS((K40-Z40)&gt;0,K40/$R$1*$AY$1-Z40,K40+Z40=0,"нов"),0)</f>
        <v>0</v>
      </c>
      <c r="AQ40" s="104" cm="1">
        <f t="array" ref="AQ40">IFERROR(_xlfn.IFS((L40-AA40)&gt;0,L40/$R$1*$AY$1-AA40,L40+AA40=0,"нов"),0)</f>
        <v>0</v>
      </c>
      <c r="AR40" s="27" t="str" cm="1">
        <f t="array" ref="AR40">IFERROR(_xlfn.IFS((M40-AB40)&gt;0,M40/$R$1*$AY$1-AB40,M40+AB40=0,"нов"),0)</f>
        <v>нов</v>
      </c>
      <c r="AS40" s="104" cm="1">
        <f t="array" ref="AS40">IFERROR(_xlfn.IFS((N40-AC40)&gt;0,N40/$R$1*$AY$1-AC40,N40+AC40=0,"нов"),0)</f>
        <v>10</v>
      </c>
      <c r="AT40" s="104" cm="1">
        <f t="array" ref="AT40">IFERROR(_xlfn.IFS((O40-AD40)&gt;0,O40/$R$1*$AY$1-AD40,O40+AD40=0,"нов"),0)</f>
        <v>0</v>
      </c>
      <c r="AU40" s="7" t="str" cm="1">
        <f t="array" ref="AU40">IFERROR(_xlfn.IFS((P40-AE40)&gt;0,P40/$R$1*$AY$1-AE40,P40+AE40=0,"нов"),0)</f>
        <v>нов</v>
      </c>
      <c r="AV40" s="7" t="str" cm="1">
        <f t="array" ref="AV40">IFERROR(_xlfn.IFS((Q40-AF40)&gt;0,Q40/$R$1*$AY$1-AF40,Q40+AF40=0,"нов"),0)</f>
        <v>нов</v>
      </c>
      <c r="AW40" s="141">
        <f t="shared" si="12"/>
        <v>17</v>
      </c>
      <c r="AX40" s="218">
        <f>SUMIF('ОЗОН Доступн товара'!D:D,_xlfn.XLOOKUP($B40,'ОЗОН Доступн товара'!$A:$A,'ОЗОН Доступн товара'!$D:$D,0))</f>
        <v>0</v>
      </c>
      <c r="AY40" s="226">
        <f t="shared" si="13"/>
        <v>17</v>
      </c>
      <c r="AZ40" s="7">
        <f t="shared" si="14"/>
        <v>0</v>
      </c>
      <c r="BA40" s="7">
        <f t="shared" si="15"/>
        <v>0</v>
      </c>
      <c r="BB40" s="7">
        <f t="shared" si="16"/>
        <v>7</v>
      </c>
      <c r="BC40" s="7">
        <f t="shared" si="17"/>
        <v>3</v>
      </c>
      <c r="BD40" s="27" t="str">
        <f t="shared" si="18"/>
        <v>нов</v>
      </c>
      <c r="BE40" s="7">
        <f t="shared" si="19"/>
        <v>0</v>
      </c>
      <c r="BF40" s="104">
        <f t="shared" si="20"/>
        <v>0</v>
      </c>
      <c r="BG40" s="27" t="str">
        <f t="shared" si="21"/>
        <v>нов</v>
      </c>
      <c r="BH40" s="104">
        <f t="shared" si="22"/>
        <v>13</v>
      </c>
      <c r="BI40" s="7">
        <f t="shared" si="23"/>
        <v>0</v>
      </c>
      <c r="BJ40" s="153" t="str">
        <f t="shared" si="24"/>
        <v>нов</v>
      </c>
      <c r="BK40" s="7" t="str">
        <f t="shared" si="25"/>
        <v>нов</v>
      </c>
      <c r="BL40" s="6">
        <f t="shared" si="26"/>
        <v>23</v>
      </c>
      <c r="BM40" s="6">
        <f t="shared" si="27"/>
        <v>0</v>
      </c>
      <c r="BN40" s="28">
        <f t="shared" si="28"/>
        <v>23</v>
      </c>
      <c r="BO40" s="73">
        <f>IFERROR(_xlfn.XLOOKUP(A40,'[2] Расчет стоимости и веса'!$I:$I,'[2] Расчет стоимости и веса'!$D:$D),0)</f>
        <v>0</v>
      </c>
      <c r="BP40" s="227">
        <f t="shared" si="29"/>
        <v>0</v>
      </c>
      <c r="BQ40" s="8"/>
      <c r="BR40" s="155"/>
      <c r="BS40" s="12"/>
      <c r="BT40" s="12"/>
      <c r="BU40" s="229"/>
      <c r="BV40" s="12"/>
      <c r="BW40" s="12"/>
      <c r="BY40" s="231"/>
      <c r="BZ40" s="232"/>
      <c r="CA40" s="155"/>
      <c r="CB40" s="157"/>
      <c r="CC40" s="57"/>
      <c r="CD40" s="12"/>
      <c r="CE40" s="146">
        <f t="shared" si="5"/>
        <v>0</v>
      </c>
      <c r="CF40" s="69">
        <f t="shared" si="6"/>
        <v>0</v>
      </c>
      <c r="CG40" s="45">
        <f t="shared" si="7"/>
        <v>0</v>
      </c>
    </row>
    <row r="41" spans="1:85" ht="14.1" customHeight="1">
      <c r="A41" s="245">
        <f>[1]Юнит!A43</f>
        <v>820643010</v>
      </c>
      <c r="B41" s="246">
        <f>[1]Юнит!B43</f>
        <v>0</v>
      </c>
      <c r="C41" s="245" t="str">
        <f>[1]Юнит!C43</f>
        <v>ACRB3FR101CL</v>
      </c>
      <c r="D41" s="247" t="str">
        <f>[1]Юнит!D43</f>
        <v>Набор эластичных лент 3 шт. в мешке</v>
      </c>
      <c r="E41" s="90">
        <f>[1]Юнит!E43</f>
        <v>2048933027488</v>
      </c>
      <c r="F41" s="132">
        <f>ROUNDUP(SUMIFS('ВБ Отчет Продажи (за 60 дней)'!$L:$L,'ВБ Отчет Продажи (за 60 дней)'!$K:$K,"Электросталь",'ВБ Отчет Продажи (за 60 дней)'!$G:$G,$A41),0)</f>
        <v>7</v>
      </c>
      <c r="G41" s="133">
        <f>ROUNDUP(SUMIFS('ВБ Отчет Продажи (за 60 дней)'!$L:$L,'ВБ Отчет Продажи (за 60 дней)'!$K:$K,"Коледино",'ВБ Отчет Продажи (за 60 дней)'!$G:$G,$A41),0)</f>
        <v>0</v>
      </c>
      <c r="H41" s="133">
        <f>ROUNDUP(SUMIFS('ВБ Отчет Продажи (за 60 дней)'!$L:$L,'ВБ Отчет Продажи (за 60 дней)'!$K:$K,"Тула",'ВБ Отчет Продажи (за 60 дней)'!$G:$G,$A41),0)</f>
        <v>0</v>
      </c>
      <c r="I41" s="134">
        <f>ROUNDUP(SUMIFS('ВБ Отчет Продажи (за 60 дней)'!$L:$L,'ВБ Отчет Продажи (за 60 дней)'!$K:$K,"Рязань (Тюшевское)",'ВБ Отчет Продажи (за 60 дней)'!$G:$G,$A41),0)</f>
        <v>0</v>
      </c>
      <c r="J41" s="136">
        <f>ROUNDUP(SUMIFS('ВБ Отчет Продажи (за 60 дней)'!$L:$L,'ВБ Отчет Продажи (за 60 дней)'!$K:$K,"Краснодар",'ВБ Отчет Продажи (за 60 дней)'!$G:$G,$A41),0)</f>
        <v>0</v>
      </c>
      <c r="K41" s="133">
        <f>ROUNDUP(SUMIFS('ВБ Отчет Продажи (за 60 дней)'!$L:$L,'ВБ Отчет Продажи (за 60 дней)'!$K:$K,"Невинномысск",'ВБ Отчет Продажи (за 60 дней)'!$G:$G,$A41),0)</f>
        <v>0</v>
      </c>
      <c r="L41" s="137">
        <f>ROUNDUP(SUMIFS('ВБ Отчет Продажи (за 60 дней)'!$L:$L,'ВБ Отчет Продажи (за 60 дней)'!$K:$K,"Волгоград",'ВБ Отчет Продажи (за 60 дней)'!$G:$G,$A41),0)</f>
        <v>0</v>
      </c>
      <c r="M41" s="136">
        <f>ROUNDUP(SUMIFS('ВБ Отчет Продажи (за 60 дней)'!$L:$L,'ВБ Отчет Продажи (за 60 дней)'!$K:$K,"Самара (Новосемейкино)",'ВБ Отчет Продажи (за 60 дней)'!$G:$G,$A41),0)</f>
        <v>0</v>
      </c>
      <c r="N41" s="137">
        <f>ROUNDUP(SUMIFS('ВБ Отчет Продажи (за 60 дней)'!$L:$L,'ВБ Отчет Продажи (за 60 дней)'!$K:$K,"Казань",'ВБ Отчет Продажи (за 60 дней)'!$G:$G,$A41),0)</f>
        <v>0</v>
      </c>
      <c r="O41" s="137">
        <f>ROUNDUP(SUMIFS('ВБ Отчет Продажи (за 60 дней)'!$L:$L,'ВБ Отчет Продажи (за 60 дней)'!$K:$K,"СПБ Шушары",'ВБ Отчет Продажи (за 60 дней)'!$G:$G,$A41),0)</f>
        <v>0</v>
      </c>
      <c r="P41" s="151">
        <f>ROUNDUP(SUMIFS('ВБ Отчет Продажи (за 60 дней)'!$L:$L,'ВБ Отчет Продажи (за 60 дней)'!$K:$K,"Екатеринбург - Перспективный 12",'ВБ Отчет Продажи (за 60 дней)'!$G:$G,$A41),0)</f>
        <v>0</v>
      </c>
      <c r="Q41" s="149">
        <f>ROUNDUP(SUMIFS('ВБ Отчет Продажи (за 60 дней)'!$L:$L,'ВБ Отчет Продажи (за 60 дней)'!$K:$K,"Новосибирск",'ВБ Отчет Продажи (за 60 дней)'!$G:$G,$A41),0)</f>
        <v>0</v>
      </c>
      <c r="R41" s="131">
        <f t="shared" si="31"/>
        <v>7</v>
      </c>
      <c r="S41" s="139">
        <f>SUMIFS('ОЗОН Оборот ведом (за 60 дней)'!I:I,'ОЗОН Оборот ведом (за 60 дней)'!A:A,B41)</f>
        <v>0</v>
      </c>
      <c r="T41" s="140">
        <f t="shared" si="8"/>
        <v>7</v>
      </c>
      <c r="U41" s="6">
        <f>SUMIFS('ВБ Отчет Продажи (за 60 дней)'!$P:$P,'ВБ Отчет Продажи (за 60 дней)'!$K:$K,"Электросталь",'ВБ Отчет Продажи (за 60 дней)'!$G:$G,$A41)</f>
        <v>34</v>
      </c>
      <c r="V41" s="7">
        <f>SUMIFS('ВБ Отчет Продажи (за 60 дней)'!$P:$P,'ВБ Отчет Продажи (за 60 дней)'!$K:$K,"Коледино",'ВБ Отчет Продажи (за 60 дней)'!$G:$G,$A41)</f>
        <v>0</v>
      </c>
      <c r="W41" s="7">
        <f>SUMIFS('ВБ Отчет Продажи (за 60 дней)'!$P:$P,'ВБ Отчет Продажи (за 60 дней)'!$K:$K,"Тула",'ВБ Отчет Продажи (за 60 дней)'!$G:$G,$A41)</f>
        <v>0</v>
      </c>
      <c r="X41" s="7">
        <f>SUMIFS('ВБ Отчет Продажи (за 60 дней)'!$P:$P,'ВБ Отчет Продажи (за 60 дней)'!$K:$K,"Рязань (Тюшевское)",'ВБ Отчет Продажи (за 60 дней)'!$G:$G,$A41)</f>
        <v>0</v>
      </c>
      <c r="Y41" s="27">
        <f>SUMIFS('ВБ Отчет Продажи (за 60 дней)'!$P:$P,'ВБ Отчет Продажи (за 60 дней)'!$K:$K,"Краснодар",'ВБ Отчет Продажи (за 60 дней)'!$G:$G,$A41)</f>
        <v>0</v>
      </c>
      <c r="Z41" s="7">
        <f>SUMIFS('ВБ Отчет Продажи (за 60 дней)'!$P:$P,'ВБ Отчет Продажи (за 60 дней)'!$K:$K,"Невинномысск",'ВБ Отчет Продажи (за 60 дней)'!$G:$G,$A41)</f>
        <v>0</v>
      </c>
      <c r="AA41" s="104">
        <f>SUMIFS('ВБ Отчет Продажи (за 60 дней)'!$P:$P,'ВБ Отчет Продажи (за 60 дней)'!$K:$K,"Волгоград",'ВБ Отчет Продажи (за 60 дней)'!$G:$G,$A41)</f>
        <v>1</v>
      </c>
      <c r="AB41" s="27">
        <f>SUMIFS('ВБ Отчет Продажи (за 60 дней)'!$P:$P,'ВБ Отчет Продажи (за 60 дней)'!$K:$K,"Самара (Новосемейкино)",'ВБ Отчет Продажи (за 60 дней)'!$G:$G,$A41)</f>
        <v>0</v>
      </c>
      <c r="AC41" s="104">
        <f>SUMIFS('ВБ Отчет Продажи (за 60 дней)'!$P:$P,'ВБ Отчет Продажи (за 60 дней)'!$K:$K,"Казань",'ВБ Отчет Продажи (за 60 дней)'!$G:$G,$A41)</f>
        <v>0</v>
      </c>
      <c r="AD41" s="104">
        <f>SUMIFS('ВБ Отчет Продажи (за 60 дней)'!$P:$P,'ВБ Отчет Продажи (за 60 дней)'!$K:$K,"СПБ Шушары",'ВБ Отчет Продажи (за 60 дней)'!$G:$G,$A41)</f>
        <v>0</v>
      </c>
      <c r="AE41" s="153">
        <f>SUMIFS('ВБ Отчет Продажи (за 60 дней)'!$P:$P,'ВБ Отчет Продажи (за 60 дней)'!$K:$K,"Екатеринбург - Перспективный 12",'ВБ Отчет Продажи (за 60 дней)'!$G:$G,$A41)</f>
        <v>0</v>
      </c>
      <c r="AF41" s="102">
        <f>SUMIFS('ВБ Отчет Продажи (за 60 дней)'!$P:$P,'ВБ Отчет Продажи (за 60 дней)'!$K:$K,"Новосибирск",'ВБ Отчет Продажи (за 60 дней)'!$G:$G,$A41)</f>
        <v>0</v>
      </c>
      <c r="AG41" s="124">
        <f t="shared" si="9"/>
        <v>35</v>
      </c>
      <c r="AH41" s="7">
        <f t="shared" si="10"/>
        <v>300</v>
      </c>
      <c r="AI41" s="213">
        <f>SUMIFS('ОЗОН Оборот ведом (за 60 дней)'!J:J,'ОЗОН Оборот ведом (за 60 дней)'!A:A,B41)</f>
        <v>0</v>
      </c>
      <c r="AJ41" s="21">
        <f t="shared" si="11"/>
        <v>35</v>
      </c>
      <c r="AK41" s="7" cm="1">
        <f t="array" ref="AK41">IFERROR(_xlfn.IFS((F41-U41)&gt;0,F41/$R$1*$AY$1-U41,F41+U41=0,"нов"),0)</f>
        <v>0</v>
      </c>
      <c r="AL41" s="7" t="str" cm="1">
        <f t="array" ref="AL41">IFERROR(_xlfn.IFS((G41-V41)&gt;0,G41/$R$1*$AY$1-V41,G41+V41=0,"нов"),0)</f>
        <v>нов</v>
      </c>
      <c r="AM41" s="7" t="str" cm="1">
        <f t="array" ref="AM41">IFERROR(_xlfn.IFS((H41-W41)&gt;0,H41/$R$1*$AY$1-W41,H41+W41=0,"нов"),0)</f>
        <v>нов</v>
      </c>
      <c r="AN41" s="7" t="str" cm="1">
        <f t="array" ref="AN41">IFERROR(_xlfn.IFS((I41-X41)&gt;0,I41/$R$1*$AY$1-X41,I41+X41=0,"нов"),0)</f>
        <v>нов</v>
      </c>
      <c r="AO41" s="27" t="str" cm="1">
        <f t="array" ref="AO41">IFERROR(_xlfn.IFS((J41-Y41)&gt;0,J41/$R$1*$AY$1-Y41,J41+Y41=0,"нов"),0)</f>
        <v>нов</v>
      </c>
      <c r="AP41" s="7" t="str" cm="1">
        <f t="array" ref="AP41">IFERROR(_xlfn.IFS((K41-Z41)&gt;0,K41/$R$1*$AY$1-Z41,K41+Z41=0,"нов"),0)</f>
        <v>нов</v>
      </c>
      <c r="AQ41" s="104" cm="1">
        <f t="array" ref="AQ41">IFERROR(_xlfn.IFS((L41-AA41)&gt;0,L41/$R$1*$AY$1-AA41,L41+AA41=0,"нов"),0)</f>
        <v>0</v>
      </c>
      <c r="AR41" s="27" t="str" cm="1">
        <f t="array" ref="AR41">IFERROR(_xlfn.IFS((M41-AB41)&gt;0,M41/$R$1*$AY$1-AB41,M41+AB41=0,"нов"),0)</f>
        <v>нов</v>
      </c>
      <c r="AS41" s="104" t="str" cm="1">
        <f t="array" ref="AS41">IFERROR(_xlfn.IFS((N41-AC41)&gt;0,N41/$R$1*$AY$1-AC41,N41+AC41=0,"нов"),0)</f>
        <v>нов</v>
      </c>
      <c r="AT41" s="104" t="str" cm="1">
        <f t="array" ref="AT41">IFERROR(_xlfn.IFS((O41-AD41)&gt;0,O41/$R$1*$AY$1-AD41,O41+AD41=0,"нов"),0)</f>
        <v>нов</v>
      </c>
      <c r="AU41" s="7" t="str" cm="1">
        <f t="array" ref="AU41">IFERROR(_xlfn.IFS((P41-AE41)&gt;0,P41/$R$1*$AY$1-AE41,P41+AE41=0,"нов"),0)</f>
        <v>нов</v>
      </c>
      <c r="AV41" s="7" t="str" cm="1">
        <f t="array" ref="AV41">IFERROR(_xlfn.IFS((Q41-AF41)&gt;0,Q41/$R$1*$AY$1-AF41,Q41+AF41=0,"нов"),0)</f>
        <v>нов</v>
      </c>
      <c r="AW41" s="141">
        <f t="shared" si="12"/>
        <v>0</v>
      </c>
      <c r="AX41" s="218">
        <f>SUMIF('ОЗОН Доступн товара'!D:D,_xlfn.XLOOKUP($B41,'ОЗОН Доступн товара'!$A:$A,'ОЗОН Доступн товара'!$D:$D,0))</f>
        <v>0</v>
      </c>
      <c r="AY41" s="226">
        <f t="shared" si="13"/>
        <v>0</v>
      </c>
      <c r="AZ41" s="7">
        <f t="shared" si="14"/>
        <v>0</v>
      </c>
      <c r="BA41" s="7" t="str">
        <f t="shared" si="15"/>
        <v>нов</v>
      </c>
      <c r="BB41" s="7" t="str">
        <f t="shared" si="16"/>
        <v>нов</v>
      </c>
      <c r="BC41" s="7" t="str">
        <f t="shared" si="17"/>
        <v>нов</v>
      </c>
      <c r="BD41" s="27" t="str">
        <f t="shared" si="18"/>
        <v>нов</v>
      </c>
      <c r="BE41" s="7" t="str">
        <f t="shared" si="19"/>
        <v>нов</v>
      </c>
      <c r="BF41" s="104">
        <f t="shared" si="20"/>
        <v>0</v>
      </c>
      <c r="BG41" s="27" t="str">
        <f t="shared" si="21"/>
        <v>нов</v>
      </c>
      <c r="BH41" s="104" t="str">
        <f t="shared" si="22"/>
        <v>нов</v>
      </c>
      <c r="BI41" s="7" t="str">
        <f t="shared" si="23"/>
        <v>нов</v>
      </c>
      <c r="BJ41" s="153" t="str">
        <f t="shared" si="24"/>
        <v>нов</v>
      </c>
      <c r="BK41" s="7" t="str">
        <f t="shared" si="25"/>
        <v>нов</v>
      </c>
      <c r="BL41" s="6">
        <f t="shared" si="26"/>
        <v>0</v>
      </c>
      <c r="BM41" s="6">
        <f t="shared" si="27"/>
        <v>0</v>
      </c>
      <c r="BN41" s="28">
        <f t="shared" si="28"/>
        <v>0</v>
      </c>
      <c r="BO41" s="73">
        <f>IFERROR(_xlfn.XLOOKUP(A41,'[2] Расчет стоимости и веса'!$I:$I,'[2] Расчет стоимости и веса'!$D:$D),0)</f>
        <v>60</v>
      </c>
      <c r="BP41" s="227">
        <f t="shared" si="29"/>
        <v>60</v>
      </c>
      <c r="BQ41" s="8"/>
      <c r="BR41" s="155"/>
      <c r="BS41" s="12"/>
      <c r="BT41" s="12"/>
      <c r="BU41" s="229"/>
      <c r="BV41" s="12"/>
      <c r="BW41" s="12">
        <v>15</v>
      </c>
      <c r="BY41" s="231">
        <v>15</v>
      </c>
      <c r="BZ41" s="232"/>
      <c r="CA41" s="155">
        <v>15</v>
      </c>
      <c r="CB41" s="157">
        <v>15</v>
      </c>
      <c r="CC41" s="57"/>
      <c r="CD41" s="12"/>
      <c r="CE41" s="146">
        <f t="shared" si="5"/>
        <v>60</v>
      </c>
      <c r="CF41" s="69">
        <f t="shared" si="6"/>
        <v>60</v>
      </c>
      <c r="CG41" s="45">
        <f t="shared" si="7"/>
        <v>0</v>
      </c>
    </row>
    <row r="42" spans="1:85" ht="14.1" customHeight="1">
      <c r="A42" s="245">
        <f>[1]Юнит!A44</f>
        <v>550539998</v>
      </c>
      <c r="B42" s="246">
        <f>[1]Юнит!B44</f>
        <v>0</v>
      </c>
      <c r="C42" s="245" t="str">
        <f>[1]Юнит!C44</f>
        <v>ACRB5FR200CL</v>
      </c>
      <c r="D42" s="247" t="str">
        <f>[1]Юнит!D44</f>
        <v>Набор эластичных лент 5 шт. в мешке</v>
      </c>
      <c r="E42" s="90">
        <f>[1]Юнит!E44</f>
        <v>2046392546618</v>
      </c>
      <c r="F42" s="132">
        <f>ROUNDUP(SUMIFS('ВБ Отчет Продажи (за 60 дней)'!$L:$L,'ВБ Отчет Продажи (за 60 дней)'!$K:$K,"Электросталь",'ВБ Отчет Продажи (за 60 дней)'!$G:$G,$A42),0)</f>
        <v>1</v>
      </c>
      <c r="G42" s="133">
        <f>ROUNDUP(SUMIFS('ВБ Отчет Продажи (за 60 дней)'!$L:$L,'ВБ Отчет Продажи (за 60 дней)'!$K:$K,"Коледино",'ВБ Отчет Продажи (за 60 дней)'!$G:$G,$A42),0)</f>
        <v>0</v>
      </c>
      <c r="H42" s="133">
        <f>ROUNDUP(SUMIFS('ВБ Отчет Продажи (за 60 дней)'!$L:$L,'ВБ Отчет Продажи (за 60 дней)'!$K:$K,"Тула",'ВБ Отчет Продажи (за 60 дней)'!$G:$G,$A42),0)</f>
        <v>0</v>
      </c>
      <c r="I42" s="134">
        <f>ROUNDUP(SUMIFS('ВБ Отчет Продажи (за 60 дней)'!$L:$L,'ВБ Отчет Продажи (за 60 дней)'!$K:$K,"Рязань (Тюшевское)",'ВБ Отчет Продажи (за 60 дней)'!$G:$G,$A42),0)</f>
        <v>0</v>
      </c>
      <c r="J42" s="136">
        <f>ROUNDUP(SUMIFS('ВБ Отчет Продажи (за 60 дней)'!$L:$L,'ВБ Отчет Продажи (за 60 дней)'!$K:$K,"Краснодар",'ВБ Отчет Продажи (за 60 дней)'!$G:$G,$A42),0)</f>
        <v>0</v>
      </c>
      <c r="K42" s="133">
        <f>ROUNDUP(SUMIFS('ВБ Отчет Продажи (за 60 дней)'!$L:$L,'ВБ Отчет Продажи (за 60 дней)'!$K:$K,"Невинномысск",'ВБ Отчет Продажи (за 60 дней)'!$G:$G,$A42),0)</f>
        <v>0</v>
      </c>
      <c r="L42" s="137">
        <f>ROUNDUP(SUMIFS('ВБ Отчет Продажи (за 60 дней)'!$L:$L,'ВБ Отчет Продажи (за 60 дней)'!$K:$K,"Волгоград",'ВБ Отчет Продажи (за 60 дней)'!$G:$G,$A42),0)</f>
        <v>0</v>
      </c>
      <c r="M42" s="136">
        <f>ROUNDUP(SUMIFS('ВБ Отчет Продажи (за 60 дней)'!$L:$L,'ВБ Отчет Продажи (за 60 дней)'!$K:$K,"Самара (Новосемейкино)",'ВБ Отчет Продажи (за 60 дней)'!$G:$G,$A42),0)</f>
        <v>1</v>
      </c>
      <c r="N42" s="137">
        <f>ROUNDUP(SUMIFS('ВБ Отчет Продажи (за 60 дней)'!$L:$L,'ВБ Отчет Продажи (за 60 дней)'!$K:$K,"Казань",'ВБ Отчет Продажи (за 60 дней)'!$G:$G,$A42),0)</f>
        <v>0</v>
      </c>
      <c r="O42" s="137">
        <f>ROUNDUP(SUMIFS('ВБ Отчет Продажи (за 60 дней)'!$L:$L,'ВБ Отчет Продажи (за 60 дней)'!$K:$K,"СПБ Шушары",'ВБ Отчет Продажи (за 60 дней)'!$G:$G,$A42),0)</f>
        <v>0</v>
      </c>
      <c r="P42" s="151">
        <f>ROUNDUP(SUMIFS('ВБ Отчет Продажи (за 60 дней)'!$L:$L,'ВБ Отчет Продажи (за 60 дней)'!$K:$K,"Екатеринбург - Перспективный 12",'ВБ Отчет Продажи (за 60 дней)'!$G:$G,$A42),0)</f>
        <v>0</v>
      </c>
      <c r="Q42" s="149">
        <f>ROUNDUP(SUMIFS('ВБ Отчет Продажи (за 60 дней)'!$L:$L,'ВБ Отчет Продажи (за 60 дней)'!$K:$K,"Новосибирск",'ВБ Отчет Продажи (за 60 дней)'!$G:$G,$A42),0)</f>
        <v>0</v>
      </c>
      <c r="R42" s="131">
        <f t="shared" si="31"/>
        <v>2</v>
      </c>
      <c r="S42" s="139">
        <f>SUMIFS('ОЗОН Оборот ведом (за 60 дней)'!I:I,'ОЗОН Оборот ведом (за 60 дней)'!A:A,B42)</f>
        <v>0</v>
      </c>
      <c r="T42" s="140">
        <f t="shared" si="8"/>
        <v>2</v>
      </c>
      <c r="U42" s="6">
        <f>SUMIFS('ВБ Отчет Продажи (за 60 дней)'!$P:$P,'ВБ Отчет Продажи (за 60 дней)'!$K:$K,"Электросталь",'ВБ Отчет Продажи (за 60 дней)'!$G:$G,$A42)</f>
        <v>14</v>
      </c>
      <c r="V42" s="7">
        <f>SUMIFS('ВБ Отчет Продажи (за 60 дней)'!$P:$P,'ВБ Отчет Продажи (за 60 дней)'!$K:$K,"Коледино",'ВБ Отчет Продажи (за 60 дней)'!$G:$G,$A42)</f>
        <v>0</v>
      </c>
      <c r="W42" s="7">
        <f>SUMIFS('ВБ Отчет Продажи (за 60 дней)'!$P:$P,'ВБ Отчет Продажи (за 60 дней)'!$K:$K,"Тула",'ВБ Отчет Продажи (за 60 дней)'!$G:$G,$A42)</f>
        <v>0</v>
      </c>
      <c r="X42" s="7">
        <f>SUMIFS('ВБ Отчет Продажи (за 60 дней)'!$P:$P,'ВБ Отчет Продажи (за 60 дней)'!$K:$K,"Рязань (Тюшевское)",'ВБ Отчет Продажи (за 60 дней)'!$G:$G,$A42)</f>
        <v>0</v>
      </c>
      <c r="Y42" s="27">
        <f>SUMIFS('ВБ Отчет Продажи (за 60 дней)'!$P:$P,'ВБ Отчет Продажи (за 60 дней)'!$K:$K,"Краснодар",'ВБ Отчет Продажи (за 60 дней)'!$G:$G,$A42)</f>
        <v>0</v>
      </c>
      <c r="Z42" s="7">
        <f>SUMIFS('ВБ Отчет Продажи (за 60 дней)'!$P:$P,'ВБ Отчет Продажи (за 60 дней)'!$K:$K,"Невинномысск",'ВБ Отчет Продажи (за 60 дней)'!$G:$G,$A42)</f>
        <v>12</v>
      </c>
      <c r="AA42" s="104">
        <f>SUMIFS('ВБ Отчет Продажи (за 60 дней)'!$P:$P,'ВБ Отчет Продажи (за 60 дней)'!$K:$K,"Волгоград",'ВБ Отчет Продажи (за 60 дней)'!$G:$G,$A42)</f>
        <v>0</v>
      </c>
      <c r="AB42" s="27">
        <f>SUMIFS('ВБ Отчет Продажи (за 60 дней)'!$P:$P,'ВБ Отчет Продажи (за 60 дней)'!$K:$K,"Самара (Новосемейкино)",'ВБ Отчет Продажи (за 60 дней)'!$G:$G,$A42)</f>
        <v>2</v>
      </c>
      <c r="AC42" s="104">
        <f>SUMIFS('ВБ Отчет Продажи (за 60 дней)'!$P:$P,'ВБ Отчет Продажи (за 60 дней)'!$K:$K,"Казань",'ВБ Отчет Продажи (за 60 дней)'!$G:$G,$A42)</f>
        <v>0</v>
      </c>
      <c r="AD42" s="104">
        <f>SUMIFS('ВБ Отчет Продажи (за 60 дней)'!$P:$P,'ВБ Отчет Продажи (за 60 дней)'!$K:$K,"СПБ Шушары",'ВБ Отчет Продажи (за 60 дней)'!$G:$G,$A42)</f>
        <v>0</v>
      </c>
      <c r="AE42" s="153">
        <f>SUMIFS('ВБ Отчет Продажи (за 60 дней)'!$P:$P,'ВБ Отчет Продажи (за 60 дней)'!$K:$K,"Екатеринбург - Перспективный 12",'ВБ Отчет Продажи (за 60 дней)'!$G:$G,$A42)</f>
        <v>0</v>
      </c>
      <c r="AF42" s="102">
        <f>SUMIFS('ВБ Отчет Продажи (за 60 дней)'!$P:$P,'ВБ Отчет Продажи (за 60 дней)'!$K:$K,"Новосибирск",'ВБ Отчет Продажи (за 60 дней)'!$G:$G,$A42)</f>
        <v>0</v>
      </c>
      <c r="AG42" s="124">
        <f t="shared" si="9"/>
        <v>28</v>
      </c>
      <c r="AH42" s="7">
        <f t="shared" si="10"/>
        <v>840</v>
      </c>
      <c r="AI42" s="213">
        <f>SUMIFS('ОЗОН Оборот ведом (за 60 дней)'!J:J,'ОЗОН Оборот ведом (за 60 дней)'!A:A,B42)</f>
        <v>0</v>
      </c>
      <c r="AJ42" s="21">
        <f t="shared" si="11"/>
        <v>28</v>
      </c>
      <c r="AK42" s="7" cm="1">
        <f t="array" ref="AK42">IFERROR(_xlfn.IFS((F42-U42)&gt;0,F42/$R$1*$AY$1-U42,F42+U42=0,"нов"),0)</f>
        <v>0</v>
      </c>
      <c r="AL42" s="7" t="str" cm="1">
        <f t="array" ref="AL42">IFERROR(_xlfn.IFS((G42-V42)&gt;0,G42/$R$1*$AY$1-V42,G42+V42=0,"нов"),0)</f>
        <v>нов</v>
      </c>
      <c r="AM42" s="7" t="str" cm="1">
        <f t="array" ref="AM42">IFERROR(_xlfn.IFS((H42-W42)&gt;0,H42/$R$1*$AY$1-W42,H42+W42=0,"нов"),0)</f>
        <v>нов</v>
      </c>
      <c r="AN42" s="7" t="str" cm="1">
        <f t="array" ref="AN42">IFERROR(_xlfn.IFS((I42-X42)&gt;0,I42/$R$1*$AY$1-X42,I42+X42=0,"нов"),0)</f>
        <v>нов</v>
      </c>
      <c r="AO42" s="27" t="str" cm="1">
        <f t="array" ref="AO42">IFERROR(_xlfn.IFS((J42-Y42)&gt;0,J42/$R$1*$AY$1-Y42,J42+Y42=0,"нов"),0)</f>
        <v>нов</v>
      </c>
      <c r="AP42" s="7" cm="1">
        <f t="array" ref="AP42">IFERROR(_xlfn.IFS((K42-Z42)&gt;0,K42/$R$1*$AY$1-Z42,K42+Z42=0,"нов"),0)</f>
        <v>0</v>
      </c>
      <c r="AQ42" s="104" t="str" cm="1">
        <f t="array" ref="AQ42">IFERROR(_xlfn.IFS((L42-AA42)&gt;0,L42/$R$1*$AY$1-AA42,L42+AA42=0,"нов"),0)</f>
        <v>нов</v>
      </c>
      <c r="AR42" s="27" cm="1">
        <f t="array" ref="AR42">IFERROR(_xlfn.IFS((M42-AB42)&gt;0,M42/$R$1*$AY$1-AB42,M42+AB42=0,"нов"),0)</f>
        <v>0</v>
      </c>
      <c r="AS42" s="104" t="str" cm="1">
        <f t="array" ref="AS42">IFERROR(_xlfn.IFS((N42-AC42)&gt;0,N42/$R$1*$AY$1-AC42,N42+AC42=0,"нов"),0)</f>
        <v>нов</v>
      </c>
      <c r="AT42" s="104" t="str" cm="1">
        <f t="array" ref="AT42">IFERROR(_xlfn.IFS((O42-AD42)&gt;0,O42/$R$1*$AY$1-AD42,O42+AD42=0,"нов"),0)</f>
        <v>нов</v>
      </c>
      <c r="AU42" s="7" t="str" cm="1">
        <f t="array" ref="AU42">IFERROR(_xlfn.IFS((P42-AE42)&gt;0,P42/$R$1*$AY$1-AE42,P42+AE42=0,"нов"),0)</f>
        <v>нов</v>
      </c>
      <c r="AV42" s="7" t="str" cm="1">
        <f t="array" ref="AV42">IFERROR(_xlfn.IFS((Q42-AF42)&gt;0,Q42/$R$1*$AY$1-AF42,Q42+AF42=0,"нов"),0)</f>
        <v>нов</v>
      </c>
      <c r="AW42" s="141">
        <f t="shared" si="12"/>
        <v>0</v>
      </c>
      <c r="AX42" s="218">
        <f>SUMIF('ОЗОН Доступн товара'!D:D,_xlfn.XLOOKUP($B42,'ОЗОН Доступн товара'!$A:$A,'ОЗОН Доступн товара'!$D:$D,0))</f>
        <v>0</v>
      </c>
      <c r="AY42" s="226">
        <f t="shared" si="13"/>
        <v>0</v>
      </c>
      <c r="AZ42" s="7">
        <f t="shared" si="14"/>
        <v>0</v>
      </c>
      <c r="BA42" s="7" t="str">
        <f t="shared" si="15"/>
        <v>нов</v>
      </c>
      <c r="BB42" s="7" t="str">
        <f t="shared" si="16"/>
        <v>нов</v>
      </c>
      <c r="BC42" s="7" t="str">
        <f t="shared" si="17"/>
        <v>нов</v>
      </c>
      <c r="BD42" s="27" t="str">
        <f t="shared" si="18"/>
        <v>нов</v>
      </c>
      <c r="BE42" s="7">
        <f t="shared" si="19"/>
        <v>0</v>
      </c>
      <c r="BF42" s="104" t="str">
        <f t="shared" si="20"/>
        <v>нов</v>
      </c>
      <c r="BG42" s="27">
        <f t="shared" si="21"/>
        <v>0</v>
      </c>
      <c r="BH42" s="104" t="str">
        <f t="shared" si="22"/>
        <v>нов</v>
      </c>
      <c r="BI42" s="7" t="str">
        <f t="shared" si="23"/>
        <v>нов</v>
      </c>
      <c r="BJ42" s="153" t="str">
        <f t="shared" si="24"/>
        <v>нов</v>
      </c>
      <c r="BK42" s="7" t="str">
        <f t="shared" si="25"/>
        <v>нов</v>
      </c>
      <c r="BL42" s="6">
        <f t="shared" si="26"/>
        <v>0</v>
      </c>
      <c r="BM42" s="6">
        <f t="shared" si="27"/>
        <v>0</v>
      </c>
      <c r="BN42" s="28">
        <f t="shared" si="28"/>
        <v>0</v>
      </c>
      <c r="BO42" s="73">
        <f>IFERROR(_xlfn.XLOOKUP(A42,'[2] Расчет стоимости и веса'!$I:$I,'[2] Расчет стоимости и веса'!$D:$D),0)</f>
        <v>30</v>
      </c>
      <c r="BP42" s="227">
        <f t="shared" si="29"/>
        <v>30</v>
      </c>
      <c r="BQ42" s="8"/>
      <c r="BR42" s="155"/>
      <c r="BS42" s="12"/>
      <c r="BT42" s="12"/>
      <c r="BU42" s="229"/>
      <c r="BV42" s="12"/>
      <c r="BW42" s="12"/>
      <c r="BY42" s="231">
        <v>10</v>
      </c>
      <c r="BZ42" s="232"/>
      <c r="CA42" s="155">
        <v>10</v>
      </c>
      <c r="CB42" s="157">
        <v>10</v>
      </c>
      <c r="CC42" s="57"/>
      <c r="CD42" s="12"/>
      <c r="CE42" s="146">
        <f t="shared" si="5"/>
        <v>30</v>
      </c>
      <c r="CF42" s="69">
        <f t="shared" si="6"/>
        <v>30</v>
      </c>
      <c r="CG42" s="45">
        <f t="shared" si="7"/>
        <v>0</v>
      </c>
    </row>
    <row r="43" spans="1:85" ht="14.1" hidden="1" customHeight="1">
      <c r="A43" s="245">
        <f>[1]Юнит!A45</f>
        <v>550539999</v>
      </c>
      <c r="B43" s="246">
        <f>[1]Юнит!B45</f>
        <v>0</v>
      </c>
      <c r="C43" s="245" t="str">
        <f>[1]Юнит!C45</f>
        <v>ACRB4FR300CL</v>
      </c>
      <c r="D43" s="247" t="str">
        <f>[1]Юнит!D45</f>
        <v>Набор эластичных лент 4 шт.</v>
      </c>
      <c r="E43" s="90">
        <f>[1]Юнит!E45</f>
        <v>2046392546632</v>
      </c>
      <c r="F43" s="132">
        <f>ROUNDUP(SUMIFS('ВБ Отчет Продажи (за 60 дней)'!$L:$L,'ВБ Отчет Продажи (за 60 дней)'!$K:$K,"Электросталь",'ВБ Отчет Продажи (за 60 дней)'!$G:$G,$A43),0)</f>
        <v>1</v>
      </c>
      <c r="G43" s="133">
        <f>ROUNDUP(SUMIFS('ВБ Отчет Продажи (за 60 дней)'!$L:$L,'ВБ Отчет Продажи (за 60 дней)'!$K:$K,"Коледино",'ВБ Отчет Продажи (за 60 дней)'!$G:$G,$A43),0)</f>
        <v>0</v>
      </c>
      <c r="H43" s="133">
        <f>ROUNDUP(SUMIFS('ВБ Отчет Продажи (за 60 дней)'!$L:$L,'ВБ Отчет Продажи (за 60 дней)'!$K:$K,"Тула",'ВБ Отчет Продажи (за 60 дней)'!$G:$G,$A43),0)</f>
        <v>1</v>
      </c>
      <c r="I43" s="134">
        <f>ROUNDUP(SUMIFS('ВБ Отчет Продажи (за 60 дней)'!$L:$L,'ВБ Отчет Продажи (за 60 дней)'!$K:$K,"Рязань (Тюшевское)",'ВБ Отчет Продажи (за 60 дней)'!$G:$G,$A43),0)</f>
        <v>0</v>
      </c>
      <c r="J43" s="136">
        <f>ROUNDUP(SUMIFS('ВБ Отчет Продажи (за 60 дней)'!$L:$L,'ВБ Отчет Продажи (за 60 дней)'!$K:$K,"Краснодар",'ВБ Отчет Продажи (за 60 дней)'!$G:$G,$A43),0)</f>
        <v>0</v>
      </c>
      <c r="K43" s="133">
        <f>ROUNDUP(SUMIFS('ВБ Отчет Продажи (за 60 дней)'!$L:$L,'ВБ Отчет Продажи (за 60 дней)'!$K:$K,"Невинномысск",'ВБ Отчет Продажи (за 60 дней)'!$G:$G,$A43),0)</f>
        <v>0</v>
      </c>
      <c r="L43" s="137">
        <f>ROUNDUP(SUMIFS('ВБ Отчет Продажи (за 60 дней)'!$L:$L,'ВБ Отчет Продажи (за 60 дней)'!$K:$K,"Волгоград",'ВБ Отчет Продажи (за 60 дней)'!$G:$G,$A43),0)</f>
        <v>0</v>
      </c>
      <c r="M43" s="136">
        <f>ROUNDUP(SUMIFS('ВБ Отчет Продажи (за 60 дней)'!$L:$L,'ВБ Отчет Продажи (за 60 дней)'!$K:$K,"Самара (Новосемейкино)",'ВБ Отчет Продажи (за 60 дней)'!$G:$G,$A43),0)</f>
        <v>1</v>
      </c>
      <c r="N43" s="137">
        <f>ROUNDUP(SUMIFS('ВБ Отчет Продажи (за 60 дней)'!$L:$L,'ВБ Отчет Продажи (за 60 дней)'!$K:$K,"Казань",'ВБ Отчет Продажи (за 60 дней)'!$G:$G,$A43),0)</f>
        <v>0</v>
      </c>
      <c r="O43" s="137">
        <f>ROUNDUP(SUMIFS('ВБ Отчет Продажи (за 60 дней)'!$L:$L,'ВБ Отчет Продажи (за 60 дней)'!$K:$K,"СПБ Шушары",'ВБ Отчет Продажи (за 60 дней)'!$G:$G,$A43),0)</f>
        <v>0</v>
      </c>
      <c r="P43" s="151">
        <f>ROUNDUP(SUMIFS('ВБ Отчет Продажи (за 60 дней)'!$L:$L,'ВБ Отчет Продажи (за 60 дней)'!$K:$K,"Екатеринбург - Перспективный 12",'ВБ Отчет Продажи (за 60 дней)'!$G:$G,$A43),0)</f>
        <v>0</v>
      </c>
      <c r="Q43" s="149">
        <f>ROUNDUP(SUMIFS('ВБ Отчет Продажи (за 60 дней)'!$L:$L,'ВБ Отчет Продажи (за 60 дней)'!$K:$K,"Новосибирск",'ВБ Отчет Продажи (за 60 дней)'!$G:$G,$A43),0)</f>
        <v>0</v>
      </c>
      <c r="R43" s="131">
        <f t="shared" si="31"/>
        <v>3</v>
      </c>
      <c r="S43" s="139">
        <f>SUMIFS('ОЗОН Оборот ведом (за 60 дней)'!I:I,'ОЗОН Оборот ведом (за 60 дней)'!A:A,B43)</f>
        <v>0</v>
      </c>
      <c r="T43" s="140">
        <f t="shared" si="8"/>
        <v>3</v>
      </c>
      <c r="U43" s="6">
        <f>SUMIFS('ВБ Отчет Продажи (за 60 дней)'!$P:$P,'ВБ Отчет Продажи (за 60 дней)'!$K:$K,"Электросталь",'ВБ Отчет Продажи (за 60 дней)'!$G:$G,$A43)</f>
        <v>16</v>
      </c>
      <c r="V43" s="7">
        <f>SUMIFS('ВБ Отчет Продажи (за 60 дней)'!$P:$P,'ВБ Отчет Продажи (за 60 дней)'!$K:$K,"Коледино",'ВБ Отчет Продажи (за 60 дней)'!$G:$G,$A43)</f>
        <v>0</v>
      </c>
      <c r="W43" s="7">
        <f>SUMIFS('ВБ Отчет Продажи (за 60 дней)'!$P:$P,'ВБ Отчет Продажи (за 60 дней)'!$K:$K,"Тула",'ВБ Отчет Продажи (за 60 дней)'!$G:$G,$A43)</f>
        <v>0</v>
      </c>
      <c r="X43" s="7">
        <f>SUMIFS('ВБ Отчет Продажи (за 60 дней)'!$P:$P,'ВБ Отчет Продажи (за 60 дней)'!$K:$K,"Рязань (Тюшевское)",'ВБ Отчет Продажи (за 60 дней)'!$G:$G,$A43)</f>
        <v>0</v>
      </c>
      <c r="Y43" s="27">
        <f>SUMIFS('ВБ Отчет Продажи (за 60 дней)'!$P:$P,'ВБ Отчет Продажи (за 60 дней)'!$K:$K,"Краснодар",'ВБ Отчет Продажи (за 60 дней)'!$G:$G,$A43)</f>
        <v>0</v>
      </c>
      <c r="Z43" s="7">
        <f>SUMIFS('ВБ Отчет Продажи (за 60 дней)'!$P:$P,'ВБ Отчет Продажи (за 60 дней)'!$K:$K,"Невинномысск",'ВБ Отчет Продажи (за 60 дней)'!$G:$G,$A43)</f>
        <v>14</v>
      </c>
      <c r="AA43" s="104">
        <f>SUMIFS('ВБ Отчет Продажи (за 60 дней)'!$P:$P,'ВБ Отчет Продажи (за 60 дней)'!$K:$K,"Волгоград",'ВБ Отчет Продажи (за 60 дней)'!$G:$G,$A43)</f>
        <v>0</v>
      </c>
      <c r="AB43" s="27">
        <f>SUMIFS('ВБ Отчет Продажи (за 60 дней)'!$P:$P,'ВБ Отчет Продажи (за 60 дней)'!$K:$K,"Самара (Новосемейкино)",'ВБ Отчет Продажи (за 60 дней)'!$G:$G,$A43)</f>
        <v>11</v>
      </c>
      <c r="AC43" s="104">
        <f>SUMIFS('ВБ Отчет Продажи (за 60 дней)'!$P:$P,'ВБ Отчет Продажи (за 60 дней)'!$K:$K,"Казань",'ВБ Отчет Продажи (за 60 дней)'!$G:$G,$A43)</f>
        <v>0</v>
      </c>
      <c r="AD43" s="104">
        <f>SUMIFS('ВБ Отчет Продажи (за 60 дней)'!$P:$P,'ВБ Отчет Продажи (за 60 дней)'!$K:$K,"СПБ Шушары",'ВБ Отчет Продажи (за 60 дней)'!$G:$G,$A43)</f>
        <v>0</v>
      </c>
      <c r="AE43" s="153">
        <f>SUMIFS('ВБ Отчет Продажи (за 60 дней)'!$P:$P,'ВБ Отчет Продажи (за 60 дней)'!$K:$K,"Екатеринбург - Перспективный 12",'ВБ Отчет Продажи (за 60 дней)'!$G:$G,$A43)</f>
        <v>0</v>
      </c>
      <c r="AF43" s="102">
        <f>SUMIFS('ВБ Отчет Продажи (за 60 дней)'!$P:$P,'ВБ Отчет Продажи (за 60 дней)'!$K:$K,"Новосибирск",'ВБ Отчет Продажи (за 60 дней)'!$G:$G,$A43)</f>
        <v>0</v>
      </c>
      <c r="AG43" s="124">
        <f t="shared" si="9"/>
        <v>41</v>
      </c>
      <c r="AH43" s="7">
        <f t="shared" si="10"/>
        <v>820</v>
      </c>
      <c r="AI43" s="213">
        <f>SUMIFS('ОЗОН Оборот ведом (за 60 дней)'!J:J,'ОЗОН Оборот ведом (за 60 дней)'!A:A,B43)</f>
        <v>0</v>
      </c>
      <c r="AJ43" s="21">
        <f t="shared" si="11"/>
        <v>41</v>
      </c>
      <c r="AK43" s="7" cm="1">
        <f t="array" ref="AK43">IFERROR(_xlfn.IFS((F43-U43)&gt;0,F43/$R$1*$AY$1-U43,F43+U43=0,"нов"),0)</f>
        <v>0</v>
      </c>
      <c r="AL43" s="7" t="str" cm="1">
        <f t="array" ref="AL43">IFERROR(_xlfn.IFS((G43-V43)&gt;0,G43/$R$1*$AY$1-V43,G43+V43=0,"нов"),0)</f>
        <v>нов</v>
      </c>
      <c r="AM43" s="7" cm="1">
        <f t="array" ref="AM43">IFERROR(_xlfn.IFS((H43-W43)&gt;0,H43/$R$1*$AY$1-W43,H43+W43=0,"нов"),0)</f>
        <v>1</v>
      </c>
      <c r="AN43" s="7" t="str" cm="1">
        <f t="array" ref="AN43">IFERROR(_xlfn.IFS((I43-X43)&gt;0,I43/$R$1*$AY$1-X43,I43+X43=0,"нов"),0)</f>
        <v>нов</v>
      </c>
      <c r="AO43" s="27" t="str" cm="1">
        <f t="array" ref="AO43">IFERROR(_xlfn.IFS((J43-Y43)&gt;0,J43/$R$1*$AY$1-Y43,J43+Y43=0,"нов"),0)</f>
        <v>нов</v>
      </c>
      <c r="AP43" s="7" cm="1">
        <f t="array" ref="AP43">IFERROR(_xlfn.IFS((K43-Z43)&gt;0,K43/$R$1*$AY$1-Z43,K43+Z43=0,"нов"),0)</f>
        <v>0</v>
      </c>
      <c r="AQ43" s="104" t="str" cm="1">
        <f t="array" ref="AQ43">IFERROR(_xlfn.IFS((L43-AA43)&gt;0,L43/$R$1*$AY$1-AA43,L43+AA43=0,"нов"),0)</f>
        <v>нов</v>
      </c>
      <c r="AR43" s="27" cm="1">
        <f t="array" ref="AR43">IFERROR(_xlfn.IFS((M43-AB43)&gt;0,M43/$R$1*$AY$1-AB43,M43+AB43=0,"нов"),0)</f>
        <v>0</v>
      </c>
      <c r="AS43" s="104" t="str" cm="1">
        <f t="array" ref="AS43">IFERROR(_xlfn.IFS((N43-AC43)&gt;0,N43/$R$1*$AY$1-AC43,N43+AC43=0,"нов"),0)</f>
        <v>нов</v>
      </c>
      <c r="AT43" s="104" t="str" cm="1">
        <f t="array" ref="AT43">IFERROR(_xlfn.IFS((O43-AD43)&gt;0,O43/$R$1*$AY$1-AD43,O43+AD43=0,"нов"),0)</f>
        <v>нов</v>
      </c>
      <c r="AU43" s="7" t="str" cm="1">
        <f t="array" ref="AU43">IFERROR(_xlfn.IFS((P43-AE43)&gt;0,P43/$R$1*$AY$1-AE43,P43+AE43=0,"нов"),0)</f>
        <v>нов</v>
      </c>
      <c r="AV43" s="7" t="str" cm="1">
        <f t="array" ref="AV43">IFERROR(_xlfn.IFS((Q43-AF43)&gt;0,Q43/$R$1*$AY$1-AF43,Q43+AF43=0,"нов"),0)</f>
        <v>нов</v>
      </c>
      <c r="AW43" s="141">
        <f t="shared" si="12"/>
        <v>1</v>
      </c>
      <c r="AX43" s="218">
        <f>SUMIF('ОЗОН Доступн товара'!D:D,_xlfn.XLOOKUP($B43,'ОЗОН Доступн товара'!$A:$A,'ОЗОН Доступн товара'!$D:$D,0))</f>
        <v>0</v>
      </c>
      <c r="AY43" s="226">
        <f t="shared" si="13"/>
        <v>1</v>
      </c>
      <c r="AZ43" s="7">
        <f t="shared" si="14"/>
        <v>0</v>
      </c>
      <c r="BA43" s="7" t="str">
        <f t="shared" si="15"/>
        <v>нов</v>
      </c>
      <c r="BB43" s="7">
        <f t="shared" si="16"/>
        <v>2</v>
      </c>
      <c r="BC43" s="7" t="str">
        <f t="shared" si="17"/>
        <v>нов</v>
      </c>
      <c r="BD43" s="27" t="str">
        <f t="shared" si="18"/>
        <v>нов</v>
      </c>
      <c r="BE43" s="7">
        <f t="shared" si="19"/>
        <v>0</v>
      </c>
      <c r="BF43" s="104" t="str">
        <f t="shared" si="20"/>
        <v>нов</v>
      </c>
      <c r="BG43" s="27">
        <f t="shared" si="21"/>
        <v>0</v>
      </c>
      <c r="BH43" s="104" t="str">
        <f t="shared" si="22"/>
        <v>нов</v>
      </c>
      <c r="BI43" s="7" t="str">
        <f t="shared" si="23"/>
        <v>нов</v>
      </c>
      <c r="BJ43" s="153" t="str">
        <f t="shared" si="24"/>
        <v>нов</v>
      </c>
      <c r="BK43" s="7" t="str">
        <f t="shared" si="25"/>
        <v>нов</v>
      </c>
      <c r="BL43" s="6">
        <f t="shared" si="26"/>
        <v>2</v>
      </c>
      <c r="BM43" s="6">
        <f t="shared" si="27"/>
        <v>0</v>
      </c>
      <c r="BN43" s="28">
        <f t="shared" si="28"/>
        <v>2</v>
      </c>
      <c r="BO43" s="73">
        <f>IFERROR(_xlfn.XLOOKUP(A43,'[2] Расчет стоимости и веса'!$I:$I,'[2] Расчет стоимости и веса'!$D:$D),0)</f>
        <v>0</v>
      </c>
      <c r="BP43" s="227">
        <f t="shared" si="29"/>
        <v>0</v>
      </c>
      <c r="BQ43" s="8"/>
      <c r="BR43" s="155"/>
      <c r="BS43" s="12"/>
      <c r="BT43" s="12"/>
      <c r="BU43" s="229"/>
      <c r="BV43" s="12"/>
      <c r="BW43" s="12"/>
      <c r="BY43" s="231"/>
      <c r="BZ43" s="232"/>
      <c r="CA43" s="155"/>
      <c r="CB43" s="157"/>
      <c r="CC43" s="57"/>
      <c r="CD43" s="12"/>
      <c r="CE43" s="146">
        <f t="shared" si="5"/>
        <v>0</v>
      </c>
      <c r="CF43" s="69">
        <f t="shared" si="6"/>
        <v>0</v>
      </c>
      <c r="CG43" s="45">
        <f t="shared" si="7"/>
        <v>0</v>
      </c>
    </row>
    <row r="44" spans="1:85" ht="14.1" hidden="1" customHeight="1">
      <c r="A44" s="245">
        <f>[1]Юнит!A46</f>
        <v>550540000</v>
      </c>
      <c r="B44" s="246">
        <f>[1]Юнит!B46</f>
        <v>0</v>
      </c>
      <c r="C44" s="245" t="str">
        <f>[1]Юнит!C46</f>
        <v>ACRB5FR400CL</v>
      </c>
      <c r="D44" s="247" t="str">
        <f>[1]Юнит!D46</f>
        <v>Набор эластичных лент 5 шт.</v>
      </c>
      <c r="E44" s="90">
        <f>[1]Юнит!E46</f>
        <v>2046392546656</v>
      </c>
      <c r="F44" s="132">
        <f>ROUNDUP(SUMIFS('ВБ Отчет Продажи (за 60 дней)'!$L:$L,'ВБ Отчет Продажи (за 60 дней)'!$K:$K,"Электросталь",'ВБ Отчет Продажи (за 60 дней)'!$G:$G,$A44),0)</f>
        <v>0</v>
      </c>
      <c r="G44" s="133">
        <f>ROUNDUP(SUMIFS('ВБ Отчет Продажи (за 60 дней)'!$L:$L,'ВБ Отчет Продажи (за 60 дней)'!$K:$K,"Коледино",'ВБ Отчет Продажи (за 60 дней)'!$G:$G,$A44),0)</f>
        <v>0</v>
      </c>
      <c r="H44" s="133">
        <f>ROUNDUP(SUMIFS('ВБ Отчет Продажи (за 60 дней)'!$L:$L,'ВБ Отчет Продажи (за 60 дней)'!$K:$K,"Тула",'ВБ Отчет Продажи (за 60 дней)'!$G:$G,$A44),0)</f>
        <v>0</v>
      </c>
      <c r="I44" s="134">
        <f>ROUNDUP(SUMIFS('ВБ Отчет Продажи (за 60 дней)'!$L:$L,'ВБ Отчет Продажи (за 60 дней)'!$K:$K,"Рязань (Тюшевское)",'ВБ Отчет Продажи (за 60 дней)'!$G:$G,$A44),0)</f>
        <v>0</v>
      </c>
      <c r="J44" s="136">
        <f>ROUNDUP(SUMIFS('ВБ Отчет Продажи (за 60 дней)'!$L:$L,'ВБ Отчет Продажи (за 60 дней)'!$K:$K,"Краснодар",'ВБ Отчет Продажи (за 60 дней)'!$G:$G,$A44),0)</f>
        <v>0</v>
      </c>
      <c r="K44" s="133">
        <f>ROUNDUP(SUMIFS('ВБ Отчет Продажи (за 60 дней)'!$L:$L,'ВБ Отчет Продажи (за 60 дней)'!$K:$K,"Невинномысск",'ВБ Отчет Продажи (за 60 дней)'!$G:$G,$A44),0)</f>
        <v>0</v>
      </c>
      <c r="L44" s="137">
        <f>ROUNDUP(SUMIFS('ВБ Отчет Продажи (за 60 дней)'!$L:$L,'ВБ Отчет Продажи (за 60 дней)'!$K:$K,"Волгоград",'ВБ Отчет Продажи (за 60 дней)'!$G:$G,$A44),0)</f>
        <v>0</v>
      </c>
      <c r="M44" s="136">
        <f>ROUNDUP(SUMIFS('ВБ Отчет Продажи (за 60 дней)'!$L:$L,'ВБ Отчет Продажи (за 60 дней)'!$K:$K,"Самара (Новосемейкино)",'ВБ Отчет Продажи (за 60 дней)'!$G:$G,$A44),0)</f>
        <v>0</v>
      </c>
      <c r="N44" s="137">
        <f>ROUNDUP(SUMIFS('ВБ Отчет Продажи (за 60 дней)'!$L:$L,'ВБ Отчет Продажи (за 60 дней)'!$K:$K,"Казань",'ВБ Отчет Продажи (за 60 дней)'!$G:$G,$A44),0)</f>
        <v>0</v>
      </c>
      <c r="O44" s="137">
        <f>ROUNDUP(SUMIFS('ВБ Отчет Продажи (за 60 дней)'!$L:$L,'ВБ Отчет Продажи (за 60 дней)'!$K:$K,"СПБ Шушары",'ВБ Отчет Продажи (за 60 дней)'!$G:$G,$A44),0)</f>
        <v>0</v>
      </c>
      <c r="P44" s="151">
        <f>ROUNDUP(SUMIFS('ВБ Отчет Продажи (за 60 дней)'!$L:$L,'ВБ Отчет Продажи (за 60 дней)'!$K:$K,"Екатеринбург - Перспективный 12",'ВБ Отчет Продажи (за 60 дней)'!$G:$G,$A44),0)</f>
        <v>0</v>
      </c>
      <c r="Q44" s="149">
        <f>ROUNDUP(SUMIFS('ВБ Отчет Продажи (за 60 дней)'!$L:$L,'ВБ Отчет Продажи (за 60 дней)'!$K:$K,"Новосибирск",'ВБ Отчет Продажи (за 60 дней)'!$G:$G,$A44),0)</f>
        <v>0</v>
      </c>
      <c r="R44" s="131">
        <f t="shared" si="31"/>
        <v>0</v>
      </c>
      <c r="S44" s="139">
        <f>SUMIFS('ОЗОН Оборот ведом (за 60 дней)'!I:I,'ОЗОН Оборот ведом (за 60 дней)'!A:A,B44)</f>
        <v>0</v>
      </c>
      <c r="T44" s="140">
        <f t="shared" si="8"/>
        <v>0</v>
      </c>
      <c r="U44" s="6">
        <f>SUMIFS('ВБ Отчет Продажи (за 60 дней)'!$P:$P,'ВБ Отчет Продажи (за 60 дней)'!$K:$K,"Электросталь",'ВБ Отчет Продажи (за 60 дней)'!$G:$G,$A44)</f>
        <v>0</v>
      </c>
      <c r="V44" s="7">
        <f>SUMIFS('ВБ Отчет Продажи (за 60 дней)'!$P:$P,'ВБ Отчет Продажи (за 60 дней)'!$K:$K,"Коледино",'ВБ Отчет Продажи (за 60 дней)'!$G:$G,$A44)</f>
        <v>0</v>
      </c>
      <c r="W44" s="7">
        <f>SUMIFS('ВБ Отчет Продажи (за 60 дней)'!$P:$P,'ВБ Отчет Продажи (за 60 дней)'!$K:$K,"Тула",'ВБ Отчет Продажи (за 60 дней)'!$G:$G,$A44)</f>
        <v>0</v>
      </c>
      <c r="X44" s="7">
        <f>SUMIFS('ВБ Отчет Продажи (за 60 дней)'!$P:$P,'ВБ Отчет Продажи (за 60 дней)'!$K:$K,"Рязань (Тюшевское)",'ВБ Отчет Продажи (за 60 дней)'!$G:$G,$A44)</f>
        <v>0</v>
      </c>
      <c r="Y44" s="27">
        <f>SUMIFS('ВБ Отчет Продажи (за 60 дней)'!$P:$P,'ВБ Отчет Продажи (за 60 дней)'!$K:$K,"Краснодар",'ВБ Отчет Продажи (за 60 дней)'!$G:$G,$A44)</f>
        <v>0</v>
      </c>
      <c r="Z44" s="7">
        <f>SUMIFS('ВБ Отчет Продажи (за 60 дней)'!$P:$P,'ВБ Отчет Продажи (за 60 дней)'!$K:$K,"Невинномысск",'ВБ Отчет Продажи (за 60 дней)'!$G:$G,$A44)</f>
        <v>0</v>
      </c>
      <c r="AA44" s="104">
        <f>SUMIFS('ВБ Отчет Продажи (за 60 дней)'!$P:$P,'ВБ Отчет Продажи (за 60 дней)'!$K:$K,"Волгоград",'ВБ Отчет Продажи (за 60 дней)'!$G:$G,$A44)</f>
        <v>0</v>
      </c>
      <c r="AB44" s="27">
        <f>SUMIFS('ВБ Отчет Продажи (за 60 дней)'!$P:$P,'ВБ Отчет Продажи (за 60 дней)'!$K:$K,"Самара (Новосемейкино)",'ВБ Отчет Продажи (за 60 дней)'!$G:$G,$A44)</f>
        <v>0</v>
      </c>
      <c r="AC44" s="104">
        <f>SUMIFS('ВБ Отчет Продажи (за 60 дней)'!$P:$P,'ВБ Отчет Продажи (за 60 дней)'!$K:$K,"Казань",'ВБ Отчет Продажи (за 60 дней)'!$G:$G,$A44)</f>
        <v>0</v>
      </c>
      <c r="AD44" s="104">
        <f>SUMIFS('ВБ Отчет Продажи (за 60 дней)'!$P:$P,'ВБ Отчет Продажи (за 60 дней)'!$K:$K,"СПБ Шушары",'ВБ Отчет Продажи (за 60 дней)'!$G:$G,$A44)</f>
        <v>0</v>
      </c>
      <c r="AE44" s="153">
        <f>SUMIFS('ВБ Отчет Продажи (за 60 дней)'!$P:$P,'ВБ Отчет Продажи (за 60 дней)'!$K:$K,"Екатеринбург - Перспективный 12",'ВБ Отчет Продажи (за 60 дней)'!$G:$G,$A44)</f>
        <v>0</v>
      </c>
      <c r="AF44" s="102">
        <f>SUMIFS('ВБ Отчет Продажи (за 60 дней)'!$P:$P,'ВБ Отчет Продажи (за 60 дней)'!$K:$K,"Новосибирск",'ВБ Отчет Продажи (за 60 дней)'!$G:$G,$A44)</f>
        <v>0</v>
      </c>
      <c r="AG44" s="124">
        <f t="shared" si="9"/>
        <v>0</v>
      </c>
      <c r="AH44" s="7">
        <f t="shared" si="10"/>
        <v>0</v>
      </c>
      <c r="AI44" s="213">
        <f>SUMIFS('ОЗОН Оборот ведом (за 60 дней)'!J:J,'ОЗОН Оборот ведом (за 60 дней)'!A:A,B44)</f>
        <v>0</v>
      </c>
      <c r="AJ44" s="21">
        <f t="shared" si="11"/>
        <v>0</v>
      </c>
      <c r="AK44" s="7" t="str" cm="1">
        <f t="array" ref="AK44">IFERROR(_xlfn.IFS((F44-U44)&gt;0,F44/$R$1*$AY$1-U44,F44+U44=0,"нов"),0)</f>
        <v>нов</v>
      </c>
      <c r="AL44" s="7" t="str" cm="1">
        <f t="array" ref="AL44">IFERROR(_xlfn.IFS((G44-V44)&gt;0,G44/$R$1*$AY$1-V44,G44+V44=0,"нов"),0)</f>
        <v>нов</v>
      </c>
      <c r="AM44" s="7" t="str" cm="1">
        <f t="array" ref="AM44">IFERROR(_xlfn.IFS((H44-W44)&gt;0,H44/$R$1*$AY$1-W44,H44+W44=0,"нов"),0)</f>
        <v>нов</v>
      </c>
      <c r="AN44" s="7" t="str" cm="1">
        <f t="array" ref="AN44">IFERROR(_xlfn.IFS((I44-X44)&gt;0,I44/$R$1*$AY$1-X44,I44+X44=0,"нов"),0)</f>
        <v>нов</v>
      </c>
      <c r="AO44" s="27" t="str" cm="1">
        <f t="array" ref="AO44">IFERROR(_xlfn.IFS((J44-Y44)&gt;0,J44/$R$1*$AY$1-Y44,J44+Y44=0,"нов"),0)</f>
        <v>нов</v>
      </c>
      <c r="AP44" s="7" t="str" cm="1">
        <f t="array" ref="AP44">IFERROR(_xlfn.IFS((K44-Z44)&gt;0,K44/$R$1*$AY$1-Z44,K44+Z44=0,"нов"),0)</f>
        <v>нов</v>
      </c>
      <c r="AQ44" s="104" t="str" cm="1">
        <f t="array" ref="AQ44">IFERROR(_xlfn.IFS((L44-AA44)&gt;0,L44/$R$1*$AY$1-AA44,L44+AA44=0,"нов"),0)</f>
        <v>нов</v>
      </c>
      <c r="AR44" s="27" t="str" cm="1">
        <f t="array" ref="AR44">IFERROR(_xlfn.IFS((M44-AB44)&gt;0,M44/$R$1*$AY$1-AB44,M44+AB44=0,"нов"),0)</f>
        <v>нов</v>
      </c>
      <c r="AS44" s="104" t="str" cm="1">
        <f t="array" ref="AS44">IFERROR(_xlfn.IFS((N44-AC44)&gt;0,N44/$R$1*$AY$1-AC44,N44+AC44=0,"нов"),0)</f>
        <v>нов</v>
      </c>
      <c r="AT44" s="104" t="str" cm="1">
        <f t="array" ref="AT44">IFERROR(_xlfn.IFS((O44-AD44)&gt;0,O44/$R$1*$AY$1-AD44,O44+AD44=0,"нов"),0)</f>
        <v>нов</v>
      </c>
      <c r="AU44" s="7" t="str" cm="1">
        <f t="array" ref="AU44">IFERROR(_xlfn.IFS((P44-AE44)&gt;0,P44/$R$1*$AY$1-AE44,P44+AE44=0,"нов"),0)</f>
        <v>нов</v>
      </c>
      <c r="AV44" s="7" t="str" cm="1">
        <f t="array" ref="AV44">IFERROR(_xlfn.IFS((Q44-AF44)&gt;0,Q44/$R$1*$AY$1-AF44,Q44+AF44=0,"нов"),0)</f>
        <v>нов</v>
      </c>
      <c r="AW44" s="141">
        <f t="shared" si="12"/>
        <v>0</v>
      </c>
      <c r="AX44" s="218">
        <f>SUMIF('ОЗОН Доступн товара'!D:D,_xlfn.XLOOKUP($B44,'ОЗОН Доступн товара'!$A:$A,'ОЗОН Доступн товара'!$D:$D,0))</f>
        <v>0</v>
      </c>
      <c r="AY44" s="226">
        <f t="shared" si="13"/>
        <v>0</v>
      </c>
      <c r="AZ44" s="7" t="str">
        <f t="shared" si="14"/>
        <v>нов</v>
      </c>
      <c r="BA44" s="7" t="str">
        <f t="shared" si="15"/>
        <v>нов</v>
      </c>
      <c r="BB44" s="7" t="str">
        <f t="shared" si="16"/>
        <v>нов</v>
      </c>
      <c r="BC44" s="7" t="str">
        <f t="shared" si="17"/>
        <v>нов</v>
      </c>
      <c r="BD44" s="27" t="str">
        <f t="shared" si="18"/>
        <v>нов</v>
      </c>
      <c r="BE44" s="7" t="str">
        <f t="shared" si="19"/>
        <v>нов</v>
      </c>
      <c r="BF44" s="104" t="str">
        <f t="shared" si="20"/>
        <v>нов</v>
      </c>
      <c r="BG44" s="27" t="str">
        <f t="shared" si="21"/>
        <v>нов</v>
      </c>
      <c r="BH44" s="104" t="str">
        <f t="shared" si="22"/>
        <v>нов</v>
      </c>
      <c r="BI44" s="7" t="str">
        <f t="shared" si="23"/>
        <v>нов</v>
      </c>
      <c r="BJ44" s="153" t="str">
        <f t="shared" si="24"/>
        <v>нов</v>
      </c>
      <c r="BK44" s="7" t="str">
        <f t="shared" si="25"/>
        <v>нов</v>
      </c>
      <c r="BL44" s="6">
        <f t="shared" si="26"/>
        <v>0</v>
      </c>
      <c r="BM44" s="6">
        <f t="shared" si="27"/>
        <v>0</v>
      </c>
      <c r="BN44" s="28">
        <f t="shared" si="28"/>
        <v>0</v>
      </c>
      <c r="BO44" s="73">
        <f>IFERROR(_xlfn.XLOOKUP(A44,'[2] Расчет стоимости и веса'!$I:$I,'[2] Расчет стоимости и веса'!$D:$D),0)</f>
        <v>0</v>
      </c>
      <c r="BP44" s="227">
        <f t="shared" si="29"/>
        <v>0</v>
      </c>
      <c r="BQ44" s="8"/>
      <c r="BR44" s="155"/>
      <c r="BS44" s="12"/>
      <c r="BT44" s="12"/>
      <c r="BU44" s="229"/>
      <c r="BV44" s="12"/>
      <c r="BW44" s="12"/>
      <c r="BY44" s="231"/>
      <c r="BZ44" s="232"/>
      <c r="CA44" s="155"/>
      <c r="CB44" s="157"/>
      <c r="CC44" s="57"/>
      <c r="CD44" s="12"/>
      <c r="CE44" s="146">
        <f t="shared" si="5"/>
        <v>0</v>
      </c>
      <c r="CF44" s="69">
        <f t="shared" si="6"/>
        <v>0</v>
      </c>
      <c r="CG44" s="45">
        <f t="shared" si="7"/>
        <v>0</v>
      </c>
    </row>
    <row r="45" spans="1:85" ht="14.1" hidden="1" customHeight="1">
      <c r="A45" s="237">
        <f>[1]Юнит!A47</f>
        <v>271440668</v>
      </c>
      <c r="B45" s="238">
        <f>[1]Юнит!B47</f>
        <v>2415742680</v>
      </c>
      <c r="C45" s="237" t="str">
        <f>[1]Юнит!C47</f>
        <v>ACRB1SK101BC</v>
      </c>
      <c r="D45" s="239" t="str">
        <f>[1]Юнит!D47</f>
        <v>Скакалка черная</v>
      </c>
      <c r="E45" s="90">
        <f>[1]Юнит!E47</f>
        <v>2041473034138</v>
      </c>
      <c r="F45" s="132">
        <f>ROUNDUP(SUMIFS('ВБ Отчет Продажи (за 60 дней)'!$L:$L,'ВБ Отчет Продажи (за 60 дней)'!$K:$K,"Электросталь",'ВБ Отчет Продажи (за 60 дней)'!$G:$G,$A45),0)</f>
        <v>1</v>
      </c>
      <c r="G45" s="133">
        <f>ROUNDUP(SUMIFS('ВБ Отчет Продажи (за 60 дней)'!$L:$L,'ВБ Отчет Продажи (за 60 дней)'!$K:$K,"Коледино",'ВБ Отчет Продажи (за 60 дней)'!$G:$G,$A45),0)</f>
        <v>3</v>
      </c>
      <c r="H45" s="133">
        <f>ROUNDUP(SUMIFS('ВБ Отчет Продажи (за 60 дней)'!$L:$L,'ВБ Отчет Продажи (за 60 дней)'!$K:$K,"Тула",'ВБ Отчет Продажи (за 60 дней)'!$G:$G,$A45),0)</f>
        <v>0</v>
      </c>
      <c r="I45" s="134">
        <f>ROUNDUP(SUMIFS('ВБ Отчет Продажи (за 60 дней)'!$L:$L,'ВБ Отчет Продажи (за 60 дней)'!$K:$K,"Рязань (Тюшевское)",'ВБ Отчет Продажи (за 60 дней)'!$G:$G,$A45),0)</f>
        <v>0</v>
      </c>
      <c r="J45" s="136">
        <f>ROUNDUP(SUMIFS('ВБ Отчет Продажи (за 60 дней)'!$L:$L,'ВБ Отчет Продажи (за 60 дней)'!$K:$K,"Краснодар",'ВБ Отчет Продажи (за 60 дней)'!$G:$G,$A45),0)</f>
        <v>4</v>
      </c>
      <c r="K45" s="133">
        <f>ROUNDUP(SUMIFS('ВБ Отчет Продажи (за 60 дней)'!$L:$L,'ВБ Отчет Продажи (за 60 дней)'!$K:$K,"Невинномысск",'ВБ Отчет Продажи (за 60 дней)'!$G:$G,$A45),0)</f>
        <v>1</v>
      </c>
      <c r="L45" s="137">
        <f>ROUNDUP(SUMIFS('ВБ Отчет Продажи (за 60 дней)'!$L:$L,'ВБ Отчет Продажи (за 60 дней)'!$K:$K,"Волгоград",'ВБ Отчет Продажи (за 60 дней)'!$G:$G,$A45),0)</f>
        <v>0</v>
      </c>
      <c r="M45" s="136">
        <f>ROUNDUP(SUMIFS('ВБ Отчет Продажи (за 60 дней)'!$L:$L,'ВБ Отчет Продажи (за 60 дней)'!$K:$K,"Самара (Новосемейкино)",'ВБ Отчет Продажи (за 60 дней)'!$G:$G,$A45),0)</f>
        <v>2</v>
      </c>
      <c r="N45" s="137">
        <f>ROUNDUP(SUMIFS('ВБ Отчет Продажи (за 60 дней)'!$L:$L,'ВБ Отчет Продажи (за 60 дней)'!$K:$K,"Казань",'ВБ Отчет Продажи (за 60 дней)'!$G:$G,$A45),0)</f>
        <v>0</v>
      </c>
      <c r="O45" s="137">
        <f>ROUNDUP(SUMIFS('ВБ Отчет Продажи (за 60 дней)'!$L:$L,'ВБ Отчет Продажи (за 60 дней)'!$K:$K,"СПБ Шушары",'ВБ Отчет Продажи (за 60 дней)'!$G:$G,$A45),0)</f>
        <v>0</v>
      </c>
      <c r="P45" s="151">
        <f>ROUNDUP(SUMIFS('ВБ Отчет Продажи (за 60 дней)'!$L:$L,'ВБ Отчет Продажи (за 60 дней)'!$K:$K,"Екатеринбург - Перспективный 12",'ВБ Отчет Продажи (за 60 дней)'!$G:$G,$A45),0)</f>
        <v>0</v>
      </c>
      <c r="Q45" s="149">
        <f>ROUNDUP(SUMIFS('ВБ Отчет Продажи (за 60 дней)'!$L:$L,'ВБ Отчет Продажи (за 60 дней)'!$K:$K,"Новосибирск",'ВБ Отчет Продажи (за 60 дней)'!$G:$G,$A45),0)</f>
        <v>0</v>
      </c>
      <c r="R45" s="131">
        <f t="shared" si="31"/>
        <v>11</v>
      </c>
      <c r="S45" s="139">
        <f>SUMIFS('ОЗОН Оборот ведом (за 60 дней)'!I:I,'ОЗОН Оборот ведом (за 60 дней)'!A:A,B45)</f>
        <v>15</v>
      </c>
      <c r="T45" s="140">
        <f t="shared" si="8"/>
        <v>26</v>
      </c>
      <c r="U45" s="6">
        <f>SUMIFS('ВБ Отчет Продажи (за 60 дней)'!$P:$P,'ВБ Отчет Продажи (за 60 дней)'!$K:$K,"Электросталь",'ВБ Отчет Продажи (за 60 дней)'!$G:$G,$A45)</f>
        <v>22</v>
      </c>
      <c r="V45" s="7">
        <f>SUMIFS('ВБ Отчет Продажи (за 60 дней)'!$P:$P,'ВБ Отчет Продажи (за 60 дней)'!$K:$K,"Коледино",'ВБ Отчет Продажи (за 60 дней)'!$G:$G,$A45)</f>
        <v>21</v>
      </c>
      <c r="W45" s="7">
        <f>SUMIFS('ВБ Отчет Продажи (за 60 дней)'!$P:$P,'ВБ Отчет Продажи (за 60 дней)'!$K:$K,"Тула",'ВБ Отчет Продажи (за 60 дней)'!$G:$G,$A45)</f>
        <v>0</v>
      </c>
      <c r="X45" s="7">
        <f>SUMIFS('ВБ Отчет Продажи (за 60 дней)'!$P:$P,'ВБ Отчет Продажи (за 60 дней)'!$K:$K,"Рязань (Тюшевское)",'ВБ Отчет Продажи (за 60 дней)'!$G:$G,$A45)</f>
        <v>0</v>
      </c>
      <c r="Y45" s="27">
        <f>SUMIFS('ВБ Отчет Продажи (за 60 дней)'!$P:$P,'ВБ Отчет Продажи (за 60 дней)'!$K:$K,"Краснодар",'ВБ Отчет Продажи (за 60 дней)'!$G:$G,$A45)</f>
        <v>16</v>
      </c>
      <c r="Z45" s="7">
        <f>SUMIFS('ВБ Отчет Продажи (за 60 дней)'!$P:$P,'ВБ Отчет Продажи (за 60 дней)'!$K:$K,"Невинномысск",'ВБ Отчет Продажи (за 60 дней)'!$G:$G,$A45)</f>
        <v>18</v>
      </c>
      <c r="AA45" s="104">
        <f>SUMIFS('ВБ Отчет Продажи (за 60 дней)'!$P:$P,'ВБ Отчет Продажи (за 60 дней)'!$K:$K,"Волгоград",'ВБ Отчет Продажи (за 60 дней)'!$G:$G,$A45)</f>
        <v>0</v>
      </c>
      <c r="AB45" s="27">
        <f>SUMIFS('ВБ Отчет Продажи (за 60 дней)'!$P:$P,'ВБ Отчет Продажи (за 60 дней)'!$K:$K,"Самара (Новосемейкино)",'ВБ Отчет Продажи (за 60 дней)'!$G:$G,$A45)</f>
        <v>24</v>
      </c>
      <c r="AC45" s="104">
        <f>SUMIFS('ВБ Отчет Продажи (за 60 дней)'!$P:$P,'ВБ Отчет Продажи (за 60 дней)'!$K:$K,"Казань",'ВБ Отчет Продажи (за 60 дней)'!$G:$G,$A45)</f>
        <v>0</v>
      </c>
      <c r="AD45" s="104">
        <f>SUMIFS('ВБ Отчет Продажи (за 60 дней)'!$P:$P,'ВБ Отчет Продажи (за 60 дней)'!$K:$K,"СПБ Шушары",'ВБ Отчет Продажи (за 60 дней)'!$G:$G,$A45)</f>
        <v>22</v>
      </c>
      <c r="AE45" s="153">
        <f>SUMIFS('ВБ Отчет Продажи (за 60 дней)'!$P:$P,'ВБ Отчет Продажи (за 60 дней)'!$K:$K,"Екатеринбург - Перспективный 12",'ВБ Отчет Продажи (за 60 дней)'!$G:$G,$A45)</f>
        <v>0</v>
      </c>
      <c r="AF45" s="102">
        <f>SUMIFS('ВБ Отчет Продажи (за 60 дней)'!$P:$P,'ВБ Отчет Продажи (за 60 дней)'!$K:$K,"Новосибирск",'ВБ Отчет Продажи (за 60 дней)'!$G:$G,$A45)</f>
        <v>0</v>
      </c>
      <c r="AG45" s="124">
        <f t="shared" si="9"/>
        <v>123</v>
      </c>
      <c r="AH45" s="7">
        <f t="shared" si="10"/>
        <v>670.90909090909088</v>
      </c>
      <c r="AI45" s="213">
        <f>SUMIFS('ОЗОН Оборот ведом (за 60 дней)'!J:J,'ОЗОН Оборот ведом (за 60 дней)'!A:A,B45)</f>
        <v>12</v>
      </c>
      <c r="AJ45" s="21">
        <f t="shared" si="11"/>
        <v>135</v>
      </c>
      <c r="AK45" s="7" cm="1">
        <f t="array" ref="AK45">IFERROR(_xlfn.IFS((F45-U45)&gt;0,F45/$R$1*$AY$1-U45,F45+U45=0,"нов"),0)</f>
        <v>0</v>
      </c>
      <c r="AL45" s="7" cm="1">
        <f t="array" ref="AL45">IFERROR(_xlfn.IFS((G45-V45)&gt;0,G45/$R$1*$AY$1-V45,G45+V45=0,"нов"),0)</f>
        <v>0</v>
      </c>
      <c r="AM45" s="7" t="str" cm="1">
        <f t="array" ref="AM45">IFERROR(_xlfn.IFS((H45-W45)&gt;0,H45/$R$1*$AY$1-W45,H45+W45=0,"нов"),0)</f>
        <v>нов</v>
      </c>
      <c r="AN45" s="7" t="str" cm="1">
        <f t="array" ref="AN45">IFERROR(_xlfn.IFS((I45-X45)&gt;0,I45/$R$1*$AY$1-X45,I45+X45=0,"нов"),0)</f>
        <v>нов</v>
      </c>
      <c r="AO45" s="27" cm="1">
        <f t="array" ref="AO45">IFERROR(_xlfn.IFS((J45-Y45)&gt;0,J45/$R$1*$AY$1-Y45,J45+Y45=0,"нов"),0)</f>
        <v>0</v>
      </c>
      <c r="AP45" s="7" cm="1">
        <f t="array" ref="AP45">IFERROR(_xlfn.IFS((K45-Z45)&gt;0,K45/$R$1*$AY$1-Z45,K45+Z45=0,"нов"),0)</f>
        <v>0</v>
      </c>
      <c r="AQ45" s="104" t="str" cm="1">
        <f t="array" ref="AQ45">IFERROR(_xlfn.IFS((L45-AA45)&gt;0,L45/$R$1*$AY$1-AA45,L45+AA45=0,"нов"),0)</f>
        <v>нов</v>
      </c>
      <c r="AR45" s="27" cm="1">
        <f t="array" ref="AR45">IFERROR(_xlfn.IFS((M45-AB45)&gt;0,M45/$R$1*$AY$1-AB45,M45+AB45=0,"нов"),0)</f>
        <v>0</v>
      </c>
      <c r="AS45" s="104" t="str" cm="1">
        <f t="array" ref="AS45">IFERROR(_xlfn.IFS((N45-AC45)&gt;0,N45/$R$1*$AY$1-AC45,N45+AC45=0,"нов"),0)</f>
        <v>нов</v>
      </c>
      <c r="AT45" s="104" cm="1">
        <f t="array" ref="AT45">IFERROR(_xlfn.IFS((O45-AD45)&gt;0,O45/$R$1*$AY$1-AD45,O45+AD45=0,"нов"),0)</f>
        <v>0</v>
      </c>
      <c r="AU45" s="7" t="str" cm="1">
        <f t="array" ref="AU45">IFERROR(_xlfn.IFS((P45-AE45)&gt;0,P45/$R$1*$AY$1-AE45,P45+AE45=0,"нов"),0)</f>
        <v>нов</v>
      </c>
      <c r="AV45" s="7" t="str" cm="1">
        <f t="array" ref="AV45">IFERROR(_xlfn.IFS((Q45-AF45)&gt;0,Q45/$R$1*$AY$1-AF45,Q45+AF45=0,"нов"),0)</f>
        <v>нов</v>
      </c>
      <c r="AW45" s="141">
        <f t="shared" si="12"/>
        <v>0</v>
      </c>
      <c r="AX45" s="218">
        <f>SUMIF('ОЗОН Доступн товара'!D:D,_xlfn.XLOOKUP($B45,'ОЗОН Доступн товара'!$A:$A,'ОЗОН Доступн товара'!$D:$D,0))</f>
        <v>62</v>
      </c>
      <c r="AY45" s="226">
        <f t="shared" si="13"/>
        <v>62</v>
      </c>
      <c r="AZ45" s="7">
        <f t="shared" si="14"/>
        <v>0</v>
      </c>
      <c r="BA45" s="7">
        <f t="shared" si="15"/>
        <v>0</v>
      </c>
      <c r="BB45" s="7" t="str">
        <f t="shared" si="16"/>
        <v>нов</v>
      </c>
      <c r="BC45" s="7" t="str">
        <f t="shared" si="17"/>
        <v>нов</v>
      </c>
      <c r="BD45" s="27">
        <f t="shared" si="18"/>
        <v>0</v>
      </c>
      <c r="BE45" s="7">
        <f t="shared" si="19"/>
        <v>0</v>
      </c>
      <c r="BF45" s="104" t="str">
        <f t="shared" si="20"/>
        <v>нов</v>
      </c>
      <c r="BG45" s="27">
        <f t="shared" si="21"/>
        <v>0</v>
      </c>
      <c r="BH45" s="104" t="str">
        <f t="shared" si="22"/>
        <v>нов</v>
      </c>
      <c r="BI45" s="7">
        <f t="shared" si="23"/>
        <v>0</v>
      </c>
      <c r="BJ45" s="153" t="str">
        <f t="shared" si="24"/>
        <v>нов</v>
      </c>
      <c r="BK45" s="7" t="str">
        <f t="shared" si="25"/>
        <v>нов</v>
      </c>
      <c r="BL45" s="6">
        <f t="shared" si="26"/>
        <v>0</v>
      </c>
      <c r="BM45" s="6">
        <f t="shared" si="27"/>
        <v>80.600000000000009</v>
      </c>
      <c r="BN45" s="28">
        <f t="shared" si="28"/>
        <v>80.600000000000009</v>
      </c>
      <c r="BO45" s="73">
        <f>IFERROR(_xlfn.XLOOKUP(A45,'[2] Расчет стоимости и веса'!$I:$I,'[2] Расчет стоимости и веса'!$D:$D),0)</f>
        <v>0</v>
      </c>
      <c r="BP45" s="227">
        <f t="shared" si="29"/>
        <v>0</v>
      </c>
      <c r="BQ45" s="8"/>
      <c r="BR45" s="155"/>
      <c r="BS45" s="12"/>
      <c r="BT45" s="12"/>
      <c r="BU45" s="229"/>
      <c r="BV45" s="12"/>
      <c r="BW45" s="12"/>
      <c r="BY45" s="231"/>
      <c r="BZ45" s="232"/>
      <c r="CA45" s="155"/>
      <c r="CB45" s="157"/>
      <c r="CC45" s="57"/>
      <c r="CD45" s="12"/>
      <c r="CE45" s="146">
        <f t="shared" si="5"/>
        <v>0</v>
      </c>
      <c r="CF45" s="69">
        <f t="shared" si="6"/>
        <v>0</v>
      </c>
      <c r="CG45" s="45">
        <f t="shared" si="7"/>
        <v>0</v>
      </c>
    </row>
    <row r="46" spans="1:85" ht="14.1" hidden="1" customHeight="1">
      <c r="A46" s="237">
        <f>[1]Юнит!A48</f>
        <v>271440669</v>
      </c>
      <c r="B46" s="238">
        <f>[1]Юнит!B48</f>
        <v>2415742649</v>
      </c>
      <c r="C46" s="237" t="str">
        <f>[1]Юнит!C48</f>
        <v>ACRB1SK101RD</v>
      </c>
      <c r="D46" s="239" t="str">
        <f>[1]Юнит!D48</f>
        <v>Скакалка красная</v>
      </c>
      <c r="E46" s="90">
        <f>[1]Юнит!E48</f>
        <v>2041473034145</v>
      </c>
      <c r="F46" s="132">
        <f>ROUNDUP(SUMIFS('ВБ Отчет Продажи (за 60 дней)'!$L:$L,'ВБ Отчет Продажи (за 60 дней)'!$K:$K,"Электросталь",'ВБ Отчет Продажи (за 60 дней)'!$G:$G,$A46),0)</f>
        <v>1</v>
      </c>
      <c r="G46" s="133">
        <f>ROUNDUP(SUMIFS('ВБ Отчет Продажи (за 60 дней)'!$L:$L,'ВБ Отчет Продажи (за 60 дней)'!$K:$K,"Коледино",'ВБ Отчет Продажи (за 60 дней)'!$G:$G,$A46),0)</f>
        <v>3</v>
      </c>
      <c r="H46" s="133">
        <f>ROUNDUP(SUMIFS('ВБ Отчет Продажи (за 60 дней)'!$L:$L,'ВБ Отчет Продажи (за 60 дней)'!$K:$K,"Тула",'ВБ Отчет Продажи (за 60 дней)'!$G:$G,$A46),0)</f>
        <v>0</v>
      </c>
      <c r="I46" s="134">
        <f>ROUNDUP(SUMIFS('ВБ Отчет Продажи (за 60 дней)'!$L:$L,'ВБ Отчет Продажи (за 60 дней)'!$K:$K,"Рязань (Тюшевское)",'ВБ Отчет Продажи (за 60 дней)'!$G:$G,$A46),0)</f>
        <v>0</v>
      </c>
      <c r="J46" s="136">
        <f>ROUNDUP(SUMIFS('ВБ Отчет Продажи (за 60 дней)'!$L:$L,'ВБ Отчет Продажи (за 60 дней)'!$K:$K,"Краснодар",'ВБ Отчет Продажи (за 60 дней)'!$G:$G,$A46),0)</f>
        <v>2</v>
      </c>
      <c r="K46" s="133">
        <f>ROUNDUP(SUMIFS('ВБ Отчет Продажи (за 60 дней)'!$L:$L,'ВБ Отчет Продажи (за 60 дней)'!$K:$K,"Невинномысск",'ВБ Отчет Продажи (за 60 дней)'!$G:$G,$A46),0)</f>
        <v>0</v>
      </c>
      <c r="L46" s="137">
        <f>ROUNDUP(SUMIFS('ВБ Отчет Продажи (за 60 дней)'!$L:$L,'ВБ Отчет Продажи (за 60 дней)'!$K:$K,"Волгоград",'ВБ Отчет Продажи (за 60 дней)'!$G:$G,$A46),0)</f>
        <v>0</v>
      </c>
      <c r="M46" s="136">
        <f>ROUNDUP(SUMIFS('ВБ Отчет Продажи (за 60 дней)'!$L:$L,'ВБ Отчет Продажи (за 60 дней)'!$K:$K,"Самара (Новосемейкино)",'ВБ Отчет Продажи (за 60 дней)'!$G:$G,$A46),0)</f>
        <v>2</v>
      </c>
      <c r="N46" s="137">
        <f>ROUNDUP(SUMIFS('ВБ Отчет Продажи (за 60 дней)'!$L:$L,'ВБ Отчет Продажи (за 60 дней)'!$K:$K,"Казань",'ВБ Отчет Продажи (за 60 дней)'!$G:$G,$A46),0)</f>
        <v>0</v>
      </c>
      <c r="O46" s="137">
        <f>ROUNDUP(SUMIFS('ВБ Отчет Продажи (за 60 дней)'!$L:$L,'ВБ Отчет Продажи (за 60 дней)'!$K:$K,"СПБ Шушары",'ВБ Отчет Продажи (за 60 дней)'!$G:$G,$A46),0)</f>
        <v>1</v>
      </c>
      <c r="P46" s="151">
        <f>ROUNDUP(SUMIFS('ВБ Отчет Продажи (за 60 дней)'!$L:$L,'ВБ Отчет Продажи (за 60 дней)'!$K:$K,"Екатеринбург - Перспективный 12",'ВБ Отчет Продажи (за 60 дней)'!$G:$G,$A46),0)</f>
        <v>0</v>
      </c>
      <c r="Q46" s="149">
        <f>ROUNDUP(SUMIFS('ВБ Отчет Продажи (за 60 дней)'!$L:$L,'ВБ Отчет Продажи (за 60 дней)'!$K:$K,"Новосибирск",'ВБ Отчет Продажи (за 60 дней)'!$G:$G,$A46),0)</f>
        <v>0</v>
      </c>
      <c r="R46" s="131">
        <f t="shared" si="31"/>
        <v>9</v>
      </c>
      <c r="S46" s="139">
        <f>SUMIFS('ОЗОН Оборот ведом (за 60 дней)'!I:I,'ОЗОН Оборот ведом (за 60 дней)'!A:A,B46)</f>
        <v>13</v>
      </c>
      <c r="T46" s="140">
        <f t="shared" si="8"/>
        <v>22</v>
      </c>
      <c r="U46" s="6">
        <f>SUMIFS('ВБ Отчет Продажи (за 60 дней)'!$P:$P,'ВБ Отчет Продажи (за 60 дней)'!$K:$K,"Электросталь",'ВБ Отчет Продажи (за 60 дней)'!$G:$G,$A46)</f>
        <v>42</v>
      </c>
      <c r="V46" s="7">
        <f>SUMIFS('ВБ Отчет Продажи (за 60 дней)'!$P:$P,'ВБ Отчет Продажи (за 60 дней)'!$K:$K,"Коледино",'ВБ Отчет Продажи (за 60 дней)'!$G:$G,$A46)</f>
        <v>12</v>
      </c>
      <c r="W46" s="7">
        <f>SUMIFS('ВБ Отчет Продажи (за 60 дней)'!$P:$P,'ВБ Отчет Продажи (за 60 дней)'!$K:$K,"Тула",'ВБ Отчет Продажи (за 60 дней)'!$G:$G,$A46)</f>
        <v>0</v>
      </c>
      <c r="X46" s="7">
        <f>SUMIFS('ВБ Отчет Продажи (за 60 дней)'!$P:$P,'ВБ Отчет Продажи (за 60 дней)'!$K:$K,"Рязань (Тюшевское)",'ВБ Отчет Продажи (за 60 дней)'!$G:$G,$A46)</f>
        <v>0</v>
      </c>
      <c r="Y46" s="27">
        <f>SUMIFS('ВБ Отчет Продажи (за 60 дней)'!$P:$P,'ВБ Отчет Продажи (за 60 дней)'!$K:$K,"Краснодар",'ВБ Отчет Продажи (за 60 дней)'!$G:$G,$A46)</f>
        <v>19</v>
      </c>
      <c r="Z46" s="7">
        <f>SUMIFS('ВБ Отчет Продажи (за 60 дней)'!$P:$P,'ВБ Отчет Продажи (за 60 дней)'!$K:$K,"Невинномысск",'ВБ Отчет Продажи (за 60 дней)'!$G:$G,$A46)</f>
        <v>19</v>
      </c>
      <c r="AA46" s="104">
        <f>SUMIFS('ВБ Отчет Продажи (за 60 дней)'!$P:$P,'ВБ Отчет Продажи (за 60 дней)'!$K:$K,"Волгоград",'ВБ Отчет Продажи (за 60 дней)'!$G:$G,$A46)</f>
        <v>0</v>
      </c>
      <c r="AB46" s="27">
        <f>SUMIFS('ВБ Отчет Продажи (за 60 дней)'!$P:$P,'ВБ Отчет Продажи (за 60 дней)'!$K:$K,"Самара (Новосемейкино)",'ВБ Отчет Продажи (за 60 дней)'!$G:$G,$A46)</f>
        <v>16</v>
      </c>
      <c r="AC46" s="104">
        <f>SUMIFS('ВБ Отчет Продажи (за 60 дней)'!$P:$P,'ВБ Отчет Продажи (за 60 дней)'!$K:$K,"Казань",'ВБ Отчет Продажи (за 60 дней)'!$G:$G,$A46)</f>
        <v>0</v>
      </c>
      <c r="AD46" s="104">
        <f>SUMIFS('ВБ Отчет Продажи (за 60 дней)'!$P:$P,'ВБ Отчет Продажи (за 60 дней)'!$K:$K,"СПБ Шушары",'ВБ Отчет Продажи (за 60 дней)'!$G:$G,$A46)</f>
        <v>18</v>
      </c>
      <c r="AE46" s="153">
        <f>SUMIFS('ВБ Отчет Продажи (за 60 дней)'!$P:$P,'ВБ Отчет Продажи (за 60 дней)'!$K:$K,"Екатеринбург - Перспективный 12",'ВБ Отчет Продажи (за 60 дней)'!$G:$G,$A46)</f>
        <v>0</v>
      </c>
      <c r="AF46" s="102">
        <f>SUMIFS('ВБ Отчет Продажи (за 60 дней)'!$P:$P,'ВБ Отчет Продажи (за 60 дней)'!$K:$K,"Новосибирск",'ВБ Отчет Продажи (за 60 дней)'!$G:$G,$A46)</f>
        <v>0</v>
      </c>
      <c r="AG46" s="124">
        <f t="shared" si="9"/>
        <v>126</v>
      </c>
      <c r="AH46" s="7">
        <f t="shared" si="10"/>
        <v>840</v>
      </c>
      <c r="AI46" s="213">
        <f>SUMIFS('ОЗОН Оборот ведом (за 60 дней)'!J:J,'ОЗОН Оборот ведом (за 60 дней)'!A:A,B46)</f>
        <v>15</v>
      </c>
      <c r="AJ46" s="21">
        <f t="shared" si="11"/>
        <v>141</v>
      </c>
      <c r="AK46" s="7" cm="1">
        <f t="array" ref="AK46">IFERROR(_xlfn.IFS((F46-U46)&gt;0,F46/$R$1*$AY$1-U46,F46+U46=0,"нов"),0)</f>
        <v>0</v>
      </c>
      <c r="AL46" s="7" cm="1">
        <f t="array" ref="AL46">IFERROR(_xlfn.IFS((G46-V46)&gt;0,G46/$R$1*$AY$1-V46,G46+V46=0,"нов"),0)</f>
        <v>0</v>
      </c>
      <c r="AM46" s="7" t="str" cm="1">
        <f t="array" ref="AM46">IFERROR(_xlfn.IFS((H46-W46)&gt;0,H46/$R$1*$AY$1-W46,H46+W46=0,"нов"),0)</f>
        <v>нов</v>
      </c>
      <c r="AN46" s="7" t="str" cm="1">
        <f t="array" ref="AN46">IFERROR(_xlfn.IFS((I46-X46)&gt;0,I46/$R$1*$AY$1-X46,I46+X46=0,"нов"),0)</f>
        <v>нов</v>
      </c>
      <c r="AO46" s="27" cm="1">
        <f t="array" ref="AO46">IFERROR(_xlfn.IFS((J46-Y46)&gt;0,J46/$R$1*$AY$1-Y46,J46+Y46=0,"нов"),0)</f>
        <v>0</v>
      </c>
      <c r="AP46" s="7" cm="1">
        <f t="array" ref="AP46">IFERROR(_xlfn.IFS((K46-Z46)&gt;0,K46/$R$1*$AY$1-Z46,K46+Z46=0,"нов"),0)</f>
        <v>0</v>
      </c>
      <c r="AQ46" s="104" t="str" cm="1">
        <f t="array" ref="AQ46">IFERROR(_xlfn.IFS((L46-AA46)&gt;0,L46/$R$1*$AY$1-AA46,L46+AA46=0,"нов"),0)</f>
        <v>нов</v>
      </c>
      <c r="AR46" s="27" cm="1">
        <f t="array" ref="AR46">IFERROR(_xlfn.IFS((M46-AB46)&gt;0,M46/$R$1*$AY$1-AB46,M46+AB46=0,"нов"),0)</f>
        <v>0</v>
      </c>
      <c r="AS46" s="104" t="str" cm="1">
        <f t="array" ref="AS46">IFERROR(_xlfn.IFS((N46-AC46)&gt;0,N46/$R$1*$AY$1-AC46,N46+AC46=0,"нов"),0)</f>
        <v>нов</v>
      </c>
      <c r="AT46" s="104" cm="1">
        <f t="array" ref="AT46">IFERROR(_xlfn.IFS((O46-AD46)&gt;0,O46/$R$1*$AY$1-AD46,O46+AD46=0,"нов"),0)</f>
        <v>0</v>
      </c>
      <c r="AU46" s="7" t="str" cm="1">
        <f t="array" ref="AU46">IFERROR(_xlfn.IFS((P46-AE46)&gt;0,P46/$R$1*$AY$1-AE46,P46+AE46=0,"нов"),0)</f>
        <v>нов</v>
      </c>
      <c r="AV46" s="7" t="str" cm="1">
        <f t="array" ref="AV46">IFERROR(_xlfn.IFS((Q46-AF46)&gt;0,Q46/$R$1*$AY$1-AF46,Q46+AF46=0,"нов"),0)</f>
        <v>нов</v>
      </c>
      <c r="AW46" s="141">
        <f t="shared" si="12"/>
        <v>0</v>
      </c>
      <c r="AX46" s="218">
        <f>SUMIF('ОЗОН Доступн товара'!D:D,_xlfn.XLOOKUP($B46,'ОЗОН Доступн товара'!$A:$A,'ОЗОН Доступн товара'!$D:$D,0))</f>
        <v>62</v>
      </c>
      <c r="AY46" s="226">
        <f t="shared" si="13"/>
        <v>62</v>
      </c>
      <c r="AZ46" s="7">
        <f t="shared" si="14"/>
        <v>0</v>
      </c>
      <c r="BA46" s="7">
        <f t="shared" si="15"/>
        <v>0</v>
      </c>
      <c r="BB46" s="7" t="str">
        <f t="shared" si="16"/>
        <v>нов</v>
      </c>
      <c r="BC46" s="7" t="str">
        <f t="shared" si="17"/>
        <v>нов</v>
      </c>
      <c r="BD46" s="27">
        <f t="shared" si="18"/>
        <v>0</v>
      </c>
      <c r="BE46" s="7">
        <f t="shared" si="19"/>
        <v>0</v>
      </c>
      <c r="BF46" s="104" t="str">
        <f t="shared" si="20"/>
        <v>нов</v>
      </c>
      <c r="BG46" s="27">
        <f t="shared" si="21"/>
        <v>0</v>
      </c>
      <c r="BH46" s="104" t="str">
        <f t="shared" si="22"/>
        <v>нов</v>
      </c>
      <c r="BI46" s="7">
        <f t="shared" si="23"/>
        <v>0</v>
      </c>
      <c r="BJ46" s="153" t="str">
        <f t="shared" si="24"/>
        <v>нов</v>
      </c>
      <c r="BK46" s="7" t="str">
        <f t="shared" si="25"/>
        <v>нов</v>
      </c>
      <c r="BL46" s="6">
        <f t="shared" si="26"/>
        <v>0</v>
      </c>
      <c r="BM46" s="6">
        <f t="shared" si="27"/>
        <v>80.600000000000009</v>
      </c>
      <c r="BN46" s="28">
        <f t="shared" si="28"/>
        <v>80.600000000000009</v>
      </c>
      <c r="BO46" s="73">
        <f>IFERROR(_xlfn.XLOOKUP(A46,'[2] Расчет стоимости и веса'!$I:$I,'[2] Расчет стоимости и веса'!$D:$D),0)</f>
        <v>0</v>
      </c>
      <c r="BP46" s="227">
        <f t="shared" si="29"/>
        <v>0</v>
      </c>
      <c r="BQ46" s="8"/>
      <c r="BR46" s="155"/>
      <c r="BS46" s="12"/>
      <c r="BT46" s="12"/>
      <c r="BU46" s="229"/>
      <c r="BV46" s="12"/>
      <c r="BW46" s="12"/>
      <c r="BY46" s="231"/>
      <c r="BZ46" s="232"/>
      <c r="CA46" s="155"/>
      <c r="CB46" s="157"/>
      <c r="CC46" s="57"/>
      <c r="CD46" s="12"/>
      <c r="CE46" s="146">
        <f t="shared" si="5"/>
        <v>0</v>
      </c>
      <c r="CF46" s="69">
        <f t="shared" si="6"/>
        <v>0</v>
      </c>
      <c r="CG46" s="45">
        <f t="shared" si="7"/>
        <v>0</v>
      </c>
    </row>
    <row r="47" spans="1:85" ht="14.1" hidden="1" customHeight="1">
      <c r="A47" s="237">
        <f>[1]Юнит!A49</f>
        <v>271440670</v>
      </c>
      <c r="B47" s="238">
        <f>[1]Юнит!B49</f>
        <v>2415743140</v>
      </c>
      <c r="C47" s="237" t="str">
        <f>[1]Юнит!C49</f>
        <v>ACRB1SK101BL</v>
      </c>
      <c r="D47" s="239" t="str">
        <f>[1]Юнит!D49</f>
        <v>Скакалка синяя</v>
      </c>
      <c r="E47" s="90">
        <f>[1]Юнит!E49</f>
        <v>2041473034169</v>
      </c>
      <c r="F47" s="132">
        <f>ROUNDUP(SUMIFS('ВБ Отчет Продажи (за 60 дней)'!$L:$L,'ВБ Отчет Продажи (за 60 дней)'!$K:$K,"Электросталь",'ВБ Отчет Продажи (за 60 дней)'!$G:$G,$A47),0)</f>
        <v>8</v>
      </c>
      <c r="G47" s="133">
        <f>ROUNDUP(SUMIFS('ВБ Отчет Продажи (за 60 дней)'!$L:$L,'ВБ Отчет Продажи (за 60 дней)'!$K:$K,"Коледино",'ВБ Отчет Продажи (за 60 дней)'!$G:$G,$A47),0)</f>
        <v>4</v>
      </c>
      <c r="H47" s="133">
        <f>ROUNDUP(SUMIFS('ВБ Отчет Продажи (за 60 дней)'!$L:$L,'ВБ Отчет Продажи (за 60 дней)'!$K:$K,"Тула",'ВБ Отчет Продажи (за 60 дней)'!$G:$G,$A47),0)</f>
        <v>0</v>
      </c>
      <c r="I47" s="134">
        <f>ROUNDUP(SUMIFS('ВБ Отчет Продажи (за 60 дней)'!$L:$L,'ВБ Отчет Продажи (за 60 дней)'!$K:$K,"Рязань (Тюшевское)",'ВБ Отчет Продажи (за 60 дней)'!$G:$G,$A47),0)</f>
        <v>0</v>
      </c>
      <c r="J47" s="136">
        <f>ROUNDUP(SUMIFS('ВБ Отчет Продажи (за 60 дней)'!$L:$L,'ВБ Отчет Продажи (за 60 дней)'!$K:$K,"Краснодар",'ВБ Отчет Продажи (за 60 дней)'!$G:$G,$A47),0)</f>
        <v>0</v>
      </c>
      <c r="K47" s="133">
        <f>ROUNDUP(SUMIFS('ВБ Отчет Продажи (за 60 дней)'!$L:$L,'ВБ Отчет Продажи (за 60 дней)'!$K:$K,"Невинномысск",'ВБ Отчет Продажи (за 60 дней)'!$G:$G,$A47),0)</f>
        <v>1</v>
      </c>
      <c r="L47" s="137">
        <f>ROUNDUP(SUMIFS('ВБ Отчет Продажи (за 60 дней)'!$L:$L,'ВБ Отчет Продажи (за 60 дней)'!$K:$K,"Волгоград",'ВБ Отчет Продажи (за 60 дней)'!$G:$G,$A47),0)</f>
        <v>0</v>
      </c>
      <c r="M47" s="136">
        <f>ROUNDUP(SUMIFS('ВБ Отчет Продажи (за 60 дней)'!$L:$L,'ВБ Отчет Продажи (за 60 дней)'!$K:$K,"Самара (Новосемейкино)",'ВБ Отчет Продажи (за 60 дней)'!$G:$G,$A47),0)</f>
        <v>2</v>
      </c>
      <c r="N47" s="137">
        <f>ROUNDUP(SUMIFS('ВБ Отчет Продажи (за 60 дней)'!$L:$L,'ВБ Отчет Продажи (за 60 дней)'!$K:$K,"Казань",'ВБ Отчет Продажи (за 60 дней)'!$G:$G,$A47),0)</f>
        <v>0</v>
      </c>
      <c r="O47" s="137">
        <f>ROUNDUP(SUMIFS('ВБ Отчет Продажи (за 60 дней)'!$L:$L,'ВБ Отчет Продажи (за 60 дней)'!$K:$K,"СПБ Шушары",'ВБ Отчет Продажи (за 60 дней)'!$G:$G,$A47),0)</f>
        <v>0</v>
      </c>
      <c r="P47" s="151">
        <f>ROUNDUP(SUMIFS('ВБ Отчет Продажи (за 60 дней)'!$L:$L,'ВБ Отчет Продажи (за 60 дней)'!$K:$K,"Екатеринбург - Перспективный 12",'ВБ Отчет Продажи (за 60 дней)'!$G:$G,$A47),0)</f>
        <v>0</v>
      </c>
      <c r="Q47" s="149">
        <f>ROUNDUP(SUMIFS('ВБ Отчет Продажи (за 60 дней)'!$L:$L,'ВБ Отчет Продажи (за 60 дней)'!$K:$K,"Новосибирск",'ВБ Отчет Продажи (за 60 дней)'!$G:$G,$A47),0)</f>
        <v>0</v>
      </c>
      <c r="R47" s="131">
        <f t="shared" si="31"/>
        <v>15</v>
      </c>
      <c r="S47" s="139">
        <f>SUMIFS('ОЗОН Оборот ведом (за 60 дней)'!I:I,'ОЗОН Оборот ведом (за 60 дней)'!A:A,B47)</f>
        <v>5</v>
      </c>
      <c r="T47" s="140">
        <f t="shared" si="8"/>
        <v>20</v>
      </c>
      <c r="U47" s="6">
        <f>SUMIFS('ВБ Отчет Продажи (за 60 дней)'!$P:$P,'ВБ Отчет Продажи (за 60 дней)'!$K:$K,"Электросталь",'ВБ Отчет Продажи (за 60 дней)'!$G:$G,$A47)</f>
        <v>30</v>
      </c>
      <c r="V47" s="7">
        <f>SUMIFS('ВБ Отчет Продажи (за 60 дней)'!$P:$P,'ВБ Отчет Продажи (за 60 дней)'!$K:$K,"Коледино",'ВБ Отчет Продажи (за 60 дней)'!$G:$G,$A47)</f>
        <v>0</v>
      </c>
      <c r="W47" s="7">
        <f>SUMIFS('ВБ Отчет Продажи (за 60 дней)'!$P:$P,'ВБ Отчет Продажи (за 60 дней)'!$K:$K,"Тула",'ВБ Отчет Продажи (за 60 дней)'!$G:$G,$A47)</f>
        <v>0</v>
      </c>
      <c r="X47" s="7">
        <f>SUMIFS('ВБ Отчет Продажи (за 60 дней)'!$P:$P,'ВБ Отчет Продажи (за 60 дней)'!$K:$K,"Рязань (Тюшевское)",'ВБ Отчет Продажи (за 60 дней)'!$G:$G,$A47)</f>
        <v>0</v>
      </c>
      <c r="Y47" s="27">
        <f>SUMIFS('ВБ Отчет Продажи (за 60 дней)'!$P:$P,'ВБ Отчет Продажи (за 60 дней)'!$K:$K,"Краснодар",'ВБ Отчет Продажи (за 60 дней)'!$G:$G,$A47)</f>
        <v>13</v>
      </c>
      <c r="Z47" s="7">
        <f>SUMIFS('ВБ Отчет Продажи (за 60 дней)'!$P:$P,'ВБ Отчет Продажи (за 60 дней)'!$K:$K,"Невинномысск",'ВБ Отчет Продажи (за 60 дней)'!$G:$G,$A47)</f>
        <v>18</v>
      </c>
      <c r="AA47" s="104">
        <f>SUMIFS('ВБ Отчет Продажи (за 60 дней)'!$P:$P,'ВБ Отчет Продажи (за 60 дней)'!$K:$K,"Волгоград",'ВБ Отчет Продажи (за 60 дней)'!$G:$G,$A47)</f>
        <v>0</v>
      </c>
      <c r="AB47" s="27">
        <f>SUMIFS('ВБ Отчет Продажи (за 60 дней)'!$P:$P,'ВБ Отчет Продажи (за 60 дней)'!$K:$K,"Самара (Новосемейкино)",'ВБ Отчет Продажи (за 60 дней)'!$G:$G,$A47)</f>
        <v>16</v>
      </c>
      <c r="AC47" s="104">
        <f>SUMIFS('ВБ Отчет Продажи (за 60 дней)'!$P:$P,'ВБ Отчет Продажи (за 60 дней)'!$K:$K,"Казань",'ВБ Отчет Продажи (за 60 дней)'!$G:$G,$A47)</f>
        <v>0</v>
      </c>
      <c r="AD47" s="104">
        <f>SUMIFS('ВБ Отчет Продажи (за 60 дней)'!$P:$P,'ВБ Отчет Продажи (за 60 дней)'!$K:$K,"СПБ Шушары",'ВБ Отчет Продажи (за 60 дней)'!$G:$G,$A47)</f>
        <v>19</v>
      </c>
      <c r="AE47" s="153">
        <f>SUMIFS('ВБ Отчет Продажи (за 60 дней)'!$P:$P,'ВБ Отчет Продажи (за 60 дней)'!$K:$K,"Екатеринбург - Перспективный 12",'ВБ Отчет Продажи (за 60 дней)'!$G:$G,$A47)</f>
        <v>0</v>
      </c>
      <c r="AF47" s="102">
        <f>SUMIFS('ВБ Отчет Продажи (за 60 дней)'!$P:$P,'ВБ Отчет Продажи (за 60 дней)'!$K:$K,"Новосибирск",'ВБ Отчет Продажи (за 60 дней)'!$G:$G,$A47)</f>
        <v>0</v>
      </c>
      <c r="AG47" s="124">
        <f t="shared" si="9"/>
        <v>96</v>
      </c>
      <c r="AH47" s="7">
        <f t="shared" si="10"/>
        <v>384</v>
      </c>
      <c r="AI47" s="213">
        <f>SUMIFS('ОЗОН Оборот ведом (за 60 дней)'!J:J,'ОЗОН Оборот ведом (за 60 дней)'!A:A,B47)</f>
        <v>11</v>
      </c>
      <c r="AJ47" s="21">
        <f t="shared" si="11"/>
        <v>107</v>
      </c>
      <c r="AK47" s="7" cm="1">
        <f t="array" ref="AK47">IFERROR(_xlfn.IFS((F47-U47)&gt;0,F47/$R$1*$AY$1-U47,F47+U47=0,"нов"),0)</f>
        <v>0</v>
      </c>
      <c r="AL47" s="7" cm="1">
        <f t="array" ref="AL47">IFERROR(_xlfn.IFS((G47-V47)&gt;0,G47/$R$1*$AY$1-V47,G47+V47=0,"нов"),0)</f>
        <v>4</v>
      </c>
      <c r="AM47" s="7" t="str" cm="1">
        <f t="array" ref="AM47">IFERROR(_xlfn.IFS((H47-W47)&gt;0,H47/$R$1*$AY$1-W47,H47+W47=0,"нов"),0)</f>
        <v>нов</v>
      </c>
      <c r="AN47" s="7" t="str" cm="1">
        <f t="array" ref="AN47">IFERROR(_xlfn.IFS((I47-X47)&gt;0,I47/$R$1*$AY$1-X47,I47+X47=0,"нов"),0)</f>
        <v>нов</v>
      </c>
      <c r="AO47" s="27" cm="1">
        <f t="array" ref="AO47">IFERROR(_xlfn.IFS((J47-Y47)&gt;0,J47/$R$1*$AY$1-Y47,J47+Y47=0,"нов"),0)</f>
        <v>0</v>
      </c>
      <c r="AP47" s="7" cm="1">
        <f t="array" ref="AP47">IFERROR(_xlfn.IFS((K47-Z47)&gt;0,K47/$R$1*$AY$1-Z47,K47+Z47=0,"нов"),0)</f>
        <v>0</v>
      </c>
      <c r="AQ47" s="104" t="str" cm="1">
        <f t="array" ref="AQ47">IFERROR(_xlfn.IFS((L47-AA47)&gt;0,L47/$R$1*$AY$1-AA47,L47+AA47=0,"нов"),0)</f>
        <v>нов</v>
      </c>
      <c r="AR47" s="27" cm="1">
        <f t="array" ref="AR47">IFERROR(_xlfn.IFS((M47-AB47)&gt;0,M47/$R$1*$AY$1-AB47,M47+AB47=0,"нов"),0)</f>
        <v>0</v>
      </c>
      <c r="AS47" s="104" t="str" cm="1">
        <f t="array" ref="AS47">IFERROR(_xlfn.IFS((N47-AC47)&gt;0,N47/$R$1*$AY$1-AC47,N47+AC47=0,"нов"),0)</f>
        <v>нов</v>
      </c>
      <c r="AT47" s="104" cm="1">
        <f t="array" ref="AT47">IFERROR(_xlfn.IFS((O47-AD47)&gt;0,O47/$R$1*$AY$1-AD47,O47+AD47=0,"нов"),0)</f>
        <v>0</v>
      </c>
      <c r="AU47" s="7" t="str" cm="1">
        <f t="array" ref="AU47">IFERROR(_xlfn.IFS((P47-AE47)&gt;0,P47/$R$1*$AY$1-AE47,P47+AE47=0,"нов"),0)</f>
        <v>нов</v>
      </c>
      <c r="AV47" s="7" t="str" cm="1">
        <f t="array" ref="AV47">IFERROR(_xlfn.IFS((Q47-AF47)&gt;0,Q47/$R$1*$AY$1-AF47,Q47+AF47=0,"нов"),0)</f>
        <v>нов</v>
      </c>
      <c r="AW47" s="141">
        <f t="shared" si="12"/>
        <v>4</v>
      </c>
      <c r="AX47" s="218">
        <f>SUMIF('ОЗОН Доступн товара'!D:D,_xlfn.XLOOKUP($B47,'ОЗОН Доступн товара'!$A:$A,'ОЗОН Доступн товара'!$D:$D,0))</f>
        <v>62</v>
      </c>
      <c r="AY47" s="226">
        <f t="shared" si="13"/>
        <v>66</v>
      </c>
      <c r="AZ47" s="7">
        <f t="shared" si="14"/>
        <v>0</v>
      </c>
      <c r="BA47" s="7">
        <f t="shared" si="15"/>
        <v>6</v>
      </c>
      <c r="BB47" s="7" t="str">
        <f t="shared" si="16"/>
        <v>нов</v>
      </c>
      <c r="BC47" s="7" t="str">
        <f t="shared" si="17"/>
        <v>нов</v>
      </c>
      <c r="BD47" s="27">
        <f t="shared" si="18"/>
        <v>0</v>
      </c>
      <c r="BE47" s="7">
        <f t="shared" si="19"/>
        <v>0</v>
      </c>
      <c r="BF47" s="104" t="str">
        <f t="shared" si="20"/>
        <v>нов</v>
      </c>
      <c r="BG47" s="27">
        <f t="shared" si="21"/>
        <v>0</v>
      </c>
      <c r="BH47" s="104" t="str">
        <f t="shared" si="22"/>
        <v>нов</v>
      </c>
      <c r="BI47" s="7">
        <f t="shared" si="23"/>
        <v>0</v>
      </c>
      <c r="BJ47" s="153" t="str">
        <f t="shared" si="24"/>
        <v>нов</v>
      </c>
      <c r="BK47" s="7" t="str">
        <f t="shared" si="25"/>
        <v>нов</v>
      </c>
      <c r="BL47" s="6">
        <f t="shared" si="26"/>
        <v>6</v>
      </c>
      <c r="BM47" s="6">
        <f t="shared" si="27"/>
        <v>80.600000000000009</v>
      </c>
      <c r="BN47" s="28">
        <f t="shared" si="28"/>
        <v>86.600000000000009</v>
      </c>
      <c r="BO47" s="73">
        <f>IFERROR(_xlfn.XLOOKUP(A47,'[2] Расчет стоимости и веса'!$I:$I,'[2] Расчет стоимости и веса'!$D:$D),0)</f>
        <v>0</v>
      </c>
      <c r="BP47" s="227">
        <f t="shared" si="29"/>
        <v>0</v>
      </c>
      <c r="BQ47" s="8"/>
      <c r="BR47" s="155"/>
      <c r="BS47" s="12"/>
      <c r="BT47" s="12"/>
      <c r="BU47" s="229"/>
      <c r="BV47" s="12"/>
      <c r="BW47" s="12"/>
      <c r="BY47" s="231"/>
      <c r="BZ47" s="232"/>
      <c r="CA47" s="155"/>
      <c r="CB47" s="157"/>
      <c r="CC47" s="57"/>
      <c r="CD47" s="12"/>
      <c r="CE47" s="146">
        <f t="shared" si="5"/>
        <v>0</v>
      </c>
      <c r="CF47" s="69">
        <f t="shared" si="6"/>
        <v>0</v>
      </c>
      <c r="CG47" s="45">
        <f t="shared" si="7"/>
        <v>0</v>
      </c>
    </row>
    <row r="48" spans="1:85" ht="14.1" hidden="1" customHeight="1">
      <c r="A48" s="240">
        <f>[1]Юнит!A50</f>
        <v>550445272</v>
      </c>
      <c r="B48" s="241">
        <f>[1]Юнит!B50</f>
        <v>0</v>
      </c>
      <c r="C48" s="240" t="str">
        <f>[1]Юнит!C50</f>
        <v>ACRF1KP101BC</v>
      </c>
      <c r="D48" s="90" t="str">
        <f>[1]Юнит!D50</f>
        <v>Капа черный/красный - черная коробка</v>
      </c>
      <c r="E48" s="90">
        <f>[1]Юнит!E50</f>
        <v>2046391283330</v>
      </c>
      <c r="F48" s="132">
        <f>ROUNDUP(SUMIFS('ВБ Отчет Продажи (за 60 дней)'!$L:$L,'ВБ Отчет Продажи (за 60 дней)'!$K:$K,"Электросталь",'ВБ Отчет Продажи (за 60 дней)'!$G:$G,$A48),0)</f>
        <v>0</v>
      </c>
      <c r="G48" s="133">
        <f>ROUNDUP(SUMIFS('ВБ Отчет Продажи (за 60 дней)'!$L:$L,'ВБ Отчет Продажи (за 60 дней)'!$K:$K,"Коледино",'ВБ Отчет Продажи (за 60 дней)'!$G:$G,$A48),0)</f>
        <v>0</v>
      </c>
      <c r="H48" s="133">
        <f>ROUNDUP(SUMIFS('ВБ Отчет Продажи (за 60 дней)'!$L:$L,'ВБ Отчет Продажи (за 60 дней)'!$K:$K,"Тула",'ВБ Отчет Продажи (за 60 дней)'!$G:$G,$A48),0)</f>
        <v>0</v>
      </c>
      <c r="I48" s="134">
        <f>ROUNDUP(SUMIFS('ВБ Отчет Продажи (за 60 дней)'!$L:$L,'ВБ Отчет Продажи (за 60 дней)'!$K:$K,"Рязань (Тюшевское)",'ВБ Отчет Продажи (за 60 дней)'!$G:$G,$A48),0)</f>
        <v>0</v>
      </c>
      <c r="J48" s="136">
        <f>ROUNDUP(SUMIFS('ВБ Отчет Продажи (за 60 дней)'!$L:$L,'ВБ Отчет Продажи (за 60 дней)'!$K:$K,"Краснодар",'ВБ Отчет Продажи (за 60 дней)'!$G:$G,$A48),0)</f>
        <v>0</v>
      </c>
      <c r="K48" s="133">
        <f>ROUNDUP(SUMIFS('ВБ Отчет Продажи (за 60 дней)'!$L:$L,'ВБ Отчет Продажи (за 60 дней)'!$K:$K,"Невинномысск",'ВБ Отчет Продажи (за 60 дней)'!$G:$G,$A48),0)</f>
        <v>0</v>
      </c>
      <c r="L48" s="137">
        <f>ROUNDUP(SUMIFS('ВБ Отчет Продажи (за 60 дней)'!$L:$L,'ВБ Отчет Продажи (за 60 дней)'!$K:$K,"Волгоград",'ВБ Отчет Продажи (за 60 дней)'!$G:$G,$A48),0)</f>
        <v>0</v>
      </c>
      <c r="M48" s="136">
        <f>ROUNDUP(SUMIFS('ВБ Отчет Продажи (за 60 дней)'!$L:$L,'ВБ Отчет Продажи (за 60 дней)'!$K:$K,"Самара (Новосемейкино)",'ВБ Отчет Продажи (за 60 дней)'!$G:$G,$A48),0)</f>
        <v>0</v>
      </c>
      <c r="N48" s="137">
        <f>ROUNDUP(SUMIFS('ВБ Отчет Продажи (за 60 дней)'!$L:$L,'ВБ Отчет Продажи (за 60 дней)'!$K:$K,"Казань",'ВБ Отчет Продажи (за 60 дней)'!$G:$G,$A48),0)</f>
        <v>0</v>
      </c>
      <c r="O48" s="137">
        <f>ROUNDUP(SUMIFS('ВБ Отчет Продажи (за 60 дней)'!$L:$L,'ВБ Отчет Продажи (за 60 дней)'!$K:$K,"СПБ Шушары",'ВБ Отчет Продажи (за 60 дней)'!$G:$G,$A48),0)</f>
        <v>0</v>
      </c>
      <c r="P48" s="151">
        <f>ROUNDUP(SUMIFS('ВБ Отчет Продажи (за 60 дней)'!$L:$L,'ВБ Отчет Продажи (за 60 дней)'!$K:$K,"Екатеринбург - Перспективный 12",'ВБ Отчет Продажи (за 60 дней)'!$G:$G,$A48),0)</f>
        <v>0</v>
      </c>
      <c r="Q48" s="149">
        <f>ROUNDUP(SUMIFS('ВБ Отчет Продажи (за 60 дней)'!$L:$L,'ВБ Отчет Продажи (за 60 дней)'!$K:$K,"Новосибирск",'ВБ Отчет Продажи (за 60 дней)'!$G:$G,$A48),0)</f>
        <v>0</v>
      </c>
      <c r="R48" s="131">
        <f t="shared" si="31"/>
        <v>0</v>
      </c>
      <c r="S48" s="139">
        <f>SUMIFS('ОЗОН Оборот ведом (за 60 дней)'!I:I,'ОЗОН Оборот ведом (за 60 дней)'!A:A,B48)</f>
        <v>0</v>
      </c>
      <c r="T48" s="140">
        <f t="shared" si="8"/>
        <v>0</v>
      </c>
      <c r="U48" s="6">
        <f>SUMIFS('ВБ Отчет Продажи (за 60 дней)'!$P:$P,'ВБ Отчет Продажи (за 60 дней)'!$K:$K,"Электросталь",'ВБ Отчет Продажи (за 60 дней)'!$G:$G,$A48)</f>
        <v>0</v>
      </c>
      <c r="V48" s="7">
        <f>SUMIFS('ВБ Отчет Продажи (за 60 дней)'!$P:$P,'ВБ Отчет Продажи (за 60 дней)'!$K:$K,"Коледино",'ВБ Отчет Продажи (за 60 дней)'!$G:$G,$A48)</f>
        <v>0</v>
      </c>
      <c r="W48" s="7">
        <f>SUMIFS('ВБ Отчет Продажи (за 60 дней)'!$P:$P,'ВБ Отчет Продажи (за 60 дней)'!$K:$K,"Тула",'ВБ Отчет Продажи (за 60 дней)'!$G:$G,$A48)</f>
        <v>0</v>
      </c>
      <c r="X48" s="7">
        <f>SUMIFS('ВБ Отчет Продажи (за 60 дней)'!$P:$P,'ВБ Отчет Продажи (за 60 дней)'!$K:$K,"Рязань (Тюшевское)",'ВБ Отчет Продажи (за 60 дней)'!$G:$G,$A48)</f>
        <v>0</v>
      </c>
      <c r="Y48" s="27">
        <f>SUMIFS('ВБ Отчет Продажи (за 60 дней)'!$P:$P,'ВБ Отчет Продажи (за 60 дней)'!$K:$K,"Краснодар",'ВБ Отчет Продажи (за 60 дней)'!$G:$G,$A48)</f>
        <v>0</v>
      </c>
      <c r="Z48" s="7">
        <f>SUMIFS('ВБ Отчет Продажи (за 60 дней)'!$P:$P,'ВБ Отчет Продажи (за 60 дней)'!$K:$K,"Невинномысск",'ВБ Отчет Продажи (за 60 дней)'!$G:$G,$A48)</f>
        <v>0</v>
      </c>
      <c r="AA48" s="104">
        <f>SUMIFS('ВБ Отчет Продажи (за 60 дней)'!$P:$P,'ВБ Отчет Продажи (за 60 дней)'!$K:$K,"Волгоград",'ВБ Отчет Продажи (за 60 дней)'!$G:$G,$A48)</f>
        <v>0</v>
      </c>
      <c r="AB48" s="27">
        <f>SUMIFS('ВБ Отчет Продажи (за 60 дней)'!$P:$P,'ВБ Отчет Продажи (за 60 дней)'!$K:$K,"Самара (Новосемейкино)",'ВБ Отчет Продажи (за 60 дней)'!$G:$G,$A48)</f>
        <v>0</v>
      </c>
      <c r="AC48" s="104">
        <f>SUMIFS('ВБ Отчет Продажи (за 60 дней)'!$P:$P,'ВБ Отчет Продажи (за 60 дней)'!$K:$K,"Казань",'ВБ Отчет Продажи (за 60 дней)'!$G:$G,$A48)</f>
        <v>0</v>
      </c>
      <c r="AD48" s="104">
        <f>SUMIFS('ВБ Отчет Продажи (за 60 дней)'!$P:$P,'ВБ Отчет Продажи (за 60 дней)'!$K:$K,"СПБ Шушары",'ВБ Отчет Продажи (за 60 дней)'!$G:$G,$A48)</f>
        <v>0</v>
      </c>
      <c r="AE48" s="153">
        <f>SUMIFS('ВБ Отчет Продажи (за 60 дней)'!$P:$P,'ВБ Отчет Продажи (за 60 дней)'!$K:$K,"Екатеринбург - Перспективный 12",'ВБ Отчет Продажи (за 60 дней)'!$G:$G,$A48)</f>
        <v>0</v>
      </c>
      <c r="AF48" s="102">
        <f>SUMIFS('ВБ Отчет Продажи (за 60 дней)'!$P:$P,'ВБ Отчет Продажи (за 60 дней)'!$K:$K,"Новосибирск",'ВБ Отчет Продажи (за 60 дней)'!$G:$G,$A48)</f>
        <v>0</v>
      </c>
      <c r="AG48" s="124">
        <f t="shared" si="9"/>
        <v>0</v>
      </c>
      <c r="AH48" s="7">
        <f t="shared" si="10"/>
        <v>0</v>
      </c>
      <c r="AI48" s="213">
        <f>SUMIFS('ОЗОН Оборот ведом (за 60 дней)'!J:J,'ОЗОН Оборот ведом (за 60 дней)'!A:A,B48)</f>
        <v>0</v>
      </c>
      <c r="AJ48" s="21">
        <f t="shared" si="11"/>
        <v>0</v>
      </c>
      <c r="AK48" s="7" t="str" cm="1">
        <f t="array" ref="AK48">IFERROR(_xlfn.IFS((F48-U48)&gt;0,F48/$R$1*$AY$1-U48,F48+U48=0,"нов"),0)</f>
        <v>нов</v>
      </c>
      <c r="AL48" s="7" t="str" cm="1">
        <f t="array" ref="AL48">IFERROR(_xlfn.IFS((G48-V48)&gt;0,G48/$R$1*$AY$1-V48,G48+V48=0,"нов"),0)</f>
        <v>нов</v>
      </c>
      <c r="AM48" s="7" t="str" cm="1">
        <f t="array" ref="AM48">IFERROR(_xlfn.IFS((H48-W48)&gt;0,H48/$R$1*$AY$1-W48,H48+W48=0,"нов"),0)</f>
        <v>нов</v>
      </c>
      <c r="AN48" s="7" t="str" cm="1">
        <f t="array" ref="AN48">IFERROR(_xlfn.IFS((I48-X48)&gt;0,I48/$R$1*$AY$1-X48,I48+X48=0,"нов"),0)</f>
        <v>нов</v>
      </c>
      <c r="AO48" s="27" t="str" cm="1">
        <f t="array" ref="AO48">IFERROR(_xlfn.IFS((J48-Y48)&gt;0,J48/$R$1*$AY$1-Y48,J48+Y48=0,"нов"),0)</f>
        <v>нов</v>
      </c>
      <c r="AP48" s="7" t="str" cm="1">
        <f t="array" ref="AP48">IFERROR(_xlfn.IFS((K48-Z48)&gt;0,K48/$R$1*$AY$1-Z48,K48+Z48=0,"нов"),0)</f>
        <v>нов</v>
      </c>
      <c r="AQ48" s="104" t="str" cm="1">
        <f t="array" ref="AQ48">IFERROR(_xlfn.IFS((L48-AA48)&gt;0,L48/$R$1*$AY$1-AA48,L48+AA48=0,"нов"),0)</f>
        <v>нов</v>
      </c>
      <c r="AR48" s="27" t="str" cm="1">
        <f t="array" ref="AR48">IFERROR(_xlfn.IFS((M48-AB48)&gt;0,M48/$R$1*$AY$1-AB48,M48+AB48=0,"нов"),0)</f>
        <v>нов</v>
      </c>
      <c r="AS48" s="104" t="str" cm="1">
        <f t="array" ref="AS48">IFERROR(_xlfn.IFS((N48-AC48)&gt;0,N48/$R$1*$AY$1-AC48,N48+AC48=0,"нов"),0)</f>
        <v>нов</v>
      </c>
      <c r="AT48" s="104" t="str" cm="1">
        <f t="array" ref="AT48">IFERROR(_xlfn.IFS((O48-AD48)&gt;0,O48/$R$1*$AY$1-AD48,O48+AD48=0,"нов"),0)</f>
        <v>нов</v>
      </c>
      <c r="AU48" s="7" t="str" cm="1">
        <f t="array" ref="AU48">IFERROR(_xlfn.IFS((P48-AE48)&gt;0,P48/$R$1*$AY$1-AE48,P48+AE48=0,"нов"),0)</f>
        <v>нов</v>
      </c>
      <c r="AV48" s="7" t="str" cm="1">
        <f t="array" ref="AV48">IFERROR(_xlfn.IFS((Q48-AF48)&gt;0,Q48/$R$1*$AY$1-AF48,Q48+AF48=0,"нов"),0)</f>
        <v>нов</v>
      </c>
      <c r="AW48" s="141">
        <f t="shared" si="12"/>
        <v>0</v>
      </c>
      <c r="AX48" s="218">
        <f>SUMIF('ОЗОН Доступн товара'!D:D,_xlfn.XLOOKUP($B48,'ОЗОН Доступн товара'!$A:$A,'ОЗОН Доступн товара'!$D:$D,0))</f>
        <v>0</v>
      </c>
      <c r="AY48" s="226">
        <f t="shared" si="13"/>
        <v>0</v>
      </c>
      <c r="AZ48" s="7" t="str">
        <f t="shared" si="14"/>
        <v>нов</v>
      </c>
      <c r="BA48" s="7" t="str">
        <f t="shared" si="15"/>
        <v>нов</v>
      </c>
      <c r="BB48" s="7" t="str">
        <f t="shared" si="16"/>
        <v>нов</v>
      </c>
      <c r="BC48" s="7" t="str">
        <f t="shared" si="17"/>
        <v>нов</v>
      </c>
      <c r="BD48" s="27" t="str">
        <f t="shared" si="18"/>
        <v>нов</v>
      </c>
      <c r="BE48" s="7" t="str">
        <f t="shared" si="19"/>
        <v>нов</v>
      </c>
      <c r="BF48" s="104" t="str">
        <f t="shared" si="20"/>
        <v>нов</v>
      </c>
      <c r="BG48" s="27" t="str">
        <f t="shared" si="21"/>
        <v>нов</v>
      </c>
      <c r="BH48" s="104" t="str">
        <f t="shared" si="22"/>
        <v>нов</v>
      </c>
      <c r="BI48" s="7" t="str">
        <f t="shared" si="23"/>
        <v>нов</v>
      </c>
      <c r="BJ48" s="153" t="str">
        <f t="shared" si="24"/>
        <v>нов</v>
      </c>
      <c r="BK48" s="7" t="str">
        <f t="shared" si="25"/>
        <v>нов</v>
      </c>
      <c r="BL48" s="6">
        <f t="shared" si="26"/>
        <v>0</v>
      </c>
      <c r="BM48" s="6">
        <f t="shared" si="27"/>
        <v>0</v>
      </c>
      <c r="BN48" s="28">
        <f t="shared" si="28"/>
        <v>0</v>
      </c>
      <c r="BO48" s="73">
        <f>IFERROR(_xlfn.XLOOKUP(A48,'[2] Расчет стоимости и веса'!$I:$I,'[2] Расчет стоимости и веса'!$D:$D),0)</f>
        <v>0</v>
      </c>
      <c r="BP48" s="227">
        <f t="shared" si="29"/>
        <v>0</v>
      </c>
      <c r="BQ48" s="8"/>
      <c r="BR48" s="155"/>
      <c r="BS48" s="12"/>
      <c r="BT48" s="12"/>
      <c r="BU48" s="229"/>
      <c r="BV48" s="12"/>
      <c r="BW48" s="12"/>
      <c r="BY48" s="231"/>
      <c r="BZ48" s="232"/>
      <c r="CA48" s="155"/>
      <c r="CB48" s="157"/>
      <c r="CC48" s="57"/>
      <c r="CD48" s="12"/>
      <c r="CE48" s="146">
        <f t="shared" si="5"/>
        <v>0</v>
      </c>
      <c r="CF48" s="69">
        <f t="shared" si="6"/>
        <v>0</v>
      </c>
      <c r="CG48" s="45">
        <f t="shared" si="7"/>
        <v>0</v>
      </c>
    </row>
    <row r="49" spans="1:85" ht="14.1" hidden="1" customHeight="1">
      <c r="A49" s="240">
        <f>[1]Юнит!A51</f>
        <v>550445274</v>
      </c>
      <c r="B49" s="241">
        <f>[1]Юнит!B51</f>
        <v>0</v>
      </c>
      <c r="C49" s="240" t="str">
        <f>[1]Юнит!C51</f>
        <v>ACRF1KP102BC</v>
      </c>
      <c r="D49" s="90" t="str">
        <f>[1]Юнит!D51</f>
        <v>Капа черный/белый-черная коробка</v>
      </c>
      <c r="E49" s="90">
        <f>[1]Юнит!E51</f>
        <v>2046391283385</v>
      </c>
      <c r="F49" s="132">
        <f>ROUNDUP(SUMIFS('ВБ Отчет Продажи (за 60 дней)'!$L:$L,'ВБ Отчет Продажи (за 60 дней)'!$K:$K,"Электросталь",'ВБ Отчет Продажи (за 60 дней)'!$G:$G,$A49),0)</f>
        <v>0</v>
      </c>
      <c r="G49" s="133">
        <f>ROUNDUP(SUMIFS('ВБ Отчет Продажи (за 60 дней)'!$L:$L,'ВБ Отчет Продажи (за 60 дней)'!$K:$K,"Коледино",'ВБ Отчет Продажи (за 60 дней)'!$G:$G,$A49),0)</f>
        <v>0</v>
      </c>
      <c r="H49" s="133">
        <f>ROUNDUP(SUMIFS('ВБ Отчет Продажи (за 60 дней)'!$L:$L,'ВБ Отчет Продажи (за 60 дней)'!$K:$K,"Тула",'ВБ Отчет Продажи (за 60 дней)'!$G:$G,$A49),0)</f>
        <v>0</v>
      </c>
      <c r="I49" s="134">
        <f>ROUNDUP(SUMIFS('ВБ Отчет Продажи (за 60 дней)'!$L:$L,'ВБ Отчет Продажи (за 60 дней)'!$K:$K,"Рязань (Тюшевское)",'ВБ Отчет Продажи (за 60 дней)'!$G:$G,$A49),0)</f>
        <v>0</v>
      </c>
      <c r="J49" s="136">
        <f>ROUNDUP(SUMIFS('ВБ Отчет Продажи (за 60 дней)'!$L:$L,'ВБ Отчет Продажи (за 60 дней)'!$K:$K,"Краснодар",'ВБ Отчет Продажи (за 60 дней)'!$G:$G,$A49),0)</f>
        <v>0</v>
      </c>
      <c r="K49" s="133">
        <f>ROUNDUP(SUMIFS('ВБ Отчет Продажи (за 60 дней)'!$L:$L,'ВБ Отчет Продажи (за 60 дней)'!$K:$K,"Невинномысск",'ВБ Отчет Продажи (за 60 дней)'!$G:$G,$A49),0)</f>
        <v>0</v>
      </c>
      <c r="L49" s="137">
        <f>ROUNDUP(SUMIFS('ВБ Отчет Продажи (за 60 дней)'!$L:$L,'ВБ Отчет Продажи (за 60 дней)'!$K:$K,"Волгоград",'ВБ Отчет Продажи (за 60 дней)'!$G:$G,$A49),0)</f>
        <v>0</v>
      </c>
      <c r="M49" s="136">
        <f>ROUNDUP(SUMIFS('ВБ Отчет Продажи (за 60 дней)'!$L:$L,'ВБ Отчет Продажи (за 60 дней)'!$K:$K,"Самара (Новосемейкино)",'ВБ Отчет Продажи (за 60 дней)'!$G:$G,$A49),0)</f>
        <v>0</v>
      </c>
      <c r="N49" s="137">
        <f>ROUNDUP(SUMIFS('ВБ Отчет Продажи (за 60 дней)'!$L:$L,'ВБ Отчет Продажи (за 60 дней)'!$K:$K,"Казань",'ВБ Отчет Продажи (за 60 дней)'!$G:$G,$A49),0)</f>
        <v>0</v>
      </c>
      <c r="O49" s="137">
        <f>ROUNDUP(SUMIFS('ВБ Отчет Продажи (за 60 дней)'!$L:$L,'ВБ Отчет Продажи (за 60 дней)'!$K:$K,"СПБ Шушары",'ВБ Отчет Продажи (за 60 дней)'!$G:$G,$A49),0)</f>
        <v>0</v>
      </c>
      <c r="P49" s="151">
        <f>ROUNDUP(SUMIFS('ВБ Отчет Продажи (за 60 дней)'!$L:$L,'ВБ Отчет Продажи (за 60 дней)'!$K:$K,"Екатеринбург - Перспективный 12",'ВБ Отчет Продажи (за 60 дней)'!$G:$G,$A49),0)</f>
        <v>0</v>
      </c>
      <c r="Q49" s="149">
        <f>ROUNDUP(SUMIFS('ВБ Отчет Продажи (за 60 дней)'!$L:$L,'ВБ Отчет Продажи (за 60 дней)'!$K:$K,"Новосибирск",'ВБ Отчет Продажи (за 60 дней)'!$G:$G,$A49),0)</f>
        <v>0</v>
      </c>
      <c r="R49" s="131">
        <f t="shared" si="31"/>
        <v>0</v>
      </c>
      <c r="S49" s="139">
        <f>SUMIFS('ОЗОН Оборот ведом (за 60 дней)'!I:I,'ОЗОН Оборот ведом (за 60 дней)'!A:A,B49)</f>
        <v>0</v>
      </c>
      <c r="T49" s="140">
        <f t="shared" si="8"/>
        <v>0</v>
      </c>
      <c r="U49" s="6">
        <f>SUMIFS('ВБ Отчет Продажи (за 60 дней)'!$P:$P,'ВБ Отчет Продажи (за 60 дней)'!$K:$K,"Электросталь",'ВБ Отчет Продажи (за 60 дней)'!$G:$G,$A49)</f>
        <v>0</v>
      </c>
      <c r="V49" s="7">
        <f>SUMIFS('ВБ Отчет Продажи (за 60 дней)'!$P:$P,'ВБ Отчет Продажи (за 60 дней)'!$K:$K,"Коледино",'ВБ Отчет Продажи (за 60 дней)'!$G:$G,$A49)</f>
        <v>0</v>
      </c>
      <c r="W49" s="7">
        <f>SUMIFS('ВБ Отчет Продажи (за 60 дней)'!$P:$P,'ВБ Отчет Продажи (за 60 дней)'!$K:$K,"Тула",'ВБ Отчет Продажи (за 60 дней)'!$G:$G,$A49)</f>
        <v>0</v>
      </c>
      <c r="X49" s="7">
        <f>SUMIFS('ВБ Отчет Продажи (за 60 дней)'!$P:$P,'ВБ Отчет Продажи (за 60 дней)'!$K:$K,"Рязань (Тюшевское)",'ВБ Отчет Продажи (за 60 дней)'!$G:$G,$A49)</f>
        <v>0</v>
      </c>
      <c r="Y49" s="27">
        <f>SUMIFS('ВБ Отчет Продажи (за 60 дней)'!$P:$P,'ВБ Отчет Продажи (за 60 дней)'!$K:$K,"Краснодар",'ВБ Отчет Продажи (за 60 дней)'!$G:$G,$A49)</f>
        <v>0</v>
      </c>
      <c r="Z49" s="7">
        <f>SUMIFS('ВБ Отчет Продажи (за 60 дней)'!$P:$P,'ВБ Отчет Продажи (за 60 дней)'!$K:$K,"Невинномысск",'ВБ Отчет Продажи (за 60 дней)'!$G:$G,$A49)</f>
        <v>0</v>
      </c>
      <c r="AA49" s="104">
        <f>SUMIFS('ВБ Отчет Продажи (за 60 дней)'!$P:$P,'ВБ Отчет Продажи (за 60 дней)'!$K:$K,"Волгоград",'ВБ Отчет Продажи (за 60 дней)'!$G:$G,$A49)</f>
        <v>0</v>
      </c>
      <c r="AB49" s="27">
        <f>SUMIFS('ВБ Отчет Продажи (за 60 дней)'!$P:$P,'ВБ Отчет Продажи (за 60 дней)'!$K:$K,"Самара (Новосемейкино)",'ВБ Отчет Продажи (за 60 дней)'!$G:$G,$A49)</f>
        <v>0</v>
      </c>
      <c r="AC49" s="104">
        <f>SUMIFS('ВБ Отчет Продажи (за 60 дней)'!$P:$P,'ВБ Отчет Продажи (за 60 дней)'!$K:$K,"Казань",'ВБ Отчет Продажи (за 60 дней)'!$G:$G,$A49)</f>
        <v>0</v>
      </c>
      <c r="AD49" s="104">
        <f>SUMIFS('ВБ Отчет Продажи (за 60 дней)'!$P:$P,'ВБ Отчет Продажи (за 60 дней)'!$K:$K,"СПБ Шушары",'ВБ Отчет Продажи (за 60 дней)'!$G:$G,$A49)</f>
        <v>0</v>
      </c>
      <c r="AE49" s="153">
        <f>SUMIFS('ВБ Отчет Продажи (за 60 дней)'!$P:$P,'ВБ Отчет Продажи (за 60 дней)'!$K:$K,"Екатеринбург - Перспективный 12",'ВБ Отчет Продажи (за 60 дней)'!$G:$G,$A49)</f>
        <v>0</v>
      </c>
      <c r="AF49" s="102">
        <f>SUMIFS('ВБ Отчет Продажи (за 60 дней)'!$P:$P,'ВБ Отчет Продажи (за 60 дней)'!$K:$K,"Новосибирск",'ВБ Отчет Продажи (за 60 дней)'!$G:$G,$A49)</f>
        <v>0</v>
      </c>
      <c r="AG49" s="124">
        <f t="shared" si="9"/>
        <v>0</v>
      </c>
      <c r="AH49" s="7">
        <f t="shared" si="10"/>
        <v>0</v>
      </c>
      <c r="AI49" s="213">
        <f>SUMIFS('ОЗОН Оборот ведом (за 60 дней)'!J:J,'ОЗОН Оборот ведом (за 60 дней)'!A:A,B49)</f>
        <v>0</v>
      </c>
      <c r="AJ49" s="21">
        <f t="shared" si="11"/>
        <v>0</v>
      </c>
      <c r="AK49" s="7" t="str" cm="1">
        <f t="array" ref="AK49">IFERROR(_xlfn.IFS((F49-U49)&gt;0,F49/$R$1*$AY$1-U49,F49+U49=0,"нов"),0)</f>
        <v>нов</v>
      </c>
      <c r="AL49" s="7" t="str" cm="1">
        <f t="array" ref="AL49">IFERROR(_xlfn.IFS((G49-V49)&gt;0,G49/$R$1*$AY$1-V49,G49+V49=0,"нов"),0)</f>
        <v>нов</v>
      </c>
      <c r="AM49" s="7" t="str" cm="1">
        <f t="array" ref="AM49">IFERROR(_xlfn.IFS((H49-W49)&gt;0,H49/$R$1*$AY$1-W49,H49+W49=0,"нов"),0)</f>
        <v>нов</v>
      </c>
      <c r="AN49" s="7" t="str" cm="1">
        <f t="array" ref="AN49">IFERROR(_xlfn.IFS((I49-X49)&gt;0,I49/$R$1*$AY$1-X49,I49+X49=0,"нов"),0)</f>
        <v>нов</v>
      </c>
      <c r="AO49" s="27" t="str" cm="1">
        <f t="array" ref="AO49">IFERROR(_xlfn.IFS((J49-Y49)&gt;0,J49/$R$1*$AY$1-Y49,J49+Y49=0,"нов"),0)</f>
        <v>нов</v>
      </c>
      <c r="AP49" s="7" t="str" cm="1">
        <f t="array" ref="AP49">IFERROR(_xlfn.IFS((K49-Z49)&gt;0,K49/$R$1*$AY$1-Z49,K49+Z49=0,"нов"),0)</f>
        <v>нов</v>
      </c>
      <c r="AQ49" s="104" t="str" cm="1">
        <f t="array" ref="AQ49">IFERROR(_xlfn.IFS((L49-AA49)&gt;0,L49/$R$1*$AY$1-AA49,L49+AA49=0,"нов"),0)</f>
        <v>нов</v>
      </c>
      <c r="AR49" s="27" t="str" cm="1">
        <f t="array" ref="AR49">IFERROR(_xlfn.IFS((M49-AB49)&gt;0,M49/$R$1*$AY$1-AB49,M49+AB49=0,"нов"),0)</f>
        <v>нов</v>
      </c>
      <c r="AS49" s="104" t="str" cm="1">
        <f t="array" ref="AS49">IFERROR(_xlfn.IFS((N49-AC49)&gt;0,N49/$R$1*$AY$1-AC49,N49+AC49=0,"нов"),0)</f>
        <v>нов</v>
      </c>
      <c r="AT49" s="104" t="str" cm="1">
        <f t="array" ref="AT49">IFERROR(_xlfn.IFS((O49-AD49)&gt;0,O49/$R$1*$AY$1-AD49,O49+AD49=0,"нов"),0)</f>
        <v>нов</v>
      </c>
      <c r="AU49" s="7" t="str" cm="1">
        <f t="array" ref="AU49">IFERROR(_xlfn.IFS((P49-AE49)&gt;0,P49/$R$1*$AY$1-AE49,P49+AE49=0,"нов"),0)</f>
        <v>нов</v>
      </c>
      <c r="AV49" s="7" t="str" cm="1">
        <f t="array" ref="AV49">IFERROR(_xlfn.IFS((Q49-AF49)&gt;0,Q49/$R$1*$AY$1-AF49,Q49+AF49=0,"нов"),0)</f>
        <v>нов</v>
      </c>
      <c r="AW49" s="141">
        <f t="shared" si="12"/>
        <v>0</v>
      </c>
      <c r="AX49" s="218">
        <f>SUMIF('ОЗОН Доступн товара'!D:D,_xlfn.XLOOKUP($B49,'ОЗОН Доступн товара'!$A:$A,'ОЗОН Доступн товара'!$D:$D,0))</f>
        <v>0</v>
      </c>
      <c r="AY49" s="226">
        <f t="shared" si="13"/>
        <v>0</v>
      </c>
      <c r="AZ49" s="7" t="str">
        <f t="shared" si="14"/>
        <v>нов</v>
      </c>
      <c r="BA49" s="7" t="str">
        <f t="shared" si="15"/>
        <v>нов</v>
      </c>
      <c r="BB49" s="7" t="str">
        <f t="shared" si="16"/>
        <v>нов</v>
      </c>
      <c r="BC49" s="7" t="str">
        <f t="shared" si="17"/>
        <v>нов</v>
      </c>
      <c r="BD49" s="27" t="str">
        <f t="shared" si="18"/>
        <v>нов</v>
      </c>
      <c r="BE49" s="7" t="str">
        <f t="shared" si="19"/>
        <v>нов</v>
      </c>
      <c r="BF49" s="104" t="str">
        <f t="shared" si="20"/>
        <v>нов</v>
      </c>
      <c r="BG49" s="27" t="str">
        <f t="shared" si="21"/>
        <v>нов</v>
      </c>
      <c r="BH49" s="104" t="str">
        <f t="shared" si="22"/>
        <v>нов</v>
      </c>
      <c r="BI49" s="7" t="str">
        <f t="shared" si="23"/>
        <v>нов</v>
      </c>
      <c r="BJ49" s="153" t="str">
        <f t="shared" si="24"/>
        <v>нов</v>
      </c>
      <c r="BK49" s="7" t="str">
        <f t="shared" si="25"/>
        <v>нов</v>
      </c>
      <c r="BL49" s="6">
        <f t="shared" si="26"/>
        <v>0</v>
      </c>
      <c r="BM49" s="6">
        <f t="shared" si="27"/>
        <v>0</v>
      </c>
      <c r="BN49" s="28">
        <f t="shared" si="28"/>
        <v>0</v>
      </c>
      <c r="BO49" s="73">
        <f>IFERROR(_xlfn.XLOOKUP(A49,'[2] Расчет стоимости и веса'!$I:$I,'[2] Расчет стоимости и веса'!$D:$D),0)</f>
        <v>0</v>
      </c>
      <c r="BP49" s="227">
        <f t="shared" si="29"/>
        <v>0</v>
      </c>
      <c r="BQ49" s="8"/>
      <c r="BR49" s="155"/>
      <c r="BS49" s="12"/>
      <c r="BT49" s="12"/>
      <c r="BU49" s="229"/>
      <c r="BV49" s="12"/>
      <c r="BW49" s="12"/>
      <c r="BY49" s="231"/>
      <c r="BZ49" s="232"/>
      <c r="CA49" s="155"/>
      <c r="CB49" s="157"/>
      <c r="CC49" s="57"/>
      <c r="CD49" s="12"/>
      <c r="CE49" s="146">
        <f t="shared" si="5"/>
        <v>0</v>
      </c>
      <c r="CF49" s="69">
        <f t="shared" si="6"/>
        <v>0</v>
      </c>
      <c r="CG49" s="45">
        <f t="shared" si="7"/>
        <v>0</v>
      </c>
    </row>
    <row r="50" spans="1:85" ht="14.1" hidden="1" customHeight="1">
      <c r="A50" s="240">
        <f>[1]Юнит!A52</f>
        <v>550445275</v>
      </c>
      <c r="B50" s="241">
        <f>[1]Юнит!B52</f>
        <v>0</v>
      </c>
      <c r="C50" s="240" t="str">
        <f>[1]Юнит!C52</f>
        <v>ACRF1KP103BC</v>
      </c>
      <c r="D50" s="90" t="str">
        <f>[1]Юнит!D52</f>
        <v>Капа белый/черный</v>
      </c>
      <c r="E50" s="90">
        <f>[1]Юнит!E52</f>
        <v>2046391283415</v>
      </c>
      <c r="F50" s="132">
        <f>ROUNDUP(SUMIFS('ВБ Отчет Продажи (за 60 дней)'!$L:$L,'ВБ Отчет Продажи (за 60 дней)'!$K:$K,"Электросталь",'ВБ Отчет Продажи (за 60 дней)'!$G:$G,$A50),0)</f>
        <v>0</v>
      </c>
      <c r="G50" s="133">
        <f>ROUNDUP(SUMIFS('ВБ Отчет Продажи (за 60 дней)'!$L:$L,'ВБ Отчет Продажи (за 60 дней)'!$K:$K,"Коледино",'ВБ Отчет Продажи (за 60 дней)'!$G:$G,$A50),0)</f>
        <v>0</v>
      </c>
      <c r="H50" s="133">
        <f>ROUNDUP(SUMIFS('ВБ Отчет Продажи (за 60 дней)'!$L:$L,'ВБ Отчет Продажи (за 60 дней)'!$K:$K,"Тула",'ВБ Отчет Продажи (за 60 дней)'!$G:$G,$A50),0)</f>
        <v>0</v>
      </c>
      <c r="I50" s="134">
        <f>ROUNDUP(SUMIFS('ВБ Отчет Продажи (за 60 дней)'!$L:$L,'ВБ Отчет Продажи (за 60 дней)'!$K:$K,"Рязань (Тюшевское)",'ВБ Отчет Продажи (за 60 дней)'!$G:$G,$A50),0)</f>
        <v>0</v>
      </c>
      <c r="J50" s="136">
        <f>ROUNDUP(SUMIFS('ВБ Отчет Продажи (за 60 дней)'!$L:$L,'ВБ Отчет Продажи (за 60 дней)'!$K:$K,"Краснодар",'ВБ Отчет Продажи (за 60 дней)'!$G:$G,$A50),0)</f>
        <v>0</v>
      </c>
      <c r="K50" s="133">
        <f>ROUNDUP(SUMIFS('ВБ Отчет Продажи (за 60 дней)'!$L:$L,'ВБ Отчет Продажи (за 60 дней)'!$K:$K,"Невинномысск",'ВБ Отчет Продажи (за 60 дней)'!$G:$G,$A50),0)</f>
        <v>0</v>
      </c>
      <c r="L50" s="137">
        <f>ROUNDUP(SUMIFS('ВБ Отчет Продажи (за 60 дней)'!$L:$L,'ВБ Отчет Продажи (за 60 дней)'!$K:$K,"Волгоград",'ВБ Отчет Продажи (за 60 дней)'!$G:$G,$A50),0)</f>
        <v>0</v>
      </c>
      <c r="M50" s="136">
        <f>ROUNDUP(SUMIFS('ВБ Отчет Продажи (за 60 дней)'!$L:$L,'ВБ Отчет Продажи (за 60 дней)'!$K:$K,"Самара (Новосемейкино)",'ВБ Отчет Продажи (за 60 дней)'!$G:$G,$A50),0)</f>
        <v>0</v>
      </c>
      <c r="N50" s="137">
        <f>ROUNDUP(SUMIFS('ВБ Отчет Продажи (за 60 дней)'!$L:$L,'ВБ Отчет Продажи (за 60 дней)'!$K:$K,"Казань",'ВБ Отчет Продажи (за 60 дней)'!$G:$G,$A50),0)</f>
        <v>0</v>
      </c>
      <c r="O50" s="137">
        <f>ROUNDUP(SUMIFS('ВБ Отчет Продажи (за 60 дней)'!$L:$L,'ВБ Отчет Продажи (за 60 дней)'!$K:$K,"СПБ Шушары",'ВБ Отчет Продажи (за 60 дней)'!$G:$G,$A50),0)</f>
        <v>0</v>
      </c>
      <c r="P50" s="151">
        <f>ROUNDUP(SUMIFS('ВБ Отчет Продажи (за 60 дней)'!$L:$L,'ВБ Отчет Продажи (за 60 дней)'!$K:$K,"Екатеринбург - Перспективный 12",'ВБ Отчет Продажи (за 60 дней)'!$G:$G,$A50),0)</f>
        <v>0</v>
      </c>
      <c r="Q50" s="149">
        <f>ROUNDUP(SUMIFS('ВБ Отчет Продажи (за 60 дней)'!$L:$L,'ВБ Отчет Продажи (за 60 дней)'!$K:$K,"Новосибирск",'ВБ Отчет Продажи (за 60 дней)'!$G:$G,$A50),0)</f>
        <v>0</v>
      </c>
      <c r="R50" s="131">
        <f t="shared" si="31"/>
        <v>0</v>
      </c>
      <c r="S50" s="139">
        <f>SUMIFS('ОЗОН Оборот ведом (за 60 дней)'!I:I,'ОЗОН Оборот ведом (за 60 дней)'!A:A,B50)</f>
        <v>0</v>
      </c>
      <c r="T50" s="140">
        <f t="shared" si="8"/>
        <v>0</v>
      </c>
      <c r="U50" s="6">
        <f>SUMIFS('ВБ Отчет Продажи (за 60 дней)'!$P:$P,'ВБ Отчет Продажи (за 60 дней)'!$K:$K,"Электросталь",'ВБ Отчет Продажи (за 60 дней)'!$G:$G,$A50)</f>
        <v>0</v>
      </c>
      <c r="V50" s="7">
        <f>SUMIFS('ВБ Отчет Продажи (за 60 дней)'!$P:$P,'ВБ Отчет Продажи (за 60 дней)'!$K:$K,"Коледино",'ВБ Отчет Продажи (за 60 дней)'!$G:$G,$A50)</f>
        <v>0</v>
      </c>
      <c r="W50" s="7">
        <f>SUMIFS('ВБ Отчет Продажи (за 60 дней)'!$P:$P,'ВБ Отчет Продажи (за 60 дней)'!$K:$K,"Тула",'ВБ Отчет Продажи (за 60 дней)'!$G:$G,$A50)</f>
        <v>0</v>
      </c>
      <c r="X50" s="7">
        <f>SUMIFS('ВБ Отчет Продажи (за 60 дней)'!$P:$P,'ВБ Отчет Продажи (за 60 дней)'!$K:$K,"Рязань (Тюшевское)",'ВБ Отчет Продажи (за 60 дней)'!$G:$G,$A50)</f>
        <v>0</v>
      </c>
      <c r="Y50" s="27">
        <f>SUMIFS('ВБ Отчет Продажи (за 60 дней)'!$P:$P,'ВБ Отчет Продажи (за 60 дней)'!$K:$K,"Краснодар",'ВБ Отчет Продажи (за 60 дней)'!$G:$G,$A50)</f>
        <v>0</v>
      </c>
      <c r="Z50" s="7">
        <f>SUMIFS('ВБ Отчет Продажи (за 60 дней)'!$P:$P,'ВБ Отчет Продажи (за 60 дней)'!$K:$K,"Невинномысск",'ВБ Отчет Продажи (за 60 дней)'!$G:$G,$A50)</f>
        <v>0</v>
      </c>
      <c r="AA50" s="104">
        <f>SUMIFS('ВБ Отчет Продажи (за 60 дней)'!$P:$P,'ВБ Отчет Продажи (за 60 дней)'!$K:$K,"Волгоград",'ВБ Отчет Продажи (за 60 дней)'!$G:$G,$A50)</f>
        <v>0</v>
      </c>
      <c r="AB50" s="27">
        <f>SUMIFS('ВБ Отчет Продажи (за 60 дней)'!$P:$P,'ВБ Отчет Продажи (за 60 дней)'!$K:$K,"Самара (Новосемейкино)",'ВБ Отчет Продажи (за 60 дней)'!$G:$G,$A50)</f>
        <v>0</v>
      </c>
      <c r="AC50" s="104">
        <f>SUMIFS('ВБ Отчет Продажи (за 60 дней)'!$P:$P,'ВБ Отчет Продажи (за 60 дней)'!$K:$K,"Казань",'ВБ Отчет Продажи (за 60 дней)'!$G:$G,$A50)</f>
        <v>0</v>
      </c>
      <c r="AD50" s="104">
        <f>SUMIFS('ВБ Отчет Продажи (за 60 дней)'!$P:$P,'ВБ Отчет Продажи (за 60 дней)'!$K:$K,"СПБ Шушары",'ВБ Отчет Продажи (за 60 дней)'!$G:$G,$A50)</f>
        <v>0</v>
      </c>
      <c r="AE50" s="153">
        <f>SUMIFS('ВБ Отчет Продажи (за 60 дней)'!$P:$P,'ВБ Отчет Продажи (за 60 дней)'!$K:$K,"Екатеринбург - Перспективный 12",'ВБ Отчет Продажи (за 60 дней)'!$G:$G,$A50)</f>
        <v>0</v>
      </c>
      <c r="AF50" s="102">
        <f>SUMIFS('ВБ Отчет Продажи (за 60 дней)'!$P:$P,'ВБ Отчет Продажи (за 60 дней)'!$K:$K,"Новосибирск",'ВБ Отчет Продажи (за 60 дней)'!$G:$G,$A50)</f>
        <v>0</v>
      </c>
      <c r="AG50" s="124">
        <f t="shared" si="9"/>
        <v>0</v>
      </c>
      <c r="AH50" s="7">
        <f t="shared" si="10"/>
        <v>0</v>
      </c>
      <c r="AI50" s="213">
        <f>SUMIFS('ОЗОН Оборот ведом (за 60 дней)'!J:J,'ОЗОН Оборот ведом (за 60 дней)'!A:A,B50)</f>
        <v>0</v>
      </c>
      <c r="AJ50" s="21">
        <f t="shared" si="11"/>
        <v>0</v>
      </c>
      <c r="AK50" s="7" t="str" cm="1">
        <f t="array" ref="AK50">IFERROR(_xlfn.IFS((F50-U50)&gt;0,F50/$R$1*$AY$1-U50,F50+U50=0,"нов"),0)</f>
        <v>нов</v>
      </c>
      <c r="AL50" s="7" t="str" cm="1">
        <f t="array" ref="AL50">IFERROR(_xlfn.IFS((G50-V50)&gt;0,G50/$R$1*$AY$1-V50,G50+V50=0,"нов"),0)</f>
        <v>нов</v>
      </c>
      <c r="AM50" s="7" t="str" cm="1">
        <f t="array" ref="AM50">IFERROR(_xlfn.IFS((H50-W50)&gt;0,H50/$R$1*$AY$1-W50,H50+W50=0,"нов"),0)</f>
        <v>нов</v>
      </c>
      <c r="AN50" s="7" t="str" cm="1">
        <f t="array" ref="AN50">IFERROR(_xlfn.IFS((I50-X50)&gt;0,I50/$R$1*$AY$1-X50,I50+X50=0,"нов"),0)</f>
        <v>нов</v>
      </c>
      <c r="AO50" s="27" t="str" cm="1">
        <f t="array" ref="AO50">IFERROR(_xlfn.IFS((J50-Y50)&gt;0,J50/$R$1*$AY$1-Y50,J50+Y50=0,"нов"),0)</f>
        <v>нов</v>
      </c>
      <c r="AP50" s="7" t="str" cm="1">
        <f t="array" ref="AP50">IFERROR(_xlfn.IFS((K50-Z50)&gt;0,K50/$R$1*$AY$1-Z50,K50+Z50=0,"нов"),0)</f>
        <v>нов</v>
      </c>
      <c r="AQ50" s="104" t="str" cm="1">
        <f t="array" ref="AQ50">IFERROR(_xlfn.IFS((L50-AA50)&gt;0,L50/$R$1*$AY$1-AA50,L50+AA50=0,"нов"),0)</f>
        <v>нов</v>
      </c>
      <c r="AR50" s="27" t="str" cm="1">
        <f t="array" ref="AR50">IFERROR(_xlfn.IFS((M50-AB50)&gt;0,M50/$R$1*$AY$1-AB50,M50+AB50=0,"нов"),0)</f>
        <v>нов</v>
      </c>
      <c r="AS50" s="104" t="str" cm="1">
        <f t="array" ref="AS50">IFERROR(_xlfn.IFS((N50-AC50)&gt;0,N50/$R$1*$AY$1-AC50,N50+AC50=0,"нов"),0)</f>
        <v>нов</v>
      </c>
      <c r="AT50" s="104" t="str" cm="1">
        <f t="array" ref="AT50">IFERROR(_xlfn.IFS((O50-AD50)&gt;0,O50/$R$1*$AY$1-AD50,O50+AD50=0,"нов"),0)</f>
        <v>нов</v>
      </c>
      <c r="AU50" s="7" t="str" cm="1">
        <f t="array" ref="AU50">IFERROR(_xlfn.IFS((P50-AE50)&gt;0,P50/$R$1*$AY$1-AE50,P50+AE50=0,"нов"),0)</f>
        <v>нов</v>
      </c>
      <c r="AV50" s="7" t="str" cm="1">
        <f t="array" ref="AV50">IFERROR(_xlfn.IFS((Q50-AF50)&gt;0,Q50/$R$1*$AY$1-AF50,Q50+AF50=0,"нов"),0)</f>
        <v>нов</v>
      </c>
      <c r="AW50" s="141">
        <f t="shared" si="12"/>
        <v>0</v>
      </c>
      <c r="AX50" s="218">
        <f>SUMIF('ОЗОН Доступн товара'!D:D,_xlfn.XLOOKUP($B50,'ОЗОН Доступн товара'!$A:$A,'ОЗОН Доступн товара'!$D:$D,0))</f>
        <v>0</v>
      </c>
      <c r="AY50" s="226">
        <f t="shared" si="13"/>
        <v>0</v>
      </c>
      <c r="AZ50" s="7" t="str">
        <f t="shared" si="14"/>
        <v>нов</v>
      </c>
      <c r="BA50" s="7" t="str">
        <f t="shared" si="15"/>
        <v>нов</v>
      </c>
      <c r="BB50" s="7" t="str">
        <f t="shared" si="16"/>
        <v>нов</v>
      </c>
      <c r="BC50" s="7" t="str">
        <f t="shared" si="17"/>
        <v>нов</v>
      </c>
      <c r="BD50" s="27" t="str">
        <f t="shared" si="18"/>
        <v>нов</v>
      </c>
      <c r="BE50" s="7" t="str">
        <f t="shared" si="19"/>
        <v>нов</v>
      </c>
      <c r="BF50" s="104" t="str">
        <f t="shared" si="20"/>
        <v>нов</v>
      </c>
      <c r="BG50" s="27" t="str">
        <f t="shared" si="21"/>
        <v>нов</v>
      </c>
      <c r="BH50" s="104" t="str">
        <f t="shared" si="22"/>
        <v>нов</v>
      </c>
      <c r="BI50" s="7" t="str">
        <f t="shared" si="23"/>
        <v>нов</v>
      </c>
      <c r="BJ50" s="153" t="str">
        <f t="shared" si="24"/>
        <v>нов</v>
      </c>
      <c r="BK50" s="7" t="str">
        <f t="shared" si="25"/>
        <v>нов</v>
      </c>
      <c r="BL50" s="6">
        <f t="shared" si="26"/>
        <v>0</v>
      </c>
      <c r="BM50" s="6">
        <f t="shared" si="27"/>
        <v>0</v>
      </c>
      <c r="BN50" s="28">
        <f t="shared" si="28"/>
        <v>0</v>
      </c>
      <c r="BO50" s="73">
        <f>IFERROR(_xlfn.XLOOKUP(A50,'[2] Расчет стоимости и веса'!$I:$I,'[2] Расчет стоимости и веса'!$D:$D),0)</f>
        <v>0</v>
      </c>
      <c r="BP50" s="227">
        <f t="shared" si="29"/>
        <v>0</v>
      </c>
      <c r="BQ50" s="8"/>
      <c r="BR50" s="155"/>
      <c r="BS50" s="12"/>
      <c r="BT50" s="12"/>
      <c r="BU50" s="229"/>
      <c r="BV50" s="12"/>
      <c r="BW50" s="12"/>
      <c r="BY50" s="231"/>
      <c r="BZ50" s="232"/>
      <c r="CA50" s="155"/>
      <c r="CB50" s="157"/>
      <c r="CC50" s="57"/>
      <c r="CD50" s="12"/>
      <c r="CE50" s="146">
        <f t="shared" si="5"/>
        <v>0</v>
      </c>
      <c r="CF50" s="69">
        <f t="shared" si="6"/>
        <v>0</v>
      </c>
      <c r="CG50" s="45">
        <f t="shared" si="7"/>
        <v>0</v>
      </c>
    </row>
    <row r="51" spans="1:85" ht="14.1" hidden="1" customHeight="1">
      <c r="A51" s="240">
        <f>[1]Юнит!A53</f>
        <v>550445277</v>
      </c>
      <c r="B51" s="241">
        <f>[1]Юнит!B53</f>
        <v>0</v>
      </c>
      <c r="C51" s="240" t="str">
        <f>[1]Юнит!C53</f>
        <v>ACRF1KP101RD</v>
      </c>
      <c r="D51" s="90" t="str">
        <f>[1]Юнит!D53</f>
        <v>Капа белый/красный</v>
      </c>
      <c r="E51" s="90">
        <f>[1]Юнит!E53</f>
        <v>2046391283446</v>
      </c>
      <c r="F51" s="132">
        <f>ROUNDUP(SUMIFS('ВБ Отчет Продажи (за 60 дней)'!$L:$L,'ВБ Отчет Продажи (за 60 дней)'!$K:$K,"Электросталь",'ВБ Отчет Продажи (за 60 дней)'!$G:$G,$A51),0)</f>
        <v>0</v>
      </c>
      <c r="G51" s="133">
        <f>ROUNDUP(SUMIFS('ВБ Отчет Продажи (за 60 дней)'!$L:$L,'ВБ Отчет Продажи (за 60 дней)'!$K:$K,"Коледино",'ВБ Отчет Продажи (за 60 дней)'!$G:$G,$A51),0)</f>
        <v>0</v>
      </c>
      <c r="H51" s="133">
        <f>ROUNDUP(SUMIFS('ВБ Отчет Продажи (за 60 дней)'!$L:$L,'ВБ Отчет Продажи (за 60 дней)'!$K:$K,"Тула",'ВБ Отчет Продажи (за 60 дней)'!$G:$G,$A51),0)</f>
        <v>0</v>
      </c>
      <c r="I51" s="134">
        <f>ROUNDUP(SUMIFS('ВБ Отчет Продажи (за 60 дней)'!$L:$L,'ВБ Отчет Продажи (за 60 дней)'!$K:$K,"Рязань (Тюшевское)",'ВБ Отчет Продажи (за 60 дней)'!$G:$G,$A51),0)</f>
        <v>0</v>
      </c>
      <c r="J51" s="136">
        <f>ROUNDUP(SUMIFS('ВБ Отчет Продажи (за 60 дней)'!$L:$L,'ВБ Отчет Продажи (за 60 дней)'!$K:$K,"Краснодар",'ВБ Отчет Продажи (за 60 дней)'!$G:$G,$A51),0)</f>
        <v>0</v>
      </c>
      <c r="K51" s="133">
        <f>ROUNDUP(SUMIFS('ВБ Отчет Продажи (за 60 дней)'!$L:$L,'ВБ Отчет Продажи (за 60 дней)'!$K:$K,"Невинномысск",'ВБ Отчет Продажи (за 60 дней)'!$G:$G,$A51),0)</f>
        <v>0</v>
      </c>
      <c r="L51" s="137">
        <f>ROUNDUP(SUMIFS('ВБ Отчет Продажи (за 60 дней)'!$L:$L,'ВБ Отчет Продажи (за 60 дней)'!$K:$K,"Волгоград",'ВБ Отчет Продажи (за 60 дней)'!$G:$G,$A51),0)</f>
        <v>0</v>
      </c>
      <c r="M51" s="136">
        <f>ROUNDUP(SUMIFS('ВБ Отчет Продажи (за 60 дней)'!$L:$L,'ВБ Отчет Продажи (за 60 дней)'!$K:$K,"Самара (Новосемейкино)",'ВБ Отчет Продажи (за 60 дней)'!$G:$G,$A51),0)</f>
        <v>0</v>
      </c>
      <c r="N51" s="137">
        <f>ROUNDUP(SUMIFS('ВБ Отчет Продажи (за 60 дней)'!$L:$L,'ВБ Отчет Продажи (за 60 дней)'!$K:$K,"Казань",'ВБ Отчет Продажи (за 60 дней)'!$G:$G,$A51),0)</f>
        <v>0</v>
      </c>
      <c r="O51" s="137">
        <f>ROUNDUP(SUMIFS('ВБ Отчет Продажи (за 60 дней)'!$L:$L,'ВБ Отчет Продажи (за 60 дней)'!$K:$K,"СПБ Шушары",'ВБ Отчет Продажи (за 60 дней)'!$G:$G,$A51),0)</f>
        <v>0</v>
      </c>
      <c r="P51" s="151">
        <f>ROUNDUP(SUMIFS('ВБ Отчет Продажи (за 60 дней)'!$L:$L,'ВБ Отчет Продажи (за 60 дней)'!$K:$K,"Екатеринбург - Перспективный 12",'ВБ Отчет Продажи (за 60 дней)'!$G:$G,$A51),0)</f>
        <v>0</v>
      </c>
      <c r="Q51" s="149">
        <f>ROUNDUP(SUMIFS('ВБ Отчет Продажи (за 60 дней)'!$L:$L,'ВБ Отчет Продажи (за 60 дней)'!$K:$K,"Новосибирск",'ВБ Отчет Продажи (за 60 дней)'!$G:$G,$A51),0)</f>
        <v>0</v>
      </c>
      <c r="R51" s="131">
        <f t="shared" si="31"/>
        <v>0</v>
      </c>
      <c r="S51" s="139">
        <f>SUMIFS('ОЗОН Оборот ведом (за 60 дней)'!I:I,'ОЗОН Оборот ведом (за 60 дней)'!A:A,B51)</f>
        <v>0</v>
      </c>
      <c r="T51" s="140">
        <f t="shared" si="8"/>
        <v>0</v>
      </c>
      <c r="U51" s="6">
        <f>SUMIFS('ВБ Отчет Продажи (за 60 дней)'!$P:$P,'ВБ Отчет Продажи (за 60 дней)'!$K:$K,"Электросталь",'ВБ Отчет Продажи (за 60 дней)'!$G:$G,$A51)</f>
        <v>0</v>
      </c>
      <c r="V51" s="7">
        <f>SUMIFS('ВБ Отчет Продажи (за 60 дней)'!$P:$P,'ВБ Отчет Продажи (за 60 дней)'!$K:$K,"Коледино",'ВБ Отчет Продажи (за 60 дней)'!$G:$G,$A51)</f>
        <v>0</v>
      </c>
      <c r="W51" s="7">
        <f>SUMIFS('ВБ Отчет Продажи (за 60 дней)'!$P:$P,'ВБ Отчет Продажи (за 60 дней)'!$K:$K,"Тула",'ВБ Отчет Продажи (за 60 дней)'!$G:$G,$A51)</f>
        <v>0</v>
      </c>
      <c r="X51" s="7">
        <f>SUMIFS('ВБ Отчет Продажи (за 60 дней)'!$P:$P,'ВБ Отчет Продажи (за 60 дней)'!$K:$K,"Рязань (Тюшевское)",'ВБ Отчет Продажи (за 60 дней)'!$G:$G,$A51)</f>
        <v>0</v>
      </c>
      <c r="Y51" s="27">
        <f>SUMIFS('ВБ Отчет Продажи (за 60 дней)'!$P:$P,'ВБ Отчет Продажи (за 60 дней)'!$K:$K,"Краснодар",'ВБ Отчет Продажи (за 60 дней)'!$G:$G,$A51)</f>
        <v>0</v>
      </c>
      <c r="Z51" s="7">
        <f>SUMIFS('ВБ Отчет Продажи (за 60 дней)'!$P:$P,'ВБ Отчет Продажи (за 60 дней)'!$K:$K,"Невинномысск",'ВБ Отчет Продажи (за 60 дней)'!$G:$G,$A51)</f>
        <v>0</v>
      </c>
      <c r="AA51" s="104">
        <f>SUMIFS('ВБ Отчет Продажи (за 60 дней)'!$P:$P,'ВБ Отчет Продажи (за 60 дней)'!$K:$K,"Волгоград",'ВБ Отчет Продажи (за 60 дней)'!$G:$G,$A51)</f>
        <v>0</v>
      </c>
      <c r="AB51" s="27">
        <f>SUMIFS('ВБ Отчет Продажи (за 60 дней)'!$P:$P,'ВБ Отчет Продажи (за 60 дней)'!$K:$K,"Самара (Новосемейкино)",'ВБ Отчет Продажи (за 60 дней)'!$G:$G,$A51)</f>
        <v>0</v>
      </c>
      <c r="AC51" s="104">
        <f>SUMIFS('ВБ Отчет Продажи (за 60 дней)'!$P:$P,'ВБ Отчет Продажи (за 60 дней)'!$K:$K,"Казань",'ВБ Отчет Продажи (за 60 дней)'!$G:$G,$A51)</f>
        <v>0</v>
      </c>
      <c r="AD51" s="104">
        <f>SUMIFS('ВБ Отчет Продажи (за 60 дней)'!$P:$P,'ВБ Отчет Продажи (за 60 дней)'!$K:$K,"СПБ Шушары",'ВБ Отчет Продажи (за 60 дней)'!$G:$G,$A51)</f>
        <v>0</v>
      </c>
      <c r="AE51" s="153">
        <f>SUMIFS('ВБ Отчет Продажи (за 60 дней)'!$P:$P,'ВБ Отчет Продажи (за 60 дней)'!$K:$K,"Екатеринбург - Перспективный 12",'ВБ Отчет Продажи (за 60 дней)'!$G:$G,$A51)</f>
        <v>0</v>
      </c>
      <c r="AF51" s="102">
        <f>SUMIFS('ВБ Отчет Продажи (за 60 дней)'!$P:$P,'ВБ Отчет Продажи (за 60 дней)'!$K:$K,"Новосибирск",'ВБ Отчет Продажи (за 60 дней)'!$G:$G,$A51)</f>
        <v>0</v>
      </c>
      <c r="AG51" s="124">
        <f t="shared" si="9"/>
        <v>0</v>
      </c>
      <c r="AH51" s="7">
        <f t="shared" si="10"/>
        <v>0</v>
      </c>
      <c r="AI51" s="213">
        <f>SUMIFS('ОЗОН Оборот ведом (за 60 дней)'!J:J,'ОЗОН Оборот ведом (за 60 дней)'!A:A,B51)</f>
        <v>0</v>
      </c>
      <c r="AJ51" s="21">
        <f t="shared" si="11"/>
        <v>0</v>
      </c>
      <c r="AK51" s="7" t="str" cm="1">
        <f t="array" ref="AK51">IFERROR(_xlfn.IFS((F51-U51)&gt;0,F51/$R$1*$AY$1-U51,F51+U51=0,"нов"),0)</f>
        <v>нов</v>
      </c>
      <c r="AL51" s="7" t="str" cm="1">
        <f t="array" ref="AL51">IFERROR(_xlfn.IFS((G51-V51)&gt;0,G51/$R$1*$AY$1-V51,G51+V51=0,"нов"),0)</f>
        <v>нов</v>
      </c>
      <c r="AM51" s="7" t="str" cm="1">
        <f t="array" ref="AM51">IFERROR(_xlfn.IFS((H51-W51)&gt;0,H51/$R$1*$AY$1-W51,H51+W51=0,"нов"),0)</f>
        <v>нов</v>
      </c>
      <c r="AN51" s="7" t="str" cm="1">
        <f t="array" ref="AN51">IFERROR(_xlfn.IFS((I51-X51)&gt;0,I51/$R$1*$AY$1-X51,I51+X51=0,"нов"),0)</f>
        <v>нов</v>
      </c>
      <c r="AO51" s="27" t="str" cm="1">
        <f t="array" ref="AO51">IFERROR(_xlfn.IFS((J51-Y51)&gt;0,J51/$R$1*$AY$1-Y51,J51+Y51=0,"нов"),0)</f>
        <v>нов</v>
      </c>
      <c r="AP51" s="7" t="str" cm="1">
        <f t="array" ref="AP51">IFERROR(_xlfn.IFS((K51-Z51)&gt;0,K51/$R$1*$AY$1-Z51,K51+Z51=0,"нов"),0)</f>
        <v>нов</v>
      </c>
      <c r="AQ51" s="104" t="str" cm="1">
        <f t="array" ref="AQ51">IFERROR(_xlfn.IFS((L51-AA51)&gt;0,L51/$R$1*$AY$1-AA51,L51+AA51=0,"нов"),0)</f>
        <v>нов</v>
      </c>
      <c r="AR51" s="27" t="str" cm="1">
        <f t="array" ref="AR51">IFERROR(_xlfn.IFS((M51-AB51)&gt;0,M51/$R$1*$AY$1-AB51,M51+AB51=0,"нов"),0)</f>
        <v>нов</v>
      </c>
      <c r="AS51" s="104" t="str" cm="1">
        <f t="array" ref="AS51">IFERROR(_xlfn.IFS((N51-AC51)&gt;0,N51/$R$1*$AY$1-AC51,N51+AC51=0,"нов"),0)</f>
        <v>нов</v>
      </c>
      <c r="AT51" s="104" t="str" cm="1">
        <f t="array" ref="AT51">IFERROR(_xlfn.IFS((O51-AD51)&gt;0,O51/$R$1*$AY$1-AD51,O51+AD51=0,"нов"),0)</f>
        <v>нов</v>
      </c>
      <c r="AU51" s="7" t="str" cm="1">
        <f t="array" ref="AU51">IFERROR(_xlfn.IFS((P51-AE51)&gt;0,P51/$R$1*$AY$1-AE51,P51+AE51=0,"нов"),0)</f>
        <v>нов</v>
      </c>
      <c r="AV51" s="7" t="str" cm="1">
        <f t="array" ref="AV51">IFERROR(_xlfn.IFS((Q51-AF51)&gt;0,Q51/$R$1*$AY$1-AF51,Q51+AF51=0,"нов"),0)</f>
        <v>нов</v>
      </c>
      <c r="AW51" s="141">
        <f t="shared" si="12"/>
        <v>0</v>
      </c>
      <c r="AX51" s="218">
        <f>SUMIF('ОЗОН Доступн товара'!D:D,_xlfn.XLOOKUP($B51,'ОЗОН Доступн товара'!$A:$A,'ОЗОН Доступн товара'!$D:$D,0))</f>
        <v>0</v>
      </c>
      <c r="AY51" s="226">
        <f t="shared" si="13"/>
        <v>0</v>
      </c>
      <c r="AZ51" s="7" t="str">
        <f t="shared" si="14"/>
        <v>нов</v>
      </c>
      <c r="BA51" s="7" t="str">
        <f t="shared" si="15"/>
        <v>нов</v>
      </c>
      <c r="BB51" s="7" t="str">
        <f t="shared" si="16"/>
        <v>нов</v>
      </c>
      <c r="BC51" s="7" t="str">
        <f t="shared" si="17"/>
        <v>нов</v>
      </c>
      <c r="BD51" s="27" t="str">
        <f t="shared" si="18"/>
        <v>нов</v>
      </c>
      <c r="BE51" s="7" t="str">
        <f t="shared" si="19"/>
        <v>нов</v>
      </c>
      <c r="BF51" s="104" t="str">
        <f t="shared" si="20"/>
        <v>нов</v>
      </c>
      <c r="BG51" s="27" t="str">
        <f t="shared" si="21"/>
        <v>нов</v>
      </c>
      <c r="BH51" s="104" t="str">
        <f t="shared" si="22"/>
        <v>нов</v>
      </c>
      <c r="BI51" s="7" t="str">
        <f t="shared" si="23"/>
        <v>нов</v>
      </c>
      <c r="BJ51" s="153" t="str">
        <f t="shared" si="24"/>
        <v>нов</v>
      </c>
      <c r="BK51" s="7" t="str">
        <f t="shared" si="25"/>
        <v>нов</v>
      </c>
      <c r="BL51" s="6">
        <f t="shared" si="26"/>
        <v>0</v>
      </c>
      <c r="BM51" s="6">
        <f t="shared" si="27"/>
        <v>0</v>
      </c>
      <c r="BN51" s="28">
        <f t="shared" si="28"/>
        <v>0</v>
      </c>
      <c r="BO51" s="73">
        <f>IFERROR(_xlfn.XLOOKUP(A51,'[2] Расчет стоимости и веса'!$I:$I,'[2] Расчет стоимости и веса'!$D:$D),0)</f>
        <v>0</v>
      </c>
      <c r="BP51" s="227">
        <f t="shared" si="29"/>
        <v>0</v>
      </c>
      <c r="BQ51" s="8"/>
      <c r="BR51" s="155"/>
      <c r="BS51" s="12"/>
      <c r="BT51" s="12"/>
      <c r="BU51" s="229"/>
      <c r="BV51" s="12"/>
      <c r="BW51" s="12"/>
      <c r="BY51" s="231"/>
      <c r="BZ51" s="232"/>
      <c r="CA51" s="155"/>
      <c r="CB51" s="157"/>
      <c r="CC51" s="57"/>
      <c r="CD51" s="12"/>
      <c r="CE51" s="146">
        <f t="shared" si="5"/>
        <v>0</v>
      </c>
      <c r="CF51" s="69">
        <f t="shared" si="6"/>
        <v>0</v>
      </c>
      <c r="CG51" s="45">
        <f t="shared" si="7"/>
        <v>0</v>
      </c>
    </row>
    <row r="52" spans="1:85" ht="14.1" hidden="1" customHeight="1">
      <c r="A52" s="240">
        <f>[1]Юнит!A54</f>
        <v>550445279</v>
      </c>
      <c r="B52" s="241">
        <f>[1]Юнит!B54</f>
        <v>0</v>
      </c>
      <c r="C52" s="240" t="str">
        <f>[1]Юнит!C54</f>
        <v>ACRF1KP102RD</v>
      </c>
      <c r="D52" s="90" t="str">
        <f>[1]Юнит!D54</f>
        <v>Капа красный/белый</v>
      </c>
      <c r="E52" s="90">
        <f>[1]Юнит!E54</f>
        <v>2046391283507</v>
      </c>
      <c r="F52" s="132">
        <f>ROUNDUP(SUMIFS('ВБ Отчет Продажи (за 60 дней)'!$L:$L,'ВБ Отчет Продажи (за 60 дней)'!$K:$K,"Электросталь",'ВБ Отчет Продажи (за 60 дней)'!$G:$G,$A52),0)</f>
        <v>0</v>
      </c>
      <c r="G52" s="133">
        <f>ROUNDUP(SUMIFS('ВБ Отчет Продажи (за 60 дней)'!$L:$L,'ВБ Отчет Продажи (за 60 дней)'!$K:$K,"Коледино",'ВБ Отчет Продажи (за 60 дней)'!$G:$G,$A52),0)</f>
        <v>0</v>
      </c>
      <c r="H52" s="133">
        <f>ROUNDUP(SUMIFS('ВБ Отчет Продажи (за 60 дней)'!$L:$L,'ВБ Отчет Продажи (за 60 дней)'!$K:$K,"Тула",'ВБ Отчет Продажи (за 60 дней)'!$G:$G,$A52),0)</f>
        <v>0</v>
      </c>
      <c r="I52" s="134">
        <f>ROUNDUP(SUMIFS('ВБ Отчет Продажи (за 60 дней)'!$L:$L,'ВБ Отчет Продажи (за 60 дней)'!$K:$K,"Рязань (Тюшевское)",'ВБ Отчет Продажи (за 60 дней)'!$G:$G,$A52),0)</f>
        <v>0</v>
      </c>
      <c r="J52" s="136">
        <f>ROUNDUP(SUMIFS('ВБ Отчет Продажи (за 60 дней)'!$L:$L,'ВБ Отчет Продажи (за 60 дней)'!$K:$K,"Краснодар",'ВБ Отчет Продажи (за 60 дней)'!$G:$G,$A52),0)</f>
        <v>0</v>
      </c>
      <c r="K52" s="133">
        <f>ROUNDUP(SUMIFS('ВБ Отчет Продажи (за 60 дней)'!$L:$L,'ВБ Отчет Продажи (за 60 дней)'!$K:$K,"Невинномысск",'ВБ Отчет Продажи (за 60 дней)'!$G:$G,$A52),0)</f>
        <v>0</v>
      </c>
      <c r="L52" s="137">
        <f>ROUNDUP(SUMIFS('ВБ Отчет Продажи (за 60 дней)'!$L:$L,'ВБ Отчет Продажи (за 60 дней)'!$K:$K,"Волгоград",'ВБ Отчет Продажи (за 60 дней)'!$G:$G,$A52),0)</f>
        <v>0</v>
      </c>
      <c r="M52" s="136">
        <f>ROUNDUP(SUMIFS('ВБ Отчет Продажи (за 60 дней)'!$L:$L,'ВБ Отчет Продажи (за 60 дней)'!$K:$K,"Самара (Новосемейкино)",'ВБ Отчет Продажи (за 60 дней)'!$G:$G,$A52),0)</f>
        <v>0</v>
      </c>
      <c r="N52" s="137">
        <f>ROUNDUP(SUMIFS('ВБ Отчет Продажи (за 60 дней)'!$L:$L,'ВБ Отчет Продажи (за 60 дней)'!$K:$K,"Казань",'ВБ Отчет Продажи (за 60 дней)'!$G:$G,$A52),0)</f>
        <v>0</v>
      </c>
      <c r="O52" s="137">
        <f>ROUNDUP(SUMIFS('ВБ Отчет Продажи (за 60 дней)'!$L:$L,'ВБ Отчет Продажи (за 60 дней)'!$K:$K,"СПБ Шушары",'ВБ Отчет Продажи (за 60 дней)'!$G:$G,$A52),0)</f>
        <v>0</v>
      </c>
      <c r="P52" s="151">
        <f>ROUNDUP(SUMIFS('ВБ Отчет Продажи (за 60 дней)'!$L:$L,'ВБ Отчет Продажи (за 60 дней)'!$K:$K,"Екатеринбург - Перспективный 12",'ВБ Отчет Продажи (за 60 дней)'!$G:$G,$A52),0)</f>
        <v>0</v>
      </c>
      <c r="Q52" s="149">
        <f>ROUNDUP(SUMIFS('ВБ Отчет Продажи (за 60 дней)'!$L:$L,'ВБ Отчет Продажи (за 60 дней)'!$K:$K,"Новосибирск",'ВБ Отчет Продажи (за 60 дней)'!$G:$G,$A52),0)</f>
        <v>0</v>
      </c>
      <c r="R52" s="131">
        <f t="shared" si="31"/>
        <v>0</v>
      </c>
      <c r="S52" s="139">
        <f>SUMIFS('ОЗОН Оборот ведом (за 60 дней)'!I:I,'ОЗОН Оборот ведом (за 60 дней)'!A:A,B52)</f>
        <v>0</v>
      </c>
      <c r="T52" s="140">
        <f t="shared" si="8"/>
        <v>0</v>
      </c>
      <c r="U52" s="6">
        <f>SUMIFS('ВБ Отчет Продажи (за 60 дней)'!$P:$P,'ВБ Отчет Продажи (за 60 дней)'!$K:$K,"Электросталь",'ВБ Отчет Продажи (за 60 дней)'!$G:$G,$A52)</f>
        <v>0</v>
      </c>
      <c r="V52" s="7">
        <f>SUMIFS('ВБ Отчет Продажи (за 60 дней)'!$P:$P,'ВБ Отчет Продажи (за 60 дней)'!$K:$K,"Коледино",'ВБ Отчет Продажи (за 60 дней)'!$G:$G,$A52)</f>
        <v>0</v>
      </c>
      <c r="W52" s="7">
        <f>SUMIFS('ВБ Отчет Продажи (за 60 дней)'!$P:$P,'ВБ Отчет Продажи (за 60 дней)'!$K:$K,"Тула",'ВБ Отчет Продажи (за 60 дней)'!$G:$G,$A52)</f>
        <v>0</v>
      </c>
      <c r="X52" s="7">
        <f>SUMIFS('ВБ Отчет Продажи (за 60 дней)'!$P:$P,'ВБ Отчет Продажи (за 60 дней)'!$K:$K,"Рязань (Тюшевское)",'ВБ Отчет Продажи (за 60 дней)'!$G:$G,$A52)</f>
        <v>0</v>
      </c>
      <c r="Y52" s="27">
        <f>SUMIFS('ВБ Отчет Продажи (за 60 дней)'!$P:$P,'ВБ Отчет Продажи (за 60 дней)'!$K:$K,"Краснодар",'ВБ Отчет Продажи (за 60 дней)'!$G:$G,$A52)</f>
        <v>0</v>
      </c>
      <c r="Z52" s="7">
        <f>SUMIFS('ВБ Отчет Продажи (за 60 дней)'!$P:$P,'ВБ Отчет Продажи (за 60 дней)'!$K:$K,"Невинномысск",'ВБ Отчет Продажи (за 60 дней)'!$G:$G,$A52)</f>
        <v>0</v>
      </c>
      <c r="AA52" s="104">
        <f>SUMIFS('ВБ Отчет Продажи (за 60 дней)'!$P:$P,'ВБ Отчет Продажи (за 60 дней)'!$K:$K,"Волгоград",'ВБ Отчет Продажи (за 60 дней)'!$G:$G,$A52)</f>
        <v>0</v>
      </c>
      <c r="AB52" s="27">
        <f>SUMIFS('ВБ Отчет Продажи (за 60 дней)'!$P:$P,'ВБ Отчет Продажи (за 60 дней)'!$K:$K,"Самара (Новосемейкино)",'ВБ Отчет Продажи (за 60 дней)'!$G:$G,$A52)</f>
        <v>0</v>
      </c>
      <c r="AC52" s="104">
        <f>SUMIFS('ВБ Отчет Продажи (за 60 дней)'!$P:$P,'ВБ Отчет Продажи (за 60 дней)'!$K:$K,"Казань",'ВБ Отчет Продажи (за 60 дней)'!$G:$G,$A52)</f>
        <v>0</v>
      </c>
      <c r="AD52" s="104">
        <f>SUMIFS('ВБ Отчет Продажи (за 60 дней)'!$P:$P,'ВБ Отчет Продажи (за 60 дней)'!$K:$K,"СПБ Шушары",'ВБ Отчет Продажи (за 60 дней)'!$G:$G,$A52)</f>
        <v>0</v>
      </c>
      <c r="AE52" s="153">
        <f>SUMIFS('ВБ Отчет Продажи (за 60 дней)'!$P:$P,'ВБ Отчет Продажи (за 60 дней)'!$K:$K,"Екатеринбург - Перспективный 12",'ВБ Отчет Продажи (за 60 дней)'!$G:$G,$A52)</f>
        <v>0</v>
      </c>
      <c r="AF52" s="102">
        <f>SUMIFS('ВБ Отчет Продажи (за 60 дней)'!$P:$P,'ВБ Отчет Продажи (за 60 дней)'!$K:$K,"Новосибирск",'ВБ Отчет Продажи (за 60 дней)'!$G:$G,$A52)</f>
        <v>0</v>
      </c>
      <c r="AG52" s="124">
        <f t="shared" si="9"/>
        <v>0</v>
      </c>
      <c r="AH52" s="7">
        <f t="shared" si="10"/>
        <v>0</v>
      </c>
      <c r="AI52" s="213">
        <f>SUMIFS('ОЗОН Оборот ведом (за 60 дней)'!J:J,'ОЗОН Оборот ведом (за 60 дней)'!A:A,B52)</f>
        <v>0</v>
      </c>
      <c r="AJ52" s="21">
        <f t="shared" si="11"/>
        <v>0</v>
      </c>
      <c r="AK52" s="7" t="str" cm="1">
        <f t="array" ref="AK52">IFERROR(_xlfn.IFS((F52-U52)&gt;0,F52/$R$1*$AY$1-U52,F52+U52=0,"нов"),0)</f>
        <v>нов</v>
      </c>
      <c r="AL52" s="7" t="str" cm="1">
        <f t="array" ref="AL52">IFERROR(_xlfn.IFS((G52-V52)&gt;0,G52/$R$1*$AY$1-V52,G52+V52=0,"нов"),0)</f>
        <v>нов</v>
      </c>
      <c r="AM52" s="7" t="str" cm="1">
        <f t="array" ref="AM52">IFERROR(_xlfn.IFS((H52-W52)&gt;0,H52/$R$1*$AY$1-W52,H52+W52=0,"нов"),0)</f>
        <v>нов</v>
      </c>
      <c r="AN52" s="7" t="str" cm="1">
        <f t="array" ref="AN52">IFERROR(_xlfn.IFS((I52-X52)&gt;0,I52/$R$1*$AY$1-X52,I52+X52=0,"нов"),0)</f>
        <v>нов</v>
      </c>
      <c r="AO52" s="27" t="str" cm="1">
        <f t="array" ref="AO52">IFERROR(_xlfn.IFS((J52-Y52)&gt;0,J52/$R$1*$AY$1-Y52,J52+Y52=0,"нов"),0)</f>
        <v>нов</v>
      </c>
      <c r="AP52" s="7" t="str" cm="1">
        <f t="array" ref="AP52">IFERROR(_xlfn.IFS((K52-Z52)&gt;0,K52/$R$1*$AY$1-Z52,K52+Z52=0,"нов"),0)</f>
        <v>нов</v>
      </c>
      <c r="AQ52" s="104" t="str" cm="1">
        <f t="array" ref="AQ52">IFERROR(_xlfn.IFS((L52-AA52)&gt;0,L52/$R$1*$AY$1-AA52,L52+AA52=0,"нов"),0)</f>
        <v>нов</v>
      </c>
      <c r="AR52" s="27" t="str" cm="1">
        <f t="array" ref="AR52">IFERROR(_xlfn.IFS((M52-AB52)&gt;0,M52/$R$1*$AY$1-AB52,M52+AB52=0,"нов"),0)</f>
        <v>нов</v>
      </c>
      <c r="AS52" s="104" t="str" cm="1">
        <f t="array" ref="AS52">IFERROR(_xlfn.IFS((N52-AC52)&gt;0,N52/$R$1*$AY$1-AC52,N52+AC52=0,"нов"),0)</f>
        <v>нов</v>
      </c>
      <c r="AT52" s="104" t="str" cm="1">
        <f t="array" ref="AT52">IFERROR(_xlfn.IFS((O52-AD52)&gt;0,O52/$R$1*$AY$1-AD52,O52+AD52=0,"нов"),0)</f>
        <v>нов</v>
      </c>
      <c r="AU52" s="7" t="str" cm="1">
        <f t="array" ref="AU52">IFERROR(_xlfn.IFS((P52-AE52)&gt;0,P52/$R$1*$AY$1-AE52,P52+AE52=0,"нов"),0)</f>
        <v>нов</v>
      </c>
      <c r="AV52" s="7" t="str" cm="1">
        <f t="array" ref="AV52">IFERROR(_xlfn.IFS((Q52-AF52)&gt;0,Q52/$R$1*$AY$1-AF52,Q52+AF52=0,"нов"),0)</f>
        <v>нов</v>
      </c>
      <c r="AW52" s="141">
        <f t="shared" si="12"/>
        <v>0</v>
      </c>
      <c r="AX52" s="218">
        <f>SUMIF('ОЗОН Доступн товара'!D:D,_xlfn.XLOOKUP($B52,'ОЗОН Доступн товара'!$A:$A,'ОЗОН Доступн товара'!$D:$D,0))</f>
        <v>0</v>
      </c>
      <c r="AY52" s="226">
        <f t="shared" si="13"/>
        <v>0</v>
      </c>
      <c r="AZ52" s="7" t="str">
        <f t="shared" si="14"/>
        <v>нов</v>
      </c>
      <c r="BA52" s="7" t="str">
        <f t="shared" si="15"/>
        <v>нов</v>
      </c>
      <c r="BB52" s="7" t="str">
        <f t="shared" si="16"/>
        <v>нов</v>
      </c>
      <c r="BC52" s="7" t="str">
        <f t="shared" si="17"/>
        <v>нов</v>
      </c>
      <c r="BD52" s="27" t="str">
        <f t="shared" si="18"/>
        <v>нов</v>
      </c>
      <c r="BE52" s="7" t="str">
        <f t="shared" si="19"/>
        <v>нов</v>
      </c>
      <c r="BF52" s="104" t="str">
        <f t="shared" si="20"/>
        <v>нов</v>
      </c>
      <c r="BG52" s="27" t="str">
        <f t="shared" si="21"/>
        <v>нов</v>
      </c>
      <c r="BH52" s="104" t="str">
        <f t="shared" si="22"/>
        <v>нов</v>
      </c>
      <c r="BI52" s="7" t="str">
        <f t="shared" si="23"/>
        <v>нов</v>
      </c>
      <c r="BJ52" s="153" t="str">
        <f t="shared" si="24"/>
        <v>нов</v>
      </c>
      <c r="BK52" s="7" t="str">
        <f t="shared" si="25"/>
        <v>нов</v>
      </c>
      <c r="BL52" s="6">
        <f t="shared" si="26"/>
        <v>0</v>
      </c>
      <c r="BM52" s="6">
        <f t="shared" si="27"/>
        <v>0</v>
      </c>
      <c r="BN52" s="28">
        <f t="shared" si="28"/>
        <v>0</v>
      </c>
      <c r="BO52" s="73">
        <f>IFERROR(_xlfn.XLOOKUP(A52,'[2] Расчет стоимости и веса'!$I:$I,'[2] Расчет стоимости и веса'!$D:$D),0)</f>
        <v>0</v>
      </c>
      <c r="BP52" s="227">
        <f t="shared" si="29"/>
        <v>0</v>
      </c>
      <c r="BQ52" s="8"/>
      <c r="BR52" s="155"/>
      <c r="BS52" s="12"/>
      <c r="BT52" s="12"/>
      <c r="BU52" s="229"/>
      <c r="BV52" s="12"/>
      <c r="BW52" s="12"/>
      <c r="BY52" s="231"/>
      <c r="BZ52" s="232"/>
      <c r="CA52" s="155"/>
      <c r="CB52" s="157"/>
      <c r="CC52" s="57"/>
      <c r="CD52" s="12"/>
      <c r="CE52" s="146">
        <f t="shared" si="5"/>
        <v>0</v>
      </c>
      <c r="CF52" s="69">
        <f t="shared" si="6"/>
        <v>0</v>
      </c>
      <c r="CG52" s="45">
        <f t="shared" si="7"/>
        <v>0</v>
      </c>
    </row>
    <row r="53" spans="1:85" ht="14.1" hidden="1" customHeight="1">
      <c r="A53" s="240">
        <f>[1]Юнит!A55</f>
        <v>550445280</v>
      </c>
      <c r="B53" s="241">
        <f>[1]Юнит!B55</f>
        <v>0</v>
      </c>
      <c r="C53" s="240" t="str">
        <f>[1]Юнит!C55</f>
        <v>ACRF1KP101BL</v>
      </c>
      <c r="D53" s="90" t="str">
        <f>[1]Юнит!D55</f>
        <v>Капа синий/белый</v>
      </c>
      <c r="E53" s="90">
        <f>[1]Юнит!E55</f>
        <v>2046391283545</v>
      </c>
      <c r="F53" s="132">
        <f>ROUNDUP(SUMIFS('ВБ Отчет Продажи (за 60 дней)'!$L:$L,'ВБ Отчет Продажи (за 60 дней)'!$K:$K,"Электросталь",'ВБ Отчет Продажи (за 60 дней)'!$G:$G,$A53),0)</f>
        <v>0</v>
      </c>
      <c r="G53" s="133">
        <f>ROUNDUP(SUMIFS('ВБ Отчет Продажи (за 60 дней)'!$L:$L,'ВБ Отчет Продажи (за 60 дней)'!$K:$K,"Коледино",'ВБ Отчет Продажи (за 60 дней)'!$G:$G,$A53),0)</f>
        <v>0</v>
      </c>
      <c r="H53" s="133">
        <f>ROUNDUP(SUMIFS('ВБ Отчет Продажи (за 60 дней)'!$L:$L,'ВБ Отчет Продажи (за 60 дней)'!$K:$K,"Тула",'ВБ Отчет Продажи (за 60 дней)'!$G:$G,$A53),0)</f>
        <v>0</v>
      </c>
      <c r="I53" s="134">
        <f>ROUNDUP(SUMIFS('ВБ Отчет Продажи (за 60 дней)'!$L:$L,'ВБ Отчет Продажи (за 60 дней)'!$K:$K,"Рязань (Тюшевское)",'ВБ Отчет Продажи (за 60 дней)'!$G:$G,$A53),0)</f>
        <v>0</v>
      </c>
      <c r="J53" s="136">
        <f>ROUNDUP(SUMIFS('ВБ Отчет Продажи (за 60 дней)'!$L:$L,'ВБ Отчет Продажи (за 60 дней)'!$K:$K,"Краснодар",'ВБ Отчет Продажи (за 60 дней)'!$G:$G,$A53),0)</f>
        <v>0</v>
      </c>
      <c r="K53" s="133">
        <f>ROUNDUP(SUMIFS('ВБ Отчет Продажи (за 60 дней)'!$L:$L,'ВБ Отчет Продажи (за 60 дней)'!$K:$K,"Невинномысск",'ВБ Отчет Продажи (за 60 дней)'!$G:$G,$A53),0)</f>
        <v>0</v>
      </c>
      <c r="L53" s="137">
        <f>ROUNDUP(SUMIFS('ВБ Отчет Продажи (за 60 дней)'!$L:$L,'ВБ Отчет Продажи (за 60 дней)'!$K:$K,"Волгоград",'ВБ Отчет Продажи (за 60 дней)'!$G:$G,$A53),0)</f>
        <v>0</v>
      </c>
      <c r="M53" s="136">
        <f>ROUNDUP(SUMIFS('ВБ Отчет Продажи (за 60 дней)'!$L:$L,'ВБ Отчет Продажи (за 60 дней)'!$K:$K,"Самара (Новосемейкино)",'ВБ Отчет Продажи (за 60 дней)'!$G:$G,$A53),0)</f>
        <v>0</v>
      </c>
      <c r="N53" s="137">
        <f>ROUNDUP(SUMIFS('ВБ Отчет Продажи (за 60 дней)'!$L:$L,'ВБ Отчет Продажи (за 60 дней)'!$K:$K,"Казань",'ВБ Отчет Продажи (за 60 дней)'!$G:$G,$A53),0)</f>
        <v>0</v>
      </c>
      <c r="O53" s="137">
        <f>ROUNDUP(SUMIFS('ВБ Отчет Продажи (за 60 дней)'!$L:$L,'ВБ Отчет Продажи (за 60 дней)'!$K:$K,"СПБ Шушары",'ВБ Отчет Продажи (за 60 дней)'!$G:$G,$A53),0)</f>
        <v>0</v>
      </c>
      <c r="P53" s="151">
        <f>ROUNDUP(SUMIFS('ВБ Отчет Продажи (за 60 дней)'!$L:$L,'ВБ Отчет Продажи (за 60 дней)'!$K:$K,"Екатеринбург - Перспективный 12",'ВБ Отчет Продажи (за 60 дней)'!$G:$G,$A53),0)</f>
        <v>0</v>
      </c>
      <c r="Q53" s="149">
        <f>ROUNDUP(SUMIFS('ВБ Отчет Продажи (за 60 дней)'!$L:$L,'ВБ Отчет Продажи (за 60 дней)'!$K:$K,"Новосибирск",'ВБ Отчет Продажи (за 60 дней)'!$G:$G,$A53),0)</f>
        <v>0</v>
      </c>
      <c r="R53" s="131">
        <f>SUM(F53:Q53)</f>
        <v>0</v>
      </c>
      <c r="S53" s="139">
        <f>SUMIFS('ОЗОН Оборот ведом (за 60 дней)'!I:I,'ОЗОН Оборот ведом (за 60 дней)'!A:A,B53)</f>
        <v>0</v>
      </c>
      <c r="T53" s="140">
        <f>SUM(R53:S53)</f>
        <v>0</v>
      </c>
      <c r="U53" s="6">
        <f>SUMIFS('ВБ Отчет Продажи (за 60 дней)'!$P:$P,'ВБ Отчет Продажи (за 60 дней)'!$K:$K,"Электросталь",'ВБ Отчет Продажи (за 60 дней)'!$G:$G,$A53)</f>
        <v>0</v>
      </c>
      <c r="V53" s="7">
        <f>SUMIFS('ВБ Отчет Продажи (за 60 дней)'!$P:$P,'ВБ Отчет Продажи (за 60 дней)'!$K:$K,"Коледино",'ВБ Отчет Продажи (за 60 дней)'!$G:$G,$A53)</f>
        <v>0</v>
      </c>
      <c r="W53" s="7">
        <f>SUMIFS('ВБ Отчет Продажи (за 60 дней)'!$P:$P,'ВБ Отчет Продажи (за 60 дней)'!$K:$K,"Тула",'ВБ Отчет Продажи (за 60 дней)'!$G:$G,$A53)</f>
        <v>0</v>
      </c>
      <c r="X53" s="7">
        <f>SUMIFS('ВБ Отчет Продажи (за 60 дней)'!$P:$P,'ВБ Отчет Продажи (за 60 дней)'!$K:$K,"Рязань (Тюшевское)",'ВБ Отчет Продажи (за 60 дней)'!$G:$G,$A53)</f>
        <v>0</v>
      </c>
      <c r="Y53" s="27">
        <f>SUMIFS('ВБ Отчет Продажи (за 60 дней)'!$P:$P,'ВБ Отчет Продажи (за 60 дней)'!$K:$K,"Краснодар",'ВБ Отчет Продажи (за 60 дней)'!$G:$G,$A53)</f>
        <v>0</v>
      </c>
      <c r="Z53" s="7">
        <f>SUMIFS('ВБ Отчет Продажи (за 60 дней)'!$P:$P,'ВБ Отчет Продажи (за 60 дней)'!$K:$K,"Невинномысск",'ВБ Отчет Продажи (за 60 дней)'!$G:$G,$A53)</f>
        <v>0</v>
      </c>
      <c r="AA53" s="104">
        <f>SUMIFS('ВБ Отчет Продажи (за 60 дней)'!$P:$P,'ВБ Отчет Продажи (за 60 дней)'!$K:$K,"Волгоград",'ВБ Отчет Продажи (за 60 дней)'!$G:$G,$A53)</f>
        <v>0</v>
      </c>
      <c r="AB53" s="27">
        <f>SUMIFS('ВБ Отчет Продажи (за 60 дней)'!$P:$P,'ВБ Отчет Продажи (за 60 дней)'!$K:$K,"Самара (Новосемейкино)",'ВБ Отчет Продажи (за 60 дней)'!$G:$G,$A53)</f>
        <v>0</v>
      </c>
      <c r="AC53" s="104">
        <f>SUMIFS('ВБ Отчет Продажи (за 60 дней)'!$P:$P,'ВБ Отчет Продажи (за 60 дней)'!$K:$K,"Казань",'ВБ Отчет Продажи (за 60 дней)'!$G:$G,$A53)</f>
        <v>0</v>
      </c>
      <c r="AD53" s="104">
        <f>SUMIFS('ВБ Отчет Продажи (за 60 дней)'!$P:$P,'ВБ Отчет Продажи (за 60 дней)'!$K:$K,"СПБ Шушары",'ВБ Отчет Продажи (за 60 дней)'!$G:$G,$A53)</f>
        <v>0</v>
      </c>
      <c r="AE53" s="153">
        <f>SUMIFS('ВБ Отчет Продажи (за 60 дней)'!$P:$P,'ВБ Отчет Продажи (за 60 дней)'!$K:$K,"Екатеринбург - Перспективный 12",'ВБ Отчет Продажи (за 60 дней)'!$G:$G,$A53)</f>
        <v>0</v>
      </c>
      <c r="AF53" s="102">
        <f>SUMIFS('ВБ Отчет Продажи (за 60 дней)'!$P:$P,'ВБ Отчет Продажи (за 60 дней)'!$K:$K,"Новосибирск",'ВБ Отчет Продажи (за 60 дней)'!$G:$G,$A53)</f>
        <v>0</v>
      </c>
      <c r="AG53" s="124">
        <f>SUM(U53:AF53)</f>
        <v>0</v>
      </c>
      <c r="AH53" s="7">
        <f t="shared" si="10"/>
        <v>0</v>
      </c>
      <c r="AI53" s="213">
        <f>SUMIFS('ОЗОН Оборот ведом (за 60 дней)'!J:J,'ОЗОН Оборот ведом (за 60 дней)'!A:A,B53)</f>
        <v>0</v>
      </c>
      <c r="AJ53" s="21">
        <f>AG53+AI53</f>
        <v>0</v>
      </c>
      <c r="AK53" s="7" t="str" cm="1">
        <f t="array" ref="AK53">IFERROR(_xlfn.IFS((F53-U53)&gt;0,F53/$R$1*$AY$1-U53,F53+U53=0,"нов"),0)</f>
        <v>нов</v>
      </c>
      <c r="AL53" s="7" t="str" cm="1">
        <f t="array" ref="AL53">IFERROR(_xlfn.IFS((G53-V53)&gt;0,G53/$R$1*$AY$1-V53,G53+V53=0,"нов"),0)</f>
        <v>нов</v>
      </c>
      <c r="AM53" s="7" t="str" cm="1">
        <f t="array" ref="AM53">IFERROR(_xlfn.IFS((H53-W53)&gt;0,H53/$R$1*$AY$1-W53,H53+W53=0,"нов"),0)</f>
        <v>нов</v>
      </c>
      <c r="AN53" s="7" t="str" cm="1">
        <f t="array" ref="AN53">IFERROR(_xlfn.IFS((I53-X53)&gt;0,I53/$R$1*$AY$1-X53,I53+X53=0,"нов"),0)</f>
        <v>нов</v>
      </c>
      <c r="AO53" s="27" t="str" cm="1">
        <f t="array" ref="AO53">IFERROR(_xlfn.IFS((J53-Y53)&gt;0,J53/$R$1*$AY$1-Y53,J53+Y53=0,"нов"),0)</f>
        <v>нов</v>
      </c>
      <c r="AP53" s="7" t="str" cm="1">
        <f t="array" ref="AP53">IFERROR(_xlfn.IFS((K53-Z53)&gt;0,K53/$R$1*$AY$1-Z53,K53+Z53=0,"нов"),0)</f>
        <v>нов</v>
      </c>
      <c r="AQ53" s="104" t="str" cm="1">
        <f t="array" ref="AQ53">IFERROR(_xlfn.IFS((L53-AA53)&gt;0,L53/$R$1*$AY$1-AA53,L53+AA53=0,"нов"),0)</f>
        <v>нов</v>
      </c>
      <c r="AR53" s="27" t="str" cm="1">
        <f t="array" ref="AR53">IFERROR(_xlfn.IFS((M53-AB53)&gt;0,M53/$R$1*$AY$1-AB53,M53+AB53=0,"нов"),0)</f>
        <v>нов</v>
      </c>
      <c r="AS53" s="104" t="str" cm="1">
        <f t="array" ref="AS53">IFERROR(_xlfn.IFS((N53-AC53)&gt;0,N53/$R$1*$AY$1-AC53,N53+AC53=0,"нов"),0)</f>
        <v>нов</v>
      </c>
      <c r="AT53" s="104" t="str" cm="1">
        <f t="array" ref="AT53">IFERROR(_xlfn.IFS((O53-AD53)&gt;0,O53/$R$1*$AY$1-AD53,O53+AD53=0,"нов"),0)</f>
        <v>нов</v>
      </c>
      <c r="AU53" s="7" t="str" cm="1">
        <f t="array" ref="AU53">IFERROR(_xlfn.IFS((P53-AE53)&gt;0,P53/$R$1*$AY$1-AE53,P53+AE53=0,"нов"),0)</f>
        <v>нов</v>
      </c>
      <c r="AV53" s="7" t="str" cm="1">
        <f t="array" ref="AV53">IFERROR(_xlfn.IFS((Q53-AF53)&gt;0,Q53/$R$1*$AY$1-AF53,Q53+AF53=0,"нов"),0)</f>
        <v>нов</v>
      </c>
      <c r="AW53" s="141">
        <f>SUM(AK53:AV53)</f>
        <v>0</v>
      </c>
      <c r="AX53" s="218">
        <f>SUMIF('ОЗОН Доступн товара'!D:D,_xlfn.XLOOKUP($B53,'ОЗОН Доступн товара'!$A:$A,'ОЗОН Доступн товара'!$D:$D,0))</f>
        <v>0</v>
      </c>
      <c r="AY53" s="226">
        <f t="shared" si="13"/>
        <v>0</v>
      </c>
      <c r="AZ53" s="7" t="str">
        <f t="shared" si="14"/>
        <v>нов</v>
      </c>
      <c r="BA53" s="7" t="str">
        <f t="shared" si="15"/>
        <v>нов</v>
      </c>
      <c r="BB53" s="7" t="str">
        <f t="shared" si="16"/>
        <v>нов</v>
      </c>
      <c r="BC53" s="7" t="str">
        <f t="shared" si="17"/>
        <v>нов</v>
      </c>
      <c r="BD53" s="27" t="str">
        <f t="shared" si="18"/>
        <v>нов</v>
      </c>
      <c r="BE53" s="7" t="str">
        <f t="shared" si="19"/>
        <v>нов</v>
      </c>
      <c r="BF53" s="104" t="str">
        <f t="shared" si="20"/>
        <v>нов</v>
      </c>
      <c r="BG53" s="27" t="str">
        <f t="shared" si="21"/>
        <v>нов</v>
      </c>
      <c r="BH53" s="104" t="str">
        <f t="shared" si="22"/>
        <v>нов</v>
      </c>
      <c r="BI53" s="7" t="str">
        <f t="shared" si="23"/>
        <v>нов</v>
      </c>
      <c r="BJ53" s="153" t="str">
        <f t="shared" si="24"/>
        <v>нов</v>
      </c>
      <c r="BK53" s="7" t="str">
        <f t="shared" si="25"/>
        <v>нов</v>
      </c>
      <c r="BL53" s="6">
        <f>SUM(AZ53:BK53)</f>
        <v>0</v>
      </c>
      <c r="BM53" s="6">
        <f>AX53*1.3</f>
        <v>0</v>
      </c>
      <c r="BN53" s="28">
        <f>SUM(BL53:BM53)</f>
        <v>0</v>
      </c>
      <c r="BO53" s="73">
        <f>IFERROR(_xlfn.XLOOKUP(A53,'[2] Расчет стоимости и веса'!$I:$I,'[2] Расчет стоимости и веса'!$D:$D),0)</f>
        <v>0</v>
      </c>
      <c r="BP53" s="227">
        <f t="shared" si="29"/>
        <v>0</v>
      </c>
      <c r="BQ53" s="8"/>
      <c r="BR53" s="155"/>
      <c r="BS53" s="12"/>
      <c r="BT53" s="12"/>
      <c r="BU53" s="229"/>
      <c r="BV53" s="12"/>
      <c r="BW53" s="12"/>
      <c r="BY53" s="231"/>
      <c r="BZ53" s="232"/>
      <c r="CA53" s="155"/>
      <c r="CB53" s="157"/>
      <c r="CC53" s="57"/>
      <c r="CD53" s="12"/>
      <c r="CE53" s="146">
        <f t="shared" si="5"/>
        <v>0</v>
      </c>
      <c r="CF53" s="69">
        <f t="shared" si="6"/>
        <v>0</v>
      </c>
      <c r="CG53" s="45">
        <f t="shared" si="7"/>
        <v>0</v>
      </c>
    </row>
    <row r="54" spans="1:85" ht="14.1" hidden="1" customHeight="1">
      <c r="A54" s="240">
        <f>[1]Юнит!A56</f>
        <v>550445281</v>
      </c>
      <c r="B54" s="241">
        <f>[1]Юнит!B56</f>
        <v>0</v>
      </c>
      <c r="C54" s="240" t="str">
        <f>[1]Юнит!C56</f>
        <v>ACRF1KP101GN</v>
      </c>
      <c r="D54" s="90" t="str">
        <f>[1]Юнит!D56</f>
        <v>Капа зеленый/белый</v>
      </c>
      <c r="E54" s="90">
        <f>[1]Юнит!E56</f>
        <v>2046391283569</v>
      </c>
      <c r="F54" s="132">
        <f>ROUNDUP(SUMIFS('ВБ Отчет Продажи (за 60 дней)'!$L:$L,'ВБ Отчет Продажи (за 60 дней)'!$K:$K,"Электросталь",'ВБ Отчет Продажи (за 60 дней)'!$G:$G,$A54),0)</f>
        <v>0</v>
      </c>
      <c r="G54" s="133">
        <f>ROUNDUP(SUMIFS('ВБ Отчет Продажи (за 60 дней)'!$L:$L,'ВБ Отчет Продажи (за 60 дней)'!$K:$K,"Коледино",'ВБ Отчет Продажи (за 60 дней)'!$G:$G,$A54),0)</f>
        <v>0</v>
      </c>
      <c r="H54" s="133">
        <f>ROUNDUP(SUMIFS('ВБ Отчет Продажи (за 60 дней)'!$L:$L,'ВБ Отчет Продажи (за 60 дней)'!$K:$K,"Тула",'ВБ Отчет Продажи (за 60 дней)'!$G:$G,$A54),0)</f>
        <v>0</v>
      </c>
      <c r="I54" s="134">
        <f>ROUNDUP(SUMIFS('ВБ Отчет Продажи (за 60 дней)'!$L:$L,'ВБ Отчет Продажи (за 60 дней)'!$K:$K,"Рязань (Тюшевское)",'ВБ Отчет Продажи (за 60 дней)'!$G:$G,$A54),0)</f>
        <v>0</v>
      </c>
      <c r="J54" s="136">
        <f>ROUNDUP(SUMIFS('ВБ Отчет Продажи (за 60 дней)'!$L:$L,'ВБ Отчет Продажи (за 60 дней)'!$K:$K,"Краснодар",'ВБ Отчет Продажи (за 60 дней)'!$G:$G,$A54),0)</f>
        <v>0</v>
      </c>
      <c r="K54" s="133">
        <f>ROUNDUP(SUMIFS('ВБ Отчет Продажи (за 60 дней)'!$L:$L,'ВБ Отчет Продажи (за 60 дней)'!$K:$K,"Невинномысск",'ВБ Отчет Продажи (за 60 дней)'!$G:$G,$A54),0)</f>
        <v>0</v>
      </c>
      <c r="L54" s="137">
        <f>ROUNDUP(SUMIFS('ВБ Отчет Продажи (за 60 дней)'!$L:$L,'ВБ Отчет Продажи (за 60 дней)'!$K:$K,"Волгоград",'ВБ Отчет Продажи (за 60 дней)'!$G:$G,$A54),0)</f>
        <v>0</v>
      </c>
      <c r="M54" s="136">
        <f>ROUNDUP(SUMIFS('ВБ Отчет Продажи (за 60 дней)'!$L:$L,'ВБ Отчет Продажи (за 60 дней)'!$K:$K,"Самара (Новосемейкино)",'ВБ Отчет Продажи (за 60 дней)'!$G:$G,$A54),0)</f>
        <v>0</v>
      </c>
      <c r="N54" s="137">
        <f>ROUNDUP(SUMIFS('ВБ Отчет Продажи (за 60 дней)'!$L:$L,'ВБ Отчет Продажи (за 60 дней)'!$K:$K,"Казань",'ВБ Отчет Продажи (за 60 дней)'!$G:$G,$A54),0)</f>
        <v>0</v>
      </c>
      <c r="O54" s="137">
        <f>ROUNDUP(SUMIFS('ВБ Отчет Продажи (за 60 дней)'!$L:$L,'ВБ Отчет Продажи (за 60 дней)'!$K:$K,"СПБ Шушары",'ВБ Отчет Продажи (за 60 дней)'!$G:$G,$A54),0)</f>
        <v>0</v>
      </c>
      <c r="P54" s="151">
        <f>ROUNDUP(SUMIFS('ВБ Отчет Продажи (за 60 дней)'!$L:$L,'ВБ Отчет Продажи (за 60 дней)'!$K:$K,"Екатеринбург - Перспективный 12",'ВБ Отчет Продажи (за 60 дней)'!$G:$G,$A54),0)</f>
        <v>0</v>
      </c>
      <c r="Q54" s="149">
        <f>ROUNDUP(SUMIFS('ВБ Отчет Продажи (за 60 дней)'!$L:$L,'ВБ Отчет Продажи (за 60 дней)'!$K:$K,"Новосибирск",'ВБ Отчет Продажи (за 60 дней)'!$G:$G,$A54),0)</f>
        <v>0</v>
      </c>
      <c r="R54" s="131">
        <f>SUM(F54:Q54)</f>
        <v>0</v>
      </c>
      <c r="S54" s="139">
        <f>SUMIFS('ОЗОН Оборот ведом (за 60 дней)'!I:I,'ОЗОН Оборот ведом (за 60 дней)'!A:A,B54)</f>
        <v>0</v>
      </c>
      <c r="T54" s="140">
        <f>SUM(R54:S54)</f>
        <v>0</v>
      </c>
      <c r="U54" s="6">
        <f>SUMIFS('ВБ Отчет Продажи (за 60 дней)'!$P:$P,'ВБ Отчет Продажи (за 60 дней)'!$K:$K,"Электросталь",'ВБ Отчет Продажи (за 60 дней)'!$G:$G,$A54)</f>
        <v>0</v>
      </c>
      <c r="V54" s="7">
        <f>SUMIFS('ВБ Отчет Продажи (за 60 дней)'!$P:$P,'ВБ Отчет Продажи (за 60 дней)'!$K:$K,"Коледино",'ВБ Отчет Продажи (за 60 дней)'!$G:$G,$A54)</f>
        <v>0</v>
      </c>
      <c r="W54" s="7">
        <f>SUMIFS('ВБ Отчет Продажи (за 60 дней)'!$P:$P,'ВБ Отчет Продажи (за 60 дней)'!$K:$K,"Тула",'ВБ Отчет Продажи (за 60 дней)'!$G:$G,$A54)</f>
        <v>0</v>
      </c>
      <c r="X54" s="7">
        <f>SUMIFS('ВБ Отчет Продажи (за 60 дней)'!$P:$P,'ВБ Отчет Продажи (за 60 дней)'!$K:$K,"Рязань (Тюшевское)",'ВБ Отчет Продажи (за 60 дней)'!$G:$G,$A54)</f>
        <v>0</v>
      </c>
      <c r="Y54" s="27">
        <f>SUMIFS('ВБ Отчет Продажи (за 60 дней)'!$P:$P,'ВБ Отчет Продажи (за 60 дней)'!$K:$K,"Краснодар",'ВБ Отчет Продажи (за 60 дней)'!$G:$G,$A54)</f>
        <v>0</v>
      </c>
      <c r="Z54" s="7">
        <f>SUMIFS('ВБ Отчет Продажи (за 60 дней)'!$P:$P,'ВБ Отчет Продажи (за 60 дней)'!$K:$K,"Невинномысск",'ВБ Отчет Продажи (за 60 дней)'!$G:$G,$A54)</f>
        <v>0</v>
      </c>
      <c r="AA54" s="104">
        <f>SUMIFS('ВБ Отчет Продажи (за 60 дней)'!$P:$P,'ВБ Отчет Продажи (за 60 дней)'!$K:$K,"Волгоград",'ВБ Отчет Продажи (за 60 дней)'!$G:$G,$A54)</f>
        <v>0</v>
      </c>
      <c r="AB54" s="27">
        <f>SUMIFS('ВБ Отчет Продажи (за 60 дней)'!$P:$P,'ВБ Отчет Продажи (за 60 дней)'!$K:$K,"Самара (Новосемейкино)",'ВБ Отчет Продажи (за 60 дней)'!$G:$G,$A54)</f>
        <v>0</v>
      </c>
      <c r="AC54" s="104">
        <f>SUMIFS('ВБ Отчет Продажи (за 60 дней)'!$P:$P,'ВБ Отчет Продажи (за 60 дней)'!$K:$K,"Казань",'ВБ Отчет Продажи (за 60 дней)'!$G:$G,$A54)</f>
        <v>0</v>
      </c>
      <c r="AD54" s="104">
        <f>SUMIFS('ВБ Отчет Продажи (за 60 дней)'!$P:$P,'ВБ Отчет Продажи (за 60 дней)'!$K:$K,"СПБ Шушары",'ВБ Отчет Продажи (за 60 дней)'!$G:$G,$A54)</f>
        <v>0</v>
      </c>
      <c r="AE54" s="153">
        <f>SUMIFS('ВБ Отчет Продажи (за 60 дней)'!$P:$P,'ВБ Отчет Продажи (за 60 дней)'!$K:$K,"Екатеринбург - Перспективный 12",'ВБ Отчет Продажи (за 60 дней)'!$G:$G,$A54)</f>
        <v>0</v>
      </c>
      <c r="AF54" s="102">
        <f>SUMIFS('ВБ Отчет Продажи (за 60 дней)'!$P:$P,'ВБ Отчет Продажи (за 60 дней)'!$K:$K,"Новосибирск",'ВБ Отчет Продажи (за 60 дней)'!$G:$G,$A54)</f>
        <v>0</v>
      </c>
      <c r="AG54" s="124">
        <f>SUM(U54:AF54)</f>
        <v>0</v>
      </c>
      <c r="AH54" s="7">
        <f t="shared" si="10"/>
        <v>0</v>
      </c>
      <c r="AI54" s="213">
        <f>SUMIFS('ОЗОН Оборот ведом (за 60 дней)'!J:J,'ОЗОН Оборот ведом (за 60 дней)'!A:A,B54)</f>
        <v>0</v>
      </c>
      <c r="AJ54" s="21">
        <f>AG54+AI54</f>
        <v>0</v>
      </c>
      <c r="AK54" s="7" t="str" cm="1">
        <f t="array" ref="AK54">IFERROR(_xlfn.IFS((F54-U54)&gt;0,F54/$R$1*$AY$1-U54,F54+U54=0,"нов"),0)</f>
        <v>нов</v>
      </c>
      <c r="AL54" s="7" t="str" cm="1">
        <f t="array" ref="AL54">IFERROR(_xlfn.IFS((G54-V54)&gt;0,G54/$R$1*$AY$1-V54,G54+V54=0,"нов"),0)</f>
        <v>нов</v>
      </c>
      <c r="AM54" s="7" t="str" cm="1">
        <f t="array" ref="AM54">IFERROR(_xlfn.IFS((H54-W54)&gt;0,H54/$R$1*$AY$1-W54,H54+W54=0,"нов"),0)</f>
        <v>нов</v>
      </c>
      <c r="AN54" s="7" t="str" cm="1">
        <f t="array" ref="AN54">IFERROR(_xlfn.IFS((I54-X54)&gt;0,I54/$R$1*$AY$1-X54,I54+X54=0,"нов"),0)</f>
        <v>нов</v>
      </c>
      <c r="AO54" s="27" t="str" cm="1">
        <f t="array" ref="AO54">IFERROR(_xlfn.IFS((J54-Y54)&gt;0,J54/$R$1*$AY$1-Y54,J54+Y54=0,"нов"),0)</f>
        <v>нов</v>
      </c>
      <c r="AP54" s="7" t="str" cm="1">
        <f t="array" ref="AP54">IFERROR(_xlfn.IFS((K54-Z54)&gt;0,K54/$R$1*$AY$1-Z54,K54+Z54=0,"нов"),0)</f>
        <v>нов</v>
      </c>
      <c r="AQ54" s="104" t="str" cm="1">
        <f t="array" ref="AQ54">IFERROR(_xlfn.IFS((L54-AA54)&gt;0,L54/$R$1*$AY$1-AA54,L54+AA54=0,"нов"),0)</f>
        <v>нов</v>
      </c>
      <c r="AR54" s="27" t="str" cm="1">
        <f t="array" ref="AR54">IFERROR(_xlfn.IFS((M54-AB54)&gt;0,M54/$R$1*$AY$1-AB54,M54+AB54=0,"нов"),0)</f>
        <v>нов</v>
      </c>
      <c r="AS54" s="104" t="str" cm="1">
        <f t="array" ref="AS54">IFERROR(_xlfn.IFS((N54-AC54)&gt;0,N54/$R$1*$AY$1-AC54,N54+AC54=0,"нов"),0)</f>
        <v>нов</v>
      </c>
      <c r="AT54" s="104" t="str" cm="1">
        <f t="array" ref="AT54">IFERROR(_xlfn.IFS((O54-AD54)&gt;0,O54/$R$1*$AY$1-AD54,O54+AD54=0,"нов"),0)</f>
        <v>нов</v>
      </c>
      <c r="AU54" s="7" t="str" cm="1">
        <f t="array" ref="AU54">IFERROR(_xlfn.IFS((P54-AE54)&gt;0,P54/$R$1*$AY$1-AE54,P54+AE54=0,"нов"),0)</f>
        <v>нов</v>
      </c>
      <c r="AV54" s="7" t="str" cm="1">
        <f t="array" ref="AV54">IFERROR(_xlfn.IFS((Q54-AF54)&gt;0,Q54/$R$1*$AY$1-AF54,Q54+AF54=0,"нов"),0)</f>
        <v>нов</v>
      </c>
      <c r="AW54" s="141">
        <f>SUM(AK54:AV54)</f>
        <v>0</v>
      </c>
      <c r="AX54" s="218">
        <f>SUMIF('ОЗОН Доступн товара'!D:D,_xlfn.XLOOKUP($B54,'ОЗОН Доступн товара'!$A:$A,'ОЗОН Доступн товара'!$D:$D,0))</f>
        <v>0</v>
      </c>
      <c r="AY54" s="226">
        <f t="shared" si="13"/>
        <v>0</v>
      </c>
      <c r="AZ54" s="7" t="str">
        <f t="shared" si="14"/>
        <v>нов</v>
      </c>
      <c r="BA54" s="7" t="str">
        <f t="shared" si="15"/>
        <v>нов</v>
      </c>
      <c r="BB54" s="7" t="str">
        <f t="shared" si="16"/>
        <v>нов</v>
      </c>
      <c r="BC54" s="7" t="str">
        <f t="shared" si="17"/>
        <v>нов</v>
      </c>
      <c r="BD54" s="27" t="str">
        <f t="shared" si="18"/>
        <v>нов</v>
      </c>
      <c r="BE54" s="7" t="str">
        <f t="shared" si="19"/>
        <v>нов</v>
      </c>
      <c r="BF54" s="104" t="str">
        <f t="shared" si="20"/>
        <v>нов</v>
      </c>
      <c r="BG54" s="27" t="str">
        <f t="shared" si="21"/>
        <v>нов</v>
      </c>
      <c r="BH54" s="104" t="str">
        <f t="shared" si="22"/>
        <v>нов</v>
      </c>
      <c r="BI54" s="7" t="str">
        <f t="shared" si="23"/>
        <v>нов</v>
      </c>
      <c r="BJ54" s="153" t="str">
        <f t="shared" si="24"/>
        <v>нов</v>
      </c>
      <c r="BK54" s="7" t="str">
        <f t="shared" si="25"/>
        <v>нов</v>
      </c>
      <c r="BL54" s="6">
        <f>SUM(AZ54:BK54)</f>
        <v>0</v>
      </c>
      <c r="BM54" s="6">
        <f>AX54*1.3</f>
        <v>0</v>
      </c>
      <c r="BN54" s="28">
        <f>SUM(BL54:BM54)</f>
        <v>0</v>
      </c>
      <c r="BO54" s="73">
        <f>IFERROR(_xlfn.XLOOKUP(A54,'[2] Расчет стоимости и веса'!$I:$I,'[2] Расчет стоимости и веса'!$D:$D),0)</f>
        <v>0</v>
      </c>
      <c r="BP54" s="227">
        <f t="shared" si="29"/>
        <v>0</v>
      </c>
      <c r="BQ54" s="8"/>
      <c r="BR54" s="155"/>
      <c r="BS54" s="12"/>
      <c r="BT54" s="12"/>
      <c r="BU54" s="229"/>
      <c r="BV54" s="12"/>
      <c r="BW54" s="12"/>
      <c r="BY54" s="231"/>
      <c r="BZ54" s="232"/>
      <c r="CA54" s="155"/>
      <c r="CB54" s="157"/>
      <c r="CC54" s="57"/>
      <c r="CD54" s="12"/>
      <c r="CE54" s="146">
        <f t="shared" si="5"/>
        <v>0</v>
      </c>
      <c r="CF54" s="69">
        <f t="shared" si="6"/>
        <v>0</v>
      </c>
      <c r="CG54" s="45">
        <f t="shared" si="7"/>
        <v>0</v>
      </c>
    </row>
    <row r="55" spans="1:85" ht="14.1" hidden="1" customHeight="1">
      <c r="A55" s="240">
        <f>[1]Юнит!A57</f>
        <v>550445283</v>
      </c>
      <c r="B55" s="241">
        <f>[1]Юнит!B57</f>
        <v>0</v>
      </c>
      <c r="C55" s="240" t="str">
        <f>[1]Юнит!C57</f>
        <v>ACRF1KP102GN</v>
      </c>
      <c r="D55" s="90" t="str">
        <f>[1]Юнит!D57</f>
        <v>Капа зеленый/черный</v>
      </c>
      <c r="E55" s="90">
        <f>[1]Юнит!E57</f>
        <v>2046391283613</v>
      </c>
      <c r="F55" s="132">
        <f>ROUNDUP(SUMIFS('ВБ Отчет Продажи (за 60 дней)'!$L:$L,'ВБ Отчет Продажи (за 60 дней)'!$K:$K,"Электросталь",'ВБ Отчет Продажи (за 60 дней)'!$G:$G,$A55),0)</f>
        <v>0</v>
      </c>
      <c r="G55" s="133">
        <f>ROUNDUP(SUMIFS('ВБ Отчет Продажи (за 60 дней)'!$L:$L,'ВБ Отчет Продажи (за 60 дней)'!$K:$K,"Коледино",'ВБ Отчет Продажи (за 60 дней)'!$G:$G,$A55),0)</f>
        <v>0</v>
      </c>
      <c r="H55" s="133">
        <f>ROUNDUP(SUMIFS('ВБ Отчет Продажи (за 60 дней)'!$L:$L,'ВБ Отчет Продажи (за 60 дней)'!$K:$K,"Тула",'ВБ Отчет Продажи (за 60 дней)'!$G:$G,$A55),0)</f>
        <v>0</v>
      </c>
      <c r="I55" s="134">
        <f>ROUNDUP(SUMIFS('ВБ Отчет Продажи (за 60 дней)'!$L:$L,'ВБ Отчет Продажи (за 60 дней)'!$K:$K,"Рязань (Тюшевское)",'ВБ Отчет Продажи (за 60 дней)'!$G:$G,$A55),0)</f>
        <v>0</v>
      </c>
      <c r="J55" s="136">
        <f>ROUNDUP(SUMIFS('ВБ Отчет Продажи (за 60 дней)'!$L:$L,'ВБ Отчет Продажи (за 60 дней)'!$K:$K,"Краснодар",'ВБ Отчет Продажи (за 60 дней)'!$G:$G,$A55),0)</f>
        <v>0</v>
      </c>
      <c r="K55" s="133">
        <f>ROUNDUP(SUMIFS('ВБ Отчет Продажи (за 60 дней)'!$L:$L,'ВБ Отчет Продажи (за 60 дней)'!$K:$K,"Невинномысск",'ВБ Отчет Продажи (за 60 дней)'!$G:$G,$A55),0)</f>
        <v>0</v>
      </c>
      <c r="L55" s="137">
        <f>ROUNDUP(SUMIFS('ВБ Отчет Продажи (за 60 дней)'!$L:$L,'ВБ Отчет Продажи (за 60 дней)'!$K:$K,"Волгоград",'ВБ Отчет Продажи (за 60 дней)'!$G:$G,$A55),0)</f>
        <v>0</v>
      </c>
      <c r="M55" s="136">
        <f>ROUNDUP(SUMIFS('ВБ Отчет Продажи (за 60 дней)'!$L:$L,'ВБ Отчет Продажи (за 60 дней)'!$K:$K,"Самара (Новосемейкино)",'ВБ Отчет Продажи (за 60 дней)'!$G:$G,$A55),0)</f>
        <v>0</v>
      </c>
      <c r="N55" s="137">
        <f>ROUNDUP(SUMIFS('ВБ Отчет Продажи (за 60 дней)'!$L:$L,'ВБ Отчет Продажи (за 60 дней)'!$K:$K,"Казань",'ВБ Отчет Продажи (за 60 дней)'!$G:$G,$A55),0)</f>
        <v>0</v>
      </c>
      <c r="O55" s="137">
        <f>ROUNDUP(SUMIFS('ВБ Отчет Продажи (за 60 дней)'!$L:$L,'ВБ Отчет Продажи (за 60 дней)'!$K:$K,"СПБ Шушары",'ВБ Отчет Продажи (за 60 дней)'!$G:$G,$A55),0)</f>
        <v>0</v>
      </c>
      <c r="P55" s="151">
        <f>ROUNDUP(SUMIFS('ВБ Отчет Продажи (за 60 дней)'!$L:$L,'ВБ Отчет Продажи (за 60 дней)'!$K:$K,"Екатеринбург - Перспективный 12",'ВБ Отчет Продажи (за 60 дней)'!$G:$G,$A55),0)</f>
        <v>0</v>
      </c>
      <c r="Q55" s="149">
        <f>ROUNDUP(SUMIFS('ВБ Отчет Продажи (за 60 дней)'!$L:$L,'ВБ Отчет Продажи (за 60 дней)'!$K:$K,"Новосибирск",'ВБ Отчет Продажи (за 60 дней)'!$G:$G,$A55),0)</f>
        <v>0</v>
      </c>
      <c r="R55" s="131">
        <f>SUM(F55:Q55)</f>
        <v>0</v>
      </c>
      <c r="S55" s="139">
        <f>SUMIFS('ОЗОН Оборот ведом (за 60 дней)'!I:I,'ОЗОН Оборот ведом (за 60 дней)'!A:A,B55)</f>
        <v>0</v>
      </c>
      <c r="T55" s="140">
        <f>SUM(R55:S55)</f>
        <v>0</v>
      </c>
      <c r="U55" s="6">
        <f>SUMIFS('ВБ Отчет Продажи (за 60 дней)'!$P:$P,'ВБ Отчет Продажи (за 60 дней)'!$K:$K,"Электросталь",'ВБ Отчет Продажи (за 60 дней)'!$G:$G,$A55)</f>
        <v>0</v>
      </c>
      <c r="V55" s="7">
        <f>SUMIFS('ВБ Отчет Продажи (за 60 дней)'!$P:$P,'ВБ Отчет Продажи (за 60 дней)'!$K:$K,"Коледино",'ВБ Отчет Продажи (за 60 дней)'!$G:$G,$A55)</f>
        <v>0</v>
      </c>
      <c r="W55" s="7">
        <f>SUMIFS('ВБ Отчет Продажи (за 60 дней)'!$P:$P,'ВБ Отчет Продажи (за 60 дней)'!$K:$K,"Тула",'ВБ Отчет Продажи (за 60 дней)'!$G:$G,$A55)</f>
        <v>0</v>
      </c>
      <c r="X55" s="7">
        <f>SUMIFS('ВБ Отчет Продажи (за 60 дней)'!$P:$P,'ВБ Отчет Продажи (за 60 дней)'!$K:$K,"Рязань (Тюшевское)",'ВБ Отчет Продажи (за 60 дней)'!$G:$G,$A55)</f>
        <v>0</v>
      </c>
      <c r="Y55" s="27">
        <f>SUMIFS('ВБ Отчет Продажи (за 60 дней)'!$P:$P,'ВБ Отчет Продажи (за 60 дней)'!$K:$K,"Краснодар",'ВБ Отчет Продажи (за 60 дней)'!$G:$G,$A55)</f>
        <v>0</v>
      </c>
      <c r="Z55" s="7">
        <f>SUMIFS('ВБ Отчет Продажи (за 60 дней)'!$P:$P,'ВБ Отчет Продажи (за 60 дней)'!$K:$K,"Невинномысск",'ВБ Отчет Продажи (за 60 дней)'!$G:$G,$A55)</f>
        <v>0</v>
      </c>
      <c r="AA55" s="104">
        <f>SUMIFS('ВБ Отчет Продажи (за 60 дней)'!$P:$P,'ВБ Отчет Продажи (за 60 дней)'!$K:$K,"Волгоград",'ВБ Отчет Продажи (за 60 дней)'!$G:$G,$A55)</f>
        <v>0</v>
      </c>
      <c r="AB55" s="27">
        <f>SUMIFS('ВБ Отчет Продажи (за 60 дней)'!$P:$P,'ВБ Отчет Продажи (за 60 дней)'!$K:$K,"Самара (Новосемейкино)",'ВБ Отчет Продажи (за 60 дней)'!$G:$G,$A55)</f>
        <v>0</v>
      </c>
      <c r="AC55" s="104">
        <f>SUMIFS('ВБ Отчет Продажи (за 60 дней)'!$P:$P,'ВБ Отчет Продажи (за 60 дней)'!$K:$K,"Казань",'ВБ Отчет Продажи (за 60 дней)'!$G:$G,$A55)</f>
        <v>0</v>
      </c>
      <c r="AD55" s="104">
        <f>SUMIFS('ВБ Отчет Продажи (за 60 дней)'!$P:$P,'ВБ Отчет Продажи (за 60 дней)'!$K:$K,"СПБ Шушары",'ВБ Отчет Продажи (за 60 дней)'!$G:$G,$A55)</f>
        <v>0</v>
      </c>
      <c r="AE55" s="153">
        <f>SUMIFS('ВБ Отчет Продажи (за 60 дней)'!$P:$P,'ВБ Отчет Продажи (за 60 дней)'!$K:$K,"Екатеринбург - Перспективный 12",'ВБ Отчет Продажи (за 60 дней)'!$G:$G,$A55)</f>
        <v>0</v>
      </c>
      <c r="AF55" s="102">
        <f>SUMIFS('ВБ Отчет Продажи (за 60 дней)'!$P:$P,'ВБ Отчет Продажи (за 60 дней)'!$K:$K,"Новосибирск",'ВБ Отчет Продажи (за 60 дней)'!$G:$G,$A55)</f>
        <v>0</v>
      </c>
      <c r="AG55" s="124">
        <f>SUM(U55:AF55)</f>
        <v>0</v>
      </c>
      <c r="AH55" s="7">
        <f t="shared" si="10"/>
        <v>0</v>
      </c>
      <c r="AI55" s="213">
        <f>SUMIFS('ОЗОН Оборот ведом (за 60 дней)'!J:J,'ОЗОН Оборот ведом (за 60 дней)'!A:A,B55)</f>
        <v>0</v>
      </c>
      <c r="AJ55" s="21">
        <f>AG55+AI55</f>
        <v>0</v>
      </c>
      <c r="AK55" s="7" t="str" cm="1">
        <f t="array" ref="AK55">IFERROR(_xlfn.IFS((F55-U55)&gt;0,F55/$R$1*$AY$1-U55,F55+U55=0,"нов"),0)</f>
        <v>нов</v>
      </c>
      <c r="AL55" s="7" t="str" cm="1">
        <f t="array" ref="AL55">IFERROR(_xlfn.IFS((G55-V55)&gt;0,G55/$R$1*$AY$1-V55,G55+V55=0,"нов"),0)</f>
        <v>нов</v>
      </c>
      <c r="AM55" s="7" t="str" cm="1">
        <f t="array" ref="AM55">IFERROR(_xlfn.IFS((H55-W55)&gt;0,H55/$R$1*$AY$1-W55,H55+W55=0,"нов"),0)</f>
        <v>нов</v>
      </c>
      <c r="AN55" s="7" t="str" cm="1">
        <f t="array" ref="AN55">IFERROR(_xlfn.IFS((I55-X55)&gt;0,I55/$R$1*$AY$1-X55,I55+X55=0,"нов"),0)</f>
        <v>нов</v>
      </c>
      <c r="AO55" s="27" t="str" cm="1">
        <f t="array" ref="AO55">IFERROR(_xlfn.IFS((J55-Y55)&gt;0,J55/$R$1*$AY$1-Y55,J55+Y55=0,"нов"),0)</f>
        <v>нов</v>
      </c>
      <c r="AP55" s="7" t="str" cm="1">
        <f t="array" ref="AP55">IFERROR(_xlfn.IFS((K55-Z55)&gt;0,K55/$R$1*$AY$1-Z55,K55+Z55=0,"нов"),0)</f>
        <v>нов</v>
      </c>
      <c r="AQ55" s="104" t="str" cm="1">
        <f t="array" ref="AQ55">IFERROR(_xlfn.IFS((L55-AA55)&gt;0,L55/$R$1*$AY$1-AA55,L55+AA55=0,"нов"),0)</f>
        <v>нов</v>
      </c>
      <c r="AR55" s="27" t="str" cm="1">
        <f t="array" ref="AR55">IFERROR(_xlfn.IFS((M55-AB55)&gt;0,M55/$R$1*$AY$1-AB55,M55+AB55=0,"нов"),0)</f>
        <v>нов</v>
      </c>
      <c r="AS55" s="104" t="str" cm="1">
        <f t="array" ref="AS55">IFERROR(_xlfn.IFS((N55-AC55)&gt;0,N55/$R$1*$AY$1-AC55,N55+AC55=0,"нов"),0)</f>
        <v>нов</v>
      </c>
      <c r="AT55" s="104" t="str" cm="1">
        <f t="array" ref="AT55">IFERROR(_xlfn.IFS((O55-AD55)&gt;0,O55/$R$1*$AY$1-AD55,O55+AD55=0,"нов"),0)</f>
        <v>нов</v>
      </c>
      <c r="AU55" s="7" t="str" cm="1">
        <f t="array" ref="AU55">IFERROR(_xlfn.IFS((P55-AE55)&gt;0,P55/$R$1*$AY$1-AE55,P55+AE55=0,"нов"),0)</f>
        <v>нов</v>
      </c>
      <c r="AV55" s="7" t="str" cm="1">
        <f t="array" ref="AV55">IFERROR(_xlfn.IFS((Q55-AF55)&gt;0,Q55/$R$1*$AY$1-AF55,Q55+AF55=0,"нов"),0)</f>
        <v>нов</v>
      </c>
      <c r="AW55" s="141">
        <f>SUM(AK55:AV55)</f>
        <v>0</v>
      </c>
      <c r="AX55" s="218">
        <f>SUMIF('ОЗОН Доступн товара'!D:D,_xlfn.XLOOKUP($B55,'ОЗОН Доступн товара'!$A:$A,'ОЗОН Доступн товара'!$D:$D,0))</f>
        <v>0</v>
      </c>
      <c r="AY55" s="226">
        <f t="shared" si="13"/>
        <v>0</v>
      </c>
      <c r="AZ55" s="7" t="str">
        <f t="shared" si="14"/>
        <v>нов</v>
      </c>
      <c r="BA55" s="7" t="str">
        <f t="shared" si="15"/>
        <v>нов</v>
      </c>
      <c r="BB55" s="7" t="str">
        <f t="shared" si="16"/>
        <v>нов</v>
      </c>
      <c r="BC55" s="7" t="str">
        <f t="shared" si="17"/>
        <v>нов</v>
      </c>
      <c r="BD55" s="27" t="str">
        <f t="shared" si="18"/>
        <v>нов</v>
      </c>
      <c r="BE55" s="7" t="str">
        <f t="shared" si="19"/>
        <v>нов</v>
      </c>
      <c r="BF55" s="104" t="str">
        <f t="shared" si="20"/>
        <v>нов</v>
      </c>
      <c r="BG55" s="27" t="str">
        <f t="shared" si="21"/>
        <v>нов</v>
      </c>
      <c r="BH55" s="104" t="str">
        <f t="shared" si="22"/>
        <v>нов</v>
      </c>
      <c r="BI55" s="7" t="str">
        <f t="shared" si="23"/>
        <v>нов</v>
      </c>
      <c r="BJ55" s="153" t="str">
        <f t="shared" si="24"/>
        <v>нов</v>
      </c>
      <c r="BK55" s="7" t="str">
        <f t="shared" si="25"/>
        <v>нов</v>
      </c>
      <c r="BL55" s="6">
        <f>SUM(AZ55:BK55)</f>
        <v>0</v>
      </c>
      <c r="BM55" s="6">
        <f>AX55*1.3</f>
        <v>0</v>
      </c>
      <c r="BN55" s="28">
        <f>SUM(BL55:BM55)</f>
        <v>0</v>
      </c>
      <c r="BO55" s="73">
        <f>IFERROR(_xlfn.XLOOKUP(A55,'[2] Расчет стоимости и веса'!$I:$I,'[2] Расчет стоимости и веса'!$D:$D),0)</f>
        <v>0</v>
      </c>
      <c r="BP55" s="227">
        <f t="shared" si="29"/>
        <v>0</v>
      </c>
      <c r="BQ55" s="8"/>
      <c r="BR55" s="155"/>
      <c r="BS55" s="12"/>
      <c r="BT55" s="12"/>
      <c r="BU55" s="229"/>
      <c r="BV55" s="12"/>
      <c r="BW55" s="12"/>
      <c r="BY55" s="231"/>
      <c r="BZ55" s="232"/>
      <c r="CA55" s="155"/>
      <c r="CB55" s="157"/>
      <c r="CC55" s="57"/>
      <c r="CD55" s="12"/>
      <c r="CE55" s="146">
        <f t="shared" si="5"/>
        <v>0</v>
      </c>
      <c r="CF55" s="69">
        <f t="shared" si="6"/>
        <v>0</v>
      </c>
      <c r="CG55" s="45">
        <f t="shared" si="7"/>
        <v>0</v>
      </c>
    </row>
    <row r="56" spans="1:85" s="176" customFormat="1" ht="14.1" customHeight="1">
      <c r="A56" s="242">
        <f>[1]Юнит!A58</f>
        <v>186826338</v>
      </c>
      <c r="B56" s="243">
        <f>[1]Юнит!B58</f>
        <v>1980946313</v>
      </c>
      <c r="C56" s="242" t="str">
        <f>[1]Юнит!C58</f>
        <v>ACRA7TB201BC</v>
      </c>
      <c r="D56" s="244" t="str">
        <f>[1]Юнит!D58</f>
        <v>Таблетница прям 7*2 черн</v>
      </c>
      <c r="E56" s="90">
        <f>[1]Юнит!E58</f>
        <v>2038891723249</v>
      </c>
      <c r="F56" s="189">
        <f>ROUNDUP(SUMIFS('ВБ Отчет Продажи (за 60 дней)'!$L:$L,'ВБ Отчет Продажи (за 60 дней)'!$K:$K,"Электросталь",'ВБ Отчет Продажи (за 60 дней)'!$G:$G,$A56),0)</f>
        <v>75</v>
      </c>
      <c r="G56" s="190">
        <f>ROUNDUP(SUMIFS('ВБ Отчет Продажи (за 60 дней)'!$L:$L,'ВБ Отчет Продажи (за 60 дней)'!$K:$K,"Коледино",'ВБ Отчет Продажи (за 60 дней)'!$G:$G,$A56),0)</f>
        <v>5</v>
      </c>
      <c r="H56" s="190">
        <f>ROUNDUP(SUMIFS('ВБ Отчет Продажи (за 60 дней)'!$L:$L,'ВБ Отчет Продажи (за 60 дней)'!$K:$K,"Тула",'ВБ Отчет Продажи (за 60 дней)'!$G:$G,$A56),0)</f>
        <v>1</v>
      </c>
      <c r="I56" s="191">
        <f>ROUNDUP(SUMIFS('ВБ Отчет Продажи (за 60 дней)'!$L:$L,'ВБ Отчет Продажи (за 60 дней)'!$K:$K,"Рязань (Тюшевское)",'ВБ Отчет Продажи (за 60 дней)'!$G:$G,$A56),0)</f>
        <v>7</v>
      </c>
      <c r="J56" s="192">
        <f>ROUNDUP(SUMIFS('ВБ Отчет Продажи (за 60 дней)'!$L:$L,'ВБ Отчет Продажи (за 60 дней)'!$K:$K,"Краснодар",'ВБ Отчет Продажи (за 60 дней)'!$G:$G,$A56),0)</f>
        <v>14</v>
      </c>
      <c r="K56" s="190">
        <f>ROUNDUP(SUMIFS('ВБ Отчет Продажи (за 60 дней)'!$L:$L,'ВБ Отчет Продажи (за 60 дней)'!$K:$K,"Невинномысск",'ВБ Отчет Продажи (за 60 дней)'!$G:$G,$A56),0)</f>
        <v>8</v>
      </c>
      <c r="L56" s="193">
        <f>ROUNDUP(SUMIFS('ВБ Отчет Продажи (за 60 дней)'!$L:$L,'ВБ Отчет Продажи (за 60 дней)'!$K:$K,"Волгоград",'ВБ Отчет Продажи (за 60 дней)'!$G:$G,$A56),0)</f>
        <v>1</v>
      </c>
      <c r="M56" s="192">
        <f>ROUNDUP(SUMIFS('ВБ Отчет Продажи (за 60 дней)'!$L:$L,'ВБ Отчет Продажи (за 60 дней)'!$K:$K,"Самара (Новосемейкино)",'ВБ Отчет Продажи (за 60 дней)'!$G:$G,$A56),0)</f>
        <v>29</v>
      </c>
      <c r="N56" s="193">
        <f>ROUNDUP(SUMIFS('ВБ Отчет Продажи (за 60 дней)'!$L:$L,'ВБ Отчет Продажи (за 60 дней)'!$K:$K,"Казань",'ВБ Отчет Продажи (за 60 дней)'!$G:$G,$A56),0)</f>
        <v>0</v>
      </c>
      <c r="O56" s="193">
        <f>ROUNDUP(SUMIFS('ВБ Отчет Продажи (за 60 дней)'!$L:$L,'ВБ Отчет Продажи (за 60 дней)'!$K:$K,"СПБ Шушары",'ВБ Отчет Продажи (за 60 дней)'!$G:$G,$A56),0)</f>
        <v>4</v>
      </c>
      <c r="P56" s="194">
        <f>ROUNDUP(SUMIFS('ВБ Отчет Продажи (за 60 дней)'!$L:$L,'ВБ Отчет Продажи (за 60 дней)'!$K:$K,"Екатеринбург - Перспективный 12",'ВБ Отчет Продажи (за 60 дней)'!$G:$G,$A56),0)</f>
        <v>0</v>
      </c>
      <c r="Q56" s="195">
        <f>ROUNDUP(SUMIFS('ВБ Отчет Продажи (за 60 дней)'!$L:$L,'ВБ Отчет Продажи (за 60 дней)'!$K:$K,"Новосибирск",'ВБ Отчет Продажи (за 60 дней)'!$G:$G,$A56),0)</f>
        <v>0</v>
      </c>
      <c r="R56" s="196">
        <f>SUM(F56:Q56)</f>
        <v>144</v>
      </c>
      <c r="S56" s="197">
        <f>SUMIFS('ОЗОН Оборот ведом (за 60 дней)'!I:I,'ОЗОН Оборот ведом (за 60 дней)'!A:A,B56)</f>
        <v>42</v>
      </c>
      <c r="T56" s="198">
        <f>SUM(R56:S56)</f>
        <v>186</v>
      </c>
      <c r="U56" s="177">
        <f>SUMIFS('ВБ Отчет Продажи (за 60 дней)'!$P:$P,'ВБ Отчет Продажи (за 60 дней)'!$K:$K,"Электросталь",'ВБ Отчет Продажи (за 60 дней)'!$G:$G,$A56)</f>
        <v>72</v>
      </c>
      <c r="V56" s="175">
        <f>SUMIFS('ВБ Отчет Продажи (за 60 дней)'!$P:$P,'ВБ Отчет Продажи (за 60 дней)'!$K:$K,"Коледино",'ВБ Отчет Продажи (за 60 дней)'!$G:$G,$A56)</f>
        <v>0</v>
      </c>
      <c r="W56" s="175">
        <f>SUMIFS('ВБ Отчет Продажи (за 60 дней)'!$P:$P,'ВБ Отчет Продажи (за 60 дней)'!$K:$K,"Тула",'ВБ Отчет Продажи (за 60 дней)'!$G:$G,$A56)</f>
        <v>0</v>
      </c>
      <c r="X56" s="175">
        <f>SUMIFS('ВБ Отчет Продажи (за 60 дней)'!$P:$P,'ВБ Отчет Продажи (за 60 дней)'!$K:$K,"Рязань (Тюшевское)",'ВБ Отчет Продажи (за 60 дней)'!$G:$G,$A56)</f>
        <v>82</v>
      </c>
      <c r="Y56" s="199">
        <f>SUMIFS('ВБ Отчет Продажи (за 60 дней)'!$P:$P,'ВБ Отчет Продажи (за 60 дней)'!$K:$K,"Краснодар",'ВБ Отчет Продажи (за 60 дней)'!$G:$G,$A56)</f>
        <v>21</v>
      </c>
      <c r="Z56" s="175">
        <f>SUMIFS('ВБ Отчет Продажи (за 60 дней)'!$P:$P,'ВБ Отчет Продажи (за 60 дней)'!$K:$K,"Невинномысск",'ВБ Отчет Продажи (за 60 дней)'!$G:$G,$A56)</f>
        <v>129</v>
      </c>
      <c r="AA56" s="200">
        <f>SUMIFS('ВБ Отчет Продажи (за 60 дней)'!$P:$P,'ВБ Отчет Продажи (за 60 дней)'!$K:$K,"Волгоград",'ВБ Отчет Продажи (за 60 дней)'!$G:$G,$A56)</f>
        <v>1</v>
      </c>
      <c r="AB56" s="199">
        <f>SUMIFS('ВБ Отчет Продажи (за 60 дней)'!$P:$P,'ВБ Отчет Продажи (за 60 дней)'!$K:$K,"Самара (Новосемейкино)",'ВБ Отчет Продажи (за 60 дней)'!$G:$G,$A56)</f>
        <v>65</v>
      </c>
      <c r="AC56" s="200">
        <f>SUMIFS('ВБ Отчет Продажи (за 60 дней)'!$P:$P,'ВБ Отчет Продажи (за 60 дней)'!$K:$K,"Казань",'ВБ Отчет Продажи (за 60 дней)'!$G:$G,$A56)</f>
        <v>0</v>
      </c>
      <c r="AD56" s="200">
        <f>SUMIFS('ВБ Отчет Продажи (за 60 дней)'!$P:$P,'ВБ Отчет Продажи (за 60 дней)'!$K:$K,"СПБ Шушары",'ВБ Отчет Продажи (за 60 дней)'!$G:$G,$A56)</f>
        <v>64</v>
      </c>
      <c r="AE56" s="178">
        <f>SUMIFS('ВБ Отчет Продажи (за 60 дней)'!$P:$P,'ВБ Отчет Продажи (за 60 дней)'!$K:$K,"Екатеринбург - Перспективный 12",'ВБ Отчет Продажи (за 60 дней)'!$G:$G,$A56)</f>
        <v>0</v>
      </c>
      <c r="AF56" s="201">
        <f>SUMIFS('ВБ Отчет Продажи (за 60 дней)'!$P:$P,'ВБ Отчет Продажи (за 60 дней)'!$K:$K,"Новосибирск",'ВБ Отчет Продажи (за 60 дней)'!$G:$G,$A56)</f>
        <v>0</v>
      </c>
      <c r="AG56" s="202">
        <f>SUM(U56:AF56)</f>
        <v>434</v>
      </c>
      <c r="AH56" s="7">
        <f t="shared" si="10"/>
        <v>180.83333333333334</v>
      </c>
      <c r="AI56" s="215">
        <f>SUMIFS('ОЗОН Оборот ведом (за 60 дней)'!J:J,'ОЗОН Оборот ведом (за 60 дней)'!A:A,B56)</f>
        <v>15</v>
      </c>
      <c r="AJ56" s="203">
        <f>AG56+AI56</f>
        <v>449</v>
      </c>
      <c r="AK56" s="175" cm="1">
        <f t="array" ref="AK56">IFERROR(_xlfn.IFS((F56-U56)&gt;0,F56/$R$1*$AY$1-U56,F56+U56=0,"нов"),0)</f>
        <v>3</v>
      </c>
      <c r="AL56" s="175" cm="1">
        <f t="array" ref="AL56">IFERROR(_xlfn.IFS((G56-V56)&gt;0,G56/$R$1*$AY$1-V56,G56+V56=0,"нов"),0)</f>
        <v>5</v>
      </c>
      <c r="AM56" s="175" cm="1">
        <f t="array" ref="AM56">IFERROR(_xlfn.IFS((H56-W56)&gt;0,H56/$R$1*$AY$1-W56,H56+W56=0,"нов"),0)</f>
        <v>1</v>
      </c>
      <c r="AN56" s="175" cm="1">
        <f t="array" ref="AN56">IFERROR(_xlfn.IFS((I56-X56)&gt;0,I56/$R$1*$AY$1-X56,I56+X56=0,"нов"),0)</f>
        <v>0</v>
      </c>
      <c r="AO56" s="199" cm="1">
        <f t="array" ref="AO56">IFERROR(_xlfn.IFS((J56-Y56)&gt;0,J56/$R$1*$AY$1-Y56,J56+Y56=0,"нов"),0)</f>
        <v>0</v>
      </c>
      <c r="AP56" s="175" cm="1">
        <f t="array" ref="AP56">IFERROR(_xlfn.IFS((K56-Z56)&gt;0,K56/$R$1*$AY$1-Z56,K56+Z56=0,"нов"),0)</f>
        <v>0</v>
      </c>
      <c r="AQ56" s="200" cm="1">
        <f t="array" ref="AQ56">IFERROR(_xlfn.IFS((L56-AA56)&gt;0,L56/$R$1*$AY$1-AA56,L56+AA56=0,"нов"),0)</f>
        <v>0</v>
      </c>
      <c r="AR56" s="199" cm="1">
        <f t="array" ref="AR56">IFERROR(_xlfn.IFS((M56-AB56)&gt;0,M56/$R$1*$AY$1-AB56,M56+AB56=0,"нов"),0)</f>
        <v>0</v>
      </c>
      <c r="AS56" s="200" t="str" cm="1">
        <f t="array" ref="AS56">IFERROR(_xlfn.IFS((N56-AC56)&gt;0,N56/$R$1*$AY$1-AC56,N56+AC56=0,"нов"),0)</f>
        <v>нов</v>
      </c>
      <c r="AT56" s="104" cm="1">
        <f t="array" ref="AT56">IFERROR(_xlfn.IFS((O56-AD56)&gt;0,O56/$R$1*$AY$1-AD56,O56+AD56=0,"нов"),0)</f>
        <v>0</v>
      </c>
      <c r="AU56" s="175" t="str" cm="1">
        <f t="array" ref="AU56">IFERROR(_xlfn.IFS((P56-AE56)&gt;0,P56/$R$1*$AY$1-AE56,P56+AE56=0,"нов"),0)</f>
        <v>нов</v>
      </c>
      <c r="AV56" s="175" t="str" cm="1">
        <f t="array" ref="AV56">IFERROR(_xlfn.IFS((Q56-AF56)&gt;0,Q56/$R$1*$AY$1-AF56,Q56+AF56=0,"нов"),0)</f>
        <v>нов</v>
      </c>
      <c r="AW56" s="204">
        <f>SUM(AK56:AV56)</f>
        <v>9</v>
      </c>
      <c r="AX56" s="220">
        <f>SUMIF('ОЗОН Доступн товара'!D:D,_xlfn.XLOOKUP($B56,'ОЗОН Доступн товара'!$A:$A,'ОЗОН Доступн товара'!$D:$D,0))</f>
        <v>8</v>
      </c>
      <c r="AY56" s="226">
        <f t="shared" si="13"/>
        <v>17</v>
      </c>
      <c r="AZ56" s="7">
        <f t="shared" si="14"/>
        <v>4</v>
      </c>
      <c r="BA56" s="7">
        <f t="shared" si="15"/>
        <v>7</v>
      </c>
      <c r="BB56" s="7">
        <f t="shared" si="16"/>
        <v>2</v>
      </c>
      <c r="BC56" s="7">
        <f t="shared" si="17"/>
        <v>0</v>
      </c>
      <c r="BD56" s="27">
        <f t="shared" si="18"/>
        <v>0</v>
      </c>
      <c r="BE56" s="7">
        <f t="shared" si="19"/>
        <v>0</v>
      </c>
      <c r="BF56" s="104">
        <f t="shared" si="20"/>
        <v>0</v>
      </c>
      <c r="BG56" s="27">
        <f t="shared" si="21"/>
        <v>0</v>
      </c>
      <c r="BH56" s="104" t="str">
        <f t="shared" si="22"/>
        <v>нов</v>
      </c>
      <c r="BI56" s="7">
        <f t="shared" si="23"/>
        <v>0</v>
      </c>
      <c r="BJ56" s="153" t="str">
        <f t="shared" si="24"/>
        <v>нов</v>
      </c>
      <c r="BK56" s="7" t="str">
        <f t="shared" si="25"/>
        <v>нов</v>
      </c>
      <c r="BL56" s="177">
        <f>SUM(AZ56:BK56)</f>
        <v>13</v>
      </c>
      <c r="BM56" s="177">
        <f>AX56*1.3</f>
        <v>10.4</v>
      </c>
      <c r="BN56" s="171">
        <f t="shared" si="28"/>
        <v>23.4</v>
      </c>
      <c r="BO56" s="73">
        <f>IFERROR(_xlfn.XLOOKUP(A56,'[2] Расчет стоимости и веса'!$I:$I,'[2] Расчет стоимости и веса'!$D:$D),0)</f>
        <v>72</v>
      </c>
      <c r="BP56" s="227">
        <f t="shared" si="29"/>
        <v>72</v>
      </c>
      <c r="BQ56" s="8"/>
      <c r="BR56" s="294">
        <v>20</v>
      </c>
      <c r="BS56" s="175"/>
      <c r="BT56" s="175"/>
      <c r="BU56" s="230"/>
      <c r="BV56" s="175"/>
      <c r="BW56" s="175"/>
      <c r="BY56" s="199"/>
      <c r="BZ56" s="200"/>
      <c r="CA56" s="177"/>
      <c r="CB56" s="254">
        <v>52</v>
      </c>
      <c r="CC56" s="179"/>
      <c r="CD56" s="12"/>
      <c r="CE56" s="146">
        <f>SUM(BR56:CD56)</f>
        <v>72</v>
      </c>
      <c r="CF56" s="69">
        <f>MAX(BO56,CE56)-BQ56</f>
        <v>72</v>
      </c>
      <c r="CG56" s="45">
        <f t="shared" si="7"/>
        <v>0</v>
      </c>
    </row>
    <row r="57" spans="1:85" ht="14.1" customHeight="1">
      <c r="A57" s="242">
        <f>[1]Юнит!A59</f>
        <v>419130077</v>
      </c>
      <c r="B57" s="243">
        <f>[1]Юнит!B59</f>
        <v>2168964833</v>
      </c>
      <c r="C57" s="242" t="str">
        <f>[1]Юнит!C59</f>
        <v>ACRA7TB201CL</v>
      </c>
      <c r="D57" s="244" t="str">
        <f>[1]Юнит!D59</f>
        <v>Таблетница прям 7*2 черн/цветн</v>
      </c>
      <c r="E57" s="90">
        <f>[1]Юнит!E59</f>
        <v>2044025155923</v>
      </c>
      <c r="F57" s="132">
        <f>ROUNDUP(SUMIFS('ВБ Отчет Продажи (за 60 дней)'!$L:$L,'ВБ Отчет Продажи (за 60 дней)'!$K:$K,"Электросталь",'ВБ Отчет Продажи (за 60 дней)'!$G:$G,$A57),0)</f>
        <v>17</v>
      </c>
      <c r="G57" s="133">
        <f>ROUNDUP(SUMIFS('ВБ Отчет Продажи (за 60 дней)'!$L:$L,'ВБ Отчет Продажи (за 60 дней)'!$K:$K,"Коледино",'ВБ Отчет Продажи (за 60 дней)'!$G:$G,$A57),0)</f>
        <v>3</v>
      </c>
      <c r="H57" s="133">
        <f>ROUNDUP(SUMIFS('ВБ Отчет Продажи (за 60 дней)'!$L:$L,'ВБ Отчет Продажи (за 60 дней)'!$K:$K,"Тула",'ВБ Отчет Продажи (за 60 дней)'!$G:$G,$A57),0)</f>
        <v>2</v>
      </c>
      <c r="I57" s="134">
        <f>ROUNDUP(SUMIFS('ВБ Отчет Продажи (за 60 дней)'!$L:$L,'ВБ Отчет Продажи (за 60 дней)'!$K:$K,"Рязань (Тюшевское)",'ВБ Отчет Продажи (за 60 дней)'!$G:$G,$A57),0)</f>
        <v>0</v>
      </c>
      <c r="J57" s="136">
        <f>ROUNDUP(SUMIFS('ВБ Отчет Продажи (за 60 дней)'!$L:$L,'ВБ Отчет Продажи (за 60 дней)'!$K:$K,"Краснодар",'ВБ Отчет Продажи (за 60 дней)'!$G:$G,$A57),0)</f>
        <v>2</v>
      </c>
      <c r="K57" s="133">
        <f>ROUNDUP(SUMIFS('ВБ Отчет Продажи (за 60 дней)'!$L:$L,'ВБ Отчет Продажи (за 60 дней)'!$K:$K,"Невинномысск",'ВБ Отчет Продажи (за 60 дней)'!$G:$G,$A57),0)</f>
        <v>2</v>
      </c>
      <c r="L57" s="137">
        <f>ROUNDUP(SUMIFS('ВБ Отчет Продажи (за 60 дней)'!$L:$L,'ВБ Отчет Продажи (за 60 дней)'!$K:$K,"Волгоград",'ВБ Отчет Продажи (за 60 дней)'!$G:$G,$A57),0)</f>
        <v>0</v>
      </c>
      <c r="M57" s="136">
        <f>ROUNDUP(SUMIFS('ВБ Отчет Продажи (за 60 дней)'!$L:$L,'ВБ Отчет Продажи (за 60 дней)'!$K:$K,"Самара (Новосемейкино)",'ВБ Отчет Продажи (за 60 дней)'!$G:$G,$A57),0)</f>
        <v>2</v>
      </c>
      <c r="N57" s="137">
        <f>ROUNDUP(SUMIFS('ВБ Отчет Продажи (за 60 дней)'!$L:$L,'ВБ Отчет Продажи (за 60 дней)'!$K:$K,"Казань",'ВБ Отчет Продажи (за 60 дней)'!$G:$G,$A57),0)</f>
        <v>0</v>
      </c>
      <c r="O57" s="137">
        <f>ROUNDUP(SUMIFS('ВБ Отчет Продажи (за 60 дней)'!$L:$L,'ВБ Отчет Продажи (за 60 дней)'!$K:$K,"СПБ Шушары",'ВБ Отчет Продажи (за 60 дней)'!$G:$G,$A57),0)</f>
        <v>4</v>
      </c>
      <c r="P57" s="151">
        <f>ROUNDUP(SUMIFS('ВБ Отчет Продажи (за 60 дней)'!$L:$L,'ВБ Отчет Продажи (за 60 дней)'!$K:$K,"Екатеринбург - Перспективный 12",'ВБ Отчет Продажи (за 60 дней)'!$G:$G,$A57),0)</f>
        <v>0</v>
      </c>
      <c r="Q57" s="149">
        <f>ROUNDUP(SUMIFS('ВБ Отчет Продажи (за 60 дней)'!$L:$L,'ВБ Отчет Продажи (за 60 дней)'!$K:$K,"Новосибирск",'ВБ Отчет Продажи (за 60 дней)'!$G:$G,$A57),0)</f>
        <v>0</v>
      </c>
      <c r="R57" s="165">
        <f t="shared" si="31"/>
        <v>32</v>
      </c>
      <c r="S57" s="166">
        <f>SUMIFS('ОЗОН Оборот ведом (за 60 дней)'!I:I,'ОЗОН Оборот ведом (за 60 дней)'!A:A,B57)</f>
        <v>24</v>
      </c>
      <c r="T57" s="167">
        <f t="shared" si="8"/>
        <v>56</v>
      </c>
      <c r="U57" s="6">
        <f>SUMIFS('ВБ Отчет Продажи (за 60 дней)'!$P:$P,'ВБ Отчет Продажи (за 60 дней)'!$K:$K,"Электросталь",'ВБ Отчет Продажи (за 60 дней)'!$G:$G,$A57)</f>
        <v>40</v>
      </c>
      <c r="V57" s="7">
        <f>SUMIFS('ВБ Отчет Продажи (за 60 дней)'!$P:$P,'ВБ Отчет Продажи (за 60 дней)'!$K:$K,"Коледино",'ВБ Отчет Продажи (за 60 дней)'!$G:$G,$A57)</f>
        <v>0</v>
      </c>
      <c r="W57" s="7">
        <f>SUMIFS('ВБ Отчет Продажи (за 60 дней)'!$P:$P,'ВБ Отчет Продажи (за 60 дней)'!$K:$K,"Тула",'ВБ Отчет Продажи (за 60 дней)'!$G:$G,$A57)</f>
        <v>0</v>
      </c>
      <c r="X57" s="7">
        <f>SUMIFS('ВБ Отчет Продажи (за 60 дней)'!$P:$P,'ВБ Отчет Продажи (за 60 дней)'!$K:$K,"Рязань (Тюшевское)",'ВБ Отчет Продажи (за 60 дней)'!$G:$G,$A57)</f>
        <v>1</v>
      </c>
      <c r="Y57" s="27">
        <f>SUMIFS('ВБ Отчет Продажи (за 60 дней)'!$P:$P,'ВБ Отчет Продажи (за 60 дней)'!$K:$K,"Краснодар",'ВБ Отчет Продажи (за 60 дней)'!$G:$G,$A57)</f>
        <v>19</v>
      </c>
      <c r="Z57" s="7">
        <f>SUMIFS('ВБ Отчет Продажи (за 60 дней)'!$P:$P,'ВБ Отчет Продажи (за 60 дней)'!$K:$K,"Невинномысск",'ВБ Отчет Продажи (за 60 дней)'!$G:$G,$A57)</f>
        <v>45</v>
      </c>
      <c r="AA57" s="104">
        <f>SUMIFS('ВБ Отчет Продажи (за 60 дней)'!$P:$P,'ВБ Отчет Продажи (за 60 дней)'!$K:$K,"Волгоград",'ВБ Отчет Продажи (за 60 дней)'!$G:$G,$A57)</f>
        <v>0</v>
      </c>
      <c r="AB57" s="27">
        <f>SUMIFS('ВБ Отчет Продажи (за 60 дней)'!$P:$P,'ВБ Отчет Продажи (за 60 дней)'!$K:$K,"Самара (Новосемейкино)",'ВБ Отчет Продажи (за 60 дней)'!$G:$G,$A57)</f>
        <v>40</v>
      </c>
      <c r="AC57" s="104">
        <f>SUMIFS('ВБ Отчет Продажи (за 60 дней)'!$P:$P,'ВБ Отчет Продажи (за 60 дней)'!$K:$K,"Казань",'ВБ Отчет Продажи (за 60 дней)'!$G:$G,$A57)</f>
        <v>0</v>
      </c>
      <c r="AD57" s="104">
        <f>SUMIFS('ВБ Отчет Продажи (за 60 дней)'!$P:$P,'ВБ Отчет Продажи (за 60 дней)'!$K:$K,"СПБ Шушары",'ВБ Отчет Продажи (за 60 дней)'!$G:$G,$A57)</f>
        <v>57</v>
      </c>
      <c r="AE57" s="153">
        <f>SUMIFS('ВБ Отчет Продажи (за 60 дней)'!$P:$P,'ВБ Отчет Продажи (за 60 дней)'!$K:$K,"Екатеринбург - Перспективный 12",'ВБ Отчет Продажи (за 60 дней)'!$G:$G,$A57)</f>
        <v>0</v>
      </c>
      <c r="AF57" s="102">
        <f>SUMIFS('ВБ Отчет Продажи (за 60 дней)'!$P:$P,'ВБ Отчет Продажи (за 60 дней)'!$K:$K,"Новосибирск",'ВБ Отчет Продажи (за 60 дней)'!$G:$G,$A57)</f>
        <v>0</v>
      </c>
      <c r="AG57" s="168">
        <f t="shared" si="9"/>
        <v>202</v>
      </c>
      <c r="AH57" s="7">
        <f t="shared" si="10"/>
        <v>378.75</v>
      </c>
      <c r="AI57" s="214">
        <f>SUMIFS('ОЗОН Оборот ведом (за 60 дней)'!J:J,'ОЗОН Оборот ведом (за 60 дней)'!A:A,B57)</f>
        <v>26</v>
      </c>
      <c r="AJ57" s="169">
        <f t="shared" si="11"/>
        <v>228</v>
      </c>
      <c r="AK57" s="7" cm="1">
        <f t="array" ref="AK57">IFERROR(_xlfn.IFS((F57-U57)&gt;0,F57/$R$1*$AY$1-U57,F57+U57=0,"нов"),0)</f>
        <v>0</v>
      </c>
      <c r="AL57" s="7" cm="1">
        <f t="array" ref="AL57">IFERROR(_xlfn.IFS((G57-V57)&gt;0,G57/$R$1*$AY$1-V57,G57+V57=0,"нов"),0)</f>
        <v>3</v>
      </c>
      <c r="AM57" s="7" cm="1">
        <f t="array" ref="AM57">IFERROR(_xlfn.IFS((H57-W57)&gt;0,H57/$R$1*$AY$1-W57,H57+W57=0,"нов"),0)</f>
        <v>2</v>
      </c>
      <c r="AN57" s="7" cm="1">
        <f t="array" ref="AN57">IFERROR(_xlfn.IFS((I57-X57)&gt;0,I57/$R$1*$AY$1-X57,I57+X57=0,"нов"),0)</f>
        <v>0</v>
      </c>
      <c r="AO57" s="27" cm="1">
        <f t="array" ref="AO57">IFERROR(_xlfn.IFS((J57-Y57)&gt;0,J57/$R$1*$AY$1-Y57,J57+Y57=0,"нов"),0)</f>
        <v>0</v>
      </c>
      <c r="AP57" s="7" cm="1">
        <f t="array" ref="AP57">IFERROR(_xlfn.IFS((K57-Z57)&gt;0,K57/$R$1*$AY$1-Z57,K57+Z57=0,"нов"),0)</f>
        <v>0</v>
      </c>
      <c r="AQ57" s="104" t="str" cm="1">
        <f t="array" ref="AQ57">IFERROR(_xlfn.IFS((L57-AA57)&gt;0,L57/$R$1*$AY$1-AA57,L57+AA57=0,"нов"),0)</f>
        <v>нов</v>
      </c>
      <c r="AR57" s="27" cm="1">
        <f t="array" ref="AR57">IFERROR(_xlfn.IFS((M57-AB57)&gt;0,M57/$R$1*$AY$1-AB57,M57+AB57=0,"нов"),0)</f>
        <v>0</v>
      </c>
      <c r="AS57" s="104" t="str" cm="1">
        <f t="array" ref="AS57">IFERROR(_xlfn.IFS((N57-AC57)&gt;0,N57/$R$1*$AY$1-AC57,N57+AC57=0,"нов"),0)</f>
        <v>нов</v>
      </c>
      <c r="AT57" s="104" cm="1">
        <f t="array" ref="AT57">IFERROR(_xlfn.IFS((O57-AD57)&gt;0,O57/$R$1*$AY$1-AD57,O57+AD57=0,"нов"),0)</f>
        <v>0</v>
      </c>
      <c r="AU57" s="7" t="str" cm="1">
        <f t="array" ref="AU57">IFERROR(_xlfn.IFS((P57-AE57)&gt;0,P57/$R$1*$AY$1-AE57,P57+AE57=0,"нов"),0)</f>
        <v>нов</v>
      </c>
      <c r="AV57" s="7" t="str" cm="1">
        <f t="array" ref="AV57">IFERROR(_xlfn.IFS((Q57-AF57)&gt;0,Q57/$R$1*$AY$1-AF57,Q57+AF57=0,"нов"),0)</f>
        <v>нов</v>
      </c>
      <c r="AW57" s="170">
        <f t="shared" si="12"/>
        <v>5</v>
      </c>
      <c r="AX57" s="219">
        <f>SUMIF('ОЗОН Доступн товара'!D:D,_xlfn.XLOOKUP($B57,'ОЗОН Доступн товара'!$A:$A,'ОЗОН Доступн товара'!$D:$D,0))</f>
        <v>62</v>
      </c>
      <c r="AY57" s="226">
        <f t="shared" si="13"/>
        <v>67</v>
      </c>
      <c r="AZ57" s="7">
        <f t="shared" si="14"/>
        <v>0</v>
      </c>
      <c r="BA57" s="7">
        <f t="shared" si="15"/>
        <v>4</v>
      </c>
      <c r="BB57" s="7">
        <f t="shared" si="16"/>
        <v>3</v>
      </c>
      <c r="BC57" s="7">
        <f t="shared" si="17"/>
        <v>0</v>
      </c>
      <c r="BD57" s="27">
        <f t="shared" si="18"/>
        <v>0</v>
      </c>
      <c r="BE57" s="7">
        <f t="shared" si="19"/>
        <v>0</v>
      </c>
      <c r="BF57" s="104" t="str">
        <f t="shared" si="20"/>
        <v>нов</v>
      </c>
      <c r="BG57" s="27">
        <f t="shared" si="21"/>
        <v>0</v>
      </c>
      <c r="BH57" s="104" t="str">
        <f t="shared" si="22"/>
        <v>нов</v>
      </c>
      <c r="BI57" s="7">
        <f t="shared" si="23"/>
        <v>0</v>
      </c>
      <c r="BJ57" s="153" t="str">
        <f t="shared" si="24"/>
        <v>нов</v>
      </c>
      <c r="BK57" s="7" t="str">
        <f t="shared" si="25"/>
        <v>нов</v>
      </c>
      <c r="BL57" s="6">
        <f t="shared" si="26"/>
        <v>7</v>
      </c>
      <c r="BM57" s="6">
        <f t="shared" si="27"/>
        <v>80.600000000000009</v>
      </c>
      <c r="BN57" s="171">
        <f t="shared" si="28"/>
        <v>87.600000000000009</v>
      </c>
      <c r="BO57" s="73">
        <f>IFERROR(_xlfn.XLOOKUP(A57,'[2] Расчет стоимости и веса'!$I:$I,'[2] Расчет стоимости и веса'!$D:$D),0)</f>
        <v>72</v>
      </c>
      <c r="BP57" s="227">
        <f t="shared" si="29"/>
        <v>72</v>
      </c>
      <c r="BQ57" s="8"/>
      <c r="BR57" s="155">
        <v>36</v>
      </c>
      <c r="BS57" s="12"/>
      <c r="BT57" s="12"/>
      <c r="BU57" s="229"/>
      <c r="BV57" s="12"/>
      <c r="BW57" s="12"/>
      <c r="BY57" s="231"/>
      <c r="BZ57" s="232"/>
      <c r="CA57" s="155"/>
      <c r="CB57" s="157">
        <v>36</v>
      </c>
      <c r="CC57" s="57"/>
      <c r="CD57" s="12"/>
      <c r="CE57" s="146">
        <f t="shared" si="5"/>
        <v>72</v>
      </c>
      <c r="CF57" s="69">
        <f t="shared" si="6"/>
        <v>72</v>
      </c>
      <c r="CG57" s="45">
        <f t="shared" si="7"/>
        <v>0</v>
      </c>
    </row>
    <row r="58" spans="1:85" ht="14.1" customHeight="1">
      <c r="A58" s="242">
        <f>[1]Юнит!A60</f>
        <v>448248943</v>
      </c>
      <c r="B58" s="243">
        <f>[1]Юнит!B60</f>
        <v>2409846808</v>
      </c>
      <c r="C58" s="242" t="str">
        <f>[1]Юнит!C60</f>
        <v>ACRA7TB201WH</v>
      </c>
      <c r="D58" s="244" t="str">
        <f>[1]Юнит!D60</f>
        <v>Таблетница прям 7*2 бел/цветн</v>
      </c>
      <c r="E58" s="90">
        <f>[1]Юнит!E60</f>
        <v>2044516485386</v>
      </c>
      <c r="F58" s="132">
        <f>ROUNDUP(SUMIFS('ВБ Отчет Продажи (за 60 дней)'!$L:$L,'ВБ Отчет Продажи (за 60 дней)'!$K:$K,"Электросталь",'ВБ Отчет Продажи (за 60 дней)'!$G:$G,$A58),0)</f>
        <v>3</v>
      </c>
      <c r="G58" s="133">
        <f>ROUNDUP(SUMIFS('ВБ Отчет Продажи (за 60 дней)'!$L:$L,'ВБ Отчет Продажи (за 60 дней)'!$K:$K,"Коледино",'ВБ Отчет Продажи (за 60 дней)'!$G:$G,$A58),0)</f>
        <v>16</v>
      </c>
      <c r="H58" s="133">
        <f>ROUNDUP(SUMIFS('ВБ Отчет Продажи (за 60 дней)'!$L:$L,'ВБ Отчет Продажи (за 60 дней)'!$K:$K,"Тула",'ВБ Отчет Продажи (за 60 дней)'!$G:$G,$A58),0)</f>
        <v>1</v>
      </c>
      <c r="I58" s="134">
        <f>ROUNDUP(SUMIFS('ВБ Отчет Продажи (за 60 дней)'!$L:$L,'ВБ Отчет Продажи (за 60 дней)'!$K:$K,"Рязань (Тюшевское)",'ВБ Отчет Продажи (за 60 дней)'!$G:$G,$A58),0)</f>
        <v>0</v>
      </c>
      <c r="J58" s="136">
        <f>ROUNDUP(SUMIFS('ВБ Отчет Продажи (за 60 дней)'!$L:$L,'ВБ Отчет Продажи (за 60 дней)'!$K:$K,"Краснодар",'ВБ Отчет Продажи (за 60 дней)'!$G:$G,$A58),0)</f>
        <v>6</v>
      </c>
      <c r="K58" s="133">
        <f>ROUNDUP(SUMIFS('ВБ Отчет Продажи (за 60 дней)'!$L:$L,'ВБ Отчет Продажи (за 60 дней)'!$K:$K,"Невинномысск",'ВБ Отчет Продажи (за 60 дней)'!$G:$G,$A58),0)</f>
        <v>2</v>
      </c>
      <c r="L58" s="137">
        <f>ROUNDUP(SUMIFS('ВБ Отчет Продажи (за 60 дней)'!$L:$L,'ВБ Отчет Продажи (за 60 дней)'!$K:$K,"Волгоград",'ВБ Отчет Продажи (за 60 дней)'!$G:$G,$A58),0)</f>
        <v>0</v>
      </c>
      <c r="M58" s="136">
        <f>ROUNDUP(SUMIFS('ВБ Отчет Продажи (за 60 дней)'!$L:$L,'ВБ Отчет Продажи (за 60 дней)'!$K:$K,"Самара (Новосемейкино)",'ВБ Отчет Продажи (за 60 дней)'!$G:$G,$A58),0)</f>
        <v>2</v>
      </c>
      <c r="N58" s="137">
        <f>ROUNDUP(SUMIFS('ВБ Отчет Продажи (за 60 дней)'!$L:$L,'ВБ Отчет Продажи (за 60 дней)'!$K:$K,"Казань",'ВБ Отчет Продажи (за 60 дней)'!$G:$G,$A58),0)</f>
        <v>0</v>
      </c>
      <c r="O58" s="137">
        <f>ROUNDUP(SUMIFS('ВБ Отчет Продажи (за 60 дней)'!$L:$L,'ВБ Отчет Продажи (за 60 дней)'!$K:$K,"СПБ Шушары",'ВБ Отчет Продажи (за 60 дней)'!$G:$G,$A58),0)</f>
        <v>4</v>
      </c>
      <c r="P58" s="151">
        <f>ROUNDUP(SUMIFS('ВБ Отчет Продажи (за 60 дней)'!$L:$L,'ВБ Отчет Продажи (за 60 дней)'!$K:$K,"Екатеринбург - Перспективный 12",'ВБ Отчет Продажи (за 60 дней)'!$G:$G,$A58),0)</f>
        <v>0</v>
      </c>
      <c r="Q58" s="149">
        <f>ROUNDUP(SUMIFS('ВБ Отчет Продажи (за 60 дней)'!$L:$L,'ВБ Отчет Продажи (за 60 дней)'!$K:$K,"Новосибирск",'ВБ Отчет Продажи (за 60 дней)'!$G:$G,$A58),0)</f>
        <v>0</v>
      </c>
      <c r="R58" s="131">
        <f t="shared" si="31"/>
        <v>34</v>
      </c>
      <c r="S58" s="139">
        <f>SUMIFS('ОЗОН Оборот ведом (за 60 дней)'!I:I,'ОЗОН Оборот ведом (за 60 дней)'!A:A,B58)</f>
        <v>13</v>
      </c>
      <c r="T58" s="140">
        <f t="shared" si="8"/>
        <v>47</v>
      </c>
      <c r="U58" s="6">
        <f>SUMIFS('ВБ Отчет Продажи (за 60 дней)'!$P:$P,'ВБ Отчет Продажи (за 60 дней)'!$K:$K,"Электросталь",'ВБ Отчет Продажи (за 60 дней)'!$G:$G,$A58)</f>
        <v>44</v>
      </c>
      <c r="V58" s="7">
        <f>SUMIFS('ВБ Отчет Продажи (за 60 дней)'!$P:$P,'ВБ Отчет Продажи (за 60 дней)'!$K:$K,"Коледино",'ВБ Отчет Продажи (за 60 дней)'!$G:$G,$A58)</f>
        <v>0</v>
      </c>
      <c r="W58" s="7">
        <f>SUMIFS('ВБ Отчет Продажи (за 60 дней)'!$P:$P,'ВБ Отчет Продажи (за 60 дней)'!$K:$K,"Тула",'ВБ Отчет Продажи (за 60 дней)'!$G:$G,$A58)</f>
        <v>0</v>
      </c>
      <c r="X58" s="7">
        <f>SUMIFS('ВБ Отчет Продажи (за 60 дней)'!$P:$P,'ВБ Отчет Продажи (за 60 дней)'!$K:$K,"Рязань (Тюшевское)",'ВБ Отчет Продажи (за 60 дней)'!$G:$G,$A58)</f>
        <v>0</v>
      </c>
      <c r="Y58" s="27">
        <f>SUMIFS('ВБ Отчет Продажи (за 60 дней)'!$P:$P,'ВБ Отчет Продажи (за 60 дней)'!$K:$K,"Краснодар",'ВБ Отчет Продажи (за 60 дней)'!$G:$G,$A58)</f>
        <v>21</v>
      </c>
      <c r="Z58" s="7">
        <f>SUMIFS('ВБ Отчет Продажи (за 60 дней)'!$P:$P,'ВБ Отчет Продажи (за 60 дней)'!$K:$K,"Невинномысск",'ВБ Отчет Продажи (за 60 дней)'!$G:$G,$A58)</f>
        <v>24</v>
      </c>
      <c r="AA58" s="104">
        <f>SUMIFS('ВБ Отчет Продажи (за 60 дней)'!$P:$P,'ВБ Отчет Продажи (за 60 дней)'!$K:$K,"Волгоград",'ВБ Отчет Продажи (за 60 дней)'!$G:$G,$A58)</f>
        <v>0</v>
      </c>
      <c r="AB58" s="27">
        <f>SUMIFS('ВБ Отчет Продажи (за 60 дней)'!$P:$P,'ВБ Отчет Продажи (за 60 дней)'!$K:$K,"Самара (Новосемейкино)",'ВБ Отчет Продажи (за 60 дней)'!$G:$G,$A58)</f>
        <v>25</v>
      </c>
      <c r="AC58" s="104">
        <f>SUMIFS('ВБ Отчет Продажи (за 60 дней)'!$P:$P,'ВБ Отчет Продажи (за 60 дней)'!$K:$K,"Казань",'ВБ Отчет Продажи (за 60 дней)'!$G:$G,$A58)</f>
        <v>0</v>
      </c>
      <c r="AD58" s="104">
        <f>SUMIFS('ВБ Отчет Продажи (за 60 дней)'!$P:$P,'ВБ Отчет Продажи (за 60 дней)'!$K:$K,"СПБ Шушары",'ВБ Отчет Продажи (за 60 дней)'!$G:$G,$A58)</f>
        <v>33</v>
      </c>
      <c r="AE58" s="153">
        <f>SUMIFS('ВБ Отчет Продажи (за 60 дней)'!$P:$P,'ВБ Отчет Продажи (за 60 дней)'!$K:$K,"Екатеринбург - Перспективный 12",'ВБ Отчет Продажи (за 60 дней)'!$G:$G,$A58)</f>
        <v>0</v>
      </c>
      <c r="AF58" s="102">
        <f>SUMIFS('ВБ Отчет Продажи (за 60 дней)'!$P:$P,'ВБ Отчет Продажи (за 60 дней)'!$K:$K,"Новосибирск",'ВБ Отчет Продажи (за 60 дней)'!$G:$G,$A58)</f>
        <v>0</v>
      </c>
      <c r="AG58" s="124">
        <f t="shared" si="9"/>
        <v>147</v>
      </c>
      <c r="AH58" s="7">
        <f t="shared" si="10"/>
        <v>259.41176470588238</v>
      </c>
      <c r="AI58" s="213">
        <f>SUMIFS('ОЗОН Оборот ведом (за 60 дней)'!J:J,'ОЗОН Оборот ведом (за 60 дней)'!A:A,B58)</f>
        <v>20</v>
      </c>
      <c r="AJ58" s="21">
        <f t="shared" si="11"/>
        <v>167</v>
      </c>
      <c r="AK58" s="7" cm="1">
        <f t="array" ref="AK58">IFERROR(_xlfn.IFS((F58-U58)&gt;0,F58/$R$1*$AY$1-U58,F58+U58=0,"нов"),0)</f>
        <v>0</v>
      </c>
      <c r="AL58" s="7" cm="1">
        <f t="array" ref="AL58">IFERROR(_xlfn.IFS((G58-V58)&gt;0,G58/$R$1*$AY$1-V58,G58+V58=0,"нов"),0)</f>
        <v>16</v>
      </c>
      <c r="AM58" s="7" cm="1">
        <f t="array" ref="AM58">IFERROR(_xlfn.IFS((H58-W58)&gt;0,H58/$R$1*$AY$1-W58,H58+W58=0,"нов"),0)</f>
        <v>1</v>
      </c>
      <c r="AN58" s="7" t="str" cm="1">
        <f t="array" ref="AN58">IFERROR(_xlfn.IFS((I58-X58)&gt;0,I58/$R$1*$AY$1-X58,I58+X58=0,"нов"),0)</f>
        <v>нов</v>
      </c>
      <c r="AO58" s="27" cm="1">
        <f t="array" ref="AO58">IFERROR(_xlfn.IFS((J58-Y58)&gt;0,J58/$R$1*$AY$1-Y58,J58+Y58=0,"нов"),0)</f>
        <v>0</v>
      </c>
      <c r="AP58" s="7" cm="1">
        <f t="array" ref="AP58">IFERROR(_xlfn.IFS((K58-Z58)&gt;0,K58/$R$1*$AY$1-Z58,K58+Z58=0,"нов"),0)</f>
        <v>0</v>
      </c>
      <c r="AQ58" s="104" t="str" cm="1">
        <f t="array" ref="AQ58">IFERROR(_xlfn.IFS((L58-AA58)&gt;0,L58/$R$1*$AY$1-AA58,L58+AA58=0,"нов"),0)</f>
        <v>нов</v>
      </c>
      <c r="AR58" s="27" cm="1">
        <f t="array" ref="AR58">IFERROR(_xlfn.IFS((M58-AB58)&gt;0,M58/$R$1*$AY$1-AB58,M58+AB58=0,"нов"),0)</f>
        <v>0</v>
      </c>
      <c r="AS58" s="104" t="str" cm="1">
        <f t="array" ref="AS58">IFERROR(_xlfn.IFS((N58-AC58)&gt;0,N58/$R$1*$AY$1-AC58,N58+AC58=0,"нов"),0)</f>
        <v>нов</v>
      </c>
      <c r="AT58" s="104" cm="1">
        <f t="array" ref="AT58">IFERROR(_xlfn.IFS((O58-AD58)&gt;0,O58/$R$1*$AY$1-AD58,O58+AD58=0,"нов"),0)</f>
        <v>0</v>
      </c>
      <c r="AU58" s="7" t="str" cm="1">
        <f t="array" ref="AU58">IFERROR(_xlfn.IFS((P58-AE58)&gt;0,P58/$R$1*$AY$1-AE58,P58+AE58=0,"нов"),0)</f>
        <v>нов</v>
      </c>
      <c r="AV58" s="7" t="str" cm="1">
        <f t="array" ref="AV58">IFERROR(_xlfn.IFS((Q58-AF58)&gt;0,Q58/$R$1*$AY$1-AF58,Q58+AF58=0,"нов"),0)</f>
        <v>нов</v>
      </c>
      <c r="AW58" s="141">
        <f t="shared" si="12"/>
        <v>17</v>
      </c>
      <c r="AX58" s="218">
        <f>SUMIF('ОЗОН Доступн товара'!D:D,_xlfn.XLOOKUP($B58,'ОЗОН Доступн товара'!$A:$A,'ОЗОН Доступн товара'!$D:$D,0))</f>
        <v>62</v>
      </c>
      <c r="AY58" s="226">
        <f t="shared" si="13"/>
        <v>79</v>
      </c>
      <c r="AZ58" s="7">
        <f t="shared" si="14"/>
        <v>0</v>
      </c>
      <c r="BA58" s="7">
        <f t="shared" si="15"/>
        <v>21</v>
      </c>
      <c r="BB58" s="7">
        <f t="shared" si="16"/>
        <v>2</v>
      </c>
      <c r="BC58" s="7" t="str">
        <f t="shared" si="17"/>
        <v>нов</v>
      </c>
      <c r="BD58" s="27">
        <f t="shared" si="18"/>
        <v>0</v>
      </c>
      <c r="BE58" s="7">
        <f t="shared" si="19"/>
        <v>0</v>
      </c>
      <c r="BF58" s="104" t="str">
        <f t="shared" si="20"/>
        <v>нов</v>
      </c>
      <c r="BG58" s="27">
        <f t="shared" si="21"/>
        <v>0</v>
      </c>
      <c r="BH58" s="104" t="str">
        <f t="shared" si="22"/>
        <v>нов</v>
      </c>
      <c r="BI58" s="7">
        <f t="shared" si="23"/>
        <v>0</v>
      </c>
      <c r="BJ58" s="153" t="str">
        <f t="shared" si="24"/>
        <v>нов</v>
      </c>
      <c r="BK58" s="7" t="str">
        <f t="shared" si="25"/>
        <v>нов</v>
      </c>
      <c r="BL58" s="6">
        <f t="shared" si="26"/>
        <v>23</v>
      </c>
      <c r="BM58" s="6">
        <f t="shared" si="27"/>
        <v>80.600000000000009</v>
      </c>
      <c r="BN58" s="28">
        <f t="shared" si="28"/>
        <v>103.60000000000001</v>
      </c>
      <c r="BO58" s="73">
        <f>IFERROR(_xlfn.XLOOKUP(A58,'[2] Расчет стоимости и веса'!$I:$I,'[2] Расчет стоимости и веса'!$D:$D),0)</f>
        <v>72</v>
      </c>
      <c r="BP58" s="227">
        <f t="shared" si="29"/>
        <v>72</v>
      </c>
      <c r="BQ58" s="8"/>
      <c r="BR58" s="155">
        <v>36</v>
      </c>
      <c r="BS58" s="12"/>
      <c r="BT58" s="12"/>
      <c r="BU58" s="229"/>
      <c r="BV58" s="12"/>
      <c r="BW58" s="12"/>
      <c r="BY58" s="231"/>
      <c r="BZ58" s="232"/>
      <c r="CA58" s="155"/>
      <c r="CB58" s="157">
        <v>36</v>
      </c>
      <c r="CC58" s="57"/>
      <c r="CD58" s="12"/>
      <c r="CE58" s="146">
        <f t="shared" si="5"/>
        <v>72</v>
      </c>
      <c r="CF58" s="69">
        <f t="shared" si="6"/>
        <v>72</v>
      </c>
      <c r="CG58" s="45">
        <f t="shared" si="7"/>
        <v>0</v>
      </c>
    </row>
    <row r="59" spans="1:85" ht="14.1" customHeight="1">
      <c r="A59" s="242">
        <f>[1]Юнит!A61</f>
        <v>448254852</v>
      </c>
      <c r="B59" s="243">
        <f>[1]Юнит!B61</f>
        <v>2409845343</v>
      </c>
      <c r="C59" s="242" t="str">
        <f>[1]Юнит!C61</f>
        <v>ACRA7TB201LI</v>
      </c>
      <c r="D59" s="244" t="str">
        <f>[1]Юнит!D61</f>
        <v>Таблетница прям 7*2 сирен/цветн</v>
      </c>
      <c r="E59" s="90">
        <f>[1]Юнит!E61</f>
        <v>2044516498812</v>
      </c>
      <c r="F59" s="132">
        <f>ROUNDUP(SUMIFS('ВБ Отчет Продажи (за 60 дней)'!$L:$L,'ВБ Отчет Продажи (за 60 дней)'!$K:$K,"Электросталь",'ВБ Отчет Продажи (за 60 дней)'!$G:$G,$A59),0)</f>
        <v>2</v>
      </c>
      <c r="G59" s="133">
        <f>ROUNDUP(SUMIFS('ВБ Отчет Продажи (за 60 дней)'!$L:$L,'ВБ Отчет Продажи (за 60 дней)'!$K:$K,"Коледино",'ВБ Отчет Продажи (за 60 дней)'!$G:$G,$A59),0)</f>
        <v>22</v>
      </c>
      <c r="H59" s="133">
        <f>ROUNDUP(SUMIFS('ВБ Отчет Продажи (за 60 дней)'!$L:$L,'ВБ Отчет Продажи (за 60 дней)'!$K:$K,"Тула",'ВБ Отчет Продажи (за 60 дней)'!$G:$G,$A59),0)</f>
        <v>0</v>
      </c>
      <c r="I59" s="134">
        <f>ROUNDUP(SUMIFS('ВБ Отчет Продажи (за 60 дней)'!$L:$L,'ВБ Отчет Продажи (за 60 дней)'!$K:$K,"Рязань (Тюшевское)",'ВБ Отчет Продажи (за 60 дней)'!$G:$G,$A59),0)</f>
        <v>0</v>
      </c>
      <c r="J59" s="136">
        <f>ROUNDUP(SUMIFS('ВБ Отчет Продажи (за 60 дней)'!$L:$L,'ВБ Отчет Продажи (за 60 дней)'!$K:$K,"Краснодар",'ВБ Отчет Продажи (за 60 дней)'!$G:$G,$A59),0)</f>
        <v>0</v>
      </c>
      <c r="K59" s="133">
        <f>ROUNDUP(SUMIFS('ВБ Отчет Продажи (за 60 дней)'!$L:$L,'ВБ Отчет Продажи (за 60 дней)'!$K:$K,"Невинномысск",'ВБ Отчет Продажи (за 60 дней)'!$G:$G,$A59),0)</f>
        <v>5</v>
      </c>
      <c r="L59" s="137">
        <f>ROUNDUP(SUMIFS('ВБ Отчет Продажи (за 60 дней)'!$L:$L,'ВБ Отчет Продажи (за 60 дней)'!$K:$K,"Волгоград",'ВБ Отчет Продажи (за 60 дней)'!$G:$G,$A59),0)</f>
        <v>0</v>
      </c>
      <c r="M59" s="136">
        <f>ROUNDUP(SUMIFS('ВБ Отчет Продажи (за 60 дней)'!$L:$L,'ВБ Отчет Продажи (за 60 дней)'!$K:$K,"Самара (Новосемейкино)",'ВБ Отчет Продажи (за 60 дней)'!$G:$G,$A59),0)</f>
        <v>1</v>
      </c>
      <c r="N59" s="137">
        <f>ROUNDUP(SUMIFS('ВБ Отчет Продажи (за 60 дней)'!$L:$L,'ВБ Отчет Продажи (за 60 дней)'!$K:$K,"Казань",'ВБ Отчет Продажи (за 60 дней)'!$G:$G,$A59),0)</f>
        <v>0</v>
      </c>
      <c r="O59" s="137">
        <f>ROUNDUP(SUMIFS('ВБ Отчет Продажи (за 60 дней)'!$L:$L,'ВБ Отчет Продажи (за 60 дней)'!$K:$K,"СПБ Шушары",'ВБ Отчет Продажи (за 60 дней)'!$G:$G,$A59),0)</f>
        <v>1</v>
      </c>
      <c r="P59" s="151">
        <f>ROUNDUP(SUMIFS('ВБ Отчет Продажи (за 60 дней)'!$L:$L,'ВБ Отчет Продажи (за 60 дней)'!$K:$K,"Екатеринбург - Перспективный 12",'ВБ Отчет Продажи (за 60 дней)'!$G:$G,$A59),0)</f>
        <v>0</v>
      </c>
      <c r="Q59" s="149">
        <f>ROUNDUP(SUMIFS('ВБ Отчет Продажи (за 60 дней)'!$L:$L,'ВБ Отчет Продажи (за 60 дней)'!$K:$K,"Новосибирск",'ВБ Отчет Продажи (за 60 дней)'!$G:$G,$A59),0)</f>
        <v>0</v>
      </c>
      <c r="R59" s="131">
        <f t="shared" si="31"/>
        <v>31</v>
      </c>
      <c r="S59" s="139">
        <f>SUMIFS('ОЗОН Оборот ведом (за 60 дней)'!I:I,'ОЗОН Оборот ведом (за 60 дней)'!A:A,B59)</f>
        <v>38</v>
      </c>
      <c r="T59" s="140">
        <f t="shared" si="8"/>
        <v>69</v>
      </c>
      <c r="U59" s="6">
        <f>SUMIFS('ВБ Отчет Продажи (за 60 дней)'!$P:$P,'ВБ Отчет Продажи (за 60 дней)'!$K:$K,"Электросталь",'ВБ Отчет Продажи (за 60 дней)'!$G:$G,$A59)</f>
        <v>40</v>
      </c>
      <c r="V59" s="7">
        <f>SUMIFS('ВБ Отчет Продажи (за 60 дней)'!$P:$P,'ВБ Отчет Продажи (за 60 дней)'!$K:$K,"Коледино",'ВБ Отчет Продажи (за 60 дней)'!$G:$G,$A59)</f>
        <v>15</v>
      </c>
      <c r="W59" s="7">
        <f>SUMIFS('ВБ Отчет Продажи (за 60 дней)'!$P:$P,'ВБ Отчет Продажи (за 60 дней)'!$K:$K,"Тула",'ВБ Отчет Продажи (за 60 дней)'!$G:$G,$A59)</f>
        <v>0</v>
      </c>
      <c r="X59" s="7">
        <f>SUMIFS('ВБ Отчет Продажи (за 60 дней)'!$P:$P,'ВБ Отчет Продажи (за 60 дней)'!$K:$K,"Рязань (Тюшевское)",'ВБ Отчет Продажи (за 60 дней)'!$G:$G,$A59)</f>
        <v>0</v>
      </c>
      <c r="Y59" s="27">
        <f>SUMIFS('ВБ Отчет Продажи (за 60 дней)'!$P:$P,'ВБ Отчет Продажи (за 60 дней)'!$K:$K,"Краснодар",'ВБ Отчет Продажи (за 60 дней)'!$G:$G,$A59)</f>
        <v>34</v>
      </c>
      <c r="Z59" s="7">
        <f>SUMIFS('ВБ Отчет Продажи (за 60 дней)'!$P:$P,'ВБ Отчет Продажи (за 60 дней)'!$K:$K,"Невинномысск",'ВБ Отчет Продажи (за 60 дней)'!$G:$G,$A59)</f>
        <v>15</v>
      </c>
      <c r="AA59" s="104">
        <f>SUMIFS('ВБ Отчет Продажи (за 60 дней)'!$P:$P,'ВБ Отчет Продажи (за 60 дней)'!$K:$K,"Волгоград",'ВБ Отчет Продажи (за 60 дней)'!$G:$G,$A59)</f>
        <v>0</v>
      </c>
      <c r="AB59" s="27">
        <f>SUMIFS('ВБ Отчет Продажи (за 60 дней)'!$P:$P,'ВБ Отчет Продажи (за 60 дней)'!$K:$K,"Самара (Новосемейкино)",'ВБ Отчет Продажи (за 60 дней)'!$G:$G,$A59)</f>
        <v>19</v>
      </c>
      <c r="AC59" s="104">
        <f>SUMIFS('ВБ Отчет Продажи (за 60 дней)'!$P:$P,'ВБ Отчет Продажи (за 60 дней)'!$K:$K,"Казань",'ВБ Отчет Продажи (за 60 дней)'!$G:$G,$A59)</f>
        <v>0</v>
      </c>
      <c r="AD59" s="104">
        <f>SUMIFS('ВБ Отчет Продажи (за 60 дней)'!$P:$P,'ВБ Отчет Продажи (за 60 дней)'!$K:$K,"СПБ Шушары",'ВБ Отчет Продажи (за 60 дней)'!$G:$G,$A59)</f>
        <v>35</v>
      </c>
      <c r="AE59" s="153">
        <f>SUMIFS('ВБ Отчет Продажи (за 60 дней)'!$P:$P,'ВБ Отчет Продажи (за 60 дней)'!$K:$K,"Екатеринбург - Перспективный 12",'ВБ Отчет Продажи (за 60 дней)'!$G:$G,$A59)</f>
        <v>0</v>
      </c>
      <c r="AF59" s="102">
        <f>SUMIFS('ВБ Отчет Продажи (за 60 дней)'!$P:$P,'ВБ Отчет Продажи (за 60 дней)'!$K:$K,"Новосибирск",'ВБ Отчет Продажи (за 60 дней)'!$G:$G,$A59)</f>
        <v>0</v>
      </c>
      <c r="AG59" s="124">
        <f t="shared" si="9"/>
        <v>158</v>
      </c>
      <c r="AH59" s="7">
        <f t="shared" si="10"/>
        <v>305.80645161290323</v>
      </c>
      <c r="AI59" s="213">
        <f>SUMIFS('ОЗОН Оборот ведом (за 60 дней)'!J:J,'ОЗОН Оборот ведом (за 60 дней)'!A:A,B59)</f>
        <v>15</v>
      </c>
      <c r="AJ59" s="21">
        <f t="shared" si="11"/>
        <v>173</v>
      </c>
      <c r="AK59" s="7" cm="1">
        <f t="array" ref="AK59">IFERROR(_xlfn.IFS((F59-U59)&gt;0,F59/$R$1*$AY$1-U59,F59+U59=0,"нов"),0)</f>
        <v>0</v>
      </c>
      <c r="AL59" s="7" cm="1">
        <f t="array" ref="AL59">IFERROR(_xlfn.IFS((G59-V59)&gt;0,G59/$R$1*$AY$1-V59,G59+V59=0,"нов"),0)</f>
        <v>7</v>
      </c>
      <c r="AM59" s="7" t="str" cm="1">
        <f t="array" ref="AM59">IFERROR(_xlfn.IFS((H59-W59)&gt;0,H59/$R$1*$AY$1-W59,H59+W59=0,"нов"),0)</f>
        <v>нов</v>
      </c>
      <c r="AN59" s="7" t="str" cm="1">
        <f t="array" ref="AN59">IFERROR(_xlfn.IFS((I59-X59)&gt;0,I59/$R$1*$AY$1-X59,I59+X59=0,"нов"),0)</f>
        <v>нов</v>
      </c>
      <c r="AO59" s="27" cm="1">
        <f t="array" ref="AO59">IFERROR(_xlfn.IFS((J59-Y59)&gt;0,J59/$R$1*$AY$1-Y59,J59+Y59=0,"нов"),0)</f>
        <v>0</v>
      </c>
      <c r="AP59" s="7" cm="1">
        <f t="array" ref="AP59">IFERROR(_xlfn.IFS((K59-Z59)&gt;0,K59/$R$1*$AY$1-Z59,K59+Z59=0,"нов"),0)</f>
        <v>0</v>
      </c>
      <c r="AQ59" s="104" t="str" cm="1">
        <f t="array" ref="AQ59">IFERROR(_xlfn.IFS((L59-AA59)&gt;0,L59/$R$1*$AY$1-AA59,L59+AA59=0,"нов"),0)</f>
        <v>нов</v>
      </c>
      <c r="AR59" s="27" cm="1">
        <f t="array" ref="AR59">IFERROR(_xlfn.IFS((M59-AB59)&gt;0,M59/$R$1*$AY$1-AB59,M59+AB59=0,"нов"),0)</f>
        <v>0</v>
      </c>
      <c r="AS59" s="104" t="str" cm="1">
        <f t="array" ref="AS59">IFERROR(_xlfn.IFS((N59-AC59)&gt;0,N59/$R$1*$AY$1-AC59,N59+AC59=0,"нов"),0)</f>
        <v>нов</v>
      </c>
      <c r="AT59" s="104" cm="1">
        <f t="array" ref="AT59">IFERROR(_xlfn.IFS((O59-AD59)&gt;0,O59/$R$1*$AY$1-AD59,O59+AD59=0,"нов"),0)</f>
        <v>0</v>
      </c>
      <c r="AU59" s="7" t="str" cm="1">
        <f t="array" ref="AU59">IFERROR(_xlfn.IFS((P59-AE59)&gt;0,P59/$R$1*$AY$1-AE59,P59+AE59=0,"нов"),0)</f>
        <v>нов</v>
      </c>
      <c r="AV59" s="7" t="str" cm="1">
        <f t="array" ref="AV59">IFERROR(_xlfn.IFS((Q59-AF59)&gt;0,Q59/$R$1*$AY$1-AF59,Q59+AF59=0,"нов"),0)</f>
        <v>нов</v>
      </c>
      <c r="AW59" s="141">
        <f t="shared" si="12"/>
        <v>7</v>
      </c>
      <c r="AX59" s="218">
        <f>SUMIF('ОЗОН Доступн товара'!D:D,_xlfn.XLOOKUP($B59,'ОЗОН Доступн товара'!$A:$A,'ОЗОН Доступн товара'!$D:$D,0))</f>
        <v>27</v>
      </c>
      <c r="AY59" s="226">
        <f t="shared" si="13"/>
        <v>34</v>
      </c>
      <c r="AZ59" s="7">
        <f t="shared" si="14"/>
        <v>0</v>
      </c>
      <c r="BA59" s="7">
        <f t="shared" si="15"/>
        <v>10</v>
      </c>
      <c r="BB59" s="7" t="str">
        <f t="shared" si="16"/>
        <v>нов</v>
      </c>
      <c r="BC59" s="7" t="str">
        <f t="shared" si="17"/>
        <v>нов</v>
      </c>
      <c r="BD59" s="27">
        <f t="shared" si="18"/>
        <v>0</v>
      </c>
      <c r="BE59" s="7">
        <f t="shared" si="19"/>
        <v>0</v>
      </c>
      <c r="BF59" s="104" t="str">
        <f t="shared" si="20"/>
        <v>нов</v>
      </c>
      <c r="BG59" s="27">
        <f t="shared" si="21"/>
        <v>0</v>
      </c>
      <c r="BH59" s="104" t="str">
        <f t="shared" si="22"/>
        <v>нов</v>
      </c>
      <c r="BI59" s="7">
        <f t="shared" si="23"/>
        <v>0</v>
      </c>
      <c r="BJ59" s="153" t="str">
        <f t="shared" si="24"/>
        <v>нов</v>
      </c>
      <c r="BK59" s="7" t="str">
        <f t="shared" si="25"/>
        <v>нов</v>
      </c>
      <c r="BL59" s="6">
        <f t="shared" si="26"/>
        <v>10</v>
      </c>
      <c r="BM59" s="6">
        <f t="shared" si="27"/>
        <v>35.1</v>
      </c>
      <c r="BN59" s="28">
        <f t="shared" si="28"/>
        <v>45.1</v>
      </c>
      <c r="BO59" s="73">
        <f>IFERROR(_xlfn.XLOOKUP(A59,'[2] Расчет стоимости и веса'!$I:$I,'[2] Расчет стоимости и веса'!$D:$D),0)</f>
        <v>36</v>
      </c>
      <c r="BP59" s="227">
        <f t="shared" si="29"/>
        <v>36</v>
      </c>
      <c r="BQ59" s="8"/>
      <c r="BR59" s="155"/>
      <c r="BS59" s="12"/>
      <c r="BT59" s="12"/>
      <c r="BU59" s="229"/>
      <c r="BV59" s="12"/>
      <c r="BW59" s="12"/>
      <c r="BY59" s="231"/>
      <c r="BZ59" s="232"/>
      <c r="CA59" s="155"/>
      <c r="CB59" s="157">
        <v>36</v>
      </c>
      <c r="CC59" s="57"/>
      <c r="CD59" s="12"/>
      <c r="CE59" s="146">
        <f t="shared" si="5"/>
        <v>36</v>
      </c>
      <c r="CF59" s="69">
        <f t="shared" si="6"/>
        <v>36</v>
      </c>
      <c r="CG59" s="45">
        <f t="shared" si="7"/>
        <v>0</v>
      </c>
    </row>
    <row r="60" spans="1:85" ht="14.1" hidden="1" customHeight="1">
      <c r="A60" s="240">
        <f>[1]Юнит!A62</f>
        <v>186800214</v>
      </c>
      <c r="B60" s="241">
        <f>[1]Юнит!B62</f>
        <v>2087001323</v>
      </c>
      <c r="C60" s="240" t="str">
        <f>[1]Юнит!C62</f>
        <v>ACRA7TB101BC</v>
      </c>
      <c r="D60" s="90" t="str">
        <f>[1]Юнит!D62</f>
        <v>Таблетница круглая 7*2 черн</v>
      </c>
      <c r="E60" s="90">
        <f>[1]Юнит!E62</f>
        <v>2038890789598</v>
      </c>
      <c r="F60" s="132">
        <f>ROUNDUP(SUMIFS('ВБ Отчет Продажи (за 60 дней)'!$L:$L,'ВБ Отчет Продажи (за 60 дней)'!$K:$K,"Электросталь",'ВБ Отчет Продажи (за 60 дней)'!$G:$G,$A60),0)</f>
        <v>2</v>
      </c>
      <c r="G60" s="133">
        <f>ROUNDUP(SUMIFS('ВБ Отчет Продажи (за 60 дней)'!$L:$L,'ВБ Отчет Продажи (за 60 дней)'!$K:$K,"Коледино",'ВБ Отчет Продажи (за 60 дней)'!$G:$G,$A60),0)</f>
        <v>4</v>
      </c>
      <c r="H60" s="133">
        <f>ROUNDUP(SUMIFS('ВБ Отчет Продажи (за 60 дней)'!$L:$L,'ВБ Отчет Продажи (за 60 дней)'!$K:$K,"Тула",'ВБ Отчет Продажи (за 60 дней)'!$G:$G,$A60),0)</f>
        <v>3</v>
      </c>
      <c r="I60" s="134">
        <f>ROUNDUP(SUMIFS('ВБ Отчет Продажи (за 60 дней)'!$L:$L,'ВБ Отчет Продажи (за 60 дней)'!$K:$K,"Рязань (Тюшевское)",'ВБ Отчет Продажи (за 60 дней)'!$G:$G,$A60),0)</f>
        <v>0</v>
      </c>
      <c r="J60" s="136">
        <f>ROUNDUP(SUMIFS('ВБ Отчет Продажи (за 60 дней)'!$L:$L,'ВБ Отчет Продажи (за 60 дней)'!$K:$K,"Краснодар",'ВБ Отчет Продажи (за 60 дней)'!$G:$G,$A60),0)</f>
        <v>0</v>
      </c>
      <c r="K60" s="133">
        <f>ROUNDUP(SUMIFS('ВБ Отчет Продажи (за 60 дней)'!$L:$L,'ВБ Отчет Продажи (за 60 дней)'!$K:$K,"Невинномысск",'ВБ Отчет Продажи (за 60 дней)'!$G:$G,$A60),0)</f>
        <v>1</v>
      </c>
      <c r="L60" s="137">
        <f>ROUNDUP(SUMIFS('ВБ Отчет Продажи (за 60 дней)'!$L:$L,'ВБ Отчет Продажи (за 60 дней)'!$K:$K,"Волгоград",'ВБ Отчет Продажи (за 60 дней)'!$G:$G,$A60),0)</f>
        <v>0</v>
      </c>
      <c r="M60" s="136">
        <f>ROUNDUP(SUMIFS('ВБ Отчет Продажи (за 60 дней)'!$L:$L,'ВБ Отчет Продажи (за 60 дней)'!$K:$K,"Самара (Новосемейкино)",'ВБ Отчет Продажи (за 60 дней)'!$G:$G,$A60),0)</f>
        <v>0</v>
      </c>
      <c r="N60" s="137">
        <f>ROUNDUP(SUMIFS('ВБ Отчет Продажи (за 60 дней)'!$L:$L,'ВБ Отчет Продажи (за 60 дней)'!$K:$K,"Казань",'ВБ Отчет Продажи (за 60 дней)'!$G:$G,$A60),0)</f>
        <v>0</v>
      </c>
      <c r="O60" s="137">
        <f>ROUNDUP(SUMIFS('ВБ Отчет Продажи (за 60 дней)'!$L:$L,'ВБ Отчет Продажи (за 60 дней)'!$K:$K,"СПБ Шушары",'ВБ Отчет Продажи (за 60 дней)'!$G:$G,$A60),0)</f>
        <v>2</v>
      </c>
      <c r="P60" s="151">
        <f>ROUNDUP(SUMIFS('ВБ Отчет Продажи (за 60 дней)'!$L:$L,'ВБ Отчет Продажи (за 60 дней)'!$K:$K,"Екатеринбург - Перспективный 12",'ВБ Отчет Продажи (за 60 дней)'!$G:$G,$A60),0)</f>
        <v>0</v>
      </c>
      <c r="Q60" s="149">
        <f>ROUNDUP(SUMIFS('ВБ Отчет Продажи (за 60 дней)'!$L:$L,'ВБ Отчет Продажи (за 60 дней)'!$K:$K,"Новосибирск",'ВБ Отчет Продажи (за 60 дней)'!$G:$G,$A60),0)</f>
        <v>0</v>
      </c>
      <c r="R60" s="131">
        <f t="shared" si="31"/>
        <v>12</v>
      </c>
      <c r="S60" s="139">
        <f>SUMIFS('ОЗОН Оборот ведом (за 60 дней)'!I:I,'ОЗОН Оборот ведом (за 60 дней)'!A:A,B60)</f>
        <v>0</v>
      </c>
      <c r="T60" s="255">
        <f t="shared" si="8"/>
        <v>12</v>
      </c>
      <c r="U60" s="6">
        <f>SUMIFS('ВБ Отчет Продажи (за 60 дней)'!$P:$P,'ВБ Отчет Продажи (за 60 дней)'!$K:$K,"Электросталь",'ВБ Отчет Продажи (за 60 дней)'!$G:$G,$A60)</f>
        <v>28</v>
      </c>
      <c r="V60" s="7">
        <f>SUMIFS('ВБ Отчет Продажи (за 60 дней)'!$P:$P,'ВБ Отчет Продажи (за 60 дней)'!$K:$K,"Коледино",'ВБ Отчет Продажи (за 60 дней)'!$G:$G,$A60)</f>
        <v>17</v>
      </c>
      <c r="W60" s="7">
        <f>SUMIFS('ВБ Отчет Продажи (за 60 дней)'!$P:$P,'ВБ Отчет Продажи (за 60 дней)'!$K:$K,"Тула",'ВБ Отчет Продажи (за 60 дней)'!$G:$G,$A60)</f>
        <v>15</v>
      </c>
      <c r="X60" s="7">
        <f>SUMIFS('ВБ Отчет Продажи (за 60 дней)'!$P:$P,'ВБ Отчет Продажи (за 60 дней)'!$K:$K,"Рязань (Тюшевское)",'ВБ Отчет Продажи (за 60 дней)'!$G:$G,$A60)</f>
        <v>30</v>
      </c>
      <c r="Y60" s="27">
        <f>SUMIFS('ВБ Отчет Продажи (за 60 дней)'!$P:$P,'ВБ Отчет Продажи (за 60 дней)'!$K:$K,"Краснодар",'ВБ Отчет Продажи (за 60 дней)'!$G:$G,$A60)</f>
        <v>11</v>
      </c>
      <c r="Z60" s="7">
        <f>SUMIFS('ВБ Отчет Продажи (за 60 дней)'!$P:$P,'ВБ Отчет Продажи (за 60 дней)'!$K:$K,"Невинномысск",'ВБ Отчет Продажи (за 60 дней)'!$G:$G,$A60)</f>
        <v>32</v>
      </c>
      <c r="AA60" s="104">
        <f>SUMIFS('ВБ Отчет Продажи (за 60 дней)'!$P:$P,'ВБ Отчет Продажи (за 60 дней)'!$K:$K,"Волгоград",'ВБ Отчет Продажи (за 60 дней)'!$G:$G,$A60)</f>
        <v>1</v>
      </c>
      <c r="AB60" s="27">
        <f>SUMIFS('ВБ Отчет Продажи (за 60 дней)'!$P:$P,'ВБ Отчет Продажи (за 60 дней)'!$K:$K,"Самара (Новосемейкино)",'ВБ Отчет Продажи (за 60 дней)'!$G:$G,$A60)</f>
        <v>34</v>
      </c>
      <c r="AC60" s="104">
        <f>SUMIFS('ВБ Отчет Продажи (за 60 дней)'!$P:$P,'ВБ Отчет Продажи (за 60 дней)'!$K:$K,"Казань",'ВБ Отчет Продажи (за 60 дней)'!$G:$G,$A60)</f>
        <v>0</v>
      </c>
      <c r="AD60" s="104">
        <f>SUMIFS('ВБ Отчет Продажи (за 60 дней)'!$P:$P,'ВБ Отчет Продажи (за 60 дней)'!$K:$K,"СПБ Шушары",'ВБ Отчет Продажи (за 60 дней)'!$G:$G,$A60)</f>
        <v>19</v>
      </c>
      <c r="AE60" s="153">
        <f>SUMIFS('ВБ Отчет Продажи (за 60 дней)'!$P:$P,'ВБ Отчет Продажи (за 60 дней)'!$K:$K,"Екатеринбург - Перспективный 12",'ВБ Отчет Продажи (за 60 дней)'!$G:$G,$A60)</f>
        <v>0</v>
      </c>
      <c r="AF60" s="102">
        <f>SUMIFS('ВБ Отчет Продажи (за 60 дней)'!$P:$P,'ВБ Отчет Продажи (за 60 дней)'!$K:$K,"Новосибирск",'ВБ Отчет Продажи (за 60 дней)'!$G:$G,$A60)</f>
        <v>0</v>
      </c>
      <c r="AG60" s="256">
        <f t="shared" si="9"/>
        <v>187</v>
      </c>
      <c r="AH60" s="7">
        <f t="shared" si="10"/>
        <v>935</v>
      </c>
      <c r="AI60" s="257">
        <f>SUMIFS('ОЗОН Оборот ведом (за 60 дней)'!J:J,'ОЗОН Оборот ведом (за 60 дней)'!A:A,B60)</f>
        <v>0</v>
      </c>
      <c r="AJ60" s="257">
        <f t="shared" si="11"/>
        <v>187</v>
      </c>
      <c r="AK60" s="7" cm="1">
        <f t="array" ref="AK60">IFERROR(_xlfn.IFS((F60-U60)&gt;0,F60/$R$1*$AY$1-U60,F60+U60=0,"нов"),0)</f>
        <v>0</v>
      </c>
      <c r="AL60" s="7" cm="1">
        <f t="array" ref="AL60">IFERROR(_xlfn.IFS((G60-V60)&gt;0,G60/$R$1*$AY$1-V60,G60+V60=0,"нов"),0)</f>
        <v>0</v>
      </c>
      <c r="AM60" s="7" cm="1">
        <f t="array" ref="AM60">IFERROR(_xlfn.IFS((H60-W60)&gt;0,H60/$R$1*$AY$1-W60,H60+W60=0,"нов"),0)</f>
        <v>0</v>
      </c>
      <c r="AN60" s="7" cm="1">
        <f t="array" ref="AN60">IFERROR(_xlfn.IFS((I60-X60)&gt;0,I60/$R$1*$AY$1-X60,I60+X60=0,"нов"),0)</f>
        <v>0</v>
      </c>
      <c r="AO60" s="27" cm="1">
        <f t="array" ref="AO60">IFERROR(_xlfn.IFS((J60-Y60)&gt;0,J60/$R$1*$AY$1-Y60,J60+Y60=0,"нов"),0)</f>
        <v>0</v>
      </c>
      <c r="AP60" s="7" cm="1">
        <f t="array" ref="AP60">IFERROR(_xlfn.IFS((K60-Z60)&gt;0,K60/$R$1*$AY$1-Z60,K60+Z60=0,"нов"),0)</f>
        <v>0</v>
      </c>
      <c r="AQ60" s="104" cm="1">
        <f t="array" ref="AQ60">IFERROR(_xlfn.IFS((L60-AA60)&gt;0,L60/$R$1*$AY$1-AA60,L60+AA60=0,"нов"),0)</f>
        <v>0</v>
      </c>
      <c r="AR60" s="27" cm="1">
        <f t="array" ref="AR60">IFERROR(_xlfn.IFS((M60-AB60)&gt;0,M60/$R$1*$AY$1-AB60,M60+AB60=0,"нов"),0)</f>
        <v>0</v>
      </c>
      <c r="AS60" s="104" t="str" cm="1">
        <f t="array" ref="AS60">IFERROR(_xlfn.IFS((N60-AC60)&gt;0,N60/$R$1*$AY$1-AC60,N60+AC60=0,"нов"),0)</f>
        <v>нов</v>
      </c>
      <c r="AT60" s="104" cm="1">
        <f t="array" ref="AT60">IFERROR(_xlfn.IFS((O60-AD60)&gt;0,O60/$R$1*$AY$1-AD60,O60+AD60=0,"нов"),0)</f>
        <v>0</v>
      </c>
      <c r="AU60" s="7" t="str" cm="1">
        <f t="array" ref="AU60">IFERROR(_xlfn.IFS((P60-AE60)&gt;0,P60/$R$1*$AY$1-AE60,P60+AE60=0,"нов"),0)</f>
        <v>нов</v>
      </c>
      <c r="AV60" s="7" t="str" cm="1">
        <f t="array" ref="AV60">IFERROR(_xlfn.IFS((Q60-AF60)&gt;0,Q60/$R$1*$AY$1-AF60,Q60+AF60=0,"нов"),0)</f>
        <v>нов</v>
      </c>
      <c r="AW60" s="255">
        <f t="shared" si="12"/>
        <v>0</v>
      </c>
      <c r="AX60" s="258">
        <f>SUMIF('ОЗОН Доступн товара'!D:D,_xlfn.XLOOKUP($B60,'ОЗОН Доступн товара'!$A:$A,'ОЗОН Доступн товара'!$D:$D,0))</f>
        <v>0</v>
      </c>
      <c r="AY60" s="262">
        <f t="shared" si="13"/>
        <v>0</v>
      </c>
      <c r="AZ60" s="7">
        <f t="shared" si="14"/>
        <v>0</v>
      </c>
      <c r="BA60" s="7">
        <f t="shared" si="15"/>
        <v>0</v>
      </c>
      <c r="BB60" s="7">
        <f t="shared" si="16"/>
        <v>0</v>
      </c>
      <c r="BC60" s="7">
        <f t="shared" si="17"/>
        <v>0</v>
      </c>
      <c r="BD60" s="27">
        <f t="shared" si="18"/>
        <v>0</v>
      </c>
      <c r="BE60" s="7">
        <f t="shared" si="19"/>
        <v>0</v>
      </c>
      <c r="BF60" s="104">
        <f t="shared" si="20"/>
        <v>0</v>
      </c>
      <c r="BG60" s="27">
        <f t="shared" si="21"/>
        <v>0</v>
      </c>
      <c r="BH60" s="104" t="str">
        <f t="shared" si="22"/>
        <v>нов</v>
      </c>
      <c r="BI60" s="7">
        <f t="shared" si="23"/>
        <v>0</v>
      </c>
      <c r="BJ60" s="153" t="str">
        <f t="shared" si="24"/>
        <v>нов</v>
      </c>
      <c r="BK60" s="7" t="str">
        <f t="shared" si="25"/>
        <v>нов</v>
      </c>
      <c r="BL60" s="6">
        <f t="shared" si="26"/>
        <v>0</v>
      </c>
      <c r="BM60" s="6">
        <f t="shared" si="27"/>
        <v>0</v>
      </c>
      <c r="BN60" s="259">
        <f t="shared" si="28"/>
        <v>0</v>
      </c>
      <c r="BO60" s="73">
        <f>IFERROR(_xlfn.XLOOKUP(A60,'[2] Расчет стоимости и веса'!$I:$I,'[2] Расчет стоимости и веса'!$D:$D),0)</f>
        <v>0</v>
      </c>
      <c r="BP60" s="227">
        <f t="shared" si="29"/>
        <v>0</v>
      </c>
      <c r="BQ60" s="8"/>
      <c r="BR60" s="155"/>
      <c r="BS60" s="12"/>
      <c r="BT60" s="12"/>
      <c r="BU60" s="229"/>
      <c r="BV60" s="12"/>
      <c r="BW60" s="12"/>
      <c r="BY60" s="231"/>
      <c r="BZ60" s="232"/>
      <c r="CA60" s="155"/>
      <c r="CB60" s="157"/>
      <c r="CC60" s="57"/>
      <c r="CD60" s="12"/>
      <c r="CE60" s="146">
        <f t="shared" si="5"/>
        <v>0</v>
      </c>
      <c r="CF60" s="69">
        <f t="shared" si="6"/>
        <v>0</v>
      </c>
      <c r="CG60" s="45">
        <f t="shared" si="7"/>
        <v>0</v>
      </c>
    </row>
    <row r="61" spans="1:85" ht="14.1" hidden="1" customHeight="1">
      <c r="A61" s="240">
        <f>[1]Юнит!A63</f>
        <v>298193176</v>
      </c>
      <c r="B61" s="241">
        <f>[1]Юнит!B63</f>
        <v>2087000633</v>
      </c>
      <c r="C61" s="240" t="str">
        <f>[1]Юнит!C63</f>
        <v>ACRA7TB101CL</v>
      </c>
      <c r="D61" s="90" t="str">
        <f>[1]Юнит!D63</f>
        <v>Таблетница круглая 7*2 черн/цвет</v>
      </c>
      <c r="E61" s="90">
        <f>[1]Юнит!E63</f>
        <v>2042160422832</v>
      </c>
      <c r="F61" s="132">
        <f>ROUNDUP(SUMIFS('ВБ Отчет Продажи (за 60 дней)'!$L:$L,'ВБ Отчет Продажи (за 60 дней)'!$K:$K,"Электросталь",'ВБ Отчет Продажи (за 60 дней)'!$G:$G,$A61),0)</f>
        <v>1</v>
      </c>
      <c r="G61" s="133">
        <f>ROUNDUP(SUMIFS('ВБ Отчет Продажи (за 60 дней)'!$L:$L,'ВБ Отчет Продажи (за 60 дней)'!$K:$K,"Коледино",'ВБ Отчет Продажи (за 60 дней)'!$G:$G,$A61),0)</f>
        <v>4</v>
      </c>
      <c r="H61" s="133">
        <f>ROUNDUP(SUMIFS('ВБ Отчет Продажи (за 60 дней)'!$L:$L,'ВБ Отчет Продажи (за 60 дней)'!$K:$K,"Тула",'ВБ Отчет Продажи (за 60 дней)'!$G:$G,$A61),0)</f>
        <v>0</v>
      </c>
      <c r="I61" s="134">
        <f>ROUNDUP(SUMIFS('ВБ Отчет Продажи (за 60 дней)'!$L:$L,'ВБ Отчет Продажи (за 60 дней)'!$K:$K,"Рязань (Тюшевское)",'ВБ Отчет Продажи (за 60 дней)'!$G:$G,$A61),0)</f>
        <v>0</v>
      </c>
      <c r="J61" s="136">
        <f>ROUNDUP(SUMIFS('ВБ Отчет Продажи (за 60 дней)'!$L:$L,'ВБ Отчет Продажи (за 60 дней)'!$K:$K,"Краснодар",'ВБ Отчет Продажи (за 60 дней)'!$G:$G,$A61),0)</f>
        <v>0</v>
      </c>
      <c r="K61" s="133">
        <f>ROUNDUP(SUMIFS('ВБ Отчет Продажи (за 60 дней)'!$L:$L,'ВБ Отчет Продажи (за 60 дней)'!$K:$K,"Невинномысск",'ВБ Отчет Продажи (за 60 дней)'!$G:$G,$A61),0)</f>
        <v>0</v>
      </c>
      <c r="L61" s="137">
        <f>ROUNDUP(SUMIFS('ВБ Отчет Продажи (за 60 дней)'!$L:$L,'ВБ Отчет Продажи (за 60 дней)'!$K:$K,"Волгоград",'ВБ Отчет Продажи (за 60 дней)'!$G:$G,$A61),0)</f>
        <v>0</v>
      </c>
      <c r="M61" s="136">
        <f>ROUNDUP(SUMIFS('ВБ Отчет Продажи (за 60 дней)'!$L:$L,'ВБ Отчет Продажи (за 60 дней)'!$K:$K,"Самара (Новосемейкино)",'ВБ Отчет Продажи (за 60 дней)'!$G:$G,$A61),0)</f>
        <v>0</v>
      </c>
      <c r="N61" s="137">
        <f>ROUNDUP(SUMIFS('ВБ Отчет Продажи (за 60 дней)'!$L:$L,'ВБ Отчет Продажи (за 60 дней)'!$K:$K,"Казань",'ВБ Отчет Продажи (за 60 дней)'!$G:$G,$A61),0)</f>
        <v>0</v>
      </c>
      <c r="O61" s="137">
        <f>ROUNDUP(SUMIFS('ВБ Отчет Продажи (за 60 дней)'!$L:$L,'ВБ Отчет Продажи (за 60 дней)'!$K:$K,"СПБ Шушары",'ВБ Отчет Продажи (за 60 дней)'!$G:$G,$A61),0)</f>
        <v>1</v>
      </c>
      <c r="P61" s="151">
        <f>ROUNDUP(SUMIFS('ВБ Отчет Продажи (за 60 дней)'!$L:$L,'ВБ Отчет Продажи (за 60 дней)'!$K:$K,"Екатеринбург - Перспективный 12",'ВБ Отчет Продажи (за 60 дней)'!$G:$G,$A61),0)</f>
        <v>0</v>
      </c>
      <c r="Q61" s="149">
        <f>ROUNDUP(SUMIFS('ВБ Отчет Продажи (за 60 дней)'!$L:$L,'ВБ Отчет Продажи (за 60 дней)'!$K:$K,"Новосибирск",'ВБ Отчет Продажи (за 60 дней)'!$G:$G,$A61),0)</f>
        <v>0</v>
      </c>
      <c r="R61" s="131">
        <f t="shared" si="31"/>
        <v>6</v>
      </c>
      <c r="S61" s="139">
        <f>SUMIFS('ОЗОН Оборот ведом (за 60 дней)'!I:I,'ОЗОН Оборот ведом (за 60 дней)'!A:A,B61)</f>
        <v>0</v>
      </c>
      <c r="T61" s="255">
        <f t="shared" si="8"/>
        <v>6</v>
      </c>
      <c r="U61" s="6">
        <f>SUMIFS('ВБ Отчет Продажи (за 60 дней)'!$P:$P,'ВБ Отчет Продажи (за 60 дней)'!$K:$K,"Электросталь",'ВБ Отчет Продажи (за 60 дней)'!$G:$G,$A61)</f>
        <v>42</v>
      </c>
      <c r="V61" s="7">
        <f>SUMIFS('ВБ Отчет Продажи (за 60 дней)'!$P:$P,'ВБ Отчет Продажи (за 60 дней)'!$K:$K,"Коледино",'ВБ Отчет Продажи (за 60 дней)'!$G:$G,$A61)</f>
        <v>14</v>
      </c>
      <c r="W61" s="7">
        <f>SUMIFS('ВБ Отчет Продажи (за 60 дней)'!$P:$P,'ВБ Отчет Продажи (за 60 дней)'!$K:$K,"Тула",'ВБ Отчет Продажи (за 60 дней)'!$G:$G,$A61)</f>
        <v>1</v>
      </c>
      <c r="X61" s="7">
        <f>SUMIFS('ВБ Отчет Продажи (за 60 дней)'!$P:$P,'ВБ Отчет Продажи (за 60 дней)'!$K:$K,"Рязань (Тюшевское)",'ВБ Отчет Продажи (за 60 дней)'!$G:$G,$A61)</f>
        <v>29</v>
      </c>
      <c r="Y61" s="27">
        <f>SUMIFS('ВБ Отчет Продажи (за 60 дней)'!$P:$P,'ВБ Отчет Продажи (за 60 дней)'!$K:$K,"Краснодар",'ВБ Отчет Продажи (за 60 дней)'!$G:$G,$A61)</f>
        <v>10</v>
      </c>
      <c r="Z61" s="7">
        <f>SUMIFS('ВБ Отчет Продажи (за 60 дней)'!$P:$P,'ВБ Отчет Продажи (за 60 дней)'!$K:$K,"Невинномысск",'ВБ Отчет Продажи (за 60 дней)'!$G:$G,$A61)</f>
        <v>26</v>
      </c>
      <c r="AA61" s="104">
        <f>SUMIFS('ВБ Отчет Продажи (за 60 дней)'!$P:$P,'ВБ Отчет Продажи (за 60 дней)'!$K:$K,"Волгоград",'ВБ Отчет Продажи (за 60 дней)'!$G:$G,$A61)</f>
        <v>0</v>
      </c>
      <c r="AB61" s="27">
        <f>SUMIFS('ВБ Отчет Продажи (за 60 дней)'!$P:$P,'ВБ Отчет Продажи (за 60 дней)'!$K:$K,"Самара (Новосемейкино)",'ВБ Отчет Продажи (за 60 дней)'!$G:$G,$A61)</f>
        <v>24</v>
      </c>
      <c r="AC61" s="104">
        <f>SUMIFS('ВБ Отчет Продажи (за 60 дней)'!$P:$P,'ВБ Отчет Продажи (за 60 дней)'!$K:$K,"Казань",'ВБ Отчет Продажи (за 60 дней)'!$G:$G,$A61)</f>
        <v>1</v>
      </c>
      <c r="AD61" s="104">
        <f>SUMIFS('ВБ Отчет Продажи (за 60 дней)'!$P:$P,'ВБ Отчет Продажи (за 60 дней)'!$K:$K,"СПБ Шушары",'ВБ Отчет Продажи (за 60 дней)'!$G:$G,$A61)</f>
        <v>14</v>
      </c>
      <c r="AE61" s="153">
        <f>SUMIFS('ВБ Отчет Продажи (за 60 дней)'!$P:$P,'ВБ Отчет Продажи (за 60 дней)'!$K:$K,"Екатеринбург - Перспективный 12",'ВБ Отчет Продажи (за 60 дней)'!$G:$G,$A61)</f>
        <v>0</v>
      </c>
      <c r="AF61" s="102">
        <f>SUMIFS('ВБ Отчет Продажи (за 60 дней)'!$P:$P,'ВБ Отчет Продажи (за 60 дней)'!$K:$K,"Новосибирск",'ВБ Отчет Продажи (за 60 дней)'!$G:$G,$A61)</f>
        <v>0</v>
      </c>
      <c r="AG61" s="256">
        <f t="shared" si="9"/>
        <v>161</v>
      </c>
      <c r="AH61" s="7">
        <f t="shared" si="10"/>
        <v>1610</v>
      </c>
      <c r="AI61" s="257">
        <f>SUMIFS('ОЗОН Оборот ведом (за 60 дней)'!J:J,'ОЗОН Оборот ведом (за 60 дней)'!A:A,B61)</f>
        <v>0</v>
      </c>
      <c r="AJ61" s="257">
        <f t="shared" si="11"/>
        <v>161</v>
      </c>
      <c r="AK61" s="7" cm="1">
        <f t="array" ref="AK61">IFERROR(_xlfn.IFS((F61-U61)&gt;0,F61/$R$1*$AY$1-U61,F61+U61=0,"нов"),0)</f>
        <v>0</v>
      </c>
      <c r="AL61" s="7" cm="1">
        <f t="array" ref="AL61">IFERROR(_xlfn.IFS((G61-V61)&gt;0,G61/$R$1*$AY$1-V61,G61+V61=0,"нов"),0)</f>
        <v>0</v>
      </c>
      <c r="AM61" s="7" cm="1">
        <f t="array" ref="AM61">IFERROR(_xlfn.IFS((H61-W61)&gt;0,H61/$R$1*$AY$1-W61,H61+W61=0,"нов"),0)</f>
        <v>0</v>
      </c>
      <c r="AN61" s="7" cm="1">
        <f t="array" ref="AN61">IFERROR(_xlfn.IFS((I61-X61)&gt;0,I61/$R$1*$AY$1-X61,I61+X61=0,"нов"),0)</f>
        <v>0</v>
      </c>
      <c r="AO61" s="27" cm="1">
        <f t="array" ref="AO61">IFERROR(_xlfn.IFS((J61-Y61)&gt;0,J61/$R$1*$AY$1-Y61,J61+Y61=0,"нов"),0)</f>
        <v>0</v>
      </c>
      <c r="AP61" s="7" cm="1">
        <f t="array" ref="AP61">IFERROR(_xlfn.IFS((K61-Z61)&gt;0,K61/$R$1*$AY$1-Z61,K61+Z61=0,"нов"),0)</f>
        <v>0</v>
      </c>
      <c r="AQ61" s="104" t="str" cm="1">
        <f t="array" ref="AQ61">IFERROR(_xlfn.IFS((L61-AA61)&gt;0,L61/$R$1*$AY$1-AA61,L61+AA61=0,"нов"),0)</f>
        <v>нов</v>
      </c>
      <c r="AR61" s="27" cm="1">
        <f t="array" ref="AR61">IFERROR(_xlfn.IFS((M61-AB61)&gt;0,M61/$R$1*$AY$1-AB61,M61+AB61=0,"нов"),0)</f>
        <v>0</v>
      </c>
      <c r="AS61" s="104" cm="1">
        <f t="array" ref="AS61">IFERROR(_xlfn.IFS((N61-AC61)&gt;0,N61/$R$1*$AY$1-AC61,N61+AC61=0,"нов"),0)</f>
        <v>0</v>
      </c>
      <c r="AT61" s="104" cm="1">
        <f t="array" ref="AT61">IFERROR(_xlfn.IFS((O61-AD61)&gt;0,O61/$R$1*$AY$1-AD61,O61+AD61=0,"нов"),0)</f>
        <v>0</v>
      </c>
      <c r="AU61" s="7" t="str" cm="1">
        <f t="array" ref="AU61">IFERROR(_xlfn.IFS((P61-AE61)&gt;0,P61/$R$1*$AY$1-AE61,P61+AE61=0,"нов"),0)</f>
        <v>нов</v>
      </c>
      <c r="AV61" s="7" t="str" cm="1">
        <f t="array" ref="AV61">IFERROR(_xlfn.IFS((Q61-AF61)&gt;0,Q61/$R$1*$AY$1-AF61,Q61+AF61=0,"нов"),0)</f>
        <v>нов</v>
      </c>
      <c r="AW61" s="255">
        <f t="shared" si="12"/>
        <v>0</v>
      </c>
      <c r="AX61" s="258">
        <f>SUMIF('ОЗОН Доступн товара'!D:D,_xlfn.XLOOKUP($B61,'ОЗОН Доступн товара'!$A:$A,'ОЗОН Доступн товара'!$D:$D,0))</f>
        <v>0</v>
      </c>
      <c r="AY61" s="262">
        <f t="shared" si="13"/>
        <v>0</v>
      </c>
      <c r="AZ61" s="7">
        <f t="shared" si="14"/>
        <v>0</v>
      </c>
      <c r="BA61" s="7">
        <f t="shared" si="15"/>
        <v>0</v>
      </c>
      <c r="BB61" s="7">
        <f t="shared" si="16"/>
        <v>0</v>
      </c>
      <c r="BC61" s="7">
        <f t="shared" si="17"/>
        <v>0</v>
      </c>
      <c r="BD61" s="27">
        <f t="shared" si="18"/>
        <v>0</v>
      </c>
      <c r="BE61" s="7">
        <f t="shared" si="19"/>
        <v>0</v>
      </c>
      <c r="BF61" s="104" t="str">
        <f t="shared" si="20"/>
        <v>нов</v>
      </c>
      <c r="BG61" s="27">
        <f t="shared" si="21"/>
        <v>0</v>
      </c>
      <c r="BH61" s="104">
        <f t="shared" si="22"/>
        <v>0</v>
      </c>
      <c r="BI61" s="7">
        <f t="shared" si="23"/>
        <v>0</v>
      </c>
      <c r="BJ61" s="153" t="str">
        <f t="shared" si="24"/>
        <v>нов</v>
      </c>
      <c r="BK61" s="7" t="str">
        <f t="shared" si="25"/>
        <v>нов</v>
      </c>
      <c r="BL61" s="6">
        <f t="shared" si="26"/>
        <v>0</v>
      </c>
      <c r="BM61" s="6">
        <f t="shared" si="27"/>
        <v>0</v>
      </c>
      <c r="BN61" s="259">
        <f t="shared" si="28"/>
        <v>0</v>
      </c>
      <c r="BO61" s="73">
        <f>IFERROR(_xlfn.XLOOKUP(A61,'[2] Расчет стоимости и веса'!$I:$I,'[2] Расчет стоимости и веса'!$D:$D),0)</f>
        <v>0</v>
      </c>
      <c r="BP61" s="227">
        <f t="shared" si="29"/>
        <v>0</v>
      </c>
      <c r="BQ61" s="8"/>
      <c r="BR61" s="155"/>
      <c r="BS61" s="12"/>
      <c r="BT61" s="12"/>
      <c r="BU61" s="229"/>
      <c r="BV61" s="12"/>
      <c r="BW61" s="12"/>
      <c r="BY61" s="231"/>
      <c r="BZ61" s="232"/>
      <c r="CA61" s="155"/>
      <c r="CB61" s="157"/>
      <c r="CC61" s="57"/>
      <c r="CD61" s="12"/>
      <c r="CE61" s="146">
        <f t="shared" si="5"/>
        <v>0</v>
      </c>
      <c r="CF61" s="69">
        <f t="shared" si="6"/>
        <v>0</v>
      </c>
      <c r="CG61" s="45">
        <f t="shared" si="7"/>
        <v>0</v>
      </c>
    </row>
    <row r="62" spans="1:85" ht="14.1" customHeight="1">
      <c r="A62" s="242">
        <f>[1]Юнит!A64</f>
        <v>278515093</v>
      </c>
      <c r="B62" s="243">
        <f>[1]Юнит!B64</f>
        <v>2082252055</v>
      </c>
      <c r="C62" s="242" t="str">
        <f>[1]Юнит!C64</f>
        <v>ACRA7TB301GR</v>
      </c>
      <c r="D62" s="244" t="str">
        <f>[1]Юнит!D64</f>
        <v>Таблетница круглая 7*2 сер</v>
      </c>
      <c r="E62" s="90">
        <f>[1]Юнит!E64</f>
        <v>2041680530447</v>
      </c>
      <c r="F62" s="132">
        <f>ROUNDUP(SUMIFS('ВБ Отчет Продажи (за 60 дней)'!$L:$L,'ВБ Отчет Продажи (за 60 дней)'!$K:$K,"Электросталь",'ВБ Отчет Продажи (за 60 дней)'!$G:$G,$A62),0)</f>
        <v>0</v>
      </c>
      <c r="G62" s="133">
        <f>ROUNDUP(SUMIFS('ВБ Отчет Продажи (за 60 дней)'!$L:$L,'ВБ Отчет Продажи (за 60 дней)'!$K:$K,"Коледино",'ВБ Отчет Продажи (за 60 дней)'!$G:$G,$A62),0)</f>
        <v>2</v>
      </c>
      <c r="H62" s="133">
        <f>ROUNDUP(SUMIFS('ВБ Отчет Продажи (за 60 дней)'!$L:$L,'ВБ Отчет Продажи (за 60 дней)'!$K:$K,"Тула",'ВБ Отчет Продажи (за 60 дней)'!$G:$G,$A62),0)</f>
        <v>4</v>
      </c>
      <c r="I62" s="134">
        <f>ROUNDUP(SUMIFS('ВБ Отчет Продажи (за 60 дней)'!$L:$L,'ВБ Отчет Продажи (за 60 дней)'!$K:$K,"Рязань (Тюшевское)",'ВБ Отчет Продажи (за 60 дней)'!$G:$G,$A62),0)</f>
        <v>2</v>
      </c>
      <c r="J62" s="136">
        <f>ROUNDUP(SUMIFS('ВБ Отчет Продажи (за 60 дней)'!$L:$L,'ВБ Отчет Продажи (за 60 дней)'!$K:$K,"Краснодар",'ВБ Отчет Продажи (за 60 дней)'!$G:$G,$A62),0)</f>
        <v>25</v>
      </c>
      <c r="K62" s="133">
        <f>ROUNDUP(SUMIFS('ВБ Отчет Продажи (за 60 дней)'!$L:$L,'ВБ Отчет Продажи (за 60 дней)'!$K:$K,"Невинномысск",'ВБ Отчет Продажи (за 60 дней)'!$G:$G,$A62),0)</f>
        <v>6</v>
      </c>
      <c r="L62" s="137">
        <f>ROUNDUP(SUMIFS('ВБ Отчет Продажи (за 60 дней)'!$L:$L,'ВБ Отчет Продажи (за 60 дней)'!$K:$K,"Волгоград",'ВБ Отчет Продажи (за 60 дней)'!$G:$G,$A62),0)</f>
        <v>0</v>
      </c>
      <c r="M62" s="136">
        <f>ROUNDUP(SUMIFS('ВБ Отчет Продажи (за 60 дней)'!$L:$L,'ВБ Отчет Продажи (за 60 дней)'!$K:$K,"Самара (Новосемейкино)",'ВБ Отчет Продажи (за 60 дней)'!$G:$G,$A62),0)</f>
        <v>28</v>
      </c>
      <c r="N62" s="137">
        <f>ROUNDUP(SUMIFS('ВБ Отчет Продажи (за 60 дней)'!$L:$L,'ВБ Отчет Продажи (за 60 дней)'!$K:$K,"Казань",'ВБ Отчет Продажи (за 60 дней)'!$G:$G,$A62),0)</f>
        <v>0</v>
      </c>
      <c r="O62" s="137">
        <f>ROUNDUP(SUMIFS('ВБ Отчет Продажи (за 60 дней)'!$L:$L,'ВБ Отчет Продажи (за 60 дней)'!$K:$K,"СПБ Шушары",'ВБ Отчет Продажи (за 60 дней)'!$G:$G,$A62),0)</f>
        <v>0</v>
      </c>
      <c r="P62" s="151">
        <f>ROUNDUP(SUMIFS('ВБ Отчет Продажи (за 60 дней)'!$L:$L,'ВБ Отчет Продажи (за 60 дней)'!$K:$K,"Екатеринбург - Перспективный 12",'ВБ Отчет Продажи (за 60 дней)'!$G:$G,$A62),0)</f>
        <v>0</v>
      </c>
      <c r="Q62" s="149">
        <f>ROUNDUP(SUMIFS('ВБ Отчет Продажи (за 60 дней)'!$L:$L,'ВБ Отчет Продажи (за 60 дней)'!$K:$K,"Новосибирск",'ВБ Отчет Продажи (за 60 дней)'!$G:$G,$A62),0)</f>
        <v>1</v>
      </c>
      <c r="R62" s="131">
        <f t="shared" si="31"/>
        <v>68</v>
      </c>
      <c r="S62" s="139">
        <f>SUMIFS('ОЗОН Оборот ведом (за 60 дней)'!I:I,'ОЗОН Оборот ведом (за 60 дней)'!A:A,B62)</f>
        <v>30</v>
      </c>
      <c r="T62" s="140">
        <f t="shared" si="8"/>
        <v>98</v>
      </c>
      <c r="U62" s="6">
        <f>SUMIFS('ВБ Отчет Продажи (за 60 дней)'!$P:$P,'ВБ Отчет Продажи (за 60 дней)'!$K:$K,"Электросталь",'ВБ Отчет Продажи (за 60 дней)'!$G:$G,$A62)</f>
        <v>0</v>
      </c>
      <c r="V62" s="7">
        <f>SUMIFS('ВБ Отчет Продажи (за 60 дней)'!$P:$P,'ВБ Отчет Продажи (за 60 дней)'!$K:$K,"Коледино",'ВБ Отчет Продажи (за 60 дней)'!$G:$G,$A62)</f>
        <v>0</v>
      </c>
      <c r="W62" s="7">
        <f>SUMIFS('ВБ Отчет Продажи (за 60 дней)'!$P:$P,'ВБ Отчет Продажи (за 60 дней)'!$K:$K,"Тула",'ВБ Отчет Продажи (за 60 дней)'!$G:$G,$A62)</f>
        <v>0</v>
      </c>
      <c r="X62" s="7">
        <f>SUMIFS('ВБ Отчет Продажи (за 60 дней)'!$P:$P,'ВБ Отчет Продажи (за 60 дней)'!$K:$K,"Рязань (Тюшевское)",'ВБ Отчет Продажи (за 60 дней)'!$G:$G,$A62)</f>
        <v>0</v>
      </c>
      <c r="Y62" s="27">
        <f>SUMIFS('ВБ Отчет Продажи (за 60 дней)'!$P:$P,'ВБ Отчет Продажи (за 60 дней)'!$K:$K,"Краснодар",'ВБ Отчет Продажи (за 60 дней)'!$G:$G,$A62)</f>
        <v>3</v>
      </c>
      <c r="Z62" s="7">
        <f>SUMIFS('ВБ Отчет Продажи (за 60 дней)'!$P:$P,'ВБ Отчет Продажи (за 60 дней)'!$K:$K,"Невинномысск",'ВБ Отчет Продажи (за 60 дней)'!$G:$G,$A62)</f>
        <v>18</v>
      </c>
      <c r="AA62" s="104">
        <f>SUMIFS('ВБ Отчет Продажи (за 60 дней)'!$P:$P,'ВБ Отчет Продажи (за 60 дней)'!$K:$K,"Волгоград",'ВБ Отчет Продажи (за 60 дней)'!$G:$G,$A62)</f>
        <v>0</v>
      </c>
      <c r="AB62" s="27">
        <f>SUMIFS('ВБ Отчет Продажи (за 60 дней)'!$P:$P,'ВБ Отчет Продажи (за 60 дней)'!$K:$K,"Самара (Новосемейкино)",'ВБ Отчет Продажи (за 60 дней)'!$G:$G,$A62)</f>
        <v>0</v>
      </c>
      <c r="AC62" s="104">
        <f>SUMIFS('ВБ Отчет Продажи (за 60 дней)'!$P:$P,'ВБ Отчет Продажи (за 60 дней)'!$K:$K,"Казань",'ВБ Отчет Продажи (за 60 дней)'!$G:$G,$A62)</f>
        <v>0</v>
      </c>
      <c r="AD62" s="104">
        <f>SUMIFS('ВБ Отчет Продажи (за 60 дней)'!$P:$P,'ВБ Отчет Продажи (за 60 дней)'!$K:$K,"СПБ Шушары",'ВБ Отчет Продажи (за 60 дней)'!$G:$G,$A62)</f>
        <v>0</v>
      </c>
      <c r="AE62" s="153">
        <f>SUMIFS('ВБ Отчет Продажи (за 60 дней)'!$P:$P,'ВБ Отчет Продажи (за 60 дней)'!$K:$K,"Екатеринбург - Перспективный 12",'ВБ Отчет Продажи (за 60 дней)'!$G:$G,$A62)</f>
        <v>0</v>
      </c>
      <c r="AF62" s="102">
        <f>SUMIFS('ВБ Отчет Продажи (за 60 дней)'!$P:$P,'ВБ Отчет Продажи (за 60 дней)'!$K:$K,"Новосибирск",'ВБ Отчет Продажи (за 60 дней)'!$G:$G,$A62)</f>
        <v>0</v>
      </c>
      <c r="AG62" s="124">
        <f t="shared" si="9"/>
        <v>21</v>
      </c>
      <c r="AH62" s="7">
        <f t="shared" si="10"/>
        <v>18.529411764705884</v>
      </c>
      <c r="AI62" s="213">
        <f>SUMIFS('ОЗОН Оборот ведом (за 60 дней)'!J:J,'ОЗОН Оборот ведом (за 60 дней)'!A:A,B62)</f>
        <v>19</v>
      </c>
      <c r="AJ62" s="21">
        <f t="shared" si="11"/>
        <v>40</v>
      </c>
      <c r="AK62" s="7" t="str" cm="1">
        <f t="array" ref="AK62">IFERROR(_xlfn.IFS((F62-U62)&gt;0,F62/$R$1*$AY$1-U62,F62+U62=0,"нов"),0)</f>
        <v>нов</v>
      </c>
      <c r="AL62" s="7" cm="1">
        <f t="array" ref="AL62">IFERROR(_xlfn.IFS((G62-V62)&gt;0,G62/$R$1*$AY$1-V62,G62+V62=0,"нов"),0)</f>
        <v>2</v>
      </c>
      <c r="AM62" s="7" cm="1">
        <f t="array" ref="AM62">IFERROR(_xlfn.IFS((H62-W62)&gt;0,H62/$R$1*$AY$1-W62,H62+W62=0,"нов"),0)</f>
        <v>4</v>
      </c>
      <c r="AN62" s="7" cm="1">
        <f t="array" ref="AN62">IFERROR(_xlfn.IFS((I62-X62)&gt;0,I62/$R$1*$AY$1-X62,I62+X62=0,"нов"),0)</f>
        <v>2</v>
      </c>
      <c r="AO62" s="27" cm="1">
        <f t="array" ref="AO62">IFERROR(_xlfn.IFS((J62-Y62)&gt;0,J62/$R$1*$AY$1-Y62,J62+Y62=0,"нов"),0)</f>
        <v>22</v>
      </c>
      <c r="AP62" s="7" cm="1">
        <f t="array" ref="AP62">IFERROR(_xlfn.IFS((K62-Z62)&gt;0,K62/$R$1*$AY$1-Z62,K62+Z62=0,"нов"),0)</f>
        <v>0</v>
      </c>
      <c r="AQ62" s="104" t="str" cm="1">
        <f t="array" ref="AQ62">IFERROR(_xlfn.IFS((L62-AA62)&gt;0,L62/$R$1*$AY$1-AA62,L62+AA62=0,"нов"),0)</f>
        <v>нов</v>
      </c>
      <c r="AR62" s="27" cm="1">
        <f t="array" ref="AR62">IFERROR(_xlfn.IFS((M62-AB62)&gt;0,M62/$R$1*$AY$1-AB62,M62+AB62=0,"нов"),0)</f>
        <v>28</v>
      </c>
      <c r="AS62" s="104" t="str" cm="1">
        <f t="array" ref="AS62">IFERROR(_xlfn.IFS((N62-AC62)&gt;0,N62/$R$1*$AY$1-AC62,N62+AC62=0,"нов"),0)</f>
        <v>нов</v>
      </c>
      <c r="AT62" s="104" t="str" cm="1">
        <f t="array" ref="AT62">IFERROR(_xlfn.IFS((O62-AD62)&gt;0,O62/$R$1*$AY$1-AD62,O62+AD62=0,"нов"),0)</f>
        <v>нов</v>
      </c>
      <c r="AU62" s="7" t="str" cm="1">
        <f t="array" ref="AU62">IFERROR(_xlfn.IFS((P62-AE62)&gt;0,P62/$R$1*$AY$1-AE62,P62+AE62=0,"нов"),0)</f>
        <v>нов</v>
      </c>
      <c r="AV62" s="7" cm="1">
        <f t="array" ref="AV62">IFERROR(_xlfn.IFS((Q62-AF62)&gt;0,Q62/$R$1*$AY$1-AF62,Q62+AF62=0,"нов"),0)</f>
        <v>1</v>
      </c>
      <c r="AW62" s="141">
        <f t="shared" si="12"/>
        <v>59</v>
      </c>
      <c r="AX62" s="218">
        <f>SUMIF('ОЗОН Доступн товара'!D:D,_xlfn.XLOOKUP($B62,'ОЗОН Доступн товара'!$A:$A,'ОЗОН Доступн товара'!$D:$D,0))</f>
        <v>24</v>
      </c>
      <c r="AY62" s="226">
        <f t="shared" si="13"/>
        <v>83</v>
      </c>
      <c r="AZ62" s="7" t="str">
        <f t="shared" si="14"/>
        <v>нов</v>
      </c>
      <c r="BA62" s="7">
        <f t="shared" si="15"/>
        <v>3</v>
      </c>
      <c r="BB62" s="7">
        <f t="shared" si="16"/>
        <v>6</v>
      </c>
      <c r="BC62" s="7">
        <f t="shared" si="17"/>
        <v>3</v>
      </c>
      <c r="BD62" s="27">
        <f t="shared" si="18"/>
        <v>29</v>
      </c>
      <c r="BE62" s="7">
        <f t="shared" si="19"/>
        <v>0</v>
      </c>
      <c r="BF62" s="104" t="str">
        <f t="shared" si="20"/>
        <v>нов</v>
      </c>
      <c r="BG62" s="27">
        <f t="shared" si="21"/>
        <v>37</v>
      </c>
      <c r="BH62" s="104" t="str">
        <f t="shared" si="22"/>
        <v>нов</v>
      </c>
      <c r="BI62" s="7" t="str">
        <f t="shared" si="23"/>
        <v>нов</v>
      </c>
      <c r="BJ62" s="153" t="str">
        <f t="shared" si="24"/>
        <v>нов</v>
      </c>
      <c r="BK62" s="7">
        <f t="shared" si="25"/>
        <v>2</v>
      </c>
      <c r="BL62" s="6">
        <f t="shared" si="26"/>
        <v>80</v>
      </c>
      <c r="BM62" s="6">
        <f t="shared" si="27"/>
        <v>31.200000000000003</v>
      </c>
      <c r="BN62" s="28">
        <f t="shared" si="28"/>
        <v>111.2</v>
      </c>
      <c r="BO62" s="73">
        <f>IFERROR(_xlfn.XLOOKUP(A62,'[2] Расчет стоимости и веса'!$I:$I,'[2] Расчет стоимости и веса'!$D:$D),0)</f>
        <v>320</v>
      </c>
      <c r="BP62" s="227">
        <f t="shared" si="29"/>
        <v>320</v>
      </c>
      <c r="BQ62" s="8"/>
      <c r="BR62" s="155">
        <v>120</v>
      </c>
      <c r="BS62" s="12"/>
      <c r="BT62" s="12"/>
      <c r="BU62" s="229"/>
      <c r="BV62" s="12"/>
      <c r="BW62" s="12">
        <v>40</v>
      </c>
      <c r="BY62" s="231">
        <v>80</v>
      </c>
      <c r="BZ62" s="232"/>
      <c r="CA62" s="155">
        <v>40</v>
      </c>
      <c r="CB62" s="157">
        <v>40</v>
      </c>
      <c r="CC62" s="57"/>
      <c r="CD62" s="12"/>
      <c r="CE62" s="146">
        <f t="shared" si="5"/>
        <v>320</v>
      </c>
      <c r="CF62" s="69">
        <f t="shared" si="6"/>
        <v>320</v>
      </c>
      <c r="CG62" s="45">
        <f t="shared" si="7"/>
        <v>0</v>
      </c>
    </row>
    <row r="63" spans="1:85" ht="14.1" customHeight="1">
      <c r="A63" s="242">
        <f>[1]Юнит!A65</f>
        <v>345168494</v>
      </c>
      <c r="B63" s="243">
        <f>[1]Юнит!B65</f>
        <v>2082255799</v>
      </c>
      <c r="C63" s="242" t="str">
        <f>[1]Юнит!C65</f>
        <v>ACRA7TB301CL</v>
      </c>
      <c r="D63" s="244" t="str">
        <f>[1]Юнит!D65</f>
        <v>Таблетница круглая 7*2 сер /цвет</v>
      </c>
      <c r="E63" s="90">
        <f>[1]Юнит!E65</f>
        <v>2043048226719</v>
      </c>
      <c r="F63" s="132">
        <f>ROUNDUP(SUMIFS('ВБ Отчет Продажи (за 60 дней)'!$L:$L,'ВБ Отчет Продажи (за 60 дней)'!$K:$K,"Электросталь",'ВБ Отчет Продажи (за 60 дней)'!$G:$G,$A63),0)</f>
        <v>9</v>
      </c>
      <c r="G63" s="133">
        <f>ROUNDUP(SUMIFS('ВБ Отчет Продажи (за 60 дней)'!$L:$L,'ВБ Отчет Продажи (за 60 дней)'!$K:$K,"Коледино",'ВБ Отчет Продажи (за 60 дней)'!$G:$G,$A63),0)</f>
        <v>22</v>
      </c>
      <c r="H63" s="133">
        <f>ROUNDUP(SUMIFS('ВБ Отчет Продажи (за 60 дней)'!$L:$L,'ВБ Отчет Продажи (за 60 дней)'!$K:$K,"Тула",'ВБ Отчет Продажи (за 60 дней)'!$G:$G,$A63),0)</f>
        <v>0</v>
      </c>
      <c r="I63" s="134">
        <f>ROUNDUP(SUMIFS('ВБ Отчет Продажи (за 60 дней)'!$L:$L,'ВБ Отчет Продажи (за 60 дней)'!$K:$K,"Рязань (Тюшевское)",'ВБ Отчет Продажи (за 60 дней)'!$G:$G,$A63),0)</f>
        <v>2</v>
      </c>
      <c r="J63" s="136">
        <f>ROUNDUP(SUMIFS('ВБ Отчет Продажи (за 60 дней)'!$L:$L,'ВБ Отчет Продажи (за 60 дней)'!$K:$K,"Краснодар",'ВБ Отчет Продажи (за 60 дней)'!$G:$G,$A63),0)</f>
        <v>9</v>
      </c>
      <c r="K63" s="133">
        <f>ROUNDUP(SUMIFS('ВБ Отчет Продажи (за 60 дней)'!$L:$L,'ВБ Отчет Продажи (за 60 дней)'!$K:$K,"Невинномысск",'ВБ Отчет Продажи (за 60 дней)'!$G:$G,$A63),0)</f>
        <v>1</v>
      </c>
      <c r="L63" s="137">
        <f>ROUNDUP(SUMIFS('ВБ Отчет Продажи (за 60 дней)'!$L:$L,'ВБ Отчет Продажи (за 60 дней)'!$K:$K,"Волгоград",'ВБ Отчет Продажи (за 60 дней)'!$G:$G,$A63),0)</f>
        <v>0</v>
      </c>
      <c r="M63" s="136">
        <f>ROUNDUP(SUMIFS('ВБ Отчет Продажи (за 60 дней)'!$L:$L,'ВБ Отчет Продажи (за 60 дней)'!$K:$K,"Самара (Новосемейкино)",'ВБ Отчет Продажи (за 60 дней)'!$G:$G,$A63),0)</f>
        <v>6</v>
      </c>
      <c r="N63" s="137">
        <f>ROUNDUP(SUMIFS('ВБ Отчет Продажи (за 60 дней)'!$L:$L,'ВБ Отчет Продажи (за 60 дней)'!$K:$K,"Казань",'ВБ Отчет Продажи (за 60 дней)'!$G:$G,$A63),0)</f>
        <v>0</v>
      </c>
      <c r="O63" s="137">
        <f>ROUNDUP(SUMIFS('ВБ Отчет Продажи (за 60 дней)'!$L:$L,'ВБ Отчет Продажи (за 60 дней)'!$K:$K,"СПБ Шушары",'ВБ Отчет Продажи (за 60 дней)'!$G:$G,$A63),0)</f>
        <v>6</v>
      </c>
      <c r="P63" s="151">
        <f>ROUNDUP(SUMIFS('ВБ Отчет Продажи (за 60 дней)'!$L:$L,'ВБ Отчет Продажи (за 60 дней)'!$K:$K,"Екатеринбург - Перспективный 12",'ВБ Отчет Продажи (за 60 дней)'!$G:$G,$A63),0)</f>
        <v>0</v>
      </c>
      <c r="Q63" s="149">
        <f>ROUNDUP(SUMIFS('ВБ Отчет Продажи (за 60 дней)'!$L:$L,'ВБ Отчет Продажи (за 60 дней)'!$K:$K,"Новосибирск",'ВБ Отчет Продажи (за 60 дней)'!$G:$G,$A63),0)</f>
        <v>0</v>
      </c>
      <c r="R63" s="131">
        <f t="shared" si="31"/>
        <v>55</v>
      </c>
      <c r="S63" s="139">
        <f>SUMIFS('ОЗОН Оборот ведом (за 60 дней)'!I:I,'ОЗОН Оборот ведом (за 60 дней)'!A:A,B63)</f>
        <v>26</v>
      </c>
      <c r="T63" s="140">
        <f t="shared" si="8"/>
        <v>81</v>
      </c>
      <c r="U63" s="6">
        <f>SUMIFS('ВБ Отчет Продажи (за 60 дней)'!$P:$P,'ВБ Отчет Продажи (за 60 дней)'!$K:$K,"Электросталь",'ВБ Отчет Продажи (за 60 дней)'!$G:$G,$A63)</f>
        <v>19</v>
      </c>
      <c r="V63" s="7">
        <f>SUMIFS('ВБ Отчет Продажи (за 60 дней)'!$P:$P,'ВБ Отчет Продажи (за 60 дней)'!$K:$K,"Коледино",'ВБ Отчет Продажи (за 60 дней)'!$G:$G,$A63)</f>
        <v>11</v>
      </c>
      <c r="W63" s="7">
        <f>SUMIFS('ВБ Отчет Продажи (за 60 дней)'!$P:$P,'ВБ Отчет Продажи (за 60 дней)'!$K:$K,"Тула",'ВБ Отчет Продажи (за 60 дней)'!$G:$G,$A63)</f>
        <v>0</v>
      </c>
      <c r="X63" s="7">
        <f>SUMIFS('ВБ Отчет Продажи (за 60 дней)'!$P:$P,'ВБ Отчет Продажи (за 60 дней)'!$K:$K,"Рязань (Тюшевское)",'ВБ Отчет Продажи (за 60 дней)'!$G:$G,$A63)</f>
        <v>0</v>
      </c>
      <c r="Y63" s="27">
        <f>SUMIFS('ВБ Отчет Продажи (за 60 дней)'!$P:$P,'ВБ Отчет Продажи (за 60 дней)'!$K:$K,"Краснодар",'ВБ Отчет Продажи (за 60 дней)'!$G:$G,$A63)</f>
        <v>20</v>
      </c>
      <c r="Z63" s="7">
        <f>SUMIFS('ВБ Отчет Продажи (за 60 дней)'!$P:$P,'ВБ Отчет Продажи (за 60 дней)'!$K:$K,"Невинномысск",'ВБ Отчет Продажи (за 60 дней)'!$G:$G,$A63)</f>
        <v>30</v>
      </c>
      <c r="AA63" s="104">
        <f>SUMIFS('ВБ Отчет Продажи (за 60 дней)'!$P:$P,'ВБ Отчет Продажи (за 60 дней)'!$K:$K,"Волгоград",'ВБ Отчет Продажи (за 60 дней)'!$G:$G,$A63)</f>
        <v>0</v>
      </c>
      <c r="AB63" s="27">
        <f>SUMIFS('ВБ Отчет Продажи (за 60 дней)'!$P:$P,'ВБ Отчет Продажи (за 60 дней)'!$K:$K,"Самара (Новосемейкино)",'ВБ Отчет Продажи (за 60 дней)'!$G:$G,$A63)</f>
        <v>51</v>
      </c>
      <c r="AC63" s="104">
        <f>SUMIFS('ВБ Отчет Продажи (за 60 дней)'!$P:$P,'ВБ Отчет Продажи (за 60 дней)'!$K:$K,"Казань",'ВБ Отчет Продажи (за 60 дней)'!$G:$G,$A63)</f>
        <v>0</v>
      </c>
      <c r="AD63" s="104">
        <f>SUMIFS('ВБ Отчет Продажи (за 60 дней)'!$P:$P,'ВБ Отчет Продажи (за 60 дней)'!$K:$K,"СПБ Шушары",'ВБ Отчет Продажи (за 60 дней)'!$G:$G,$A63)</f>
        <v>18</v>
      </c>
      <c r="AE63" s="153">
        <f>SUMIFS('ВБ Отчет Продажи (за 60 дней)'!$P:$P,'ВБ Отчет Продажи (за 60 дней)'!$K:$K,"Екатеринбург - Перспективный 12",'ВБ Отчет Продажи (за 60 дней)'!$G:$G,$A63)</f>
        <v>0</v>
      </c>
      <c r="AF63" s="102">
        <f>SUMIFS('ВБ Отчет Продажи (за 60 дней)'!$P:$P,'ВБ Отчет Продажи (за 60 дней)'!$K:$K,"Новосибирск",'ВБ Отчет Продажи (за 60 дней)'!$G:$G,$A63)</f>
        <v>0</v>
      </c>
      <c r="AG63" s="124">
        <f t="shared" si="9"/>
        <v>149</v>
      </c>
      <c r="AH63" s="7">
        <f t="shared" si="10"/>
        <v>162.54545454545453</v>
      </c>
      <c r="AI63" s="213">
        <f>SUMIFS('ОЗОН Оборот ведом (за 60 дней)'!J:J,'ОЗОН Оборот ведом (за 60 дней)'!A:A,B63)</f>
        <v>17</v>
      </c>
      <c r="AJ63" s="21">
        <f t="shared" si="11"/>
        <v>166</v>
      </c>
      <c r="AK63" s="7" cm="1">
        <f t="array" ref="AK63">IFERROR(_xlfn.IFS((F63-U63)&gt;0,F63/$R$1*$AY$1-U63,F63+U63=0,"нов"),0)</f>
        <v>0</v>
      </c>
      <c r="AL63" s="7" cm="1">
        <f t="array" ref="AL63">IFERROR(_xlfn.IFS((G63-V63)&gt;0,G63/$R$1*$AY$1-V63,G63+V63=0,"нов"),0)</f>
        <v>11</v>
      </c>
      <c r="AM63" s="7" t="str" cm="1">
        <f t="array" ref="AM63">IFERROR(_xlfn.IFS((H63-W63)&gt;0,H63/$R$1*$AY$1-W63,H63+W63=0,"нов"),0)</f>
        <v>нов</v>
      </c>
      <c r="AN63" s="7" cm="1">
        <f t="array" ref="AN63">IFERROR(_xlfn.IFS((I63-X63)&gt;0,I63/$R$1*$AY$1-X63,I63+X63=0,"нов"),0)</f>
        <v>2</v>
      </c>
      <c r="AO63" s="27" cm="1">
        <f t="array" ref="AO63">IFERROR(_xlfn.IFS((J63-Y63)&gt;0,J63/$R$1*$AY$1-Y63,J63+Y63=0,"нов"),0)</f>
        <v>0</v>
      </c>
      <c r="AP63" s="7" cm="1">
        <f t="array" ref="AP63">IFERROR(_xlfn.IFS((K63-Z63)&gt;0,K63/$R$1*$AY$1-Z63,K63+Z63=0,"нов"),0)</f>
        <v>0</v>
      </c>
      <c r="AQ63" s="104" t="str" cm="1">
        <f t="array" ref="AQ63">IFERROR(_xlfn.IFS((L63-AA63)&gt;0,L63/$R$1*$AY$1-AA63,L63+AA63=0,"нов"),0)</f>
        <v>нов</v>
      </c>
      <c r="AR63" s="27" cm="1">
        <f t="array" ref="AR63">IFERROR(_xlfn.IFS((M63-AB63)&gt;0,M63/$R$1*$AY$1-AB63,M63+AB63=0,"нов"),0)</f>
        <v>0</v>
      </c>
      <c r="AS63" s="104" t="str" cm="1">
        <f t="array" ref="AS63">IFERROR(_xlfn.IFS((N63-AC63)&gt;0,N63/$R$1*$AY$1-AC63,N63+AC63=0,"нов"),0)</f>
        <v>нов</v>
      </c>
      <c r="AT63" s="104" cm="1">
        <f t="array" ref="AT63">IFERROR(_xlfn.IFS((O63-AD63)&gt;0,O63/$R$1*$AY$1-AD63,O63+AD63=0,"нов"),0)</f>
        <v>0</v>
      </c>
      <c r="AU63" s="104" t="str" cm="1">
        <f t="array" ref="AU63">IFERROR(_xlfn.IFS((P63-AE63)&gt;0,P63/$R$1*$AY$1-AE63,P63+AE63=0,"нов"),0)</f>
        <v>нов</v>
      </c>
      <c r="AV63" s="7" t="str" cm="1">
        <f t="array" ref="AV63">IFERROR(_xlfn.IFS((Q63-AF63)&gt;0,Q63/$R$1*$AY$1-AF63,Q63+AF63=0,"нов"),0)</f>
        <v>нов</v>
      </c>
      <c r="AW63" s="141">
        <f t="shared" si="12"/>
        <v>13</v>
      </c>
      <c r="AX63" s="218">
        <f>SUMIF('ОЗОН Доступн товара'!D:D,_xlfn.XLOOKUP($B63,'ОЗОН Доступн товара'!$A:$A,'ОЗОН Доступн товара'!$D:$D,0))</f>
        <v>27</v>
      </c>
      <c r="AY63" s="226">
        <f t="shared" si="13"/>
        <v>40</v>
      </c>
      <c r="AZ63" s="7">
        <f t="shared" si="14"/>
        <v>0</v>
      </c>
      <c r="BA63" s="7">
        <f t="shared" si="15"/>
        <v>15</v>
      </c>
      <c r="BB63" s="7" t="str">
        <f t="shared" si="16"/>
        <v>нов</v>
      </c>
      <c r="BC63" s="7">
        <f t="shared" si="17"/>
        <v>3</v>
      </c>
      <c r="BD63" s="27">
        <f t="shared" si="18"/>
        <v>0</v>
      </c>
      <c r="BE63" s="7">
        <f t="shared" si="19"/>
        <v>0</v>
      </c>
      <c r="BF63" s="104" t="str">
        <f t="shared" si="20"/>
        <v>нов</v>
      </c>
      <c r="BG63" s="27">
        <f t="shared" si="21"/>
        <v>0</v>
      </c>
      <c r="BH63" s="104" t="str">
        <f t="shared" si="22"/>
        <v>нов</v>
      </c>
      <c r="BI63" s="7">
        <f t="shared" si="23"/>
        <v>0</v>
      </c>
      <c r="BJ63" s="153" t="str">
        <f t="shared" si="24"/>
        <v>нов</v>
      </c>
      <c r="BK63" s="7" t="str">
        <f t="shared" si="25"/>
        <v>нов</v>
      </c>
      <c r="BL63" s="6">
        <f t="shared" si="26"/>
        <v>18</v>
      </c>
      <c r="BM63" s="6">
        <f t="shared" si="27"/>
        <v>35.1</v>
      </c>
      <c r="BN63" s="28">
        <f t="shared" si="28"/>
        <v>53.1</v>
      </c>
      <c r="BO63" s="73">
        <f>IFERROR(_xlfn.XLOOKUP(A63,'[2] Расчет стоимости и веса'!$I:$I,'[2] Расчет стоимости и веса'!$D:$D),0)</f>
        <v>40</v>
      </c>
      <c r="BP63" s="227">
        <f t="shared" si="29"/>
        <v>40</v>
      </c>
      <c r="BQ63" s="8"/>
      <c r="BR63" s="155"/>
      <c r="BS63" s="12"/>
      <c r="BT63" s="12"/>
      <c r="BU63" s="229"/>
      <c r="BV63" s="12"/>
      <c r="BW63" s="12"/>
      <c r="BY63" s="231"/>
      <c r="BZ63" s="232"/>
      <c r="CA63" s="155"/>
      <c r="CB63" s="157">
        <v>40</v>
      </c>
      <c r="CC63" s="57"/>
      <c r="CD63" s="12"/>
      <c r="CE63" s="146">
        <f t="shared" si="5"/>
        <v>40</v>
      </c>
      <c r="CF63" s="69">
        <f t="shared" si="6"/>
        <v>40</v>
      </c>
      <c r="CG63" s="45">
        <f t="shared" si="7"/>
        <v>0</v>
      </c>
    </row>
    <row r="64" spans="1:85" ht="14.25" customHeight="1">
      <c r="A64" s="242">
        <f>[1]Юнит!A66</f>
        <v>273516556</v>
      </c>
      <c r="B64" s="243">
        <f>[1]Юнит!B66</f>
        <v>2138705583</v>
      </c>
      <c r="C64" s="242" t="str">
        <f>[1]Юнит!C66</f>
        <v>ACRA7TB301WH</v>
      </c>
      <c r="D64" s="244" t="str">
        <f>[1]Юнит!D66</f>
        <v>Таблетница круглая 7*2 бел</v>
      </c>
      <c r="E64" s="90">
        <f>[1]Юнит!E66</f>
        <v>2041532808502</v>
      </c>
      <c r="F64" s="132">
        <f>ROUNDUP(SUMIFS('ВБ Отчет Продажи (за 60 дней)'!$L:$L,'ВБ Отчет Продажи (за 60 дней)'!$K:$K,"Электросталь",'ВБ Отчет Продажи (за 60 дней)'!$G:$G,$A64),0)</f>
        <v>4</v>
      </c>
      <c r="G64" s="133">
        <f>ROUNDUP(SUMIFS('ВБ Отчет Продажи (за 60 дней)'!$L:$L,'ВБ Отчет Продажи (за 60 дней)'!$K:$K,"Коледино",'ВБ Отчет Продажи (за 60 дней)'!$G:$G,$A64),0)</f>
        <v>6</v>
      </c>
      <c r="H64" s="133">
        <f>ROUNDUP(SUMIFS('ВБ Отчет Продажи (за 60 дней)'!$L:$L,'ВБ Отчет Продажи (за 60 дней)'!$K:$K,"Тула",'ВБ Отчет Продажи (за 60 дней)'!$G:$G,$A64),0)</f>
        <v>0</v>
      </c>
      <c r="I64" s="134">
        <f>ROUNDUP(SUMIFS('ВБ Отчет Продажи (за 60 дней)'!$L:$L,'ВБ Отчет Продажи (за 60 дней)'!$K:$K,"Рязань (Тюшевское)",'ВБ Отчет Продажи (за 60 дней)'!$G:$G,$A64),0)</f>
        <v>0</v>
      </c>
      <c r="J64" s="136">
        <f>ROUNDUP(SUMIFS('ВБ Отчет Продажи (за 60 дней)'!$L:$L,'ВБ Отчет Продажи (за 60 дней)'!$K:$K,"Краснодар",'ВБ Отчет Продажи (за 60 дней)'!$G:$G,$A64),0)</f>
        <v>7</v>
      </c>
      <c r="K64" s="133">
        <f>ROUNDUP(SUMIFS('ВБ Отчет Продажи (за 60 дней)'!$L:$L,'ВБ Отчет Продажи (за 60 дней)'!$K:$K,"Невинномысск",'ВБ Отчет Продажи (за 60 дней)'!$G:$G,$A64),0)</f>
        <v>0</v>
      </c>
      <c r="L64" s="137">
        <f>ROUNDUP(SUMIFS('ВБ Отчет Продажи (за 60 дней)'!$L:$L,'ВБ Отчет Продажи (за 60 дней)'!$K:$K,"Волгоград",'ВБ Отчет Продажи (за 60 дней)'!$G:$G,$A64),0)</f>
        <v>0</v>
      </c>
      <c r="M64" s="136">
        <f>ROUNDUP(SUMIFS('ВБ Отчет Продажи (за 60 дней)'!$L:$L,'ВБ Отчет Продажи (за 60 дней)'!$K:$K,"Самара (Новосемейкино)",'ВБ Отчет Продажи (за 60 дней)'!$G:$G,$A64),0)</f>
        <v>4</v>
      </c>
      <c r="N64" s="137">
        <f>ROUNDUP(SUMIFS('ВБ Отчет Продажи (за 60 дней)'!$L:$L,'ВБ Отчет Продажи (за 60 дней)'!$K:$K,"Казань",'ВБ Отчет Продажи (за 60 дней)'!$G:$G,$A64),0)</f>
        <v>0</v>
      </c>
      <c r="O64" s="137">
        <f>ROUNDUP(SUMIFS('ВБ Отчет Продажи (за 60 дней)'!$L:$L,'ВБ Отчет Продажи (за 60 дней)'!$K:$K,"СПБ Шушары",'ВБ Отчет Продажи (за 60 дней)'!$G:$G,$A64),0)</f>
        <v>2</v>
      </c>
      <c r="P64" s="151">
        <f>ROUNDUP(SUMIFS('ВБ Отчет Продажи (за 60 дней)'!$L:$L,'ВБ Отчет Продажи (за 60 дней)'!$K:$K,"Екатеринбург - Перспективный 12",'ВБ Отчет Продажи (за 60 дней)'!$G:$G,$A64),0)</f>
        <v>0</v>
      </c>
      <c r="Q64" s="149">
        <f>ROUNDUP(SUMIFS('ВБ Отчет Продажи (за 60 дней)'!$L:$L,'ВБ Отчет Продажи (за 60 дней)'!$K:$K,"Новосибирск",'ВБ Отчет Продажи (за 60 дней)'!$G:$G,$A64),0)</f>
        <v>0</v>
      </c>
      <c r="R64" s="131">
        <f t="shared" si="31"/>
        <v>23</v>
      </c>
      <c r="S64" s="139">
        <f>SUMIFS('ОЗОН Оборот ведом (за 60 дней)'!I:I,'ОЗОН Оборот ведом (за 60 дней)'!A:A,B64)</f>
        <v>23</v>
      </c>
      <c r="T64" s="140">
        <f t="shared" si="8"/>
        <v>46</v>
      </c>
      <c r="U64" s="6">
        <f>SUMIFS('ВБ Отчет Продажи (за 60 дней)'!$P:$P,'ВБ Отчет Продажи (за 60 дней)'!$K:$K,"Электросталь",'ВБ Отчет Продажи (за 60 дней)'!$G:$G,$A64)</f>
        <v>11</v>
      </c>
      <c r="V64" s="7">
        <f>SUMIFS('ВБ Отчет Продажи (за 60 дней)'!$P:$P,'ВБ Отчет Продажи (за 60 дней)'!$K:$K,"Коледино",'ВБ Отчет Продажи (за 60 дней)'!$G:$G,$A64)</f>
        <v>16</v>
      </c>
      <c r="W64" s="7">
        <f>SUMIFS('ВБ Отчет Продажи (за 60 дней)'!$P:$P,'ВБ Отчет Продажи (за 60 дней)'!$K:$K,"Тула",'ВБ Отчет Продажи (за 60 дней)'!$G:$G,$A64)</f>
        <v>1</v>
      </c>
      <c r="X64" s="7">
        <f>SUMIFS('ВБ Отчет Продажи (за 60 дней)'!$P:$P,'ВБ Отчет Продажи (за 60 дней)'!$K:$K,"Рязань (Тюшевское)",'ВБ Отчет Продажи (за 60 дней)'!$G:$G,$A64)</f>
        <v>0</v>
      </c>
      <c r="Y64" s="27">
        <f>SUMIFS('ВБ Отчет Продажи (за 60 дней)'!$P:$P,'ВБ Отчет Продажи (за 60 дней)'!$K:$K,"Краснодар",'ВБ Отчет Продажи (за 60 дней)'!$G:$G,$A64)</f>
        <v>10</v>
      </c>
      <c r="Z64" s="7">
        <f>SUMIFS('ВБ Отчет Продажи (за 60 дней)'!$P:$P,'ВБ Отчет Продажи (за 60 дней)'!$K:$K,"Невинномысск",'ВБ Отчет Продажи (за 60 дней)'!$G:$G,$A64)</f>
        <v>9</v>
      </c>
      <c r="AA64" s="104">
        <f>SUMIFS('ВБ Отчет Продажи (за 60 дней)'!$P:$P,'ВБ Отчет Продажи (за 60 дней)'!$K:$K,"Волгоград",'ВБ Отчет Продажи (за 60 дней)'!$G:$G,$A64)</f>
        <v>0</v>
      </c>
      <c r="AB64" s="27">
        <f>SUMIFS('ВБ Отчет Продажи (за 60 дней)'!$P:$P,'ВБ Отчет Продажи (за 60 дней)'!$K:$K,"Самара (Новосемейкино)",'ВБ Отчет Продажи (за 60 дней)'!$G:$G,$A64)</f>
        <v>6</v>
      </c>
      <c r="AC64" s="104">
        <f>SUMIFS('ВБ Отчет Продажи (за 60 дней)'!$P:$P,'ВБ Отчет Продажи (за 60 дней)'!$K:$K,"Казань",'ВБ Отчет Продажи (за 60 дней)'!$G:$G,$A64)</f>
        <v>0</v>
      </c>
      <c r="AD64" s="104">
        <f>SUMIFS('ВБ Отчет Продажи (за 60 дней)'!$P:$P,'ВБ Отчет Продажи (за 60 дней)'!$K:$K,"СПБ Шушары",'ВБ Отчет Продажи (за 60 дней)'!$G:$G,$A64)</f>
        <v>18</v>
      </c>
      <c r="AE64" s="153">
        <f>SUMIFS('ВБ Отчет Продажи (за 60 дней)'!$P:$P,'ВБ Отчет Продажи (за 60 дней)'!$K:$K,"Екатеринбург - Перспективный 12",'ВБ Отчет Продажи (за 60 дней)'!$G:$G,$A64)</f>
        <v>0</v>
      </c>
      <c r="AF64" s="102">
        <f>SUMIFS('ВБ Отчет Продажи (за 60 дней)'!$P:$P,'ВБ Отчет Продажи (за 60 дней)'!$K:$K,"Новосибирск",'ВБ Отчет Продажи (за 60 дней)'!$G:$G,$A64)</f>
        <v>0</v>
      </c>
      <c r="AG64" s="124">
        <f t="shared" si="9"/>
        <v>71</v>
      </c>
      <c r="AH64" s="7">
        <f t="shared" si="10"/>
        <v>185.21739130434781</v>
      </c>
      <c r="AI64" s="213">
        <f>SUMIFS('ОЗОН Оборот ведом (за 60 дней)'!J:J,'ОЗОН Оборот ведом (за 60 дней)'!A:A,B64)</f>
        <v>11</v>
      </c>
      <c r="AJ64" s="21">
        <f t="shared" si="11"/>
        <v>82</v>
      </c>
      <c r="AK64" s="7" cm="1">
        <f t="array" ref="AK64">IFERROR(_xlfn.IFS((F64-U64)&gt;0,F64/$R$1*$AY$1-U64,F64+U64=0,"нов"),0)</f>
        <v>0</v>
      </c>
      <c r="AL64" s="7" cm="1">
        <f t="array" ref="AL64">IFERROR(_xlfn.IFS((G64-V64)&gt;0,G64/$R$1*$AY$1-V64,G64+V64=0,"нов"),0)</f>
        <v>0</v>
      </c>
      <c r="AM64" s="7" cm="1">
        <f t="array" ref="AM64">IFERROR(_xlfn.IFS((H64-W64)&gt;0,H64/$R$1*$AY$1-W64,H64+W64=0,"нов"),0)</f>
        <v>0</v>
      </c>
      <c r="AN64" s="7" t="str" cm="1">
        <f t="array" ref="AN64">IFERROR(_xlfn.IFS((I64-X64)&gt;0,I64/$R$1*$AY$1-X64,I64+X64=0,"нов"),0)</f>
        <v>нов</v>
      </c>
      <c r="AO64" s="27" cm="1">
        <f t="array" ref="AO64">IFERROR(_xlfn.IFS((J64-Y64)&gt;0,J64/$R$1*$AY$1-Y64,J64+Y64=0,"нов"),0)</f>
        <v>0</v>
      </c>
      <c r="AP64" s="7" cm="1">
        <f t="array" ref="AP64">IFERROR(_xlfn.IFS((K64-Z64)&gt;0,K64/$R$1*$AY$1-Z64,K64+Z64=0,"нов"),0)</f>
        <v>0</v>
      </c>
      <c r="AQ64" s="104" t="str" cm="1">
        <f t="array" ref="AQ64">IFERROR(_xlfn.IFS((L64-AA64)&gt;0,L64/$R$1*$AY$1-AA64,L64+AA64=0,"нов"),0)</f>
        <v>нов</v>
      </c>
      <c r="AR64" s="27" cm="1">
        <f t="array" ref="AR64">IFERROR(_xlfn.IFS((M64-AB64)&gt;0,M64/$R$1*$AY$1-AB64,M64+AB64=0,"нов"),0)</f>
        <v>0</v>
      </c>
      <c r="AS64" s="104" t="str" cm="1">
        <f t="array" ref="AS64">IFERROR(_xlfn.IFS((N64-AC64)&gt;0,N64/$R$1*$AY$1-AC64,N64+AC64=0,"нов"),0)</f>
        <v>нов</v>
      </c>
      <c r="AT64" s="104" cm="1">
        <f t="array" ref="AT64">IFERROR(_xlfn.IFS((O64-AD64)&gt;0,O64/$R$1*$AY$1-AD64,O64+AD64=0,"нов"),0)</f>
        <v>0</v>
      </c>
      <c r="AU64" s="7" t="str" cm="1">
        <f t="array" ref="AU64">IFERROR(_xlfn.IFS((P64-AE64)&gt;0,P64/$R$1*$AY$1-AE64,P64+AE64=0,"нов"),0)</f>
        <v>нов</v>
      </c>
      <c r="AV64" s="7" t="str" cm="1">
        <f t="array" ref="AV64">IFERROR(_xlfn.IFS((Q64-AF64)&gt;0,Q64/$R$1*$AY$1-AF64,Q64+AF64=0,"нов"),0)</f>
        <v>нов</v>
      </c>
      <c r="AW64" s="141">
        <f t="shared" si="12"/>
        <v>0</v>
      </c>
      <c r="AX64" s="218">
        <f>SUMIF('ОЗОН Доступн товара'!D:D,_xlfn.XLOOKUP($B64,'ОЗОН Доступн товара'!$A:$A,'ОЗОН Доступн товара'!$D:$D,0))</f>
        <v>27</v>
      </c>
      <c r="AY64" s="226">
        <f t="shared" si="13"/>
        <v>27</v>
      </c>
      <c r="AZ64" s="7">
        <f t="shared" si="14"/>
        <v>0</v>
      </c>
      <c r="BA64" s="7">
        <f t="shared" si="15"/>
        <v>0</v>
      </c>
      <c r="BB64" s="7">
        <f t="shared" si="16"/>
        <v>0</v>
      </c>
      <c r="BC64" s="7" t="str">
        <f t="shared" si="17"/>
        <v>нов</v>
      </c>
      <c r="BD64" s="27">
        <f t="shared" si="18"/>
        <v>0</v>
      </c>
      <c r="BE64" s="7">
        <f t="shared" si="19"/>
        <v>0</v>
      </c>
      <c r="BF64" s="104" t="str">
        <f t="shared" si="20"/>
        <v>нов</v>
      </c>
      <c r="BG64" s="27">
        <f t="shared" si="21"/>
        <v>0</v>
      </c>
      <c r="BH64" s="104" t="str">
        <f t="shared" si="22"/>
        <v>нов</v>
      </c>
      <c r="BI64" s="7">
        <f t="shared" si="23"/>
        <v>0</v>
      </c>
      <c r="BJ64" s="153" t="str">
        <f t="shared" si="24"/>
        <v>нов</v>
      </c>
      <c r="BK64" s="7" t="str">
        <f t="shared" si="25"/>
        <v>нов</v>
      </c>
      <c r="BL64" s="6">
        <f t="shared" si="26"/>
        <v>0</v>
      </c>
      <c r="BM64" s="6">
        <f t="shared" si="27"/>
        <v>35.1</v>
      </c>
      <c r="BN64" s="28">
        <f t="shared" si="28"/>
        <v>35.1</v>
      </c>
      <c r="BO64" s="73">
        <f>IFERROR(_xlfn.XLOOKUP(A64,'[2] Расчет стоимости и веса'!$I:$I,'[2] Расчет стоимости и веса'!$D:$D),0)</f>
        <v>40</v>
      </c>
      <c r="BP64" s="227">
        <f t="shared" si="29"/>
        <v>40</v>
      </c>
      <c r="BQ64" s="8"/>
      <c r="BR64" s="155"/>
      <c r="BS64" s="12"/>
      <c r="BT64" s="12"/>
      <c r="BU64" s="229"/>
      <c r="BV64" s="12"/>
      <c r="BW64" s="12"/>
      <c r="BY64" s="231">
        <v>20</v>
      </c>
      <c r="BZ64" s="232"/>
      <c r="CA64" s="155"/>
      <c r="CB64" s="157">
        <v>20</v>
      </c>
      <c r="CC64" s="57"/>
      <c r="CD64" s="12"/>
      <c r="CE64" s="146">
        <f t="shared" si="5"/>
        <v>40</v>
      </c>
      <c r="CF64" s="69">
        <f t="shared" si="6"/>
        <v>40</v>
      </c>
      <c r="CG64" s="45">
        <f t="shared" si="7"/>
        <v>0</v>
      </c>
    </row>
    <row r="65" spans="1:85" ht="14.1" hidden="1" customHeight="1">
      <c r="A65" s="240">
        <f>[1]Юнит!A67</f>
        <v>321907864</v>
      </c>
      <c r="B65" s="241">
        <f>[1]Юнит!B67</f>
        <v>2415742998</v>
      </c>
      <c r="C65" s="240" t="str">
        <f>[1]Юнит!C67</f>
        <v>ACRA7TB401BC</v>
      </c>
      <c r="D65" s="90" t="str">
        <f>[1]Юнит!D67</f>
        <v>Таблетница автомат 7*2 черн</v>
      </c>
      <c r="E65" s="90">
        <f>[1]Юнит!E67</f>
        <v>2042676873814</v>
      </c>
      <c r="F65" s="132">
        <f>ROUNDUP(SUMIFS('ВБ Отчет Продажи (за 60 дней)'!$L:$L,'ВБ Отчет Продажи (за 60 дней)'!$K:$K,"Электросталь",'ВБ Отчет Продажи (за 60 дней)'!$G:$G,$A65),0)</f>
        <v>0</v>
      </c>
      <c r="G65" s="133">
        <f>ROUNDUP(SUMIFS('ВБ Отчет Продажи (за 60 дней)'!$L:$L,'ВБ Отчет Продажи (за 60 дней)'!$K:$K,"Коледино",'ВБ Отчет Продажи (за 60 дней)'!$G:$G,$A65),0)</f>
        <v>0</v>
      </c>
      <c r="H65" s="133">
        <f>ROUNDUP(SUMIFS('ВБ Отчет Продажи (за 60 дней)'!$L:$L,'ВБ Отчет Продажи (за 60 дней)'!$K:$K,"Тула",'ВБ Отчет Продажи (за 60 дней)'!$G:$G,$A65),0)</f>
        <v>0</v>
      </c>
      <c r="I65" s="134">
        <f>ROUNDUP(SUMIFS('ВБ Отчет Продажи (за 60 дней)'!$L:$L,'ВБ Отчет Продажи (за 60 дней)'!$K:$K,"Рязань (Тюшевское)",'ВБ Отчет Продажи (за 60 дней)'!$G:$G,$A65),0)</f>
        <v>0</v>
      </c>
      <c r="J65" s="136">
        <f>ROUNDUP(SUMIFS('ВБ Отчет Продажи (за 60 дней)'!$L:$L,'ВБ Отчет Продажи (за 60 дней)'!$K:$K,"Краснодар",'ВБ Отчет Продажи (за 60 дней)'!$G:$G,$A65),0)</f>
        <v>0</v>
      </c>
      <c r="K65" s="133">
        <f>ROUNDUP(SUMIFS('ВБ Отчет Продажи (за 60 дней)'!$L:$L,'ВБ Отчет Продажи (за 60 дней)'!$K:$K,"Невинномысск",'ВБ Отчет Продажи (за 60 дней)'!$G:$G,$A65),0)</f>
        <v>0</v>
      </c>
      <c r="L65" s="137">
        <f>ROUNDUP(SUMIFS('ВБ Отчет Продажи (за 60 дней)'!$L:$L,'ВБ Отчет Продажи (за 60 дней)'!$K:$K,"Волгоград",'ВБ Отчет Продажи (за 60 дней)'!$G:$G,$A65),0)</f>
        <v>0</v>
      </c>
      <c r="M65" s="136">
        <f>ROUNDUP(SUMIFS('ВБ Отчет Продажи (за 60 дней)'!$L:$L,'ВБ Отчет Продажи (за 60 дней)'!$K:$K,"Самара (Новосемейкино)",'ВБ Отчет Продажи (за 60 дней)'!$G:$G,$A65),0)</f>
        <v>0</v>
      </c>
      <c r="N65" s="137">
        <f>ROUNDUP(SUMIFS('ВБ Отчет Продажи (за 60 дней)'!$L:$L,'ВБ Отчет Продажи (за 60 дней)'!$K:$K,"Казань",'ВБ Отчет Продажи (за 60 дней)'!$G:$G,$A65),0)</f>
        <v>0</v>
      </c>
      <c r="O65" s="137">
        <f>ROUNDUP(SUMIFS('ВБ Отчет Продажи (за 60 дней)'!$L:$L,'ВБ Отчет Продажи (за 60 дней)'!$K:$K,"СПБ Шушары",'ВБ Отчет Продажи (за 60 дней)'!$G:$G,$A65),0)</f>
        <v>0</v>
      </c>
      <c r="P65" s="151">
        <f>ROUNDUP(SUMIFS('ВБ Отчет Продажи (за 60 дней)'!$L:$L,'ВБ Отчет Продажи (за 60 дней)'!$K:$K,"Екатеринбург - Перспективный 12",'ВБ Отчет Продажи (за 60 дней)'!$G:$G,$A65),0)</f>
        <v>0</v>
      </c>
      <c r="Q65" s="149">
        <f>ROUNDUP(SUMIFS('ВБ Отчет Продажи (за 60 дней)'!$L:$L,'ВБ Отчет Продажи (за 60 дней)'!$K:$K,"Новосибирск",'ВБ Отчет Продажи (за 60 дней)'!$G:$G,$A65),0)</f>
        <v>0</v>
      </c>
      <c r="R65" s="131">
        <f t="shared" si="31"/>
        <v>0</v>
      </c>
      <c r="S65" s="139">
        <f>SUMIFS('ОЗОН Оборот ведом (за 60 дней)'!I:I,'ОЗОН Оборот ведом (за 60 дней)'!A:A,B65)</f>
        <v>0</v>
      </c>
      <c r="T65" s="140">
        <f t="shared" si="8"/>
        <v>0</v>
      </c>
      <c r="U65" s="6">
        <f>SUMIFS('ВБ Отчет Продажи (за 60 дней)'!$P:$P,'ВБ Отчет Продажи (за 60 дней)'!$K:$K,"Электросталь",'ВБ Отчет Продажи (за 60 дней)'!$G:$G,$A65)</f>
        <v>0</v>
      </c>
      <c r="V65" s="7">
        <f>SUMIFS('ВБ Отчет Продажи (за 60 дней)'!$P:$P,'ВБ Отчет Продажи (за 60 дней)'!$K:$K,"Коледино",'ВБ Отчет Продажи (за 60 дней)'!$G:$G,$A65)</f>
        <v>0</v>
      </c>
      <c r="W65" s="7">
        <f>SUMIFS('ВБ Отчет Продажи (за 60 дней)'!$P:$P,'ВБ Отчет Продажи (за 60 дней)'!$K:$K,"Тула",'ВБ Отчет Продажи (за 60 дней)'!$G:$G,$A65)</f>
        <v>0</v>
      </c>
      <c r="X65" s="7">
        <f>SUMIFS('ВБ Отчет Продажи (за 60 дней)'!$P:$P,'ВБ Отчет Продажи (за 60 дней)'!$K:$K,"Рязань (Тюшевское)",'ВБ Отчет Продажи (за 60 дней)'!$G:$G,$A65)</f>
        <v>0</v>
      </c>
      <c r="Y65" s="27">
        <f>SUMIFS('ВБ Отчет Продажи (за 60 дней)'!$P:$P,'ВБ Отчет Продажи (за 60 дней)'!$K:$K,"Краснодар",'ВБ Отчет Продажи (за 60 дней)'!$G:$G,$A65)</f>
        <v>0</v>
      </c>
      <c r="Z65" s="7">
        <f>SUMIFS('ВБ Отчет Продажи (за 60 дней)'!$P:$P,'ВБ Отчет Продажи (за 60 дней)'!$K:$K,"Невинномысск",'ВБ Отчет Продажи (за 60 дней)'!$G:$G,$A65)</f>
        <v>0</v>
      </c>
      <c r="AA65" s="104">
        <f>SUMIFS('ВБ Отчет Продажи (за 60 дней)'!$P:$P,'ВБ Отчет Продажи (за 60 дней)'!$K:$K,"Волгоград",'ВБ Отчет Продажи (за 60 дней)'!$G:$G,$A65)</f>
        <v>0</v>
      </c>
      <c r="AB65" s="27">
        <f>SUMIFS('ВБ Отчет Продажи (за 60 дней)'!$P:$P,'ВБ Отчет Продажи (за 60 дней)'!$K:$K,"Самара (Новосемейкино)",'ВБ Отчет Продажи (за 60 дней)'!$G:$G,$A65)</f>
        <v>0</v>
      </c>
      <c r="AC65" s="104">
        <f>SUMIFS('ВБ Отчет Продажи (за 60 дней)'!$P:$P,'ВБ Отчет Продажи (за 60 дней)'!$K:$K,"Казань",'ВБ Отчет Продажи (за 60 дней)'!$G:$G,$A65)</f>
        <v>0</v>
      </c>
      <c r="AD65" s="104">
        <f>SUMIFS('ВБ Отчет Продажи (за 60 дней)'!$P:$P,'ВБ Отчет Продажи (за 60 дней)'!$K:$K,"СПБ Шушары",'ВБ Отчет Продажи (за 60 дней)'!$G:$G,$A65)</f>
        <v>0</v>
      </c>
      <c r="AE65" s="153">
        <f>SUMIFS('ВБ Отчет Продажи (за 60 дней)'!$P:$P,'ВБ Отчет Продажи (за 60 дней)'!$K:$K,"Екатеринбург - Перспективный 12",'ВБ Отчет Продажи (за 60 дней)'!$G:$G,$A65)</f>
        <v>0</v>
      </c>
      <c r="AF65" s="102">
        <f>SUMIFS('ВБ Отчет Продажи (за 60 дней)'!$P:$P,'ВБ Отчет Продажи (за 60 дней)'!$K:$K,"Новосибирск",'ВБ Отчет Продажи (за 60 дней)'!$G:$G,$A65)</f>
        <v>0</v>
      </c>
      <c r="AG65" s="124">
        <f t="shared" si="9"/>
        <v>0</v>
      </c>
      <c r="AH65" s="7">
        <f t="shared" si="10"/>
        <v>0</v>
      </c>
      <c r="AI65" s="213">
        <f>SUMIFS('ОЗОН Оборот ведом (за 60 дней)'!J:J,'ОЗОН Оборот ведом (за 60 дней)'!A:A,B65)</f>
        <v>0</v>
      </c>
      <c r="AJ65" s="21">
        <f t="shared" si="11"/>
        <v>0</v>
      </c>
      <c r="AK65" s="7" t="str" cm="1">
        <f t="array" ref="AK65">IFERROR(_xlfn.IFS((F65-U65)&gt;0,F65/$R$1*$AY$1-U65,F65+U65=0,"нов"),0)</f>
        <v>нов</v>
      </c>
      <c r="AL65" s="7" t="str" cm="1">
        <f t="array" ref="AL65">IFERROR(_xlfn.IFS((G65-V65)&gt;0,G65/$R$1*$AY$1-V65,G65+V65=0,"нов"),0)</f>
        <v>нов</v>
      </c>
      <c r="AM65" s="7" t="str" cm="1">
        <f t="array" ref="AM65">IFERROR(_xlfn.IFS((H65-W65)&gt;0,H65/$R$1*$AY$1-W65,H65+W65=0,"нов"),0)</f>
        <v>нов</v>
      </c>
      <c r="AN65" s="7" t="str" cm="1">
        <f t="array" ref="AN65">IFERROR(_xlfn.IFS((I65-X65)&gt;0,I65/$R$1*$AY$1-X65,I65+X65=0,"нов"),0)</f>
        <v>нов</v>
      </c>
      <c r="AO65" s="27" t="str" cm="1">
        <f t="array" ref="AO65">IFERROR(_xlfn.IFS((J65-Y65)&gt;0,J65/$R$1*$AY$1-Y65,J65+Y65=0,"нов"),0)</f>
        <v>нов</v>
      </c>
      <c r="AP65" s="7" t="str" cm="1">
        <f t="array" ref="AP65">IFERROR(_xlfn.IFS((K65-Z65)&gt;0,K65/$R$1*$AY$1-Z65,K65+Z65=0,"нов"),0)</f>
        <v>нов</v>
      </c>
      <c r="AQ65" s="104" t="str" cm="1">
        <f t="array" ref="AQ65">IFERROR(_xlfn.IFS((L65-AA65)&gt;0,L65/$R$1*$AY$1-AA65,L65+AA65=0,"нов"),0)</f>
        <v>нов</v>
      </c>
      <c r="AR65" s="27" t="str" cm="1">
        <f t="array" ref="AR65">IFERROR(_xlfn.IFS((M65-AB65)&gt;0,M65/$R$1*$AY$1-AB65,M65+AB65=0,"нов"),0)</f>
        <v>нов</v>
      </c>
      <c r="AS65" s="104" t="str" cm="1">
        <f t="array" ref="AS65">IFERROR(_xlfn.IFS((N65-AC65)&gt;0,N65/$R$1*$AY$1-AC65,N65+AC65=0,"нов"),0)</f>
        <v>нов</v>
      </c>
      <c r="AT65" s="104" t="str" cm="1">
        <f t="array" ref="AT65">IFERROR(_xlfn.IFS((O65-AD65)&gt;0,O65/$R$1*$AY$1-AD65,O65+AD65=0,"нов"),0)</f>
        <v>нов</v>
      </c>
      <c r="AU65" s="7" t="str" cm="1">
        <f t="array" ref="AU65">IFERROR(_xlfn.IFS((P65-AE65)&gt;0,P65/$R$1*$AY$1-AE65,P65+AE65=0,"нов"),0)</f>
        <v>нов</v>
      </c>
      <c r="AV65" s="7" t="str" cm="1">
        <f t="array" ref="AV65">IFERROR(_xlfn.IFS((Q65-AF65)&gt;0,Q65/$R$1*$AY$1-AF65,Q65+AF65=0,"нов"),0)</f>
        <v>нов</v>
      </c>
      <c r="AW65" s="141">
        <f t="shared" si="12"/>
        <v>0</v>
      </c>
      <c r="AX65" s="218">
        <f>SUMIF('ОЗОН Доступн товара'!D:D,_xlfn.XLOOKUP($B65,'ОЗОН Доступн товара'!$A:$A,'ОЗОН Доступн товара'!$D:$D,0))</f>
        <v>0</v>
      </c>
      <c r="AY65" s="226">
        <f t="shared" si="13"/>
        <v>0</v>
      </c>
      <c r="AZ65" s="7" t="str">
        <f t="shared" si="14"/>
        <v>нов</v>
      </c>
      <c r="BA65" s="7" t="str">
        <f t="shared" si="15"/>
        <v>нов</v>
      </c>
      <c r="BB65" s="7" t="str">
        <f t="shared" si="16"/>
        <v>нов</v>
      </c>
      <c r="BC65" s="7" t="str">
        <f t="shared" si="17"/>
        <v>нов</v>
      </c>
      <c r="BD65" s="27" t="str">
        <f t="shared" si="18"/>
        <v>нов</v>
      </c>
      <c r="BE65" s="7" t="str">
        <f t="shared" si="19"/>
        <v>нов</v>
      </c>
      <c r="BF65" s="104" t="str">
        <f t="shared" si="20"/>
        <v>нов</v>
      </c>
      <c r="BG65" s="27" t="str">
        <f t="shared" si="21"/>
        <v>нов</v>
      </c>
      <c r="BH65" s="104" t="str">
        <f t="shared" si="22"/>
        <v>нов</v>
      </c>
      <c r="BI65" s="7" t="str">
        <f t="shared" si="23"/>
        <v>нов</v>
      </c>
      <c r="BJ65" s="153" t="str">
        <f t="shared" si="24"/>
        <v>нов</v>
      </c>
      <c r="BK65" s="7" t="str">
        <f t="shared" si="25"/>
        <v>нов</v>
      </c>
      <c r="BL65" s="6">
        <f t="shared" si="26"/>
        <v>0</v>
      </c>
      <c r="BM65" s="6">
        <f t="shared" si="27"/>
        <v>0</v>
      </c>
      <c r="BN65" s="28">
        <f t="shared" si="28"/>
        <v>0</v>
      </c>
      <c r="BO65" s="73">
        <f>IFERROR(_xlfn.XLOOKUP(A65,'[2] Расчет стоимости и веса'!$I:$I,'[2] Расчет стоимости и веса'!$D:$D),0)</f>
        <v>0</v>
      </c>
      <c r="BP65" s="227">
        <f t="shared" si="29"/>
        <v>0</v>
      </c>
      <c r="BQ65" s="8"/>
      <c r="BR65" s="155"/>
      <c r="BS65" s="12"/>
      <c r="BT65" s="12"/>
      <c r="BU65" s="229"/>
      <c r="BV65" s="12"/>
      <c r="BW65" s="12"/>
      <c r="BY65" s="231"/>
      <c r="BZ65" s="232"/>
      <c r="CA65" s="155"/>
      <c r="CB65" s="157"/>
      <c r="CC65" s="57"/>
      <c r="CD65" s="12"/>
      <c r="CE65" s="146">
        <f t="shared" si="5"/>
        <v>0</v>
      </c>
      <c r="CF65" s="69">
        <f t="shared" si="6"/>
        <v>0</v>
      </c>
      <c r="CG65" s="45">
        <f t="shared" si="7"/>
        <v>0</v>
      </c>
    </row>
    <row r="66" spans="1:85" s="176" customFormat="1" ht="14.1" hidden="1" customHeight="1">
      <c r="A66" s="240">
        <f>[1]Юнит!A68</f>
        <v>271441230</v>
      </c>
      <c r="B66" s="241">
        <f>[1]Юнит!B68</f>
        <v>0</v>
      </c>
      <c r="C66" s="240" t="str">
        <f>[1]Юнит!C68</f>
        <v>ACRB1SK201BC</v>
      </c>
      <c r="D66" s="90" t="str">
        <f>[1]Юнит!D68</f>
        <v>Скакалка со счетчиком</v>
      </c>
      <c r="E66" s="90">
        <f>[1]Юнит!E68</f>
        <v>2041473042966</v>
      </c>
      <c r="F66" s="189">
        <f>ROUNDUP(SUMIFS('ВБ Отчет Продажи (за 60 дней)'!$L:$L,'ВБ Отчет Продажи (за 60 дней)'!$K:$K,"Электросталь",'ВБ Отчет Продажи (за 60 дней)'!$G:$G,$A66),0)</f>
        <v>0</v>
      </c>
      <c r="G66" s="190">
        <f>ROUNDUP(SUMIFS('ВБ Отчет Продажи (за 60 дней)'!$L:$L,'ВБ Отчет Продажи (за 60 дней)'!$K:$K,"Коледино",'ВБ Отчет Продажи (за 60 дней)'!$G:$G,$A66),0)</f>
        <v>0</v>
      </c>
      <c r="H66" s="190">
        <f>ROUNDUP(SUMIFS('ВБ Отчет Продажи (за 60 дней)'!$L:$L,'ВБ Отчет Продажи (за 60 дней)'!$K:$K,"Тула",'ВБ Отчет Продажи (за 60 дней)'!$G:$G,$A66),0)</f>
        <v>0</v>
      </c>
      <c r="I66" s="191">
        <f>ROUNDUP(SUMIFS('ВБ Отчет Продажи (за 60 дней)'!$L:$L,'ВБ Отчет Продажи (за 60 дней)'!$K:$K,"Рязань (Тюшевское)",'ВБ Отчет Продажи (за 60 дней)'!$G:$G,$A66),0)</f>
        <v>0</v>
      </c>
      <c r="J66" s="192">
        <f>ROUNDUP(SUMIFS('ВБ Отчет Продажи (за 60 дней)'!$L:$L,'ВБ Отчет Продажи (за 60 дней)'!$K:$K,"Краснодар",'ВБ Отчет Продажи (за 60 дней)'!$G:$G,$A66),0)</f>
        <v>0</v>
      </c>
      <c r="K66" s="190">
        <f>ROUNDUP(SUMIFS('ВБ Отчет Продажи (за 60 дней)'!$L:$L,'ВБ Отчет Продажи (за 60 дней)'!$K:$K,"Невинномысск",'ВБ Отчет Продажи (за 60 дней)'!$G:$G,$A66),0)</f>
        <v>0</v>
      </c>
      <c r="L66" s="193">
        <f>ROUNDUP(SUMIFS('ВБ Отчет Продажи (за 60 дней)'!$L:$L,'ВБ Отчет Продажи (за 60 дней)'!$K:$K,"Волгоград",'ВБ Отчет Продажи (за 60 дней)'!$G:$G,$A66),0)</f>
        <v>0</v>
      </c>
      <c r="M66" s="192">
        <f>ROUNDUP(SUMIFS('ВБ Отчет Продажи (за 60 дней)'!$L:$L,'ВБ Отчет Продажи (за 60 дней)'!$K:$K,"Самара (Новосемейкино)",'ВБ Отчет Продажи (за 60 дней)'!$G:$G,$A66),0)</f>
        <v>0</v>
      </c>
      <c r="N66" s="193">
        <f>ROUNDUP(SUMIFS('ВБ Отчет Продажи (за 60 дней)'!$L:$L,'ВБ Отчет Продажи (за 60 дней)'!$K:$K,"Казань",'ВБ Отчет Продажи (за 60 дней)'!$G:$G,$A66),0)</f>
        <v>0</v>
      </c>
      <c r="O66" s="193">
        <f>ROUNDUP(SUMIFS('ВБ Отчет Продажи (за 60 дней)'!$L:$L,'ВБ Отчет Продажи (за 60 дней)'!$K:$K,"СПБ Шушары",'ВБ Отчет Продажи (за 60 дней)'!$G:$G,$A66),0)</f>
        <v>0</v>
      </c>
      <c r="P66" s="194">
        <f>ROUNDUP(SUMIFS('ВБ Отчет Продажи (за 60 дней)'!$L:$L,'ВБ Отчет Продажи (за 60 дней)'!$K:$K,"Екатеринбург - Перспективный 12",'ВБ Отчет Продажи (за 60 дней)'!$G:$G,$A66),0)</f>
        <v>0</v>
      </c>
      <c r="Q66" s="195">
        <f>ROUNDUP(SUMIFS('ВБ Отчет Продажи (за 60 дней)'!$L:$L,'ВБ Отчет Продажи (за 60 дней)'!$K:$K,"Новосибирск",'ВБ Отчет Продажи (за 60 дней)'!$G:$G,$A66),0)</f>
        <v>0</v>
      </c>
      <c r="R66" s="196">
        <f t="shared" si="31"/>
        <v>0</v>
      </c>
      <c r="S66" s="197">
        <f>SUMIFS('ОЗОН Оборот ведом (за 60 дней)'!I:I,'ОЗОН Оборот ведом (за 60 дней)'!A:A,B66)</f>
        <v>0</v>
      </c>
      <c r="T66" s="198">
        <f t="shared" si="8"/>
        <v>0</v>
      </c>
      <c r="U66" s="177">
        <f>SUMIFS('ВБ Отчет Продажи (за 60 дней)'!$P:$P,'ВБ Отчет Продажи (за 60 дней)'!$K:$K,"Электросталь",'ВБ Отчет Продажи (за 60 дней)'!$G:$G,$A66)</f>
        <v>0</v>
      </c>
      <c r="V66" s="175">
        <f>SUMIFS('ВБ Отчет Продажи (за 60 дней)'!$P:$P,'ВБ Отчет Продажи (за 60 дней)'!$K:$K,"Коледино",'ВБ Отчет Продажи (за 60 дней)'!$G:$G,$A66)</f>
        <v>0</v>
      </c>
      <c r="W66" s="175">
        <f>SUMIFS('ВБ Отчет Продажи (за 60 дней)'!$P:$P,'ВБ Отчет Продажи (за 60 дней)'!$K:$K,"Тула",'ВБ Отчет Продажи (за 60 дней)'!$G:$G,$A66)</f>
        <v>0</v>
      </c>
      <c r="X66" s="175">
        <f>SUMIFS('ВБ Отчет Продажи (за 60 дней)'!$P:$P,'ВБ Отчет Продажи (за 60 дней)'!$K:$K,"Рязань (Тюшевское)",'ВБ Отчет Продажи (за 60 дней)'!$G:$G,$A66)</f>
        <v>0</v>
      </c>
      <c r="Y66" s="199">
        <f>SUMIFS('ВБ Отчет Продажи (за 60 дней)'!$P:$P,'ВБ Отчет Продажи (за 60 дней)'!$K:$K,"Краснодар",'ВБ Отчет Продажи (за 60 дней)'!$G:$G,$A66)</f>
        <v>0</v>
      </c>
      <c r="Z66" s="175">
        <f>SUMIFS('ВБ Отчет Продажи (за 60 дней)'!$P:$P,'ВБ Отчет Продажи (за 60 дней)'!$K:$K,"Невинномысск",'ВБ Отчет Продажи (за 60 дней)'!$G:$G,$A66)</f>
        <v>0</v>
      </c>
      <c r="AA66" s="200">
        <f>SUMIFS('ВБ Отчет Продажи (за 60 дней)'!$P:$P,'ВБ Отчет Продажи (за 60 дней)'!$K:$K,"Волгоград",'ВБ Отчет Продажи (за 60 дней)'!$G:$G,$A66)</f>
        <v>0</v>
      </c>
      <c r="AB66" s="199">
        <f>SUMIFS('ВБ Отчет Продажи (за 60 дней)'!$P:$P,'ВБ Отчет Продажи (за 60 дней)'!$K:$K,"Самара (Новосемейкино)",'ВБ Отчет Продажи (за 60 дней)'!$G:$G,$A66)</f>
        <v>0</v>
      </c>
      <c r="AC66" s="200">
        <f>SUMIFS('ВБ Отчет Продажи (за 60 дней)'!$P:$P,'ВБ Отчет Продажи (за 60 дней)'!$K:$K,"Казань",'ВБ Отчет Продажи (за 60 дней)'!$G:$G,$A66)</f>
        <v>0</v>
      </c>
      <c r="AD66" s="200">
        <f>SUMIFS('ВБ Отчет Продажи (за 60 дней)'!$P:$P,'ВБ Отчет Продажи (за 60 дней)'!$K:$K,"СПБ Шушары",'ВБ Отчет Продажи (за 60 дней)'!$G:$G,$A66)</f>
        <v>0</v>
      </c>
      <c r="AE66" s="178">
        <f>SUMIFS('ВБ Отчет Продажи (за 60 дней)'!$P:$P,'ВБ Отчет Продажи (за 60 дней)'!$K:$K,"Екатеринбург - Перспективный 12",'ВБ Отчет Продажи (за 60 дней)'!$G:$G,$A66)</f>
        <v>0</v>
      </c>
      <c r="AF66" s="201">
        <f>SUMIFS('ВБ Отчет Продажи (за 60 дней)'!$P:$P,'ВБ Отчет Продажи (за 60 дней)'!$K:$K,"Новосибирск",'ВБ Отчет Продажи (за 60 дней)'!$G:$G,$A66)</f>
        <v>0</v>
      </c>
      <c r="AG66" s="202">
        <f t="shared" si="9"/>
        <v>0</v>
      </c>
      <c r="AH66" s="7">
        <f t="shared" si="10"/>
        <v>0</v>
      </c>
      <c r="AI66" s="215">
        <f>SUMIFS('ОЗОН Оборот ведом (за 60 дней)'!J:J,'ОЗОН Оборот ведом (за 60 дней)'!A:A,B66)</f>
        <v>0</v>
      </c>
      <c r="AJ66" s="203">
        <f t="shared" si="11"/>
        <v>0</v>
      </c>
      <c r="AK66" s="175" t="str" cm="1">
        <f t="array" ref="AK66">IFERROR(_xlfn.IFS((F66-U66)&gt;0,F66/$R$1*$AY$1-U66,F66+U66=0,"нов"),0)</f>
        <v>нов</v>
      </c>
      <c r="AL66" s="175" t="str" cm="1">
        <f t="array" ref="AL66">IFERROR(_xlfn.IFS((G66-V66)&gt;0,G66/$R$1*$AY$1-V66,G66+V66=0,"нов"),0)</f>
        <v>нов</v>
      </c>
      <c r="AM66" s="175" t="str" cm="1">
        <f t="array" ref="AM66">IFERROR(_xlfn.IFS((H66-W66)&gt;0,H66/$R$1*$AY$1-W66,H66+W66=0,"нов"),0)</f>
        <v>нов</v>
      </c>
      <c r="AN66" s="175" t="str" cm="1">
        <f t="array" ref="AN66">IFERROR(_xlfn.IFS((I66-X66)&gt;0,I66/$R$1*$AY$1-X66,I66+X66=0,"нов"),0)</f>
        <v>нов</v>
      </c>
      <c r="AO66" s="199" t="str" cm="1">
        <f t="array" ref="AO66">IFERROR(_xlfn.IFS((J66-Y66)&gt;0,J66/$R$1*$AY$1-Y66,J66+Y66=0,"нов"),0)</f>
        <v>нов</v>
      </c>
      <c r="AP66" s="175" t="str" cm="1">
        <f t="array" ref="AP66">IFERROR(_xlfn.IFS((K66-Z66)&gt;0,K66/$R$1*$AY$1-Z66,K66+Z66=0,"нов"),0)</f>
        <v>нов</v>
      </c>
      <c r="AQ66" s="200" t="str" cm="1">
        <f t="array" ref="AQ66">IFERROR(_xlfn.IFS((L66-AA66)&gt;0,L66/$R$1*$AY$1-AA66,L66+AA66=0,"нов"),0)</f>
        <v>нов</v>
      </c>
      <c r="AR66" s="199" t="str" cm="1">
        <f t="array" ref="AR66">IFERROR(_xlfn.IFS((M66-AB66)&gt;0,M66/$R$1*$AY$1-AB66,M66+AB66=0,"нов"),0)</f>
        <v>нов</v>
      </c>
      <c r="AS66" s="200" t="str" cm="1">
        <f t="array" ref="AS66">IFERROR(_xlfn.IFS((N66-AC66)&gt;0,N66/$R$1*$AY$1-AC66,N66+AC66=0,"нов"),0)</f>
        <v>нов</v>
      </c>
      <c r="AT66" s="200" t="str" cm="1">
        <f t="array" ref="AT66">IFERROR(_xlfn.IFS((O66-AD66)&gt;0,O66/$R$1*$AY$1-AD66,O66+AD66=0,"нов"),0)</f>
        <v>нов</v>
      </c>
      <c r="AU66" s="175" t="str" cm="1">
        <f t="array" ref="AU66">IFERROR(_xlfn.IFS((P66-AE66)&gt;0,P66/$R$1*$AY$1-AE66,P66+AE66=0,"нов"),0)</f>
        <v>нов</v>
      </c>
      <c r="AV66" s="175" t="str" cm="1">
        <f t="array" ref="AV66">IFERROR(_xlfn.IFS((Q66-AF66)&gt;0,Q66/$R$1*$AY$1-AF66,Q66+AF66=0,"нов"),0)</f>
        <v>нов</v>
      </c>
      <c r="AW66" s="204">
        <f t="shared" si="12"/>
        <v>0</v>
      </c>
      <c r="AX66" s="220">
        <f>SUMIF('ОЗОН Доступн товара'!D:D,_xlfn.XLOOKUP($B66,'ОЗОН Доступн товара'!$A:$A,'ОЗОН Доступн товара'!$D:$D,0))</f>
        <v>0</v>
      </c>
      <c r="AY66" s="226">
        <f t="shared" si="13"/>
        <v>0</v>
      </c>
      <c r="AZ66" s="7" t="str">
        <f t="shared" si="14"/>
        <v>нов</v>
      </c>
      <c r="BA66" s="7" t="str">
        <f t="shared" si="15"/>
        <v>нов</v>
      </c>
      <c r="BB66" s="7" t="str">
        <f t="shared" si="16"/>
        <v>нов</v>
      </c>
      <c r="BC66" s="7" t="str">
        <f t="shared" si="17"/>
        <v>нов</v>
      </c>
      <c r="BD66" s="27" t="str">
        <f t="shared" si="18"/>
        <v>нов</v>
      </c>
      <c r="BE66" s="7" t="str">
        <f t="shared" si="19"/>
        <v>нов</v>
      </c>
      <c r="BF66" s="104" t="str">
        <f t="shared" si="20"/>
        <v>нов</v>
      </c>
      <c r="BG66" s="27" t="str">
        <f t="shared" si="21"/>
        <v>нов</v>
      </c>
      <c r="BH66" s="104" t="str">
        <f t="shared" si="22"/>
        <v>нов</v>
      </c>
      <c r="BI66" s="7" t="str">
        <f t="shared" si="23"/>
        <v>нов</v>
      </c>
      <c r="BJ66" s="153" t="str">
        <f t="shared" si="24"/>
        <v>нов</v>
      </c>
      <c r="BK66" s="7" t="str">
        <f t="shared" si="25"/>
        <v>нов</v>
      </c>
      <c r="BL66" s="177">
        <f t="shared" si="26"/>
        <v>0</v>
      </c>
      <c r="BM66" s="177">
        <f t="shared" si="27"/>
        <v>0</v>
      </c>
      <c r="BN66" s="205">
        <f t="shared" si="28"/>
        <v>0</v>
      </c>
      <c r="BO66" s="73">
        <f>IFERROR(_xlfn.XLOOKUP(A66,'[2] Расчет стоимости и веса'!$I:$I,'[2] Расчет стоимости и веса'!$D:$D),0)</f>
        <v>0</v>
      </c>
      <c r="BP66" s="227">
        <f t="shared" si="29"/>
        <v>0</v>
      </c>
      <c r="BQ66" s="206"/>
      <c r="BR66" s="177"/>
      <c r="BS66" s="175"/>
      <c r="BT66" s="175"/>
      <c r="BU66" s="230"/>
      <c r="BV66" s="175"/>
      <c r="BW66" s="175"/>
      <c r="BY66" s="199"/>
      <c r="BZ66" s="200"/>
      <c r="CA66" s="177"/>
      <c r="CB66" s="178"/>
      <c r="CC66" s="179"/>
      <c r="CD66" s="175"/>
      <c r="CE66" s="146">
        <f t="shared" si="5"/>
        <v>0</v>
      </c>
      <c r="CF66" s="69">
        <f t="shared" si="6"/>
        <v>0</v>
      </c>
      <c r="CG66" s="45">
        <f t="shared" si="7"/>
        <v>0</v>
      </c>
    </row>
    <row r="67" spans="1:85" ht="14.1" customHeight="1">
      <c r="A67" s="245">
        <f>[1]Юнит!A69</f>
        <v>251537223</v>
      </c>
      <c r="B67" s="246">
        <f>[1]Юнит!B69</f>
        <v>2415742463</v>
      </c>
      <c r="C67" s="245" t="str">
        <f>[1]Юнит!C69</f>
        <v>AAND1BL101RD</v>
      </c>
      <c r="D67" s="247" t="str">
        <f>[1]Юнит!D69</f>
        <v>Мяч регби красный</v>
      </c>
      <c r="E67" s="90">
        <f>[1]Юнит!E69</f>
        <v>2040903539366</v>
      </c>
      <c r="F67" s="132">
        <f>ROUNDUP(SUMIFS('ВБ Отчет Продажи (за 60 дней)'!$L:$L,'ВБ Отчет Продажи (за 60 дней)'!$K:$K,"Электросталь",'ВБ Отчет Продажи (за 60 дней)'!$G:$G,$A67),0)</f>
        <v>1</v>
      </c>
      <c r="G67" s="133">
        <f>ROUNDUP(SUMIFS('ВБ Отчет Продажи (за 60 дней)'!$L:$L,'ВБ Отчет Продажи (за 60 дней)'!$K:$K,"Коледино",'ВБ Отчет Продажи (за 60 дней)'!$G:$G,$A67),0)</f>
        <v>0</v>
      </c>
      <c r="H67" s="133">
        <f>ROUNDUP(SUMIFS('ВБ Отчет Продажи (за 60 дней)'!$L:$L,'ВБ Отчет Продажи (за 60 дней)'!$K:$K,"Тула",'ВБ Отчет Продажи (за 60 дней)'!$G:$G,$A67),0)</f>
        <v>2</v>
      </c>
      <c r="I67" s="134">
        <f>ROUNDUP(SUMIFS('ВБ Отчет Продажи (за 60 дней)'!$L:$L,'ВБ Отчет Продажи (за 60 дней)'!$K:$K,"Рязань (Тюшевское)",'ВБ Отчет Продажи (за 60 дней)'!$G:$G,$A67),0)</f>
        <v>2</v>
      </c>
      <c r="J67" s="136">
        <f>ROUNDUP(SUMIFS('ВБ Отчет Продажи (за 60 дней)'!$L:$L,'ВБ Отчет Продажи (за 60 дней)'!$K:$K,"Краснодар",'ВБ Отчет Продажи (за 60 дней)'!$G:$G,$A67),0)</f>
        <v>0</v>
      </c>
      <c r="K67" s="133">
        <f>ROUNDUP(SUMIFS('ВБ Отчет Продажи (за 60 дней)'!$L:$L,'ВБ Отчет Продажи (за 60 дней)'!$K:$K,"Невинномысск",'ВБ Отчет Продажи (за 60 дней)'!$G:$G,$A67),0)</f>
        <v>2</v>
      </c>
      <c r="L67" s="137">
        <f>ROUNDUP(SUMIFS('ВБ Отчет Продажи (за 60 дней)'!$L:$L,'ВБ Отчет Продажи (за 60 дней)'!$K:$K,"Волгоград",'ВБ Отчет Продажи (за 60 дней)'!$G:$G,$A67),0)</f>
        <v>0</v>
      </c>
      <c r="M67" s="136">
        <f>ROUNDUP(SUMIFS('ВБ Отчет Продажи (за 60 дней)'!$L:$L,'ВБ Отчет Продажи (за 60 дней)'!$K:$K,"Самара (Новосемейкино)",'ВБ Отчет Продажи (за 60 дней)'!$G:$G,$A67),0)</f>
        <v>4</v>
      </c>
      <c r="N67" s="137">
        <f>ROUNDUP(SUMIFS('ВБ Отчет Продажи (за 60 дней)'!$L:$L,'ВБ Отчет Продажи (за 60 дней)'!$K:$K,"Казань",'ВБ Отчет Продажи (за 60 дней)'!$G:$G,$A67),0)</f>
        <v>9</v>
      </c>
      <c r="O67" s="137">
        <f>ROUNDUP(SUMIFS('ВБ Отчет Продажи (за 60 дней)'!$L:$L,'ВБ Отчет Продажи (за 60 дней)'!$K:$K,"СПБ Шушары",'ВБ Отчет Продажи (за 60 дней)'!$G:$G,$A67),0)</f>
        <v>10</v>
      </c>
      <c r="P67" s="151">
        <f>ROUNDUP(SUMIFS('ВБ Отчет Продажи (за 60 дней)'!$L:$L,'ВБ Отчет Продажи (за 60 дней)'!$K:$K,"Екатеринбург - Перспективный 12",'ВБ Отчет Продажи (за 60 дней)'!$G:$G,$A67),0)</f>
        <v>0</v>
      </c>
      <c r="Q67" s="149">
        <f>ROUNDUP(SUMIFS('ВБ Отчет Продажи (за 60 дней)'!$L:$L,'ВБ Отчет Продажи (за 60 дней)'!$K:$K,"Новосибирск",'ВБ Отчет Продажи (за 60 дней)'!$G:$G,$A67),0)</f>
        <v>0</v>
      </c>
      <c r="R67" s="131">
        <f t="shared" ref="R67:R82" si="32">SUM(F67:Q67)</f>
        <v>30</v>
      </c>
      <c r="S67" s="139">
        <f>SUMIFS('ОЗОН Оборот ведом (за 60 дней)'!I:I,'ОЗОН Оборот ведом (за 60 дней)'!A:A,B67)</f>
        <v>0</v>
      </c>
      <c r="T67" s="140">
        <f t="shared" si="8"/>
        <v>30</v>
      </c>
      <c r="U67" s="6">
        <f>SUMIFS('ВБ Отчет Продажи (за 60 дней)'!$P:$P,'ВБ Отчет Продажи (за 60 дней)'!$K:$K,"Электросталь",'ВБ Отчет Продажи (за 60 дней)'!$G:$G,$A67)</f>
        <v>0</v>
      </c>
      <c r="V67" s="7">
        <f>SUMIFS('ВБ Отчет Продажи (за 60 дней)'!$P:$P,'ВБ Отчет Продажи (за 60 дней)'!$K:$K,"Коледино",'ВБ Отчет Продажи (за 60 дней)'!$G:$G,$A67)</f>
        <v>0</v>
      </c>
      <c r="W67" s="7">
        <f>SUMIFS('ВБ Отчет Продажи (за 60 дней)'!$P:$P,'ВБ Отчет Продажи (за 60 дней)'!$K:$K,"Тула",'ВБ Отчет Продажи (за 60 дней)'!$G:$G,$A67)</f>
        <v>0</v>
      </c>
      <c r="X67" s="7">
        <f>SUMIFS('ВБ Отчет Продажи (за 60 дней)'!$P:$P,'ВБ Отчет Продажи (за 60 дней)'!$K:$K,"Рязань (Тюшевское)",'ВБ Отчет Продажи (за 60 дней)'!$G:$G,$A67)</f>
        <v>0</v>
      </c>
      <c r="Y67" s="27">
        <f>SUMIFS('ВБ Отчет Продажи (за 60 дней)'!$P:$P,'ВБ Отчет Продажи (за 60 дней)'!$K:$K,"Краснодар",'ВБ Отчет Продажи (за 60 дней)'!$G:$G,$A67)</f>
        <v>0</v>
      </c>
      <c r="Z67" s="7">
        <f>SUMIFS('ВБ Отчет Продажи (за 60 дней)'!$P:$P,'ВБ Отчет Продажи (за 60 дней)'!$K:$K,"Невинномысск",'ВБ Отчет Продажи (за 60 дней)'!$G:$G,$A67)</f>
        <v>11</v>
      </c>
      <c r="AA67" s="104">
        <f>SUMIFS('ВБ Отчет Продажи (за 60 дней)'!$P:$P,'ВБ Отчет Продажи (за 60 дней)'!$K:$K,"Волгоград",'ВБ Отчет Продажи (за 60 дней)'!$G:$G,$A67)</f>
        <v>0</v>
      </c>
      <c r="AB67" s="27">
        <f>SUMIFS('ВБ Отчет Продажи (за 60 дней)'!$P:$P,'ВБ Отчет Продажи (за 60 дней)'!$K:$K,"Самара (Новосемейкино)",'ВБ Отчет Продажи (за 60 дней)'!$G:$G,$A67)</f>
        <v>1</v>
      </c>
      <c r="AC67" s="104">
        <f>SUMIFS('ВБ Отчет Продажи (за 60 дней)'!$P:$P,'ВБ Отчет Продажи (за 60 дней)'!$K:$K,"Казань",'ВБ Отчет Продажи (за 60 дней)'!$G:$G,$A67)</f>
        <v>50</v>
      </c>
      <c r="AD67" s="104">
        <f>SUMIFS('ВБ Отчет Продажи (за 60 дней)'!$P:$P,'ВБ Отчет Продажи (за 60 дней)'!$K:$K,"СПБ Шушары",'ВБ Отчет Продажи (за 60 дней)'!$G:$G,$A67)</f>
        <v>5</v>
      </c>
      <c r="AE67" s="153">
        <f>SUMIFS('ВБ Отчет Продажи (за 60 дней)'!$P:$P,'ВБ Отчет Продажи (за 60 дней)'!$K:$K,"Екатеринбург - Перспективный 12",'ВБ Отчет Продажи (за 60 дней)'!$G:$G,$A67)</f>
        <v>0</v>
      </c>
      <c r="AF67" s="102">
        <f>SUMIFS('ВБ Отчет Продажи (за 60 дней)'!$P:$P,'ВБ Отчет Продажи (за 60 дней)'!$K:$K,"Новосибирск",'ВБ Отчет Продажи (за 60 дней)'!$G:$G,$A67)</f>
        <v>0</v>
      </c>
      <c r="AG67" s="124">
        <f t="shared" si="9"/>
        <v>67</v>
      </c>
      <c r="AH67" s="7">
        <f t="shared" si="10"/>
        <v>134</v>
      </c>
      <c r="AI67" s="213">
        <f>SUMIFS('ОЗОН Оборот ведом (за 60 дней)'!J:J,'ОЗОН Оборот ведом (за 60 дней)'!A:A,B67)</f>
        <v>0</v>
      </c>
      <c r="AJ67" s="21">
        <f t="shared" si="11"/>
        <v>67</v>
      </c>
      <c r="AK67" s="7" cm="1">
        <f t="array" ref="AK67">IFERROR(_xlfn.IFS((F67-U67)&gt;0,F67/$R$1*$AY$1-U67,F67+U67=0,"нов"),0)</f>
        <v>1</v>
      </c>
      <c r="AL67" s="7" t="str" cm="1">
        <f t="array" ref="AL67">IFERROR(_xlfn.IFS((G67-V67)&gt;0,G67/$R$1*$AY$1-V67,G67+V67=0,"нов"),0)</f>
        <v>нов</v>
      </c>
      <c r="AM67" s="7" cm="1">
        <f t="array" ref="AM67">IFERROR(_xlfn.IFS((H67-W67)&gt;0,H67/$R$1*$AY$1-W67,H67+W67=0,"нов"),0)</f>
        <v>2</v>
      </c>
      <c r="AN67" s="7" cm="1">
        <f t="array" ref="AN67">IFERROR(_xlfn.IFS((I67-X67)&gt;0,I67/$R$1*$AY$1-X67,I67+X67=0,"нов"),0)</f>
        <v>2</v>
      </c>
      <c r="AO67" s="27" t="str" cm="1">
        <f t="array" ref="AO67">IFERROR(_xlfn.IFS((J67-Y67)&gt;0,J67/$R$1*$AY$1-Y67,J67+Y67=0,"нов"),0)</f>
        <v>нов</v>
      </c>
      <c r="AP67" s="7" cm="1">
        <f t="array" ref="AP67">IFERROR(_xlfn.IFS((K67-Z67)&gt;0,K67/$R$1*$AY$1-Z67,K67+Z67=0,"нов"),0)</f>
        <v>0</v>
      </c>
      <c r="AQ67" s="104" t="str" cm="1">
        <f t="array" ref="AQ67">IFERROR(_xlfn.IFS((L67-AA67)&gt;0,L67/$R$1*$AY$1-AA67,L67+AA67=0,"нов"),0)</f>
        <v>нов</v>
      </c>
      <c r="AR67" s="27" cm="1">
        <f t="array" ref="AR67">IFERROR(_xlfn.IFS((M67-AB67)&gt;0,M67/$R$1*$AY$1-AB67,M67+AB67=0,"нов"),0)</f>
        <v>3</v>
      </c>
      <c r="AS67" s="104" cm="1">
        <f t="array" ref="AS67">IFERROR(_xlfn.IFS((N67-AC67)&gt;0,N67/$R$1*$AY$1-AC67,N67+AC67=0,"нов"),0)</f>
        <v>0</v>
      </c>
      <c r="AT67" s="104" cm="1">
        <f t="array" ref="AT67">IFERROR(_xlfn.IFS((O67-AD67)&gt;0,O67/$R$1*$AY$1-AD67,O67+AD67=0,"нов"),0)</f>
        <v>5</v>
      </c>
      <c r="AU67" s="7" t="str" cm="1">
        <f t="array" ref="AU67">IFERROR(_xlfn.IFS((P67-AE67)&gt;0,P67/$R$1*$AY$1-AE67,P67+AE67=0,"нов"),0)</f>
        <v>нов</v>
      </c>
      <c r="AV67" s="7" t="str" cm="1">
        <f t="array" ref="AV67">IFERROR(_xlfn.IFS((Q67-AF67)&gt;0,Q67/$R$1*$AY$1-AF67,Q67+AF67=0,"нов"),0)</f>
        <v>нов</v>
      </c>
      <c r="AW67" s="141">
        <f t="shared" si="12"/>
        <v>13</v>
      </c>
      <c r="AX67" s="218">
        <f>SUMIF('ОЗОН Доступн товара'!D:D,_xlfn.XLOOKUP($B67,'ОЗОН Доступн товара'!$A:$A,'ОЗОН Доступн товара'!$D:$D,0))</f>
        <v>0</v>
      </c>
      <c r="AY67" s="226">
        <f t="shared" si="13"/>
        <v>13</v>
      </c>
      <c r="AZ67" s="7">
        <f t="shared" si="14"/>
        <v>2</v>
      </c>
      <c r="BA67" s="7" t="str">
        <f t="shared" si="15"/>
        <v>нов</v>
      </c>
      <c r="BB67" s="7">
        <f t="shared" si="16"/>
        <v>3</v>
      </c>
      <c r="BC67" s="7">
        <f t="shared" si="17"/>
        <v>3</v>
      </c>
      <c r="BD67" s="27" t="str">
        <f t="shared" si="18"/>
        <v>нов</v>
      </c>
      <c r="BE67" s="7">
        <f t="shared" si="19"/>
        <v>0</v>
      </c>
      <c r="BF67" s="104" t="str">
        <f t="shared" si="20"/>
        <v>нов</v>
      </c>
      <c r="BG67" s="27">
        <f t="shared" si="21"/>
        <v>4</v>
      </c>
      <c r="BH67" s="104">
        <f t="shared" si="22"/>
        <v>0</v>
      </c>
      <c r="BI67" s="7">
        <f t="shared" si="23"/>
        <v>7</v>
      </c>
      <c r="BJ67" s="153" t="str">
        <f t="shared" si="24"/>
        <v>нов</v>
      </c>
      <c r="BK67" s="7" t="str">
        <f t="shared" si="25"/>
        <v>нов</v>
      </c>
      <c r="BL67" s="6">
        <f t="shared" si="26"/>
        <v>19</v>
      </c>
      <c r="BM67" s="6">
        <f t="shared" si="27"/>
        <v>0</v>
      </c>
      <c r="BN67" s="28">
        <f t="shared" si="28"/>
        <v>19</v>
      </c>
      <c r="BO67" s="73">
        <f>IFERROR(_xlfn.XLOOKUP(A67,'[2] Расчет стоимости и веса'!$I:$I,'[2] Расчет стоимости и веса'!$D:$D),0)</f>
        <v>100</v>
      </c>
      <c r="BP67" s="227">
        <f t="shared" si="29"/>
        <v>100</v>
      </c>
      <c r="BQ67" s="8"/>
      <c r="BR67" s="155">
        <v>40</v>
      </c>
      <c r="BS67" s="12"/>
      <c r="BT67" s="12"/>
      <c r="BU67" s="229"/>
      <c r="BV67" s="12"/>
      <c r="BW67" s="12">
        <v>20</v>
      </c>
      <c r="BY67" s="231"/>
      <c r="BZ67" s="232"/>
      <c r="CA67" s="155">
        <v>20</v>
      </c>
      <c r="CB67" s="157">
        <v>20</v>
      </c>
      <c r="CC67" s="57"/>
      <c r="CD67" s="12"/>
      <c r="CE67" s="146">
        <f t="shared" ref="CE67:CE82" si="33">SUM(BR67:CD67)</f>
        <v>100</v>
      </c>
      <c r="CF67" s="69">
        <f t="shared" ref="CF67:CF82" si="34">MAX(BO67,CE67)-BQ67</f>
        <v>100</v>
      </c>
      <c r="CG67" s="45">
        <f t="shared" ref="CG67:CG82" si="35">BO67+BQ67-CE67</f>
        <v>0</v>
      </c>
    </row>
    <row r="68" spans="1:85" ht="13.5" customHeight="1">
      <c r="A68" s="245">
        <f>[1]Юнит!A70</f>
        <v>251537413</v>
      </c>
      <c r="B68" s="246">
        <f>[1]Юнит!B70</f>
        <v>2415743157</v>
      </c>
      <c r="C68" s="245" t="str">
        <f>[1]Юнит!C70</f>
        <v>AAND1BL101BL</v>
      </c>
      <c r="D68" s="247" t="str">
        <f>[1]Юнит!D70</f>
        <v>Мяч регби синий</v>
      </c>
      <c r="E68" s="90">
        <f>[1]Юнит!E70</f>
        <v>2040903547941</v>
      </c>
      <c r="F68" s="132">
        <f>ROUNDUP(SUMIFS('ВБ Отчет Продажи (за 60 дней)'!$L:$L,'ВБ Отчет Продажи (за 60 дней)'!$K:$K,"Электросталь",'ВБ Отчет Продажи (за 60 дней)'!$G:$G,$A68),0)</f>
        <v>1</v>
      </c>
      <c r="G68" s="133">
        <f>ROUNDUP(SUMIFS('ВБ Отчет Продажи (за 60 дней)'!$L:$L,'ВБ Отчет Продажи (за 60 дней)'!$K:$K,"Коледино",'ВБ Отчет Продажи (за 60 дней)'!$G:$G,$A68),0)</f>
        <v>2</v>
      </c>
      <c r="H68" s="133">
        <f>ROUNDUP(SUMIFS('ВБ Отчет Продажи (за 60 дней)'!$L:$L,'ВБ Отчет Продажи (за 60 дней)'!$K:$K,"Тула",'ВБ Отчет Продажи (за 60 дней)'!$G:$G,$A68),0)</f>
        <v>18</v>
      </c>
      <c r="I68" s="134">
        <f>ROUNDUP(SUMIFS('ВБ Отчет Продажи (за 60 дней)'!$L:$L,'ВБ Отчет Продажи (за 60 дней)'!$K:$K,"Рязань (Тюшевское)",'ВБ Отчет Продажи (за 60 дней)'!$G:$G,$A68),0)</f>
        <v>3</v>
      </c>
      <c r="J68" s="136">
        <f>ROUNDUP(SUMIFS('ВБ Отчет Продажи (за 60 дней)'!$L:$L,'ВБ Отчет Продажи (за 60 дней)'!$K:$K,"Краснодар",'ВБ Отчет Продажи (за 60 дней)'!$G:$G,$A68),0)</f>
        <v>4</v>
      </c>
      <c r="K68" s="133">
        <f>ROUNDUP(SUMIFS('ВБ Отчет Продажи (за 60 дней)'!$L:$L,'ВБ Отчет Продажи (за 60 дней)'!$K:$K,"Невинномысск",'ВБ Отчет Продажи (за 60 дней)'!$G:$G,$A68),0)</f>
        <v>0</v>
      </c>
      <c r="L68" s="137">
        <f>ROUNDUP(SUMIFS('ВБ Отчет Продажи (за 60 дней)'!$L:$L,'ВБ Отчет Продажи (за 60 дней)'!$K:$K,"Волгоград",'ВБ Отчет Продажи (за 60 дней)'!$G:$G,$A68),0)</f>
        <v>0</v>
      </c>
      <c r="M68" s="136">
        <f>ROUNDUP(SUMIFS('ВБ Отчет Продажи (за 60 дней)'!$L:$L,'ВБ Отчет Продажи (за 60 дней)'!$K:$K,"Самара (Новосемейкино)",'ВБ Отчет Продажи (за 60 дней)'!$G:$G,$A68),0)</f>
        <v>4</v>
      </c>
      <c r="N68" s="137">
        <f>ROUNDUP(SUMIFS('ВБ Отчет Продажи (за 60 дней)'!$L:$L,'ВБ Отчет Продажи (за 60 дней)'!$K:$K,"Казань",'ВБ Отчет Продажи (за 60 дней)'!$G:$G,$A68),0)</f>
        <v>6</v>
      </c>
      <c r="O68" s="137">
        <f>ROUNDUP(SUMIFS('ВБ Отчет Продажи (за 60 дней)'!$L:$L,'ВБ Отчет Продажи (за 60 дней)'!$K:$K,"СПБ Шушары",'ВБ Отчет Продажи (за 60 дней)'!$G:$G,$A68),0)</f>
        <v>7</v>
      </c>
      <c r="P68" s="151">
        <f>ROUNDUP(SUMIFS('ВБ Отчет Продажи (за 60 дней)'!$L:$L,'ВБ Отчет Продажи (за 60 дней)'!$K:$K,"Екатеринбург - Перспективный 12",'ВБ Отчет Продажи (за 60 дней)'!$G:$G,$A68),0)</f>
        <v>0</v>
      </c>
      <c r="Q68" s="149">
        <f>ROUNDUP(SUMIFS('ВБ Отчет Продажи (за 60 дней)'!$L:$L,'ВБ Отчет Продажи (за 60 дней)'!$K:$K,"Новосибирск",'ВБ Отчет Продажи (за 60 дней)'!$G:$G,$A68),0)</f>
        <v>0</v>
      </c>
      <c r="R68" s="131">
        <f t="shared" si="32"/>
        <v>45</v>
      </c>
      <c r="S68" s="139">
        <f>SUMIFS('ОЗОН Оборот ведом (за 60 дней)'!I:I,'ОЗОН Оборот ведом (за 60 дней)'!A:A,B68)</f>
        <v>0</v>
      </c>
      <c r="T68" s="140">
        <f t="shared" ref="T68:T82" si="36">SUM(R68:S68)</f>
        <v>45</v>
      </c>
      <c r="U68" s="6">
        <f>SUMIFS('ВБ Отчет Продажи (за 60 дней)'!$P:$P,'ВБ Отчет Продажи (за 60 дней)'!$K:$K,"Электросталь",'ВБ Отчет Продажи (за 60 дней)'!$G:$G,$A68)</f>
        <v>0</v>
      </c>
      <c r="V68" s="7">
        <f>SUMIFS('ВБ Отчет Продажи (за 60 дней)'!$P:$P,'ВБ Отчет Продажи (за 60 дней)'!$K:$K,"Коледино",'ВБ Отчет Продажи (за 60 дней)'!$G:$G,$A68)</f>
        <v>0</v>
      </c>
      <c r="W68" s="7">
        <f>SUMIFS('ВБ Отчет Продажи (за 60 дней)'!$P:$P,'ВБ Отчет Продажи (за 60 дней)'!$K:$K,"Тула",'ВБ Отчет Продажи (за 60 дней)'!$G:$G,$A68)</f>
        <v>35</v>
      </c>
      <c r="X68" s="7">
        <f>SUMIFS('ВБ Отчет Продажи (за 60 дней)'!$P:$P,'ВБ Отчет Продажи (за 60 дней)'!$K:$K,"Рязань (Тюшевское)",'ВБ Отчет Продажи (за 60 дней)'!$G:$G,$A68)</f>
        <v>3</v>
      </c>
      <c r="Y68" s="27">
        <f>SUMIFS('ВБ Отчет Продажи (за 60 дней)'!$P:$P,'ВБ Отчет Продажи (за 60 дней)'!$K:$K,"Краснодар",'ВБ Отчет Продажи (за 60 дней)'!$G:$G,$A68)</f>
        <v>5</v>
      </c>
      <c r="Z68" s="7">
        <f>SUMIFS('ВБ Отчет Продажи (за 60 дней)'!$P:$P,'ВБ Отчет Продажи (за 60 дней)'!$K:$K,"Невинномысск",'ВБ Отчет Продажи (за 60 дней)'!$G:$G,$A68)</f>
        <v>12</v>
      </c>
      <c r="AA68" s="104">
        <f>SUMIFS('ВБ Отчет Продажи (за 60 дней)'!$P:$P,'ВБ Отчет Продажи (за 60 дней)'!$K:$K,"Волгоград",'ВБ Отчет Продажи (за 60 дней)'!$G:$G,$A68)</f>
        <v>0</v>
      </c>
      <c r="AB68" s="27">
        <f>SUMIFS('ВБ Отчет Продажи (за 60 дней)'!$P:$P,'ВБ Отчет Продажи (за 60 дней)'!$K:$K,"Самара (Новосемейкино)",'ВБ Отчет Продажи (за 60 дней)'!$G:$G,$A68)</f>
        <v>5</v>
      </c>
      <c r="AC68" s="104">
        <f>SUMIFS('ВБ Отчет Продажи (за 60 дней)'!$P:$P,'ВБ Отчет Продажи (за 60 дней)'!$K:$K,"Казань",'ВБ Отчет Продажи (за 60 дней)'!$G:$G,$A68)</f>
        <v>55</v>
      </c>
      <c r="AD68" s="104">
        <f>SUMIFS('ВБ Отчет Продажи (за 60 дней)'!$P:$P,'ВБ Отчет Продажи (за 60 дней)'!$K:$K,"СПБ Шушары",'ВБ Отчет Продажи (за 60 дней)'!$G:$G,$A68)</f>
        <v>7</v>
      </c>
      <c r="AE68" s="153">
        <f>SUMIFS('ВБ Отчет Продажи (за 60 дней)'!$P:$P,'ВБ Отчет Продажи (за 60 дней)'!$K:$K,"Екатеринбург - Перспективный 12",'ВБ Отчет Продажи (за 60 дней)'!$G:$G,$A68)</f>
        <v>0</v>
      </c>
      <c r="AF68" s="102">
        <f>SUMIFS('ВБ Отчет Продажи (за 60 дней)'!$P:$P,'ВБ Отчет Продажи (за 60 дней)'!$K:$K,"Новосибирск",'ВБ Отчет Продажи (за 60 дней)'!$G:$G,$A68)</f>
        <v>0</v>
      </c>
      <c r="AG68" s="124">
        <f t="shared" ref="AG68:AG82" si="37">SUM(U68:AF68)</f>
        <v>122</v>
      </c>
      <c r="AH68" s="7">
        <f t="shared" ref="AH68:AH82" si="38">IFERROR(AG68*$R$1/R68,0)</f>
        <v>162.66666666666666</v>
      </c>
      <c r="AI68" s="213">
        <f>SUMIFS('ОЗОН Оборот ведом (за 60 дней)'!J:J,'ОЗОН Оборот ведом (за 60 дней)'!A:A,B68)</f>
        <v>0</v>
      </c>
      <c r="AJ68" s="21">
        <f t="shared" ref="AJ68:AJ82" si="39">AG68+AI68</f>
        <v>122</v>
      </c>
      <c r="AK68" s="7" cm="1">
        <f t="array" ref="AK68">IFERROR(_xlfn.IFS((F68-U68)&gt;0,F68/$R$1*$AY$1-U68,F68+U68=0,"нов"),0)</f>
        <v>1</v>
      </c>
      <c r="AL68" s="7" cm="1">
        <f t="array" ref="AL68">IFERROR(_xlfn.IFS((G68-V68)&gt;0,G68/$R$1*$AY$1-V68,G68+V68=0,"нов"),0)</f>
        <v>2</v>
      </c>
      <c r="AM68" s="7" cm="1">
        <f t="array" ref="AM68">IFERROR(_xlfn.IFS((H68-W68)&gt;0,H68/$R$1*$AY$1-W68,H68+W68=0,"нов"),0)</f>
        <v>0</v>
      </c>
      <c r="AN68" s="7" cm="1">
        <f t="array" ref="AN68">IFERROR(_xlfn.IFS((I68-X68)&gt;0,I68/$R$1*$AY$1-X68,I68+X68=0,"нов"),0)</f>
        <v>0</v>
      </c>
      <c r="AO68" s="27" cm="1">
        <f t="array" ref="AO68">IFERROR(_xlfn.IFS((J68-Y68)&gt;0,J68/$R$1*$AY$1-Y68,J68+Y68=0,"нов"),0)</f>
        <v>0</v>
      </c>
      <c r="AP68" s="7" cm="1">
        <f t="array" ref="AP68">IFERROR(_xlfn.IFS((K68-Z68)&gt;0,K68/$R$1*$AY$1-Z68,K68+Z68=0,"нов"),0)</f>
        <v>0</v>
      </c>
      <c r="AQ68" s="104" t="str" cm="1">
        <f t="array" ref="AQ68">IFERROR(_xlfn.IFS((L68-AA68)&gt;0,L68/$R$1*$AY$1-AA68,L68+AA68=0,"нов"),0)</f>
        <v>нов</v>
      </c>
      <c r="AR68" s="27" cm="1">
        <f t="array" ref="AR68">IFERROR(_xlfn.IFS((M68-AB68)&gt;0,M68/$R$1*$AY$1-AB68,M68+AB68=0,"нов"),0)</f>
        <v>0</v>
      </c>
      <c r="AS68" s="104" cm="1">
        <f t="array" ref="AS68">IFERROR(_xlfn.IFS((N68-AC68)&gt;0,N68/$R$1*$AY$1-AC68,N68+AC68=0,"нов"),0)</f>
        <v>0</v>
      </c>
      <c r="AT68" s="104" cm="1">
        <f t="array" ref="AT68">IFERROR(_xlfn.IFS((O68-AD68)&gt;0,O68/$R$1*$AY$1-AD68,O68+AD68=0,"нов"),0)</f>
        <v>0</v>
      </c>
      <c r="AU68" s="7" t="str" cm="1">
        <f t="array" ref="AU68">IFERROR(_xlfn.IFS((P68-AE68)&gt;0,P68/$R$1*$AY$1-AE68,P68+AE68=0,"нов"),0)</f>
        <v>нов</v>
      </c>
      <c r="AV68" s="7" t="str" cm="1">
        <f t="array" ref="AV68">IFERROR(_xlfn.IFS((Q68-AF68)&gt;0,Q68/$R$1*$AY$1-AF68,Q68+AF68=0,"нов"),0)</f>
        <v>нов</v>
      </c>
      <c r="AW68" s="141">
        <f t="shared" ref="AW68:AW82" si="40">SUM(AK68:AV68)</f>
        <v>3</v>
      </c>
      <c r="AX68" s="218">
        <f>SUMIF('ОЗОН Доступн товара'!D:D,_xlfn.XLOOKUP($B68,'ОЗОН Доступн товара'!$A:$A,'ОЗОН Доступн товара'!$D:$D,0))</f>
        <v>0</v>
      </c>
      <c r="AY68" s="226">
        <f t="shared" ref="AY68:AY82" si="41">SUM(AW68:AX68)</f>
        <v>3</v>
      </c>
      <c r="AZ68" s="7">
        <f t="shared" ref="AZ68:AZ82" si="42">IF(AK68="нов","нов",ROUNDUP(AK68*1.3,0))</f>
        <v>2</v>
      </c>
      <c r="BA68" s="7">
        <f t="shared" ref="BA68:BA82" si="43">IF(AL68="нов","нов",ROUNDUP(AL68*1.3,0))</f>
        <v>3</v>
      </c>
      <c r="BB68" s="7">
        <f t="shared" ref="BB68:BB82" si="44">IF(AM68="нов","нов",ROUNDUP(AM68*1.3,0))</f>
        <v>0</v>
      </c>
      <c r="BC68" s="7">
        <f t="shared" ref="BC68:BC82" si="45">IF(AN68="нов","нов",ROUNDUP(AN68*1.3,0))</f>
        <v>0</v>
      </c>
      <c r="BD68" s="27">
        <f t="shared" ref="BD68:BD82" si="46">IF(AO68="нов","нов",ROUNDUP(AO68*1.3,0))</f>
        <v>0</v>
      </c>
      <c r="BE68" s="7">
        <f t="shared" ref="BE68:BE82" si="47">IF(AP68="нов","нов",ROUNDUP(AP68*1.3,0))</f>
        <v>0</v>
      </c>
      <c r="BF68" s="104" t="str">
        <f t="shared" ref="BF68:BF82" si="48">IF(AQ68="нов","нов",ROUNDUP(AQ68*1.3,0))</f>
        <v>нов</v>
      </c>
      <c r="BG68" s="27">
        <f t="shared" ref="BG68:BG82" si="49">IF(AR68="нов","нов",ROUNDUP(AR68*1.3,0))</f>
        <v>0</v>
      </c>
      <c r="BH68" s="104">
        <f t="shared" ref="BH68:BH82" si="50">IF(AS68="нов","нов",ROUNDUP(AS68*1.3,0))</f>
        <v>0</v>
      </c>
      <c r="BI68" s="7">
        <f t="shared" ref="BI68:BI82" si="51">IF(AT68="нов","нов",ROUNDUP(AT68*1.3,0))</f>
        <v>0</v>
      </c>
      <c r="BJ68" s="153" t="str">
        <f t="shared" ref="BJ68:BJ82" si="52">IF(AU68="нов","нов",ROUNDUP(AU68*1.3,0))</f>
        <v>нов</v>
      </c>
      <c r="BK68" s="7" t="str">
        <f t="shared" ref="BK68:BK82" si="53">IF(AV68="нов","нов",ROUNDUP(AV68*1.3,0))</f>
        <v>нов</v>
      </c>
      <c r="BL68" s="6">
        <f t="shared" ref="BL68:BL82" si="54">SUM(AZ68:BK68)</f>
        <v>5</v>
      </c>
      <c r="BM68" s="6">
        <f t="shared" ref="BM68:BM82" si="55">AX68*1.3</f>
        <v>0</v>
      </c>
      <c r="BN68" s="28">
        <f t="shared" ref="BN68:BN82" si="56">SUM(BL68:BM68)</f>
        <v>5</v>
      </c>
      <c r="BO68" s="73">
        <f>IFERROR(_xlfn.XLOOKUP(A68,'[2] Расчет стоимости и веса'!$I:$I,'[2] Расчет стоимости и веса'!$D:$D),0)</f>
        <v>60</v>
      </c>
      <c r="BP68" s="227">
        <f t="shared" ref="BP68:BP82" si="57">BO68</f>
        <v>60</v>
      </c>
      <c r="BQ68" s="8"/>
      <c r="BR68" s="155">
        <v>20</v>
      </c>
      <c r="BS68" s="12"/>
      <c r="BT68" s="12"/>
      <c r="BU68" s="229"/>
      <c r="BV68" s="12"/>
      <c r="BW68" s="12">
        <v>10</v>
      </c>
      <c r="BY68" s="231"/>
      <c r="BZ68" s="232"/>
      <c r="CA68" s="155">
        <v>10</v>
      </c>
      <c r="CB68" s="157">
        <v>20</v>
      </c>
      <c r="CC68" s="57"/>
      <c r="CD68" s="12"/>
      <c r="CE68" s="146">
        <f t="shared" si="33"/>
        <v>60</v>
      </c>
      <c r="CF68" s="69">
        <f t="shared" si="34"/>
        <v>60</v>
      </c>
      <c r="CG68" s="45">
        <f t="shared" si="35"/>
        <v>0</v>
      </c>
    </row>
    <row r="69" spans="1:85" ht="14.1" customHeight="1">
      <c r="A69" s="245">
        <f>[1]Юнит!A71</f>
        <v>251516159</v>
      </c>
      <c r="B69" s="246">
        <f>[1]Юнит!B71</f>
        <v>1980956952</v>
      </c>
      <c r="C69" s="245" t="str">
        <f>[1]Юнит!C71</f>
        <v>AAND1BL102RD</v>
      </c>
      <c r="D69" s="247" t="str">
        <f>[1]Юнит!D71</f>
        <v>Мяч шина красный</v>
      </c>
      <c r="E69" s="90">
        <f>[1]Юнит!E71</f>
        <v>2040902555480</v>
      </c>
      <c r="F69" s="132">
        <f>ROUNDUP(SUMIFS('ВБ Отчет Продажи (за 60 дней)'!$L:$L,'ВБ Отчет Продажи (за 60 дней)'!$K:$K,"Электросталь",'ВБ Отчет Продажи (за 60 дней)'!$G:$G,$A69),0)</f>
        <v>1</v>
      </c>
      <c r="G69" s="133">
        <f>ROUNDUP(SUMIFS('ВБ Отчет Продажи (за 60 дней)'!$L:$L,'ВБ Отчет Продажи (за 60 дней)'!$K:$K,"Коледино",'ВБ Отчет Продажи (за 60 дней)'!$G:$G,$A69),0)</f>
        <v>1</v>
      </c>
      <c r="H69" s="133">
        <f>ROUNDUP(SUMIFS('ВБ Отчет Продажи (за 60 дней)'!$L:$L,'ВБ Отчет Продажи (за 60 дней)'!$K:$K,"Тула",'ВБ Отчет Продажи (за 60 дней)'!$G:$G,$A69),0)</f>
        <v>1</v>
      </c>
      <c r="I69" s="134">
        <f>ROUNDUP(SUMIFS('ВБ Отчет Продажи (за 60 дней)'!$L:$L,'ВБ Отчет Продажи (за 60 дней)'!$K:$K,"Рязань (Тюшевское)",'ВБ Отчет Продажи (за 60 дней)'!$G:$G,$A69),0)</f>
        <v>0</v>
      </c>
      <c r="J69" s="136">
        <f>ROUNDUP(SUMIFS('ВБ Отчет Продажи (за 60 дней)'!$L:$L,'ВБ Отчет Продажи (за 60 дней)'!$K:$K,"Краснодар",'ВБ Отчет Продажи (за 60 дней)'!$G:$G,$A69),0)</f>
        <v>0</v>
      </c>
      <c r="K69" s="133">
        <f>ROUNDUP(SUMIFS('ВБ Отчет Продажи (за 60 дней)'!$L:$L,'ВБ Отчет Продажи (за 60 дней)'!$K:$K,"Невинномысск",'ВБ Отчет Продажи (за 60 дней)'!$G:$G,$A69),0)</f>
        <v>29</v>
      </c>
      <c r="L69" s="137">
        <f>ROUNDUP(SUMIFS('ВБ Отчет Продажи (за 60 дней)'!$L:$L,'ВБ Отчет Продажи (за 60 дней)'!$K:$K,"Волгоград",'ВБ Отчет Продажи (за 60 дней)'!$G:$G,$A69),0)</f>
        <v>0</v>
      </c>
      <c r="M69" s="136">
        <f>ROUNDUP(SUMIFS('ВБ Отчет Продажи (за 60 дней)'!$L:$L,'ВБ Отчет Продажи (за 60 дней)'!$K:$K,"Самара (Новосемейкино)",'ВБ Отчет Продажи (за 60 дней)'!$G:$G,$A69),0)</f>
        <v>3</v>
      </c>
      <c r="N69" s="137">
        <f>ROUNDUP(SUMIFS('ВБ Отчет Продажи (за 60 дней)'!$L:$L,'ВБ Отчет Продажи (за 60 дней)'!$K:$K,"Казань",'ВБ Отчет Продажи (за 60 дней)'!$G:$G,$A69),0)</f>
        <v>14</v>
      </c>
      <c r="O69" s="137">
        <f>ROUNDUP(SUMIFS('ВБ Отчет Продажи (за 60 дней)'!$L:$L,'ВБ Отчет Продажи (за 60 дней)'!$K:$K,"СПБ Шушары",'ВБ Отчет Продажи (за 60 дней)'!$G:$G,$A69),0)</f>
        <v>13</v>
      </c>
      <c r="P69" s="151">
        <f>ROUNDUP(SUMIFS('ВБ Отчет Продажи (за 60 дней)'!$L:$L,'ВБ Отчет Продажи (за 60 дней)'!$K:$K,"Екатеринбург - Перспективный 12",'ВБ Отчет Продажи (за 60 дней)'!$G:$G,$A69),0)</f>
        <v>0</v>
      </c>
      <c r="Q69" s="149">
        <f>ROUNDUP(SUMIFS('ВБ Отчет Продажи (за 60 дней)'!$L:$L,'ВБ Отчет Продажи (за 60 дней)'!$K:$K,"Новосибирск",'ВБ Отчет Продажи (за 60 дней)'!$G:$G,$A69),0)</f>
        <v>0</v>
      </c>
      <c r="R69" s="131">
        <f t="shared" si="32"/>
        <v>62</v>
      </c>
      <c r="S69" s="139">
        <f>SUMIFS('ОЗОН Оборот ведом (за 60 дней)'!I:I,'ОЗОН Оборот ведом (за 60 дней)'!A:A,B69)</f>
        <v>7</v>
      </c>
      <c r="T69" s="140">
        <f t="shared" si="36"/>
        <v>69</v>
      </c>
      <c r="U69" s="6">
        <f>SUMIFS('ВБ Отчет Продажи (за 60 дней)'!$P:$P,'ВБ Отчет Продажи (за 60 дней)'!$K:$K,"Электросталь",'ВБ Отчет Продажи (за 60 дней)'!$G:$G,$A69)</f>
        <v>0</v>
      </c>
      <c r="V69" s="7">
        <f>SUMIFS('ВБ Отчет Продажи (за 60 дней)'!$P:$P,'ВБ Отчет Продажи (за 60 дней)'!$K:$K,"Коледино",'ВБ Отчет Продажи (за 60 дней)'!$G:$G,$A69)</f>
        <v>0</v>
      </c>
      <c r="W69" s="7">
        <f>SUMIFS('ВБ Отчет Продажи (за 60 дней)'!$P:$P,'ВБ Отчет Продажи (за 60 дней)'!$K:$K,"Тула",'ВБ Отчет Продажи (за 60 дней)'!$G:$G,$A69)</f>
        <v>0</v>
      </c>
      <c r="X69" s="7">
        <f>SUMIFS('ВБ Отчет Продажи (за 60 дней)'!$P:$P,'ВБ Отчет Продажи (за 60 дней)'!$K:$K,"Рязань (Тюшевское)",'ВБ Отчет Продажи (за 60 дней)'!$G:$G,$A69)</f>
        <v>0</v>
      </c>
      <c r="Y69" s="27">
        <f>SUMIFS('ВБ Отчет Продажи (за 60 дней)'!$P:$P,'ВБ Отчет Продажи (за 60 дней)'!$K:$K,"Краснодар",'ВБ Отчет Продажи (за 60 дней)'!$G:$G,$A69)</f>
        <v>0</v>
      </c>
      <c r="Z69" s="7">
        <f>SUMIFS('ВБ Отчет Продажи (за 60 дней)'!$P:$P,'ВБ Отчет Продажи (за 60 дней)'!$K:$K,"Невинномысск",'ВБ Отчет Продажи (за 60 дней)'!$G:$G,$A69)</f>
        <v>5</v>
      </c>
      <c r="AA69" s="104">
        <f>SUMIFS('ВБ Отчет Продажи (за 60 дней)'!$P:$P,'ВБ Отчет Продажи (за 60 дней)'!$K:$K,"Волгоград",'ВБ Отчет Продажи (за 60 дней)'!$G:$G,$A69)</f>
        <v>0</v>
      </c>
      <c r="AB69" s="27">
        <f>SUMIFS('ВБ Отчет Продажи (за 60 дней)'!$P:$P,'ВБ Отчет Продажи (за 60 дней)'!$K:$K,"Самара (Новосемейкино)",'ВБ Отчет Продажи (за 60 дней)'!$G:$G,$A69)</f>
        <v>0</v>
      </c>
      <c r="AC69" s="104">
        <f>SUMIFS('ВБ Отчет Продажи (за 60 дней)'!$P:$P,'ВБ Отчет Продажи (за 60 дней)'!$K:$K,"Казань",'ВБ Отчет Продажи (за 60 дней)'!$G:$G,$A69)</f>
        <v>1</v>
      </c>
      <c r="AD69" s="104">
        <f>SUMIFS('ВБ Отчет Продажи (за 60 дней)'!$P:$P,'ВБ Отчет Продажи (за 60 дней)'!$K:$K,"СПБ Шушары",'ВБ Отчет Продажи (за 60 дней)'!$G:$G,$A69)</f>
        <v>0</v>
      </c>
      <c r="AE69" s="153">
        <f>SUMIFS('ВБ Отчет Продажи (за 60 дней)'!$P:$P,'ВБ Отчет Продажи (за 60 дней)'!$K:$K,"Екатеринбург - Перспективный 12",'ВБ Отчет Продажи (за 60 дней)'!$G:$G,$A69)</f>
        <v>0</v>
      </c>
      <c r="AF69" s="102">
        <f>SUMIFS('ВБ Отчет Продажи (за 60 дней)'!$P:$P,'ВБ Отчет Продажи (за 60 дней)'!$K:$K,"Новосибирск",'ВБ Отчет Продажи (за 60 дней)'!$G:$G,$A69)</f>
        <v>0</v>
      </c>
      <c r="AG69" s="124">
        <f t="shared" si="37"/>
        <v>6</v>
      </c>
      <c r="AH69" s="7">
        <f t="shared" si="38"/>
        <v>5.806451612903226</v>
      </c>
      <c r="AI69" s="213">
        <f>SUMIFS('ОЗОН Оборот ведом (за 60 дней)'!J:J,'ОЗОН Оборот ведом (за 60 дней)'!A:A,B69)</f>
        <v>2</v>
      </c>
      <c r="AJ69" s="21">
        <f t="shared" si="39"/>
        <v>8</v>
      </c>
      <c r="AK69" s="7" cm="1">
        <f t="array" ref="AK69">IFERROR(_xlfn.IFS((F69-U69)&gt;0,F69/$R$1*$AY$1-U69,F69+U69=0,"нов"),0)</f>
        <v>1</v>
      </c>
      <c r="AL69" s="7" cm="1">
        <f t="array" ref="AL69">IFERROR(_xlfn.IFS((G69-V69)&gt;0,G69/$R$1*$AY$1-V69,G69+V69=0,"нов"),0)</f>
        <v>1</v>
      </c>
      <c r="AM69" s="7" cm="1">
        <f t="array" ref="AM69">IFERROR(_xlfn.IFS((H69-W69)&gt;0,H69/$R$1*$AY$1-W69,H69+W69=0,"нов"),0)</f>
        <v>1</v>
      </c>
      <c r="AN69" s="7" t="str" cm="1">
        <f t="array" ref="AN69">IFERROR(_xlfn.IFS((I69-X69)&gt;0,I69/$R$1*$AY$1-X69,I69+X69=0,"нов"),0)</f>
        <v>нов</v>
      </c>
      <c r="AO69" s="27" t="str" cm="1">
        <f t="array" ref="AO69">IFERROR(_xlfn.IFS((J69-Y69)&gt;0,J69/$R$1*$AY$1-Y69,J69+Y69=0,"нов"),0)</f>
        <v>нов</v>
      </c>
      <c r="AP69" s="7" cm="1">
        <f t="array" ref="AP69">IFERROR(_xlfn.IFS((K69-Z69)&gt;0,K69/$R$1*$AY$1-Z69,K69+Z69=0,"нов"),0)</f>
        <v>24</v>
      </c>
      <c r="AQ69" s="104" t="str" cm="1">
        <f t="array" ref="AQ69">IFERROR(_xlfn.IFS((L69-AA69)&gt;0,L69/$R$1*$AY$1-AA69,L69+AA69=0,"нов"),0)</f>
        <v>нов</v>
      </c>
      <c r="AR69" s="27" cm="1">
        <f t="array" ref="AR69">IFERROR(_xlfn.IFS((M69-AB69)&gt;0,M69/$R$1*$AY$1-AB69,M69+AB69=0,"нов"),0)</f>
        <v>3</v>
      </c>
      <c r="AS69" s="104" cm="1">
        <f t="array" ref="AS69">IFERROR(_xlfn.IFS((N69-AC69)&gt;0,N69/$R$1*$AY$1-AC69,N69+AC69=0,"нов"),0)</f>
        <v>13</v>
      </c>
      <c r="AT69" s="104" cm="1">
        <f t="array" ref="AT69">IFERROR(_xlfn.IFS((O69-AD69)&gt;0,O69/$R$1*$AY$1-AD69,O69+AD69=0,"нов"),0)</f>
        <v>13</v>
      </c>
      <c r="AU69" s="7" t="str" cm="1">
        <f t="array" ref="AU69">IFERROR(_xlfn.IFS((P69-AE69)&gt;0,P69/$R$1*$AY$1-AE69,P69+AE69=0,"нов"),0)</f>
        <v>нов</v>
      </c>
      <c r="AV69" s="7" t="str" cm="1">
        <f t="array" ref="AV69">IFERROR(_xlfn.IFS((Q69-AF69)&gt;0,Q69/$R$1*$AY$1-AF69,Q69+AF69=0,"нов"),0)</f>
        <v>нов</v>
      </c>
      <c r="AW69" s="141">
        <f t="shared" si="40"/>
        <v>56</v>
      </c>
      <c r="AX69" s="218">
        <f>SUMIF('ОЗОН Доступн товара'!D:D,_xlfn.XLOOKUP($B69,'ОЗОН Доступн товара'!$A:$A,'ОЗОН Доступн товара'!$D:$D,0))</f>
        <v>0</v>
      </c>
      <c r="AY69" s="226">
        <f t="shared" si="41"/>
        <v>56</v>
      </c>
      <c r="AZ69" s="7">
        <f t="shared" si="42"/>
        <v>2</v>
      </c>
      <c r="BA69" s="7">
        <f t="shared" si="43"/>
        <v>2</v>
      </c>
      <c r="BB69" s="7">
        <f t="shared" si="44"/>
        <v>2</v>
      </c>
      <c r="BC69" s="7" t="str">
        <f t="shared" si="45"/>
        <v>нов</v>
      </c>
      <c r="BD69" s="27" t="str">
        <f t="shared" si="46"/>
        <v>нов</v>
      </c>
      <c r="BE69" s="7">
        <f t="shared" si="47"/>
        <v>32</v>
      </c>
      <c r="BF69" s="104" t="str">
        <f t="shared" si="48"/>
        <v>нов</v>
      </c>
      <c r="BG69" s="27">
        <f t="shared" si="49"/>
        <v>4</v>
      </c>
      <c r="BH69" s="104">
        <f t="shared" si="50"/>
        <v>17</v>
      </c>
      <c r="BI69" s="7">
        <f t="shared" si="51"/>
        <v>17</v>
      </c>
      <c r="BJ69" s="153" t="str">
        <f t="shared" si="52"/>
        <v>нов</v>
      </c>
      <c r="BK69" s="7" t="str">
        <f t="shared" si="53"/>
        <v>нов</v>
      </c>
      <c r="BL69" s="6">
        <f t="shared" si="54"/>
        <v>76</v>
      </c>
      <c r="BM69" s="6">
        <f t="shared" si="55"/>
        <v>0</v>
      </c>
      <c r="BN69" s="28">
        <f t="shared" si="56"/>
        <v>76</v>
      </c>
      <c r="BO69" s="73">
        <f>IFERROR(_xlfn.XLOOKUP(A69,'[2] Расчет стоимости и веса'!$I:$I,'[2] Расчет стоимости и веса'!$D:$D),0)</f>
        <v>140</v>
      </c>
      <c r="BP69" s="227">
        <f t="shared" si="57"/>
        <v>140</v>
      </c>
      <c r="BQ69" s="8"/>
      <c r="BR69" s="155">
        <v>50</v>
      </c>
      <c r="BS69" s="12"/>
      <c r="BT69" s="12"/>
      <c r="BU69" s="229"/>
      <c r="BV69" s="12"/>
      <c r="BW69" s="12"/>
      <c r="BY69" s="231">
        <v>30</v>
      </c>
      <c r="BZ69" s="232"/>
      <c r="CA69" s="155">
        <v>30</v>
      </c>
      <c r="CB69" s="157">
        <v>30</v>
      </c>
      <c r="CC69" s="57"/>
      <c r="CD69" s="12"/>
      <c r="CE69" s="146">
        <f t="shared" si="33"/>
        <v>140</v>
      </c>
      <c r="CF69" s="69">
        <f t="shared" si="34"/>
        <v>140</v>
      </c>
      <c r="CG69" s="45">
        <f t="shared" si="35"/>
        <v>0</v>
      </c>
    </row>
    <row r="70" spans="1:85" ht="14.1" customHeight="1">
      <c r="A70" s="245">
        <f>[1]Юнит!A72</f>
        <v>251407392</v>
      </c>
      <c r="B70" s="246">
        <f>[1]Юнит!B72</f>
        <v>1980958902</v>
      </c>
      <c r="C70" s="245" t="str">
        <f>[1]Юнит!C72</f>
        <v>AAND1BL102BL</v>
      </c>
      <c r="D70" s="247" t="str">
        <f>[1]Юнит!D72</f>
        <v>Мяч шина синий</v>
      </c>
      <c r="E70" s="90">
        <f>[1]Юнит!E72</f>
        <v>2040900511679</v>
      </c>
      <c r="F70" s="132">
        <f>ROUNDUP(SUMIFS('ВБ Отчет Продажи (за 60 дней)'!$L:$L,'ВБ Отчет Продажи (за 60 дней)'!$K:$K,"Электросталь",'ВБ Отчет Продажи (за 60 дней)'!$G:$G,$A70),0)</f>
        <v>0</v>
      </c>
      <c r="G70" s="133">
        <f>ROUNDUP(SUMIFS('ВБ Отчет Продажи (за 60 дней)'!$L:$L,'ВБ Отчет Продажи (за 60 дней)'!$K:$K,"Коледино",'ВБ Отчет Продажи (за 60 дней)'!$G:$G,$A70),0)</f>
        <v>1</v>
      </c>
      <c r="H70" s="133">
        <f>ROUNDUP(SUMIFS('ВБ Отчет Продажи (за 60 дней)'!$L:$L,'ВБ Отчет Продажи (за 60 дней)'!$K:$K,"Тула",'ВБ Отчет Продажи (за 60 дней)'!$G:$G,$A70),0)</f>
        <v>0</v>
      </c>
      <c r="I70" s="134">
        <f>ROUNDUP(SUMIFS('ВБ Отчет Продажи (за 60 дней)'!$L:$L,'ВБ Отчет Продажи (за 60 дней)'!$K:$K,"Рязань (Тюшевское)",'ВБ Отчет Продажи (за 60 дней)'!$G:$G,$A70),0)</f>
        <v>0</v>
      </c>
      <c r="J70" s="136">
        <f>ROUNDUP(SUMIFS('ВБ Отчет Продажи (за 60 дней)'!$L:$L,'ВБ Отчет Продажи (за 60 дней)'!$K:$K,"Краснодар",'ВБ Отчет Продажи (за 60 дней)'!$G:$G,$A70),0)</f>
        <v>0</v>
      </c>
      <c r="K70" s="133">
        <f>ROUNDUP(SUMIFS('ВБ Отчет Продажи (за 60 дней)'!$L:$L,'ВБ Отчет Продажи (за 60 дней)'!$K:$K,"Невинномысск",'ВБ Отчет Продажи (за 60 дней)'!$G:$G,$A70),0)</f>
        <v>1</v>
      </c>
      <c r="L70" s="137">
        <f>ROUNDUP(SUMIFS('ВБ Отчет Продажи (за 60 дней)'!$L:$L,'ВБ Отчет Продажи (за 60 дней)'!$K:$K,"Волгоград",'ВБ Отчет Продажи (за 60 дней)'!$G:$G,$A70),0)</f>
        <v>0</v>
      </c>
      <c r="M70" s="136">
        <f>ROUNDUP(SUMIFS('ВБ Отчет Продажи (за 60 дней)'!$L:$L,'ВБ Отчет Продажи (за 60 дней)'!$K:$K,"Самара (Новосемейкино)",'ВБ Отчет Продажи (за 60 дней)'!$G:$G,$A70),0)</f>
        <v>13</v>
      </c>
      <c r="N70" s="137">
        <f>ROUNDUP(SUMIFS('ВБ Отчет Продажи (за 60 дней)'!$L:$L,'ВБ Отчет Продажи (за 60 дней)'!$K:$K,"Казань",'ВБ Отчет Продажи (за 60 дней)'!$G:$G,$A70),0)</f>
        <v>0</v>
      </c>
      <c r="O70" s="137">
        <f>ROUNDUP(SUMIFS('ВБ Отчет Продажи (за 60 дней)'!$L:$L,'ВБ Отчет Продажи (за 60 дней)'!$K:$K,"СПБ Шушары",'ВБ Отчет Продажи (за 60 дней)'!$G:$G,$A70),0)</f>
        <v>0</v>
      </c>
      <c r="P70" s="151">
        <f>ROUNDUP(SUMIFS('ВБ Отчет Продажи (за 60 дней)'!$L:$L,'ВБ Отчет Продажи (за 60 дней)'!$K:$K,"Екатеринбург - Перспективный 12",'ВБ Отчет Продажи (за 60 дней)'!$G:$G,$A70),0)</f>
        <v>0</v>
      </c>
      <c r="Q70" s="149">
        <f>ROUNDUP(SUMIFS('ВБ Отчет Продажи (за 60 дней)'!$L:$L,'ВБ Отчет Продажи (за 60 дней)'!$K:$K,"Новосибирск",'ВБ Отчет Продажи (за 60 дней)'!$G:$G,$A70),0)</f>
        <v>0</v>
      </c>
      <c r="R70" s="131">
        <f t="shared" si="32"/>
        <v>15</v>
      </c>
      <c r="S70" s="139">
        <f>SUMIFS('ОЗОН Оборот ведом (за 60 дней)'!I:I,'ОЗОН Оборот ведом (за 60 дней)'!A:A,B70)</f>
        <v>7</v>
      </c>
      <c r="T70" s="140">
        <f t="shared" si="36"/>
        <v>22</v>
      </c>
      <c r="U70" s="6">
        <f>SUMIFS('ВБ Отчет Продажи (за 60 дней)'!$P:$P,'ВБ Отчет Продажи (за 60 дней)'!$K:$K,"Электросталь",'ВБ Отчет Продажи (за 60 дней)'!$G:$G,$A70)</f>
        <v>0</v>
      </c>
      <c r="V70" s="7">
        <f>SUMIFS('ВБ Отчет Продажи (за 60 дней)'!$P:$P,'ВБ Отчет Продажи (за 60 дней)'!$K:$K,"Коледино",'ВБ Отчет Продажи (за 60 дней)'!$G:$G,$A70)</f>
        <v>0</v>
      </c>
      <c r="W70" s="7">
        <f>SUMIFS('ВБ Отчет Продажи (за 60 дней)'!$P:$P,'ВБ Отчет Продажи (за 60 дней)'!$K:$K,"Тула",'ВБ Отчет Продажи (за 60 дней)'!$G:$G,$A70)</f>
        <v>0</v>
      </c>
      <c r="X70" s="7">
        <f>SUMIFS('ВБ Отчет Продажи (за 60 дней)'!$P:$P,'ВБ Отчет Продажи (за 60 дней)'!$K:$K,"Рязань (Тюшевское)",'ВБ Отчет Продажи (за 60 дней)'!$G:$G,$A70)</f>
        <v>0</v>
      </c>
      <c r="Y70" s="27">
        <f>SUMIFS('ВБ Отчет Продажи (за 60 дней)'!$P:$P,'ВБ Отчет Продажи (за 60 дней)'!$K:$K,"Краснодар",'ВБ Отчет Продажи (за 60 дней)'!$G:$G,$A70)</f>
        <v>0</v>
      </c>
      <c r="Z70" s="7">
        <f>SUMIFS('ВБ Отчет Продажи (за 60 дней)'!$P:$P,'ВБ Отчет Продажи (за 60 дней)'!$K:$K,"Невинномысск",'ВБ Отчет Продажи (за 60 дней)'!$G:$G,$A70)</f>
        <v>59</v>
      </c>
      <c r="AA70" s="104">
        <f>SUMIFS('ВБ Отчет Продажи (за 60 дней)'!$P:$P,'ВБ Отчет Продажи (за 60 дней)'!$K:$K,"Волгоград",'ВБ Отчет Продажи (за 60 дней)'!$G:$G,$A70)</f>
        <v>0</v>
      </c>
      <c r="AB70" s="27">
        <f>SUMIFS('ВБ Отчет Продажи (за 60 дней)'!$P:$P,'ВБ Отчет Продажи (за 60 дней)'!$K:$K,"Самара (Новосемейкино)",'ВБ Отчет Продажи (за 60 дней)'!$G:$G,$A70)</f>
        <v>3</v>
      </c>
      <c r="AC70" s="104">
        <f>SUMIFS('ВБ Отчет Продажи (за 60 дней)'!$P:$P,'ВБ Отчет Продажи (за 60 дней)'!$K:$K,"Казань",'ВБ Отчет Продажи (за 60 дней)'!$G:$G,$A70)</f>
        <v>0</v>
      </c>
      <c r="AD70" s="104">
        <f>SUMIFS('ВБ Отчет Продажи (за 60 дней)'!$P:$P,'ВБ Отчет Продажи (за 60 дней)'!$K:$K,"СПБ Шушары",'ВБ Отчет Продажи (за 60 дней)'!$G:$G,$A70)</f>
        <v>0</v>
      </c>
      <c r="AE70" s="153">
        <f>SUMIFS('ВБ Отчет Продажи (за 60 дней)'!$P:$P,'ВБ Отчет Продажи (за 60 дней)'!$K:$K,"Екатеринбург - Перспективный 12",'ВБ Отчет Продажи (за 60 дней)'!$G:$G,$A70)</f>
        <v>0</v>
      </c>
      <c r="AF70" s="102">
        <f>SUMIFS('ВБ Отчет Продажи (за 60 дней)'!$P:$P,'ВБ Отчет Продажи (за 60 дней)'!$K:$K,"Новосибирск",'ВБ Отчет Продажи (за 60 дней)'!$G:$G,$A70)</f>
        <v>0</v>
      </c>
      <c r="AG70" s="124">
        <f t="shared" si="37"/>
        <v>62</v>
      </c>
      <c r="AH70" s="7">
        <f t="shared" si="38"/>
        <v>248</v>
      </c>
      <c r="AI70" s="213">
        <f>SUMIFS('ОЗОН Оборот ведом (за 60 дней)'!J:J,'ОЗОН Оборот ведом (за 60 дней)'!A:A,B70)</f>
        <v>17</v>
      </c>
      <c r="AJ70" s="21">
        <f t="shared" si="39"/>
        <v>79</v>
      </c>
      <c r="AK70" s="7" t="str" cm="1">
        <f t="array" ref="AK70">IFERROR(_xlfn.IFS((F70-U70)&gt;0,F70/$R$1*$AY$1-U70,F70+U70=0,"нов"),0)</f>
        <v>нов</v>
      </c>
      <c r="AL70" s="7" cm="1">
        <f t="array" ref="AL70">IFERROR(_xlfn.IFS((G70-V70)&gt;0,G70/$R$1*$AY$1-V70,G70+V70=0,"нов"),0)</f>
        <v>1</v>
      </c>
      <c r="AM70" s="7" t="str" cm="1">
        <f t="array" ref="AM70">IFERROR(_xlfn.IFS((H70-W70)&gt;0,H70/$R$1*$AY$1-W70,H70+W70=0,"нов"),0)</f>
        <v>нов</v>
      </c>
      <c r="AN70" s="7" t="str" cm="1">
        <f t="array" ref="AN70">IFERROR(_xlfn.IFS((I70-X70)&gt;0,I70/$R$1*$AY$1-X70,I70+X70=0,"нов"),0)</f>
        <v>нов</v>
      </c>
      <c r="AO70" s="27" t="str" cm="1">
        <f t="array" ref="AO70">IFERROR(_xlfn.IFS((J70-Y70)&gt;0,J70/$R$1*$AY$1-Y70,J70+Y70=0,"нов"),0)</f>
        <v>нов</v>
      </c>
      <c r="AP70" s="7" cm="1">
        <f t="array" ref="AP70">IFERROR(_xlfn.IFS((K70-Z70)&gt;0,K70/$R$1*$AY$1-Z70,K70+Z70=0,"нов"),0)</f>
        <v>0</v>
      </c>
      <c r="AQ70" s="104" t="str" cm="1">
        <f t="array" ref="AQ70">IFERROR(_xlfn.IFS((L70-AA70)&gt;0,L70/$R$1*$AY$1-AA70,L70+AA70=0,"нов"),0)</f>
        <v>нов</v>
      </c>
      <c r="AR70" s="27" cm="1">
        <f t="array" ref="AR70">IFERROR(_xlfn.IFS((M70-AB70)&gt;0,M70/$R$1*$AY$1-AB70,M70+AB70=0,"нов"),0)</f>
        <v>10</v>
      </c>
      <c r="AS70" s="104" t="str" cm="1">
        <f t="array" ref="AS70">IFERROR(_xlfn.IFS((N70-AC70)&gt;0,N70/$R$1*$AY$1-AC70,N70+AC70=0,"нов"),0)</f>
        <v>нов</v>
      </c>
      <c r="AT70" s="104" t="str" cm="1">
        <f t="array" ref="AT70">IFERROR(_xlfn.IFS((O70-AD70)&gt;0,O70/$R$1*$AY$1-AD70,O70+AD70=0,"нов"),0)</f>
        <v>нов</v>
      </c>
      <c r="AU70" s="7" t="str" cm="1">
        <f t="array" ref="AU70">IFERROR(_xlfn.IFS((P70-AE70)&gt;0,P70/$R$1*$AY$1-AE70,P70+AE70=0,"нов"),0)</f>
        <v>нов</v>
      </c>
      <c r="AV70" s="7" t="str" cm="1">
        <f t="array" ref="AV70">IFERROR(_xlfn.IFS((Q70-AF70)&gt;0,Q70/$R$1*$AY$1-AF70,Q70+AF70=0,"нов"),0)</f>
        <v>нов</v>
      </c>
      <c r="AW70" s="141">
        <f t="shared" si="40"/>
        <v>11</v>
      </c>
      <c r="AX70" s="218">
        <f>SUMIF('ОЗОН Доступн товара'!D:D,_xlfn.XLOOKUP($B70,'ОЗОН Доступн товара'!$A:$A,'ОЗОН Доступн товара'!$D:$D,0))</f>
        <v>0</v>
      </c>
      <c r="AY70" s="226">
        <f t="shared" si="41"/>
        <v>11</v>
      </c>
      <c r="AZ70" s="7" t="str">
        <f t="shared" si="42"/>
        <v>нов</v>
      </c>
      <c r="BA70" s="7">
        <f t="shared" si="43"/>
        <v>2</v>
      </c>
      <c r="BB70" s="7" t="str">
        <f t="shared" si="44"/>
        <v>нов</v>
      </c>
      <c r="BC70" s="7" t="str">
        <f t="shared" si="45"/>
        <v>нов</v>
      </c>
      <c r="BD70" s="27" t="str">
        <f t="shared" si="46"/>
        <v>нов</v>
      </c>
      <c r="BE70" s="7">
        <f t="shared" si="47"/>
        <v>0</v>
      </c>
      <c r="BF70" s="104" t="str">
        <f t="shared" si="48"/>
        <v>нов</v>
      </c>
      <c r="BG70" s="27">
        <f t="shared" si="49"/>
        <v>13</v>
      </c>
      <c r="BH70" s="104" t="str">
        <f t="shared" si="50"/>
        <v>нов</v>
      </c>
      <c r="BI70" s="7" t="str">
        <f t="shared" si="51"/>
        <v>нов</v>
      </c>
      <c r="BJ70" s="153" t="str">
        <f t="shared" si="52"/>
        <v>нов</v>
      </c>
      <c r="BK70" s="7" t="str">
        <f t="shared" si="53"/>
        <v>нов</v>
      </c>
      <c r="BL70" s="6">
        <f t="shared" si="54"/>
        <v>15</v>
      </c>
      <c r="BM70" s="6">
        <f t="shared" si="55"/>
        <v>0</v>
      </c>
      <c r="BN70" s="28">
        <f t="shared" si="56"/>
        <v>15</v>
      </c>
      <c r="BO70" s="73">
        <f>IFERROR(_xlfn.XLOOKUP(A70,'[2] Расчет стоимости и веса'!$I:$I,'[2] Расчет стоимости и веса'!$D:$D),0)</f>
        <v>140</v>
      </c>
      <c r="BP70" s="227">
        <f t="shared" si="57"/>
        <v>140</v>
      </c>
      <c r="BQ70" s="8"/>
      <c r="BR70" s="155">
        <v>50</v>
      </c>
      <c r="BS70" s="12"/>
      <c r="BT70" s="12"/>
      <c r="BU70" s="229"/>
      <c r="BV70" s="12"/>
      <c r="BW70" s="12"/>
      <c r="BY70" s="231">
        <v>30</v>
      </c>
      <c r="BZ70" s="232"/>
      <c r="CA70" s="155">
        <v>30</v>
      </c>
      <c r="CB70" s="157">
        <v>30</v>
      </c>
      <c r="CC70" s="57"/>
      <c r="CD70" s="12"/>
      <c r="CE70" s="146">
        <f t="shared" si="33"/>
        <v>140</v>
      </c>
      <c r="CF70" s="69">
        <f t="shared" si="34"/>
        <v>140</v>
      </c>
      <c r="CG70" s="45">
        <f t="shared" si="35"/>
        <v>0</v>
      </c>
    </row>
    <row r="71" spans="1:85" ht="14.1" hidden="1" customHeight="1">
      <c r="A71" s="240">
        <f>[1]Юнит!A73</f>
        <v>302564795</v>
      </c>
      <c r="B71" s="241">
        <f>[1]Юнит!B73</f>
        <v>0</v>
      </c>
      <c r="C71" s="240" t="str">
        <f>[1]Юнит!C73</f>
        <v>AAND1ST202BL</v>
      </c>
      <c r="D71" s="90" t="str">
        <f>[1]Юнит!D73</f>
        <v>Палочка для жевания</v>
      </c>
      <c r="E71" s="90">
        <f>[1]Юнит!E73</f>
        <v>2042253544953</v>
      </c>
      <c r="F71" s="132">
        <f>ROUNDUP(SUMIFS('ВБ Отчет Продажи (за 60 дней)'!$L:$L,'ВБ Отчет Продажи (за 60 дней)'!$K:$K,"Электросталь",'ВБ Отчет Продажи (за 60 дней)'!$G:$G,$A71),0)</f>
        <v>0</v>
      </c>
      <c r="G71" s="133">
        <f>ROUNDUP(SUMIFS('ВБ Отчет Продажи (за 60 дней)'!$L:$L,'ВБ Отчет Продажи (за 60 дней)'!$K:$K,"Коледино",'ВБ Отчет Продажи (за 60 дней)'!$G:$G,$A71),0)</f>
        <v>0</v>
      </c>
      <c r="H71" s="133">
        <f>ROUNDUP(SUMIFS('ВБ Отчет Продажи (за 60 дней)'!$L:$L,'ВБ Отчет Продажи (за 60 дней)'!$K:$K,"Тула",'ВБ Отчет Продажи (за 60 дней)'!$G:$G,$A71),0)</f>
        <v>0</v>
      </c>
      <c r="I71" s="134">
        <f>ROUNDUP(SUMIFS('ВБ Отчет Продажи (за 60 дней)'!$L:$L,'ВБ Отчет Продажи (за 60 дней)'!$K:$K,"Рязань (Тюшевское)",'ВБ Отчет Продажи (за 60 дней)'!$G:$G,$A71),0)</f>
        <v>0</v>
      </c>
      <c r="J71" s="136">
        <f>ROUNDUP(SUMIFS('ВБ Отчет Продажи (за 60 дней)'!$L:$L,'ВБ Отчет Продажи (за 60 дней)'!$K:$K,"Краснодар",'ВБ Отчет Продажи (за 60 дней)'!$G:$G,$A71),0)</f>
        <v>0</v>
      </c>
      <c r="K71" s="133">
        <f>ROUNDUP(SUMIFS('ВБ Отчет Продажи (за 60 дней)'!$L:$L,'ВБ Отчет Продажи (за 60 дней)'!$K:$K,"Невинномысск",'ВБ Отчет Продажи (за 60 дней)'!$G:$G,$A71),0)</f>
        <v>0</v>
      </c>
      <c r="L71" s="137">
        <f>ROUNDUP(SUMIFS('ВБ Отчет Продажи (за 60 дней)'!$L:$L,'ВБ Отчет Продажи (за 60 дней)'!$K:$K,"Волгоград",'ВБ Отчет Продажи (за 60 дней)'!$G:$G,$A71),0)</f>
        <v>0</v>
      </c>
      <c r="M71" s="136">
        <f>ROUNDUP(SUMIFS('ВБ Отчет Продажи (за 60 дней)'!$L:$L,'ВБ Отчет Продажи (за 60 дней)'!$K:$K,"Самара (Новосемейкино)",'ВБ Отчет Продажи (за 60 дней)'!$G:$G,$A71),0)</f>
        <v>0</v>
      </c>
      <c r="N71" s="137">
        <f>ROUNDUP(SUMIFS('ВБ Отчет Продажи (за 60 дней)'!$L:$L,'ВБ Отчет Продажи (за 60 дней)'!$K:$K,"Казань",'ВБ Отчет Продажи (за 60 дней)'!$G:$G,$A71),0)</f>
        <v>0</v>
      </c>
      <c r="O71" s="137">
        <f>ROUNDUP(SUMIFS('ВБ Отчет Продажи (за 60 дней)'!$L:$L,'ВБ Отчет Продажи (за 60 дней)'!$K:$K,"СПБ Шушары",'ВБ Отчет Продажи (за 60 дней)'!$G:$G,$A71),0)</f>
        <v>0</v>
      </c>
      <c r="P71" s="151">
        <f>ROUNDUP(SUMIFS('ВБ Отчет Продажи (за 60 дней)'!$L:$L,'ВБ Отчет Продажи (за 60 дней)'!$K:$K,"Екатеринбург - Перспективный 12",'ВБ Отчет Продажи (за 60 дней)'!$G:$G,$A71),0)</f>
        <v>0</v>
      </c>
      <c r="Q71" s="149">
        <f>ROUNDUP(SUMIFS('ВБ Отчет Продажи (за 60 дней)'!$L:$L,'ВБ Отчет Продажи (за 60 дней)'!$K:$K,"Новосибирск",'ВБ Отчет Продажи (за 60 дней)'!$G:$G,$A71),0)</f>
        <v>0</v>
      </c>
      <c r="R71" s="131">
        <f t="shared" si="32"/>
        <v>0</v>
      </c>
      <c r="S71" s="139">
        <f>SUMIFS('ОЗОН Оборот ведом (за 60 дней)'!I:I,'ОЗОН Оборот ведом (за 60 дней)'!A:A,B71)</f>
        <v>0</v>
      </c>
      <c r="T71" s="140">
        <f t="shared" si="36"/>
        <v>0</v>
      </c>
      <c r="U71" s="6">
        <f>SUMIFS('ВБ Отчет Продажи (за 60 дней)'!$P:$P,'ВБ Отчет Продажи (за 60 дней)'!$K:$K,"Электросталь",'ВБ Отчет Продажи (за 60 дней)'!$G:$G,$A71)</f>
        <v>0</v>
      </c>
      <c r="V71" s="7">
        <f>SUMIFS('ВБ Отчет Продажи (за 60 дней)'!$P:$P,'ВБ Отчет Продажи (за 60 дней)'!$K:$K,"Коледино",'ВБ Отчет Продажи (за 60 дней)'!$G:$G,$A71)</f>
        <v>0</v>
      </c>
      <c r="W71" s="7">
        <f>SUMIFS('ВБ Отчет Продажи (за 60 дней)'!$P:$P,'ВБ Отчет Продажи (за 60 дней)'!$K:$K,"Тула",'ВБ Отчет Продажи (за 60 дней)'!$G:$G,$A71)</f>
        <v>0</v>
      </c>
      <c r="X71" s="7">
        <f>SUMIFS('ВБ Отчет Продажи (за 60 дней)'!$P:$P,'ВБ Отчет Продажи (за 60 дней)'!$K:$K,"Рязань (Тюшевское)",'ВБ Отчет Продажи (за 60 дней)'!$G:$G,$A71)</f>
        <v>0</v>
      </c>
      <c r="Y71" s="27">
        <f>SUMIFS('ВБ Отчет Продажи (за 60 дней)'!$P:$P,'ВБ Отчет Продажи (за 60 дней)'!$K:$K,"Краснодар",'ВБ Отчет Продажи (за 60 дней)'!$G:$G,$A71)</f>
        <v>0</v>
      </c>
      <c r="Z71" s="7">
        <f>SUMIFS('ВБ Отчет Продажи (за 60 дней)'!$P:$P,'ВБ Отчет Продажи (за 60 дней)'!$K:$K,"Невинномысск",'ВБ Отчет Продажи (за 60 дней)'!$G:$G,$A71)</f>
        <v>0</v>
      </c>
      <c r="AA71" s="104">
        <f>SUMIFS('ВБ Отчет Продажи (за 60 дней)'!$P:$P,'ВБ Отчет Продажи (за 60 дней)'!$K:$K,"Волгоград",'ВБ Отчет Продажи (за 60 дней)'!$G:$G,$A71)</f>
        <v>0</v>
      </c>
      <c r="AB71" s="27">
        <f>SUMIFS('ВБ Отчет Продажи (за 60 дней)'!$P:$P,'ВБ Отчет Продажи (за 60 дней)'!$K:$K,"Самара (Новосемейкино)",'ВБ Отчет Продажи (за 60 дней)'!$G:$G,$A71)</f>
        <v>0</v>
      </c>
      <c r="AC71" s="104">
        <f>SUMIFS('ВБ Отчет Продажи (за 60 дней)'!$P:$P,'ВБ Отчет Продажи (за 60 дней)'!$K:$K,"Казань",'ВБ Отчет Продажи (за 60 дней)'!$G:$G,$A71)</f>
        <v>0</v>
      </c>
      <c r="AD71" s="104">
        <f>SUMIFS('ВБ Отчет Продажи (за 60 дней)'!$P:$P,'ВБ Отчет Продажи (за 60 дней)'!$K:$K,"СПБ Шушары",'ВБ Отчет Продажи (за 60 дней)'!$G:$G,$A71)</f>
        <v>0</v>
      </c>
      <c r="AE71" s="153">
        <f>SUMIFS('ВБ Отчет Продажи (за 60 дней)'!$P:$P,'ВБ Отчет Продажи (за 60 дней)'!$K:$K,"Екатеринбург - Перспективный 12",'ВБ Отчет Продажи (за 60 дней)'!$G:$G,$A71)</f>
        <v>0</v>
      </c>
      <c r="AF71" s="102">
        <f>SUMIFS('ВБ Отчет Продажи (за 60 дней)'!$P:$P,'ВБ Отчет Продажи (за 60 дней)'!$K:$K,"Новосибирск",'ВБ Отчет Продажи (за 60 дней)'!$G:$G,$A71)</f>
        <v>0</v>
      </c>
      <c r="AG71" s="124">
        <f t="shared" si="37"/>
        <v>0</v>
      </c>
      <c r="AH71" s="7">
        <f t="shared" si="38"/>
        <v>0</v>
      </c>
      <c r="AI71" s="213">
        <f>SUMIFS('ОЗОН Оборот ведом (за 60 дней)'!J:J,'ОЗОН Оборот ведом (за 60 дней)'!A:A,B71)</f>
        <v>0</v>
      </c>
      <c r="AJ71" s="21">
        <f t="shared" si="39"/>
        <v>0</v>
      </c>
      <c r="AK71" s="7" t="str" cm="1">
        <f t="array" ref="AK71">IFERROR(_xlfn.IFS((F71-U71)&gt;0,F71/$R$1*$AY$1-U71,F71+U71=0,"нов"),0)</f>
        <v>нов</v>
      </c>
      <c r="AL71" s="7" t="str" cm="1">
        <f t="array" ref="AL71">IFERROR(_xlfn.IFS((G71-V71)&gt;0,G71/$R$1*$AY$1-V71,G71+V71=0,"нов"),0)</f>
        <v>нов</v>
      </c>
      <c r="AM71" s="7" t="str" cm="1">
        <f t="array" ref="AM71">IFERROR(_xlfn.IFS((H71-W71)&gt;0,H71/$R$1*$AY$1-W71,H71+W71=0,"нов"),0)</f>
        <v>нов</v>
      </c>
      <c r="AN71" s="7" t="str" cm="1">
        <f t="array" ref="AN71">IFERROR(_xlfn.IFS((I71-X71)&gt;0,I71/$R$1*$AY$1-X71,I71+X71=0,"нов"),0)</f>
        <v>нов</v>
      </c>
      <c r="AO71" s="27" t="str" cm="1">
        <f t="array" ref="AO71">IFERROR(_xlfn.IFS((J71-Y71)&gt;0,J71/$R$1*$AY$1-Y71,J71+Y71=0,"нов"),0)</f>
        <v>нов</v>
      </c>
      <c r="AP71" s="7" t="str" cm="1">
        <f t="array" ref="AP71">IFERROR(_xlfn.IFS((K71-Z71)&gt;0,K71/$R$1*$AY$1-Z71,K71+Z71=0,"нов"),0)</f>
        <v>нов</v>
      </c>
      <c r="AQ71" s="104" t="str" cm="1">
        <f t="array" ref="AQ71">IFERROR(_xlfn.IFS((L71-AA71)&gt;0,L71/$R$1*$AY$1-AA71,L71+AA71=0,"нов"),0)</f>
        <v>нов</v>
      </c>
      <c r="AR71" s="27" t="str" cm="1">
        <f t="array" ref="AR71">IFERROR(_xlfn.IFS((M71-AB71)&gt;0,M71/$R$1*$AY$1-AB71,M71+AB71=0,"нов"),0)</f>
        <v>нов</v>
      </c>
      <c r="AS71" s="104" t="str" cm="1">
        <f t="array" ref="AS71">IFERROR(_xlfn.IFS((N71-AC71)&gt;0,N71/$R$1*$AY$1-AC71,N71+AC71=0,"нов"),0)</f>
        <v>нов</v>
      </c>
      <c r="AT71" s="104" t="str" cm="1">
        <f t="array" ref="AT71">IFERROR(_xlfn.IFS((O71-AD71)&gt;0,O71/$R$1*$AY$1-AD71,O71+AD71=0,"нов"),0)</f>
        <v>нов</v>
      </c>
      <c r="AU71" s="7" t="str" cm="1">
        <f t="array" ref="AU71">IFERROR(_xlfn.IFS((P71-AE71)&gt;0,P71/$R$1*$AY$1-AE71,P71+AE71=0,"нов"),0)</f>
        <v>нов</v>
      </c>
      <c r="AV71" s="7" t="str" cm="1">
        <f t="array" ref="AV71">IFERROR(_xlfn.IFS((Q71-AF71)&gt;0,Q71/$R$1*$AY$1-AF71,Q71+AF71=0,"нов"),0)</f>
        <v>нов</v>
      </c>
      <c r="AW71" s="141">
        <f t="shared" si="40"/>
        <v>0</v>
      </c>
      <c r="AX71" s="218">
        <f>SUMIF('ОЗОН Доступн товара'!D:D,_xlfn.XLOOKUP($B71,'ОЗОН Доступн товара'!$A:$A,'ОЗОН Доступн товара'!$D:$D,0))</f>
        <v>0</v>
      </c>
      <c r="AY71" s="226">
        <f t="shared" si="41"/>
        <v>0</v>
      </c>
      <c r="AZ71" s="7" t="str">
        <f t="shared" si="42"/>
        <v>нов</v>
      </c>
      <c r="BA71" s="7" t="str">
        <f t="shared" si="43"/>
        <v>нов</v>
      </c>
      <c r="BB71" s="7" t="str">
        <f t="shared" si="44"/>
        <v>нов</v>
      </c>
      <c r="BC71" s="7" t="str">
        <f t="shared" si="45"/>
        <v>нов</v>
      </c>
      <c r="BD71" s="27" t="str">
        <f t="shared" si="46"/>
        <v>нов</v>
      </c>
      <c r="BE71" s="7" t="str">
        <f t="shared" si="47"/>
        <v>нов</v>
      </c>
      <c r="BF71" s="104" t="str">
        <f t="shared" si="48"/>
        <v>нов</v>
      </c>
      <c r="BG71" s="27" t="str">
        <f t="shared" si="49"/>
        <v>нов</v>
      </c>
      <c r="BH71" s="104" t="str">
        <f t="shared" si="50"/>
        <v>нов</v>
      </c>
      <c r="BI71" s="7" t="str">
        <f t="shared" si="51"/>
        <v>нов</v>
      </c>
      <c r="BJ71" s="153" t="str">
        <f t="shared" si="52"/>
        <v>нов</v>
      </c>
      <c r="BK71" s="7" t="str">
        <f t="shared" si="53"/>
        <v>нов</v>
      </c>
      <c r="BL71" s="6">
        <f t="shared" si="54"/>
        <v>0</v>
      </c>
      <c r="BM71" s="6">
        <f t="shared" si="55"/>
        <v>0</v>
      </c>
      <c r="BN71" s="28">
        <f t="shared" si="56"/>
        <v>0</v>
      </c>
      <c r="BO71" s="73">
        <f>IFERROR(_xlfn.XLOOKUP(A71,'[2] Расчет стоимости и веса'!$I:$I,'[2] Расчет стоимости и веса'!$D:$D),0)</f>
        <v>0</v>
      </c>
      <c r="BP71" s="227">
        <f t="shared" si="57"/>
        <v>0</v>
      </c>
      <c r="BQ71" s="8"/>
      <c r="BR71" s="155"/>
      <c r="BS71" s="12"/>
      <c r="BT71" s="12"/>
      <c r="BU71" s="229"/>
      <c r="BV71" s="12"/>
      <c r="BW71" s="12"/>
      <c r="BY71" s="231"/>
      <c r="BZ71" s="232"/>
      <c r="CA71" s="155"/>
      <c r="CB71" s="157"/>
      <c r="CC71" s="57"/>
      <c r="CD71" s="12"/>
      <c r="CE71" s="146">
        <f t="shared" si="33"/>
        <v>0</v>
      </c>
      <c r="CF71" s="69">
        <f t="shared" si="34"/>
        <v>0</v>
      </c>
      <c r="CG71" s="45">
        <f t="shared" si="35"/>
        <v>0</v>
      </c>
    </row>
    <row r="72" spans="1:85" ht="14.1" hidden="1" customHeight="1">
      <c r="A72" s="240">
        <f>[1]Юнит!A74</f>
        <v>273588520</v>
      </c>
      <c r="B72" s="241">
        <f>[1]Юнит!B74</f>
        <v>0</v>
      </c>
      <c r="C72" s="240" t="str">
        <f>[1]Юнит!C74</f>
        <v>AAND1RP301BG</v>
      </c>
      <c r="D72" s="90" t="str">
        <f>[1]Юнит!D74</f>
        <v>Канат бол бежевый 55см/520гр</v>
      </c>
      <c r="E72" s="90">
        <f>[1]Юнит!E74</f>
        <v>2041534216404</v>
      </c>
      <c r="F72" s="132">
        <f>ROUNDUP(SUMIFS('ВБ Отчет Продажи (за 60 дней)'!$L:$L,'ВБ Отчет Продажи (за 60 дней)'!$K:$K,"Электросталь",'ВБ Отчет Продажи (за 60 дней)'!$G:$G,$A72),0)</f>
        <v>0</v>
      </c>
      <c r="G72" s="133">
        <f>ROUNDUP(SUMIFS('ВБ Отчет Продажи (за 60 дней)'!$L:$L,'ВБ Отчет Продажи (за 60 дней)'!$K:$K,"Коледино",'ВБ Отчет Продажи (за 60 дней)'!$G:$G,$A72),0)</f>
        <v>0</v>
      </c>
      <c r="H72" s="133">
        <f>ROUNDUP(SUMIFS('ВБ Отчет Продажи (за 60 дней)'!$L:$L,'ВБ Отчет Продажи (за 60 дней)'!$K:$K,"Тула",'ВБ Отчет Продажи (за 60 дней)'!$G:$G,$A72),0)</f>
        <v>0</v>
      </c>
      <c r="I72" s="134">
        <f>ROUNDUP(SUMIFS('ВБ Отчет Продажи (за 60 дней)'!$L:$L,'ВБ Отчет Продажи (за 60 дней)'!$K:$K,"Рязань (Тюшевское)",'ВБ Отчет Продажи (за 60 дней)'!$G:$G,$A72),0)</f>
        <v>0</v>
      </c>
      <c r="J72" s="136">
        <f>ROUNDUP(SUMIFS('ВБ Отчет Продажи (за 60 дней)'!$L:$L,'ВБ Отчет Продажи (за 60 дней)'!$K:$K,"Краснодар",'ВБ Отчет Продажи (за 60 дней)'!$G:$G,$A72),0)</f>
        <v>0</v>
      </c>
      <c r="K72" s="133">
        <f>ROUNDUP(SUMIFS('ВБ Отчет Продажи (за 60 дней)'!$L:$L,'ВБ Отчет Продажи (за 60 дней)'!$K:$K,"Невинномысск",'ВБ Отчет Продажи (за 60 дней)'!$G:$G,$A72),0)</f>
        <v>0</v>
      </c>
      <c r="L72" s="137">
        <f>ROUNDUP(SUMIFS('ВБ Отчет Продажи (за 60 дней)'!$L:$L,'ВБ Отчет Продажи (за 60 дней)'!$K:$K,"Волгоград",'ВБ Отчет Продажи (за 60 дней)'!$G:$G,$A72),0)</f>
        <v>0</v>
      </c>
      <c r="M72" s="136">
        <f>ROUNDUP(SUMIFS('ВБ Отчет Продажи (за 60 дней)'!$L:$L,'ВБ Отчет Продажи (за 60 дней)'!$K:$K,"Самара (Новосемейкино)",'ВБ Отчет Продажи (за 60 дней)'!$G:$G,$A72),0)</f>
        <v>0</v>
      </c>
      <c r="N72" s="137">
        <f>ROUNDUP(SUMIFS('ВБ Отчет Продажи (за 60 дней)'!$L:$L,'ВБ Отчет Продажи (за 60 дней)'!$K:$K,"Казань",'ВБ Отчет Продажи (за 60 дней)'!$G:$G,$A72),0)</f>
        <v>3</v>
      </c>
      <c r="O72" s="137">
        <f>ROUNDUP(SUMIFS('ВБ Отчет Продажи (за 60 дней)'!$L:$L,'ВБ Отчет Продажи (за 60 дней)'!$K:$K,"СПБ Шушары",'ВБ Отчет Продажи (за 60 дней)'!$G:$G,$A72),0)</f>
        <v>0</v>
      </c>
      <c r="P72" s="151">
        <f>ROUNDUP(SUMIFS('ВБ Отчет Продажи (за 60 дней)'!$L:$L,'ВБ Отчет Продажи (за 60 дней)'!$K:$K,"Екатеринбург - Перспективный 12",'ВБ Отчет Продажи (за 60 дней)'!$G:$G,$A72),0)</f>
        <v>0</v>
      </c>
      <c r="Q72" s="149">
        <f>ROUNDUP(SUMIFS('ВБ Отчет Продажи (за 60 дней)'!$L:$L,'ВБ Отчет Продажи (за 60 дней)'!$K:$K,"Новосибирск",'ВБ Отчет Продажи (за 60 дней)'!$G:$G,$A72),0)</f>
        <v>0</v>
      </c>
      <c r="R72" s="131">
        <f t="shared" si="32"/>
        <v>3</v>
      </c>
      <c r="S72" s="139">
        <f>SUMIFS('ОЗОН Оборот ведом (за 60 дней)'!I:I,'ОЗОН Оборот ведом (за 60 дней)'!A:A,B72)</f>
        <v>0</v>
      </c>
      <c r="T72" s="140">
        <f t="shared" si="36"/>
        <v>3</v>
      </c>
      <c r="U72" s="6">
        <f>SUMIFS('ВБ Отчет Продажи (за 60 дней)'!$P:$P,'ВБ Отчет Продажи (за 60 дней)'!$K:$K,"Электросталь",'ВБ Отчет Продажи (за 60 дней)'!$G:$G,$A72)</f>
        <v>0</v>
      </c>
      <c r="V72" s="7">
        <f>SUMIFS('ВБ Отчет Продажи (за 60 дней)'!$P:$P,'ВБ Отчет Продажи (за 60 дней)'!$K:$K,"Коледино",'ВБ Отчет Продажи (за 60 дней)'!$G:$G,$A72)</f>
        <v>0</v>
      </c>
      <c r="W72" s="7">
        <f>SUMIFS('ВБ Отчет Продажи (за 60 дней)'!$P:$P,'ВБ Отчет Продажи (за 60 дней)'!$K:$K,"Тула",'ВБ Отчет Продажи (за 60 дней)'!$G:$G,$A72)</f>
        <v>0</v>
      </c>
      <c r="X72" s="7">
        <f>SUMIFS('ВБ Отчет Продажи (за 60 дней)'!$P:$P,'ВБ Отчет Продажи (за 60 дней)'!$K:$K,"Рязань (Тюшевское)",'ВБ Отчет Продажи (за 60 дней)'!$G:$G,$A72)</f>
        <v>0</v>
      </c>
      <c r="Y72" s="27">
        <f>SUMIFS('ВБ Отчет Продажи (за 60 дней)'!$P:$P,'ВБ Отчет Продажи (за 60 дней)'!$K:$K,"Краснодар",'ВБ Отчет Продажи (за 60 дней)'!$G:$G,$A72)</f>
        <v>4</v>
      </c>
      <c r="Z72" s="7">
        <f>SUMIFS('ВБ Отчет Продажи (за 60 дней)'!$P:$P,'ВБ Отчет Продажи (за 60 дней)'!$K:$K,"Невинномысск",'ВБ Отчет Продажи (за 60 дней)'!$G:$G,$A72)</f>
        <v>0</v>
      </c>
      <c r="AA72" s="104">
        <f>SUMIFS('ВБ Отчет Продажи (за 60 дней)'!$P:$P,'ВБ Отчет Продажи (за 60 дней)'!$K:$K,"Волгоград",'ВБ Отчет Продажи (за 60 дней)'!$G:$G,$A72)</f>
        <v>0</v>
      </c>
      <c r="AB72" s="27">
        <f>SUMIFS('ВБ Отчет Продажи (за 60 дней)'!$P:$P,'ВБ Отчет Продажи (за 60 дней)'!$K:$K,"Самара (Новосемейкино)",'ВБ Отчет Продажи (за 60 дней)'!$G:$G,$A72)</f>
        <v>0</v>
      </c>
      <c r="AC72" s="104">
        <f>SUMIFS('ВБ Отчет Продажи (за 60 дней)'!$P:$P,'ВБ Отчет Продажи (за 60 дней)'!$K:$K,"Казань",'ВБ Отчет Продажи (за 60 дней)'!$G:$G,$A72)</f>
        <v>2</v>
      </c>
      <c r="AD72" s="104">
        <f>SUMIFS('ВБ Отчет Продажи (за 60 дней)'!$P:$P,'ВБ Отчет Продажи (за 60 дней)'!$K:$K,"СПБ Шушары",'ВБ Отчет Продажи (за 60 дней)'!$G:$G,$A72)</f>
        <v>0</v>
      </c>
      <c r="AE72" s="153">
        <f>SUMIFS('ВБ Отчет Продажи (за 60 дней)'!$P:$P,'ВБ Отчет Продажи (за 60 дней)'!$K:$K,"Екатеринбург - Перспективный 12",'ВБ Отчет Продажи (за 60 дней)'!$G:$G,$A72)</f>
        <v>0</v>
      </c>
      <c r="AF72" s="102">
        <f>SUMIFS('ВБ Отчет Продажи (за 60 дней)'!$P:$P,'ВБ Отчет Продажи (за 60 дней)'!$K:$K,"Новосибирск",'ВБ Отчет Продажи (за 60 дней)'!$G:$G,$A72)</f>
        <v>0</v>
      </c>
      <c r="AG72" s="124">
        <f t="shared" si="37"/>
        <v>6</v>
      </c>
      <c r="AH72" s="7">
        <f t="shared" si="38"/>
        <v>120</v>
      </c>
      <c r="AI72" s="213">
        <f>SUMIFS('ОЗОН Оборот ведом (за 60 дней)'!J:J,'ОЗОН Оборот ведом (за 60 дней)'!A:A,B72)</f>
        <v>0</v>
      </c>
      <c r="AJ72" s="21">
        <f t="shared" si="39"/>
        <v>6</v>
      </c>
      <c r="AK72" s="7" t="str" cm="1">
        <f t="array" ref="AK72">IFERROR(_xlfn.IFS((F72-U72)&gt;0,F72/$R$1*$AY$1-U72,F72+U72=0,"нов"),0)</f>
        <v>нов</v>
      </c>
      <c r="AL72" s="7" t="str" cm="1">
        <f t="array" ref="AL72">IFERROR(_xlfn.IFS((G72-V72)&gt;0,G72/$R$1*$AY$1-V72,G72+V72=0,"нов"),0)</f>
        <v>нов</v>
      </c>
      <c r="AM72" s="7" t="str" cm="1">
        <f t="array" ref="AM72">IFERROR(_xlfn.IFS((H72-W72)&gt;0,H72/$R$1*$AY$1-W72,H72+W72=0,"нов"),0)</f>
        <v>нов</v>
      </c>
      <c r="AN72" s="7" t="str" cm="1">
        <f t="array" ref="AN72">IFERROR(_xlfn.IFS((I72-X72)&gt;0,I72/$R$1*$AY$1-X72,I72+X72=0,"нов"),0)</f>
        <v>нов</v>
      </c>
      <c r="AO72" s="27" cm="1">
        <f t="array" ref="AO72">IFERROR(_xlfn.IFS((J72-Y72)&gt;0,J72/$R$1*$AY$1-Y72,J72+Y72=0,"нов"),0)</f>
        <v>0</v>
      </c>
      <c r="AP72" s="7" t="str" cm="1">
        <f t="array" ref="AP72">IFERROR(_xlfn.IFS((K72-Z72)&gt;0,K72/$R$1*$AY$1-Z72,K72+Z72=0,"нов"),0)</f>
        <v>нов</v>
      </c>
      <c r="AQ72" s="104" t="str" cm="1">
        <f t="array" ref="AQ72">IFERROR(_xlfn.IFS((L72-AA72)&gt;0,L72/$R$1*$AY$1-AA72,L72+AA72=0,"нов"),0)</f>
        <v>нов</v>
      </c>
      <c r="AR72" s="27" t="str" cm="1">
        <f t="array" ref="AR72">IFERROR(_xlfn.IFS((M72-AB72)&gt;0,M72/$R$1*$AY$1-AB72,M72+AB72=0,"нов"),0)</f>
        <v>нов</v>
      </c>
      <c r="AS72" s="104" cm="1">
        <f t="array" ref="AS72">IFERROR(_xlfn.IFS((N72-AC72)&gt;0,N72/$R$1*$AY$1-AC72,N72+AC72=0,"нов"),0)</f>
        <v>1</v>
      </c>
      <c r="AT72" s="104" t="str" cm="1">
        <f t="array" ref="AT72">IFERROR(_xlfn.IFS((O72-AD72)&gt;0,O72/$R$1*$AY$1-AD72,O72+AD72=0,"нов"),0)</f>
        <v>нов</v>
      </c>
      <c r="AU72" s="7" t="str" cm="1">
        <f t="array" ref="AU72">IFERROR(_xlfn.IFS((P72-AE72)&gt;0,P72/$R$1*$AY$1-AE72,P72+AE72=0,"нов"),0)</f>
        <v>нов</v>
      </c>
      <c r="AV72" s="7" t="str" cm="1">
        <f t="array" ref="AV72">IFERROR(_xlfn.IFS((Q72-AF72)&gt;0,Q72/$R$1*$AY$1-AF72,Q72+AF72=0,"нов"),0)</f>
        <v>нов</v>
      </c>
      <c r="AW72" s="141">
        <f t="shared" si="40"/>
        <v>1</v>
      </c>
      <c r="AX72" s="218">
        <f>SUMIF('ОЗОН Доступн товара'!D:D,_xlfn.XLOOKUP($B72,'ОЗОН Доступн товара'!$A:$A,'ОЗОН Доступн товара'!$D:$D,0))</f>
        <v>0</v>
      </c>
      <c r="AY72" s="226">
        <f t="shared" si="41"/>
        <v>1</v>
      </c>
      <c r="AZ72" s="7" t="str">
        <f t="shared" si="42"/>
        <v>нов</v>
      </c>
      <c r="BA72" s="7" t="str">
        <f t="shared" si="43"/>
        <v>нов</v>
      </c>
      <c r="BB72" s="7" t="str">
        <f t="shared" si="44"/>
        <v>нов</v>
      </c>
      <c r="BC72" s="7" t="str">
        <f t="shared" si="45"/>
        <v>нов</v>
      </c>
      <c r="BD72" s="27">
        <f t="shared" si="46"/>
        <v>0</v>
      </c>
      <c r="BE72" s="7" t="str">
        <f t="shared" si="47"/>
        <v>нов</v>
      </c>
      <c r="BF72" s="104" t="str">
        <f t="shared" si="48"/>
        <v>нов</v>
      </c>
      <c r="BG72" s="27" t="str">
        <f t="shared" si="49"/>
        <v>нов</v>
      </c>
      <c r="BH72" s="104">
        <f t="shared" si="50"/>
        <v>2</v>
      </c>
      <c r="BI72" s="7" t="str">
        <f t="shared" si="51"/>
        <v>нов</v>
      </c>
      <c r="BJ72" s="153" t="str">
        <f t="shared" si="52"/>
        <v>нов</v>
      </c>
      <c r="BK72" s="7" t="str">
        <f t="shared" si="53"/>
        <v>нов</v>
      </c>
      <c r="BL72" s="6">
        <f t="shared" si="54"/>
        <v>2</v>
      </c>
      <c r="BM72" s="6">
        <f t="shared" si="55"/>
        <v>0</v>
      </c>
      <c r="BN72" s="28">
        <f t="shared" si="56"/>
        <v>2</v>
      </c>
      <c r="BO72" s="73">
        <f>IFERROR(_xlfn.XLOOKUP(A72,'[2] Расчет стоимости и веса'!$I:$I,'[2] Расчет стоимости и веса'!$D:$D),0)</f>
        <v>0</v>
      </c>
      <c r="BP72" s="227">
        <f t="shared" si="57"/>
        <v>0</v>
      </c>
      <c r="BQ72" s="8"/>
      <c r="BR72" s="155"/>
      <c r="BS72" s="12"/>
      <c r="BT72" s="12"/>
      <c r="BU72" s="229"/>
      <c r="BV72" s="12"/>
      <c r="BW72" s="12"/>
      <c r="BY72" s="231"/>
      <c r="BZ72" s="232"/>
      <c r="CA72" s="155"/>
      <c r="CB72" s="157"/>
      <c r="CC72" s="57"/>
      <c r="CD72" s="12"/>
      <c r="CE72" s="146">
        <f t="shared" si="33"/>
        <v>0</v>
      </c>
      <c r="CF72" s="69">
        <f t="shared" si="34"/>
        <v>0</v>
      </c>
      <c r="CG72" s="45">
        <f t="shared" si="35"/>
        <v>0</v>
      </c>
    </row>
    <row r="73" spans="1:85" ht="14.1" hidden="1" customHeight="1">
      <c r="A73" s="240">
        <f>[1]Юнит!A75</f>
        <v>273589771</v>
      </c>
      <c r="B73" s="241">
        <f>[1]Юнит!B75</f>
        <v>0</v>
      </c>
      <c r="C73" s="240" t="str">
        <f>[1]Юнит!C75</f>
        <v>AAND1RP301YL</v>
      </c>
      <c r="D73" s="90" t="str">
        <f>[1]Юнит!D75</f>
        <v>Канат мал желтый 55см/330гр</v>
      </c>
      <c r="E73" s="90">
        <f>[1]Юнит!E75</f>
        <v>2041534288661</v>
      </c>
      <c r="F73" s="132">
        <f>ROUNDUP(SUMIFS('ВБ Отчет Продажи (за 60 дней)'!$L:$L,'ВБ Отчет Продажи (за 60 дней)'!$K:$K,"Электросталь",'ВБ Отчет Продажи (за 60 дней)'!$G:$G,$A73),0)</f>
        <v>0</v>
      </c>
      <c r="G73" s="133">
        <f>ROUNDUP(SUMIFS('ВБ Отчет Продажи (за 60 дней)'!$L:$L,'ВБ Отчет Продажи (за 60 дней)'!$K:$K,"Коледино",'ВБ Отчет Продажи (за 60 дней)'!$G:$G,$A73),0)</f>
        <v>0</v>
      </c>
      <c r="H73" s="133">
        <f>ROUNDUP(SUMIFS('ВБ Отчет Продажи (за 60 дней)'!$L:$L,'ВБ Отчет Продажи (за 60 дней)'!$K:$K,"Тула",'ВБ Отчет Продажи (за 60 дней)'!$G:$G,$A73),0)</f>
        <v>0</v>
      </c>
      <c r="I73" s="134">
        <f>ROUNDUP(SUMIFS('ВБ Отчет Продажи (за 60 дней)'!$L:$L,'ВБ Отчет Продажи (за 60 дней)'!$K:$K,"Рязань (Тюшевское)",'ВБ Отчет Продажи (за 60 дней)'!$G:$G,$A73),0)</f>
        <v>0</v>
      </c>
      <c r="J73" s="136">
        <f>ROUNDUP(SUMIFS('ВБ Отчет Продажи (за 60 дней)'!$L:$L,'ВБ Отчет Продажи (за 60 дней)'!$K:$K,"Краснодар",'ВБ Отчет Продажи (за 60 дней)'!$G:$G,$A73),0)</f>
        <v>0</v>
      </c>
      <c r="K73" s="133">
        <f>ROUNDUP(SUMIFS('ВБ Отчет Продажи (за 60 дней)'!$L:$L,'ВБ Отчет Продажи (за 60 дней)'!$K:$K,"Невинномысск",'ВБ Отчет Продажи (за 60 дней)'!$G:$G,$A73),0)</f>
        <v>0</v>
      </c>
      <c r="L73" s="137">
        <f>ROUNDUP(SUMIFS('ВБ Отчет Продажи (за 60 дней)'!$L:$L,'ВБ Отчет Продажи (за 60 дней)'!$K:$K,"Волгоград",'ВБ Отчет Продажи (за 60 дней)'!$G:$G,$A73),0)</f>
        <v>0</v>
      </c>
      <c r="M73" s="136">
        <f>ROUNDUP(SUMIFS('ВБ Отчет Продажи (за 60 дней)'!$L:$L,'ВБ Отчет Продажи (за 60 дней)'!$K:$K,"Самара (Новосемейкино)",'ВБ Отчет Продажи (за 60 дней)'!$G:$G,$A73),0)</f>
        <v>0</v>
      </c>
      <c r="N73" s="137">
        <f>ROUNDUP(SUMIFS('ВБ Отчет Продажи (за 60 дней)'!$L:$L,'ВБ Отчет Продажи (за 60 дней)'!$K:$K,"Казань",'ВБ Отчет Продажи (за 60 дней)'!$G:$G,$A73),0)</f>
        <v>1</v>
      </c>
      <c r="O73" s="137">
        <f>ROUNDUP(SUMIFS('ВБ Отчет Продажи (за 60 дней)'!$L:$L,'ВБ Отчет Продажи (за 60 дней)'!$K:$K,"СПБ Шушары",'ВБ Отчет Продажи (за 60 дней)'!$G:$G,$A73),0)</f>
        <v>0</v>
      </c>
      <c r="P73" s="151">
        <f>ROUNDUP(SUMIFS('ВБ Отчет Продажи (за 60 дней)'!$L:$L,'ВБ Отчет Продажи (за 60 дней)'!$K:$K,"Екатеринбург - Перспективный 12",'ВБ Отчет Продажи (за 60 дней)'!$G:$G,$A73),0)</f>
        <v>0</v>
      </c>
      <c r="Q73" s="149">
        <f>ROUNDUP(SUMIFS('ВБ Отчет Продажи (за 60 дней)'!$L:$L,'ВБ Отчет Продажи (за 60 дней)'!$K:$K,"Новосибирск",'ВБ Отчет Продажи (за 60 дней)'!$G:$G,$A73),0)</f>
        <v>0</v>
      </c>
      <c r="R73" s="131">
        <f t="shared" si="32"/>
        <v>1</v>
      </c>
      <c r="S73" s="139">
        <f>SUMIFS('ОЗОН Оборот ведом (за 60 дней)'!I:I,'ОЗОН Оборот ведом (за 60 дней)'!A:A,B73)</f>
        <v>0</v>
      </c>
      <c r="T73" s="140">
        <f t="shared" si="36"/>
        <v>1</v>
      </c>
      <c r="U73" s="6">
        <f>SUMIFS('ВБ Отчет Продажи (за 60 дней)'!$P:$P,'ВБ Отчет Продажи (за 60 дней)'!$K:$K,"Электросталь",'ВБ Отчет Продажи (за 60 дней)'!$G:$G,$A73)</f>
        <v>0</v>
      </c>
      <c r="V73" s="7">
        <f>SUMIFS('ВБ Отчет Продажи (за 60 дней)'!$P:$P,'ВБ Отчет Продажи (за 60 дней)'!$K:$K,"Коледино",'ВБ Отчет Продажи (за 60 дней)'!$G:$G,$A73)</f>
        <v>0</v>
      </c>
      <c r="W73" s="7">
        <f>SUMIFS('ВБ Отчет Продажи (за 60 дней)'!$P:$P,'ВБ Отчет Продажи (за 60 дней)'!$K:$K,"Тула",'ВБ Отчет Продажи (за 60 дней)'!$G:$G,$A73)</f>
        <v>6</v>
      </c>
      <c r="X73" s="7">
        <f>SUMIFS('ВБ Отчет Продажи (за 60 дней)'!$P:$P,'ВБ Отчет Продажи (за 60 дней)'!$K:$K,"Рязань (Тюшевское)",'ВБ Отчет Продажи (за 60 дней)'!$G:$G,$A73)</f>
        <v>2</v>
      </c>
      <c r="Y73" s="27">
        <f>SUMIFS('ВБ Отчет Продажи (за 60 дней)'!$P:$P,'ВБ Отчет Продажи (за 60 дней)'!$K:$K,"Краснодар",'ВБ Отчет Продажи (за 60 дней)'!$G:$G,$A73)</f>
        <v>1</v>
      </c>
      <c r="Z73" s="7">
        <f>SUMIFS('ВБ Отчет Продажи (за 60 дней)'!$P:$P,'ВБ Отчет Продажи (за 60 дней)'!$K:$K,"Невинномысск",'ВБ Отчет Продажи (за 60 дней)'!$G:$G,$A73)</f>
        <v>0</v>
      </c>
      <c r="AA73" s="104">
        <f>SUMIFS('ВБ Отчет Продажи (за 60 дней)'!$P:$P,'ВБ Отчет Продажи (за 60 дней)'!$K:$K,"Волгоград",'ВБ Отчет Продажи (за 60 дней)'!$G:$G,$A73)</f>
        <v>0</v>
      </c>
      <c r="AB73" s="27">
        <f>SUMIFS('ВБ Отчет Продажи (за 60 дней)'!$P:$P,'ВБ Отчет Продажи (за 60 дней)'!$K:$K,"Самара (Новосемейкино)",'ВБ Отчет Продажи (за 60 дней)'!$G:$G,$A73)</f>
        <v>0</v>
      </c>
      <c r="AC73" s="104">
        <f>SUMIFS('ВБ Отчет Продажи (за 60 дней)'!$P:$P,'ВБ Отчет Продажи (за 60 дней)'!$K:$K,"Казань",'ВБ Отчет Продажи (за 60 дней)'!$G:$G,$A73)</f>
        <v>6</v>
      </c>
      <c r="AD73" s="104">
        <f>SUMIFS('ВБ Отчет Продажи (за 60 дней)'!$P:$P,'ВБ Отчет Продажи (за 60 дней)'!$K:$K,"СПБ Шушары",'ВБ Отчет Продажи (за 60 дней)'!$G:$G,$A73)</f>
        <v>0</v>
      </c>
      <c r="AE73" s="153">
        <f>SUMIFS('ВБ Отчет Продажи (за 60 дней)'!$P:$P,'ВБ Отчет Продажи (за 60 дней)'!$K:$K,"Екатеринбург - Перспективный 12",'ВБ Отчет Продажи (за 60 дней)'!$G:$G,$A73)</f>
        <v>0</v>
      </c>
      <c r="AF73" s="102">
        <f>SUMIFS('ВБ Отчет Продажи (за 60 дней)'!$P:$P,'ВБ Отчет Продажи (за 60 дней)'!$K:$K,"Новосибирск",'ВБ Отчет Продажи (за 60 дней)'!$G:$G,$A73)</f>
        <v>0</v>
      </c>
      <c r="AG73" s="124">
        <f t="shared" si="37"/>
        <v>15</v>
      </c>
      <c r="AH73" s="7">
        <f t="shared" si="38"/>
        <v>900</v>
      </c>
      <c r="AI73" s="213">
        <f>SUMIFS('ОЗОН Оборот ведом (за 60 дней)'!J:J,'ОЗОН Оборот ведом (за 60 дней)'!A:A,B73)</f>
        <v>0</v>
      </c>
      <c r="AJ73" s="21">
        <f t="shared" si="39"/>
        <v>15</v>
      </c>
      <c r="AK73" s="7" t="str" cm="1">
        <f t="array" ref="AK73">IFERROR(_xlfn.IFS((F73-U73)&gt;0,F73/$R$1*$AY$1-U73,F73+U73=0,"нов"),0)</f>
        <v>нов</v>
      </c>
      <c r="AL73" s="7" t="str" cm="1">
        <f t="array" ref="AL73">IFERROR(_xlfn.IFS((G73-V73)&gt;0,G73/$R$1*$AY$1-V73,G73+V73=0,"нов"),0)</f>
        <v>нов</v>
      </c>
      <c r="AM73" s="7" cm="1">
        <f t="array" ref="AM73">IFERROR(_xlfn.IFS((H73-W73)&gt;0,H73/$R$1*$AY$1-W73,H73+W73=0,"нов"),0)</f>
        <v>0</v>
      </c>
      <c r="AN73" s="7" cm="1">
        <f t="array" ref="AN73">IFERROR(_xlfn.IFS((I73-X73)&gt;0,I73/$R$1*$AY$1-X73,I73+X73=0,"нов"),0)</f>
        <v>0</v>
      </c>
      <c r="AO73" s="27" cm="1">
        <f t="array" ref="AO73">IFERROR(_xlfn.IFS((J73-Y73)&gt;0,J73/$R$1*$AY$1-Y73,J73+Y73=0,"нов"),0)</f>
        <v>0</v>
      </c>
      <c r="AP73" s="7" t="str" cm="1">
        <f t="array" ref="AP73">IFERROR(_xlfn.IFS((K73-Z73)&gt;0,K73/$R$1*$AY$1-Z73,K73+Z73=0,"нов"),0)</f>
        <v>нов</v>
      </c>
      <c r="AQ73" s="104" t="str" cm="1">
        <f t="array" ref="AQ73">IFERROR(_xlfn.IFS((L73-AA73)&gt;0,L73/$R$1*$AY$1-AA73,L73+AA73=0,"нов"),0)</f>
        <v>нов</v>
      </c>
      <c r="AR73" s="27" t="str" cm="1">
        <f t="array" ref="AR73">IFERROR(_xlfn.IFS((M73-AB73)&gt;0,M73/$R$1*$AY$1-AB73,M73+AB73=0,"нов"),0)</f>
        <v>нов</v>
      </c>
      <c r="AS73" s="104" cm="1">
        <f t="array" ref="AS73">IFERROR(_xlfn.IFS((N73-AC73)&gt;0,N73/$R$1*$AY$1-AC73,N73+AC73=0,"нов"),0)</f>
        <v>0</v>
      </c>
      <c r="AT73" s="104" t="str" cm="1">
        <f t="array" ref="AT73">IFERROR(_xlfn.IFS((O73-AD73)&gt;0,O73/$R$1*$AY$1-AD73,O73+AD73=0,"нов"),0)</f>
        <v>нов</v>
      </c>
      <c r="AU73" s="7" t="str" cm="1">
        <f t="array" ref="AU73">IFERROR(_xlfn.IFS((P73-AE73)&gt;0,P73/$R$1*$AY$1-AE73,P73+AE73=0,"нов"),0)</f>
        <v>нов</v>
      </c>
      <c r="AV73" s="7" t="str" cm="1">
        <f t="array" ref="AV73">IFERROR(_xlfn.IFS((Q73-AF73)&gt;0,Q73/$R$1*$AY$1-AF73,Q73+AF73=0,"нов"),0)</f>
        <v>нов</v>
      </c>
      <c r="AW73" s="141">
        <f t="shared" si="40"/>
        <v>0</v>
      </c>
      <c r="AX73" s="218">
        <f>SUMIF('ОЗОН Доступн товара'!D:D,_xlfn.XLOOKUP($B73,'ОЗОН Доступн товара'!$A:$A,'ОЗОН Доступн товара'!$D:$D,0))</f>
        <v>0</v>
      </c>
      <c r="AY73" s="226">
        <f t="shared" si="41"/>
        <v>0</v>
      </c>
      <c r="AZ73" s="7" t="str">
        <f t="shared" si="42"/>
        <v>нов</v>
      </c>
      <c r="BA73" s="7" t="str">
        <f t="shared" si="43"/>
        <v>нов</v>
      </c>
      <c r="BB73" s="7">
        <f t="shared" si="44"/>
        <v>0</v>
      </c>
      <c r="BC73" s="7">
        <f t="shared" si="45"/>
        <v>0</v>
      </c>
      <c r="BD73" s="27">
        <f t="shared" si="46"/>
        <v>0</v>
      </c>
      <c r="BE73" s="7" t="str">
        <f t="shared" si="47"/>
        <v>нов</v>
      </c>
      <c r="BF73" s="104" t="str">
        <f t="shared" si="48"/>
        <v>нов</v>
      </c>
      <c r="BG73" s="27" t="str">
        <f t="shared" si="49"/>
        <v>нов</v>
      </c>
      <c r="BH73" s="104">
        <f t="shared" si="50"/>
        <v>0</v>
      </c>
      <c r="BI73" s="7" t="str">
        <f t="shared" si="51"/>
        <v>нов</v>
      </c>
      <c r="BJ73" s="153" t="str">
        <f t="shared" si="52"/>
        <v>нов</v>
      </c>
      <c r="BK73" s="7" t="str">
        <f t="shared" si="53"/>
        <v>нов</v>
      </c>
      <c r="BL73" s="6">
        <f t="shared" si="54"/>
        <v>0</v>
      </c>
      <c r="BM73" s="6">
        <f t="shared" si="55"/>
        <v>0</v>
      </c>
      <c r="BN73" s="28">
        <f t="shared" si="56"/>
        <v>0</v>
      </c>
      <c r="BO73" s="73">
        <f>IFERROR(_xlfn.XLOOKUP(A73,'[2] Расчет стоимости и веса'!$I:$I,'[2] Расчет стоимости и веса'!$D:$D),0)</f>
        <v>0</v>
      </c>
      <c r="BP73" s="227">
        <f t="shared" si="57"/>
        <v>0</v>
      </c>
      <c r="BQ73" s="8"/>
      <c r="BR73" s="155"/>
      <c r="BS73" s="12"/>
      <c r="BT73" s="12"/>
      <c r="BU73" s="229"/>
      <c r="BV73" s="12"/>
      <c r="BW73" s="12"/>
      <c r="BY73" s="231"/>
      <c r="BZ73" s="232"/>
      <c r="CA73" s="155"/>
      <c r="CB73" s="157"/>
      <c r="CC73" s="57"/>
      <c r="CD73" s="12"/>
      <c r="CE73" s="146">
        <f t="shared" si="33"/>
        <v>0</v>
      </c>
      <c r="CF73" s="69">
        <f t="shared" si="34"/>
        <v>0</v>
      </c>
      <c r="CG73" s="45">
        <f t="shared" si="35"/>
        <v>0</v>
      </c>
    </row>
    <row r="74" spans="1:85" ht="14.1" customHeight="1">
      <c r="A74" s="248">
        <f>[1]Юнит!A76</f>
        <v>273556717</v>
      </c>
      <c r="B74" s="249">
        <f>[1]Юнит!B76</f>
        <v>2415742645</v>
      </c>
      <c r="C74" s="248" t="str">
        <f>[1]Юнит!C76</f>
        <v>AKTA4ST101CL</v>
      </c>
      <c r="D74" s="250" t="str">
        <f>[1]Юнит!D76</f>
        <v>Набор пробок 4 шт. в коробке нежн</v>
      </c>
      <c r="E74" s="90">
        <f>[1]Юнит!E76</f>
        <v>2041533648312</v>
      </c>
      <c r="F74" s="132">
        <f>ROUNDUP(SUMIFS('ВБ Отчет Продажи (за 60 дней)'!$L:$L,'ВБ Отчет Продажи (за 60 дней)'!$K:$K,"Электросталь",'ВБ Отчет Продажи (за 60 дней)'!$G:$G,$A74),0)</f>
        <v>0</v>
      </c>
      <c r="G74" s="133">
        <f>ROUNDUP(SUMIFS('ВБ Отчет Продажи (за 60 дней)'!$L:$L,'ВБ Отчет Продажи (за 60 дней)'!$K:$K,"Коледино",'ВБ Отчет Продажи (за 60 дней)'!$G:$G,$A74),0)</f>
        <v>0</v>
      </c>
      <c r="H74" s="133">
        <f>ROUNDUP(SUMIFS('ВБ Отчет Продажи (за 60 дней)'!$L:$L,'ВБ Отчет Продажи (за 60 дней)'!$K:$K,"Тула",'ВБ Отчет Продажи (за 60 дней)'!$G:$G,$A74),0)</f>
        <v>16</v>
      </c>
      <c r="I74" s="134">
        <f>ROUNDUP(SUMIFS('ВБ Отчет Продажи (за 60 дней)'!$L:$L,'ВБ Отчет Продажи (за 60 дней)'!$K:$K,"Рязань (Тюшевское)",'ВБ Отчет Продажи (за 60 дней)'!$G:$G,$A74),0)</f>
        <v>4</v>
      </c>
      <c r="J74" s="136">
        <f>ROUNDUP(SUMIFS('ВБ Отчет Продажи (за 60 дней)'!$L:$L,'ВБ Отчет Продажи (за 60 дней)'!$K:$K,"Краснодар",'ВБ Отчет Продажи (за 60 дней)'!$G:$G,$A74),0)</f>
        <v>0</v>
      </c>
      <c r="K74" s="133">
        <f>ROUNDUP(SUMIFS('ВБ Отчет Продажи (за 60 дней)'!$L:$L,'ВБ Отчет Продажи (за 60 дней)'!$K:$K,"Невинномысск",'ВБ Отчет Продажи (за 60 дней)'!$G:$G,$A74),0)</f>
        <v>1</v>
      </c>
      <c r="L74" s="137">
        <f>ROUNDUP(SUMIFS('ВБ Отчет Продажи (за 60 дней)'!$L:$L,'ВБ Отчет Продажи (за 60 дней)'!$K:$K,"Волгоград",'ВБ Отчет Продажи (за 60 дней)'!$G:$G,$A74),0)</f>
        <v>0</v>
      </c>
      <c r="M74" s="136">
        <f>ROUNDUP(SUMIFS('ВБ Отчет Продажи (за 60 дней)'!$L:$L,'ВБ Отчет Продажи (за 60 дней)'!$K:$K,"Самара (Новосемейкино)",'ВБ Отчет Продажи (за 60 дней)'!$G:$G,$A74),0)</f>
        <v>0</v>
      </c>
      <c r="N74" s="137">
        <f>ROUNDUP(SUMIFS('ВБ Отчет Продажи (за 60 дней)'!$L:$L,'ВБ Отчет Продажи (за 60 дней)'!$K:$K,"Казань",'ВБ Отчет Продажи (за 60 дней)'!$G:$G,$A74),0)</f>
        <v>4</v>
      </c>
      <c r="O74" s="137">
        <f>ROUNDUP(SUMIFS('ВБ Отчет Продажи (за 60 дней)'!$L:$L,'ВБ Отчет Продажи (за 60 дней)'!$K:$K,"СПБ Шушары",'ВБ Отчет Продажи (за 60 дней)'!$G:$G,$A74),0)</f>
        <v>0</v>
      </c>
      <c r="P74" s="151">
        <f>ROUNDUP(SUMIFS('ВБ Отчет Продажи (за 60 дней)'!$L:$L,'ВБ Отчет Продажи (за 60 дней)'!$K:$K,"Екатеринбург - Перспективный 12",'ВБ Отчет Продажи (за 60 дней)'!$G:$G,$A74),0)</f>
        <v>0</v>
      </c>
      <c r="Q74" s="149">
        <f>ROUNDUP(SUMIFS('ВБ Отчет Продажи (за 60 дней)'!$L:$L,'ВБ Отчет Продажи (за 60 дней)'!$K:$K,"Новосибирск",'ВБ Отчет Продажи (за 60 дней)'!$G:$G,$A74),0)</f>
        <v>0</v>
      </c>
      <c r="R74" s="131">
        <f t="shared" si="32"/>
        <v>25</v>
      </c>
      <c r="S74" s="139">
        <f>SUMIFS('ОЗОН Оборот ведом (за 60 дней)'!I:I,'ОЗОН Оборот ведом (за 60 дней)'!A:A,B74)</f>
        <v>0</v>
      </c>
      <c r="T74" s="140">
        <f t="shared" si="36"/>
        <v>25</v>
      </c>
      <c r="U74" s="6">
        <f>SUMIFS('ВБ Отчет Продажи (за 60 дней)'!$P:$P,'ВБ Отчет Продажи (за 60 дней)'!$K:$K,"Электросталь",'ВБ Отчет Продажи (за 60 дней)'!$G:$G,$A74)</f>
        <v>0</v>
      </c>
      <c r="V74" s="7">
        <f>SUMIFS('ВБ Отчет Продажи (за 60 дней)'!$P:$P,'ВБ Отчет Продажи (за 60 дней)'!$K:$K,"Коледино",'ВБ Отчет Продажи (за 60 дней)'!$G:$G,$A74)</f>
        <v>0</v>
      </c>
      <c r="W74" s="7">
        <f>SUMIFS('ВБ Отчет Продажи (за 60 дней)'!$P:$P,'ВБ Отчет Продажи (за 60 дней)'!$K:$K,"Тула",'ВБ Отчет Продажи (за 60 дней)'!$G:$G,$A74)</f>
        <v>6</v>
      </c>
      <c r="X74" s="7">
        <f>SUMIFS('ВБ Отчет Продажи (за 60 дней)'!$P:$P,'ВБ Отчет Продажи (за 60 дней)'!$K:$K,"Рязань (Тюшевское)",'ВБ Отчет Продажи (за 60 дней)'!$G:$G,$A74)</f>
        <v>3</v>
      </c>
      <c r="Y74" s="27">
        <f>SUMIFS('ВБ Отчет Продажи (за 60 дней)'!$P:$P,'ВБ Отчет Продажи (за 60 дней)'!$K:$K,"Краснодар",'ВБ Отчет Продажи (за 60 дней)'!$G:$G,$A74)</f>
        <v>0</v>
      </c>
      <c r="Z74" s="7">
        <f>SUMIFS('ВБ Отчет Продажи (за 60 дней)'!$P:$P,'ВБ Отчет Продажи (за 60 дней)'!$K:$K,"Невинномысск",'ВБ Отчет Продажи (за 60 дней)'!$G:$G,$A74)</f>
        <v>2</v>
      </c>
      <c r="AA74" s="104">
        <f>SUMIFS('ВБ Отчет Продажи (за 60 дней)'!$P:$P,'ВБ Отчет Продажи (за 60 дней)'!$K:$K,"Волгоград",'ВБ Отчет Продажи (за 60 дней)'!$G:$G,$A74)</f>
        <v>0</v>
      </c>
      <c r="AB74" s="27">
        <f>SUMIFS('ВБ Отчет Продажи (за 60 дней)'!$P:$P,'ВБ Отчет Продажи (за 60 дней)'!$K:$K,"Самара (Новосемейкино)",'ВБ Отчет Продажи (за 60 дней)'!$G:$G,$A74)</f>
        <v>0</v>
      </c>
      <c r="AC74" s="104">
        <f>SUMIFS('ВБ Отчет Продажи (за 60 дней)'!$P:$P,'ВБ Отчет Продажи (за 60 дней)'!$K:$K,"Казань",'ВБ Отчет Продажи (за 60 дней)'!$G:$G,$A74)</f>
        <v>48</v>
      </c>
      <c r="AD74" s="104">
        <f>SUMIFS('ВБ Отчет Продажи (за 60 дней)'!$P:$P,'ВБ Отчет Продажи (за 60 дней)'!$K:$K,"СПБ Шушары",'ВБ Отчет Продажи (за 60 дней)'!$G:$G,$A74)</f>
        <v>0</v>
      </c>
      <c r="AE74" s="153">
        <f>SUMIFS('ВБ Отчет Продажи (за 60 дней)'!$P:$P,'ВБ Отчет Продажи (за 60 дней)'!$K:$K,"Екатеринбург - Перспективный 12",'ВБ Отчет Продажи (за 60 дней)'!$G:$G,$A74)</f>
        <v>0</v>
      </c>
      <c r="AF74" s="102">
        <f>SUMIFS('ВБ Отчет Продажи (за 60 дней)'!$P:$P,'ВБ Отчет Продажи (за 60 дней)'!$K:$K,"Новосибирск",'ВБ Отчет Продажи (за 60 дней)'!$G:$G,$A74)</f>
        <v>0</v>
      </c>
      <c r="AG74" s="124">
        <f t="shared" si="37"/>
        <v>59</v>
      </c>
      <c r="AH74" s="7">
        <f t="shared" si="38"/>
        <v>141.6</v>
      </c>
      <c r="AI74" s="213">
        <f>SUMIFS('ОЗОН Оборот ведом (за 60 дней)'!J:J,'ОЗОН Оборот ведом (за 60 дней)'!A:A,B74)</f>
        <v>0</v>
      </c>
      <c r="AJ74" s="21">
        <f t="shared" si="39"/>
        <v>59</v>
      </c>
      <c r="AK74" s="7" t="str" cm="1">
        <f t="array" ref="AK74">IFERROR(_xlfn.IFS((F74-U74)&gt;0,F74/$R$1*$AY$1-U74,F74+U74=0,"нов"),0)</f>
        <v>нов</v>
      </c>
      <c r="AL74" s="7" t="str" cm="1">
        <f t="array" ref="AL74">IFERROR(_xlfn.IFS((G74-V74)&gt;0,G74/$R$1*$AY$1-V74,G74+V74=0,"нов"),0)</f>
        <v>нов</v>
      </c>
      <c r="AM74" s="7" cm="1">
        <f t="array" ref="AM74">IFERROR(_xlfn.IFS((H74-W74)&gt;0,H74/$R$1*$AY$1-W74,H74+W74=0,"нов"),0)</f>
        <v>10</v>
      </c>
      <c r="AN74" s="7" cm="1">
        <f t="array" ref="AN74">IFERROR(_xlfn.IFS((I74-X74)&gt;0,I74/$R$1*$AY$1-X74,I74+X74=0,"нов"),0)</f>
        <v>1</v>
      </c>
      <c r="AO74" s="27" t="str" cm="1">
        <f t="array" ref="AO74">IFERROR(_xlfn.IFS((J74-Y74)&gt;0,J74/$R$1*$AY$1-Y74,J74+Y74=0,"нов"),0)</f>
        <v>нов</v>
      </c>
      <c r="AP74" s="7" cm="1">
        <f t="array" ref="AP74">IFERROR(_xlfn.IFS((K74-Z74)&gt;0,K74/$R$1*$AY$1-Z74,K74+Z74=0,"нов"),0)</f>
        <v>0</v>
      </c>
      <c r="AQ74" s="104" t="str" cm="1">
        <f t="array" ref="AQ74">IFERROR(_xlfn.IFS((L74-AA74)&gt;0,L74/$R$1*$AY$1-AA74,L74+AA74=0,"нов"),0)</f>
        <v>нов</v>
      </c>
      <c r="AR74" s="27" t="str" cm="1">
        <f t="array" ref="AR74">IFERROR(_xlfn.IFS((M74-AB74)&gt;0,M74/$R$1*$AY$1-AB74,M74+AB74=0,"нов"),0)</f>
        <v>нов</v>
      </c>
      <c r="AS74" s="104" cm="1">
        <f t="array" ref="AS74">IFERROR(_xlfn.IFS((N74-AC74)&gt;0,N74/$R$1*$AY$1-AC74,N74+AC74=0,"нов"),0)</f>
        <v>0</v>
      </c>
      <c r="AT74" s="104" t="str" cm="1">
        <f t="array" ref="AT74">IFERROR(_xlfn.IFS((O74-AD74)&gt;0,O74/$R$1*$AY$1-AD74,O74+AD74=0,"нов"),0)</f>
        <v>нов</v>
      </c>
      <c r="AU74" s="7" t="str" cm="1">
        <f t="array" ref="AU74">IFERROR(_xlfn.IFS((P74-AE74)&gt;0,P74/$R$1*$AY$1-AE74,P74+AE74=0,"нов"),0)</f>
        <v>нов</v>
      </c>
      <c r="AV74" s="7" t="str" cm="1">
        <f t="array" ref="AV74">IFERROR(_xlfn.IFS((Q74-AF74)&gt;0,Q74/$R$1*$AY$1-AF74,Q74+AF74=0,"нов"),0)</f>
        <v>нов</v>
      </c>
      <c r="AW74" s="141">
        <f t="shared" si="40"/>
        <v>11</v>
      </c>
      <c r="AX74" s="218">
        <f>SUMIF('ОЗОН Доступн товара'!D:D,_xlfn.XLOOKUP($B74,'ОЗОН Доступн товара'!$A:$A,'ОЗОН Доступн товара'!$D:$D,0))</f>
        <v>0</v>
      </c>
      <c r="AY74" s="226">
        <f t="shared" si="41"/>
        <v>11</v>
      </c>
      <c r="AZ74" s="7" t="str">
        <f t="shared" si="42"/>
        <v>нов</v>
      </c>
      <c r="BA74" s="7" t="str">
        <f t="shared" si="43"/>
        <v>нов</v>
      </c>
      <c r="BB74" s="7">
        <f t="shared" si="44"/>
        <v>13</v>
      </c>
      <c r="BC74" s="7">
        <f t="shared" si="45"/>
        <v>2</v>
      </c>
      <c r="BD74" s="27" t="str">
        <f t="shared" si="46"/>
        <v>нов</v>
      </c>
      <c r="BE74" s="7">
        <f t="shared" si="47"/>
        <v>0</v>
      </c>
      <c r="BF74" s="104" t="str">
        <f t="shared" si="48"/>
        <v>нов</v>
      </c>
      <c r="BG74" s="27" t="str">
        <f t="shared" si="49"/>
        <v>нов</v>
      </c>
      <c r="BH74" s="104">
        <f t="shared" si="50"/>
        <v>0</v>
      </c>
      <c r="BI74" s="7" t="str">
        <f t="shared" si="51"/>
        <v>нов</v>
      </c>
      <c r="BJ74" s="153" t="str">
        <f t="shared" si="52"/>
        <v>нов</v>
      </c>
      <c r="BK74" s="7" t="str">
        <f t="shared" si="53"/>
        <v>нов</v>
      </c>
      <c r="BL74" s="6">
        <f t="shared" si="54"/>
        <v>15</v>
      </c>
      <c r="BM74" s="6">
        <f t="shared" si="55"/>
        <v>0</v>
      </c>
      <c r="BN74" s="28">
        <f t="shared" si="56"/>
        <v>15</v>
      </c>
      <c r="BO74" s="73">
        <f>IFERROR(_xlfn.XLOOKUP(A74,'[2] Расчет стоимости и веса'!$I:$I,'[2] Расчет стоимости и веса'!$D:$D),0)</f>
        <v>90</v>
      </c>
      <c r="BP74" s="227">
        <f t="shared" si="57"/>
        <v>90</v>
      </c>
      <c r="BQ74" s="8"/>
      <c r="BR74" s="155">
        <v>30</v>
      </c>
      <c r="BS74" s="12"/>
      <c r="BT74" s="12"/>
      <c r="BU74" s="229"/>
      <c r="BV74" s="12"/>
      <c r="BW74" s="12">
        <v>20</v>
      </c>
      <c r="BY74" s="231"/>
      <c r="BZ74" s="232"/>
      <c r="CA74" s="155">
        <v>20</v>
      </c>
      <c r="CB74" s="157">
        <v>20</v>
      </c>
      <c r="CC74" s="57"/>
      <c r="CD74" s="12"/>
      <c r="CE74" s="146">
        <f t="shared" si="33"/>
        <v>90</v>
      </c>
      <c r="CF74" s="69">
        <f t="shared" si="34"/>
        <v>90</v>
      </c>
      <c r="CG74" s="45">
        <f t="shared" si="35"/>
        <v>0</v>
      </c>
    </row>
    <row r="75" spans="1:85" ht="14.1" customHeight="1" thickBot="1">
      <c r="A75" s="248">
        <f>[1]Юнит!A77</f>
        <v>370594147</v>
      </c>
      <c r="B75" s="249">
        <f>[1]Юнит!B77</f>
        <v>2415742703</v>
      </c>
      <c r="C75" s="248" t="str">
        <f>[1]Юнит!C77</f>
        <v>AKTA4ST103CL</v>
      </c>
      <c r="D75" s="250" t="str">
        <f>[1]Юнит!D77</f>
        <v>Набор пробок 4 шт. в коробке ярк</v>
      </c>
      <c r="E75" s="90">
        <f>[1]Юнит!E77</f>
        <v>2043369755509</v>
      </c>
      <c r="F75" s="132">
        <f>ROUNDUP(SUMIFS('ВБ Отчет Продажи (за 60 дней)'!$L:$L,'ВБ Отчет Продажи (за 60 дней)'!$K:$K,"Электросталь",'ВБ Отчет Продажи (за 60 дней)'!$G:$G,$A75),0)</f>
        <v>0</v>
      </c>
      <c r="G75" s="133">
        <f>ROUNDUP(SUMIFS('ВБ Отчет Продажи (за 60 дней)'!$L:$L,'ВБ Отчет Продажи (за 60 дней)'!$K:$K,"Коледино",'ВБ Отчет Продажи (за 60 дней)'!$G:$G,$A75),0)</f>
        <v>0</v>
      </c>
      <c r="H75" s="133">
        <f>ROUNDUP(SUMIFS('ВБ Отчет Продажи (за 60 дней)'!$L:$L,'ВБ Отчет Продажи (за 60 дней)'!$K:$K,"Тула",'ВБ Отчет Продажи (за 60 дней)'!$G:$G,$A75),0)</f>
        <v>0</v>
      </c>
      <c r="I75" s="134">
        <f>ROUNDUP(SUMIFS('ВБ Отчет Продажи (за 60 дней)'!$L:$L,'ВБ Отчет Продажи (за 60 дней)'!$K:$K,"Рязань (Тюшевское)",'ВБ Отчет Продажи (за 60 дней)'!$G:$G,$A75),0)</f>
        <v>0</v>
      </c>
      <c r="J75" s="136">
        <f>ROUNDUP(SUMIFS('ВБ Отчет Продажи (за 60 дней)'!$L:$L,'ВБ Отчет Продажи (за 60 дней)'!$K:$K,"Краснодар",'ВБ Отчет Продажи (за 60 дней)'!$G:$G,$A75),0)</f>
        <v>1</v>
      </c>
      <c r="K75" s="133">
        <f>ROUNDUP(SUMIFS('ВБ Отчет Продажи (за 60 дней)'!$L:$L,'ВБ Отчет Продажи (за 60 дней)'!$K:$K,"Невинномысск",'ВБ Отчет Продажи (за 60 дней)'!$G:$G,$A75),0)</f>
        <v>7</v>
      </c>
      <c r="L75" s="137">
        <f>ROUNDUP(SUMIFS('ВБ Отчет Продажи (за 60 дней)'!$L:$L,'ВБ Отчет Продажи (за 60 дней)'!$K:$K,"Волгоград",'ВБ Отчет Продажи (за 60 дней)'!$G:$G,$A75),0)</f>
        <v>0</v>
      </c>
      <c r="M75" s="136">
        <f>ROUNDUP(SUMIFS('ВБ Отчет Продажи (за 60 дней)'!$L:$L,'ВБ Отчет Продажи (за 60 дней)'!$K:$K,"Самара (Новосемейкино)",'ВБ Отчет Продажи (за 60 дней)'!$G:$G,$A75),0)</f>
        <v>0</v>
      </c>
      <c r="N75" s="137">
        <f>ROUNDUP(SUMIFS('ВБ Отчет Продажи (за 60 дней)'!$L:$L,'ВБ Отчет Продажи (за 60 дней)'!$K:$K,"Казань",'ВБ Отчет Продажи (за 60 дней)'!$G:$G,$A75),0)</f>
        <v>0</v>
      </c>
      <c r="O75" s="137">
        <f>ROUNDUP(SUMIFS('ВБ Отчет Продажи (за 60 дней)'!$L:$L,'ВБ Отчет Продажи (за 60 дней)'!$K:$K,"СПБ Шушары",'ВБ Отчет Продажи (за 60 дней)'!$G:$G,$A75),0)</f>
        <v>0</v>
      </c>
      <c r="P75" s="151">
        <f>ROUNDUP(SUMIFS('ВБ Отчет Продажи (за 60 дней)'!$L:$L,'ВБ Отчет Продажи (за 60 дней)'!$K:$K,"Екатеринбург - Перспективный 12",'ВБ Отчет Продажи (за 60 дней)'!$G:$G,$A75),0)</f>
        <v>0</v>
      </c>
      <c r="Q75" s="149">
        <f>ROUNDUP(SUMIFS('ВБ Отчет Продажи (за 60 дней)'!$L:$L,'ВБ Отчет Продажи (за 60 дней)'!$K:$K,"Новосибирск",'ВБ Отчет Продажи (за 60 дней)'!$G:$G,$A75),0)</f>
        <v>0</v>
      </c>
      <c r="R75" s="131">
        <f t="shared" si="32"/>
        <v>8</v>
      </c>
      <c r="S75" s="139">
        <f>SUMIFS('ОЗОН Оборот ведом (за 60 дней)'!I:I,'ОЗОН Оборот ведом (за 60 дней)'!A:A,B75)</f>
        <v>0</v>
      </c>
      <c r="T75" s="140">
        <f t="shared" si="36"/>
        <v>8</v>
      </c>
      <c r="U75" s="6">
        <f>SUMIFS('ВБ Отчет Продажи (за 60 дней)'!$P:$P,'ВБ Отчет Продажи (за 60 дней)'!$K:$K,"Электросталь",'ВБ Отчет Продажи (за 60 дней)'!$G:$G,$A75)</f>
        <v>0</v>
      </c>
      <c r="V75" s="7">
        <f>SUMIFS('ВБ Отчет Продажи (за 60 дней)'!$P:$P,'ВБ Отчет Продажи (за 60 дней)'!$K:$K,"Коледино",'ВБ Отчет Продажи (за 60 дней)'!$G:$G,$A75)</f>
        <v>0</v>
      </c>
      <c r="W75" s="7">
        <f>SUMIFS('ВБ Отчет Продажи (за 60 дней)'!$P:$P,'ВБ Отчет Продажи (за 60 дней)'!$K:$K,"Тула",'ВБ Отчет Продажи (за 60 дней)'!$G:$G,$A75)</f>
        <v>0</v>
      </c>
      <c r="X75" s="7">
        <f>SUMIFS('ВБ Отчет Продажи (за 60 дней)'!$P:$P,'ВБ Отчет Продажи (за 60 дней)'!$K:$K,"Рязань (Тюшевское)",'ВБ Отчет Продажи (за 60 дней)'!$G:$G,$A75)</f>
        <v>0</v>
      </c>
      <c r="Y75" s="27">
        <f>SUMIFS('ВБ Отчет Продажи (за 60 дней)'!$P:$P,'ВБ Отчет Продажи (за 60 дней)'!$K:$K,"Краснодар",'ВБ Отчет Продажи (за 60 дней)'!$G:$G,$A75)</f>
        <v>0</v>
      </c>
      <c r="Z75" s="7">
        <f>SUMIFS('ВБ Отчет Продажи (за 60 дней)'!$P:$P,'ВБ Отчет Продажи (за 60 дней)'!$K:$K,"Невинномысск",'ВБ Отчет Продажи (за 60 дней)'!$G:$G,$A75)</f>
        <v>23</v>
      </c>
      <c r="AA75" s="104">
        <f>SUMIFS('ВБ Отчет Продажи (за 60 дней)'!$P:$P,'ВБ Отчет Продажи (за 60 дней)'!$K:$K,"Волгоград",'ВБ Отчет Продажи (за 60 дней)'!$G:$G,$A75)</f>
        <v>0</v>
      </c>
      <c r="AB75" s="27">
        <f>SUMIFS('ВБ Отчет Продажи (за 60 дней)'!$P:$P,'ВБ Отчет Продажи (за 60 дней)'!$K:$K,"Самара (Новосемейкино)",'ВБ Отчет Продажи (за 60 дней)'!$G:$G,$A75)</f>
        <v>0</v>
      </c>
      <c r="AC75" s="104">
        <f>SUMIFS('ВБ Отчет Продажи (за 60 дней)'!$P:$P,'ВБ Отчет Продажи (за 60 дней)'!$K:$K,"Казань",'ВБ Отчет Продажи (за 60 дней)'!$G:$G,$A75)</f>
        <v>0</v>
      </c>
      <c r="AD75" s="104">
        <f>SUMIFS('ВБ Отчет Продажи (за 60 дней)'!$P:$P,'ВБ Отчет Продажи (за 60 дней)'!$K:$K,"СПБ Шушары",'ВБ Отчет Продажи (за 60 дней)'!$G:$G,$A75)</f>
        <v>0</v>
      </c>
      <c r="AE75" s="153">
        <f>SUMIFS('ВБ Отчет Продажи (за 60 дней)'!$P:$P,'ВБ Отчет Продажи (за 60 дней)'!$K:$K,"Екатеринбург - Перспективный 12",'ВБ Отчет Продажи (за 60 дней)'!$G:$G,$A75)</f>
        <v>0</v>
      </c>
      <c r="AF75" s="102">
        <f>SUMIFS('ВБ Отчет Продажи (за 60 дней)'!$P:$P,'ВБ Отчет Продажи (за 60 дней)'!$K:$K,"Новосибирск",'ВБ Отчет Продажи (за 60 дней)'!$G:$G,$A75)</f>
        <v>0</v>
      </c>
      <c r="AG75" s="124">
        <f t="shared" si="37"/>
        <v>23</v>
      </c>
      <c r="AH75" s="7">
        <f t="shared" si="38"/>
        <v>172.5</v>
      </c>
      <c r="AI75" s="213">
        <f>SUMIFS('ОЗОН Оборот ведом (за 60 дней)'!J:J,'ОЗОН Оборот ведом (за 60 дней)'!A:A,B75)</f>
        <v>0</v>
      </c>
      <c r="AJ75" s="21">
        <f t="shared" si="39"/>
        <v>23</v>
      </c>
      <c r="AK75" s="7" t="str" cm="1">
        <f t="array" ref="AK75">IFERROR(_xlfn.IFS((F75-U75)&gt;0,F75/$R$1*$AY$1-U75,F75+U75=0,"нов"),0)</f>
        <v>нов</v>
      </c>
      <c r="AL75" s="7" t="str" cm="1">
        <f t="array" ref="AL75">IFERROR(_xlfn.IFS((G75-V75)&gt;0,G75/$R$1*$AY$1-V75,G75+V75=0,"нов"),0)</f>
        <v>нов</v>
      </c>
      <c r="AM75" s="7" t="str" cm="1">
        <f t="array" ref="AM75">IFERROR(_xlfn.IFS((H75-W75)&gt;0,H75/$R$1*$AY$1-W75,H75+W75=0,"нов"),0)</f>
        <v>нов</v>
      </c>
      <c r="AN75" s="7" t="str" cm="1">
        <f t="array" ref="AN75">IFERROR(_xlfn.IFS((I75-X75)&gt;0,I75/$R$1*$AY$1-X75,I75+X75=0,"нов"),0)</f>
        <v>нов</v>
      </c>
      <c r="AO75" s="27" cm="1">
        <f t="array" ref="AO75">IFERROR(_xlfn.IFS((J75-Y75)&gt;0,J75/$R$1*$AY$1-Y75,J75+Y75=0,"нов"),0)</f>
        <v>1</v>
      </c>
      <c r="AP75" s="7" cm="1">
        <f t="array" ref="AP75">IFERROR(_xlfn.IFS((K75-Z75)&gt;0,K75/$R$1*$AY$1-Z75,K75+Z75=0,"нов"),0)</f>
        <v>0</v>
      </c>
      <c r="AQ75" s="104" t="str" cm="1">
        <f t="array" ref="AQ75">IFERROR(_xlfn.IFS((L75-AA75)&gt;0,L75/$R$1*$AY$1-AA75,L75+AA75=0,"нов"),0)</f>
        <v>нов</v>
      </c>
      <c r="AR75" s="27" t="str" cm="1">
        <f t="array" ref="AR75">IFERROR(_xlfn.IFS((M75-AB75)&gt;0,M75/$R$1*$AY$1-AB75,M75+AB75=0,"нов"),0)</f>
        <v>нов</v>
      </c>
      <c r="AS75" s="104" t="str" cm="1">
        <f t="array" ref="AS75">IFERROR(_xlfn.IFS((N75-AC75)&gt;0,N75/$R$1*$AY$1-AC75,N75+AC75=0,"нов"),0)</f>
        <v>нов</v>
      </c>
      <c r="AT75" s="104" t="str" cm="1">
        <f t="array" ref="AT75">IFERROR(_xlfn.IFS((O75-AD75)&gt;0,O75/$R$1*$AY$1-AD75,O75+AD75=0,"нов"),0)</f>
        <v>нов</v>
      </c>
      <c r="AU75" s="7" t="str" cm="1">
        <f t="array" ref="AU75">IFERROR(_xlfn.IFS((P75-AE75)&gt;0,P75/$R$1*$AY$1-AE75,P75+AE75=0,"нов"),0)</f>
        <v>нов</v>
      </c>
      <c r="AV75" s="7" t="str" cm="1">
        <f t="array" ref="AV75">IFERROR(_xlfn.IFS((Q75-AF75)&gt;0,Q75/$R$1*$AY$1-AF75,Q75+AF75=0,"нов"),0)</f>
        <v>нов</v>
      </c>
      <c r="AW75" s="141">
        <f t="shared" si="40"/>
        <v>1</v>
      </c>
      <c r="AX75" s="218">
        <f>SUMIF('ОЗОН Доступн товара'!D:D,_xlfn.XLOOKUP($B75,'ОЗОН Доступн товара'!$A:$A,'ОЗОН Доступн товара'!$D:$D,0))</f>
        <v>0</v>
      </c>
      <c r="AY75" s="226">
        <f t="shared" si="41"/>
        <v>1</v>
      </c>
      <c r="AZ75" s="7" t="str">
        <f t="shared" si="42"/>
        <v>нов</v>
      </c>
      <c r="BA75" s="7" t="str">
        <f t="shared" si="43"/>
        <v>нов</v>
      </c>
      <c r="BB75" s="7" t="str">
        <f t="shared" si="44"/>
        <v>нов</v>
      </c>
      <c r="BC75" s="7" t="str">
        <f t="shared" si="45"/>
        <v>нов</v>
      </c>
      <c r="BD75" s="27">
        <f t="shared" si="46"/>
        <v>2</v>
      </c>
      <c r="BE75" s="7">
        <f t="shared" si="47"/>
        <v>0</v>
      </c>
      <c r="BF75" s="104" t="str">
        <f t="shared" si="48"/>
        <v>нов</v>
      </c>
      <c r="BG75" s="27" t="str">
        <f t="shared" si="49"/>
        <v>нов</v>
      </c>
      <c r="BH75" s="104" t="str">
        <f t="shared" si="50"/>
        <v>нов</v>
      </c>
      <c r="BI75" s="7" t="str">
        <f t="shared" si="51"/>
        <v>нов</v>
      </c>
      <c r="BJ75" s="153" t="str">
        <f t="shared" si="52"/>
        <v>нов</v>
      </c>
      <c r="BK75" s="7" t="str">
        <f t="shared" si="53"/>
        <v>нов</v>
      </c>
      <c r="BL75" s="6">
        <f t="shared" si="54"/>
        <v>2</v>
      </c>
      <c r="BM75" s="6">
        <f t="shared" si="55"/>
        <v>0</v>
      </c>
      <c r="BN75" s="28">
        <f t="shared" si="56"/>
        <v>2</v>
      </c>
      <c r="BO75" s="73">
        <f>IFERROR(_xlfn.XLOOKUP(A75,'[2] Расчет стоимости и веса'!$I:$I,'[2] Расчет стоимости и веса'!$D:$D),0)</f>
        <v>90</v>
      </c>
      <c r="BP75" s="227">
        <f t="shared" si="57"/>
        <v>90</v>
      </c>
      <c r="BQ75" s="8"/>
      <c r="BR75" s="155">
        <v>30</v>
      </c>
      <c r="BS75" s="12"/>
      <c r="BT75" s="12"/>
      <c r="BU75" s="229"/>
      <c r="BV75" s="12"/>
      <c r="BW75" s="12"/>
      <c r="BY75" s="231">
        <v>20</v>
      </c>
      <c r="BZ75" s="232"/>
      <c r="CA75" s="155">
        <v>20</v>
      </c>
      <c r="CB75" s="157">
        <v>20</v>
      </c>
      <c r="CC75" s="57"/>
      <c r="CD75" s="12"/>
      <c r="CE75" s="146">
        <f t="shared" si="33"/>
        <v>90</v>
      </c>
      <c r="CF75" s="69">
        <f t="shared" si="34"/>
        <v>90</v>
      </c>
      <c r="CG75" s="45">
        <f t="shared" si="35"/>
        <v>0</v>
      </c>
    </row>
    <row r="76" spans="1:85" ht="14.1" hidden="1" customHeight="1">
      <c r="A76" s="240">
        <f>[1]Юнит!A78</f>
        <v>321959186</v>
      </c>
      <c r="B76" s="241">
        <f>[1]Юнит!B78</f>
        <v>2415742927</v>
      </c>
      <c r="C76" s="240" t="str">
        <f>[1]Юнит!C78</f>
        <v>AKTA4ST102CL</v>
      </c>
      <c r="D76" s="90" t="str">
        <f>[1]Юнит!D78</f>
        <v>Набор пробок 4 шт.</v>
      </c>
      <c r="E76" s="90">
        <f>[1]Юнит!E78</f>
        <v>2042678197468</v>
      </c>
      <c r="F76" s="132">
        <f>ROUNDUP(SUMIFS('ВБ Отчет Продажи (за 60 дней)'!$L:$L,'ВБ Отчет Продажи (за 60 дней)'!$K:$K,"Электросталь",'ВБ Отчет Продажи (за 60 дней)'!$G:$G,$A76),0)</f>
        <v>0</v>
      </c>
      <c r="G76" s="133">
        <f>ROUNDUP(SUMIFS('ВБ Отчет Продажи (за 60 дней)'!$L:$L,'ВБ Отчет Продажи (за 60 дней)'!$K:$K,"Коледино",'ВБ Отчет Продажи (за 60 дней)'!$G:$G,$A76),0)</f>
        <v>0</v>
      </c>
      <c r="H76" s="133">
        <f>ROUNDUP(SUMIFS('ВБ Отчет Продажи (за 60 дней)'!$L:$L,'ВБ Отчет Продажи (за 60 дней)'!$K:$K,"Тула",'ВБ Отчет Продажи (за 60 дней)'!$G:$G,$A76),0)</f>
        <v>0</v>
      </c>
      <c r="I76" s="134">
        <f>ROUNDUP(SUMIFS('ВБ Отчет Продажи (за 60 дней)'!$L:$L,'ВБ Отчет Продажи (за 60 дней)'!$K:$K,"Рязань (Тюшевское)",'ВБ Отчет Продажи (за 60 дней)'!$G:$G,$A76),0)</f>
        <v>0</v>
      </c>
      <c r="J76" s="136">
        <f>ROUNDUP(SUMIFS('ВБ Отчет Продажи (за 60 дней)'!$L:$L,'ВБ Отчет Продажи (за 60 дней)'!$K:$K,"Краснодар",'ВБ Отчет Продажи (за 60 дней)'!$G:$G,$A76),0)</f>
        <v>0</v>
      </c>
      <c r="K76" s="133">
        <f>ROUNDUP(SUMIFS('ВБ Отчет Продажи (за 60 дней)'!$L:$L,'ВБ Отчет Продажи (за 60 дней)'!$K:$K,"Невинномысск",'ВБ Отчет Продажи (за 60 дней)'!$G:$G,$A76),0)</f>
        <v>2</v>
      </c>
      <c r="L76" s="137">
        <f>ROUNDUP(SUMIFS('ВБ Отчет Продажи (за 60 дней)'!$L:$L,'ВБ Отчет Продажи (за 60 дней)'!$K:$K,"Волгоград",'ВБ Отчет Продажи (за 60 дней)'!$G:$G,$A76),0)</f>
        <v>0</v>
      </c>
      <c r="M76" s="136">
        <f>ROUNDUP(SUMIFS('ВБ Отчет Продажи (за 60 дней)'!$L:$L,'ВБ Отчет Продажи (за 60 дней)'!$K:$K,"Самара (Новосемейкино)",'ВБ Отчет Продажи (за 60 дней)'!$G:$G,$A76),0)</f>
        <v>0</v>
      </c>
      <c r="N76" s="137">
        <f>ROUNDUP(SUMIFS('ВБ Отчет Продажи (за 60 дней)'!$L:$L,'ВБ Отчет Продажи (за 60 дней)'!$K:$K,"Казань",'ВБ Отчет Продажи (за 60 дней)'!$G:$G,$A76),0)</f>
        <v>0</v>
      </c>
      <c r="O76" s="137">
        <f>ROUNDUP(SUMIFS('ВБ Отчет Продажи (за 60 дней)'!$L:$L,'ВБ Отчет Продажи (за 60 дней)'!$K:$K,"СПБ Шушары",'ВБ Отчет Продажи (за 60 дней)'!$G:$G,$A76),0)</f>
        <v>2</v>
      </c>
      <c r="P76" s="151">
        <f>ROUNDUP(SUMIFS('ВБ Отчет Продажи (за 60 дней)'!$L:$L,'ВБ Отчет Продажи (за 60 дней)'!$K:$K,"Екатеринбург - Перспективный 12",'ВБ Отчет Продажи (за 60 дней)'!$G:$G,$A76),0)</f>
        <v>0</v>
      </c>
      <c r="Q76" s="149">
        <f>ROUNDUP(SUMIFS('ВБ Отчет Продажи (за 60 дней)'!$L:$L,'ВБ Отчет Продажи (за 60 дней)'!$K:$K,"Новосибирск",'ВБ Отчет Продажи (за 60 дней)'!$G:$G,$A76),0)</f>
        <v>0</v>
      </c>
      <c r="R76" s="131">
        <f t="shared" si="32"/>
        <v>4</v>
      </c>
      <c r="S76" s="139">
        <f>SUMIFS('ОЗОН Оборот ведом (за 60 дней)'!I:I,'ОЗОН Оборот ведом (за 60 дней)'!A:A,B76)</f>
        <v>0</v>
      </c>
      <c r="T76" s="140">
        <f t="shared" si="36"/>
        <v>4</v>
      </c>
      <c r="U76" s="6">
        <f>SUMIFS('ВБ Отчет Продажи (за 60 дней)'!$P:$P,'ВБ Отчет Продажи (за 60 дней)'!$K:$K,"Электросталь",'ВБ Отчет Продажи (за 60 дней)'!$G:$G,$A76)</f>
        <v>0</v>
      </c>
      <c r="V76" s="7">
        <f>SUMIFS('ВБ Отчет Продажи (за 60 дней)'!$P:$P,'ВБ Отчет Продажи (за 60 дней)'!$K:$K,"Коледино",'ВБ Отчет Продажи (за 60 дней)'!$G:$G,$A76)</f>
        <v>0</v>
      </c>
      <c r="W76" s="7">
        <f>SUMIFS('ВБ Отчет Продажи (за 60 дней)'!$P:$P,'ВБ Отчет Продажи (за 60 дней)'!$K:$K,"Тула",'ВБ Отчет Продажи (за 60 дней)'!$G:$G,$A76)</f>
        <v>0</v>
      </c>
      <c r="X76" s="7">
        <f>SUMIFS('ВБ Отчет Продажи (за 60 дней)'!$P:$P,'ВБ Отчет Продажи (за 60 дней)'!$K:$K,"Рязань (Тюшевское)",'ВБ Отчет Продажи (за 60 дней)'!$G:$G,$A76)</f>
        <v>0</v>
      </c>
      <c r="Y76" s="27">
        <f>SUMIFS('ВБ Отчет Продажи (за 60 дней)'!$P:$P,'ВБ Отчет Продажи (за 60 дней)'!$K:$K,"Краснодар",'ВБ Отчет Продажи (за 60 дней)'!$G:$G,$A76)</f>
        <v>0</v>
      </c>
      <c r="Z76" s="7">
        <f>SUMIFS('ВБ Отчет Продажи (за 60 дней)'!$P:$P,'ВБ Отчет Продажи (за 60 дней)'!$K:$K,"Невинномысск",'ВБ Отчет Продажи (за 60 дней)'!$G:$G,$A76)</f>
        <v>22</v>
      </c>
      <c r="AA76" s="104">
        <f>SUMIFS('ВБ Отчет Продажи (за 60 дней)'!$P:$P,'ВБ Отчет Продажи (за 60 дней)'!$K:$K,"Волгоград",'ВБ Отчет Продажи (за 60 дней)'!$G:$G,$A76)</f>
        <v>0</v>
      </c>
      <c r="AB76" s="27">
        <f>SUMIFS('ВБ Отчет Продажи (за 60 дней)'!$P:$P,'ВБ Отчет Продажи (за 60 дней)'!$K:$K,"Самара (Новосемейкино)",'ВБ Отчет Продажи (за 60 дней)'!$G:$G,$A76)</f>
        <v>0</v>
      </c>
      <c r="AC76" s="104">
        <f>SUMIFS('ВБ Отчет Продажи (за 60 дней)'!$P:$P,'ВБ Отчет Продажи (за 60 дней)'!$K:$K,"Казань",'ВБ Отчет Продажи (за 60 дней)'!$G:$G,$A76)</f>
        <v>0</v>
      </c>
      <c r="AD76" s="104">
        <f>SUMIFS('ВБ Отчет Продажи (за 60 дней)'!$P:$P,'ВБ Отчет Продажи (за 60 дней)'!$K:$K,"СПБ Шушары",'ВБ Отчет Продажи (за 60 дней)'!$G:$G,$A76)</f>
        <v>14</v>
      </c>
      <c r="AE76" s="153">
        <f>SUMIFS('ВБ Отчет Продажи (за 60 дней)'!$P:$P,'ВБ Отчет Продажи (за 60 дней)'!$K:$K,"Екатеринбург - Перспективный 12",'ВБ Отчет Продажи (за 60 дней)'!$G:$G,$A76)</f>
        <v>0</v>
      </c>
      <c r="AF76" s="102">
        <f>SUMIFS('ВБ Отчет Продажи (за 60 дней)'!$P:$P,'ВБ Отчет Продажи (за 60 дней)'!$K:$K,"Новосибирск",'ВБ Отчет Продажи (за 60 дней)'!$G:$G,$A76)</f>
        <v>0</v>
      </c>
      <c r="AG76" s="124">
        <f t="shared" si="37"/>
        <v>36</v>
      </c>
      <c r="AH76" s="7">
        <f t="shared" si="38"/>
        <v>540</v>
      </c>
      <c r="AI76" s="213">
        <f>SUMIFS('ОЗОН Оборот ведом (за 60 дней)'!J:J,'ОЗОН Оборот ведом (за 60 дней)'!A:A,B76)</f>
        <v>0</v>
      </c>
      <c r="AJ76" s="21">
        <f t="shared" si="39"/>
        <v>36</v>
      </c>
      <c r="AK76" s="7" t="str" cm="1">
        <f t="array" ref="AK76">IFERROR(_xlfn.IFS((F76-U76)&gt;0,F76/$R$1*$AY$1-U76,F76+U76=0,"нов"),0)</f>
        <v>нов</v>
      </c>
      <c r="AL76" s="7" t="str" cm="1">
        <f t="array" ref="AL76">IFERROR(_xlfn.IFS((G76-V76)&gt;0,G76/$R$1*$AY$1-V76,G76+V76=0,"нов"),0)</f>
        <v>нов</v>
      </c>
      <c r="AM76" s="7" t="str" cm="1">
        <f t="array" ref="AM76">IFERROR(_xlfn.IFS((H76-W76)&gt;0,H76/$R$1*$AY$1-W76,H76+W76=0,"нов"),0)</f>
        <v>нов</v>
      </c>
      <c r="AN76" s="7" t="str" cm="1">
        <f t="array" ref="AN76">IFERROR(_xlfn.IFS((I76-X76)&gt;0,I76/$R$1*$AY$1-X76,I76+X76=0,"нов"),0)</f>
        <v>нов</v>
      </c>
      <c r="AO76" s="27" t="str" cm="1">
        <f t="array" ref="AO76">IFERROR(_xlfn.IFS((J76-Y76)&gt;0,J76/$R$1*$AY$1-Y76,J76+Y76=0,"нов"),0)</f>
        <v>нов</v>
      </c>
      <c r="AP76" s="7" cm="1">
        <f t="array" ref="AP76">IFERROR(_xlfn.IFS((K76-Z76)&gt;0,K76/$R$1*$AY$1-Z76,K76+Z76=0,"нов"),0)</f>
        <v>0</v>
      </c>
      <c r="AQ76" s="104" t="str" cm="1">
        <f t="array" ref="AQ76">IFERROR(_xlfn.IFS((L76-AA76)&gt;0,L76/$R$1*$AY$1-AA76,L76+AA76=0,"нов"),0)</f>
        <v>нов</v>
      </c>
      <c r="AR76" s="27" t="str" cm="1">
        <f t="array" ref="AR76">IFERROR(_xlfn.IFS((M76-AB76)&gt;0,M76/$R$1*$AY$1-AB76,M76+AB76=0,"нов"),0)</f>
        <v>нов</v>
      </c>
      <c r="AS76" s="104" t="str" cm="1">
        <f t="array" ref="AS76">IFERROR(_xlfn.IFS((N76-AC76)&gt;0,N76/$R$1*$AY$1-AC76,N76+AC76=0,"нов"),0)</f>
        <v>нов</v>
      </c>
      <c r="AT76" s="104" cm="1">
        <f t="array" ref="AT76">IFERROR(_xlfn.IFS((O76-AD76)&gt;0,O76/$R$1*$AY$1-AD76,O76+AD76=0,"нов"),0)</f>
        <v>0</v>
      </c>
      <c r="AU76" s="7" t="str" cm="1">
        <f t="array" ref="AU76">IFERROR(_xlfn.IFS((P76-AE76)&gt;0,P76/$R$1*$AY$1-AE76,P76+AE76=0,"нов"),0)</f>
        <v>нов</v>
      </c>
      <c r="AV76" s="7" t="str" cm="1">
        <f t="array" ref="AV76">IFERROR(_xlfn.IFS((Q76-AF76)&gt;0,Q76/$R$1*$AY$1-AF76,Q76+AF76=0,"нов"),0)</f>
        <v>нов</v>
      </c>
      <c r="AW76" s="141">
        <f t="shared" si="40"/>
        <v>0</v>
      </c>
      <c r="AX76" s="218">
        <f>SUMIF('ОЗОН Доступн товара'!D:D,_xlfn.XLOOKUP($B76,'ОЗОН Доступн товара'!$A:$A,'ОЗОН Доступн товара'!$D:$D,0))</f>
        <v>0</v>
      </c>
      <c r="AY76" s="226">
        <f t="shared" si="41"/>
        <v>0</v>
      </c>
      <c r="AZ76" s="7" t="str">
        <f t="shared" si="42"/>
        <v>нов</v>
      </c>
      <c r="BA76" s="7" t="str">
        <f t="shared" si="43"/>
        <v>нов</v>
      </c>
      <c r="BB76" s="7" t="str">
        <f t="shared" si="44"/>
        <v>нов</v>
      </c>
      <c r="BC76" s="7" t="str">
        <f t="shared" si="45"/>
        <v>нов</v>
      </c>
      <c r="BD76" s="27" t="str">
        <f t="shared" si="46"/>
        <v>нов</v>
      </c>
      <c r="BE76" s="7">
        <f t="shared" si="47"/>
        <v>0</v>
      </c>
      <c r="BF76" s="104" t="str">
        <f t="shared" si="48"/>
        <v>нов</v>
      </c>
      <c r="BG76" s="27" t="str">
        <f t="shared" si="49"/>
        <v>нов</v>
      </c>
      <c r="BH76" s="104" t="str">
        <f t="shared" si="50"/>
        <v>нов</v>
      </c>
      <c r="BI76" s="7">
        <f t="shared" si="51"/>
        <v>0</v>
      </c>
      <c r="BJ76" s="153" t="str">
        <f t="shared" si="52"/>
        <v>нов</v>
      </c>
      <c r="BK76" s="7" t="str">
        <f t="shared" si="53"/>
        <v>нов</v>
      </c>
      <c r="BL76" s="6">
        <f t="shared" si="54"/>
        <v>0</v>
      </c>
      <c r="BM76" s="6">
        <f t="shared" si="55"/>
        <v>0</v>
      </c>
      <c r="BN76" s="28">
        <f t="shared" si="56"/>
        <v>0</v>
      </c>
      <c r="BO76" s="73">
        <f>IFERROR(_xlfn.XLOOKUP(A76,'[2] Расчет стоимости и веса'!$I:$I,'[2] Расчет стоимости и веса'!$D:$D),0)</f>
        <v>0</v>
      </c>
      <c r="BP76" s="227">
        <f t="shared" si="57"/>
        <v>0</v>
      </c>
      <c r="BQ76" s="8"/>
      <c r="BR76" s="155"/>
      <c r="BS76" s="12"/>
      <c r="BT76" s="12"/>
      <c r="BU76" s="229"/>
      <c r="BV76" s="12"/>
      <c r="BW76" s="12"/>
      <c r="BY76" s="231"/>
      <c r="BZ76" s="232"/>
      <c r="CA76" s="155"/>
      <c r="CB76" s="157"/>
      <c r="CC76" s="57"/>
      <c r="CD76" s="12"/>
      <c r="CE76" s="146">
        <f t="shared" si="33"/>
        <v>0</v>
      </c>
      <c r="CF76" s="69">
        <f t="shared" si="34"/>
        <v>0</v>
      </c>
      <c r="CG76" s="45">
        <f t="shared" si="35"/>
        <v>0</v>
      </c>
    </row>
    <row r="77" spans="1:85" ht="14.1" hidden="1" customHeight="1">
      <c r="A77" s="248">
        <f>[1]Юнит!A79</f>
        <v>273546535</v>
      </c>
      <c r="B77" s="249">
        <f>[1]Юнит!B79</f>
        <v>2086999506</v>
      </c>
      <c r="C77" s="248" t="str">
        <f>[1]Юнит!C79</f>
        <v>AKTA2KN101YL</v>
      </c>
      <c r="D77" s="250" t="str">
        <f>[1]Юнит!D79</f>
        <v>Шпатель желтый</v>
      </c>
      <c r="E77" s="90">
        <f>[1]Юнит!E79</f>
        <v>2041533399818</v>
      </c>
      <c r="F77" s="132">
        <f>ROUNDUP(SUMIFS('ВБ Отчет Продажи (за 60 дней)'!$L:$L,'ВБ Отчет Продажи (за 60 дней)'!$K:$K,"Электросталь",'ВБ Отчет Продажи (за 60 дней)'!$G:$G,$A77),0)</f>
        <v>2</v>
      </c>
      <c r="G77" s="133">
        <f>ROUNDUP(SUMIFS('ВБ Отчет Продажи (за 60 дней)'!$L:$L,'ВБ Отчет Продажи (за 60 дней)'!$K:$K,"Коледино",'ВБ Отчет Продажи (за 60 дней)'!$G:$G,$A77),0)</f>
        <v>1</v>
      </c>
      <c r="H77" s="133">
        <f>ROUNDUP(SUMIFS('ВБ Отчет Продажи (за 60 дней)'!$L:$L,'ВБ Отчет Продажи (за 60 дней)'!$K:$K,"Тула",'ВБ Отчет Продажи (за 60 дней)'!$G:$G,$A77),0)</f>
        <v>0</v>
      </c>
      <c r="I77" s="134">
        <f>ROUNDUP(SUMIFS('ВБ Отчет Продажи (за 60 дней)'!$L:$L,'ВБ Отчет Продажи (за 60 дней)'!$K:$K,"Рязань (Тюшевское)",'ВБ Отчет Продажи (за 60 дней)'!$G:$G,$A77),0)</f>
        <v>0</v>
      </c>
      <c r="J77" s="136">
        <f>ROUNDUP(SUMIFS('ВБ Отчет Продажи (за 60 дней)'!$L:$L,'ВБ Отчет Продажи (за 60 дней)'!$K:$K,"Краснодар",'ВБ Отчет Продажи (за 60 дней)'!$G:$G,$A77),0)</f>
        <v>1</v>
      </c>
      <c r="K77" s="133">
        <f>ROUNDUP(SUMIFS('ВБ Отчет Продажи (за 60 дней)'!$L:$L,'ВБ Отчет Продажи (за 60 дней)'!$K:$K,"Невинномысск",'ВБ Отчет Продажи (за 60 дней)'!$G:$G,$A77),0)</f>
        <v>1</v>
      </c>
      <c r="L77" s="137">
        <f>ROUNDUP(SUMIFS('ВБ Отчет Продажи (за 60 дней)'!$L:$L,'ВБ Отчет Продажи (за 60 дней)'!$K:$K,"Волгоград",'ВБ Отчет Продажи (за 60 дней)'!$G:$G,$A77),0)</f>
        <v>0</v>
      </c>
      <c r="M77" s="136">
        <f>ROUNDUP(SUMIFS('ВБ Отчет Продажи (за 60 дней)'!$L:$L,'ВБ Отчет Продажи (за 60 дней)'!$K:$K,"Самара (Новосемейкино)",'ВБ Отчет Продажи (за 60 дней)'!$G:$G,$A77),0)</f>
        <v>2</v>
      </c>
      <c r="N77" s="137">
        <f>ROUNDUP(SUMIFS('ВБ Отчет Продажи (за 60 дней)'!$L:$L,'ВБ Отчет Продажи (за 60 дней)'!$K:$K,"Казань",'ВБ Отчет Продажи (за 60 дней)'!$G:$G,$A77),0)</f>
        <v>0</v>
      </c>
      <c r="O77" s="137">
        <f>ROUNDUP(SUMIFS('ВБ Отчет Продажи (за 60 дней)'!$L:$L,'ВБ Отчет Продажи (за 60 дней)'!$K:$K,"СПБ Шушары",'ВБ Отчет Продажи (за 60 дней)'!$G:$G,$A77),0)</f>
        <v>0</v>
      </c>
      <c r="P77" s="151">
        <f>ROUNDUP(SUMIFS('ВБ Отчет Продажи (за 60 дней)'!$L:$L,'ВБ Отчет Продажи (за 60 дней)'!$K:$K,"Екатеринбург - Перспективный 12",'ВБ Отчет Продажи (за 60 дней)'!$G:$G,$A77),0)</f>
        <v>0</v>
      </c>
      <c r="Q77" s="149">
        <f>ROUNDUP(SUMIFS('ВБ Отчет Продажи (за 60 дней)'!$L:$L,'ВБ Отчет Продажи (за 60 дней)'!$K:$K,"Новосибирск",'ВБ Отчет Продажи (за 60 дней)'!$G:$G,$A77),0)</f>
        <v>0</v>
      </c>
      <c r="R77" s="131">
        <f t="shared" si="32"/>
        <v>7</v>
      </c>
      <c r="S77" s="139">
        <f>SUMIFS('ОЗОН Оборот ведом (за 60 дней)'!I:I,'ОЗОН Оборот ведом (за 60 дней)'!A:A,B77)</f>
        <v>6</v>
      </c>
      <c r="T77" s="140">
        <f t="shared" si="36"/>
        <v>13</v>
      </c>
      <c r="U77" s="6">
        <f>SUMIFS('ВБ Отчет Продажи (за 60 дней)'!$P:$P,'ВБ Отчет Продажи (за 60 дней)'!$K:$K,"Электросталь",'ВБ Отчет Продажи (за 60 дней)'!$G:$G,$A77)</f>
        <v>18</v>
      </c>
      <c r="V77" s="7">
        <f>SUMIFS('ВБ Отчет Продажи (за 60 дней)'!$P:$P,'ВБ Отчет Продажи (за 60 дней)'!$K:$K,"Коледино",'ВБ Отчет Продажи (за 60 дней)'!$G:$G,$A77)</f>
        <v>0</v>
      </c>
      <c r="W77" s="7">
        <f>SUMIFS('ВБ Отчет Продажи (за 60 дней)'!$P:$P,'ВБ Отчет Продажи (за 60 дней)'!$K:$K,"Тула",'ВБ Отчет Продажи (за 60 дней)'!$G:$G,$A77)</f>
        <v>0</v>
      </c>
      <c r="X77" s="7">
        <f>SUMIFS('ВБ Отчет Продажи (за 60 дней)'!$P:$P,'ВБ Отчет Продажи (за 60 дней)'!$K:$K,"Рязань (Тюшевское)",'ВБ Отчет Продажи (за 60 дней)'!$G:$G,$A77)</f>
        <v>0</v>
      </c>
      <c r="Y77" s="27">
        <f>SUMIFS('ВБ Отчет Продажи (за 60 дней)'!$P:$P,'ВБ Отчет Продажи (за 60 дней)'!$K:$K,"Краснодар",'ВБ Отчет Продажи (за 60 дней)'!$G:$G,$A77)</f>
        <v>0</v>
      </c>
      <c r="Z77" s="7">
        <f>SUMIFS('ВБ Отчет Продажи (за 60 дней)'!$P:$P,'ВБ Отчет Продажи (за 60 дней)'!$K:$K,"Невинномысск",'ВБ Отчет Продажи (за 60 дней)'!$G:$G,$A77)</f>
        <v>17</v>
      </c>
      <c r="AA77" s="104">
        <f>SUMIFS('ВБ Отчет Продажи (за 60 дней)'!$P:$P,'ВБ Отчет Продажи (за 60 дней)'!$K:$K,"Волгоград",'ВБ Отчет Продажи (за 60 дней)'!$G:$G,$A77)</f>
        <v>0</v>
      </c>
      <c r="AB77" s="27">
        <f>SUMIFS('ВБ Отчет Продажи (за 60 дней)'!$P:$P,'ВБ Отчет Продажи (за 60 дней)'!$K:$K,"Самара (Новосемейкино)",'ВБ Отчет Продажи (за 60 дней)'!$G:$G,$A77)</f>
        <v>15</v>
      </c>
      <c r="AC77" s="104">
        <f>SUMIFS('ВБ Отчет Продажи (за 60 дней)'!$P:$P,'ВБ Отчет Продажи (за 60 дней)'!$K:$K,"Казань",'ВБ Отчет Продажи (за 60 дней)'!$G:$G,$A77)</f>
        <v>0</v>
      </c>
      <c r="AD77" s="104">
        <f>SUMIFS('ВБ Отчет Продажи (за 60 дней)'!$P:$P,'ВБ Отчет Продажи (за 60 дней)'!$K:$K,"СПБ Шушары",'ВБ Отчет Продажи (за 60 дней)'!$G:$G,$A77)</f>
        <v>28</v>
      </c>
      <c r="AE77" s="153">
        <f>SUMIFS('ВБ Отчет Продажи (за 60 дней)'!$P:$P,'ВБ Отчет Продажи (за 60 дней)'!$K:$K,"Екатеринбург - Перспективный 12",'ВБ Отчет Продажи (за 60 дней)'!$G:$G,$A77)</f>
        <v>0</v>
      </c>
      <c r="AF77" s="102">
        <f>SUMIFS('ВБ Отчет Продажи (за 60 дней)'!$P:$P,'ВБ Отчет Продажи (за 60 дней)'!$K:$K,"Новосибирск",'ВБ Отчет Продажи (за 60 дней)'!$G:$G,$A77)</f>
        <v>0</v>
      </c>
      <c r="AG77" s="124">
        <f t="shared" si="37"/>
        <v>78</v>
      </c>
      <c r="AH77" s="7">
        <f t="shared" si="38"/>
        <v>668.57142857142856</v>
      </c>
      <c r="AI77" s="213">
        <f>SUMIFS('ОЗОН Оборот ведом (за 60 дней)'!J:J,'ОЗОН Оборот ведом (за 60 дней)'!A:A,B77)</f>
        <v>2</v>
      </c>
      <c r="AJ77" s="21">
        <f>AG77+AI77</f>
        <v>80</v>
      </c>
      <c r="AK77" s="7" cm="1">
        <f t="array" ref="AK77">IFERROR(_xlfn.IFS((F77-U77)&gt;0,F77/$R$1*$AY$1-U77,F77+U77=0,"нов"),0)</f>
        <v>0</v>
      </c>
      <c r="AL77" s="7" cm="1">
        <f t="array" ref="AL77">IFERROR(_xlfn.IFS((G77-V77)&gt;0,G77/$R$1*$AY$1-V77,G77+V77=0,"нов"),0)</f>
        <v>1</v>
      </c>
      <c r="AM77" s="7" t="str" cm="1">
        <f t="array" ref="AM77">IFERROR(_xlfn.IFS((H77-W77)&gt;0,H77/$R$1*$AY$1-W77,H77+W77=0,"нов"),0)</f>
        <v>нов</v>
      </c>
      <c r="AN77" s="7" t="str" cm="1">
        <f t="array" ref="AN77">IFERROR(_xlfn.IFS((I77-X77)&gt;0,I77/$R$1*$AY$1-X77,I77+X77=0,"нов"),0)</f>
        <v>нов</v>
      </c>
      <c r="AO77" s="27" cm="1">
        <f t="array" ref="AO77">IFERROR(_xlfn.IFS((J77-Y77)&gt;0,J77/$R$1*$AY$1-Y77,J77+Y77=0,"нов"),0)</f>
        <v>1</v>
      </c>
      <c r="AP77" s="7" cm="1">
        <f t="array" ref="AP77">IFERROR(_xlfn.IFS((K77-Z77)&gt;0,K77/$R$1*$AY$1-Z77,K77+Z77=0,"нов"),0)</f>
        <v>0</v>
      </c>
      <c r="AQ77" s="104" t="str" cm="1">
        <f t="array" ref="AQ77">IFERROR(_xlfn.IFS((L77-AA77)&gt;0,L77/$R$1*$AY$1-AA77,L77+AA77=0,"нов"),0)</f>
        <v>нов</v>
      </c>
      <c r="AR77" s="27" cm="1">
        <f t="array" ref="AR77">IFERROR(_xlfn.IFS((M77-AB77)&gt;0,M77/$R$1*$AY$1-AB77,M77+AB77=0,"нов"),0)</f>
        <v>0</v>
      </c>
      <c r="AS77" s="104" t="str" cm="1">
        <f t="array" ref="AS77">IFERROR(_xlfn.IFS((N77-AC77)&gt;0,N77/$R$1*$AY$1-AC77,N77+AC77=0,"нов"),0)</f>
        <v>нов</v>
      </c>
      <c r="AT77" s="104" cm="1">
        <f t="array" ref="AT77">IFERROR(_xlfn.IFS((O77-AD77)&gt;0,O77/$R$1*$AY$1-AD77,O77+AD77=0,"нов"),0)</f>
        <v>0</v>
      </c>
      <c r="AU77" s="7" t="str" cm="1">
        <f t="array" ref="AU77">IFERROR(_xlfn.IFS((P77-AE77)&gt;0,P77/$R$1*$AY$1-AE77,P77+AE77=0,"нов"),0)</f>
        <v>нов</v>
      </c>
      <c r="AV77" s="7" t="str" cm="1">
        <f t="array" ref="AV77">IFERROR(_xlfn.IFS((Q77-AF77)&gt;0,Q77/$R$1*$AY$1-AF77,Q77+AF77=0,"нов"),0)</f>
        <v>нов</v>
      </c>
      <c r="AW77" s="141">
        <f>SUM(AK77:AV77)</f>
        <v>2</v>
      </c>
      <c r="AX77" s="218">
        <f>SUMIF('ОЗОН Доступн товара'!D:D,_xlfn.XLOOKUP($B77,'ОЗОН Доступн товара'!$A:$A,'ОЗОН Доступн товара'!$D:$D,0))</f>
        <v>62</v>
      </c>
      <c r="AY77" s="226">
        <f t="shared" si="41"/>
        <v>64</v>
      </c>
      <c r="AZ77" s="7">
        <f t="shared" si="42"/>
        <v>0</v>
      </c>
      <c r="BA77" s="7">
        <f t="shared" si="43"/>
        <v>2</v>
      </c>
      <c r="BB77" s="7" t="str">
        <f t="shared" si="44"/>
        <v>нов</v>
      </c>
      <c r="BC77" s="7" t="str">
        <f t="shared" si="45"/>
        <v>нов</v>
      </c>
      <c r="BD77" s="27">
        <f t="shared" si="46"/>
        <v>2</v>
      </c>
      <c r="BE77" s="7">
        <f t="shared" si="47"/>
        <v>0</v>
      </c>
      <c r="BF77" s="104" t="str">
        <f t="shared" si="48"/>
        <v>нов</v>
      </c>
      <c r="BG77" s="27">
        <f t="shared" si="49"/>
        <v>0</v>
      </c>
      <c r="BH77" s="104" t="str">
        <f t="shared" si="50"/>
        <v>нов</v>
      </c>
      <c r="BI77" s="7">
        <f t="shared" si="51"/>
        <v>0</v>
      </c>
      <c r="BJ77" s="153" t="str">
        <f t="shared" si="52"/>
        <v>нов</v>
      </c>
      <c r="BK77" s="7" t="str">
        <f t="shared" si="53"/>
        <v>нов</v>
      </c>
      <c r="BL77" s="6">
        <f t="shared" si="54"/>
        <v>4</v>
      </c>
      <c r="BM77" s="6">
        <f t="shared" si="55"/>
        <v>80.600000000000009</v>
      </c>
      <c r="BN77" s="28">
        <f t="shared" si="56"/>
        <v>84.600000000000009</v>
      </c>
      <c r="BO77" s="73">
        <f>IFERROR(_xlfn.XLOOKUP(A77,'[2] Расчет стоимости и веса'!$I:$I,'[2] Расчет стоимости и веса'!$D:$D),0)</f>
        <v>0</v>
      </c>
      <c r="BP77" s="227">
        <f t="shared" si="57"/>
        <v>0</v>
      </c>
      <c r="BQ77" s="8"/>
      <c r="BR77" s="155"/>
      <c r="BS77" s="12"/>
      <c r="BT77" s="12"/>
      <c r="BU77" s="229"/>
      <c r="BV77" s="12"/>
      <c r="BW77" s="12"/>
      <c r="BY77" s="231"/>
      <c r="BZ77" s="232"/>
      <c r="CA77" s="155"/>
      <c r="CB77" s="157"/>
      <c r="CC77" s="57"/>
      <c r="CD77" s="12"/>
      <c r="CE77" s="146">
        <f t="shared" si="33"/>
        <v>0</v>
      </c>
      <c r="CF77" s="69">
        <f t="shared" si="34"/>
        <v>0</v>
      </c>
      <c r="CG77" s="45">
        <f t="shared" si="35"/>
        <v>0</v>
      </c>
    </row>
    <row r="78" spans="1:85" ht="14.1" hidden="1" customHeight="1">
      <c r="A78" s="248">
        <f>[1]Юнит!A80</f>
        <v>273551028</v>
      </c>
      <c r="B78" s="249">
        <f>[1]Юнит!B80</f>
        <v>0</v>
      </c>
      <c r="C78" s="248" t="str">
        <f>[1]Юнит!C80</f>
        <v>AKTA2KN101BL</v>
      </c>
      <c r="D78" s="250" t="str">
        <f>[1]Юнит!D80</f>
        <v>Шпатель голубой</v>
      </c>
      <c r="E78" s="90">
        <f>[1]Юнит!E80</f>
        <v>2041533587000</v>
      </c>
      <c r="F78" s="132">
        <f>ROUNDUP(SUMIFS('ВБ Отчет Продажи (за 60 дней)'!$L:$L,'ВБ Отчет Продажи (за 60 дней)'!$K:$K,"Электросталь",'ВБ Отчет Продажи (за 60 дней)'!$G:$G,$A78),0)</f>
        <v>0</v>
      </c>
      <c r="G78" s="133">
        <f>ROUNDUP(SUMIFS('ВБ Отчет Продажи (за 60 дней)'!$L:$L,'ВБ Отчет Продажи (за 60 дней)'!$K:$K,"Коледино",'ВБ Отчет Продажи (за 60 дней)'!$G:$G,$A78),0)</f>
        <v>0</v>
      </c>
      <c r="H78" s="133">
        <f>ROUNDUP(SUMIFS('ВБ Отчет Продажи (за 60 дней)'!$L:$L,'ВБ Отчет Продажи (за 60 дней)'!$K:$K,"Тула",'ВБ Отчет Продажи (за 60 дней)'!$G:$G,$A78),0)</f>
        <v>0</v>
      </c>
      <c r="I78" s="134">
        <f>ROUNDUP(SUMIFS('ВБ Отчет Продажи (за 60 дней)'!$L:$L,'ВБ Отчет Продажи (за 60 дней)'!$K:$K,"Рязань (Тюшевское)",'ВБ Отчет Продажи (за 60 дней)'!$G:$G,$A78),0)</f>
        <v>0</v>
      </c>
      <c r="J78" s="136">
        <f>ROUNDUP(SUMIFS('ВБ Отчет Продажи (за 60 дней)'!$L:$L,'ВБ Отчет Продажи (за 60 дней)'!$K:$K,"Краснодар",'ВБ Отчет Продажи (за 60 дней)'!$G:$G,$A78),0)</f>
        <v>0</v>
      </c>
      <c r="K78" s="133">
        <f>ROUNDUP(SUMIFS('ВБ Отчет Продажи (за 60 дней)'!$L:$L,'ВБ Отчет Продажи (за 60 дней)'!$K:$K,"Невинномысск",'ВБ Отчет Продажи (за 60 дней)'!$G:$G,$A78),0)</f>
        <v>0</v>
      </c>
      <c r="L78" s="137">
        <f>ROUNDUP(SUMIFS('ВБ Отчет Продажи (за 60 дней)'!$L:$L,'ВБ Отчет Продажи (за 60 дней)'!$K:$K,"Волгоград",'ВБ Отчет Продажи (за 60 дней)'!$G:$G,$A78),0)</f>
        <v>0</v>
      </c>
      <c r="M78" s="136">
        <f>ROUNDUP(SUMIFS('ВБ Отчет Продажи (за 60 дней)'!$L:$L,'ВБ Отчет Продажи (за 60 дней)'!$K:$K,"Самара (Новосемейкино)",'ВБ Отчет Продажи (за 60 дней)'!$G:$G,$A78),0)</f>
        <v>0</v>
      </c>
      <c r="N78" s="137">
        <f>ROUNDUP(SUMIFS('ВБ Отчет Продажи (за 60 дней)'!$L:$L,'ВБ Отчет Продажи (за 60 дней)'!$K:$K,"Казань",'ВБ Отчет Продажи (за 60 дней)'!$G:$G,$A78),0)</f>
        <v>0</v>
      </c>
      <c r="O78" s="137">
        <f>ROUNDUP(SUMIFS('ВБ Отчет Продажи (за 60 дней)'!$L:$L,'ВБ Отчет Продажи (за 60 дней)'!$K:$K,"СПБ Шушары",'ВБ Отчет Продажи (за 60 дней)'!$G:$G,$A78),0)</f>
        <v>0</v>
      </c>
      <c r="P78" s="151">
        <f>ROUNDUP(SUMIFS('ВБ Отчет Продажи (за 60 дней)'!$L:$L,'ВБ Отчет Продажи (за 60 дней)'!$K:$K,"Екатеринбург - Перспективный 12",'ВБ Отчет Продажи (за 60 дней)'!$G:$G,$A78),0)</f>
        <v>0</v>
      </c>
      <c r="Q78" s="149">
        <f>ROUNDUP(SUMIFS('ВБ Отчет Продажи (за 60 дней)'!$L:$L,'ВБ Отчет Продажи (за 60 дней)'!$K:$K,"Новосибирск",'ВБ Отчет Продажи (за 60 дней)'!$G:$G,$A78),0)</f>
        <v>0</v>
      </c>
      <c r="R78" s="131">
        <f t="shared" si="32"/>
        <v>0</v>
      </c>
      <c r="S78" s="139">
        <f>SUMIFS('ОЗОН Оборот ведом (за 60 дней)'!I:I,'ОЗОН Оборот ведом (за 60 дней)'!A:A,B78)</f>
        <v>0</v>
      </c>
      <c r="T78" s="140">
        <f t="shared" si="36"/>
        <v>0</v>
      </c>
      <c r="U78" s="6">
        <f>SUMIFS('ВБ Отчет Продажи (за 60 дней)'!$P:$P,'ВБ Отчет Продажи (за 60 дней)'!$K:$K,"Электросталь",'ВБ Отчет Продажи (за 60 дней)'!$G:$G,$A78)</f>
        <v>0</v>
      </c>
      <c r="V78" s="7">
        <f>SUMIFS('ВБ Отчет Продажи (за 60 дней)'!$P:$P,'ВБ Отчет Продажи (за 60 дней)'!$K:$K,"Коледино",'ВБ Отчет Продажи (за 60 дней)'!$G:$G,$A78)</f>
        <v>0</v>
      </c>
      <c r="W78" s="7">
        <f>SUMIFS('ВБ Отчет Продажи (за 60 дней)'!$P:$P,'ВБ Отчет Продажи (за 60 дней)'!$K:$K,"Тула",'ВБ Отчет Продажи (за 60 дней)'!$G:$G,$A78)</f>
        <v>0</v>
      </c>
      <c r="X78" s="7">
        <f>SUMIFS('ВБ Отчет Продажи (за 60 дней)'!$P:$P,'ВБ Отчет Продажи (за 60 дней)'!$K:$K,"Рязань (Тюшевское)",'ВБ Отчет Продажи (за 60 дней)'!$G:$G,$A78)</f>
        <v>0</v>
      </c>
      <c r="Y78" s="27">
        <f>SUMIFS('ВБ Отчет Продажи (за 60 дней)'!$P:$P,'ВБ Отчет Продажи (за 60 дней)'!$K:$K,"Краснодар",'ВБ Отчет Продажи (за 60 дней)'!$G:$G,$A78)</f>
        <v>0</v>
      </c>
      <c r="Z78" s="7">
        <f>SUMIFS('ВБ Отчет Продажи (за 60 дней)'!$P:$P,'ВБ Отчет Продажи (за 60 дней)'!$K:$K,"Невинномысск",'ВБ Отчет Продажи (за 60 дней)'!$G:$G,$A78)</f>
        <v>0</v>
      </c>
      <c r="AA78" s="104">
        <f>SUMIFS('ВБ Отчет Продажи (за 60 дней)'!$P:$P,'ВБ Отчет Продажи (за 60 дней)'!$K:$K,"Волгоград",'ВБ Отчет Продажи (за 60 дней)'!$G:$G,$A78)</f>
        <v>0</v>
      </c>
      <c r="AB78" s="27">
        <f>SUMIFS('ВБ Отчет Продажи (за 60 дней)'!$P:$P,'ВБ Отчет Продажи (за 60 дней)'!$K:$K,"Самара (Новосемейкино)",'ВБ Отчет Продажи (за 60 дней)'!$G:$G,$A78)</f>
        <v>0</v>
      </c>
      <c r="AC78" s="104">
        <f>SUMIFS('ВБ Отчет Продажи (за 60 дней)'!$P:$P,'ВБ Отчет Продажи (за 60 дней)'!$K:$K,"Казань",'ВБ Отчет Продажи (за 60 дней)'!$G:$G,$A78)</f>
        <v>0</v>
      </c>
      <c r="AD78" s="104">
        <f>SUMIFS('ВБ Отчет Продажи (за 60 дней)'!$P:$P,'ВБ Отчет Продажи (за 60 дней)'!$K:$K,"СПБ Шушары",'ВБ Отчет Продажи (за 60 дней)'!$G:$G,$A78)</f>
        <v>0</v>
      </c>
      <c r="AE78" s="153">
        <f>SUMIFS('ВБ Отчет Продажи (за 60 дней)'!$P:$P,'ВБ Отчет Продажи (за 60 дней)'!$K:$K,"Екатеринбург - Перспективный 12",'ВБ Отчет Продажи (за 60 дней)'!$G:$G,$A78)</f>
        <v>0</v>
      </c>
      <c r="AF78" s="102">
        <f>SUMIFS('ВБ Отчет Продажи (за 60 дней)'!$P:$P,'ВБ Отчет Продажи (за 60 дней)'!$K:$K,"Новосибирск",'ВБ Отчет Продажи (за 60 дней)'!$G:$G,$A78)</f>
        <v>0</v>
      </c>
      <c r="AG78" s="124">
        <f t="shared" si="37"/>
        <v>0</v>
      </c>
      <c r="AH78" s="7">
        <f t="shared" si="38"/>
        <v>0</v>
      </c>
      <c r="AI78" s="213">
        <f>SUMIFS('ОЗОН Оборот ведом (за 60 дней)'!J:J,'ОЗОН Оборот ведом (за 60 дней)'!A:A,B78)</f>
        <v>0</v>
      </c>
      <c r="AJ78" s="21">
        <f t="shared" si="39"/>
        <v>0</v>
      </c>
      <c r="AK78" s="7" t="str" cm="1">
        <f t="array" ref="AK78">IFERROR(_xlfn.IFS((F78-U78)&gt;0,F78/$R$1*$AY$1-U78,F78+U78=0,"нов"),0)</f>
        <v>нов</v>
      </c>
      <c r="AL78" s="7" t="str" cm="1">
        <f t="array" ref="AL78">IFERROR(_xlfn.IFS((G78-V78)&gt;0,G78/$R$1*$AY$1-V78,G78+V78=0,"нов"),0)</f>
        <v>нов</v>
      </c>
      <c r="AM78" s="7" t="str" cm="1">
        <f t="array" ref="AM78">IFERROR(_xlfn.IFS((H78-W78)&gt;0,H78/$R$1*$AY$1-W78,H78+W78=0,"нов"),0)</f>
        <v>нов</v>
      </c>
      <c r="AN78" s="7" t="str" cm="1">
        <f t="array" ref="AN78">IFERROR(_xlfn.IFS((I78-X78)&gt;0,I78/$R$1*$AY$1-X78,I78+X78=0,"нов"),0)</f>
        <v>нов</v>
      </c>
      <c r="AO78" s="27" t="str" cm="1">
        <f t="array" ref="AO78">IFERROR(_xlfn.IFS((J78-Y78)&gt;0,J78/$R$1*$AY$1-Y78,J78+Y78=0,"нов"),0)</f>
        <v>нов</v>
      </c>
      <c r="AP78" s="7" t="str" cm="1">
        <f t="array" ref="AP78">IFERROR(_xlfn.IFS((K78-Z78)&gt;0,K78/$R$1*$AY$1-Z78,K78+Z78=0,"нов"),0)</f>
        <v>нов</v>
      </c>
      <c r="AQ78" s="104" t="str" cm="1">
        <f t="array" ref="AQ78">IFERROR(_xlfn.IFS((L78-AA78)&gt;0,L78/$R$1*$AY$1-AA78,L78+AA78=0,"нов"),0)</f>
        <v>нов</v>
      </c>
      <c r="AR78" s="27" t="str" cm="1">
        <f t="array" ref="AR78">IFERROR(_xlfn.IFS((M78-AB78)&gt;0,M78/$R$1*$AY$1-AB78,M78+AB78=0,"нов"),0)</f>
        <v>нов</v>
      </c>
      <c r="AS78" s="104" t="str" cm="1">
        <f t="array" ref="AS78">IFERROR(_xlfn.IFS((N78-AC78)&gt;0,N78/$R$1*$AY$1-AC78,N78+AC78=0,"нов"),0)</f>
        <v>нов</v>
      </c>
      <c r="AT78" s="104" t="str" cm="1">
        <f t="array" ref="AT78">IFERROR(_xlfn.IFS((O78-AD78)&gt;0,O78/$R$1*$AY$1-AD78,O78+AD78=0,"нов"),0)</f>
        <v>нов</v>
      </c>
      <c r="AU78" s="7" t="str" cm="1">
        <f t="array" ref="AU78">IFERROR(_xlfn.IFS((P78-AE78)&gt;0,P78/$R$1*$AY$1-AE78,P78+AE78=0,"нов"),0)</f>
        <v>нов</v>
      </c>
      <c r="AV78" s="7" t="str" cm="1">
        <f t="array" ref="AV78">IFERROR(_xlfn.IFS((Q78-AF78)&gt;0,Q78/$R$1*$AY$1-AF78,Q78+AF78=0,"нов"),0)</f>
        <v>нов</v>
      </c>
      <c r="AW78" s="141">
        <f t="shared" si="40"/>
        <v>0</v>
      </c>
      <c r="AX78" s="218">
        <f>SUMIF('ОЗОН Доступн товара'!D:D,_xlfn.XLOOKUP($B78,'ОЗОН Доступн товара'!$A:$A,'ОЗОН Доступн товара'!$D:$D,0))</f>
        <v>0</v>
      </c>
      <c r="AY78" s="226">
        <f t="shared" si="41"/>
        <v>0</v>
      </c>
      <c r="AZ78" s="7" t="str">
        <f t="shared" si="42"/>
        <v>нов</v>
      </c>
      <c r="BA78" s="7" t="str">
        <f t="shared" si="43"/>
        <v>нов</v>
      </c>
      <c r="BB78" s="7" t="str">
        <f t="shared" si="44"/>
        <v>нов</v>
      </c>
      <c r="BC78" s="7" t="str">
        <f t="shared" si="45"/>
        <v>нов</v>
      </c>
      <c r="BD78" s="27" t="str">
        <f t="shared" si="46"/>
        <v>нов</v>
      </c>
      <c r="BE78" s="7" t="str">
        <f t="shared" si="47"/>
        <v>нов</v>
      </c>
      <c r="BF78" s="104" t="str">
        <f t="shared" si="48"/>
        <v>нов</v>
      </c>
      <c r="BG78" s="27" t="str">
        <f t="shared" si="49"/>
        <v>нов</v>
      </c>
      <c r="BH78" s="104" t="str">
        <f t="shared" si="50"/>
        <v>нов</v>
      </c>
      <c r="BI78" s="7" t="str">
        <f t="shared" si="51"/>
        <v>нов</v>
      </c>
      <c r="BJ78" s="153" t="str">
        <f t="shared" si="52"/>
        <v>нов</v>
      </c>
      <c r="BK78" s="7" t="str">
        <f t="shared" si="53"/>
        <v>нов</v>
      </c>
      <c r="BL78" s="6">
        <f t="shared" si="54"/>
        <v>0</v>
      </c>
      <c r="BM78" s="6">
        <f t="shared" si="55"/>
        <v>0</v>
      </c>
      <c r="BN78" s="28">
        <f t="shared" si="56"/>
        <v>0</v>
      </c>
      <c r="BO78" s="73">
        <f>IFERROR(_xlfn.XLOOKUP(A78,'[2] Расчет стоимости и веса'!$I:$I,'[2] Расчет стоимости и веса'!$D:$D),0)</f>
        <v>0</v>
      </c>
      <c r="BP78" s="227">
        <f t="shared" si="57"/>
        <v>0</v>
      </c>
      <c r="BQ78" s="8"/>
      <c r="BR78" s="155"/>
      <c r="BS78" s="12"/>
      <c r="BT78" s="12"/>
      <c r="BU78" s="229"/>
      <c r="BV78" s="12"/>
      <c r="BW78" s="12"/>
      <c r="BY78" s="231"/>
      <c r="BZ78" s="232"/>
      <c r="CA78" s="155"/>
      <c r="CB78" s="157"/>
      <c r="CC78" s="57"/>
      <c r="CD78" s="12"/>
      <c r="CE78" s="146">
        <f t="shared" si="33"/>
        <v>0</v>
      </c>
      <c r="CF78" s="69">
        <f t="shared" si="34"/>
        <v>0</v>
      </c>
      <c r="CG78" s="45">
        <f t="shared" si="35"/>
        <v>0</v>
      </c>
    </row>
    <row r="79" spans="1:85" ht="14.1" hidden="1" customHeight="1">
      <c r="A79" s="248">
        <f>[1]Юнит!A81</f>
        <v>273527791</v>
      </c>
      <c r="B79" s="249">
        <f>[1]Юнит!B81</f>
        <v>2092093001</v>
      </c>
      <c r="C79" s="248" t="str">
        <f>[1]Юнит!C81</f>
        <v>AKTA2KN102YL</v>
      </c>
      <c r="D79" s="250" t="str">
        <f>[1]Юнит!D81</f>
        <v>Нож для пиццы желтый</v>
      </c>
      <c r="E79" s="90">
        <f>[1]Юнит!E81</f>
        <v>2041533038113</v>
      </c>
      <c r="F79" s="132">
        <f>ROUNDUP(SUMIFS('ВБ Отчет Продажи (за 60 дней)'!$L:$L,'ВБ Отчет Продажи (за 60 дней)'!$K:$K,"Электросталь",'ВБ Отчет Продажи (за 60 дней)'!$G:$G,$A79),0)</f>
        <v>1</v>
      </c>
      <c r="G79" s="133">
        <f>ROUNDUP(SUMIFS('ВБ Отчет Продажи (за 60 дней)'!$L:$L,'ВБ Отчет Продажи (за 60 дней)'!$K:$K,"Коледино",'ВБ Отчет Продажи (за 60 дней)'!$G:$G,$A79),0)</f>
        <v>1</v>
      </c>
      <c r="H79" s="133">
        <f>ROUNDUP(SUMIFS('ВБ Отчет Продажи (за 60 дней)'!$L:$L,'ВБ Отчет Продажи (за 60 дней)'!$K:$K,"Тула",'ВБ Отчет Продажи (за 60 дней)'!$G:$G,$A79),0)</f>
        <v>0</v>
      </c>
      <c r="I79" s="134">
        <f>ROUNDUP(SUMIFS('ВБ Отчет Продажи (за 60 дней)'!$L:$L,'ВБ Отчет Продажи (за 60 дней)'!$K:$K,"Рязань (Тюшевское)",'ВБ Отчет Продажи (за 60 дней)'!$G:$G,$A79),0)</f>
        <v>0</v>
      </c>
      <c r="J79" s="136">
        <f>ROUNDUP(SUMIFS('ВБ Отчет Продажи (за 60 дней)'!$L:$L,'ВБ Отчет Продажи (за 60 дней)'!$K:$K,"Краснодар",'ВБ Отчет Продажи (за 60 дней)'!$G:$G,$A79),0)</f>
        <v>0</v>
      </c>
      <c r="K79" s="133">
        <f>ROUNDUP(SUMIFS('ВБ Отчет Продажи (за 60 дней)'!$L:$L,'ВБ Отчет Продажи (за 60 дней)'!$K:$K,"Невинномысск",'ВБ Отчет Продажи (за 60 дней)'!$G:$G,$A79),0)</f>
        <v>1</v>
      </c>
      <c r="L79" s="137">
        <f>ROUNDUP(SUMIFS('ВБ Отчет Продажи (за 60 дней)'!$L:$L,'ВБ Отчет Продажи (за 60 дней)'!$K:$K,"Волгоград",'ВБ Отчет Продажи (за 60 дней)'!$G:$G,$A79),0)</f>
        <v>0</v>
      </c>
      <c r="M79" s="136">
        <f>ROUNDUP(SUMIFS('ВБ Отчет Продажи (за 60 дней)'!$L:$L,'ВБ Отчет Продажи (за 60 дней)'!$K:$K,"Самара (Новосемейкино)",'ВБ Отчет Продажи (за 60 дней)'!$G:$G,$A79),0)</f>
        <v>0</v>
      </c>
      <c r="N79" s="137">
        <f>ROUNDUP(SUMIFS('ВБ Отчет Продажи (за 60 дней)'!$L:$L,'ВБ Отчет Продажи (за 60 дней)'!$K:$K,"Казань",'ВБ Отчет Продажи (за 60 дней)'!$G:$G,$A79),0)</f>
        <v>1</v>
      </c>
      <c r="O79" s="137">
        <f>ROUNDUP(SUMIFS('ВБ Отчет Продажи (за 60 дней)'!$L:$L,'ВБ Отчет Продажи (за 60 дней)'!$K:$K,"СПБ Шушары",'ВБ Отчет Продажи (за 60 дней)'!$G:$G,$A79),0)</f>
        <v>0</v>
      </c>
      <c r="P79" s="151">
        <f>ROUNDUP(SUMIFS('ВБ Отчет Продажи (за 60 дней)'!$L:$L,'ВБ Отчет Продажи (за 60 дней)'!$K:$K,"Екатеринбург - Перспективный 12",'ВБ Отчет Продажи (за 60 дней)'!$G:$G,$A79),0)</f>
        <v>0</v>
      </c>
      <c r="Q79" s="149">
        <f>ROUNDUP(SUMIFS('ВБ Отчет Продажи (за 60 дней)'!$L:$L,'ВБ Отчет Продажи (за 60 дней)'!$K:$K,"Новосибирск",'ВБ Отчет Продажи (за 60 дней)'!$G:$G,$A79),0)</f>
        <v>0</v>
      </c>
      <c r="R79" s="131">
        <f t="shared" si="32"/>
        <v>4</v>
      </c>
      <c r="S79" s="139">
        <f>SUMIFS('ОЗОН Оборот ведом (за 60 дней)'!I:I,'ОЗОН Оборот ведом (за 60 дней)'!A:A,B79)</f>
        <v>0</v>
      </c>
      <c r="T79" s="140">
        <f t="shared" si="36"/>
        <v>4</v>
      </c>
      <c r="U79" s="6">
        <f>SUMIFS('ВБ Отчет Продажи (за 60 дней)'!$P:$P,'ВБ Отчет Продажи (за 60 дней)'!$K:$K,"Электросталь",'ВБ Отчет Продажи (за 60 дней)'!$G:$G,$A79)</f>
        <v>0</v>
      </c>
      <c r="V79" s="7">
        <f>SUMIFS('ВБ Отчет Продажи (за 60 дней)'!$P:$P,'ВБ Отчет Продажи (за 60 дней)'!$K:$K,"Коледино",'ВБ Отчет Продажи (за 60 дней)'!$G:$G,$A79)</f>
        <v>13</v>
      </c>
      <c r="W79" s="7">
        <f>SUMIFS('ВБ Отчет Продажи (за 60 дней)'!$P:$P,'ВБ Отчет Продажи (за 60 дней)'!$K:$K,"Тула",'ВБ Отчет Продажи (за 60 дней)'!$G:$G,$A79)</f>
        <v>31</v>
      </c>
      <c r="X79" s="7">
        <f>SUMIFS('ВБ Отчет Продажи (за 60 дней)'!$P:$P,'ВБ Отчет Продажи (за 60 дней)'!$K:$K,"Рязань (Тюшевское)",'ВБ Отчет Продажи (за 60 дней)'!$G:$G,$A79)</f>
        <v>9</v>
      </c>
      <c r="Y79" s="27">
        <f>SUMIFS('ВБ Отчет Продажи (за 60 дней)'!$P:$P,'ВБ Отчет Продажи (за 60 дней)'!$K:$K,"Краснодар",'ВБ Отчет Продажи (за 60 дней)'!$G:$G,$A79)</f>
        <v>0</v>
      </c>
      <c r="Z79" s="7">
        <f>SUMIFS('ВБ Отчет Продажи (за 60 дней)'!$P:$P,'ВБ Отчет Продажи (за 60 дней)'!$K:$K,"Невинномысск",'ВБ Отчет Продажи (за 60 дней)'!$G:$G,$A79)</f>
        <v>15</v>
      </c>
      <c r="AA79" s="104">
        <f>SUMIFS('ВБ Отчет Продажи (за 60 дней)'!$P:$P,'ВБ Отчет Продажи (за 60 дней)'!$K:$K,"Волгоград",'ВБ Отчет Продажи (за 60 дней)'!$G:$G,$A79)</f>
        <v>0</v>
      </c>
      <c r="AB79" s="27">
        <f>SUMIFS('ВБ Отчет Продажи (за 60 дней)'!$P:$P,'ВБ Отчет Продажи (за 60 дней)'!$K:$K,"Самара (Новосемейкино)",'ВБ Отчет Продажи (за 60 дней)'!$G:$G,$A79)</f>
        <v>8</v>
      </c>
      <c r="AC79" s="104">
        <f>SUMIFS('ВБ Отчет Продажи (за 60 дней)'!$P:$P,'ВБ Отчет Продажи (за 60 дней)'!$K:$K,"Казань",'ВБ Отчет Продажи (за 60 дней)'!$G:$G,$A79)</f>
        <v>32</v>
      </c>
      <c r="AD79" s="104">
        <f>SUMIFS('ВБ Отчет Продажи (за 60 дней)'!$P:$P,'ВБ Отчет Продажи (за 60 дней)'!$K:$K,"СПБ Шушары",'ВБ Отчет Продажи (за 60 дней)'!$G:$G,$A79)</f>
        <v>0</v>
      </c>
      <c r="AE79" s="153">
        <f>SUMIFS('ВБ Отчет Продажи (за 60 дней)'!$P:$P,'ВБ Отчет Продажи (за 60 дней)'!$K:$K,"Екатеринбург - Перспективный 12",'ВБ Отчет Продажи (за 60 дней)'!$G:$G,$A79)</f>
        <v>0</v>
      </c>
      <c r="AF79" s="102">
        <f>SUMIFS('ВБ Отчет Продажи (за 60 дней)'!$P:$P,'ВБ Отчет Продажи (за 60 дней)'!$K:$K,"Новосибирск",'ВБ Отчет Продажи (за 60 дней)'!$G:$G,$A79)</f>
        <v>0</v>
      </c>
      <c r="AG79" s="124">
        <f t="shared" si="37"/>
        <v>108</v>
      </c>
      <c r="AH79" s="7">
        <f t="shared" si="38"/>
        <v>1620</v>
      </c>
      <c r="AI79" s="213">
        <f>SUMIFS('ОЗОН Оборот ведом (за 60 дней)'!J:J,'ОЗОН Оборот ведом (за 60 дней)'!A:A,B79)</f>
        <v>0</v>
      </c>
      <c r="AJ79" s="21">
        <f t="shared" si="39"/>
        <v>108</v>
      </c>
      <c r="AK79" s="7" cm="1">
        <f t="array" ref="AK79">IFERROR(_xlfn.IFS((F79-U79)&gt;0,F79/$R$1*$AY$1-U79,F79+U79=0,"нов"),0)</f>
        <v>1</v>
      </c>
      <c r="AL79" s="7" cm="1">
        <f t="array" ref="AL79">IFERROR(_xlfn.IFS((G79-V79)&gt;0,G79/$R$1*$AY$1-V79,G79+V79=0,"нов"),0)</f>
        <v>0</v>
      </c>
      <c r="AM79" s="7" cm="1">
        <f t="array" ref="AM79">IFERROR(_xlfn.IFS((H79-W79)&gt;0,H79/$R$1*$AY$1-W79,H79+W79=0,"нов"),0)</f>
        <v>0</v>
      </c>
      <c r="AN79" s="7" cm="1">
        <f t="array" ref="AN79">IFERROR(_xlfn.IFS((I79-X79)&gt;0,I79/$R$1*$AY$1-X79,I79+X79=0,"нов"),0)</f>
        <v>0</v>
      </c>
      <c r="AO79" s="27" t="str" cm="1">
        <f t="array" ref="AO79">IFERROR(_xlfn.IFS((J79-Y79)&gt;0,J79/$R$1*$AY$1-Y79,J79+Y79=0,"нов"),0)</f>
        <v>нов</v>
      </c>
      <c r="AP79" s="7" cm="1">
        <f t="array" ref="AP79">IFERROR(_xlfn.IFS((K79-Z79)&gt;0,K79/$R$1*$AY$1-Z79,K79+Z79=0,"нов"),0)</f>
        <v>0</v>
      </c>
      <c r="AQ79" s="104" t="str" cm="1">
        <f t="array" ref="AQ79">IFERROR(_xlfn.IFS((L79-AA79)&gt;0,L79/$R$1*$AY$1-AA79,L79+AA79=0,"нов"),0)</f>
        <v>нов</v>
      </c>
      <c r="AR79" s="27" cm="1">
        <f t="array" ref="AR79">IFERROR(_xlfn.IFS((M79-AB79)&gt;0,M79/$R$1*$AY$1-AB79,M79+AB79=0,"нов"),0)</f>
        <v>0</v>
      </c>
      <c r="AS79" s="104" cm="1">
        <f t="array" ref="AS79">IFERROR(_xlfn.IFS((N79-AC79)&gt;0,N79/$R$1*$AY$1-AC79,N79+AC79=0,"нов"),0)</f>
        <v>0</v>
      </c>
      <c r="AT79" s="104" t="str" cm="1">
        <f t="array" ref="AT79">IFERROR(_xlfn.IFS((O79-AD79)&gt;0,O79/$R$1*$AY$1-AD79,O79+AD79=0,"нов"),0)</f>
        <v>нов</v>
      </c>
      <c r="AU79" s="7" t="str" cm="1">
        <f t="array" ref="AU79">IFERROR(_xlfn.IFS((P79-AE79)&gt;0,P79/$R$1*$AY$1-AE79,P79+AE79=0,"нов"),0)</f>
        <v>нов</v>
      </c>
      <c r="AV79" s="7" t="str" cm="1">
        <f t="array" ref="AV79">IFERROR(_xlfn.IFS((Q79-AF79)&gt;0,Q79/$R$1*$AY$1-AF79,Q79+AF79=0,"нов"),0)</f>
        <v>нов</v>
      </c>
      <c r="AW79" s="141">
        <f t="shared" si="40"/>
        <v>1</v>
      </c>
      <c r="AX79" s="218">
        <f>SUMIF('ОЗОН Доступн товара'!D:D,_xlfn.XLOOKUP($B79,'ОЗОН Доступн товара'!$A:$A,'ОЗОН Доступн товара'!$D:$D,0))</f>
        <v>0</v>
      </c>
      <c r="AY79" s="226">
        <f t="shared" si="41"/>
        <v>1</v>
      </c>
      <c r="AZ79" s="7">
        <f t="shared" si="42"/>
        <v>2</v>
      </c>
      <c r="BA79" s="7">
        <f t="shared" si="43"/>
        <v>0</v>
      </c>
      <c r="BB79" s="7">
        <f t="shared" si="44"/>
        <v>0</v>
      </c>
      <c r="BC79" s="7">
        <f t="shared" si="45"/>
        <v>0</v>
      </c>
      <c r="BD79" s="27" t="str">
        <f t="shared" si="46"/>
        <v>нов</v>
      </c>
      <c r="BE79" s="7">
        <f t="shared" si="47"/>
        <v>0</v>
      </c>
      <c r="BF79" s="104" t="str">
        <f t="shared" si="48"/>
        <v>нов</v>
      </c>
      <c r="BG79" s="27">
        <f t="shared" si="49"/>
        <v>0</v>
      </c>
      <c r="BH79" s="104">
        <f t="shared" si="50"/>
        <v>0</v>
      </c>
      <c r="BI79" s="7" t="str">
        <f t="shared" si="51"/>
        <v>нов</v>
      </c>
      <c r="BJ79" s="153" t="str">
        <f t="shared" si="52"/>
        <v>нов</v>
      </c>
      <c r="BK79" s="7" t="str">
        <f t="shared" si="53"/>
        <v>нов</v>
      </c>
      <c r="BL79" s="6">
        <f t="shared" si="54"/>
        <v>2</v>
      </c>
      <c r="BM79" s="6">
        <f t="shared" si="55"/>
        <v>0</v>
      </c>
      <c r="BN79" s="28">
        <f t="shared" si="56"/>
        <v>2</v>
      </c>
      <c r="BO79" s="73">
        <f>IFERROR(_xlfn.XLOOKUP(A79,'[2] Расчет стоимости и веса'!$I:$I,'[2] Расчет стоимости и веса'!$D:$D),0)</f>
        <v>0</v>
      </c>
      <c r="BP79" s="227">
        <f t="shared" si="57"/>
        <v>0</v>
      </c>
      <c r="BQ79" s="8"/>
      <c r="BR79" s="155"/>
      <c r="BS79" s="12"/>
      <c r="BT79" s="12"/>
      <c r="BU79" s="229"/>
      <c r="BV79" s="12"/>
      <c r="BW79" s="12"/>
      <c r="BY79" s="231"/>
      <c r="BZ79" s="232"/>
      <c r="CA79" s="155"/>
      <c r="CB79" s="157"/>
      <c r="CC79" s="57"/>
      <c r="CD79" s="12"/>
      <c r="CE79" s="146">
        <f t="shared" si="33"/>
        <v>0</v>
      </c>
      <c r="CF79" s="69">
        <f t="shared" si="34"/>
        <v>0</v>
      </c>
      <c r="CG79" s="45">
        <f t="shared" si="35"/>
        <v>0</v>
      </c>
    </row>
    <row r="80" spans="1:85" ht="14.1" hidden="1" customHeight="1">
      <c r="A80" s="248">
        <f>[1]Юнит!A82</f>
        <v>327442631</v>
      </c>
      <c r="B80" s="249">
        <f>[1]Юнит!B82</f>
        <v>2087000111</v>
      </c>
      <c r="C80" s="248" t="str">
        <f>[1]Юнит!C82</f>
        <v>AKTA2KN102GN</v>
      </c>
      <c r="D80" s="250" t="str">
        <f>[1]Юнит!D82</f>
        <v>Нож для пиццы зеленый</v>
      </c>
      <c r="E80" s="90">
        <f>[1]Юнит!E82</f>
        <v>2042777181566</v>
      </c>
      <c r="F80" s="132">
        <f>ROUNDUP(SUMIFS('ВБ Отчет Продажи (за 60 дней)'!$L:$L,'ВБ Отчет Продажи (за 60 дней)'!$K:$K,"Электросталь",'ВБ Отчет Продажи (за 60 дней)'!$G:$G,$A80),0)</f>
        <v>0</v>
      </c>
      <c r="G80" s="133">
        <f>ROUNDUP(SUMIFS('ВБ Отчет Продажи (за 60 дней)'!$L:$L,'ВБ Отчет Продажи (за 60 дней)'!$K:$K,"Коледино",'ВБ Отчет Продажи (за 60 дней)'!$G:$G,$A80),0)</f>
        <v>1</v>
      </c>
      <c r="H80" s="133">
        <f>ROUNDUP(SUMIFS('ВБ Отчет Продажи (за 60 дней)'!$L:$L,'ВБ Отчет Продажи (за 60 дней)'!$K:$K,"Тула",'ВБ Отчет Продажи (за 60 дней)'!$G:$G,$A80),0)</f>
        <v>2</v>
      </c>
      <c r="I80" s="134">
        <f>ROUNDUP(SUMIFS('ВБ Отчет Продажи (за 60 дней)'!$L:$L,'ВБ Отчет Продажи (за 60 дней)'!$K:$K,"Рязань (Тюшевское)",'ВБ Отчет Продажи (за 60 дней)'!$G:$G,$A80),0)</f>
        <v>0</v>
      </c>
      <c r="J80" s="136">
        <f>ROUNDUP(SUMIFS('ВБ Отчет Продажи (за 60 дней)'!$L:$L,'ВБ Отчет Продажи (за 60 дней)'!$K:$K,"Краснодар",'ВБ Отчет Продажи (за 60 дней)'!$G:$G,$A80),0)</f>
        <v>0</v>
      </c>
      <c r="K80" s="133">
        <f>ROUNDUP(SUMIFS('ВБ Отчет Продажи (за 60 дней)'!$L:$L,'ВБ Отчет Продажи (за 60 дней)'!$K:$K,"Невинномысск",'ВБ Отчет Продажи (за 60 дней)'!$G:$G,$A80),0)</f>
        <v>0</v>
      </c>
      <c r="L80" s="137">
        <f>ROUNDUP(SUMIFS('ВБ Отчет Продажи (за 60 дней)'!$L:$L,'ВБ Отчет Продажи (за 60 дней)'!$K:$K,"Волгоград",'ВБ Отчет Продажи (за 60 дней)'!$G:$G,$A80),0)</f>
        <v>0</v>
      </c>
      <c r="M80" s="136">
        <f>ROUNDUP(SUMIFS('ВБ Отчет Продажи (за 60 дней)'!$L:$L,'ВБ Отчет Продажи (за 60 дней)'!$K:$K,"Самара (Новосемейкино)",'ВБ Отчет Продажи (за 60 дней)'!$G:$G,$A80),0)</f>
        <v>0</v>
      </c>
      <c r="N80" s="137">
        <f>ROUNDUP(SUMIFS('ВБ Отчет Продажи (за 60 дней)'!$L:$L,'ВБ Отчет Продажи (за 60 дней)'!$K:$K,"Казань",'ВБ Отчет Продажи (за 60 дней)'!$G:$G,$A80),0)</f>
        <v>0</v>
      </c>
      <c r="O80" s="137">
        <f>ROUNDUP(SUMIFS('ВБ Отчет Продажи (за 60 дней)'!$L:$L,'ВБ Отчет Продажи (за 60 дней)'!$K:$K,"СПБ Шушары",'ВБ Отчет Продажи (за 60 дней)'!$G:$G,$A80),0)</f>
        <v>0</v>
      </c>
      <c r="P80" s="151">
        <f>ROUNDUP(SUMIFS('ВБ Отчет Продажи (за 60 дней)'!$L:$L,'ВБ Отчет Продажи (за 60 дней)'!$K:$K,"Екатеринбург - Перспективный 12",'ВБ Отчет Продажи (за 60 дней)'!$G:$G,$A80),0)</f>
        <v>0</v>
      </c>
      <c r="Q80" s="149">
        <f>ROUNDUP(SUMIFS('ВБ Отчет Продажи (за 60 дней)'!$L:$L,'ВБ Отчет Продажи (за 60 дней)'!$K:$K,"Новосибирск",'ВБ Отчет Продажи (за 60 дней)'!$G:$G,$A80),0)</f>
        <v>0</v>
      </c>
      <c r="R80" s="131">
        <f t="shared" si="32"/>
        <v>3</v>
      </c>
      <c r="S80" s="139">
        <f>SUMIFS('ОЗОН Оборот ведом (за 60 дней)'!I:I,'ОЗОН Оборот ведом (за 60 дней)'!A:A,B80)</f>
        <v>0</v>
      </c>
      <c r="T80" s="140">
        <f t="shared" si="36"/>
        <v>3</v>
      </c>
      <c r="U80" s="6">
        <f>SUMIFS('ВБ Отчет Продажи (за 60 дней)'!$P:$P,'ВБ Отчет Продажи (за 60 дней)'!$K:$K,"Электросталь",'ВБ Отчет Продажи (за 60 дней)'!$G:$G,$A80)</f>
        <v>17</v>
      </c>
      <c r="V80" s="7">
        <f>SUMIFS('ВБ Отчет Продажи (за 60 дней)'!$P:$P,'ВБ Отчет Продажи (за 60 дней)'!$K:$K,"Коледино",'ВБ Отчет Продажи (за 60 дней)'!$G:$G,$A80)</f>
        <v>16</v>
      </c>
      <c r="W80" s="7">
        <f>SUMIFS('ВБ Отчет Продажи (за 60 дней)'!$P:$P,'ВБ Отчет Продажи (за 60 дней)'!$K:$K,"Тула",'ВБ Отчет Продажи (за 60 дней)'!$G:$G,$A80)</f>
        <v>1</v>
      </c>
      <c r="X80" s="7">
        <f>SUMIFS('ВБ Отчет Продажи (за 60 дней)'!$P:$P,'ВБ Отчет Продажи (за 60 дней)'!$K:$K,"Рязань (Тюшевское)",'ВБ Отчет Продажи (за 60 дней)'!$G:$G,$A80)</f>
        <v>1</v>
      </c>
      <c r="Y80" s="27">
        <f>SUMIFS('ВБ Отчет Продажи (за 60 дней)'!$P:$P,'ВБ Отчет Продажи (за 60 дней)'!$K:$K,"Краснодар",'ВБ Отчет Продажи (за 60 дней)'!$G:$G,$A80)</f>
        <v>0</v>
      </c>
      <c r="Z80" s="7">
        <f>SUMIFS('ВБ Отчет Продажи (за 60 дней)'!$P:$P,'ВБ Отчет Продажи (за 60 дней)'!$K:$K,"Невинномысск",'ВБ Отчет Продажи (за 60 дней)'!$G:$G,$A80)</f>
        <v>14</v>
      </c>
      <c r="AA80" s="104">
        <f>SUMIFS('ВБ Отчет Продажи (за 60 дней)'!$P:$P,'ВБ Отчет Продажи (за 60 дней)'!$K:$K,"Волгоград",'ВБ Отчет Продажи (за 60 дней)'!$G:$G,$A80)</f>
        <v>0</v>
      </c>
      <c r="AB80" s="27">
        <f>SUMIFS('ВБ Отчет Продажи (за 60 дней)'!$P:$P,'ВБ Отчет Продажи (за 60 дней)'!$K:$K,"Самара (Новосемейкино)",'ВБ Отчет Продажи (за 60 дней)'!$G:$G,$A80)</f>
        <v>15</v>
      </c>
      <c r="AC80" s="104">
        <f>SUMIFS('ВБ Отчет Продажи (за 60 дней)'!$P:$P,'ВБ Отчет Продажи (за 60 дней)'!$K:$K,"Казань",'ВБ Отчет Продажи (за 60 дней)'!$G:$G,$A80)</f>
        <v>4</v>
      </c>
      <c r="AD80" s="104">
        <f>SUMIFS('ВБ Отчет Продажи (за 60 дней)'!$P:$P,'ВБ Отчет Продажи (за 60 дней)'!$K:$K,"СПБ Шушары",'ВБ Отчет Продажи (за 60 дней)'!$G:$G,$A80)</f>
        <v>0</v>
      </c>
      <c r="AE80" s="153">
        <f>SUMIFS('ВБ Отчет Продажи (за 60 дней)'!$P:$P,'ВБ Отчет Продажи (за 60 дней)'!$K:$K,"Екатеринбург - Перспективный 12",'ВБ Отчет Продажи (за 60 дней)'!$G:$G,$A80)</f>
        <v>0</v>
      </c>
      <c r="AF80" s="102">
        <f>SUMIFS('ВБ Отчет Продажи (за 60 дней)'!$P:$P,'ВБ Отчет Продажи (за 60 дней)'!$K:$K,"Новосибирск",'ВБ Отчет Продажи (за 60 дней)'!$G:$G,$A80)</f>
        <v>0</v>
      </c>
      <c r="AG80" s="124">
        <f t="shared" si="37"/>
        <v>68</v>
      </c>
      <c r="AH80" s="7">
        <f t="shared" si="38"/>
        <v>1360</v>
      </c>
      <c r="AI80" s="213">
        <f>SUMIFS('ОЗОН Оборот ведом (за 60 дней)'!J:J,'ОЗОН Оборот ведом (за 60 дней)'!A:A,B80)</f>
        <v>1</v>
      </c>
      <c r="AJ80" s="21">
        <f t="shared" si="39"/>
        <v>69</v>
      </c>
      <c r="AK80" s="7" cm="1">
        <f t="array" ref="AK80">IFERROR(_xlfn.IFS((F80-U80)&gt;0,F80/$R$1*$AY$1-U80,F80+U80=0,"нов"),0)</f>
        <v>0</v>
      </c>
      <c r="AL80" s="7" cm="1">
        <f t="array" ref="AL80">IFERROR(_xlfn.IFS((G80-V80)&gt;0,G80/$R$1*$AY$1-V80,G80+V80=0,"нов"),0)</f>
        <v>0</v>
      </c>
      <c r="AM80" s="7" cm="1">
        <f t="array" ref="AM80">IFERROR(_xlfn.IFS((H80-W80)&gt;0,H80/$R$1*$AY$1-W80,H80+W80=0,"нов"),0)</f>
        <v>1</v>
      </c>
      <c r="AN80" s="7" cm="1">
        <f t="array" ref="AN80">IFERROR(_xlfn.IFS((I80-X80)&gt;0,I80/$R$1*$AY$1-X80,I80+X80=0,"нов"),0)</f>
        <v>0</v>
      </c>
      <c r="AO80" s="27" t="str" cm="1">
        <f t="array" ref="AO80">IFERROR(_xlfn.IFS((J80-Y80)&gt;0,J80/$R$1*$AY$1-Y80,J80+Y80=0,"нов"),0)</f>
        <v>нов</v>
      </c>
      <c r="AP80" s="7" cm="1">
        <f t="array" ref="AP80">IFERROR(_xlfn.IFS((K80-Z80)&gt;0,K80/$R$1*$AY$1-Z80,K80+Z80=0,"нов"),0)</f>
        <v>0</v>
      </c>
      <c r="AQ80" s="104" t="str" cm="1">
        <f t="array" ref="AQ80">IFERROR(_xlfn.IFS((L80-AA80)&gt;0,L80/$R$1*$AY$1-AA80,L80+AA80=0,"нов"),0)</f>
        <v>нов</v>
      </c>
      <c r="AR80" s="27" cm="1">
        <f t="array" ref="AR80">IFERROR(_xlfn.IFS((M80-AB80)&gt;0,M80/$R$1*$AY$1-AB80,M80+AB80=0,"нов"),0)</f>
        <v>0</v>
      </c>
      <c r="AS80" s="104" cm="1">
        <f t="array" ref="AS80">IFERROR(_xlfn.IFS((N80-AC80)&gt;0,N80/$R$1*$AY$1-AC80,N80+AC80=0,"нов"),0)</f>
        <v>0</v>
      </c>
      <c r="AT80" s="104" t="str" cm="1">
        <f t="array" ref="AT80">IFERROR(_xlfn.IFS((O80-AD80)&gt;0,O80/$R$1*$AY$1-AD80,O80+AD80=0,"нов"),0)</f>
        <v>нов</v>
      </c>
      <c r="AU80" s="7" t="str" cm="1">
        <f t="array" ref="AU80">IFERROR(_xlfn.IFS((P80-AE80)&gt;0,P80/$R$1*$AY$1-AE80,P80+AE80=0,"нов"),0)</f>
        <v>нов</v>
      </c>
      <c r="AV80" s="7" t="str" cm="1">
        <f t="array" ref="AV80">IFERROR(_xlfn.IFS((Q80-AF80)&gt;0,Q80/$R$1*$AY$1-AF80,Q80+AF80=0,"нов"),0)</f>
        <v>нов</v>
      </c>
      <c r="AW80" s="141">
        <f t="shared" si="40"/>
        <v>1</v>
      </c>
      <c r="AX80" s="218">
        <f>SUMIF('ОЗОН Доступн товара'!D:D,_xlfn.XLOOKUP($B80,'ОЗОН Доступн товара'!$A:$A,'ОЗОН Доступн товара'!$D:$D,0))</f>
        <v>0</v>
      </c>
      <c r="AY80" s="226">
        <f t="shared" si="41"/>
        <v>1</v>
      </c>
      <c r="AZ80" s="7">
        <f t="shared" si="42"/>
        <v>0</v>
      </c>
      <c r="BA80" s="7">
        <f t="shared" si="43"/>
        <v>0</v>
      </c>
      <c r="BB80" s="7">
        <f t="shared" si="44"/>
        <v>2</v>
      </c>
      <c r="BC80" s="7">
        <f t="shared" si="45"/>
        <v>0</v>
      </c>
      <c r="BD80" s="27" t="str">
        <f t="shared" si="46"/>
        <v>нов</v>
      </c>
      <c r="BE80" s="7">
        <f t="shared" si="47"/>
        <v>0</v>
      </c>
      <c r="BF80" s="104" t="str">
        <f t="shared" si="48"/>
        <v>нов</v>
      </c>
      <c r="BG80" s="27">
        <f t="shared" si="49"/>
        <v>0</v>
      </c>
      <c r="BH80" s="104">
        <f t="shared" si="50"/>
        <v>0</v>
      </c>
      <c r="BI80" s="7" t="str">
        <f t="shared" si="51"/>
        <v>нов</v>
      </c>
      <c r="BJ80" s="153" t="str">
        <f t="shared" si="52"/>
        <v>нов</v>
      </c>
      <c r="BK80" s="7" t="str">
        <f t="shared" si="53"/>
        <v>нов</v>
      </c>
      <c r="BL80" s="6">
        <f t="shared" si="54"/>
        <v>2</v>
      </c>
      <c r="BM80" s="6">
        <f t="shared" si="55"/>
        <v>0</v>
      </c>
      <c r="BN80" s="28">
        <f t="shared" si="56"/>
        <v>2</v>
      </c>
      <c r="BO80" s="73">
        <f>IFERROR(_xlfn.XLOOKUP(A80,'[2] Расчет стоимости и веса'!$I:$I,'[2] Расчет стоимости и веса'!$D:$D),0)</f>
        <v>0</v>
      </c>
      <c r="BP80" s="227">
        <f t="shared" si="57"/>
        <v>0</v>
      </c>
      <c r="BQ80" s="8"/>
      <c r="BR80" s="155"/>
      <c r="BS80" s="12"/>
      <c r="BT80" s="12"/>
      <c r="BU80" s="229"/>
      <c r="BV80" s="12"/>
      <c r="BW80" s="12"/>
      <c r="BY80" s="231"/>
      <c r="BZ80" s="232"/>
      <c r="CA80" s="155"/>
      <c r="CB80" s="157"/>
      <c r="CC80" s="57"/>
      <c r="CD80" s="12"/>
      <c r="CE80" s="146">
        <f t="shared" si="33"/>
        <v>0</v>
      </c>
      <c r="CF80" s="69">
        <f t="shared" si="34"/>
        <v>0</v>
      </c>
      <c r="CG80" s="45">
        <f t="shared" si="35"/>
        <v>0</v>
      </c>
    </row>
    <row r="81" spans="1:85" ht="14.1" hidden="1" customHeight="1">
      <c r="A81" s="240">
        <f>[1]Юнит!A83</f>
        <v>340948906</v>
      </c>
      <c r="B81" s="241">
        <f>[1]Юнит!B83</f>
        <v>0</v>
      </c>
      <c r="C81" s="240" t="str">
        <f>[1]Юнит!C83</f>
        <v>AKTA1KN101GR</v>
      </c>
      <c r="D81" s="90" t="str">
        <f>[1]Юнит!D83</f>
        <v>Консервный нож</v>
      </c>
      <c r="E81" s="90">
        <f>[1]Юнит!E83</f>
        <v>2042988749289</v>
      </c>
      <c r="F81" s="132">
        <f>ROUNDUP(SUMIFS('ВБ Отчет Продажи (за 60 дней)'!$L:$L,'ВБ Отчет Продажи (за 60 дней)'!$K:$K,"Электросталь",'ВБ Отчет Продажи (за 60 дней)'!$G:$G,$A81),0)</f>
        <v>0</v>
      </c>
      <c r="G81" s="133">
        <f>ROUNDUP(SUMIFS('ВБ Отчет Продажи (за 60 дней)'!$L:$L,'ВБ Отчет Продажи (за 60 дней)'!$K:$K,"Коледино",'ВБ Отчет Продажи (за 60 дней)'!$G:$G,$A81),0)</f>
        <v>0</v>
      </c>
      <c r="H81" s="133">
        <f>ROUNDUP(SUMIFS('ВБ Отчет Продажи (за 60 дней)'!$L:$L,'ВБ Отчет Продажи (за 60 дней)'!$K:$K,"Тула",'ВБ Отчет Продажи (за 60 дней)'!$G:$G,$A81),0)</f>
        <v>0</v>
      </c>
      <c r="I81" s="134">
        <f>ROUNDUP(SUMIFS('ВБ Отчет Продажи (за 60 дней)'!$L:$L,'ВБ Отчет Продажи (за 60 дней)'!$K:$K,"Рязань (Тюшевское)",'ВБ Отчет Продажи (за 60 дней)'!$G:$G,$A81),0)</f>
        <v>0</v>
      </c>
      <c r="J81" s="136">
        <f>ROUNDUP(SUMIFS('ВБ Отчет Продажи (за 60 дней)'!$L:$L,'ВБ Отчет Продажи (за 60 дней)'!$K:$K,"Краснодар",'ВБ Отчет Продажи (за 60 дней)'!$G:$G,$A81),0)</f>
        <v>0</v>
      </c>
      <c r="K81" s="133">
        <f>ROUNDUP(SUMIFS('ВБ Отчет Продажи (за 60 дней)'!$L:$L,'ВБ Отчет Продажи (за 60 дней)'!$K:$K,"Невинномысск",'ВБ Отчет Продажи (за 60 дней)'!$G:$G,$A81),0)</f>
        <v>0</v>
      </c>
      <c r="L81" s="137">
        <f>ROUNDUP(SUMIFS('ВБ Отчет Продажи (за 60 дней)'!$L:$L,'ВБ Отчет Продажи (за 60 дней)'!$K:$K,"Волгоград",'ВБ Отчет Продажи (за 60 дней)'!$G:$G,$A81),0)</f>
        <v>0</v>
      </c>
      <c r="M81" s="136">
        <f>ROUNDUP(SUMIFS('ВБ Отчет Продажи (за 60 дней)'!$L:$L,'ВБ Отчет Продажи (за 60 дней)'!$K:$K,"Самара (Новосемейкино)",'ВБ Отчет Продажи (за 60 дней)'!$G:$G,$A81),0)</f>
        <v>0</v>
      </c>
      <c r="N81" s="137">
        <f>ROUNDUP(SUMIFS('ВБ Отчет Продажи (за 60 дней)'!$L:$L,'ВБ Отчет Продажи (за 60 дней)'!$K:$K,"Казань",'ВБ Отчет Продажи (за 60 дней)'!$G:$G,$A81),0)</f>
        <v>0</v>
      </c>
      <c r="O81" s="137">
        <f>ROUNDUP(SUMIFS('ВБ Отчет Продажи (за 60 дней)'!$L:$L,'ВБ Отчет Продажи (за 60 дней)'!$K:$K,"СПБ Шушары",'ВБ Отчет Продажи (за 60 дней)'!$G:$G,$A81),0)</f>
        <v>0</v>
      </c>
      <c r="P81" s="151">
        <f>ROUNDUP(SUMIFS('ВБ Отчет Продажи (за 60 дней)'!$L:$L,'ВБ Отчет Продажи (за 60 дней)'!$K:$K,"Екатеринбург - Перспективный 12",'ВБ Отчет Продажи (за 60 дней)'!$G:$G,$A81),0)</f>
        <v>0</v>
      </c>
      <c r="Q81" s="149">
        <f>ROUNDUP(SUMIFS('ВБ Отчет Продажи (за 60 дней)'!$L:$L,'ВБ Отчет Продажи (за 60 дней)'!$K:$K,"Новосибирск",'ВБ Отчет Продажи (за 60 дней)'!$G:$G,$A81),0)</f>
        <v>0</v>
      </c>
      <c r="R81" s="131">
        <f t="shared" si="32"/>
        <v>0</v>
      </c>
      <c r="S81" s="139">
        <f>SUMIFS('ОЗОН Оборот ведом (за 60 дней)'!I:I,'ОЗОН Оборот ведом (за 60 дней)'!A:A,B81)</f>
        <v>0</v>
      </c>
      <c r="T81" s="255">
        <f t="shared" si="36"/>
        <v>0</v>
      </c>
      <c r="U81" s="6">
        <f>SUMIFS('ВБ Отчет Продажи (за 60 дней)'!$P:$P,'ВБ Отчет Продажи (за 60 дней)'!$K:$K,"Электросталь",'ВБ Отчет Продажи (за 60 дней)'!$G:$G,$A81)</f>
        <v>0</v>
      </c>
      <c r="V81" s="7">
        <f>SUMIFS('ВБ Отчет Продажи (за 60 дней)'!$P:$P,'ВБ Отчет Продажи (за 60 дней)'!$K:$K,"Коледино",'ВБ Отчет Продажи (за 60 дней)'!$G:$G,$A81)</f>
        <v>0</v>
      </c>
      <c r="W81" s="7">
        <f>SUMIFS('ВБ Отчет Продажи (за 60 дней)'!$P:$P,'ВБ Отчет Продажи (за 60 дней)'!$K:$K,"Тула",'ВБ Отчет Продажи (за 60 дней)'!$G:$G,$A81)</f>
        <v>0</v>
      </c>
      <c r="X81" s="7">
        <f>SUMIFS('ВБ Отчет Продажи (за 60 дней)'!$P:$P,'ВБ Отчет Продажи (за 60 дней)'!$K:$K,"Рязань (Тюшевское)",'ВБ Отчет Продажи (за 60 дней)'!$G:$G,$A81)</f>
        <v>0</v>
      </c>
      <c r="Y81" s="27">
        <f>SUMIFS('ВБ Отчет Продажи (за 60 дней)'!$P:$P,'ВБ Отчет Продажи (за 60 дней)'!$K:$K,"Краснодар",'ВБ Отчет Продажи (за 60 дней)'!$G:$G,$A81)</f>
        <v>0</v>
      </c>
      <c r="Z81" s="7">
        <f>SUMIFS('ВБ Отчет Продажи (за 60 дней)'!$P:$P,'ВБ Отчет Продажи (за 60 дней)'!$K:$K,"Невинномысск",'ВБ Отчет Продажи (за 60 дней)'!$G:$G,$A81)</f>
        <v>0</v>
      </c>
      <c r="AA81" s="104">
        <f>SUMIFS('ВБ Отчет Продажи (за 60 дней)'!$P:$P,'ВБ Отчет Продажи (за 60 дней)'!$K:$K,"Волгоград",'ВБ Отчет Продажи (за 60 дней)'!$G:$G,$A81)</f>
        <v>0</v>
      </c>
      <c r="AB81" s="27">
        <f>SUMIFS('ВБ Отчет Продажи (за 60 дней)'!$P:$P,'ВБ Отчет Продажи (за 60 дней)'!$K:$K,"Самара (Новосемейкино)",'ВБ Отчет Продажи (за 60 дней)'!$G:$G,$A81)</f>
        <v>0</v>
      </c>
      <c r="AC81" s="104">
        <f>SUMIFS('ВБ Отчет Продажи (за 60 дней)'!$P:$P,'ВБ Отчет Продажи (за 60 дней)'!$K:$K,"Казань",'ВБ Отчет Продажи (за 60 дней)'!$G:$G,$A81)</f>
        <v>0</v>
      </c>
      <c r="AD81" s="104">
        <f>SUMIFS('ВБ Отчет Продажи (за 60 дней)'!$P:$P,'ВБ Отчет Продажи (за 60 дней)'!$K:$K,"СПБ Шушары",'ВБ Отчет Продажи (за 60 дней)'!$G:$G,$A81)</f>
        <v>0</v>
      </c>
      <c r="AE81" s="153">
        <f>SUMIFS('ВБ Отчет Продажи (за 60 дней)'!$P:$P,'ВБ Отчет Продажи (за 60 дней)'!$K:$K,"Екатеринбург - Перспективный 12",'ВБ Отчет Продажи (за 60 дней)'!$G:$G,$A81)</f>
        <v>0</v>
      </c>
      <c r="AF81" s="102">
        <f>SUMIFS('ВБ Отчет Продажи (за 60 дней)'!$P:$P,'ВБ Отчет Продажи (за 60 дней)'!$K:$K,"Новосибирск",'ВБ Отчет Продажи (за 60 дней)'!$G:$G,$A81)</f>
        <v>0</v>
      </c>
      <c r="AG81" s="256">
        <f t="shared" si="37"/>
        <v>0</v>
      </c>
      <c r="AH81" s="7">
        <f t="shared" si="38"/>
        <v>0</v>
      </c>
      <c r="AI81" s="257">
        <f>SUMIFS('ОЗОН Оборот ведом (за 60 дней)'!J:J,'ОЗОН Оборот ведом (за 60 дней)'!A:A,B81)</f>
        <v>0</v>
      </c>
      <c r="AJ81" s="257">
        <f t="shared" si="39"/>
        <v>0</v>
      </c>
      <c r="AK81" s="7" t="str" cm="1">
        <f t="array" ref="AK81">IFERROR(_xlfn.IFS((F81-U81)&gt;0,F81/$R$1*$AY$1-U81,F81+U81=0,"нов"),0)</f>
        <v>нов</v>
      </c>
      <c r="AL81" s="7" t="str" cm="1">
        <f t="array" ref="AL81">IFERROR(_xlfn.IFS((G81-V81)&gt;0,G81/$R$1*$AY$1-V81,G81+V81=0,"нов"),0)</f>
        <v>нов</v>
      </c>
      <c r="AM81" s="7" t="str" cm="1">
        <f t="array" ref="AM81">IFERROR(_xlfn.IFS((H81-W81)&gt;0,H81/$R$1*$AY$1-W81,H81+W81=0,"нов"),0)</f>
        <v>нов</v>
      </c>
      <c r="AN81" s="7" t="str" cm="1">
        <f t="array" ref="AN81">IFERROR(_xlfn.IFS((I81-X81)&gt;0,I81/$R$1*$AY$1-X81,I81+X81=0,"нов"),0)</f>
        <v>нов</v>
      </c>
      <c r="AO81" s="27" t="str" cm="1">
        <f t="array" ref="AO81">IFERROR(_xlfn.IFS((J81-Y81)&gt;0,J81/$R$1*$AY$1-Y81,J81+Y81=0,"нов"),0)</f>
        <v>нов</v>
      </c>
      <c r="AP81" s="7" t="str" cm="1">
        <f t="array" ref="AP81">IFERROR(_xlfn.IFS((K81-Z81)&gt;0,K81/$R$1*$AY$1-Z81,K81+Z81=0,"нов"),0)</f>
        <v>нов</v>
      </c>
      <c r="AQ81" s="104" t="str" cm="1">
        <f t="array" ref="AQ81">IFERROR(_xlfn.IFS((L81-AA81)&gt;0,L81/$R$1*$AY$1-AA81,L81+AA81=0,"нов"),0)</f>
        <v>нов</v>
      </c>
      <c r="AR81" s="27" t="str" cm="1">
        <f t="array" ref="AR81">IFERROR(_xlfn.IFS((M81-AB81)&gt;0,M81/$R$1*$AY$1-AB81,M81+AB81=0,"нов"),0)</f>
        <v>нов</v>
      </c>
      <c r="AS81" s="104" t="str" cm="1">
        <f t="array" ref="AS81">IFERROR(_xlfn.IFS((N81-AC81)&gt;0,N81/$R$1*$AY$1-AC81,N81+AC81=0,"нов"),0)</f>
        <v>нов</v>
      </c>
      <c r="AT81" s="104" t="str" cm="1">
        <f t="array" ref="AT81">IFERROR(_xlfn.IFS((O81-AD81)&gt;0,O81/$R$1*$AY$1-AD81,O81+AD81=0,"нов"),0)</f>
        <v>нов</v>
      </c>
      <c r="AU81" s="7" t="str" cm="1">
        <f t="array" ref="AU81">IFERROR(_xlfn.IFS((P81-AE81)&gt;0,P81/$R$1*$AY$1-AE81,P81+AE81=0,"нов"),0)</f>
        <v>нов</v>
      </c>
      <c r="AV81" s="7" t="str" cm="1">
        <f t="array" ref="AV81">IFERROR(_xlfn.IFS((Q81-AF81)&gt;0,Q81/$R$1*$AY$1-AF81,Q81+AF81=0,"нов"),0)</f>
        <v>нов</v>
      </c>
      <c r="AW81" s="255">
        <f t="shared" si="40"/>
        <v>0</v>
      </c>
      <c r="AX81" s="258">
        <f>SUMIF('ОЗОН Доступн товара'!D:D,_xlfn.XLOOKUP($B81,'ОЗОН Доступн товара'!$A:$A,'ОЗОН Доступн товара'!$D:$D,0))</f>
        <v>0</v>
      </c>
      <c r="AY81" s="262">
        <f t="shared" si="41"/>
        <v>0</v>
      </c>
      <c r="AZ81" s="7" t="str">
        <f t="shared" si="42"/>
        <v>нов</v>
      </c>
      <c r="BA81" s="7" t="str">
        <f t="shared" si="43"/>
        <v>нов</v>
      </c>
      <c r="BB81" s="7" t="str">
        <f t="shared" si="44"/>
        <v>нов</v>
      </c>
      <c r="BC81" s="7" t="str">
        <f t="shared" si="45"/>
        <v>нов</v>
      </c>
      <c r="BD81" s="27" t="str">
        <f t="shared" si="46"/>
        <v>нов</v>
      </c>
      <c r="BE81" s="7" t="str">
        <f t="shared" si="47"/>
        <v>нов</v>
      </c>
      <c r="BF81" s="104" t="str">
        <f t="shared" si="48"/>
        <v>нов</v>
      </c>
      <c r="BG81" s="27" t="str">
        <f t="shared" si="49"/>
        <v>нов</v>
      </c>
      <c r="BH81" s="104" t="str">
        <f t="shared" si="50"/>
        <v>нов</v>
      </c>
      <c r="BI81" s="7" t="str">
        <f t="shared" si="51"/>
        <v>нов</v>
      </c>
      <c r="BJ81" s="153" t="str">
        <f t="shared" si="52"/>
        <v>нов</v>
      </c>
      <c r="BK81" s="7" t="str">
        <f t="shared" si="53"/>
        <v>нов</v>
      </c>
      <c r="BL81" s="6">
        <f t="shared" si="54"/>
        <v>0</v>
      </c>
      <c r="BM81" s="6">
        <f t="shared" si="55"/>
        <v>0</v>
      </c>
      <c r="BN81" s="259">
        <f t="shared" si="56"/>
        <v>0</v>
      </c>
      <c r="BO81" s="73">
        <f>IFERROR(_xlfn.XLOOKUP(A81,'[2] Расчет стоимости и веса'!$I:$I,'[2] Расчет стоимости и веса'!$D:$D),0)</f>
        <v>0</v>
      </c>
      <c r="BP81" s="227">
        <f t="shared" si="57"/>
        <v>0</v>
      </c>
      <c r="BQ81" s="8"/>
      <c r="BR81" s="155"/>
      <c r="BS81" s="12"/>
      <c r="BT81" s="12"/>
      <c r="BU81" s="229"/>
      <c r="BV81" s="12"/>
      <c r="BW81" s="12"/>
      <c r="BY81" s="231"/>
      <c r="BZ81" s="232"/>
      <c r="CA81" s="155"/>
      <c r="CB81" s="157"/>
      <c r="CC81" s="57"/>
      <c r="CD81" s="12"/>
      <c r="CE81" s="146">
        <f t="shared" si="33"/>
        <v>0</v>
      </c>
      <c r="CF81" s="69">
        <f t="shared" si="34"/>
        <v>0</v>
      </c>
      <c r="CG81" s="45">
        <f t="shared" si="35"/>
        <v>0</v>
      </c>
    </row>
    <row r="82" spans="1:85" ht="14.1" hidden="1" customHeight="1" thickBot="1">
      <c r="A82" s="240">
        <f>[1]Юнит!A84</f>
        <v>340802685</v>
      </c>
      <c r="B82" s="241">
        <f>[1]Юнит!B84</f>
        <v>0</v>
      </c>
      <c r="C82" s="240" t="str">
        <f>[1]Юнит!C84</f>
        <v>AKTA1PR101GR</v>
      </c>
      <c r="D82" s="90" t="str">
        <f>[1]Юнит!D84</f>
        <v>Чеснокодавка</v>
      </c>
      <c r="E82" s="90">
        <f>[1]Юнит!E84</f>
        <v>2042987041841</v>
      </c>
      <c r="F82" s="132">
        <f>ROUNDUP(SUMIFS('ВБ Отчет Продажи (за 60 дней)'!$L:$L,'ВБ Отчет Продажи (за 60 дней)'!$K:$K,"Электросталь",'ВБ Отчет Продажи (за 60 дней)'!$G:$G,$A82),0)</f>
        <v>0</v>
      </c>
      <c r="G82" s="133">
        <f>ROUNDUP(SUMIFS('ВБ Отчет Продажи (за 60 дней)'!$L:$L,'ВБ Отчет Продажи (за 60 дней)'!$K:$K,"Коледино",'ВБ Отчет Продажи (за 60 дней)'!$G:$G,$A82),0)</f>
        <v>1</v>
      </c>
      <c r="H82" s="133">
        <f>ROUNDUP(SUMIFS('ВБ Отчет Продажи (за 60 дней)'!$L:$L,'ВБ Отчет Продажи (за 60 дней)'!$K:$K,"Тула",'ВБ Отчет Продажи (за 60 дней)'!$G:$G,$A82),0)</f>
        <v>1</v>
      </c>
      <c r="I82" s="134">
        <f>ROUNDUP(SUMIFS('ВБ Отчет Продажи (за 60 дней)'!$L:$L,'ВБ Отчет Продажи (за 60 дней)'!$K:$K,"Рязань (Тюшевское)",'ВБ Отчет Продажи (за 60 дней)'!$G:$G,$A82),0)</f>
        <v>0</v>
      </c>
      <c r="J82" s="136">
        <f>ROUNDUP(SUMIFS('ВБ Отчет Продажи (за 60 дней)'!$L:$L,'ВБ Отчет Продажи (за 60 дней)'!$K:$K,"Краснодар",'ВБ Отчет Продажи (за 60 дней)'!$G:$G,$A82),0)</f>
        <v>0</v>
      </c>
      <c r="K82" s="133">
        <f>ROUNDUP(SUMIFS('ВБ Отчет Продажи (за 60 дней)'!$L:$L,'ВБ Отчет Продажи (за 60 дней)'!$K:$K,"Невинномысск",'ВБ Отчет Продажи (за 60 дней)'!$G:$G,$A82),0)</f>
        <v>0</v>
      </c>
      <c r="L82" s="137">
        <f>ROUNDUP(SUMIFS('ВБ Отчет Продажи (за 60 дней)'!$L:$L,'ВБ Отчет Продажи (за 60 дней)'!$K:$K,"Волгоград",'ВБ Отчет Продажи (за 60 дней)'!$G:$G,$A82),0)</f>
        <v>1</v>
      </c>
      <c r="M82" s="136">
        <f>ROUNDUP(SUMIFS('ВБ Отчет Продажи (за 60 дней)'!$L:$L,'ВБ Отчет Продажи (за 60 дней)'!$K:$K,"Самара (Новосемейкино)",'ВБ Отчет Продажи (за 60 дней)'!$G:$G,$A82),0)</f>
        <v>1</v>
      </c>
      <c r="N82" s="137">
        <f>ROUNDUP(SUMIFS('ВБ Отчет Продажи (за 60 дней)'!$L:$L,'ВБ Отчет Продажи (за 60 дней)'!$K:$K,"Казань",'ВБ Отчет Продажи (за 60 дней)'!$G:$G,$A82),0)</f>
        <v>0</v>
      </c>
      <c r="O82" s="137">
        <f>ROUNDUP(SUMIFS('ВБ Отчет Продажи (за 60 дней)'!$L:$L,'ВБ Отчет Продажи (за 60 дней)'!$K:$K,"СПБ Шушары",'ВБ Отчет Продажи (за 60 дней)'!$G:$G,$A82),0)</f>
        <v>0</v>
      </c>
      <c r="P82" s="260">
        <f>ROUNDUP(SUMIFS('ВБ Отчет Продажи (за 60 дней)'!$L:$L,'ВБ Отчет Продажи (за 60 дней)'!$K:$K,"Екатеринбург - Перспективный 12",'ВБ Отчет Продажи (за 60 дней)'!$G:$G,$A82),0)</f>
        <v>0</v>
      </c>
      <c r="Q82" s="149">
        <f>ROUNDUP(SUMIFS('ВБ Отчет Продажи (за 60 дней)'!$L:$L,'ВБ Отчет Продажи (за 60 дней)'!$K:$K,"Новосибирск",'ВБ Отчет Продажи (за 60 дней)'!$G:$G,$A82),0)</f>
        <v>0</v>
      </c>
      <c r="R82" s="131">
        <f t="shared" si="32"/>
        <v>4</v>
      </c>
      <c r="S82" s="139">
        <f>SUMIFS('ОЗОН Оборот ведом (за 60 дней)'!I:I,'ОЗОН Оборот ведом (за 60 дней)'!A:A,B82)</f>
        <v>0</v>
      </c>
      <c r="T82" s="255">
        <f t="shared" si="36"/>
        <v>4</v>
      </c>
      <c r="U82" s="6">
        <f>SUMIFS('ВБ Отчет Продажи (за 60 дней)'!$P:$P,'ВБ Отчет Продажи (за 60 дней)'!$K:$K,"Электросталь",'ВБ Отчет Продажи (за 60 дней)'!$G:$G,$A82)</f>
        <v>0</v>
      </c>
      <c r="V82" s="7">
        <f>SUMIFS('ВБ Отчет Продажи (за 60 дней)'!$P:$P,'ВБ Отчет Продажи (за 60 дней)'!$K:$K,"Коледино",'ВБ Отчет Продажи (за 60 дней)'!$G:$G,$A82)</f>
        <v>0</v>
      </c>
      <c r="W82" s="7">
        <f>SUMIFS('ВБ Отчет Продажи (за 60 дней)'!$P:$P,'ВБ Отчет Продажи (за 60 дней)'!$K:$K,"Тула",'ВБ Отчет Продажи (за 60 дней)'!$G:$G,$A82)</f>
        <v>6</v>
      </c>
      <c r="X82" s="7">
        <f>SUMIFS('ВБ Отчет Продажи (за 60 дней)'!$P:$P,'ВБ Отчет Продажи (за 60 дней)'!$K:$K,"Рязань (Тюшевское)",'ВБ Отчет Продажи (за 60 дней)'!$G:$G,$A82)</f>
        <v>0</v>
      </c>
      <c r="Y82" s="27">
        <f>SUMIFS('ВБ Отчет Продажи (за 60 дней)'!$P:$P,'ВБ Отчет Продажи (за 60 дней)'!$K:$K,"Краснодар",'ВБ Отчет Продажи (за 60 дней)'!$G:$G,$A82)</f>
        <v>0</v>
      </c>
      <c r="Z82" s="7">
        <f>SUMIFS('ВБ Отчет Продажи (за 60 дней)'!$P:$P,'ВБ Отчет Продажи (за 60 дней)'!$K:$K,"Невинномысск",'ВБ Отчет Продажи (за 60 дней)'!$G:$G,$A82)</f>
        <v>0</v>
      </c>
      <c r="AA82" s="104">
        <f>SUMIFS('ВБ Отчет Продажи (за 60 дней)'!$P:$P,'ВБ Отчет Продажи (за 60 дней)'!$K:$K,"Волгоград",'ВБ Отчет Продажи (за 60 дней)'!$G:$G,$A82)</f>
        <v>0</v>
      </c>
      <c r="AB82" s="27">
        <f>SUMIFS('ВБ Отчет Продажи (за 60 дней)'!$P:$P,'ВБ Отчет Продажи (за 60 дней)'!$K:$K,"Самара (Новосемейкино)",'ВБ Отчет Продажи (за 60 дней)'!$G:$G,$A82)</f>
        <v>1</v>
      </c>
      <c r="AC82" s="104">
        <f>SUMIFS('ВБ Отчет Продажи (за 60 дней)'!$P:$P,'ВБ Отчет Продажи (за 60 дней)'!$K:$K,"Казань",'ВБ Отчет Продажи (за 60 дней)'!$G:$G,$A82)</f>
        <v>12</v>
      </c>
      <c r="AD82" s="104">
        <f>SUMIFS('ВБ Отчет Продажи (за 60 дней)'!$P:$P,'ВБ Отчет Продажи (за 60 дней)'!$K:$K,"СПБ Шушары",'ВБ Отчет Продажи (за 60 дней)'!$G:$G,$A82)</f>
        <v>0</v>
      </c>
      <c r="AE82" s="261">
        <f>SUMIFS('ВБ Отчет Продажи (за 60 дней)'!$P:$P,'ВБ Отчет Продажи (за 60 дней)'!$K:$K,"Екатеринбург - Перспективный 12",'ВБ Отчет Продажи (за 60 дней)'!$G:$G,$A82)</f>
        <v>0</v>
      </c>
      <c r="AF82" s="102">
        <f>SUMIFS('ВБ Отчет Продажи (за 60 дней)'!$P:$P,'ВБ Отчет Продажи (за 60 дней)'!$K:$K,"Новосибирск",'ВБ Отчет Продажи (за 60 дней)'!$G:$G,$A82)</f>
        <v>0</v>
      </c>
      <c r="AG82" s="256">
        <f t="shared" si="37"/>
        <v>19</v>
      </c>
      <c r="AH82" s="7">
        <f t="shared" si="38"/>
        <v>285</v>
      </c>
      <c r="AI82" s="257">
        <f>SUMIFS('ОЗОН Оборот ведом (за 60 дней)'!J:J,'ОЗОН Оборот ведом (за 60 дней)'!A:A,B82)</f>
        <v>0</v>
      </c>
      <c r="AJ82" s="257">
        <f t="shared" si="39"/>
        <v>19</v>
      </c>
      <c r="AK82" s="7" t="str" cm="1">
        <f t="array" ref="AK82">IFERROR(_xlfn.IFS((F82-U82)&gt;0,F82/$R$1*$AY$1-U82,F82+U82=0,"нов"),0)</f>
        <v>нов</v>
      </c>
      <c r="AL82" s="7" cm="1">
        <f t="array" ref="AL82">IFERROR(_xlfn.IFS((G82-V82)&gt;0,G82/$R$1*$AY$1-V82,G82+V82=0,"нов"),0)</f>
        <v>1</v>
      </c>
      <c r="AM82" s="7" cm="1">
        <f t="array" ref="AM82">IFERROR(_xlfn.IFS((H82-W82)&gt;0,H82/$R$1*$AY$1-W82,H82+W82=0,"нов"),0)</f>
        <v>0</v>
      </c>
      <c r="AN82" s="7" t="str" cm="1">
        <f t="array" ref="AN82">IFERROR(_xlfn.IFS((I82-X82)&gt;0,I82/$R$1*$AY$1-X82,I82+X82=0,"нов"),0)</f>
        <v>нов</v>
      </c>
      <c r="AO82" s="27" t="str" cm="1">
        <f t="array" ref="AO82">IFERROR(_xlfn.IFS((J82-Y82)&gt;0,J82/$R$1*$AY$1-Y82,J82+Y82=0,"нов"),0)</f>
        <v>нов</v>
      </c>
      <c r="AP82" s="7" t="str" cm="1">
        <f t="array" ref="AP82">IFERROR(_xlfn.IFS((K82-Z82)&gt;0,K82/$R$1*$AY$1-Z82,K82+Z82=0,"нов"),0)</f>
        <v>нов</v>
      </c>
      <c r="AQ82" s="104" cm="1">
        <f t="array" ref="AQ82">IFERROR(_xlfn.IFS((L82-AA82)&gt;0,L82/$R$1*$AY$1-AA82,L82+AA82=0,"нов"),0)</f>
        <v>1</v>
      </c>
      <c r="AR82" s="27" cm="1">
        <f t="array" ref="AR82">IFERROR(_xlfn.IFS((M82-AB82)&gt;0,M82/$R$1*$AY$1-AB82,M82+AB82=0,"нов"),0)</f>
        <v>0</v>
      </c>
      <c r="AS82" s="104" cm="1">
        <f t="array" ref="AS82">IFERROR(_xlfn.IFS((N82-AC82)&gt;0,N82/$R$1*$AY$1-AC82,N82+AC82=0,"нов"),0)</f>
        <v>0</v>
      </c>
      <c r="AT82" s="104" t="str" cm="1">
        <f t="array" ref="AT82">IFERROR(_xlfn.IFS((O82-AD82)&gt;0,O82/$R$1*$AY$1-AD82,O82+AD82=0,"нов"),0)</f>
        <v>нов</v>
      </c>
      <c r="AU82" s="7" t="str" cm="1">
        <f t="array" ref="AU82">IFERROR(_xlfn.IFS((P82-AE82)&gt;0,P82/$R$1*$AY$1-AE82,P82+AE82=0,"нов"),0)</f>
        <v>нов</v>
      </c>
      <c r="AV82" s="7" t="str" cm="1">
        <f t="array" ref="AV82">IFERROR(_xlfn.IFS((Q82-AF82)&gt;0,Q82/$R$1*$AY$1-AF82,Q82+AF82=0,"нов"),0)</f>
        <v>нов</v>
      </c>
      <c r="AW82" s="255">
        <f t="shared" si="40"/>
        <v>2</v>
      </c>
      <c r="AX82" s="258">
        <f>SUMIF('ОЗОН Доступн товара'!D:D,_xlfn.XLOOKUP($B82,'ОЗОН Доступн товара'!$A:$A,'ОЗОН Доступн товара'!$D:$D,0))</f>
        <v>0</v>
      </c>
      <c r="AY82" s="262">
        <f t="shared" si="41"/>
        <v>2</v>
      </c>
      <c r="AZ82" s="7" t="str">
        <f t="shared" si="42"/>
        <v>нов</v>
      </c>
      <c r="BA82" s="7">
        <f t="shared" si="43"/>
        <v>2</v>
      </c>
      <c r="BB82" s="7">
        <f t="shared" si="44"/>
        <v>0</v>
      </c>
      <c r="BC82" s="7" t="str">
        <f t="shared" si="45"/>
        <v>нов</v>
      </c>
      <c r="BD82" s="27" t="str">
        <f t="shared" si="46"/>
        <v>нов</v>
      </c>
      <c r="BE82" s="7" t="str">
        <f t="shared" si="47"/>
        <v>нов</v>
      </c>
      <c r="BF82" s="104">
        <f t="shared" si="48"/>
        <v>2</v>
      </c>
      <c r="BG82" s="27">
        <f t="shared" si="49"/>
        <v>0</v>
      </c>
      <c r="BH82" s="104">
        <f t="shared" si="50"/>
        <v>0</v>
      </c>
      <c r="BI82" s="7" t="str">
        <f t="shared" si="51"/>
        <v>нов</v>
      </c>
      <c r="BJ82" s="153" t="str">
        <f t="shared" si="52"/>
        <v>нов</v>
      </c>
      <c r="BK82" s="7" t="str">
        <f t="shared" si="53"/>
        <v>нов</v>
      </c>
      <c r="BL82" s="6">
        <f t="shared" si="54"/>
        <v>4</v>
      </c>
      <c r="BM82" s="6">
        <f t="shared" si="55"/>
        <v>0</v>
      </c>
      <c r="BN82" s="259">
        <f t="shared" si="56"/>
        <v>4</v>
      </c>
      <c r="BO82" s="73">
        <f>IFERROR(_xlfn.XLOOKUP(A82,'[2] Расчет стоимости и веса'!$I:$I,'[2] Расчет стоимости и веса'!$D:$D),0)</f>
        <v>0</v>
      </c>
      <c r="BP82" s="227">
        <f t="shared" si="57"/>
        <v>0</v>
      </c>
      <c r="BQ82" s="8"/>
      <c r="BR82" s="263"/>
      <c r="BS82" s="264"/>
      <c r="BT82" s="264"/>
      <c r="BU82" s="265"/>
      <c r="BV82" s="12"/>
      <c r="BW82" s="12"/>
      <c r="BY82" s="266"/>
      <c r="BZ82" s="267"/>
      <c r="CA82" s="155"/>
      <c r="CB82" s="268"/>
      <c r="CC82" s="57"/>
      <c r="CD82" s="12"/>
      <c r="CE82" s="146">
        <f t="shared" si="33"/>
        <v>0</v>
      </c>
      <c r="CF82" s="69">
        <f t="shared" si="34"/>
        <v>0</v>
      </c>
      <c r="CG82" s="45">
        <f t="shared" si="35"/>
        <v>0</v>
      </c>
    </row>
    <row r="83" spans="1:85" s="62" customFormat="1" ht="23.25" customHeight="1" thickBot="1">
      <c r="A83" s="2" t="s">
        <v>38</v>
      </c>
      <c r="B83" s="58"/>
      <c r="C83" s="59"/>
      <c r="D83" s="60"/>
      <c r="E83" s="58"/>
      <c r="F83" s="61">
        <f t="shared" ref="F83:AG83" si="58">SUM(F3:F82)</f>
        <v>309</v>
      </c>
      <c r="G83" s="61">
        <f t="shared" si="58"/>
        <v>193</v>
      </c>
      <c r="H83" s="61">
        <f t="shared" si="58"/>
        <v>110</v>
      </c>
      <c r="I83" s="61">
        <f t="shared" si="58"/>
        <v>67</v>
      </c>
      <c r="J83" s="61">
        <f t="shared" si="58"/>
        <v>141</v>
      </c>
      <c r="K83" s="61">
        <f t="shared" si="58"/>
        <v>187</v>
      </c>
      <c r="L83" s="61">
        <f t="shared" si="58"/>
        <v>5</v>
      </c>
      <c r="M83" s="61">
        <f t="shared" si="58"/>
        <v>257</v>
      </c>
      <c r="N83" s="61">
        <f t="shared" si="58"/>
        <v>91</v>
      </c>
      <c r="O83" s="61">
        <f t="shared" si="58"/>
        <v>128</v>
      </c>
      <c r="P83" s="61">
        <f t="shared" si="58"/>
        <v>0</v>
      </c>
      <c r="Q83" s="61">
        <f t="shared" si="58"/>
        <v>1</v>
      </c>
      <c r="R83" s="61">
        <f t="shared" si="58"/>
        <v>1489</v>
      </c>
      <c r="S83" s="61">
        <f t="shared" si="58"/>
        <v>555</v>
      </c>
      <c r="T83" s="130">
        <f t="shared" si="58"/>
        <v>2044</v>
      </c>
      <c r="U83" s="61">
        <f t="shared" si="58"/>
        <v>1262</v>
      </c>
      <c r="V83" s="61">
        <f t="shared" si="58"/>
        <v>479</v>
      </c>
      <c r="W83" s="61">
        <f t="shared" si="58"/>
        <v>440</v>
      </c>
      <c r="X83" s="61">
        <f t="shared" si="58"/>
        <v>426</v>
      </c>
      <c r="Y83" s="61">
        <f t="shared" si="58"/>
        <v>482</v>
      </c>
      <c r="Z83" s="61">
        <f t="shared" si="58"/>
        <v>1192</v>
      </c>
      <c r="AA83" s="61">
        <f t="shared" si="58"/>
        <v>6</v>
      </c>
      <c r="AB83" s="61">
        <f t="shared" si="58"/>
        <v>889</v>
      </c>
      <c r="AC83" s="61">
        <f t="shared" si="58"/>
        <v>445</v>
      </c>
      <c r="AD83" s="61">
        <f t="shared" si="58"/>
        <v>692</v>
      </c>
      <c r="AE83" s="61">
        <f t="shared" si="58"/>
        <v>0</v>
      </c>
      <c r="AF83" s="61">
        <f t="shared" si="58"/>
        <v>0</v>
      </c>
      <c r="AG83" s="122">
        <f t="shared" si="58"/>
        <v>6313</v>
      </c>
      <c r="AH83" s="61"/>
      <c r="AI83" s="216">
        <f t="shared" ref="AI83:AX83" si="59">SUM(AI3:AI82)</f>
        <v>287</v>
      </c>
      <c r="AJ83" s="61">
        <f t="shared" si="59"/>
        <v>6600</v>
      </c>
      <c r="AK83" s="61">
        <f t="shared" si="59"/>
        <v>74</v>
      </c>
      <c r="AL83" s="61">
        <f t="shared" si="59"/>
        <v>79</v>
      </c>
      <c r="AM83" s="61">
        <f t="shared" si="59"/>
        <v>46</v>
      </c>
      <c r="AN83" s="103">
        <f t="shared" si="59"/>
        <v>38</v>
      </c>
      <c r="AO83" s="98">
        <f t="shared" si="59"/>
        <v>65</v>
      </c>
      <c r="AP83" s="61">
        <f t="shared" si="59"/>
        <v>82</v>
      </c>
      <c r="AQ83" s="97">
        <f t="shared" si="59"/>
        <v>4</v>
      </c>
      <c r="AR83" s="98">
        <f t="shared" si="59"/>
        <v>114</v>
      </c>
      <c r="AS83" s="97">
        <f t="shared" si="59"/>
        <v>40</v>
      </c>
      <c r="AT83" s="97">
        <f t="shared" si="59"/>
        <v>53</v>
      </c>
      <c r="AU83" s="97">
        <f t="shared" si="59"/>
        <v>0</v>
      </c>
      <c r="AV83" s="61">
        <f t="shared" si="59"/>
        <v>1</v>
      </c>
      <c r="AW83" s="142">
        <f t="shared" si="59"/>
        <v>596</v>
      </c>
      <c r="AX83" s="221">
        <f t="shared" si="59"/>
        <v>883</v>
      </c>
      <c r="AY83" s="207">
        <f>SUM(AY3:AY82)</f>
        <v>1479</v>
      </c>
      <c r="AZ83" s="61">
        <f t="shared" ref="AZ83:BI83" si="60">SUM(AZ3:AZ82)</f>
        <v>104</v>
      </c>
      <c r="BA83" s="61">
        <f t="shared" si="60"/>
        <v>115</v>
      </c>
      <c r="BB83" s="61">
        <f t="shared" si="60"/>
        <v>71</v>
      </c>
      <c r="BC83" s="103">
        <f t="shared" si="60"/>
        <v>55</v>
      </c>
      <c r="BD83" s="98">
        <f t="shared" si="60"/>
        <v>91</v>
      </c>
      <c r="BE83" s="61">
        <f t="shared" si="60"/>
        <v>111</v>
      </c>
      <c r="BF83" s="61">
        <f t="shared" si="60"/>
        <v>8</v>
      </c>
      <c r="BG83" s="98">
        <f t="shared" si="60"/>
        <v>152</v>
      </c>
      <c r="BH83" s="97">
        <f t="shared" si="60"/>
        <v>59</v>
      </c>
      <c r="BI83" s="103">
        <f t="shared" si="60"/>
        <v>72</v>
      </c>
      <c r="BJ83" s="185">
        <f>SUM(BJ57:BJ82)</f>
        <v>0</v>
      </c>
      <c r="BK83" s="182">
        <f>SUM(BK57:BK82)</f>
        <v>2</v>
      </c>
      <c r="BL83" s="61">
        <f t="shared" ref="BL83:CG83" si="61">SUM(BL3:BL82)</f>
        <v>840</v>
      </c>
      <c r="BM83" s="61">
        <f t="shared" si="61"/>
        <v>1147.9000000000001</v>
      </c>
      <c r="BN83" s="94">
        <f t="shared" si="61"/>
        <v>1987.8999999999994</v>
      </c>
      <c r="BO83" s="145">
        <f t="shared" si="61"/>
        <v>3707</v>
      </c>
      <c r="BP83" s="174">
        <f>SUM(BP3:BP82)</f>
        <v>4067</v>
      </c>
      <c r="BQ83" s="172">
        <f t="shared" si="61"/>
        <v>0</v>
      </c>
      <c r="BR83" s="61">
        <f t="shared" si="61"/>
        <v>1012</v>
      </c>
      <c r="BS83" s="61">
        <f t="shared" si="61"/>
        <v>0</v>
      </c>
      <c r="BT83" s="61">
        <f t="shared" si="61"/>
        <v>0</v>
      </c>
      <c r="BU83" s="61">
        <f t="shared" si="61"/>
        <v>0</v>
      </c>
      <c r="BV83" s="61">
        <f t="shared" si="61"/>
        <v>0</v>
      </c>
      <c r="BW83" s="61">
        <f>SUM(BW3:BW82)</f>
        <v>365</v>
      </c>
      <c r="BX83" s="61">
        <f t="shared" si="61"/>
        <v>0</v>
      </c>
      <c r="BY83" s="61">
        <f t="shared" si="61"/>
        <v>595</v>
      </c>
      <c r="BZ83" s="61">
        <f t="shared" si="61"/>
        <v>0</v>
      </c>
      <c r="CA83" s="61">
        <f t="shared" si="61"/>
        <v>630</v>
      </c>
      <c r="CB83" s="61">
        <f t="shared" si="61"/>
        <v>1105</v>
      </c>
      <c r="CC83" s="61">
        <f t="shared" si="61"/>
        <v>0</v>
      </c>
      <c r="CD83" s="61">
        <f t="shared" si="61"/>
        <v>0</v>
      </c>
      <c r="CE83" s="61">
        <f t="shared" si="61"/>
        <v>3707</v>
      </c>
      <c r="CF83" s="61">
        <f t="shared" si="61"/>
        <v>3707</v>
      </c>
      <c r="CG83" s="61">
        <f t="shared" si="61"/>
        <v>0</v>
      </c>
    </row>
    <row r="84" spans="1:85" s="62" customFormat="1" ht="23.25" hidden="1" customHeight="1">
      <c r="A84" s="63"/>
      <c r="B84" s="49"/>
      <c r="C84" s="64"/>
      <c r="D84" s="65"/>
      <c r="E84" s="49"/>
      <c r="F84" s="295">
        <f>SUM(F83:I83)</f>
        <v>679</v>
      </c>
      <c r="G84" s="295"/>
      <c r="H84" s="295"/>
      <c r="I84" s="295"/>
      <c r="J84" s="295">
        <f>SUM(J83:L83)</f>
        <v>333</v>
      </c>
      <c r="K84" s="295"/>
      <c r="L84" s="295"/>
      <c r="M84" s="295">
        <f>SUM(M83:N83)</f>
        <v>348</v>
      </c>
      <c r="N84" s="295"/>
      <c r="O84" s="180">
        <f>O83</f>
        <v>128</v>
      </c>
      <c r="P84" s="180">
        <f>P83</f>
        <v>0</v>
      </c>
      <c r="Q84" s="180">
        <f>Q83</f>
        <v>1</v>
      </c>
      <c r="R84" s="183">
        <f>R83/T83</f>
        <v>0.72847358121330719</v>
      </c>
      <c r="S84" s="183">
        <f>S83/T83</f>
        <v>0.27152641878669276</v>
      </c>
      <c r="T84" s="13"/>
      <c r="U84" s="296">
        <f>SUM(U83:X83)</f>
        <v>2607</v>
      </c>
      <c r="V84" s="297"/>
      <c r="W84" s="297"/>
      <c r="X84" s="298"/>
      <c r="Y84" s="296">
        <f>SUM(Y83:AA83)</f>
        <v>1680</v>
      </c>
      <c r="Z84" s="297"/>
      <c r="AA84" s="298"/>
      <c r="AB84" s="296">
        <f>SUM(AB83:AC83)</f>
        <v>1334</v>
      </c>
      <c r="AC84" s="298"/>
      <c r="AD84" s="181">
        <f>AD83</f>
        <v>692</v>
      </c>
      <c r="AE84" s="180">
        <f>AE83</f>
        <v>0</v>
      </c>
      <c r="AF84" s="180">
        <f>AF83</f>
        <v>0</v>
      </c>
      <c r="AG84" s="296">
        <f>SUM(AG83:AI83)</f>
        <v>6600</v>
      </c>
      <c r="AH84" s="297"/>
      <c r="AI84" s="298"/>
      <c r="AJ84" s="13"/>
      <c r="AK84" s="306">
        <f>SUM(AK83:AN83)</f>
        <v>237</v>
      </c>
      <c r="AL84" s="306"/>
      <c r="AM84" s="306"/>
      <c r="AN84" s="307"/>
      <c r="AO84" s="310">
        <f>SUM(AO83:AQ83)</f>
        <v>151</v>
      </c>
      <c r="AP84" s="311"/>
      <c r="AQ84" s="312"/>
      <c r="AR84" s="310">
        <f>SUM(AR83:AS83)</f>
        <v>154</v>
      </c>
      <c r="AS84" s="312"/>
      <c r="AT84" s="163"/>
      <c r="AU84" s="66">
        <f>AU83</f>
        <v>0</v>
      </c>
      <c r="AV84" s="66">
        <f>AV83</f>
        <v>1</v>
      </c>
      <c r="AW84" s="7"/>
      <c r="AX84" s="7"/>
      <c r="AY84" s="7"/>
      <c r="AZ84" s="313">
        <f>SUM(AZ83:BC83)</f>
        <v>345</v>
      </c>
      <c r="BA84" s="314"/>
      <c r="BB84" s="314"/>
      <c r="BC84" s="315"/>
      <c r="BD84" s="313">
        <f>SUM(BD83:BF83)</f>
        <v>210</v>
      </c>
      <c r="BE84" s="314"/>
      <c r="BF84" s="315"/>
      <c r="BG84" s="313">
        <f>SUM(BG83:BH83)</f>
        <v>211</v>
      </c>
      <c r="BH84" s="315"/>
      <c r="BI84" s="7"/>
      <c r="BJ84" s="7">
        <f>BJ83</f>
        <v>0</v>
      </c>
      <c r="BK84" s="186">
        <f>BK83</f>
        <v>2</v>
      </c>
      <c r="BL84" s="13"/>
      <c r="BM84" s="113"/>
      <c r="BN84" s="13"/>
      <c r="BO84" s="13"/>
      <c r="BP84" s="7"/>
      <c r="BQ84" s="13"/>
      <c r="BR84" s="158">
        <f>SUM(BR83:BU83)</f>
        <v>1012</v>
      </c>
      <c r="BS84" s="159"/>
      <c r="BT84" s="159"/>
      <c r="BU84" s="159"/>
      <c r="BV84" s="158">
        <f>SUM(BV83:BX83)</f>
        <v>365</v>
      </c>
      <c r="BW84" s="159"/>
      <c r="BX84" s="159"/>
      <c r="BY84" s="158">
        <f>SUM(BY83:BZ83)</f>
        <v>595</v>
      </c>
      <c r="BZ84" s="160"/>
      <c r="CA84" s="159">
        <f>CA83</f>
        <v>630</v>
      </c>
      <c r="CB84" s="159">
        <f t="shared" ref="CB84:CC84" si="62">CB83</f>
        <v>1105</v>
      </c>
      <c r="CC84" s="159">
        <f t="shared" si="62"/>
        <v>0</v>
      </c>
      <c r="CD84" s="161">
        <f>CD83</f>
        <v>0</v>
      </c>
      <c r="CE84" s="93">
        <f>SUM(BR84:CD84)</f>
        <v>3707</v>
      </c>
      <c r="CG84" s="13"/>
    </row>
    <row r="85" spans="1:85" ht="15.75" hidden="1" customHeight="1">
      <c r="A85" s="10"/>
      <c r="B85" s="12"/>
      <c r="C85" s="10"/>
      <c r="D85" s="11"/>
      <c r="E85" s="12"/>
      <c r="F85" s="295">
        <f>SUM(F84:Q84)</f>
        <v>1489</v>
      </c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7"/>
      <c r="S85" s="7"/>
      <c r="T85" s="7"/>
      <c r="U85" s="296">
        <f>SUM(U83:AF83)</f>
        <v>6313</v>
      </c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8"/>
      <c r="AG85" s="7"/>
      <c r="AH85" s="7"/>
      <c r="AI85" s="7"/>
      <c r="AJ85" s="7"/>
      <c r="AK85" s="296">
        <f>SUM(AK84:AV84)</f>
        <v>543</v>
      </c>
      <c r="AL85" s="297"/>
      <c r="AM85" s="297"/>
      <c r="AN85" s="297"/>
      <c r="AO85" s="297"/>
      <c r="AP85" s="297"/>
      <c r="AQ85" s="297"/>
      <c r="AR85" s="297"/>
      <c r="AS85" s="297"/>
      <c r="AT85" s="297"/>
      <c r="AU85" s="297"/>
      <c r="AV85" s="298"/>
      <c r="AW85" s="13"/>
      <c r="AX85" s="13"/>
      <c r="AY85" s="13"/>
      <c r="AZ85" s="296">
        <f>SUM(AZ84:BK84)</f>
        <v>768</v>
      </c>
      <c r="BA85" s="297"/>
      <c r="BB85" s="297"/>
      <c r="BC85" s="297"/>
      <c r="BD85" s="297"/>
      <c r="BE85" s="297"/>
      <c r="BF85" s="297"/>
      <c r="BG85" s="297"/>
      <c r="BH85" s="297"/>
      <c r="BI85" s="297"/>
      <c r="BJ85" s="297"/>
      <c r="BK85" s="298"/>
      <c r="BL85" s="112"/>
      <c r="BM85" s="112"/>
      <c r="BN85" s="13"/>
      <c r="BR85" s="147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>
        <f>SUM(BR84:CC84)</f>
        <v>3707</v>
      </c>
      <c r="CD85" s="162">
        <f>CD83</f>
        <v>0</v>
      </c>
      <c r="CE85" s="49"/>
      <c r="CF85" s="15"/>
    </row>
  </sheetData>
  <autoFilter ref="A1:CG85" xr:uid="{A80586F9-15DF-4F89-9206-18FE28F24139}"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83">
      <customFilters>
        <customFilter operator="notEqual" val=" "/>
      </customFilters>
    </filterColumn>
  </autoFilter>
  <mergeCells count="22">
    <mergeCell ref="AK85:AV85"/>
    <mergeCell ref="AK1:AX1"/>
    <mergeCell ref="AK84:AN84"/>
    <mergeCell ref="CE1:CE2"/>
    <mergeCell ref="BQ1:BQ2"/>
    <mergeCell ref="AO84:AQ84"/>
    <mergeCell ref="AR84:AS84"/>
    <mergeCell ref="BD84:BF84"/>
    <mergeCell ref="BG84:BH84"/>
    <mergeCell ref="AZ84:BC84"/>
    <mergeCell ref="AZ85:BK85"/>
    <mergeCell ref="CG1:CG2"/>
    <mergeCell ref="CF1:CF2"/>
    <mergeCell ref="F84:I84"/>
    <mergeCell ref="M84:N84"/>
    <mergeCell ref="J84:L84"/>
    <mergeCell ref="AG84:AI84"/>
    <mergeCell ref="F85:Q85"/>
    <mergeCell ref="U85:AF85"/>
    <mergeCell ref="AB84:AC84"/>
    <mergeCell ref="U84:X84"/>
    <mergeCell ref="Y84:AA84"/>
  </mergeCells>
  <phoneticPr fontId="5" type="noConversion"/>
  <conditionalFormatting sqref="F3:R82">
    <cfRule type="colorScale" priority="273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sqref="AH3:AH82">
    <cfRule type="cellIs" dxfId="12" priority="17" operator="between">
      <formula>1</formula>
      <formula>30</formula>
    </cfRule>
  </conditionalFormatting>
  <conditionalFormatting sqref="AK3:AV82">
    <cfRule type="cellIs" dxfId="11" priority="14" operator="equal">
      <formula>"нов"</formula>
    </cfRule>
    <cfRule type="cellIs" dxfId="10" priority="15" operator="greaterThan">
      <formula>0</formula>
    </cfRule>
  </conditionalFormatting>
  <conditionalFormatting sqref="AZ3:BM82">
    <cfRule type="cellIs" dxfId="9" priority="1" operator="equal">
      <formula>"нов"</formula>
    </cfRule>
    <cfRule type="cellIs" dxfId="8" priority="2" operator="greaterThan">
      <formula>0</formula>
    </cfRule>
  </conditionalFormatting>
  <conditionalFormatting sqref="BN3:BN82">
    <cfRule type="cellIs" dxfId="7" priority="21" operator="greaterThan">
      <formula>0</formula>
    </cfRule>
  </conditionalFormatting>
  <conditionalFormatting sqref="BO2:BP2">
    <cfRule type="cellIs" dxfId="6" priority="236" operator="greaterThan">
      <formula>0</formula>
    </cfRule>
  </conditionalFormatting>
  <conditionalFormatting sqref="BQ3:BQ82 CG3:CG82">
    <cfRule type="cellIs" dxfId="5" priority="103" operator="greaterThan">
      <formula>0.1</formula>
    </cfRule>
  </conditionalFormatting>
  <conditionalFormatting sqref="CE1 CE85 CE89:CE1048576">
    <cfRule type="cellIs" dxfId="4" priority="183" stopIfTrue="1" operator="equal">
      <formula>0</formula>
    </cfRule>
  </conditionalFormatting>
  <conditionalFormatting sqref="CE3:CE82">
    <cfRule type="cellIs" dxfId="3" priority="22" stopIfTrue="1" operator="equal">
      <formula>0</formula>
    </cfRule>
    <cfRule type="expression" dxfId="2" priority="274">
      <formula>CE3=#REF!+#REF!</formula>
    </cfRule>
  </conditionalFormatting>
  <conditionalFormatting sqref="CF3:CF82">
    <cfRule type="cellIs" dxfId="1" priority="13" operator="greaterThan">
      <formula>0.1</formula>
    </cfRule>
  </conditionalFormatting>
  <printOptions horizontalCentered="1" verticalCentered="1"/>
  <pageMargins left="0" right="0" top="0" bottom="0" header="0" footer="0"/>
  <pageSetup scale="49" fitToWidth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EA19-B8DA-4B77-B173-647F32B7C398}">
  <sheetPr>
    <tabColor rgb="FFCC99FF"/>
  </sheetPr>
  <dimension ref="A1:P524"/>
  <sheetViews>
    <sheetView workbookViewId="0">
      <selection sqref="A1:XFD1048576"/>
    </sheetView>
  </sheetViews>
  <sheetFormatPr defaultRowHeight="15"/>
  <cols>
    <col min="1" max="16" width="13.7109375" customWidth="1"/>
  </cols>
  <sheetData>
    <row r="1" spans="1:16" s="187" customFormat="1" ht="12.75">
      <c r="A1" s="316" t="s">
        <v>492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 t="s">
        <v>161</v>
      </c>
      <c r="M1" s="316"/>
      <c r="N1" s="316" t="s">
        <v>162</v>
      </c>
      <c r="O1" s="316"/>
    </row>
    <row r="2" spans="1:16" s="187" customFormat="1" ht="12.75">
      <c r="A2" s="187" t="s">
        <v>39</v>
      </c>
      <c r="B2" s="187" t="s">
        <v>40</v>
      </c>
      <c r="C2" s="187" t="s">
        <v>41</v>
      </c>
      <c r="D2" s="187" t="s">
        <v>42</v>
      </c>
      <c r="E2" s="187" t="s">
        <v>2</v>
      </c>
      <c r="F2" s="187" t="s">
        <v>43</v>
      </c>
      <c r="G2" s="187" t="s">
        <v>44</v>
      </c>
      <c r="H2" s="187" t="s">
        <v>45</v>
      </c>
      <c r="I2" s="187" t="s">
        <v>46</v>
      </c>
      <c r="J2" s="187" t="s">
        <v>47</v>
      </c>
      <c r="K2" s="187" t="s">
        <v>48</v>
      </c>
      <c r="L2" s="187" t="s">
        <v>49</v>
      </c>
      <c r="M2" s="187" t="s">
        <v>50</v>
      </c>
      <c r="N2" s="187" t="s">
        <v>51</v>
      </c>
      <c r="O2" s="187" t="s">
        <v>52</v>
      </c>
      <c r="P2" s="187" t="s">
        <v>53</v>
      </c>
    </row>
    <row r="3" spans="1:16" s="187" customFormat="1" ht="12.75">
      <c r="A3" s="187" t="s">
        <v>54</v>
      </c>
      <c r="B3" s="187" t="s">
        <v>55</v>
      </c>
      <c r="C3" s="187" t="s">
        <v>143</v>
      </c>
      <c r="D3" s="187" t="s">
        <v>143</v>
      </c>
      <c r="E3" s="187" t="s">
        <v>56</v>
      </c>
      <c r="F3" s="187" t="s">
        <v>4</v>
      </c>
      <c r="G3" s="187">
        <v>169112569</v>
      </c>
      <c r="H3" s="187" t="s">
        <v>57</v>
      </c>
      <c r="I3" s="187" t="s">
        <v>58</v>
      </c>
      <c r="J3" s="187" t="s">
        <v>143</v>
      </c>
      <c r="K3" s="187" t="s">
        <v>64</v>
      </c>
      <c r="L3" s="187">
        <v>1</v>
      </c>
      <c r="M3" s="187">
        <v>559.57000000000005</v>
      </c>
      <c r="N3" s="187">
        <v>2</v>
      </c>
      <c r="O3" s="187">
        <v>879.1</v>
      </c>
      <c r="P3" s="187">
        <v>36</v>
      </c>
    </row>
    <row r="4" spans="1:16" s="187" customFormat="1" ht="12.75">
      <c r="A4" s="187" t="s">
        <v>54</v>
      </c>
      <c r="B4" s="187" t="s">
        <v>55</v>
      </c>
      <c r="C4" s="187" t="s">
        <v>143</v>
      </c>
      <c r="D4" s="187" t="s">
        <v>143</v>
      </c>
      <c r="E4" s="187" t="s">
        <v>56</v>
      </c>
      <c r="F4" s="187" t="s">
        <v>4</v>
      </c>
      <c r="G4" s="187">
        <v>169112569</v>
      </c>
      <c r="H4" s="187" t="s">
        <v>57</v>
      </c>
      <c r="I4" s="187" t="s">
        <v>58</v>
      </c>
      <c r="J4" s="187" t="s">
        <v>143</v>
      </c>
      <c r="K4" s="187" t="s">
        <v>62</v>
      </c>
      <c r="L4" s="187">
        <v>1</v>
      </c>
      <c r="M4" s="187">
        <v>553.5</v>
      </c>
      <c r="N4" s="187">
        <v>0</v>
      </c>
      <c r="O4" s="187">
        <v>0</v>
      </c>
      <c r="P4" s="187">
        <v>21</v>
      </c>
    </row>
    <row r="5" spans="1:16" s="187" customFormat="1" ht="12.75">
      <c r="A5" s="187" t="s">
        <v>54</v>
      </c>
      <c r="B5" s="187" t="s">
        <v>55</v>
      </c>
      <c r="C5" s="187" t="s">
        <v>143</v>
      </c>
      <c r="D5" s="187" t="s">
        <v>143</v>
      </c>
      <c r="E5" s="187" t="s">
        <v>56</v>
      </c>
      <c r="F5" s="187" t="s">
        <v>4</v>
      </c>
      <c r="G5" s="187">
        <v>169112569</v>
      </c>
      <c r="H5" s="187" t="s">
        <v>57</v>
      </c>
      <c r="I5" s="187" t="s">
        <v>58</v>
      </c>
      <c r="J5" s="187" t="s">
        <v>143</v>
      </c>
      <c r="K5" s="187" t="s">
        <v>171</v>
      </c>
      <c r="L5" s="187">
        <v>0</v>
      </c>
      <c r="M5" s="187">
        <v>0</v>
      </c>
      <c r="N5" s="187">
        <v>0</v>
      </c>
      <c r="O5" s="187">
        <v>0</v>
      </c>
      <c r="P5" s="187">
        <v>1</v>
      </c>
    </row>
    <row r="6" spans="1:16" s="187" customFormat="1" ht="12.75">
      <c r="A6" s="187" t="s">
        <v>54</v>
      </c>
      <c r="B6" s="187" t="s">
        <v>55</v>
      </c>
      <c r="C6" s="187" t="s">
        <v>143</v>
      </c>
      <c r="D6" s="187" t="s">
        <v>143</v>
      </c>
      <c r="E6" s="187" t="s">
        <v>56</v>
      </c>
      <c r="F6" s="187" t="s">
        <v>4</v>
      </c>
      <c r="G6" s="187">
        <v>169112569</v>
      </c>
      <c r="H6" s="187" t="s">
        <v>57</v>
      </c>
      <c r="I6" s="187" t="s">
        <v>58</v>
      </c>
      <c r="J6" s="187" t="s">
        <v>143</v>
      </c>
      <c r="K6" s="187" t="s">
        <v>63</v>
      </c>
      <c r="L6" s="187">
        <v>3</v>
      </c>
      <c r="M6" s="187">
        <v>1302.07</v>
      </c>
      <c r="N6" s="187">
        <v>3</v>
      </c>
      <c r="O6" s="187">
        <v>1105.94</v>
      </c>
      <c r="P6" s="187">
        <v>1</v>
      </c>
    </row>
    <row r="7" spans="1:16" s="187" customFormat="1" ht="12.75">
      <c r="A7" s="187" t="s">
        <v>54</v>
      </c>
      <c r="B7" s="187" t="s">
        <v>55</v>
      </c>
      <c r="C7" s="187" t="s">
        <v>143</v>
      </c>
      <c r="D7" s="187" t="s">
        <v>143</v>
      </c>
      <c r="E7" s="187" t="s">
        <v>56</v>
      </c>
      <c r="F7" s="187" t="s">
        <v>4</v>
      </c>
      <c r="G7" s="187">
        <v>169112569</v>
      </c>
      <c r="H7" s="187" t="s">
        <v>57</v>
      </c>
      <c r="I7" s="187" t="s">
        <v>58</v>
      </c>
      <c r="J7" s="187" t="s">
        <v>143</v>
      </c>
      <c r="K7" s="187" t="s">
        <v>61</v>
      </c>
      <c r="L7" s="187">
        <v>2</v>
      </c>
      <c r="M7" s="187">
        <v>936.9</v>
      </c>
      <c r="N7" s="187">
        <v>1</v>
      </c>
      <c r="O7" s="187">
        <v>368.28</v>
      </c>
      <c r="P7" s="187">
        <v>75</v>
      </c>
    </row>
    <row r="8" spans="1:16" s="187" customFormat="1" ht="12.75">
      <c r="A8" s="187" t="s">
        <v>54</v>
      </c>
      <c r="B8" s="187" t="s">
        <v>55</v>
      </c>
      <c r="C8" s="187" t="s">
        <v>143</v>
      </c>
      <c r="D8" s="187" t="s">
        <v>143</v>
      </c>
      <c r="E8" s="187" t="s">
        <v>56</v>
      </c>
      <c r="F8" s="187" t="s">
        <v>4</v>
      </c>
      <c r="G8" s="187">
        <v>169112569</v>
      </c>
      <c r="H8" s="187" t="s">
        <v>57</v>
      </c>
      <c r="I8" s="187" t="s">
        <v>58</v>
      </c>
      <c r="J8" s="187" t="s">
        <v>143</v>
      </c>
      <c r="K8" s="187" t="s">
        <v>59</v>
      </c>
      <c r="L8" s="187">
        <v>2</v>
      </c>
      <c r="M8" s="187">
        <v>826.87</v>
      </c>
      <c r="N8" s="187">
        <v>3</v>
      </c>
      <c r="O8" s="187">
        <v>1120.03</v>
      </c>
      <c r="P8" s="187">
        <v>0</v>
      </c>
    </row>
    <row r="9" spans="1:16" s="187" customFormat="1" ht="12.75">
      <c r="A9" s="187" t="s">
        <v>54</v>
      </c>
      <c r="B9" s="187" t="s">
        <v>55</v>
      </c>
      <c r="C9" s="187" t="s">
        <v>143</v>
      </c>
      <c r="D9" s="187" t="s">
        <v>143</v>
      </c>
      <c r="E9" s="187" t="s">
        <v>56</v>
      </c>
      <c r="F9" s="187" t="s">
        <v>4</v>
      </c>
      <c r="G9" s="187">
        <v>169112569</v>
      </c>
      <c r="H9" s="187" t="s">
        <v>57</v>
      </c>
      <c r="I9" s="187" t="s">
        <v>58</v>
      </c>
      <c r="J9" s="187" t="s">
        <v>143</v>
      </c>
      <c r="K9" s="187" t="s">
        <v>288</v>
      </c>
      <c r="L9" s="187">
        <v>1</v>
      </c>
      <c r="M9" s="187">
        <v>383.4</v>
      </c>
      <c r="N9" s="187">
        <v>1</v>
      </c>
      <c r="O9" s="187">
        <v>369.04</v>
      </c>
      <c r="P9" s="187">
        <v>0</v>
      </c>
    </row>
    <row r="10" spans="1:16" s="187" customFormat="1" ht="12.75">
      <c r="A10" s="187" t="s">
        <v>54</v>
      </c>
      <c r="B10" s="187" t="s">
        <v>55</v>
      </c>
      <c r="C10" s="187" t="s">
        <v>143</v>
      </c>
      <c r="D10" s="187" t="s">
        <v>143</v>
      </c>
      <c r="E10" s="187" t="s">
        <v>279</v>
      </c>
      <c r="F10" s="187" t="s">
        <v>5</v>
      </c>
      <c r="G10" s="187">
        <v>169153168</v>
      </c>
      <c r="H10" s="187" t="s">
        <v>65</v>
      </c>
      <c r="I10" s="187" t="s">
        <v>58</v>
      </c>
      <c r="J10" s="187" t="s">
        <v>143</v>
      </c>
      <c r="K10" s="187" t="s">
        <v>59</v>
      </c>
      <c r="L10" s="187">
        <v>4</v>
      </c>
      <c r="M10" s="187">
        <v>1918.34</v>
      </c>
      <c r="N10" s="187">
        <v>3</v>
      </c>
      <c r="O10" s="187">
        <v>1307.46</v>
      </c>
      <c r="P10" s="187">
        <v>44</v>
      </c>
    </row>
    <row r="11" spans="1:16" s="187" customFormat="1" ht="12.75">
      <c r="A11" s="187" t="s">
        <v>54</v>
      </c>
      <c r="B11" s="187" t="s">
        <v>55</v>
      </c>
      <c r="C11" s="187" t="s">
        <v>143</v>
      </c>
      <c r="D11" s="187" t="s">
        <v>143</v>
      </c>
      <c r="E11" s="187" t="s">
        <v>279</v>
      </c>
      <c r="F11" s="187" t="s">
        <v>5</v>
      </c>
      <c r="G11" s="187">
        <v>169153168</v>
      </c>
      <c r="H11" s="187" t="s">
        <v>65</v>
      </c>
      <c r="I11" s="187" t="s">
        <v>58</v>
      </c>
      <c r="J11" s="187" t="s">
        <v>143</v>
      </c>
      <c r="K11" s="187" t="s">
        <v>138</v>
      </c>
      <c r="L11" s="187">
        <v>1</v>
      </c>
      <c r="M11" s="187">
        <v>559.57000000000005</v>
      </c>
      <c r="N11" s="187">
        <v>1</v>
      </c>
      <c r="O11" s="187">
        <v>537.5</v>
      </c>
      <c r="P11" s="187">
        <v>0</v>
      </c>
    </row>
    <row r="12" spans="1:16" s="187" customFormat="1" ht="12.75">
      <c r="A12" s="187" t="s">
        <v>54</v>
      </c>
      <c r="B12" s="187" t="s">
        <v>55</v>
      </c>
      <c r="C12" s="187" t="s">
        <v>143</v>
      </c>
      <c r="D12" s="187" t="s">
        <v>143</v>
      </c>
      <c r="E12" s="187" t="s">
        <v>279</v>
      </c>
      <c r="F12" s="187" t="s">
        <v>5</v>
      </c>
      <c r="G12" s="187">
        <v>169153168</v>
      </c>
      <c r="H12" s="187" t="s">
        <v>65</v>
      </c>
      <c r="I12" s="187" t="s">
        <v>58</v>
      </c>
      <c r="J12" s="187" t="s">
        <v>143</v>
      </c>
      <c r="K12" s="187" t="s">
        <v>61</v>
      </c>
      <c r="L12" s="187">
        <v>4</v>
      </c>
      <c r="M12" s="187">
        <v>1852.87</v>
      </c>
      <c r="N12" s="187">
        <v>5</v>
      </c>
      <c r="O12" s="187">
        <v>2056.85</v>
      </c>
      <c r="P12" s="187">
        <v>58</v>
      </c>
    </row>
    <row r="13" spans="1:16" s="187" customFormat="1" ht="12.75">
      <c r="A13" s="187" t="s">
        <v>54</v>
      </c>
      <c r="B13" s="187" t="s">
        <v>55</v>
      </c>
      <c r="C13" s="187" t="s">
        <v>143</v>
      </c>
      <c r="D13" s="187" t="s">
        <v>143</v>
      </c>
      <c r="E13" s="187" t="s">
        <v>279</v>
      </c>
      <c r="F13" s="187" t="s">
        <v>5</v>
      </c>
      <c r="G13" s="187">
        <v>169153168</v>
      </c>
      <c r="H13" s="187" t="s">
        <v>65</v>
      </c>
      <c r="I13" s="187" t="s">
        <v>58</v>
      </c>
      <c r="J13" s="187" t="s">
        <v>143</v>
      </c>
      <c r="K13" s="187" t="s">
        <v>443</v>
      </c>
      <c r="L13" s="187">
        <v>4</v>
      </c>
      <c r="M13" s="187">
        <v>1772.53</v>
      </c>
      <c r="N13" s="187">
        <v>5</v>
      </c>
      <c r="O13" s="187">
        <v>2072.15</v>
      </c>
      <c r="P13" s="187">
        <v>12</v>
      </c>
    </row>
    <row r="14" spans="1:16" s="187" customFormat="1" ht="12.75">
      <c r="A14" s="187" t="s">
        <v>54</v>
      </c>
      <c r="B14" s="187" t="s">
        <v>55</v>
      </c>
      <c r="C14" s="187" t="s">
        <v>143</v>
      </c>
      <c r="D14" s="187" t="s">
        <v>143</v>
      </c>
      <c r="E14" s="187" t="s">
        <v>279</v>
      </c>
      <c r="F14" s="187" t="s">
        <v>5</v>
      </c>
      <c r="G14" s="187">
        <v>169153168</v>
      </c>
      <c r="H14" s="187" t="s">
        <v>65</v>
      </c>
      <c r="I14" s="187" t="s">
        <v>58</v>
      </c>
      <c r="J14" s="187" t="s">
        <v>143</v>
      </c>
      <c r="K14" s="187" t="s">
        <v>60</v>
      </c>
      <c r="L14" s="187">
        <v>1</v>
      </c>
      <c r="M14" s="187">
        <v>553.5</v>
      </c>
      <c r="N14" s="187">
        <v>2</v>
      </c>
      <c r="O14" s="187">
        <v>816.71</v>
      </c>
      <c r="P14" s="187">
        <v>13</v>
      </c>
    </row>
    <row r="15" spans="1:16" s="187" customFormat="1" ht="12.75">
      <c r="A15" s="187" t="s">
        <v>54</v>
      </c>
      <c r="B15" s="187" t="s">
        <v>55</v>
      </c>
      <c r="C15" s="187" t="s">
        <v>143</v>
      </c>
      <c r="D15" s="187" t="s">
        <v>143</v>
      </c>
      <c r="E15" s="187" t="s">
        <v>279</v>
      </c>
      <c r="F15" s="187" t="s">
        <v>5</v>
      </c>
      <c r="G15" s="187">
        <v>169153168</v>
      </c>
      <c r="H15" s="187" t="s">
        <v>65</v>
      </c>
      <c r="I15" s="187" t="s">
        <v>58</v>
      </c>
      <c r="J15" s="187" t="s">
        <v>143</v>
      </c>
      <c r="K15" s="187" t="s">
        <v>64</v>
      </c>
      <c r="L15" s="187">
        <v>7</v>
      </c>
      <c r="M15" s="187">
        <v>3696.3</v>
      </c>
      <c r="N15" s="187">
        <v>4</v>
      </c>
      <c r="O15" s="187">
        <v>1920.73</v>
      </c>
      <c r="P15" s="187">
        <v>23</v>
      </c>
    </row>
    <row r="16" spans="1:16" s="187" customFormat="1" ht="12.75">
      <c r="A16" s="187" t="s">
        <v>54</v>
      </c>
      <c r="B16" s="187" t="s">
        <v>55</v>
      </c>
      <c r="C16" s="187" t="s">
        <v>143</v>
      </c>
      <c r="D16" s="187" t="s">
        <v>143</v>
      </c>
      <c r="E16" s="187" t="s">
        <v>279</v>
      </c>
      <c r="F16" s="187" t="s">
        <v>5</v>
      </c>
      <c r="G16" s="187">
        <v>169153168</v>
      </c>
      <c r="H16" s="187" t="s">
        <v>65</v>
      </c>
      <c r="I16" s="187" t="s">
        <v>58</v>
      </c>
      <c r="J16" s="187" t="s">
        <v>143</v>
      </c>
      <c r="K16" s="187" t="s">
        <v>67</v>
      </c>
      <c r="L16" s="187">
        <v>0</v>
      </c>
      <c r="M16" s="187">
        <v>0</v>
      </c>
      <c r="N16" s="187">
        <v>0</v>
      </c>
      <c r="O16" s="187">
        <v>0</v>
      </c>
      <c r="P16" s="187">
        <v>5</v>
      </c>
    </row>
    <row r="17" spans="1:16" s="187" customFormat="1" ht="12.75">
      <c r="A17" s="187" t="s">
        <v>54</v>
      </c>
      <c r="B17" s="187" t="s">
        <v>55</v>
      </c>
      <c r="C17" s="187" t="s">
        <v>143</v>
      </c>
      <c r="D17" s="187" t="s">
        <v>143</v>
      </c>
      <c r="E17" s="187" t="s">
        <v>279</v>
      </c>
      <c r="F17" s="187" t="s">
        <v>5</v>
      </c>
      <c r="G17" s="187">
        <v>169153168</v>
      </c>
      <c r="H17" s="187" t="s">
        <v>65</v>
      </c>
      <c r="I17" s="187" t="s">
        <v>58</v>
      </c>
      <c r="J17" s="187" t="s">
        <v>143</v>
      </c>
      <c r="K17" s="187" t="s">
        <v>171</v>
      </c>
      <c r="L17" s="187">
        <v>3</v>
      </c>
      <c r="M17" s="187">
        <v>1420.19</v>
      </c>
      <c r="N17" s="187">
        <v>2</v>
      </c>
      <c r="O17" s="187">
        <v>823.39</v>
      </c>
      <c r="P17" s="187">
        <v>21</v>
      </c>
    </row>
    <row r="18" spans="1:16" s="187" customFormat="1" ht="12.75">
      <c r="A18" s="187" t="s">
        <v>54</v>
      </c>
      <c r="B18" s="187" t="s">
        <v>55</v>
      </c>
      <c r="C18" s="187" t="s">
        <v>143</v>
      </c>
      <c r="D18" s="187" t="s">
        <v>143</v>
      </c>
      <c r="E18" s="187" t="s">
        <v>279</v>
      </c>
      <c r="F18" s="187" t="s">
        <v>5</v>
      </c>
      <c r="G18" s="187">
        <v>169153168</v>
      </c>
      <c r="H18" s="187" t="s">
        <v>65</v>
      </c>
      <c r="I18" s="187" t="s">
        <v>58</v>
      </c>
      <c r="J18" s="187" t="s">
        <v>143</v>
      </c>
      <c r="K18" s="187" t="s">
        <v>63</v>
      </c>
      <c r="L18" s="187">
        <v>8</v>
      </c>
      <c r="M18" s="187">
        <v>3729.45</v>
      </c>
      <c r="N18" s="187">
        <v>7</v>
      </c>
      <c r="O18" s="187">
        <v>3189.87</v>
      </c>
      <c r="P18" s="187">
        <v>8</v>
      </c>
    </row>
    <row r="19" spans="1:16" s="187" customFormat="1" ht="12.75">
      <c r="A19" s="187" t="s">
        <v>54</v>
      </c>
      <c r="B19" s="187" t="s">
        <v>55</v>
      </c>
      <c r="C19" s="187" t="s">
        <v>143</v>
      </c>
      <c r="D19" s="187" t="s">
        <v>143</v>
      </c>
      <c r="E19" s="187" t="s">
        <v>280</v>
      </c>
      <c r="F19" s="187" t="s">
        <v>6</v>
      </c>
      <c r="G19" s="187">
        <v>169395410</v>
      </c>
      <c r="H19" s="187" t="s">
        <v>66</v>
      </c>
      <c r="I19" s="187" t="s">
        <v>58</v>
      </c>
      <c r="J19" s="187" t="s">
        <v>143</v>
      </c>
      <c r="K19" s="187" t="s">
        <v>61</v>
      </c>
      <c r="L19" s="187">
        <v>12</v>
      </c>
      <c r="M19" s="187">
        <v>8836.3700000000008</v>
      </c>
      <c r="N19" s="187">
        <v>10</v>
      </c>
      <c r="O19" s="187">
        <v>6918.42</v>
      </c>
      <c r="P19" s="187">
        <v>26</v>
      </c>
    </row>
    <row r="20" spans="1:16" s="187" customFormat="1" ht="12.75">
      <c r="A20" s="187" t="s">
        <v>54</v>
      </c>
      <c r="B20" s="187" t="s">
        <v>55</v>
      </c>
      <c r="C20" s="187" t="s">
        <v>143</v>
      </c>
      <c r="D20" s="187" t="s">
        <v>143</v>
      </c>
      <c r="E20" s="187" t="s">
        <v>280</v>
      </c>
      <c r="F20" s="187" t="s">
        <v>6</v>
      </c>
      <c r="G20" s="187">
        <v>169395410</v>
      </c>
      <c r="H20" s="187" t="s">
        <v>66</v>
      </c>
      <c r="I20" s="187" t="s">
        <v>58</v>
      </c>
      <c r="J20" s="187" t="s">
        <v>143</v>
      </c>
      <c r="K20" s="187" t="s">
        <v>443</v>
      </c>
      <c r="L20" s="187">
        <v>10</v>
      </c>
      <c r="M20" s="187">
        <v>6914.72</v>
      </c>
      <c r="N20" s="187">
        <v>7</v>
      </c>
      <c r="O20" s="187">
        <v>4441.54</v>
      </c>
      <c r="P20" s="187">
        <v>6</v>
      </c>
    </row>
    <row r="21" spans="1:16" s="187" customFormat="1" ht="12.75">
      <c r="A21" s="187" t="s">
        <v>54</v>
      </c>
      <c r="B21" s="187" t="s">
        <v>55</v>
      </c>
      <c r="C21" s="187" t="s">
        <v>143</v>
      </c>
      <c r="D21" s="187" t="s">
        <v>143</v>
      </c>
      <c r="E21" s="187" t="s">
        <v>280</v>
      </c>
      <c r="F21" s="187" t="s">
        <v>6</v>
      </c>
      <c r="G21" s="187">
        <v>169395410</v>
      </c>
      <c r="H21" s="187" t="s">
        <v>66</v>
      </c>
      <c r="I21" s="187" t="s">
        <v>58</v>
      </c>
      <c r="J21" s="187" t="s">
        <v>143</v>
      </c>
      <c r="K21" s="187" t="s">
        <v>62</v>
      </c>
      <c r="L21" s="187">
        <v>2</v>
      </c>
      <c r="M21" s="187">
        <v>1508.62</v>
      </c>
      <c r="N21" s="187">
        <v>1</v>
      </c>
      <c r="O21" s="187">
        <v>730.89</v>
      </c>
      <c r="P21" s="187">
        <v>0</v>
      </c>
    </row>
    <row r="22" spans="1:16" s="187" customFormat="1" ht="12.75">
      <c r="A22" s="187" t="s">
        <v>54</v>
      </c>
      <c r="B22" s="187" t="s">
        <v>55</v>
      </c>
      <c r="C22" s="187" t="s">
        <v>143</v>
      </c>
      <c r="D22" s="187" t="s">
        <v>143</v>
      </c>
      <c r="E22" s="187" t="s">
        <v>280</v>
      </c>
      <c r="F22" s="187" t="s">
        <v>6</v>
      </c>
      <c r="G22" s="187">
        <v>169395410</v>
      </c>
      <c r="H22" s="187" t="s">
        <v>66</v>
      </c>
      <c r="I22" s="187" t="s">
        <v>58</v>
      </c>
      <c r="J22" s="187" t="s">
        <v>143</v>
      </c>
      <c r="K22" s="187" t="s">
        <v>67</v>
      </c>
      <c r="L22" s="187">
        <v>2</v>
      </c>
      <c r="M22" s="187">
        <v>1200.1400000000001</v>
      </c>
      <c r="N22" s="187">
        <v>2</v>
      </c>
      <c r="O22" s="187">
        <v>1145.55</v>
      </c>
      <c r="P22" s="187">
        <v>15</v>
      </c>
    </row>
    <row r="23" spans="1:16" s="187" customFormat="1" ht="12.75">
      <c r="A23" s="187" t="s">
        <v>54</v>
      </c>
      <c r="B23" s="187" t="s">
        <v>55</v>
      </c>
      <c r="C23" s="187" t="s">
        <v>143</v>
      </c>
      <c r="D23" s="187" t="s">
        <v>143</v>
      </c>
      <c r="E23" s="187" t="s">
        <v>280</v>
      </c>
      <c r="F23" s="187" t="s">
        <v>6</v>
      </c>
      <c r="G23" s="187">
        <v>169395410</v>
      </c>
      <c r="H23" s="187" t="s">
        <v>66</v>
      </c>
      <c r="I23" s="187" t="s">
        <v>58</v>
      </c>
      <c r="J23" s="187" t="s">
        <v>143</v>
      </c>
      <c r="K23" s="187" t="s">
        <v>59</v>
      </c>
      <c r="L23" s="187">
        <v>2</v>
      </c>
      <c r="M23" s="187">
        <v>1345.95</v>
      </c>
      <c r="N23" s="187">
        <v>2</v>
      </c>
      <c r="O23" s="187">
        <v>1293.79</v>
      </c>
      <c r="P23" s="187">
        <v>17</v>
      </c>
    </row>
    <row r="24" spans="1:16" s="187" customFormat="1" ht="12.75">
      <c r="A24" s="187" t="s">
        <v>54</v>
      </c>
      <c r="B24" s="187" t="s">
        <v>55</v>
      </c>
      <c r="C24" s="187" t="s">
        <v>143</v>
      </c>
      <c r="D24" s="187" t="s">
        <v>143</v>
      </c>
      <c r="E24" s="187" t="s">
        <v>280</v>
      </c>
      <c r="F24" s="187" t="s">
        <v>6</v>
      </c>
      <c r="G24" s="187">
        <v>169395410</v>
      </c>
      <c r="H24" s="187" t="s">
        <v>66</v>
      </c>
      <c r="I24" s="187" t="s">
        <v>58</v>
      </c>
      <c r="J24" s="187" t="s">
        <v>143</v>
      </c>
      <c r="K24" s="187" t="s">
        <v>64</v>
      </c>
      <c r="L24" s="187">
        <v>4</v>
      </c>
      <c r="M24" s="187">
        <v>2687.17</v>
      </c>
      <c r="N24" s="187">
        <v>4</v>
      </c>
      <c r="O24" s="187">
        <v>2551.58</v>
      </c>
      <c r="P24" s="187">
        <v>13</v>
      </c>
    </row>
    <row r="25" spans="1:16" s="187" customFormat="1" ht="12.75">
      <c r="A25" s="187" t="s">
        <v>54</v>
      </c>
      <c r="B25" s="187" t="s">
        <v>55</v>
      </c>
      <c r="C25" s="187" t="s">
        <v>143</v>
      </c>
      <c r="D25" s="187" t="s">
        <v>143</v>
      </c>
      <c r="E25" s="187" t="s">
        <v>280</v>
      </c>
      <c r="F25" s="187" t="s">
        <v>6</v>
      </c>
      <c r="G25" s="187">
        <v>169395410</v>
      </c>
      <c r="H25" s="187" t="s">
        <v>66</v>
      </c>
      <c r="I25" s="187" t="s">
        <v>58</v>
      </c>
      <c r="J25" s="187" t="s">
        <v>143</v>
      </c>
      <c r="K25" s="187" t="s">
        <v>60</v>
      </c>
      <c r="L25" s="187">
        <v>2</v>
      </c>
      <c r="M25" s="187">
        <v>1360.12</v>
      </c>
      <c r="N25" s="187">
        <v>1</v>
      </c>
      <c r="O25" s="187">
        <v>771.19</v>
      </c>
      <c r="P25" s="187">
        <v>31</v>
      </c>
    </row>
    <row r="26" spans="1:16" s="187" customFormat="1" ht="12.75">
      <c r="A26" s="187" t="s">
        <v>54</v>
      </c>
      <c r="B26" s="187" t="s">
        <v>55</v>
      </c>
      <c r="C26" s="187" t="s">
        <v>143</v>
      </c>
      <c r="D26" s="187" t="s">
        <v>143</v>
      </c>
      <c r="E26" s="187" t="s">
        <v>280</v>
      </c>
      <c r="F26" s="187" t="s">
        <v>6</v>
      </c>
      <c r="G26" s="187">
        <v>169395410</v>
      </c>
      <c r="H26" s="187" t="s">
        <v>66</v>
      </c>
      <c r="I26" s="187" t="s">
        <v>58</v>
      </c>
      <c r="J26" s="187" t="s">
        <v>143</v>
      </c>
      <c r="K26" s="187" t="s">
        <v>171</v>
      </c>
      <c r="L26" s="187">
        <v>3</v>
      </c>
      <c r="M26" s="187">
        <v>2074.94</v>
      </c>
      <c r="N26" s="187">
        <v>2</v>
      </c>
      <c r="O26" s="187">
        <v>1247.0899999999999</v>
      </c>
      <c r="P26" s="187">
        <v>31</v>
      </c>
    </row>
    <row r="27" spans="1:16" s="187" customFormat="1" ht="12.75">
      <c r="A27" s="187" t="s">
        <v>54</v>
      </c>
      <c r="B27" s="187" t="s">
        <v>55</v>
      </c>
      <c r="C27" s="187" t="s">
        <v>143</v>
      </c>
      <c r="D27" s="187" t="s">
        <v>143</v>
      </c>
      <c r="E27" s="187" t="s">
        <v>280</v>
      </c>
      <c r="F27" s="187" t="s">
        <v>6</v>
      </c>
      <c r="G27" s="187">
        <v>169395410</v>
      </c>
      <c r="H27" s="187" t="s">
        <v>66</v>
      </c>
      <c r="I27" s="187" t="s">
        <v>58</v>
      </c>
      <c r="J27" s="187" t="s">
        <v>143</v>
      </c>
      <c r="K27" s="187" t="s">
        <v>444</v>
      </c>
      <c r="L27" s="187">
        <v>0</v>
      </c>
      <c r="M27" s="187">
        <v>0</v>
      </c>
      <c r="N27" s="187">
        <v>0</v>
      </c>
      <c r="O27" s="187">
        <v>0</v>
      </c>
      <c r="P27" s="187">
        <v>1</v>
      </c>
    </row>
    <row r="28" spans="1:16" s="187" customFormat="1" ht="12.75">
      <c r="A28" s="187" t="s">
        <v>54</v>
      </c>
      <c r="B28" s="187" t="s">
        <v>55</v>
      </c>
      <c r="C28" s="187" t="s">
        <v>143</v>
      </c>
      <c r="D28" s="187" t="s">
        <v>143</v>
      </c>
      <c r="E28" s="187" t="s">
        <v>280</v>
      </c>
      <c r="F28" s="187" t="s">
        <v>6</v>
      </c>
      <c r="G28" s="187">
        <v>169395410</v>
      </c>
      <c r="H28" s="187" t="s">
        <v>66</v>
      </c>
      <c r="I28" s="187" t="s">
        <v>58</v>
      </c>
      <c r="J28" s="187" t="s">
        <v>143</v>
      </c>
      <c r="K28" s="187" t="s">
        <v>63</v>
      </c>
      <c r="L28" s="187">
        <v>6</v>
      </c>
      <c r="M28" s="187">
        <v>4095.39</v>
      </c>
      <c r="N28" s="187">
        <v>2</v>
      </c>
      <c r="O28" s="187">
        <v>1301.08</v>
      </c>
      <c r="P28" s="187">
        <v>30</v>
      </c>
    </row>
    <row r="29" spans="1:16" s="187" customFormat="1" ht="12.75">
      <c r="A29" s="187" t="s">
        <v>54</v>
      </c>
      <c r="B29" s="187" t="s">
        <v>55</v>
      </c>
      <c r="C29" s="187" t="s">
        <v>143</v>
      </c>
      <c r="D29" s="187" t="s">
        <v>143</v>
      </c>
      <c r="E29" s="187" t="s">
        <v>280</v>
      </c>
      <c r="F29" s="187" t="s">
        <v>6</v>
      </c>
      <c r="G29" s="187">
        <v>169395410</v>
      </c>
      <c r="H29" s="187" t="s">
        <v>66</v>
      </c>
      <c r="I29" s="187" t="s">
        <v>58</v>
      </c>
      <c r="J29" s="187" t="s">
        <v>143</v>
      </c>
      <c r="K29" s="187" t="s">
        <v>453</v>
      </c>
      <c r="L29" s="187">
        <v>1</v>
      </c>
      <c r="M29" s="187">
        <v>748.57</v>
      </c>
      <c r="N29" s="187">
        <v>1</v>
      </c>
      <c r="O29" s="187">
        <v>705.29</v>
      </c>
      <c r="P29" s="187">
        <v>0</v>
      </c>
    </row>
    <row r="30" spans="1:16" s="187" customFormat="1" ht="12.75">
      <c r="A30" s="187" t="s">
        <v>68</v>
      </c>
      <c r="B30" s="187" t="s">
        <v>69</v>
      </c>
      <c r="C30" s="187" t="s">
        <v>143</v>
      </c>
      <c r="D30" s="187" t="s">
        <v>143</v>
      </c>
      <c r="E30" s="187" t="s">
        <v>70</v>
      </c>
      <c r="F30" s="187" t="s">
        <v>7</v>
      </c>
      <c r="G30" s="187">
        <v>172832355</v>
      </c>
      <c r="H30" s="187" t="s">
        <v>71</v>
      </c>
      <c r="I30" s="187" t="s">
        <v>58</v>
      </c>
      <c r="J30" s="187" t="s">
        <v>143</v>
      </c>
      <c r="K30" s="187" t="s">
        <v>453</v>
      </c>
      <c r="L30" s="187">
        <v>0</v>
      </c>
      <c r="M30" s="187">
        <v>0</v>
      </c>
      <c r="N30" s="187">
        <v>0</v>
      </c>
      <c r="O30" s="187">
        <v>0</v>
      </c>
      <c r="P30" s="187">
        <v>1</v>
      </c>
    </row>
    <row r="31" spans="1:16" s="187" customFormat="1" ht="12.75">
      <c r="A31" s="187" t="s">
        <v>68</v>
      </c>
      <c r="B31" s="187" t="s">
        <v>69</v>
      </c>
      <c r="C31" s="187" t="s">
        <v>143</v>
      </c>
      <c r="D31" s="187" t="s">
        <v>143</v>
      </c>
      <c r="E31" s="187" t="s">
        <v>70</v>
      </c>
      <c r="F31" s="187" t="s">
        <v>7</v>
      </c>
      <c r="G31" s="187">
        <v>172832355</v>
      </c>
      <c r="H31" s="187" t="s">
        <v>71</v>
      </c>
      <c r="I31" s="187" t="s">
        <v>58</v>
      </c>
      <c r="J31" s="187" t="s">
        <v>143</v>
      </c>
      <c r="K31" s="187" t="s">
        <v>63</v>
      </c>
      <c r="L31" s="187">
        <v>2</v>
      </c>
      <c r="M31" s="187">
        <v>2071.2800000000002</v>
      </c>
      <c r="N31" s="187">
        <v>3</v>
      </c>
      <c r="O31" s="187">
        <v>2856.34</v>
      </c>
      <c r="P31" s="187">
        <v>9</v>
      </c>
    </row>
    <row r="32" spans="1:16" s="187" customFormat="1" ht="12.75">
      <c r="A32" s="187" t="s">
        <v>68</v>
      </c>
      <c r="B32" s="187" t="s">
        <v>69</v>
      </c>
      <c r="C32" s="187" t="s">
        <v>143</v>
      </c>
      <c r="D32" s="187" t="s">
        <v>143</v>
      </c>
      <c r="E32" s="187" t="s">
        <v>70</v>
      </c>
      <c r="F32" s="187" t="s">
        <v>7</v>
      </c>
      <c r="G32" s="187">
        <v>172832355</v>
      </c>
      <c r="H32" s="187" t="s">
        <v>71</v>
      </c>
      <c r="I32" s="187" t="s">
        <v>58</v>
      </c>
      <c r="J32" s="187" t="s">
        <v>143</v>
      </c>
      <c r="K32" s="187" t="s">
        <v>64</v>
      </c>
      <c r="L32" s="187">
        <v>1</v>
      </c>
      <c r="M32" s="187">
        <v>1042.78</v>
      </c>
      <c r="N32" s="187">
        <v>1</v>
      </c>
      <c r="O32" s="187">
        <v>1023.78</v>
      </c>
      <c r="P32" s="187">
        <v>2</v>
      </c>
    </row>
    <row r="33" spans="1:16" s="187" customFormat="1" ht="12.75">
      <c r="A33" s="187" t="s">
        <v>68</v>
      </c>
      <c r="B33" s="187" t="s">
        <v>69</v>
      </c>
      <c r="C33" s="187" t="s">
        <v>143</v>
      </c>
      <c r="D33" s="187" t="s">
        <v>143</v>
      </c>
      <c r="E33" s="187" t="s">
        <v>70</v>
      </c>
      <c r="F33" s="187" t="s">
        <v>7</v>
      </c>
      <c r="G33" s="187">
        <v>172832355</v>
      </c>
      <c r="H33" s="187" t="s">
        <v>71</v>
      </c>
      <c r="I33" s="187" t="s">
        <v>58</v>
      </c>
      <c r="J33" s="187" t="s">
        <v>143</v>
      </c>
      <c r="K33" s="187" t="s">
        <v>171</v>
      </c>
      <c r="L33" s="187">
        <v>1</v>
      </c>
      <c r="M33" s="187">
        <v>1063.8399999999999</v>
      </c>
      <c r="N33" s="187">
        <v>1</v>
      </c>
      <c r="O33" s="187">
        <v>1011.24</v>
      </c>
      <c r="P33" s="187">
        <v>29</v>
      </c>
    </row>
    <row r="34" spans="1:16" s="187" customFormat="1" ht="12.75">
      <c r="A34" s="187" t="s">
        <v>68</v>
      </c>
      <c r="B34" s="187" t="s">
        <v>69</v>
      </c>
      <c r="C34" s="187" t="s">
        <v>143</v>
      </c>
      <c r="D34" s="187" t="s">
        <v>143</v>
      </c>
      <c r="E34" s="187" t="s">
        <v>70</v>
      </c>
      <c r="F34" s="187" t="s">
        <v>7</v>
      </c>
      <c r="G34" s="187">
        <v>172832355</v>
      </c>
      <c r="H34" s="187" t="s">
        <v>71</v>
      </c>
      <c r="I34" s="187" t="s">
        <v>58</v>
      </c>
      <c r="J34" s="187" t="s">
        <v>143</v>
      </c>
      <c r="K34" s="187" t="s">
        <v>60</v>
      </c>
      <c r="L34" s="187">
        <v>0</v>
      </c>
      <c r="M34" s="187">
        <v>0</v>
      </c>
      <c r="N34" s="187">
        <v>0</v>
      </c>
      <c r="O34" s="187">
        <v>0</v>
      </c>
      <c r="P34" s="187">
        <v>26</v>
      </c>
    </row>
    <row r="35" spans="1:16" s="187" customFormat="1" ht="12.75">
      <c r="A35" s="187" t="s">
        <v>68</v>
      </c>
      <c r="B35" s="187" t="s">
        <v>69</v>
      </c>
      <c r="C35" s="187" t="s">
        <v>143</v>
      </c>
      <c r="D35" s="187" t="s">
        <v>143</v>
      </c>
      <c r="E35" s="187" t="s">
        <v>70</v>
      </c>
      <c r="F35" s="187" t="s">
        <v>7</v>
      </c>
      <c r="G35" s="187">
        <v>172832355</v>
      </c>
      <c r="H35" s="187" t="s">
        <v>71</v>
      </c>
      <c r="I35" s="187" t="s">
        <v>58</v>
      </c>
      <c r="J35" s="187" t="s">
        <v>143</v>
      </c>
      <c r="K35" s="187" t="s">
        <v>443</v>
      </c>
      <c r="L35" s="187">
        <v>3</v>
      </c>
      <c r="M35" s="187">
        <v>3142.88</v>
      </c>
      <c r="N35" s="187">
        <v>3</v>
      </c>
      <c r="O35" s="187">
        <v>3028.02</v>
      </c>
      <c r="P35" s="187">
        <v>22</v>
      </c>
    </row>
    <row r="36" spans="1:16" s="187" customFormat="1" ht="12.75">
      <c r="A36" s="187" t="s">
        <v>68</v>
      </c>
      <c r="B36" s="187" t="s">
        <v>69</v>
      </c>
      <c r="C36" s="187" t="s">
        <v>143</v>
      </c>
      <c r="D36" s="187" t="s">
        <v>143</v>
      </c>
      <c r="E36" s="187" t="s">
        <v>70</v>
      </c>
      <c r="F36" s="187" t="s">
        <v>7</v>
      </c>
      <c r="G36" s="187">
        <v>172832355</v>
      </c>
      <c r="H36" s="187" t="s">
        <v>71</v>
      </c>
      <c r="I36" s="187" t="s">
        <v>58</v>
      </c>
      <c r="J36" s="187" t="s">
        <v>143</v>
      </c>
      <c r="K36" s="187" t="s">
        <v>430</v>
      </c>
      <c r="L36" s="187">
        <v>2</v>
      </c>
      <c r="M36" s="187">
        <v>2128.39</v>
      </c>
      <c r="N36" s="187">
        <v>2</v>
      </c>
      <c r="O36" s="187">
        <v>2047.4</v>
      </c>
      <c r="P36" s="187">
        <v>8</v>
      </c>
    </row>
    <row r="37" spans="1:16" s="187" customFormat="1" ht="12.75">
      <c r="A37" s="187" t="s">
        <v>68</v>
      </c>
      <c r="B37" s="187" t="s">
        <v>69</v>
      </c>
      <c r="C37" s="187" t="s">
        <v>143</v>
      </c>
      <c r="D37" s="187" t="s">
        <v>143</v>
      </c>
      <c r="E37" s="187" t="s">
        <v>70</v>
      </c>
      <c r="F37" s="187" t="s">
        <v>7</v>
      </c>
      <c r="G37" s="187">
        <v>172832355</v>
      </c>
      <c r="H37" s="187" t="s">
        <v>71</v>
      </c>
      <c r="I37" s="187" t="s">
        <v>58</v>
      </c>
      <c r="J37" s="187" t="s">
        <v>143</v>
      </c>
      <c r="K37" s="187" t="s">
        <v>67</v>
      </c>
      <c r="L37" s="187">
        <v>2</v>
      </c>
      <c r="M37" s="187">
        <v>2085.38</v>
      </c>
      <c r="N37" s="187">
        <v>2</v>
      </c>
      <c r="O37" s="187">
        <v>1967.76</v>
      </c>
      <c r="P37" s="187">
        <v>0</v>
      </c>
    </row>
    <row r="38" spans="1:16" s="187" customFormat="1" ht="12.75">
      <c r="A38" s="187" t="s">
        <v>68</v>
      </c>
      <c r="B38" s="187" t="s">
        <v>69</v>
      </c>
      <c r="C38" s="187" t="s">
        <v>143</v>
      </c>
      <c r="D38" s="187" t="s">
        <v>143</v>
      </c>
      <c r="E38" s="187" t="s">
        <v>70</v>
      </c>
      <c r="F38" s="187" t="s">
        <v>7</v>
      </c>
      <c r="G38" s="187">
        <v>172832355</v>
      </c>
      <c r="H38" s="187" t="s">
        <v>71</v>
      </c>
      <c r="I38" s="187" t="s">
        <v>58</v>
      </c>
      <c r="J38" s="187" t="s">
        <v>143</v>
      </c>
      <c r="K38" s="187" t="s">
        <v>61</v>
      </c>
      <c r="L38" s="187">
        <v>3</v>
      </c>
      <c r="M38" s="187">
        <v>3149.22</v>
      </c>
      <c r="N38" s="187">
        <v>3</v>
      </c>
      <c r="O38" s="187">
        <v>3028.05</v>
      </c>
      <c r="P38" s="187">
        <v>38</v>
      </c>
    </row>
    <row r="39" spans="1:16" s="187" customFormat="1" ht="12.75">
      <c r="A39" s="187" t="s">
        <v>54</v>
      </c>
      <c r="B39" s="187" t="s">
        <v>72</v>
      </c>
      <c r="C39" s="187" t="s">
        <v>143</v>
      </c>
      <c r="D39" s="187" t="s">
        <v>143</v>
      </c>
      <c r="E39" s="187" t="s">
        <v>73</v>
      </c>
      <c r="F39" s="187" t="s">
        <v>22</v>
      </c>
      <c r="G39" s="187">
        <v>173605843</v>
      </c>
      <c r="H39" s="187" t="s">
        <v>74</v>
      </c>
      <c r="I39" s="187" t="s">
        <v>58</v>
      </c>
      <c r="J39" s="187" t="s">
        <v>143</v>
      </c>
      <c r="K39" s="187" t="s">
        <v>60</v>
      </c>
      <c r="L39" s="187">
        <v>0</v>
      </c>
      <c r="M39" s="187">
        <v>0</v>
      </c>
      <c r="N39" s="187">
        <v>1</v>
      </c>
      <c r="O39" s="187">
        <v>219.11</v>
      </c>
      <c r="P39" s="187">
        <v>82</v>
      </c>
    </row>
    <row r="40" spans="1:16" s="187" customFormat="1" ht="12.75">
      <c r="A40" s="187" t="s">
        <v>54</v>
      </c>
      <c r="B40" s="187" t="s">
        <v>72</v>
      </c>
      <c r="C40" s="187" t="s">
        <v>143</v>
      </c>
      <c r="D40" s="187" t="s">
        <v>143</v>
      </c>
      <c r="E40" s="187" t="s">
        <v>73</v>
      </c>
      <c r="F40" s="187" t="s">
        <v>22</v>
      </c>
      <c r="G40" s="187">
        <v>173605843</v>
      </c>
      <c r="H40" s="187" t="s">
        <v>74</v>
      </c>
      <c r="I40" s="187" t="s">
        <v>58</v>
      </c>
      <c r="J40" s="187" t="s">
        <v>143</v>
      </c>
      <c r="K40" s="187" t="s">
        <v>62</v>
      </c>
      <c r="L40" s="187">
        <v>0</v>
      </c>
      <c r="M40" s="187">
        <v>0</v>
      </c>
      <c r="N40" s="187">
        <v>0</v>
      </c>
      <c r="O40" s="187">
        <v>0</v>
      </c>
      <c r="P40" s="187">
        <v>162</v>
      </c>
    </row>
    <row r="41" spans="1:16" s="187" customFormat="1" ht="12.75">
      <c r="A41" s="187" t="s">
        <v>54</v>
      </c>
      <c r="B41" s="187" t="s">
        <v>72</v>
      </c>
      <c r="C41" s="187" t="s">
        <v>143</v>
      </c>
      <c r="D41" s="187" t="s">
        <v>143</v>
      </c>
      <c r="E41" s="187" t="s">
        <v>73</v>
      </c>
      <c r="F41" s="187" t="s">
        <v>22</v>
      </c>
      <c r="G41" s="187">
        <v>173605843</v>
      </c>
      <c r="H41" s="187" t="s">
        <v>74</v>
      </c>
      <c r="I41" s="187" t="s">
        <v>58</v>
      </c>
      <c r="J41" s="187" t="s">
        <v>143</v>
      </c>
      <c r="K41" s="187" t="s">
        <v>443</v>
      </c>
      <c r="L41" s="187">
        <v>2</v>
      </c>
      <c r="M41" s="187">
        <v>540.66999999999996</v>
      </c>
      <c r="N41" s="187">
        <v>3</v>
      </c>
      <c r="O41" s="187">
        <v>745.86</v>
      </c>
      <c r="P41" s="187">
        <v>41</v>
      </c>
    </row>
    <row r="42" spans="1:16" s="187" customFormat="1" ht="12.75">
      <c r="A42" s="187" t="s">
        <v>54</v>
      </c>
      <c r="B42" s="187" t="s">
        <v>72</v>
      </c>
      <c r="C42" s="187" t="s">
        <v>143</v>
      </c>
      <c r="D42" s="187" t="s">
        <v>143</v>
      </c>
      <c r="E42" s="187" t="s">
        <v>73</v>
      </c>
      <c r="F42" s="187" t="s">
        <v>22</v>
      </c>
      <c r="G42" s="187">
        <v>173605843</v>
      </c>
      <c r="H42" s="187" t="s">
        <v>74</v>
      </c>
      <c r="I42" s="187" t="s">
        <v>58</v>
      </c>
      <c r="J42" s="187" t="s">
        <v>143</v>
      </c>
      <c r="K42" s="187" t="s">
        <v>63</v>
      </c>
      <c r="L42" s="187">
        <v>4</v>
      </c>
      <c r="M42" s="187">
        <v>1066.53</v>
      </c>
      <c r="N42" s="187">
        <v>3</v>
      </c>
      <c r="O42" s="187">
        <v>766.04</v>
      </c>
      <c r="P42" s="187">
        <v>62</v>
      </c>
    </row>
    <row r="43" spans="1:16" s="187" customFormat="1" ht="12.75">
      <c r="A43" s="187" t="s">
        <v>54</v>
      </c>
      <c r="B43" s="187" t="s">
        <v>72</v>
      </c>
      <c r="C43" s="187" t="s">
        <v>143</v>
      </c>
      <c r="D43" s="187" t="s">
        <v>143</v>
      </c>
      <c r="E43" s="187" t="s">
        <v>73</v>
      </c>
      <c r="F43" s="187" t="s">
        <v>22</v>
      </c>
      <c r="G43" s="187">
        <v>173605843</v>
      </c>
      <c r="H43" s="187" t="s">
        <v>74</v>
      </c>
      <c r="I43" s="187" t="s">
        <v>58</v>
      </c>
      <c r="J43" s="187" t="s">
        <v>143</v>
      </c>
      <c r="K43" s="187" t="s">
        <v>59</v>
      </c>
      <c r="L43" s="187">
        <v>0</v>
      </c>
      <c r="M43" s="187">
        <v>0</v>
      </c>
      <c r="N43" s="187">
        <v>0</v>
      </c>
      <c r="O43" s="187">
        <v>0</v>
      </c>
      <c r="P43" s="187">
        <v>142</v>
      </c>
    </row>
    <row r="44" spans="1:16" s="187" customFormat="1" ht="12.75">
      <c r="A44" s="187" t="s">
        <v>54</v>
      </c>
      <c r="B44" s="187" t="s">
        <v>72</v>
      </c>
      <c r="C44" s="187" t="s">
        <v>143</v>
      </c>
      <c r="D44" s="187" t="s">
        <v>143</v>
      </c>
      <c r="E44" s="187" t="s">
        <v>73</v>
      </c>
      <c r="F44" s="187" t="s">
        <v>22</v>
      </c>
      <c r="G44" s="187">
        <v>173605843</v>
      </c>
      <c r="H44" s="187" t="s">
        <v>74</v>
      </c>
      <c r="I44" s="187" t="s">
        <v>58</v>
      </c>
      <c r="J44" s="187" t="s">
        <v>143</v>
      </c>
      <c r="K44" s="187" t="s">
        <v>61</v>
      </c>
      <c r="L44" s="187">
        <v>0</v>
      </c>
      <c r="M44" s="187">
        <v>0</v>
      </c>
      <c r="N44" s="187">
        <v>0</v>
      </c>
      <c r="O44" s="187">
        <v>0</v>
      </c>
      <c r="P44" s="187">
        <v>1</v>
      </c>
    </row>
    <row r="45" spans="1:16" s="187" customFormat="1" ht="12.75">
      <c r="A45" s="187" t="s">
        <v>54</v>
      </c>
      <c r="B45" s="187" t="s">
        <v>72</v>
      </c>
      <c r="C45" s="187" t="s">
        <v>143</v>
      </c>
      <c r="D45" s="187" t="s">
        <v>143</v>
      </c>
      <c r="E45" s="187" t="s">
        <v>73</v>
      </c>
      <c r="F45" s="187" t="s">
        <v>22</v>
      </c>
      <c r="G45" s="187">
        <v>173605843</v>
      </c>
      <c r="H45" s="187" t="s">
        <v>74</v>
      </c>
      <c r="I45" s="187" t="s">
        <v>58</v>
      </c>
      <c r="J45" s="187" t="s">
        <v>143</v>
      </c>
      <c r="K45" s="187" t="s">
        <v>64</v>
      </c>
      <c r="L45" s="187">
        <v>1</v>
      </c>
      <c r="M45" s="187">
        <v>269.89</v>
      </c>
      <c r="N45" s="187">
        <v>1</v>
      </c>
      <c r="O45" s="187">
        <v>254.93</v>
      </c>
      <c r="P45" s="187">
        <v>46</v>
      </c>
    </row>
    <row r="46" spans="1:16" s="187" customFormat="1" ht="12.75">
      <c r="A46" s="187" t="s">
        <v>54</v>
      </c>
      <c r="B46" s="187" t="s">
        <v>72</v>
      </c>
      <c r="C46" s="187" t="s">
        <v>143</v>
      </c>
      <c r="D46" s="187" t="s">
        <v>143</v>
      </c>
      <c r="E46" s="187" t="s">
        <v>73</v>
      </c>
      <c r="F46" s="187" t="s">
        <v>22</v>
      </c>
      <c r="G46" s="187">
        <v>173605843</v>
      </c>
      <c r="H46" s="187" t="s">
        <v>74</v>
      </c>
      <c r="I46" s="187" t="s">
        <v>58</v>
      </c>
      <c r="J46" s="187" t="s">
        <v>143</v>
      </c>
      <c r="K46" s="187" t="s">
        <v>171</v>
      </c>
      <c r="L46" s="187">
        <v>0</v>
      </c>
      <c r="M46" s="187">
        <v>0</v>
      </c>
      <c r="N46" s="187">
        <v>0</v>
      </c>
      <c r="O46" s="187">
        <v>0</v>
      </c>
      <c r="P46" s="187">
        <v>1</v>
      </c>
    </row>
    <row r="47" spans="1:16" s="187" customFormat="1" ht="12.75">
      <c r="A47" s="187" t="s">
        <v>68</v>
      </c>
      <c r="B47" s="187" t="s">
        <v>69</v>
      </c>
      <c r="C47" s="187" t="s">
        <v>143</v>
      </c>
      <c r="D47" s="187" t="s">
        <v>143</v>
      </c>
      <c r="E47" s="187" t="s">
        <v>75</v>
      </c>
      <c r="F47" s="187" t="s">
        <v>8</v>
      </c>
      <c r="G47" s="187">
        <v>176500218</v>
      </c>
      <c r="H47" s="187" t="s">
        <v>76</v>
      </c>
      <c r="I47" s="187" t="s">
        <v>58</v>
      </c>
      <c r="J47" s="187" t="s">
        <v>143</v>
      </c>
      <c r="K47" s="187" t="s">
        <v>171</v>
      </c>
      <c r="L47" s="187">
        <v>4</v>
      </c>
      <c r="M47" s="187">
        <v>1482.75</v>
      </c>
      <c r="N47" s="187">
        <v>5</v>
      </c>
      <c r="O47" s="187">
        <v>1285.18</v>
      </c>
      <c r="P47" s="187">
        <v>51</v>
      </c>
    </row>
    <row r="48" spans="1:16" s="187" customFormat="1" ht="12.75">
      <c r="A48" s="187" t="s">
        <v>68</v>
      </c>
      <c r="B48" s="187" t="s">
        <v>69</v>
      </c>
      <c r="C48" s="187" t="s">
        <v>143</v>
      </c>
      <c r="D48" s="187" t="s">
        <v>143</v>
      </c>
      <c r="E48" s="187" t="s">
        <v>75</v>
      </c>
      <c r="F48" s="187" t="s">
        <v>8</v>
      </c>
      <c r="G48" s="187">
        <v>176500218</v>
      </c>
      <c r="H48" s="187" t="s">
        <v>76</v>
      </c>
      <c r="I48" s="187" t="s">
        <v>58</v>
      </c>
      <c r="J48" s="187" t="s">
        <v>143</v>
      </c>
      <c r="K48" s="187" t="s">
        <v>443</v>
      </c>
      <c r="L48" s="187">
        <v>0</v>
      </c>
      <c r="M48" s="187">
        <v>0</v>
      </c>
      <c r="N48" s="187">
        <v>2</v>
      </c>
      <c r="O48" s="187">
        <v>515.9</v>
      </c>
      <c r="P48" s="187">
        <v>0</v>
      </c>
    </row>
    <row r="49" spans="1:16" s="187" customFormat="1" ht="12.75">
      <c r="A49" s="187" t="s">
        <v>68</v>
      </c>
      <c r="B49" s="187" t="s">
        <v>69</v>
      </c>
      <c r="C49" s="187" t="s">
        <v>143</v>
      </c>
      <c r="D49" s="187" t="s">
        <v>143</v>
      </c>
      <c r="E49" s="187" t="s">
        <v>75</v>
      </c>
      <c r="F49" s="187" t="s">
        <v>8</v>
      </c>
      <c r="G49" s="187">
        <v>176500218</v>
      </c>
      <c r="H49" s="187" t="s">
        <v>76</v>
      </c>
      <c r="I49" s="187" t="s">
        <v>58</v>
      </c>
      <c r="J49" s="187" t="s">
        <v>143</v>
      </c>
      <c r="K49" s="187" t="s">
        <v>63</v>
      </c>
      <c r="L49" s="187">
        <v>7</v>
      </c>
      <c r="M49" s="187">
        <v>2560.5300000000002</v>
      </c>
      <c r="N49" s="187">
        <v>5</v>
      </c>
      <c r="O49" s="187">
        <v>1646.68</v>
      </c>
      <c r="P49" s="187">
        <v>11</v>
      </c>
    </row>
    <row r="50" spans="1:16" s="187" customFormat="1" ht="12.75">
      <c r="A50" s="187" t="s">
        <v>68</v>
      </c>
      <c r="B50" s="187" t="s">
        <v>69</v>
      </c>
      <c r="C50" s="187" t="s">
        <v>143</v>
      </c>
      <c r="D50" s="187" t="s">
        <v>143</v>
      </c>
      <c r="E50" s="187" t="s">
        <v>75</v>
      </c>
      <c r="F50" s="187" t="s">
        <v>8</v>
      </c>
      <c r="G50" s="187">
        <v>176500218</v>
      </c>
      <c r="H50" s="187" t="s">
        <v>76</v>
      </c>
      <c r="I50" s="187" t="s">
        <v>58</v>
      </c>
      <c r="J50" s="187" t="s">
        <v>143</v>
      </c>
      <c r="K50" s="187" t="s">
        <v>430</v>
      </c>
      <c r="L50" s="187">
        <v>1</v>
      </c>
      <c r="M50" s="187">
        <v>422.29</v>
      </c>
      <c r="N50" s="187">
        <v>1</v>
      </c>
      <c r="O50" s="187">
        <v>420.65</v>
      </c>
      <c r="P50" s="187">
        <v>11</v>
      </c>
    </row>
    <row r="51" spans="1:16" s="187" customFormat="1" ht="12.75">
      <c r="A51" s="187" t="s">
        <v>68</v>
      </c>
      <c r="B51" s="187" t="s">
        <v>69</v>
      </c>
      <c r="C51" s="187" t="s">
        <v>143</v>
      </c>
      <c r="D51" s="187" t="s">
        <v>143</v>
      </c>
      <c r="E51" s="187" t="s">
        <v>75</v>
      </c>
      <c r="F51" s="187" t="s">
        <v>8</v>
      </c>
      <c r="G51" s="187">
        <v>176500218</v>
      </c>
      <c r="H51" s="187" t="s">
        <v>76</v>
      </c>
      <c r="I51" s="187" t="s">
        <v>58</v>
      </c>
      <c r="J51" s="187" t="s">
        <v>143</v>
      </c>
      <c r="K51" s="187" t="s">
        <v>60</v>
      </c>
      <c r="L51" s="187">
        <v>3</v>
      </c>
      <c r="M51" s="187">
        <v>900.28</v>
      </c>
      <c r="N51" s="187">
        <v>3</v>
      </c>
      <c r="O51" s="187">
        <v>879.67</v>
      </c>
      <c r="P51" s="187">
        <v>50</v>
      </c>
    </row>
    <row r="52" spans="1:16" s="187" customFormat="1" ht="12.75">
      <c r="A52" s="187" t="s">
        <v>68</v>
      </c>
      <c r="B52" s="187" t="s">
        <v>69</v>
      </c>
      <c r="C52" s="187" t="s">
        <v>143</v>
      </c>
      <c r="D52" s="187" t="s">
        <v>143</v>
      </c>
      <c r="E52" s="187" t="s">
        <v>75</v>
      </c>
      <c r="F52" s="187" t="s">
        <v>8</v>
      </c>
      <c r="G52" s="187">
        <v>176500218</v>
      </c>
      <c r="H52" s="187" t="s">
        <v>76</v>
      </c>
      <c r="I52" s="187" t="s">
        <v>58</v>
      </c>
      <c r="J52" s="187" t="s">
        <v>143</v>
      </c>
      <c r="K52" s="187" t="s">
        <v>61</v>
      </c>
      <c r="L52" s="187">
        <v>8</v>
      </c>
      <c r="M52" s="187">
        <v>2631.74</v>
      </c>
      <c r="N52" s="187">
        <v>9</v>
      </c>
      <c r="O52" s="187">
        <v>2760.21</v>
      </c>
      <c r="P52" s="187">
        <v>170</v>
      </c>
    </row>
    <row r="53" spans="1:16" s="187" customFormat="1" ht="12.75">
      <c r="A53" s="187" t="s">
        <v>68</v>
      </c>
      <c r="B53" s="187" t="s">
        <v>69</v>
      </c>
      <c r="C53" s="187" t="s">
        <v>143</v>
      </c>
      <c r="D53" s="187" t="s">
        <v>143</v>
      </c>
      <c r="E53" s="187" t="s">
        <v>75</v>
      </c>
      <c r="F53" s="187" t="s">
        <v>8</v>
      </c>
      <c r="G53" s="187">
        <v>176500218</v>
      </c>
      <c r="H53" s="187" t="s">
        <v>76</v>
      </c>
      <c r="I53" s="187" t="s">
        <v>58</v>
      </c>
      <c r="J53" s="187" t="s">
        <v>143</v>
      </c>
      <c r="K53" s="187" t="s">
        <v>64</v>
      </c>
      <c r="L53" s="187">
        <v>0</v>
      </c>
      <c r="M53" s="187">
        <v>0</v>
      </c>
      <c r="N53" s="187">
        <v>1</v>
      </c>
      <c r="O53" s="187">
        <v>286.77</v>
      </c>
      <c r="P53" s="187">
        <v>0</v>
      </c>
    </row>
    <row r="54" spans="1:16" s="187" customFormat="1" ht="12.75">
      <c r="A54" s="187" t="s">
        <v>68</v>
      </c>
      <c r="B54" s="187" t="s">
        <v>69</v>
      </c>
      <c r="C54" s="187" t="s">
        <v>143</v>
      </c>
      <c r="D54" s="187" t="s">
        <v>143</v>
      </c>
      <c r="E54" s="187" t="s">
        <v>75</v>
      </c>
      <c r="F54" s="187" t="s">
        <v>8</v>
      </c>
      <c r="G54" s="187">
        <v>176500218</v>
      </c>
      <c r="H54" s="187" t="s">
        <v>76</v>
      </c>
      <c r="I54" s="187" t="s">
        <v>58</v>
      </c>
      <c r="J54" s="187" t="s">
        <v>143</v>
      </c>
      <c r="K54" s="187" t="s">
        <v>62</v>
      </c>
      <c r="L54" s="187">
        <v>7</v>
      </c>
      <c r="M54" s="187">
        <v>2086.15</v>
      </c>
      <c r="N54" s="187">
        <v>8</v>
      </c>
      <c r="O54" s="187">
        <v>2227.6999999999998</v>
      </c>
      <c r="P54" s="187">
        <v>20</v>
      </c>
    </row>
    <row r="55" spans="1:16" s="187" customFormat="1" ht="12.75">
      <c r="A55" s="187" t="s">
        <v>68</v>
      </c>
      <c r="B55" s="187" t="s">
        <v>69</v>
      </c>
      <c r="C55" s="187" t="s">
        <v>143</v>
      </c>
      <c r="D55" s="187" t="s">
        <v>143</v>
      </c>
      <c r="E55" s="187" t="s">
        <v>77</v>
      </c>
      <c r="F55" s="187" t="s">
        <v>11</v>
      </c>
      <c r="G55" s="187">
        <v>176721350</v>
      </c>
      <c r="H55" s="187" t="s">
        <v>78</v>
      </c>
      <c r="I55" s="187" t="s">
        <v>58</v>
      </c>
      <c r="J55" s="187" t="s">
        <v>143</v>
      </c>
      <c r="K55" s="187" t="s">
        <v>360</v>
      </c>
      <c r="L55" s="187">
        <v>0</v>
      </c>
      <c r="M55" s="187">
        <v>0</v>
      </c>
      <c r="N55" s="187">
        <v>0</v>
      </c>
      <c r="O55" s="187">
        <v>0</v>
      </c>
      <c r="P55" s="187">
        <v>1</v>
      </c>
    </row>
    <row r="56" spans="1:16" s="187" customFormat="1" ht="12.75">
      <c r="A56" s="187" t="s">
        <v>68</v>
      </c>
      <c r="B56" s="187" t="s">
        <v>69</v>
      </c>
      <c r="C56" s="187" t="s">
        <v>143</v>
      </c>
      <c r="D56" s="187" t="s">
        <v>143</v>
      </c>
      <c r="E56" s="187" t="s">
        <v>77</v>
      </c>
      <c r="F56" s="187" t="s">
        <v>11</v>
      </c>
      <c r="G56" s="187">
        <v>176721350</v>
      </c>
      <c r="H56" s="187" t="s">
        <v>78</v>
      </c>
      <c r="I56" s="187" t="s">
        <v>58</v>
      </c>
      <c r="J56" s="187" t="s">
        <v>143</v>
      </c>
      <c r="K56" s="187" t="s">
        <v>171</v>
      </c>
      <c r="L56" s="187">
        <v>0</v>
      </c>
      <c r="M56" s="187">
        <v>0</v>
      </c>
      <c r="N56" s="187">
        <v>0</v>
      </c>
      <c r="O56" s="187">
        <v>0</v>
      </c>
      <c r="P56" s="187">
        <v>48</v>
      </c>
    </row>
    <row r="57" spans="1:16" s="187" customFormat="1" ht="12.75">
      <c r="A57" s="187" t="s">
        <v>68</v>
      </c>
      <c r="B57" s="187" t="s">
        <v>69</v>
      </c>
      <c r="C57" s="187" t="s">
        <v>143</v>
      </c>
      <c r="D57" s="187" t="s">
        <v>143</v>
      </c>
      <c r="E57" s="187" t="s">
        <v>77</v>
      </c>
      <c r="F57" s="187" t="s">
        <v>11</v>
      </c>
      <c r="G57" s="187">
        <v>176721350</v>
      </c>
      <c r="H57" s="187" t="s">
        <v>78</v>
      </c>
      <c r="I57" s="187" t="s">
        <v>58</v>
      </c>
      <c r="J57" s="187" t="s">
        <v>143</v>
      </c>
      <c r="K57" s="187" t="s">
        <v>64</v>
      </c>
      <c r="L57" s="187">
        <v>2</v>
      </c>
      <c r="M57" s="187">
        <v>1132.22</v>
      </c>
      <c r="N57" s="187">
        <v>2</v>
      </c>
      <c r="O57" s="187">
        <v>889.7</v>
      </c>
      <c r="P57" s="187">
        <v>7</v>
      </c>
    </row>
    <row r="58" spans="1:16" s="187" customFormat="1" ht="12.75">
      <c r="A58" s="187" t="s">
        <v>68</v>
      </c>
      <c r="B58" s="187" t="s">
        <v>69</v>
      </c>
      <c r="C58" s="187" t="s">
        <v>143</v>
      </c>
      <c r="D58" s="187" t="s">
        <v>143</v>
      </c>
      <c r="E58" s="187" t="s">
        <v>77</v>
      </c>
      <c r="F58" s="187" t="s">
        <v>11</v>
      </c>
      <c r="G58" s="187">
        <v>176721350</v>
      </c>
      <c r="H58" s="187" t="s">
        <v>78</v>
      </c>
      <c r="I58" s="187" t="s">
        <v>58</v>
      </c>
      <c r="J58" s="187" t="s">
        <v>143</v>
      </c>
      <c r="K58" s="187" t="s">
        <v>443</v>
      </c>
      <c r="L58" s="187">
        <v>2</v>
      </c>
      <c r="M58" s="187">
        <v>1039.8699999999999</v>
      </c>
      <c r="N58" s="187">
        <v>1</v>
      </c>
      <c r="O58" s="187">
        <v>455.92</v>
      </c>
      <c r="P58" s="187">
        <v>24</v>
      </c>
    </row>
    <row r="59" spans="1:16" s="187" customFormat="1" ht="12.75">
      <c r="A59" s="187" t="s">
        <v>68</v>
      </c>
      <c r="B59" s="187" t="s">
        <v>69</v>
      </c>
      <c r="C59" s="187" t="s">
        <v>143</v>
      </c>
      <c r="D59" s="187" t="s">
        <v>143</v>
      </c>
      <c r="E59" s="187" t="s">
        <v>77</v>
      </c>
      <c r="F59" s="187" t="s">
        <v>11</v>
      </c>
      <c r="G59" s="187">
        <v>176721350</v>
      </c>
      <c r="H59" s="187" t="s">
        <v>78</v>
      </c>
      <c r="I59" s="187" t="s">
        <v>58</v>
      </c>
      <c r="J59" s="187" t="s">
        <v>143</v>
      </c>
      <c r="K59" s="187" t="s">
        <v>60</v>
      </c>
      <c r="L59" s="187">
        <v>0</v>
      </c>
      <c r="M59" s="187">
        <v>0</v>
      </c>
      <c r="N59" s="187">
        <v>0</v>
      </c>
      <c r="O59" s="187">
        <v>0</v>
      </c>
      <c r="P59" s="187">
        <v>27</v>
      </c>
    </row>
    <row r="60" spans="1:16" s="187" customFormat="1" ht="12.75">
      <c r="A60" s="187" t="s">
        <v>68</v>
      </c>
      <c r="B60" s="187" t="s">
        <v>69</v>
      </c>
      <c r="C60" s="187" t="s">
        <v>143</v>
      </c>
      <c r="D60" s="187" t="s">
        <v>143</v>
      </c>
      <c r="E60" s="187" t="s">
        <v>77</v>
      </c>
      <c r="F60" s="187" t="s">
        <v>11</v>
      </c>
      <c r="G60" s="187">
        <v>176721350</v>
      </c>
      <c r="H60" s="187" t="s">
        <v>78</v>
      </c>
      <c r="I60" s="187" t="s">
        <v>58</v>
      </c>
      <c r="J60" s="187" t="s">
        <v>143</v>
      </c>
      <c r="K60" s="187" t="s">
        <v>61</v>
      </c>
      <c r="L60" s="187">
        <v>6</v>
      </c>
      <c r="M60" s="187">
        <v>2891.75</v>
      </c>
      <c r="N60" s="187">
        <v>5</v>
      </c>
      <c r="O60" s="187">
        <v>2308.81</v>
      </c>
      <c r="P60" s="187">
        <v>85</v>
      </c>
    </row>
    <row r="61" spans="1:16" s="187" customFormat="1" ht="12.75">
      <c r="A61" s="187" t="s">
        <v>68</v>
      </c>
      <c r="B61" s="187" t="s">
        <v>69</v>
      </c>
      <c r="C61" s="187" t="s">
        <v>143</v>
      </c>
      <c r="D61" s="187" t="s">
        <v>143</v>
      </c>
      <c r="E61" s="187" t="s">
        <v>77</v>
      </c>
      <c r="F61" s="187" t="s">
        <v>11</v>
      </c>
      <c r="G61" s="187">
        <v>176721350</v>
      </c>
      <c r="H61" s="187" t="s">
        <v>78</v>
      </c>
      <c r="I61" s="187" t="s">
        <v>58</v>
      </c>
      <c r="J61" s="187" t="s">
        <v>143</v>
      </c>
      <c r="K61" s="187" t="s">
        <v>62</v>
      </c>
      <c r="L61" s="187">
        <v>0</v>
      </c>
      <c r="M61" s="187">
        <v>0</v>
      </c>
      <c r="N61" s="187">
        <v>1</v>
      </c>
      <c r="O61" s="187">
        <v>361.57</v>
      </c>
      <c r="P61" s="187">
        <v>0</v>
      </c>
    </row>
    <row r="62" spans="1:16" s="187" customFormat="1" ht="12.75">
      <c r="A62" s="187" t="s">
        <v>68</v>
      </c>
      <c r="B62" s="187" t="s">
        <v>69</v>
      </c>
      <c r="C62" s="187" t="s">
        <v>143</v>
      </c>
      <c r="D62" s="187" t="s">
        <v>143</v>
      </c>
      <c r="E62" s="187" t="s">
        <v>77</v>
      </c>
      <c r="F62" s="187" t="s">
        <v>11</v>
      </c>
      <c r="G62" s="187">
        <v>176721350</v>
      </c>
      <c r="H62" s="187" t="s">
        <v>78</v>
      </c>
      <c r="I62" s="187" t="s">
        <v>58</v>
      </c>
      <c r="J62" s="187" t="s">
        <v>143</v>
      </c>
      <c r="K62" s="187" t="s">
        <v>67</v>
      </c>
      <c r="L62" s="187">
        <v>1</v>
      </c>
      <c r="M62" s="187">
        <v>591.49</v>
      </c>
      <c r="N62" s="187">
        <v>1</v>
      </c>
      <c r="O62" s="187">
        <v>551.67999999999995</v>
      </c>
      <c r="P62" s="187">
        <v>0</v>
      </c>
    </row>
    <row r="63" spans="1:16" s="187" customFormat="1" ht="12.75">
      <c r="A63" s="187" t="s">
        <v>68</v>
      </c>
      <c r="B63" s="187" t="s">
        <v>69</v>
      </c>
      <c r="C63" s="187" t="s">
        <v>143</v>
      </c>
      <c r="D63" s="187" t="s">
        <v>143</v>
      </c>
      <c r="E63" s="187" t="s">
        <v>77</v>
      </c>
      <c r="F63" s="187" t="s">
        <v>11</v>
      </c>
      <c r="G63" s="187">
        <v>176721350</v>
      </c>
      <c r="H63" s="187" t="s">
        <v>78</v>
      </c>
      <c r="I63" s="187" t="s">
        <v>58</v>
      </c>
      <c r="J63" s="187" t="s">
        <v>143</v>
      </c>
      <c r="K63" s="187" t="s">
        <v>63</v>
      </c>
      <c r="L63" s="187">
        <v>7</v>
      </c>
      <c r="M63" s="187">
        <v>3646.95</v>
      </c>
      <c r="N63" s="187">
        <v>6</v>
      </c>
      <c r="O63" s="187">
        <v>3037.34</v>
      </c>
      <c r="P63" s="187">
        <v>49</v>
      </c>
    </row>
    <row r="64" spans="1:16" s="187" customFormat="1" ht="12.75">
      <c r="A64" s="187" t="s">
        <v>68</v>
      </c>
      <c r="B64" s="187" t="s">
        <v>69</v>
      </c>
      <c r="C64" s="187" t="s">
        <v>143</v>
      </c>
      <c r="D64" s="187" t="s">
        <v>143</v>
      </c>
      <c r="E64" s="187" t="s">
        <v>79</v>
      </c>
      <c r="F64" s="187" t="s">
        <v>12</v>
      </c>
      <c r="G64" s="187">
        <v>176723275</v>
      </c>
      <c r="H64" s="187" t="s">
        <v>80</v>
      </c>
      <c r="I64" s="187" t="s">
        <v>58</v>
      </c>
      <c r="J64" s="187" t="s">
        <v>143</v>
      </c>
      <c r="K64" s="187" t="s">
        <v>95</v>
      </c>
      <c r="L64" s="187">
        <v>0</v>
      </c>
      <c r="M64" s="187">
        <v>0</v>
      </c>
      <c r="N64" s="187">
        <v>1</v>
      </c>
      <c r="O64" s="187">
        <v>462.7</v>
      </c>
      <c r="P64" s="187">
        <v>0</v>
      </c>
    </row>
    <row r="65" spans="1:16" s="187" customFormat="1" ht="12.75">
      <c r="A65" s="187" t="s">
        <v>68</v>
      </c>
      <c r="B65" s="187" t="s">
        <v>69</v>
      </c>
      <c r="C65" s="187" t="s">
        <v>143</v>
      </c>
      <c r="D65" s="187" t="s">
        <v>143</v>
      </c>
      <c r="E65" s="187" t="s">
        <v>79</v>
      </c>
      <c r="F65" s="187" t="s">
        <v>12</v>
      </c>
      <c r="G65" s="187">
        <v>176723275</v>
      </c>
      <c r="H65" s="187" t="s">
        <v>80</v>
      </c>
      <c r="I65" s="187" t="s">
        <v>58</v>
      </c>
      <c r="J65" s="187" t="s">
        <v>143</v>
      </c>
      <c r="K65" s="187" t="s">
        <v>171</v>
      </c>
      <c r="L65" s="187">
        <v>16</v>
      </c>
      <c r="M65" s="187">
        <v>9457.85</v>
      </c>
      <c r="N65" s="187">
        <v>14</v>
      </c>
      <c r="O65" s="187">
        <v>7978.99</v>
      </c>
      <c r="P65" s="187">
        <v>14</v>
      </c>
    </row>
    <row r="66" spans="1:16" s="187" customFormat="1" ht="12.75">
      <c r="A66" s="187" t="s">
        <v>68</v>
      </c>
      <c r="B66" s="187" t="s">
        <v>69</v>
      </c>
      <c r="C66" s="187" t="s">
        <v>143</v>
      </c>
      <c r="D66" s="187" t="s">
        <v>143</v>
      </c>
      <c r="E66" s="187" t="s">
        <v>79</v>
      </c>
      <c r="F66" s="187" t="s">
        <v>12</v>
      </c>
      <c r="G66" s="187">
        <v>176723275</v>
      </c>
      <c r="H66" s="187" t="s">
        <v>80</v>
      </c>
      <c r="I66" s="187" t="s">
        <v>58</v>
      </c>
      <c r="J66" s="187" t="s">
        <v>143</v>
      </c>
      <c r="K66" s="187" t="s">
        <v>443</v>
      </c>
      <c r="L66" s="187">
        <v>1</v>
      </c>
      <c r="M66" s="187">
        <v>589.38</v>
      </c>
      <c r="N66" s="187">
        <v>1</v>
      </c>
      <c r="O66" s="187">
        <v>567.05999999999995</v>
      </c>
      <c r="P66" s="187">
        <v>0</v>
      </c>
    </row>
    <row r="67" spans="1:16" s="187" customFormat="1" ht="12.75">
      <c r="A67" s="187" t="s">
        <v>68</v>
      </c>
      <c r="B67" s="187" t="s">
        <v>69</v>
      </c>
      <c r="C67" s="187" t="s">
        <v>143</v>
      </c>
      <c r="D67" s="187" t="s">
        <v>143</v>
      </c>
      <c r="E67" s="187" t="s">
        <v>79</v>
      </c>
      <c r="F67" s="187" t="s">
        <v>12</v>
      </c>
      <c r="G67" s="187">
        <v>176723275</v>
      </c>
      <c r="H67" s="187" t="s">
        <v>80</v>
      </c>
      <c r="I67" s="187" t="s">
        <v>58</v>
      </c>
      <c r="J67" s="187" t="s">
        <v>143</v>
      </c>
      <c r="K67" s="187" t="s">
        <v>62</v>
      </c>
      <c r="L67" s="187">
        <v>1</v>
      </c>
      <c r="M67" s="187">
        <v>581.62</v>
      </c>
      <c r="N67" s="187">
        <v>1</v>
      </c>
      <c r="O67" s="187">
        <v>553.66999999999996</v>
      </c>
      <c r="P67" s="187">
        <v>0</v>
      </c>
    </row>
    <row r="68" spans="1:16" s="187" customFormat="1" ht="12.75">
      <c r="A68" s="187" t="s">
        <v>68</v>
      </c>
      <c r="B68" s="187" t="s">
        <v>69</v>
      </c>
      <c r="C68" s="187" t="s">
        <v>143</v>
      </c>
      <c r="D68" s="187" t="s">
        <v>143</v>
      </c>
      <c r="E68" s="187" t="s">
        <v>79</v>
      </c>
      <c r="F68" s="187" t="s">
        <v>12</v>
      </c>
      <c r="G68" s="187">
        <v>176723275</v>
      </c>
      <c r="H68" s="187" t="s">
        <v>80</v>
      </c>
      <c r="I68" s="187" t="s">
        <v>58</v>
      </c>
      <c r="J68" s="187" t="s">
        <v>143</v>
      </c>
      <c r="K68" s="187" t="s">
        <v>61</v>
      </c>
      <c r="L68" s="187">
        <v>31</v>
      </c>
      <c r="M68" s="187">
        <v>17972.04</v>
      </c>
      <c r="N68" s="187">
        <v>31</v>
      </c>
      <c r="O68" s="187">
        <v>16804.29</v>
      </c>
      <c r="P68" s="187">
        <v>4</v>
      </c>
    </row>
    <row r="69" spans="1:16" s="187" customFormat="1" ht="12.75">
      <c r="A69" s="187" t="s">
        <v>68</v>
      </c>
      <c r="B69" s="187" t="s">
        <v>69</v>
      </c>
      <c r="C69" s="187" t="s">
        <v>143</v>
      </c>
      <c r="D69" s="187" t="s">
        <v>143</v>
      </c>
      <c r="E69" s="187" t="s">
        <v>79</v>
      </c>
      <c r="F69" s="187" t="s">
        <v>12</v>
      </c>
      <c r="G69" s="187">
        <v>176723275</v>
      </c>
      <c r="H69" s="187" t="s">
        <v>80</v>
      </c>
      <c r="I69" s="187" t="s">
        <v>58</v>
      </c>
      <c r="J69" s="187" t="s">
        <v>143</v>
      </c>
      <c r="K69" s="187" t="s">
        <v>67</v>
      </c>
      <c r="L69" s="187">
        <v>1</v>
      </c>
      <c r="M69" s="187">
        <v>591.49</v>
      </c>
      <c r="N69" s="187">
        <v>0</v>
      </c>
      <c r="O69" s="187">
        <v>0</v>
      </c>
      <c r="P69" s="187">
        <v>0</v>
      </c>
    </row>
    <row r="70" spans="1:16" s="187" customFormat="1" ht="12.75">
      <c r="A70" s="187" t="s">
        <v>68</v>
      </c>
      <c r="B70" s="187" t="s">
        <v>69</v>
      </c>
      <c r="C70" s="187" t="s">
        <v>143</v>
      </c>
      <c r="D70" s="187" t="s">
        <v>143</v>
      </c>
      <c r="E70" s="187" t="s">
        <v>79</v>
      </c>
      <c r="F70" s="187" t="s">
        <v>12</v>
      </c>
      <c r="G70" s="187">
        <v>176723275</v>
      </c>
      <c r="H70" s="187" t="s">
        <v>80</v>
      </c>
      <c r="I70" s="187" t="s">
        <v>58</v>
      </c>
      <c r="J70" s="187" t="s">
        <v>143</v>
      </c>
      <c r="K70" s="187" t="s">
        <v>60</v>
      </c>
      <c r="L70" s="187">
        <v>11</v>
      </c>
      <c r="M70" s="187">
        <v>6635.08</v>
      </c>
      <c r="N70" s="187">
        <v>11</v>
      </c>
      <c r="O70" s="187">
        <v>6243.73</v>
      </c>
      <c r="P70" s="187">
        <v>15</v>
      </c>
    </row>
    <row r="71" spans="1:16" s="187" customFormat="1" ht="12.75">
      <c r="A71" s="187" t="s">
        <v>68</v>
      </c>
      <c r="B71" s="187" t="s">
        <v>69</v>
      </c>
      <c r="C71" s="187" t="s">
        <v>143</v>
      </c>
      <c r="D71" s="187" t="s">
        <v>143</v>
      </c>
      <c r="E71" s="187" t="s">
        <v>81</v>
      </c>
      <c r="F71" s="187" t="s">
        <v>9</v>
      </c>
      <c r="G71" s="187">
        <v>177404837</v>
      </c>
      <c r="H71" s="187" t="s">
        <v>82</v>
      </c>
      <c r="I71" s="187" t="s">
        <v>58</v>
      </c>
      <c r="J71" s="187" t="s">
        <v>143</v>
      </c>
      <c r="K71" s="187" t="s">
        <v>60</v>
      </c>
      <c r="L71" s="187">
        <v>0</v>
      </c>
      <c r="M71" s="187">
        <v>0</v>
      </c>
      <c r="N71" s="187">
        <v>0</v>
      </c>
      <c r="O71" s="187">
        <v>0</v>
      </c>
      <c r="P71" s="187">
        <v>43</v>
      </c>
    </row>
    <row r="72" spans="1:16" s="187" customFormat="1" ht="12.75">
      <c r="A72" s="187" t="s">
        <v>68</v>
      </c>
      <c r="B72" s="187" t="s">
        <v>69</v>
      </c>
      <c r="C72" s="187" t="s">
        <v>143</v>
      </c>
      <c r="D72" s="187" t="s">
        <v>143</v>
      </c>
      <c r="E72" s="187" t="s">
        <v>81</v>
      </c>
      <c r="F72" s="187" t="s">
        <v>9</v>
      </c>
      <c r="G72" s="187">
        <v>177404837</v>
      </c>
      <c r="H72" s="187" t="s">
        <v>82</v>
      </c>
      <c r="I72" s="187" t="s">
        <v>58</v>
      </c>
      <c r="J72" s="187" t="s">
        <v>143</v>
      </c>
      <c r="K72" s="187" t="s">
        <v>61</v>
      </c>
      <c r="L72" s="187">
        <v>1</v>
      </c>
      <c r="M72" s="187">
        <v>626.74</v>
      </c>
      <c r="N72" s="187">
        <v>1</v>
      </c>
      <c r="O72" s="187">
        <v>601.87</v>
      </c>
      <c r="P72" s="187">
        <v>29</v>
      </c>
    </row>
    <row r="73" spans="1:16" s="187" customFormat="1" ht="12.75">
      <c r="A73" s="187" t="s">
        <v>68</v>
      </c>
      <c r="B73" s="187" t="s">
        <v>69</v>
      </c>
      <c r="C73" s="187" t="s">
        <v>143</v>
      </c>
      <c r="D73" s="187" t="s">
        <v>143</v>
      </c>
      <c r="E73" s="187" t="s">
        <v>81</v>
      </c>
      <c r="F73" s="187" t="s">
        <v>9</v>
      </c>
      <c r="G73" s="187">
        <v>177404837</v>
      </c>
      <c r="H73" s="187" t="s">
        <v>82</v>
      </c>
      <c r="I73" s="187" t="s">
        <v>58</v>
      </c>
      <c r="J73" s="187" t="s">
        <v>143</v>
      </c>
      <c r="K73" s="187" t="s">
        <v>443</v>
      </c>
      <c r="L73" s="187">
        <v>1</v>
      </c>
      <c r="M73" s="187">
        <v>642.96</v>
      </c>
      <c r="N73" s="187">
        <v>1</v>
      </c>
      <c r="O73" s="187">
        <v>619.64</v>
      </c>
      <c r="P73" s="187">
        <v>4</v>
      </c>
    </row>
    <row r="74" spans="1:16" s="187" customFormat="1" ht="12.75">
      <c r="A74" s="187" t="s">
        <v>68</v>
      </c>
      <c r="B74" s="187" t="s">
        <v>69</v>
      </c>
      <c r="C74" s="187" t="s">
        <v>143</v>
      </c>
      <c r="D74" s="187" t="s">
        <v>143</v>
      </c>
      <c r="E74" s="187" t="s">
        <v>81</v>
      </c>
      <c r="F74" s="187" t="s">
        <v>9</v>
      </c>
      <c r="G74" s="187">
        <v>177404837</v>
      </c>
      <c r="H74" s="187" t="s">
        <v>82</v>
      </c>
      <c r="I74" s="187" t="s">
        <v>58</v>
      </c>
      <c r="J74" s="187" t="s">
        <v>143</v>
      </c>
      <c r="K74" s="187" t="s">
        <v>163</v>
      </c>
      <c r="L74" s="187">
        <v>1</v>
      </c>
      <c r="M74" s="187">
        <v>626.74</v>
      </c>
      <c r="N74" s="187">
        <v>1</v>
      </c>
      <c r="O74" s="187">
        <v>589.37</v>
      </c>
      <c r="P74" s="187">
        <v>0</v>
      </c>
    </row>
    <row r="75" spans="1:16" s="187" customFormat="1" ht="12.75">
      <c r="A75" s="187" t="s">
        <v>68</v>
      </c>
      <c r="B75" s="187" t="s">
        <v>69</v>
      </c>
      <c r="C75" s="187" t="s">
        <v>143</v>
      </c>
      <c r="D75" s="187" t="s">
        <v>143</v>
      </c>
      <c r="E75" s="187" t="s">
        <v>81</v>
      </c>
      <c r="F75" s="187" t="s">
        <v>9</v>
      </c>
      <c r="G75" s="187">
        <v>177404837</v>
      </c>
      <c r="H75" s="187" t="s">
        <v>82</v>
      </c>
      <c r="I75" s="187" t="s">
        <v>58</v>
      </c>
      <c r="J75" s="187" t="s">
        <v>143</v>
      </c>
      <c r="K75" s="187" t="s">
        <v>63</v>
      </c>
      <c r="L75" s="187">
        <v>1</v>
      </c>
      <c r="M75" s="187">
        <v>606.29999999999995</v>
      </c>
      <c r="N75" s="187">
        <v>1</v>
      </c>
      <c r="O75" s="187">
        <v>565.24</v>
      </c>
      <c r="P75" s="187">
        <v>10</v>
      </c>
    </row>
    <row r="76" spans="1:16" s="187" customFormat="1" ht="12.75">
      <c r="A76" s="187" t="s">
        <v>68</v>
      </c>
      <c r="B76" s="187" t="s">
        <v>69</v>
      </c>
      <c r="C76" s="187" t="s">
        <v>143</v>
      </c>
      <c r="D76" s="187" t="s">
        <v>143</v>
      </c>
      <c r="E76" s="187" t="s">
        <v>81</v>
      </c>
      <c r="F76" s="187" t="s">
        <v>9</v>
      </c>
      <c r="G76" s="187">
        <v>177404837</v>
      </c>
      <c r="H76" s="187" t="s">
        <v>82</v>
      </c>
      <c r="I76" s="187" t="s">
        <v>58</v>
      </c>
      <c r="J76" s="187" t="s">
        <v>143</v>
      </c>
      <c r="K76" s="187" t="s">
        <v>171</v>
      </c>
      <c r="L76" s="187">
        <v>1</v>
      </c>
      <c r="M76" s="187">
        <v>643.33000000000004</v>
      </c>
      <c r="N76" s="187">
        <v>1</v>
      </c>
      <c r="O76" s="187">
        <v>620.07000000000005</v>
      </c>
      <c r="P76" s="187">
        <v>44</v>
      </c>
    </row>
    <row r="77" spans="1:16" s="187" customFormat="1" ht="12.75">
      <c r="A77" s="187" t="s">
        <v>68</v>
      </c>
      <c r="B77" s="187" t="s">
        <v>69</v>
      </c>
      <c r="C77" s="187" t="s">
        <v>143</v>
      </c>
      <c r="D77" s="187" t="s">
        <v>143</v>
      </c>
      <c r="E77" s="187" t="s">
        <v>81</v>
      </c>
      <c r="F77" s="187" t="s">
        <v>9</v>
      </c>
      <c r="G77" s="187">
        <v>177404837</v>
      </c>
      <c r="H77" s="187" t="s">
        <v>82</v>
      </c>
      <c r="I77" s="187" t="s">
        <v>58</v>
      </c>
      <c r="J77" s="187" t="s">
        <v>143</v>
      </c>
      <c r="K77" s="187" t="s">
        <v>59</v>
      </c>
      <c r="L77" s="187">
        <v>2</v>
      </c>
      <c r="M77" s="187">
        <v>1233.04</v>
      </c>
      <c r="N77" s="187">
        <v>2</v>
      </c>
      <c r="O77" s="187">
        <v>1183.4100000000001</v>
      </c>
      <c r="P77" s="187">
        <v>1</v>
      </c>
    </row>
    <row r="78" spans="1:16" s="187" customFormat="1" ht="12.75">
      <c r="A78" s="187" t="s">
        <v>68</v>
      </c>
      <c r="B78" s="187" t="s">
        <v>69</v>
      </c>
      <c r="C78" s="187" t="s">
        <v>143</v>
      </c>
      <c r="D78" s="187" t="s">
        <v>143</v>
      </c>
      <c r="E78" s="187" t="s">
        <v>81</v>
      </c>
      <c r="F78" s="187" t="s">
        <v>9</v>
      </c>
      <c r="G78" s="187">
        <v>177404837</v>
      </c>
      <c r="H78" s="187" t="s">
        <v>82</v>
      </c>
      <c r="I78" s="187" t="s">
        <v>58</v>
      </c>
      <c r="J78" s="187" t="s">
        <v>143</v>
      </c>
      <c r="K78" s="187" t="s">
        <v>62</v>
      </c>
      <c r="L78" s="187">
        <v>1</v>
      </c>
      <c r="M78" s="187">
        <v>626.74</v>
      </c>
      <c r="N78" s="187">
        <v>1</v>
      </c>
      <c r="O78" s="187">
        <v>597.03</v>
      </c>
      <c r="P78" s="187">
        <v>6</v>
      </c>
    </row>
    <row r="79" spans="1:16" s="187" customFormat="1" ht="12.75">
      <c r="A79" s="187" t="s">
        <v>68</v>
      </c>
      <c r="B79" s="187" t="s">
        <v>69</v>
      </c>
      <c r="C79" s="187" t="s">
        <v>143</v>
      </c>
      <c r="D79" s="187" t="s">
        <v>143</v>
      </c>
      <c r="E79" s="187" t="s">
        <v>81</v>
      </c>
      <c r="F79" s="187" t="s">
        <v>9</v>
      </c>
      <c r="G79" s="187">
        <v>177404837</v>
      </c>
      <c r="H79" s="187" t="s">
        <v>82</v>
      </c>
      <c r="I79" s="187" t="s">
        <v>58</v>
      </c>
      <c r="J79" s="187" t="s">
        <v>143</v>
      </c>
      <c r="K79" s="187" t="s">
        <v>64</v>
      </c>
      <c r="L79" s="187">
        <v>1</v>
      </c>
      <c r="M79" s="187">
        <v>626.74</v>
      </c>
      <c r="N79" s="187">
        <v>1</v>
      </c>
      <c r="O79" s="187">
        <v>600.35</v>
      </c>
      <c r="P79" s="187">
        <v>3</v>
      </c>
    </row>
    <row r="80" spans="1:16" s="187" customFormat="1" ht="12.75">
      <c r="A80" s="187" t="s">
        <v>68</v>
      </c>
      <c r="B80" s="187" t="s">
        <v>69</v>
      </c>
      <c r="C80" s="187" t="s">
        <v>143</v>
      </c>
      <c r="D80" s="187" t="s">
        <v>143</v>
      </c>
      <c r="E80" s="187" t="s">
        <v>81</v>
      </c>
      <c r="F80" s="187" t="s">
        <v>9</v>
      </c>
      <c r="G80" s="187">
        <v>177404837</v>
      </c>
      <c r="H80" s="187" t="s">
        <v>82</v>
      </c>
      <c r="I80" s="187" t="s">
        <v>58</v>
      </c>
      <c r="J80" s="187" t="s">
        <v>143</v>
      </c>
      <c r="K80" s="187" t="s">
        <v>67</v>
      </c>
      <c r="L80" s="187">
        <v>0</v>
      </c>
      <c r="M80" s="187">
        <v>0</v>
      </c>
      <c r="N80" s="187">
        <v>0</v>
      </c>
      <c r="O80" s="187">
        <v>0</v>
      </c>
      <c r="P80" s="187">
        <v>15</v>
      </c>
    </row>
    <row r="81" spans="1:16" s="187" customFormat="1" ht="12.75">
      <c r="A81" s="187" t="s">
        <v>68</v>
      </c>
      <c r="B81" s="187" t="s">
        <v>69</v>
      </c>
      <c r="C81" s="187" t="s">
        <v>143</v>
      </c>
      <c r="D81" s="187" t="s">
        <v>143</v>
      </c>
      <c r="E81" s="187" t="s">
        <v>83</v>
      </c>
      <c r="F81" s="187" t="s">
        <v>10</v>
      </c>
      <c r="G81" s="187">
        <v>177405495</v>
      </c>
      <c r="H81" s="187" t="s">
        <v>84</v>
      </c>
      <c r="I81" s="187" t="s">
        <v>58</v>
      </c>
      <c r="J81" s="187" t="s">
        <v>143</v>
      </c>
      <c r="K81" s="187" t="s">
        <v>61</v>
      </c>
      <c r="L81" s="187">
        <v>2</v>
      </c>
      <c r="M81" s="187">
        <v>1391.66</v>
      </c>
      <c r="N81" s="187">
        <v>3</v>
      </c>
      <c r="O81" s="187">
        <v>1810.01</v>
      </c>
      <c r="P81" s="187">
        <v>62</v>
      </c>
    </row>
    <row r="82" spans="1:16" s="187" customFormat="1" ht="12.75">
      <c r="A82" s="187" t="s">
        <v>68</v>
      </c>
      <c r="B82" s="187" t="s">
        <v>69</v>
      </c>
      <c r="C82" s="187" t="s">
        <v>143</v>
      </c>
      <c r="D82" s="187" t="s">
        <v>143</v>
      </c>
      <c r="E82" s="187" t="s">
        <v>83</v>
      </c>
      <c r="F82" s="187" t="s">
        <v>10</v>
      </c>
      <c r="G82" s="187">
        <v>177405495</v>
      </c>
      <c r="H82" s="187" t="s">
        <v>84</v>
      </c>
      <c r="I82" s="187" t="s">
        <v>58</v>
      </c>
      <c r="J82" s="187" t="s">
        <v>143</v>
      </c>
      <c r="K82" s="187" t="s">
        <v>60</v>
      </c>
      <c r="L82" s="187">
        <v>0</v>
      </c>
      <c r="M82" s="187">
        <v>0</v>
      </c>
      <c r="N82" s="187">
        <v>0</v>
      </c>
      <c r="O82" s="187">
        <v>0</v>
      </c>
      <c r="P82" s="187">
        <v>45</v>
      </c>
    </row>
    <row r="83" spans="1:16" s="187" customFormat="1" ht="12.75">
      <c r="A83" s="187" t="s">
        <v>68</v>
      </c>
      <c r="B83" s="187" t="s">
        <v>69</v>
      </c>
      <c r="C83" s="187" t="s">
        <v>143</v>
      </c>
      <c r="D83" s="187" t="s">
        <v>143</v>
      </c>
      <c r="E83" s="187" t="s">
        <v>83</v>
      </c>
      <c r="F83" s="187" t="s">
        <v>10</v>
      </c>
      <c r="G83" s="187">
        <v>177405495</v>
      </c>
      <c r="H83" s="187" t="s">
        <v>84</v>
      </c>
      <c r="I83" s="187" t="s">
        <v>58</v>
      </c>
      <c r="J83" s="187" t="s">
        <v>143</v>
      </c>
      <c r="K83" s="187" t="s">
        <v>67</v>
      </c>
      <c r="L83" s="187">
        <v>0</v>
      </c>
      <c r="M83" s="187">
        <v>0</v>
      </c>
      <c r="N83" s="187">
        <v>0</v>
      </c>
      <c r="O83" s="187">
        <v>0</v>
      </c>
      <c r="P83" s="187">
        <v>9</v>
      </c>
    </row>
    <row r="84" spans="1:16" s="187" customFormat="1" ht="12.75">
      <c r="A84" s="187" t="s">
        <v>68</v>
      </c>
      <c r="B84" s="187" t="s">
        <v>69</v>
      </c>
      <c r="C84" s="187" t="s">
        <v>143</v>
      </c>
      <c r="D84" s="187" t="s">
        <v>143</v>
      </c>
      <c r="E84" s="187" t="s">
        <v>83</v>
      </c>
      <c r="F84" s="187" t="s">
        <v>10</v>
      </c>
      <c r="G84" s="187">
        <v>177405495</v>
      </c>
      <c r="H84" s="187" t="s">
        <v>84</v>
      </c>
      <c r="I84" s="187" t="s">
        <v>58</v>
      </c>
      <c r="J84" s="187" t="s">
        <v>143</v>
      </c>
      <c r="K84" s="187" t="s">
        <v>63</v>
      </c>
      <c r="L84" s="187">
        <v>2</v>
      </c>
      <c r="M84" s="187">
        <v>1442.42</v>
      </c>
      <c r="N84" s="187">
        <v>2</v>
      </c>
      <c r="O84" s="187">
        <v>1374.46</v>
      </c>
      <c r="P84" s="187">
        <v>18</v>
      </c>
    </row>
    <row r="85" spans="1:16" s="187" customFormat="1" ht="12.75">
      <c r="A85" s="187" t="s">
        <v>68</v>
      </c>
      <c r="B85" s="187" t="s">
        <v>69</v>
      </c>
      <c r="C85" s="187" t="s">
        <v>143</v>
      </c>
      <c r="D85" s="187" t="s">
        <v>143</v>
      </c>
      <c r="E85" s="187" t="s">
        <v>83</v>
      </c>
      <c r="F85" s="187" t="s">
        <v>10</v>
      </c>
      <c r="G85" s="187">
        <v>177405495</v>
      </c>
      <c r="H85" s="187" t="s">
        <v>84</v>
      </c>
      <c r="I85" s="187" t="s">
        <v>58</v>
      </c>
      <c r="J85" s="187" t="s">
        <v>143</v>
      </c>
      <c r="K85" s="187" t="s">
        <v>64</v>
      </c>
      <c r="L85" s="187">
        <v>0</v>
      </c>
      <c r="M85" s="187">
        <v>0</v>
      </c>
      <c r="N85" s="187">
        <v>1</v>
      </c>
      <c r="O85" s="187">
        <v>592.63</v>
      </c>
      <c r="P85" s="187">
        <v>14</v>
      </c>
    </row>
    <row r="86" spans="1:16" s="187" customFormat="1" ht="12.75">
      <c r="A86" s="187" t="s">
        <v>68</v>
      </c>
      <c r="B86" s="187" t="s">
        <v>69</v>
      </c>
      <c r="C86" s="187" t="s">
        <v>143</v>
      </c>
      <c r="D86" s="187" t="s">
        <v>143</v>
      </c>
      <c r="E86" s="187" t="s">
        <v>83</v>
      </c>
      <c r="F86" s="187" t="s">
        <v>10</v>
      </c>
      <c r="G86" s="187">
        <v>177405495</v>
      </c>
      <c r="H86" s="187" t="s">
        <v>84</v>
      </c>
      <c r="I86" s="187" t="s">
        <v>58</v>
      </c>
      <c r="J86" s="187" t="s">
        <v>143</v>
      </c>
      <c r="K86" s="187" t="s">
        <v>89</v>
      </c>
      <c r="L86" s="187">
        <v>0</v>
      </c>
      <c r="M86" s="187">
        <v>0</v>
      </c>
      <c r="N86" s="187">
        <v>0</v>
      </c>
      <c r="O86" s="187">
        <v>0</v>
      </c>
      <c r="P86" s="187">
        <v>1</v>
      </c>
    </row>
    <row r="87" spans="1:16" s="187" customFormat="1" ht="12.75">
      <c r="A87" s="187" t="s">
        <v>68</v>
      </c>
      <c r="B87" s="187" t="s">
        <v>69</v>
      </c>
      <c r="C87" s="187" t="s">
        <v>143</v>
      </c>
      <c r="D87" s="187" t="s">
        <v>143</v>
      </c>
      <c r="E87" s="187" t="s">
        <v>83</v>
      </c>
      <c r="F87" s="187" t="s">
        <v>10</v>
      </c>
      <c r="G87" s="187">
        <v>177405495</v>
      </c>
      <c r="H87" s="187" t="s">
        <v>84</v>
      </c>
      <c r="I87" s="187" t="s">
        <v>58</v>
      </c>
      <c r="J87" s="187" t="s">
        <v>143</v>
      </c>
      <c r="K87" s="187" t="s">
        <v>171</v>
      </c>
      <c r="L87" s="187">
        <v>1</v>
      </c>
      <c r="M87" s="187">
        <v>755.05</v>
      </c>
      <c r="N87" s="187">
        <v>1</v>
      </c>
      <c r="O87" s="187">
        <v>716.65</v>
      </c>
      <c r="P87" s="187">
        <v>52</v>
      </c>
    </row>
    <row r="88" spans="1:16" s="187" customFormat="1" ht="12.75">
      <c r="A88" s="187" t="s">
        <v>68</v>
      </c>
      <c r="B88" s="187" t="s">
        <v>69</v>
      </c>
      <c r="C88" s="187" t="s">
        <v>143</v>
      </c>
      <c r="D88" s="187" t="s">
        <v>143</v>
      </c>
      <c r="E88" s="187" t="s">
        <v>83</v>
      </c>
      <c r="F88" s="187" t="s">
        <v>10</v>
      </c>
      <c r="G88" s="187">
        <v>177405495</v>
      </c>
      <c r="H88" s="187" t="s">
        <v>84</v>
      </c>
      <c r="I88" s="187" t="s">
        <v>58</v>
      </c>
      <c r="J88" s="187" t="s">
        <v>143</v>
      </c>
      <c r="K88" s="187" t="s">
        <v>443</v>
      </c>
      <c r="L88" s="187">
        <v>2</v>
      </c>
      <c r="M88" s="187">
        <v>1258.42</v>
      </c>
      <c r="N88" s="187">
        <v>2</v>
      </c>
      <c r="O88" s="187">
        <v>1211.83</v>
      </c>
      <c r="P88" s="187">
        <v>27</v>
      </c>
    </row>
    <row r="89" spans="1:16" s="187" customFormat="1" ht="12.75">
      <c r="A89" s="187" t="s">
        <v>54</v>
      </c>
      <c r="B89" s="187" t="s">
        <v>85</v>
      </c>
      <c r="C89" s="187" t="s">
        <v>143</v>
      </c>
      <c r="D89" s="187" t="s">
        <v>143</v>
      </c>
      <c r="E89" s="187" t="s">
        <v>174</v>
      </c>
      <c r="F89" s="187" t="s">
        <v>19</v>
      </c>
      <c r="G89" s="187">
        <v>186800214</v>
      </c>
      <c r="H89" s="187" t="s">
        <v>86</v>
      </c>
      <c r="I89" s="187" t="s">
        <v>58</v>
      </c>
      <c r="J89" s="187" t="s">
        <v>143</v>
      </c>
      <c r="K89" s="187" t="s">
        <v>163</v>
      </c>
      <c r="L89" s="187">
        <v>0</v>
      </c>
      <c r="M89" s="187">
        <v>0</v>
      </c>
      <c r="N89" s="187">
        <v>0</v>
      </c>
      <c r="O89" s="187">
        <v>0</v>
      </c>
      <c r="P89" s="187">
        <v>1</v>
      </c>
    </row>
    <row r="90" spans="1:16" s="187" customFormat="1" ht="12.75">
      <c r="A90" s="187" t="s">
        <v>54</v>
      </c>
      <c r="B90" s="187" t="s">
        <v>85</v>
      </c>
      <c r="C90" s="187" t="s">
        <v>143</v>
      </c>
      <c r="D90" s="187" t="s">
        <v>143</v>
      </c>
      <c r="E90" s="187" t="s">
        <v>174</v>
      </c>
      <c r="F90" s="187" t="s">
        <v>19</v>
      </c>
      <c r="G90" s="187">
        <v>186800214</v>
      </c>
      <c r="H90" s="187" t="s">
        <v>86</v>
      </c>
      <c r="I90" s="187" t="s">
        <v>58</v>
      </c>
      <c r="J90" s="187" t="s">
        <v>143</v>
      </c>
      <c r="K90" s="187" t="s">
        <v>60</v>
      </c>
      <c r="L90" s="187">
        <v>1</v>
      </c>
      <c r="M90" s="187">
        <v>623.5</v>
      </c>
      <c r="N90" s="187">
        <v>1</v>
      </c>
      <c r="O90" s="187">
        <v>599.54</v>
      </c>
      <c r="P90" s="187">
        <v>32</v>
      </c>
    </row>
    <row r="91" spans="1:16" s="187" customFormat="1" ht="12.75">
      <c r="A91" s="187" t="s">
        <v>54</v>
      </c>
      <c r="B91" s="187" t="s">
        <v>85</v>
      </c>
      <c r="C91" s="187" t="s">
        <v>143</v>
      </c>
      <c r="D91" s="187" t="s">
        <v>143</v>
      </c>
      <c r="E91" s="187" t="s">
        <v>174</v>
      </c>
      <c r="F91" s="187" t="s">
        <v>19</v>
      </c>
      <c r="G91" s="187">
        <v>186800214</v>
      </c>
      <c r="H91" s="187" t="s">
        <v>86</v>
      </c>
      <c r="I91" s="187" t="s">
        <v>58</v>
      </c>
      <c r="J91" s="187" t="s">
        <v>143</v>
      </c>
      <c r="K91" s="187" t="s">
        <v>67</v>
      </c>
      <c r="L91" s="187">
        <v>0</v>
      </c>
      <c r="M91" s="187">
        <v>0</v>
      </c>
      <c r="N91" s="187">
        <v>0</v>
      </c>
      <c r="O91" s="187">
        <v>0</v>
      </c>
      <c r="P91" s="187">
        <v>30</v>
      </c>
    </row>
    <row r="92" spans="1:16" s="187" customFormat="1" ht="12.75">
      <c r="A92" s="187" t="s">
        <v>54</v>
      </c>
      <c r="B92" s="187" t="s">
        <v>85</v>
      </c>
      <c r="C92" s="187" t="s">
        <v>143</v>
      </c>
      <c r="D92" s="187" t="s">
        <v>143</v>
      </c>
      <c r="E92" s="187" t="s">
        <v>174</v>
      </c>
      <c r="F92" s="187" t="s">
        <v>19</v>
      </c>
      <c r="G92" s="187">
        <v>186800214</v>
      </c>
      <c r="H92" s="187" t="s">
        <v>86</v>
      </c>
      <c r="I92" s="187" t="s">
        <v>58</v>
      </c>
      <c r="J92" s="187" t="s">
        <v>143</v>
      </c>
      <c r="K92" s="187" t="s">
        <v>61</v>
      </c>
      <c r="L92" s="187">
        <v>2</v>
      </c>
      <c r="M92" s="187">
        <v>1289.04</v>
      </c>
      <c r="N92" s="187">
        <v>1</v>
      </c>
      <c r="O92" s="187">
        <v>619.97</v>
      </c>
      <c r="P92" s="187">
        <v>28</v>
      </c>
    </row>
    <row r="93" spans="1:16" s="187" customFormat="1" ht="12.75">
      <c r="A93" s="187" t="s">
        <v>54</v>
      </c>
      <c r="B93" s="187" t="s">
        <v>85</v>
      </c>
      <c r="C93" s="187" t="s">
        <v>143</v>
      </c>
      <c r="D93" s="187" t="s">
        <v>143</v>
      </c>
      <c r="E93" s="187" t="s">
        <v>174</v>
      </c>
      <c r="F93" s="187" t="s">
        <v>19</v>
      </c>
      <c r="G93" s="187">
        <v>186800214</v>
      </c>
      <c r="H93" s="187" t="s">
        <v>86</v>
      </c>
      <c r="I93" s="187" t="s">
        <v>58</v>
      </c>
      <c r="J93" s="187" t="s">
        <v>143</v>
      </c>
      <c r="K93" s="187" t="s">
        <v>62</v>
      </c>
      <c r="L93" s="187">
        <v>3</v>
      </c>
      <c r="M93" s="187">
        <v>1978.52</v>
      </c>
      <c r="N93" s="187">
        <v>3</v>
      </c>
      <c r="O93" s="187">
        <v>1923.51</v>
      </c>
      <c r="P93" s="187">
        <v>15</v>
      </c>
    </row>
    <row r="94" spans="1:16" s="187" customFormat="1" ht="12.75">
      <c r="A94" s="187" t="s">
        <v>54</v>
      </c>
      <c r="B94" s="187" t="s">
        <v>85</v>
      </c>
      <c r="C94" s="187" t="s">
        <v>143</v>
      </c>
      <c r="D94" s="187" t="s">
        <v>143</v>
      </c>
      <c r="E94" s="187" t="s">
        <v>174</v>
      </c>
      <c r="F94" s="187" t="s">
        <v>19</v>
      </c>
      <c r="G94" s="187">
        <v>186800214</v>
      </c>
      <c r="H94" s="187" t="s">
        <v>86</v>
      </c>
      <c r="I94" s="187" t="s">
        <v>58</v>
      </c>
      <c r="J94" s="187" t="s">
        <v>143</v>
      </c>
      <c r="K94" s="187" t="s">
        <v>63</v>
      </c>
      <c r="L94" s="187">
        <v>4</v>
      </c>
      <c r="M94" s="187">
        <v>2578.2600000000002</v>
      </c>
      <c r="N94" s="187">
        <v>3</v>
      </c>
      <c r="O94" s="187">
        <v>1868.26</v>
      </c>
      <c r="P94" s="187">
        <v>17</v>
      </c>
    </row>
    <row r="95" spans="1:16" s="187" customFormat="1" ht="12.75">
      <c r="A95" s="187" t="s">
        <v>54</v>
      </c>
      <c r="B95" s="187" t="s">
        <v>85</v>
      </c>
      <c r="C95" s="187" t="s">
        <v>143</v>
      </c>
      <c r="D95" s="187" t="s">
        <v>143</v>
      </c>
      <c r="E95" s="187" t="s">
        <v>174</v>
      </c>
      <c r="F95" s="187" t="s">
        <v>19</v>
      </c>
      <c r="G95" s="187">
        <v>186800214</v>
      </c>
      <c r="H95" s="187" t="s">
        <v>86</v>
      </c>
      <c r="I95" s="187" t="s">
        <v>58</v>
      </c>
      <c r="J95" s="187" t="s">
        <v>143</v>
      </c>
      <c r="K95" s="187" t="s">
        <v>138</v>
      </c>
      <c r="L95" s="187">
        <v>0</v>
      </c>
      <c r="M95" s="187">
        <v>0</v>
      </c>
      <c r="N95" s="187">
        <v>0</v>
      </c>
      <c r="O95" s="187">
        <v>0</v>
      </c>
      <c r="P95" s="187">
        <v>1</v>
      </c>
    </row>
    <row r="96" spans="1:16" s="187" customFormat="1" ht="12.75">
      <c r="A96" s="187" t="s">
        <v>54</v>
      </c>
      <c r="B96" s="187" t="s">
        <v>85</v>
      </c>
      <c r="C96" s="187" t="s">
        <v>143</v>
      </c>
      <c r="D96" s="187" t="s">
        <v>143</v>
      </c>
      <c r="E96" s="187" t="s">
        <v>174</v>
      </c>
      <c r="F96" s="187" t="s">
        <v>19</v>
      </c>
      <c r="G96" s="187">
        <v>186800214</v>
      </c>
      <c r="H96" s="187" t="s">
        <v>86</v>
      </c>
      <c r="I96" s="187" t="s">
        <v>58</v>
      </c>
      <c r="J96" s="187" t="s">
        <v>143</v>
      </c>
      <c r="K96" s="187" t="s">
        <v>64</v>
      </c>
      <c r="L96" s="187">
        <v>0</v>
      </c>
      <c r="M96" s="187">
        <v>0</v>
      </c>
      <c r="N96" s="187">
        <v>0</v>
      </c>
      <c r="O96" s="187">
        <v>0</v>
      </c>
      <c r="P96" s="187">
        <v>11</v>
      </c>
    </row>
    <row r="97" spans="1:16" s="187" customFormat="1" ht="12.75">
      <c r="A97" s="187" t="s">
        <v>54</v>
      </c>
      <c r="B97" s="187" t="s">
        <v>85</v>
      </c>
      <c r="C97" s="187" t="s">
        <v>143</v>
      </c>
      <c r="D97" s="187" t="s">
        <v>143</v>
      </c>
      <c r="E97" s="187" t="s">
        <v>174</v>
      </c>
      <c r="F97" s="187" t="s">
        <v>19</v>
      </c>
      <c r="G97" s="187">
        <v>186800214</v>
      </c>
      <c r="H97" s="187" t="s">
        <v>86</v>
      </c>
      <c r="I97" s="187" t="s">
        <v>58</v>
      </c>
      <c r="J97" s="187" t="s">
        <v>143</v>
      </c>
      <c r="K97" s="187" t="s">
        <v>430</v>
      </c>
      <c r="L97" s="187">
        <v>2</v>
      </c>
      <c r="M97" s="187">
        <v>1268.02</v>
      </c>
      <c r="N97" s="187">
        <v>0</v>
      </c>
      <c r="O97" s="187">
        <v>0</v>
      </c>
      <c r="P97" s="187">
        <v>19</v>
      </c>
    </row>
    <row r="98" spans="1:16" s="187" customFormat="1" ht="12.75">
      <c r="A98" s="187" t="s">
        <v>54</v>
      </c>
      <c r="B98" s="187" t="s">
        <v>85</v>
      </c>
      <c r="C98" s="187" t="s">
        <v>143</v>
      </c>
      <c r="D98" s="187" t="s">
        <v>143</v>
      </c>
      <c r="E98" s="187" t="s">
        <v>174</v>
      </c>
      <c r="F98" s="187" t="s">
        <v>19</v>
      </c>
      <c r="G98" s="187">
        <v>186800214</v>
      </c>
      <c r="H98" s="187" t="s">
        <v>86</v>
      </c>
      <c r="I98" s="187" t="s">
        <v>58</v>
      </c>
      <c r="J98" s="187" t="s">
        <v>143</v>
      </c>
      <c r="K98" s="187" t="s">
        <v>443</v>
      </c>
      <c r="L98" s="187">
        <v>2</v>
      </c>
      <c r="M98" s="187">
        <v>1278.17</v>
      </c>
      <c r="N98" s="187">
        <v>2</v>
      </c>
      <c r="O98" s="187">
        <v>1279.74</v>
      </c>
      <c r="P98" s="187">
        <v>28</v>
      </c>
    </row>
    <row r="99" spans="1:16" s="187" customFormat="1" ht="12.75">
      <c r="A99" s="187" t="s">
        <v>54</v>
      </c>
      <c r="B99" s="187" t="s">
        <v>85</v>
      </c>
      <c r="C99" s="187" t="s">
        <v>143</v>
      </c>
      <c r="D99" s="187" t="s">
        <v>143</v>
      </c>
      <c r="E99" s="187" t="s">
        <v>174</v>
      </c>
      <c r="F99" s="187" t="s">
        <v>19</v>
      </c>
      <c r="G99" s="187">
        <v>186800214</v>
      </c>
      <c r="H99" s="187" t="s">
        <v>86</v>
      </c>
      <c r="I99" s="187" t="s">
        <v>58</v>
      </c>
      <c r="J99" s="187" t="s">
        <v>143</v>
      </c>
      <c r="K99" s="187" t="s">
        <v>171</v>
      </c>
      <c r="L99" s="187">
        <v>0</v>
      </c>
      <c r="M99" s="187">
        <v>0</v>
      </c>
      <c r="N99" s="187">
        <v>0</v>
      </c>
      <c r="O99" s="187">
        <v>0</v>
      </c>
      <c r="P99" s="187">
        <v>34</v>
      </c>
    </row>
    <row r="100" spans="1:16" s="187" customFormat="1" ht="12.75">
      <c r="A100" s="187" t="s">
        <v>54</v>
      </c>
      <c r="B100" s="187" t="s">
        <v>85</v>
      </c>
      <c r="C100" s="187" t="s">
        <v>143</v>
      </c>
      <c r="D100" s="187" t="s">
        <v>143</v>
      </c>
      <c r="E100" s="187" t="s">
        <v>392</v>
      </c>
      <c r="F100" s="187" t="s">
        <v>21</v>
      </c>
      <c r="G100" s="187">
        <v>186826338</v>
      </c>
      <c r="H100" s="187" t="s">
        <v>88</v>
      </c>
      <c r="I100" s="187" t="s">
        <v>58</v>
      </c>
      <c r="J100" s="187" t="s">
        <v>143</v>
      </c>
      <c r="K100" s="187" t="s">
        <v>138</v>
      </c>
      <c r="L100" s="187">
        <v>2</v>
      </c>
      <c r="M100" s="187">
        <v>1258.5999999999999</v>
      </c>
      <c r="N100" s="187">
        <v>2</v>
      </c>
      <c r="O100" s="187">
        <v>1203.5899999999999</v>
      </c>
      <c r="P100" s="187">
        <v>0</v>
      </c>
    </row>
    <row r="101" spans="1:16" s="187" customFormat="1" ht="12.75">
      <c r="A101" s="187" t="s">
        <v>54</v>
      </c>
      <c r="B101" s="187" t="s">
        <v>85</v>
      </c>
      <c r="C101" s="187" t="s">
        <v>143</v>
      </c>
      <c r="D101" s="187" t="s">
        <v>143</v>
      </c>
      <c r="E101" s="187" t="s">
        <v>392</v>
      </c>
      <c r="F101" s="187" t="s">
        <v>21</v>
      </c>
      <c r="G101" s="187">
        <v>186826338</v>
      </c>
      <c r="H101" s="187" t="s">
        <v>88</v>
      </c>
      <c r="I101" s="187" t="s">
        <v>58</v>
      </c>
      <c r="J101" s="187" t="s">
        <v>143</v>
      </c>
      <c r="K101" s="187" t="s">
        <v>64</v>
      </c>
      <c r="L101" s="187">
        <v>14</v>
      </c>
      <c r="M101" s="187">
        <v>8689.1</v>
      </c>
      <c r="N101" s="187">
        <v>14</v>
      </c>
      <c r="O101" s="187">
        <v>8269.52</v>
      </c>
      <c r="P101" s="187">
        <v>21</v>
      </c>
    </row>
    <row r="102" spans="1:16" s="187" customFormat="1" ht="12.75">
      <c r="A102" s="187" t="s">
        <v>54</v>
      </c>
      <c r="B102" s="187" t="s">
        <v>85</v>
      </c>
      <c r="C102" s="187" t="s">
        <v>143</v>
      </c>
      <c r="D102" s="187" t="s">
        <v>143</v>
      </c>
      <c r="E102" s="187" t="s">
        <v>392</v>
      </c>
      <c r="F102" s="187" t="s">
        <v>21</v>
      </c>
      <c r="G102" s="187">
        <v>186826338</v>
      </c>
      <c r="H102" s="187" t="s">
        <v>88</v>
      </c>
      <c r="I102" s="187" t="s">
        <v>58</v>
      </c>
      <c r="J102" s="187" t="s">
        <v>143</v>
      </c>
      <c r="K102" s="187" t="s">
        <v>360</v>
      </c>
      <c r="L102" s="187">
        <v>0</v>
      </c>
      <c r="M102" s="187">
        <v>0</v>
      </c>
      <c r="N102" s="187">
        <v>0</v>
      </c>
      <c r="O102" s="187">
        <v>0</v>
      </c>
      <c r="P102" s="187">
        <v>1</v>
      </c>
    </row>
    <row r="103" spans="1:16" s="187" customFormat="1" ht="12.75">
      <c r="A103" s="187" t="s">
        <v>54</v>
      </c>
      <c r="B103" s="187" t="s">
        <v>85</v>
      </c>
      <c r="C103" s="187" t="s">
        <v>143</v>
      </c>
      <c r="D103" s="187" t="s">
        <v>143</v>
      </c>
      <c r="E103" s="187" t="s">
        <v>392</v>
      </c>
      <c r="F103" s="187" t="s">
        <v>21</v>
      </c>
      <c r="G103" s="187">
        <v>186826338</v>
      </c>
      <c r="H103" s="187" t="s">
        <v>88</v>
      </c>
      <c r="I103" s="187" t="s">
        <v>58</v>
      </c>
      <c r="J103" s="187" t="s">
        <v>143</v>
      </c>
      <c r="K103" s="187" t="s">
        <v>67</v>
      </c>
      <c r="L103" s="187">
        <v>7</v>
      </c>
      <c r="M103" s="187">
        <v>4289.8100000000004</v>
      </c>
      <c r="N103" s="187">
        <v>5</v>
      </c>
      <c r="O103" s="187">
        <v>2941.3</v>
      </c>
      <c r="P103" s="187">
        <v>82</v>
      </c>
    </row>
    <row r="104" spans="1:16" s="187" customFormat="1" ht="12.75">
      <c r="A104" s="187" t="s">
        <v>54</v>
      </c>
      <c r="B104" s="187" t="s">
        <v>85</v>
      </c>
      <c r="C104" s="187" t="s">
        <v>143</v>
      </c>
      <c r="D104" s="187" t="s">
        <v>143</v>
      </c>
      <c r="E104" s="187" t="s">
        <v>392</v>
      </c>
      <c r="F104" s="187" t="s">
        <v>21</v>
      </c>
      <c r="G104" s="187">
        <v>186826338</v>
      </c>
      <c r="H104" s="187" t="s">
        <v>88</v>
      </c>
      <c r="I104" s="187" t="s">
        <v>58</v>
      </c>
      <c r="J104" s="187" t="s">
        <v>143</v>
      </c>
      <c r="K104" s="187" t="s">
        <v>89</v>
      </c>
      <c r="L104" s="187">
        <v>0</v>
      </c>
      <c r="M104" s="187">
        <v>0</v>
      </c>
      <c r="N104" s="187">
        <v>0</v>
      </c>
      <c r="O104" s="187">
        <v>0</v>
      </c>
      <c r="P104" s="187">
        <v>1</v>
      </c>
    </row>
    <row r="105" spans="1:16" s="187" customFormat="1" ht="12.75">
      <c r="A105" s="187" t="s">
        <v>54</v>
      </c>
      <c r="B105" s="187" t="s">
        <v>85</v>
      </c>
      <c r="C105" s="187" t="s">
        <v>143</v>
      </c>
      <c r="D105" s="187" t="s">
        <v>143</v>
      </c>
      <c r="E105" s="187" t="s">
        <v>392</v>
      </c>
      <c r="F105" s="187" t="s">
        <v>21</v>
      </c>
      <c r="G105" s="187">
        <v>186826338</v>
      </c>
      <c r="H105" s="187" t="s">
        <v>88</v>
      </c>
      <c r="I105" s="187" t="s">
        <v>58</v>
      </c>
      <c r="J105" s="187" t="s">
        <v>143</v>
      </c>
      <c r="K105" s="187" t="s">
        <v>443</v>
      </c>
      <c r="L105" s="187">
        <v>3</v>
      </c>
      <c r="M105" s="187">
        <v>1725.49</v>
      </c>
      <c r="N105" s="187">
        <v>1</v>
      </c>
      <c r="O105" s="187">
        <v>556.6</v>
      </c>
      <c r="P105" s="187">
        <v>0</v>
      </c>
    </row>
    <row r="106" spans="1:16" s="187" customFormat="1" ht="12.75">
      <c r="A106" s="187" t="s">
        <v>54</v>
      </c>
      <c r="B106" s="187" t="s">
        <v>85</v>
      </c>
      <c r="C106" s="187" t="s">
        <v>143</v>
      </c>
      <c r="D106" s="187" t="s">
        <v>143</v>
      </c>
      <c r="E106" s="187" t="s">
        <v>392</v>
      </c>
      <c r="F106" s="187" t="s">
        <v>21</v>
      </c>
      <c r="G106" s="187">
        <v>186826338</v>
      </c>
      <c r="H106" s="187" t="s">
        <v>88</v>
      </c>
      <c r="I106" s="187" t="s">
        <v>58</v>
      </c>
      <c r="J106" s="187" t="s">
        <v>143</v>
      </c>
      <c r="K106" s="187" t="s">
        <v>171</v>
      </c>
      <c r="L106" s="187">
        <v>29</v>
      </c>
      <c r="M106" s="187">
        <v>17822.63</v>
      </c>
      <c r="N106" s="187">
        <v>23</v>
      </c>
      <c r="O106" s="187">
        <v>13316.59</v>
      </c>
      <c r="P106" s="187">
        <v>65</v>
      </c>
    </row>
    <row r="107" spans="1:16" s="187" customFormat="1" ht="12.75">
      <c r="A107" s="187" t="s">
        <v>54</v>
      </c>
      <c r="B107" s="187" t="s">
        <v>85</v>
      </c>
      <c r="C107" s="187" t="s">
        <v>143</v>
      </c>
      <c r="D107" s="187" t="s">
        <v>143</v>
      </c>
      <c r="E107" s="187" t="s">
        <v>392</v>
      </c>
      <c r="F107" s="187" t="s">
        <v>21</v>
      </c>
      <c r="G107" s="187">
        <v>186826338</v>
      </c>
      <c r="H107" s="187" t="s">
        <v>88</v>
      </c>
      <c r="I107" s="187" t="s">
        <v>58</v>
      </c>
      <c r="J107" s="187" t="s">
        <v>143</v>
      </c>
      <c r="K107" s="187" t="s">
        <v>60</v>
      </c>
      <c r="L107" s="187">
        <v>8</v>
      </c>
      <c r="M107" s="187">
        <v>4927.8999999999996</v>
      </c>
      <c r="N107" s="187">
        <v>7</v>
      </c>
      <c r="O107" s="187">
        <v>4179.97</v>
      </c>
      <c r="P107" s="187">
        <v>129</v>
      </c>
    </row>
    <row r="108" spans="1:16" s="187" customFormat="1" ht="12.75">
      <c r="A108" s="187" t="s">
        <v>54</v>
      </c>
      <c r="B108" s="187" t="s">
        <v>85</v>
      </c>
      <c r="C108" s="187" t="s">
        <v>143</v>
      </c>
      <c r="D108" s="187" t="s">
        <v>143</v>
      </c>
      <c r="E108" s="187" t="s">
        <v>392</v>
      </c>
      <c r="F108" s="187" t="s">
        <v>21</v>
      </c>
      <c r="G108" s="187">
        <v>186826338</v>
      </c>
      <c r="H108" s="187" t="s">
        <v>88</v>
      </c>
      <c r="I108" s="187" t="s">
        <v>58</v>
      </c>
      <c r="J108" s="187" t="s">
        <v>143</v>
      </c>
      <c r="K108" s="187" t="s">
        <v>62</v>
      </c>
      <c r="L108" s="187">
        <v>1</v>
      </c>
      <c r="M108" s="187">
        <v>630.02</v>
      </c>
      <c r="N108" s="187">
        <v>2</v>
      </c>
      <c r="O108" s="187">
        <v>1077.43</v>
      </c>
      <c r="P108" s="187">
        <v>0</v>
      </c>
    </row>
    <row r="109" spans="1:16" s="187" customFormat="1" ht="12.75">
      <c r="A109" s="187" t="s">
        <v>54</v>
      </c>
      <c r="B109" s="187" t="s">
        <v>85</v>
      </c>
      <c r="C109" s="187" t="s">
        <v>143</v>
      </c>
      <c r="D109" s="187" t="s">
        <v>143</v>
      </c>
      <c r="E109" s="187" t="s">
        <v>392</v>
      </c>
      <c r="F109" s="187" t="s">
        <v>21</v>
      </c>
      <c r="G109" s="187">
        <v>186826338</v>
      </c>
      <c r="H109" s="187" t="s">
        <v>88</v>
      </c>
      <c r="I109" s="187" t="s">
        <v>58</v>
      </c>
      <c r="J109" s="187" t="s">
        <v>143</v>
      </c>
      <c r="K109" s="187" t="s">
        <v>455</v>
      </c>
      <c r="L109" s="187">
        <v>0</v>
      </c>
      <c r="M109" s="187">
        <v>0</v>
      </c>
      <c r="N109" s="187">
        <v>1</v>
      </c>
      <c r="O109" s="187">
        <v>557.39</v>
      </c>
      <c r="P109" s="187">
        <v>0</v>
      </c>
    </row>
    <row r="110" spans="1:16" s="187" customFormat="1" ht="12.75">
      <c r="A110" s="187" t="s">
        <v>54</v>
      </c>
      <c r="B110" s="187" t="s">
        <v>85</v>
      </c>
      <c r="C110" s="187" t="s">
        <v>143</v>
      </c>
      <c r="D110" s="187" t="s">
        <v>143</v>
      </c>
      <c r="E110" s="187" t="s">
        <v>392</v>
      </c>
      <c r="F110" s="187" t="s">
        <v>21</v>
      </c>
      <c r="G110" s="187">
        <v>186826338</v>
      </c>
      <c r="H110" s="187" t="s">
        <v>88</v>
      </c>
      <c r="I110" s="187" t="s">
        <v>58</v>
      </c>
      <c r="J110" s="187" t="s">
        <v>143</v>
      </c>
      <c r="K110" s="187" t="s">
        <v>61</v>
      </c>
      <c r="L110" s="187">
        <v>75</v>
      </c>
      <c r="M110" s="187">
        <v>45737.27</v>
      </c>
      <c r="N110" s="187">
        <v>59</v>
      </c>
      <c r="O110" s="187">
        <v>34331.75</v>
      </c>
      <c r="P110" s="187">
        <v>72</v>
      </c>
    </row>
    <row r="111" spans="1:16" s="187" customFormat="1" ht="12.75">
      <c r="A111" s="187" t="s">
        <v>54</v>
      </c>
      <c r="B111" s="187" t="s">
        <v>85</v>
      </c>
      <c r="C111" s="187" t="s">
        <v>143</v>
      </c>
      <c r="D111" s="187" t="s">
        <v>143</v>
      </c>
      <c r="E111" s="187" t="s">
        <v>392</v>
      </c>
      <c r="F111" s="187" t="s">
        <v>21</v>
      </c>
      <c r="G111" s="187">
        <v>186826338</v>
      </c>
      <c r="H111" s="187" t="s">
        <v>88</v>
      </c>
      <c r="I111" s="187" t="s">
        <v>58</v>
      </c>
      <c r="J111" s="187" t="s">
        <v>143</v>
      </c>
      <c r="K111" s="187" t="s">
        <v>430</v>
      </c>
      <c r="L111" s="187">
        <v>4</v>
      </c>
      <c r="M111" s="187">
        <v>2517.92</v>
      </c>
      <c r="N111" s="187">
        <v>3</v>
      </c>
      <c r="O111" s="187">
        <v>1817.46</v>
      </c>
      <c r="P111" s="187">
        <v>64</v>
      </c>
    </row>
    <row r="112" spans="1:16" s="187" customFormat="1" ht="12.75">
      <c r="A112" s="187" t="s">
        <v>54</v>
      </c>
      <c r="B112" s="187" t="s">
        <v>85</v>
      </c>
      <c r="C112" s="187" t="s">
        <v>143</v>
      </c>
      <c r="D112" s="187" t="s">
        <v>143</v>
      </c>
      <c r="E112" s="187" t="s">
        <v>392</v>
      </c>
      <c r="F112" s="187" t="s">
        <v>21</v>
      </c>
      <c r="G112" s="187">
        <v>186826338</v>
      </c>
      <c r="H112" s="187" t="s">
        <v>88</v>
      </c>
      <c r="I112" s="187" t="s">
        <v>58</v>
      </c>
      <c r="J112" s="187" t="s">
        <v>143</v>
      </c>
      <c r="K112" s="187" t="s">
        <v>63</v>
      </c>
      <c r="L112" s="187">
        <v>5</v>
      </c>
      <c r="M112" s="187">
        <v>3097.91</v>
      </c>
      <c r="N112" s="187">
        <v>5</v>
      </c>
      <c r="O112" s="187">
        <v>2824.89</v>
      </c>
      <c r="P112" s="187">
        <v>0</v>
      </c>
    </row>
    <row r="113" spans="1:16" s="187" customFormat="1" ht="12.75">
      <c r="A113" s="187" t="s">
        <v>54</v>
      </c>
      <c r="B113" s="187" t="s">
        <v>85</v>
      </c>
      <c r="C113" s="187" t="s">
        <v>143</v>
      </c>
      <c r="D113" s="187" t="s">
        <v>143</v>
      </c>
      <c r="E113" s="187" t="s">
        <v>392</v>
      </c>
      <c r="F113" s="187" t="s">
        <v>21</v>
      </c>
      <c r="G113" s="187">
        <v>186826338</v>
      </c>
      <c r="H113" s="187" t="s">
        <v>88</v>
      </c>
      <c r="I113" s="187" t="s">
        <v>58</v>
      </c>
      <c r="J113" s="187" t="s">
        <v>143</v>
      </c>
      <c r="K113" s="187" t="s">
        <v>163</v>
      </c>
      <c r="L113" s="187">
        <v>1</v>
      </c>
      <c r="M113" s="187">
        <v>629.29999999999995</v>
      </c>
      <c r="N113" s="187">
        <v>1</v>
      </c>
      <c r="O113" s="187">
        <v>592.97</v>
      </c>
      <c r="P113" s="187">
        <v>1</v>
      </c>
    </row>
    <row r="114" spans="1:16" s="187" customFormat="1" ht="12.75">
      <c r="A114" s="187" t="s">
        <v>68</v>
      </c>
      <c r="B114" s="187" t="s">
        <v>69</v>
      </c>
      <c r="C114" s="187" t="s">
        <v>143</v>
      </c>
      <c r="D114" s="187" t="s">
        <v>143</v>
      </c>
      <c r="E114" s="187" t="s">
        <v>90</v>
      </c>
      <c r="F114" s="187" t="s">
        <v>13</v>
      </c>
      <c r="G114" s="187">
        <v>204615141</v>
      </c>
      <c r="H114" s="187" t="s">
        <v>91</v>
      </c>
      <c r="I114" s="187" t="s">
        <v>58</v>
      </c>
      <c r="J114" s="187" t="s">
        <v>143</v>
      </c>
      <c r="K114" s="187" t="s">
        <v>171</v>
      </c>
      <c r="L114" s="187">
        <v>8</v>
      </c>
      <c r="M114" s="187">
        <v>3210.54</v>
      </c>
      <c r="N114" s="187">
        <v>13</v>
      </c>
      <c r="O114" s="187">
        <v>4755.2299999999996</v>
      </c>
      <c r="P114" s="187">
        <v>45</v>
      </c>
    </row>
    <row r="115" spans="1:16" s="187" customFormat="1" ht="12.75">
      <c r="A115" s="187" t="s">
        <v>68</v>
      </c>
      <c r="B115" s="187" t="s">
        <v>69</v>
      </c>
      <c r="C115" s="187" t="s">
        <v>143</v>
      </c>
      <c r="D115" s="187" t="s">
        <v>143</v>
      </c>
      <c r="E115" s="187" t="s">
        <v>90</v>
      </c>
      <c r="F115" s="187" t="s">
        <v>13</v>
      </c>
      <c r="G115" s="187">
        <v>204615141</v>
      </c>
      <c r="H115" s="187" t="s">
        <v>91</v>
      </c>
      <c r="I115" s="187" t="s">
        <v>58</v>
      </c>
      <c r="J115" s="187" t="s">
        <v>143</v>
      </c>
      <c r="K115" s="187" t="s">
        <v>64</v>
      </c>
      <c r="L115" s="187">
        <v>3</v>
      </c>
      <c r="M115" s="187">
        <v>1189.32</v>
      </c>
      <c r="N115" s="187">
        <v>3</v>
      </c>
      <c r="O115" s="187">
        <v>1136.78</v>
      </c>
      <c r="P115" s="187">
        <v>4</v>
      </c>
    </row>
    <row r="116" spans="1:16" s="187" customFormat="1" ht="12.75">
      <c r="A116" s="187" t="s">
        <v>68</v>
      </c>
      <c r="B116" s="187" t="s">
        <v>69</v>
      </c>
      <c r="C116" s="187" t="s">
        <v>143</v>
      </c>
      <c r="D116" s="187" t="s">
        <v>143</v>
      </c>
      <c r="E116" s="187" t="s">
        <v>90</v>
      </c>
      <c r="F116" s="187" t="s">
        <v>13</v>
      </c>
      <c r="G116" s="187">
        <v>204615141</v>
      </c>
      <c r="H116" s="187" t="s">
        <v>91</v>
      </c>
      <c r="I116" s="187" t="s">
        <v>58</v>
      </c>
      <c r="J116" s="187" t="s">
        <v>143</v>
      </c>
      <c r="K116" s="187" t="s">
        <v>61</v>
      </c>
      <c r="L116" s="187">
        <v>11</v>
      </c>
      <c r="M116" s="187">
        <v>4769.28</v>
      </c>
      <c r="N116" s="187">
        <v>14</v>
      </c>
      <c r="O116" s="187">
        <v>5550.25</v>
      </c>
      <c r="P116" s="187">
        <v>66</v>
      </c>
    </row>
    <row r="117" spans="1:16" s="187" customFormat="1" ht="12.75">
      <c r="A117" s="187" t="s">
        <v>68</v>
      </c>
      <c r="B117" s="187" t="s">
        <v>69</v>
      </c>
      <c r="C117" s="187" t="s">
        <v>143</v>
      </c>
      <c r="D117" s="187" t="s">
        <v>143</v>
      </c>
      <c r="E117" s="187" t="s">
        <v>90</v>
      </c>
      <c r="F117" s="187" t="s">
        <v>13</v>
      </c>
      <c r="G117" s="187">
        <v>204615141</v>
      </c>
      <c r="H117" s="187" t="s">
        <v>91</v>
      </c>
      <c r="I117" s="187" t="s">
        <v>58</v>
      </c>
      <c r="J117" s="187" t="s">
        <v>143</v>
      </c>
      <c r="K117" s="187" t="s">
        <v>60</v>
      </c>
      <c r="L117" s="187">
        <v>1</v>
      </c>
      <c r="M117" s="187">
        <v>315.83999999999997</v>
      </c>
      <c r="N117" s="187">
        <v>1</v>
      </c>
      <c r="O117" s="187">
        <v>305.72000000000003</v>
      </c>
      <c r="P117" s="187">
        <v>52</v>
      </c>
    </row>
    <row r="118" spans="1:16" s="187" customFormat="1" ht="12.75">
      <c r="A118" s="187" t="s">
        <v>68</v>
      </c>
      <c r="B118" s="187" t="s">
        <v>69</v>
      </c>
      <c r="C118" s="187" t="s">
        <v>143</v>
      </c>
      <c r="D118" s="187" t="s">
        <v>143</v>
      </c>
      <c r="E118" s="187" t="s">
        <v>90</v>
      </c>
      <c r="F118" s="187" t="s">
        <v>13</v>
      </c>
      <c r="G118" s="187">
        <v>204615141</v>
      </c>
      <c r="H118" s="187" t="s">
        <v>91</v>
      </c>
      <c r="I118" s="187" t="s">
        <v>58</v>
      </c>
      <c r="J118" s="187" t="s">
        <v>143</v>
      </c>
      <c r="K118" s="187" t="s">
        <v>63</v>
      </c>
      <c r="L118" s="187">
        <v>5</v>
      </c>
      <c r="M118" s="187">
        <v>2027.56</v>
      </c>
      <c r="N118" s="187">
        <v>9</v>
      </c>
      <c r="O118" s="187">
        <v>3237.82</v>
      </c>
      <c r="P118" s="187">
        <v>27</v>
      </c>
    </row>
    <row r="119" spans="1:16" s="187" customFormat="1" ht="12.75">
      <c r="A119" s="187" t="s">
        <v>54</v>
      </c>
      <c r="B119" s="187" t="s">
        <v>72</v>
      </c>
      <c r="C119" s="187" t="s">
        <v>143</v>
      </c>
      <c r="D119" s="187" t="s">
        <v>143</v>
      </c>
      <c r="E119" s="187" t="s">
        <v>281</v>
      </c>
      <c r="F119" s="187" t="s">
        <v>23</v>
      </c>
      <c r="G119" s="187">
        <v>223420736</v>
      </c>
      <c r="H119" s="187" t="s">
        <v>92</v>
      </c>
      <c r="I119" s="187" t="s">
        <v>58</v>
      </c>
      <c r="J119" s="187" t="s">
        <v>143</v>
      </c>
      <c r="K119" s="187" t="s">
        <v>67</v>
      </c>
      <c r="L119" s="187">
        <v>0</v>
      </c>
      <c r="M119" s="187">
        <v>0</v>
      </c>
      <c r="N119" s="187">
        <v>1</v>
      </c>
      <c r="O119" s="187">
        <v>452.13</v>
      </c>
      <c r="P119" s="187">
        <v>0</v>
      </c>
    </row>
    <row r="120" spans="1:16" s="187" customFormat="1" ht="12.75">
      <c r="A120" s="187" t="s">
        <v>54</v>
      </c>
      <c r="B120" s="187" t="s">
        <v>72</v>
      </c>
      <c r="C120" s="187" t="s">
        <v>143</v>
      </c>
      <c r="D120" s="187" t="s">
        <v>143</v>
      </c>
      <c r="E120" s="187" t="s">
        <v>281</v>
      </c>
      <c r="F120" s="187" t="s">
        <v>23</v>
      </c>
      <c r="G120" s="187">
        <v>223420736</v>
      </c>
      <c r="H120" s="187" t="s">
        <v>92</v>
      </c>
      <c r="I120" s="187" t="s">
        <v>58</v>
      </c>
      <c r="J120" s="187" t="s">
        <v>143</v>
      </c>
      <c r="K120" s="187" t="s">
        <v>171</v>
      </c>
      <c r="L120" s="187">
        <v>0</v>
      </c>
      <c r="M120" s="187">
        <v>0</v>
      </c>
      <c r="N120" s="187">
        <v>0</v>
      </c>
      <c r="O120" s="187">
        <v>0.46</v>
      </c>
      <c r="P120" s="187">
        <v>1</v>
      </c>
    </row>
    <row r="121" spans="1:16" s="187" customFormat="1" ht="12.75">
      <c r="A121" s="187" t="s">
        <v>54</v>
      </c>
      <c r="B121" s="187" t="s">
        <v>72</v>
      </c>
      <c r="C121" s="187" t="s">
        <v>143</v>
      </c>
      <c r="D121" s="187" t="s">
        <v>143</v>
      </c>
      <c r="E121" s="187" t="s">
        <v>281</v>
      </c>
      <c r="F121" s="187" t="s">
        <v>23</v>
      </c>
      <c r="G121" s="187">
        <v>223420736</v>
      </c>
      <c r="H121" s="187" t="s">
        <v>92</v>
      </c>
      <c r="I121" s="187" t="s">
        <v>58</v>
      </c>
      <c r="J121" s="187" t="s">
        <v>143</v>
      </c>
      <c r="K121" s="187" t="s">
        <v>430</v>
      </c>
      <c r="L121" s="187">
        <v>0</v>
      </c>
      <c r="M121" s="187">
        <v>0</v>
      </c>
      <c r="N121" s="187">
        <v>0</v>
      </c>
      <c r="O121" s="187">
        <v>0</v>
      </c>
      <c r="P121" s="187">
        <v>7</v>
      </c>
    </row>
    <row r="122" spans="1:16" s="187" customFormat="1" ht="12.75">
      <c r="A122" s="187" t="s">
        <v>54</v>
      </c>
      <c r="B122" s="187" t="s">
        <v>72</v>
      </c>
      <c r="C122" s="187" t="s">
        <v>143</v>
      </c>
      <c r="D122" s="187" t="s">
        <v>143</v>
      </c>
      <c r="E122" s="187" t="s">
        <v>281</v>
      </c>
      <c r="F122" s="187" t="s">
        <v>23</v>
      </c>
      <c r="G122" s="187">
        <v>223420736</v>
      </c>
      <c r="H122" s="187" t="s">
        <v>92</v>
      </c>
      <c r="I122" s="187" t="s">
        <v>58</v>
      </c>
      <c r="J122" s="187" t="s">
        <v>143</v>
      </c>
      <c r="K122" s="187" t="s">
        <v>62</v>
      </c>
      <c r="L122" s="187">
        <v>3</v>
      </c>
      <c r="M122" s="187">
        <v>1804.28</v>
      </c>
      <c r="N122" s="187">
        <v>2</v>
      </c>
      <c r="O122" s="187">
        <v>1145.51</v>
      </c>
      <c r="P122" s="187">
        <v>0</v>
      </c>
    </row>
    <row r="123" spans="1:16" s="187" customFormat="1" ht="12.75">
      <c r="A123" s="187" t="s">
        <v>54</v>
      </c>
      <c r="B123" s="187" t="s">
        <v>72</v>
      </c>
      <c r="C123" s="187" t="s">
        <v>143</v>
      </c>
      <c r="D123" s="187" t="s">
        <v>143</v>
      </c>
      <c r="E123" s="187" t="s">
        <v>282</v>
      </c>
      <c r="F123" s="187" t="s">
        <v>176</v>
      </c>
      <c r="G123" s="187">
        <v>223671295</v>
      </c>
      <c r="H123" s="187" t="s">
        <v>93</v>
      </c>
      <c r="I123" s="187" t="s">
        <v>58</v>
      </c>
      <c r="J123" s="187" t="s">
        <v>143</v>
      </c>
      <c r="K123" s="187" t="s">
        <v>430</v>
      </c>
      <c r="L123" s="187">
        <v>3</v>
      </c>
      <c r="M123" s="187">
        <v>950.08</v>
      </c>
      <c r="N123" s="187">
        <v>2</v>
      </c>
      <c r="O123" s="187">
        <v>612.9</v>
      </c>
      <c r="P123" s="187">
        <v>42</v>
      </c>
    </row>
    <row r="124" spans="1:16" s="187" customFormat="1" ht="12.75">
      <c r="A124" s="187" t="s">
        <v>54</v>
      </c>
      <c r="B124" s="187" t="s">
        <v>72</v>
      </c>
      <c r="C124" s="187" t="s">
        <v>143</v>
      </c>
      <c r="D124" s="187" t="s">
        <v>143</v>
      </c>
      <c r="E124" s="187" t="s">
        <v>282</v>
      </c>
      <c r="F124" s="187" t="s">
        <v>176</v>
      </c>
      <c r="G124" s="187">
        <v>223671295</v>
      </c>
      <c r="H124" s="187" t="s">
        <v>93</v>
      </c>
      <c r="I124" s="187" t="s">
        <v>58</v>
      </c>
      <c r="J124" s="187" t="s">
        <v>143</v>
      </c>
      <c r="K124" s="187" t="s">
        <v>138</v>
      </c>
      <c r="L124" s="187">
        <v>1</v>
      </c>
      <c r="M124" s="187">
        <v>324</v>
      </c>
      <c r="N124" s="187">
        <v>0</v>
      </c>
      <c r="O124" s="187">
        <v>0</v>
      </c>
      <c r="P124" s="187">
        <v>2</v>
      </c>
    </row>
    <row r="125" spans="1:16" s="187" customFormat="1" ht="12.75">
      <c r="A125" s="187" t="s">
        <v>54</v>
      </c>
      <c r="B125" s="187" t="s">
        <v>72</v>
      </c>
      <c r="C125" s="187" t="s">
        <v>143</v>
      </c>
      <c r="D125" s="187" t="s">
        <v>143</v>
      </c>
      <c r="E125" s="187" t="s">
        <v>282</v>
      </c>
      <c r="F125" s="187" t="s">
        <v>176</v>
      </c>
      <c r="G125" s="187">
        <v>223671295</v>
      </c>
      <c r="H125" s="187" t="s">
        <v>93</v>
      </c>
      <c r="I125" s="187" t="s">
        <v>58</v>
      </c>
      <c r="J125" s="187" t="s">
        <v>143</v>
      </c>
      <c r="K125" s="187" t="s">
        <v>289</v>
      </c>
      <c r="L125" s="187">
        <v>0</v>
      </c>
      <c r="M125" s="187">
        <v>0</v>
      </c>
      <c r="N125" s="187">
        <v>0</v>
      </c>
      <c r="O125" s="187">
        <v>0</v>
      </c>
      <c r="P125" s="187">
        <v>0</v>
      </c>
    </row>
    <row r="126" spans="1:16" s="187" customFormat="1" ht="12.75">
      <c r="A126" s="187" t="s">
        <v>54</v>
      </c>
      <c r="B126" s="187" t="s">
        <v>72</v>
      </c>
      <c r="C126" s="187" t="s">
        <v>143</v>
      </c>
      <c r="D126" s="187" t="s">
        <v>143</v>
      </c>
      <c r="E126" s="187" t="s">
        <v>282</v>
      </c>
      <c r="F126" s="187" t="s">
        <v>176</v>
      </c>
      <c r="G126" s="187">
        <v>223671295</v>
      </c>
      <c r="H126" s="187" t="s">
        <v>93</v>
      </c>
      <c r="I126" s="187" t="s">
        <v>58</v>
      </c>
      <c r="J126" s="187" t="s">
        <v>143</v>
      </c>
      <c r="K126" s="187" t="s">
        <v>62</v>
      </c>
      <c r="L126" s="187">
        <v>2</v>
      </c>
      <c r="M126" s="187">
        <v>632.92999999999995</v>
      </c>
      <c r="N126" s="187">
        <v>0</v>
      </c>
      <c r="O126" s="187">
        <v>0</v>
      </c>
      <c r="P126" s="187">
        <v>42</v>
      </c>
    </row>
    <row r="127" spans="1:16" s="187" customFormat="1" ht="12.75">
      <c r="A127" s="187" t="s">
        <v>54</v>
      </c>
      <c r="B127" s="187" t="s">
        <v>72</v>
      </c>
      <c r="C127" s="187" t="s">
        <v>143</v>
      </c>
      <c r="D127" s="187" t="s">
        <v>143</v>
      </c>
      <c r="E127" s="187" t="s">
        <v>282</v>
      </c>
      <c r="F127" s="187" t="s">
        <v>176</v>
      </c>
      <c r="G127" s="187">
        <v>223671295</v>
      </c>
      <c r="H127" s="187" t="s">
        <v>93</v>
      </c>
      <c r="I127" s="187" t="s">
        <v>58</v>
      </c>
      <c r="J127" s="187" t="s">
        <v>143</v>
      </c>
      <c r="K127" s="187" t="s">
        <v>360</v>
      </c>
      <c r="L127" s="187">
        <v>1</v>
      </c>
      <c r="M127" s="187">
        <v>324</v>
      </c>
      <c r="N127" s="187">
        <v>1</v>
      </c>
      <c r="O127" s="187">
        <v>312.25</v>
      </c>
      <c r="P127" s="187">
        <v>0</v>
      </c>
    </row>
    <row r="128" spans="1:16" s="187" customFormat="1" ht="12.75">
      <c r="A128" s="187" t="s">
        <v>54</v>
      </c>
      <c r="B128" s="187" t="s">
        <v>72</v>
      </c>
      <c r="C128" s="187" t="s">
        <v>143</v>
      </c>
      <c r="D128" s="187" t="s">
        <v>143</v>
      </c>
      <c r="E128" s="187" t="s">
        <v>282</v>
      </c>
      <c r="F128" s="187" t="s">
        <v>176</v>
      </c>
      <c r="G128" s="187">
        <v>223671295</v>
      </c>
      <c r="H128" s="187" t="s">
        <v>93</v>
      </c>
      <c r="I128" s="187" t="s">
        <v>58</v>
      </c>
      <c r="J128" s="187" t="s">
        <v>143</v>
      </c>
      <c r="K128" s="187" t="s">
        <v>171</v>
      </c>
      <c r="L128" s="187">
        <v>1</v>
      </c>
      <c r="M128" s="187">
        <v>330.85</v>
      </c>
      <c r="N128" s="187">
        <v>1</v>
      </c>
      <c r="O128" s="187">
        <v>230.31</v>
      </c>
      <c r="P128" s="187">
        <v>89</v>
      </c>
    </row>
    <row r="129" spans="1:16" s="187" customFormat="1" ht="12.75">
      <c r="A129" s="187" t="s">
        <v>54</v>
      </c>
      <c r="B129" s="187" t="s">
        <v>72</v>
      </c>
      <c r="C129" s="187" t="s">
        <v>143</v>
      </c>
      <c r="D129" s="187" t="s">
        <v>143</v>
      </c>
      <c r="E129" s="187" t="s">
        <v>282</v>
      </c>
      <c r="F129" s="187" t="s">
        <v>176</v>
      </c>
      <c r="G129" s="187">
        <v>223671295</v>
      </c>
      <c r="H129" s="187" t="s">
        <v>93</v>
      </c>
      <c r="I129" s="187" t="s">
        <v>58</v>
      </c>
      <c r="J129" s="187" t="s">
        <v>143</v>
      </c>
      <c r="K129" s="187" t="s">
        <v>475</v>
      </c>
      <c r="L129" s="187">
        <v>1</v>
      </c>
      <c r="M129" s="187">
        <v>319.95</v>
      </c>
      <c r="N129" s="187">
        <v>1</v>
      </c>
      <c r="O129" s="187">
        <v>314.74</v>
      </c>
      <c r="P129" s="187">
        <v>1</v>
      </c>
    </row>
    <row r="130" spans="1:16" s="187" customFormat="1" ht="12.75">
      <c r="A130" s="187" t="s">
        <v>54</v>
      </c>
      <c r="B130" s="187" t="s">
        <v>72</v>
      </c>
      <c r="C130" s="187" t="s">
        <v>143</v>
      </c>
      <c r="D130" s="187" t="s">
        <v>143</v>
      </c>
      <c r="E130" s="187" t="s">
        <v>282</v>
      </c>
      <c r="F130" s="187" t="s">
        <v>176</v>
      </c>
      <c r="G130" s="187">
        <v>223671295</v>
      </c>
      <c r="H130" s="187" t="s">
        <v>93</v>
      </c>
      <c r="I130" s="187" t="s">
        <v>58</v>
      </c>
      <c r="J130" s="187" t="s">
        <v>143</v>
      </c>
      <c r="K130" s="187" t="s">
        <v>60</v>
      </c>
      <c r="L130" s="187">
        <v>6</v>
      </c>
      <c r="M130" s="187">
        <v>1932.55</v>
      </c>
      <c r="N130" s="187">
        <v>5</v>
      </c>
      <c r="O130" s="187">
        <v>1541.87</v>
      </c>
      <c r="P130" s="187">
        <v>68</v>
      </c>
    </row>
    <row r="131" spans="1:16" s="187" customFormat="1" ht="12.75">
      <c r="A131" s="187" t="s">
        <v>54</v>
      </c>
      <c r="B131" s="187" t="s">
        <v>72</v>
      </c>
      <c r="C131" s="187" t="s">
        <v>143</v>
      </c>
      <c r="D131" s="187" t="s">
        <v>143</v>
      </c>
      <c r="E131" s="187" t="s">
        <v>282</v>
      </c>
      <c r="F131" s="187" t="s">
        <v>176</v>
      </c>
      <c r="G131" s="187">
        <v>223671295</v>
      </c>
      <c r="H131" s="187" t="s">
        <v>93</v>
      </c>
      <c r="I131" s="187" t="s">
        <v>58</v>
      </c>
      <c r="J131" s="187" t="s">
        <v>143</v>
      </c>
      <c r="K131" s="187" t="s">
        <v>64</v>
      </c>
      <c r="L131" s="187">
        <v>2</v>
      </c>
      <c r="M131" s="187">
        <v>661.7</v>
      </c>
      <c r="N131" s="187">
        <v>2</v>
      </c>
      <c r="O131" s="187">
        <v>633.26</v>
      </c>
      <c r="P131" s="187">
        <v>0</v>
      </c>
    </row>
    <row r="132" spans="1:16" s="187" customFormat="1" ht="12.75">
      <c r="A132" s="187" t="s">
        <v>54</v>
      </c>
      <c r="B132" s="187" t="s">
        <v>72</v>
      </c>
      <c r="C132" s="187" t="s">
        <v>143</v>
      </c>
      <c r="D132" s="187" t="s">
        <v>143</v>
      </c>
      <c r="E132" s="187" t="s">
        <v>282</v>
      </c>
      <c r="F132" s="187" t="s">
        <v>176</v>
      </c>
      <c r="G132" s="187">
        <v>223671295</v>
      </c>
      <c r="H132" s="187" t="s">
        <v>93</v>
      </c>
      <c r="I132" s="187" t="s">
        <v>58</v>
      </c>
      <c r="J132" s="187" t="s">
        <v>143</v>
      </c>
      <c r="K132" s="187" t="s">
        <v>67</v>
      </c>
      <c r="L132" s="187">
        <v>0</v>
      </c>
      <c r="M132" s="187">
        <v>0</v>
      </c>
      <c r="N132" s="187">
        <v>0</v>
      </c>
      <c r="O132" s="187">
        <v>0</v>
      </c>
      <c r="P132" s="187">
        <v>50</v>
      </c>
    </row>
    <row r="133" spans="1:16" s="187" customFormat="1" ht="12.75">
      <c r="A133" s="187" t="s">
        <v>54</v>
      </c>
      <c r="B133" s="187" t="s">
        <v>72</v>
      </c>
      <c r="C133" s="187" t="s">
        <v>143</v>
      </c>
      <c r="D133" s="187" t="s">
        <v>143</v>
      </c>
      <c r="E133" s="187" t="s">
        <v>282</v>
      </c>
      <c r="F133" s="187" t="s">
        <v>176</v>
      </c>
      <c r="G133" s="187">
        <v>223671295</v>
      </c>
      <c r="H133" s="187" t="s">
        <v>93</v>
      </c>
      <c r="I133" s="187" t="s">
        <v>58</v>
      </c>
      <c r="J133" s="187" t="s">
        <v>143</v>
      </c>
      <c r="K133" s="187" t="s">
        <v>61</v>
      </c>
      <c r="L133" s="187">
        <v>3</v>
      </c>
      <c r="M133" s="187">
        <v>982.28</v>
      </c>
      <c r="N133" s="187">
        <v>4</v>
      </c>
      <c r="O133" s="187">
        <v>1262.97</v>
      </c>
      <c r="P133" s="187">
        <v>50</v>
      </c>
    </row>
    <row r="134" spans="1:16" s="187" customFormat="1" ht="12.75">
      <c r="A134" s="187" t="s">
        <v>54</v>
      </c>
      <c r="B134" s="187" t="s">
        <v>72</v>
      </c>
      <c r="C134" s="187" t="s">
        <v>143</v>
      </c>
      <c r="D134" s="187" t="s">
        <v>143</v>
      </c>
      <c r="E134" s="187" t="s">
        <v>282</v>
      </c>
      <c r="F134" s="187" t="s">
        <v>176</v>
      </c>
      <c r="G134" s="187">
        <v>223671295</v>
      </c>
      <c r="H134" s="187" t="s">
        <v>93</v>
      </c>
      <c r="I134" s="187" t="s">
        <v>58</v>
      </c>
      <c r="J134" s="187" t="s">
        <v>143</v>
      </c>
      <c r="K134" s="187" t="s">
        <v>63</v>
      </c>
      <c r="L134" s="187">
        <v>10</v>
      </c>
      <c r="M134" s="187">
        <v>3274.25</v>
      </c>
      <c r="N134" s="187">
        <v>7</v>
      </c>
      <c r="O134" s="187">
        <v>2203.0100000000002</v>
      </c>
      <c r="P134" s="187">
        <v>66</v>
      </c>
    </row>
    <row r="135" spans="1:16" s="187" customFormat="1" ht="12.75">
      <c r="A135" s="187" t="s">
        <v>54</v>
      </c>
      <c r="B135" s="187" t="s">
        <v>72</v>
      </c>
      <c r="C135" s="187" t="s">
        <v>143</v>
      </c>
      <c r="D135" s="187" t="s">
        <v>143</v>
      </c>
      <c r="E135" s="187" t="s">
        <v>282</v>
      </c>
      <c r="F135" s="187" t="s">
        <v>176</v>
      </c>
      <c r="G135" s="187">
        <v>223671295</v>
      </c>
      <c r="H135" s="187" t="s">
        <v>93</v>
      </c>
      <c r="I135" s="187" t="s">
        <v>58</v>
      </c>
      <c r="J135" s="187" t="s">
        <v>143</v>
      </c>
      <c r="K135" s="187" t="s">
        <v>443</v>
      </c>
      <c r="L135" s="187">
        <v>1</v>
      </c>
      <c r="M135" s="187">
        <v>330.85</v>
      </c>
      <c r="N135" s="187">
        <v>0</v>
      </c>
      <c r="O135" s="187">
        <v>0</v>
      </c>
      <c r="P135" s="187">
        <v>38</v>
      </c>
    </row>
    <row r="136" spans="1:16" s="187" customFormat="1" ht="12.75">
      <c r="A136" s="187" t="s">
        <v>54</v>
      </c>
      <c r="B136" s="187" t="s">
        <v>72</v>
      </c>
      <c r="C136" s="187" t="s">
        <v>143</v>
      </c>
      <c r="D136" s="187" t="s">
        <v>143</v>
      </c>
      <c r="E136" s="187" t="s">
        <v>282</v>
      </c>
      <c r="F136" s="187" t="s">
        <v>177</v>
      </c>
      <c r="G136" s="187">
        <v>236072834</v>
      </c>
      <c r="H136" s="187" t="s">
        <v>96</v>
      </c>
      <c r="I136" s="187" t="s">
        <v>58</v>
      </c>
      <c r="J136" s="187" t="s">
        <v>143</v>
      </c>
      <c r="K136" s="187" t="s">
        <v>63</v>
      </c>
      <c r="L136" s="187">
        <v>1</v>
      </c>
      <c r="M136" s="187">
        <v>345.92</v>
      </c>
      <c r="N136" s="187">
        <v>1</v>
      </c>
      <c r="O136" s="187">
        <v>329.24</v>
      </c>
      <c r="P136" s="187">
        <v>0</v>
      </c>
    </row>
    <row r="137" spans="1:16" s="187" customFormat="1" ht="12.75">
      <c r="A137" s="187" t="s">
        <v>54</v>
      </c>
      <c r="B137" s="187" t="s">
        <v>72</v>
      </c>
      <c r="C137" s="187" t="s">
        <v>143</v>
      </c>
      <c r="D137" s="187" t="s">
        <v>143</v>
      </c>
      <c r="E137" s="187" t="s">
        <v>282</v>
      </c>
      <c r="F137" s="187" t="s">
        <v>177</v>
      </c>
      <c r="G137" s="187">
        <v>236072834</v>
      </c>
      <c r="H137" s="187" t="s">
        <v>96</v>
      </c>
      <c r="I137" s="187" t="s">
        <v>58</v>
      </c>
      <c r="J137" s="187" t="s">
        <v>143</v>
      </c>
      <c r="K137" s="187" t="s">
        <v>430</v>
      </c>
      <c r="L137" s="187">
        <v>2</v>
      </c>
      <c r="M137" s="187">
        <v>626.09</v>
      </c>
      <c r="N137" s="187">
        <v>2</v>
      </c>
      <c r="O137" s="187">
        <v>600.89</v>
      </c>
      <c r="P137" s="187">
        <v>0</v>
      </c>
    </row>
    <row r="138" spans="1:16" s="187" customFormat="1" ht="12.75">
      <c r="A138" s="187" t="s">
        <v>54</v>
      </c>
      <c r="B138" s="187" t="s">
        <v>72</v>
      </c>
      <c r="C138" s="187" t="s">
        <v>143</v>
      </c>
      <c r="D138" s="187" t="s">
        <v>143</v>
      </c>
      <c r="E138" s="187" t="s">
        <v>282</v>
      </c>
      <c r="F138" s="187" t="s">
        <v>177</v>
      </c>
      <c r="G138" s="187">
        <v>236072834</v>
      </c>
      <c r="H138" s="187" t="s">
        <v>96</v>
      </c>
      <c r="I138" s="187" t="s">
        <v>58</v>
      </c>
      <c r="J138" s="187" t="s">
        <v>143</v>
      </c>
      <c r="K138" s="187" t="s">
        <v>59</v>
      </c>
      <c r="L138" s="187">
        <v>2</v>
      </c>
      <c r="M138" s="187">
        <v>752.13</v>
      </c>
      <c r="N138" s="187">
        <v>2</v>
      </c>
      <c r="O138" s="187">
        <v>733.03</v>
      </c>
      <c r="P138" s="187">
        <v>0</v>
      </c>
    </row>
    <row r="139" spans="1:16" s="187" customFormat="1" ht="12.75">
      <c r="A139" s="187" t="s">
        <v>54</v>
      </c>
      <c r="B139" s="187" t="s">
        <v>72</v>
      </c>
      <c r="C139" s="187" t="s">
        <v>143</v>
      </c>
      <c r="D139" s="187" t="s">
        <v>143</v>
      </c>
      <c r="E139" s="187" t="s">
        <v>282</v>
      </c>
      <c r="F139" s="187" t="s">
        <v>177</v>
      </c>
      <c r="G139" s="187">
        <v>236072834</v>
      </c>
      <c r="H139" s="187" t="s">
        <v>96</v>
      </c>
      <c r="I139" s="187" t="s">
        <v>58</v>
      </c>
      <c r="J139" s="187" t="s">
        <v>143</v>
      </c>
      <c r="K139" s="187" t="s">
        <v>62</v>
      </c>
      <c r="L139" s="187">
        <v>5</v>
      </c>
      <c r="M139" s="187">
        <v>1859.76</v>
      </c>
      <c r="N139" s="187">
        <v>3</v>
      </c>
      <c r="O139" s="187">
        <v>1055.8499999999999</v>
      </c>
      <c r="P139" s="187">
        <v>9</v>
      </c>
    </row>
    <row r="140" spans="1:16" s="187" customFormat="1" ht="12.75">
      <c r="A140" s="187" t="s">
        <v>54</v>
      </c>
      <c r="B140" s="187" t="s">
        <v>72</v>
      </c>
      <c r="C140" s="187" t="s">
        <v>143</v>
      </c>
      <c r="D140" s="187" t="s">
        <v>143</v>
      </c>
      <c r="E140" s="187" t="s">
        <v>282</v>
      </c>
      <c r="F140" s="187" t="s">
        <v>177</v>
      </c>
      <c r="G140" s="187">
        <v>236072834</v>
      </c>
      <c r="H140" s="187" t="s">
        <v>96</v>
      </c>
      <c r="I140" s="187" t="s">
        <v>58</v>
      </c>
      <c r="J140" s="187" t="s">
        <v>143</v>
      </c>
      <c r="K140" s="187" t="s">
        <v>64</v>
      </c>
      <c r="L140" s="187">
        <v>1</v>
      </c>
      <c r="M140" s="187">
        <v>346.61</v>
      </c>
      <c r="N140" s="187">
        <v>1</v>
      </c>
      <c r="O140" s="187">
        <v>333.65</v>
      </c>
      <c r="P140" s="187">
        <v>1</v>
      </c>
    </row>
    <row r="141" spans="1:16" s="187" customFormat="1" ht="12.75">
      <c r="A141" s="187" t="s">
        <v>54</v>
      </c>
      <c r="B141" s="187" t="s">
        <v>72</v>
      </c>
      <c r="C141" s="187" t="s">
        <v>143</v>
      </c>
      <c r="D141" s="187" t="s">
        <v>143</v>
      </c>
      <c r="E141" s="187" t="s">
        <v>282</v>
      </c>
      <c r="F141" s="187" t="s">
        <v>177</v>
      </c>
      <c r="G141" s="187">
        <v>236072834</v>
      </c>
      <c r="H141" s="187" t="s">
        <v>96</v>
      </c>
      <c r="I141" s="187" t="s">
        <v>58</v>
      </c>
      <c r="J141" s="187" t="s">
        <v>143</v>
      </c>
      <c r="K141" s="187" t="s">
        <v>89</v>
      </c>
      <c r="L141" s="187">
        <v>0</v>
      </c>
      <c r="M141" s="187">
        <v>0</v>
      </c>
      <c r="N141" s="187">
        <v>0</v>
      </c>
      <c r="O141" s="187">
        <v>0</v>
      </c>
      <c r="P141" s="187">
        <v>1</v>
      </c>
    </row>
    <row r="142" spans="1:16" s="187" customFormat="1" ht="12.75">
      <c r="A142" s="187" t="s">
        <v>54</v>
      </c>
      <c r="B142" s="187" t="s">
        <v>72</v>
      </c>
      <c r="C142" s="187" t="s">
        <v>143</v>
      </c>
      <c r="D142" s="187" t="s">
        <v>143</v>
      </c>
      <c r="E142" s="187" t="s">
        <v>282</v>
      </c>
      <c r="F142" s="187" t="s">
        <v>177</v>
      </c>
      <c r="G142" s="187">
        <v>236072834</v>
      </c>
      <c r="H142" s="187" t="s">
        <v>96</v>
      </c>
      <c r="I142" s="187" t="s">
        <v>58</v>
      </c>
      <c r="J142" s="187" t="s">
        <v>143</v>
      </c>
      <c r="K142" s="187" t="s">
        <v>67</v>
      </c>
      <c r="L142" s="187">
        <v>0</v>
      </c>
      <c r="M142" s="187">
        <v>0</v>
      </c>
      <c r="N142" s="187">
        <v>0</v>
      </c>
      <c r="O142" s="187">
        <v>0</v>
      </c>
      <c r="P142" s="187">
        <v>52</v>
      </c>
    </row>
    <row r="143" spans="1:16" s="187" customFormat="1" ht="12.75">
      <c r="A143" s="187" t="s">
        <v>54</v>
      </c>
      <c r="B143" s="187" t="s">
        <v>72</v>
      </c>
      <c r="C143" s="187" t="s">
        <v>143</v>
      </c>
      <c r="D143" s="187" t="s">
        <v>143</v>
      </c>
      <c r="E143" s="187" t="s">
        <v>282</v>
      </c>
      <c r="F143" s="187" t="s">
        <v>177</v>
      </c>
      <c r="G143" s="187">
        <v>236072834</v>
      </c>
      <c r="H143" s="187" t="s">
        <v>96</v>
      </c>
      <c r="I143" s="187" t="s">
        <v>58</v>
      </c>
      <c r="J143" s="187" t="s">
        <v>143</v>
      </c>
      <c r="K143" s="187" t="s">
        <v>60</v>
      </c>
      <c r="L143" s="187">
        <v>11</v>
      </c>
      <c r="M143" s="187">
        <v>3747.12</v>
      </c>
      <c r="N143" s="187">
        <v>12</v>
      </c>
      <c r="O143" s="187">
        <v>3797.38</v>
      </c>
      <c r="P143" s="187">
        <v>36</v>
      </c>
    </row>
    <row r="144" spans="1:16" s="187" customFormat="1" ht="12.75">
      <c r="A144" s="187" t="s">
        <v>54</v>
      </c>
      <c r="B144" s="187" t="s">
        <v>72</v>
      </c>
      <c r="C144" s="187" t="s">
        <v>143</v>
      </c>
      <c r="D144" s="187" t="s">
        <v>143</v>
      </c>
      <c r="E144" s="187" t="s">
        <v>282</v>
      </c>
      <c r="F144" s="187" t="s">
        <v>177</v>
      </c>
      <c r="G144" s="187">
        <v>236072834</v>
      </c>
      <c r="H144" s="187" t="s">
        <v>96</v>
      </c>
      <c r="I144" s="187" t="s">
        <v>58</v>
      </c>
      <c r="J144" s="187" t="s">
        <v>143</v>
      </c>
      <c r="K144" s="187" t="s">
        <v>443</v>
      </c>
      <c r="L144" s="187">
        <v>2</v>
      </c>
      <c r="M144" s="187">
        <v>700.07</v>
      </c>
      <c r="N144" s="187">
        <v>2</v>
      </c>
      <c r="O144" s="187">
        <v>655.05999999999995</v>
      </c>
      <c r="P144" s="187">
        <v>0</v>
      </c>
    </row>
    <row r="145" spans="1:16" s="187" customFormat="1" ht="12.75">
      <c r="A145" s="187" t="s">
        <v>54</v>
      </c>
      <c r="B145" s="187" t="s">
        <v>72</v>
      </c>
      <c r="C145" s="187" t="s">
        <v>143</v>
      </c>
      <c r="D145" s="187" t="s">
        <v>143</v>
      </c>
      <c r="E145" s="187" t="s">
        <v>282</v>
      </c>
      <c r="F145" s="187" t="s">
        <v>177</v>
      </c>
      <c r="G145" s="187">
        <v>236072834</v>
      </c>
      <c r="H145" s="187" t="s">
        <v>96</v>
      </c>
      <c r="I145" s="187" t="s">
        <v>58</v>
      </c>
      <c r="J145" s="187" t="s">
        <v>143</v>
      </c>
      <c r="K145" s="187" t="s">
        <v>61</v>
      </c>
      <c r="L145" s="187">
        <v>23</v>
      </c>
      <c r="M145" s="187">
        <v>7979.54</v>
      </c>
      <c r="N145" s="187">
        <v>23</v>
      </c>
      <c r="O145" s="187">
        <v>7519.45</v>
      </c>
      <c r="P145" s="187">
        <v>25</v>
      </c>
    </row>
    <row r="146" spans="1:16" s="187" customFormat="1" ht="12.75">
      <c r="A146" s="187" t="s">
        <v>54</v>
      </c>
      <c r="B146" s="187" t="s">
        <v>72</v>
      </c>
      <c r="C146" s="187" t="s">
        <v>143</v>
      </c>
      <c r="D146" s="187" t="s">
        <v>143</v>
      </c>
      <c r="E146" s="187" t="s">
        <v>282</v>
      </c>
      <c r="F146" s="187" t="s">
        <v>177</v>
      </c>
      <c r="G146" s="187">
        <v>236072834</v>
      </c>
      <c r="H146" s="187" t="s">
        <v>96</v>
      </c>
      <c r="I146" s="187" t="s">
        <v>58</v>
      </c>
      <c r="J146" s="187" t="s">
        <v>143</v>
      </c>
      <c r="K146" s="187" t="s">
        <v>171</v>
      </c>
      <c r="L146" s="187">
        <v>12</v>
      </c>
      <c r="M146" s="187">
        <v>3908.09</v>
      </c>
      <c r="N146" s="187">
        <v>14</v>
      </c>
      <c r="O146" s="187">
        <v>4274.6000000000004</v>
      </c>
      <c r="P146" s="187">
        <v>16</v>
      </c>
    </row>
    <row r="147" spans="1:16" s="187" customFormat="1" ht="12.75">
      <c r="A147" s="187" t="s">
        <v>54</v>
      </c>
      <c r="B147" s="187" t="s">
        <v>72</v>
      </c>
      <c r="C147" s="187" t="s">
        <v>143</v>
      </c>
      <c r="D147" s="187" t="s">
        <v>143</v>
      </c>
      <c r="E147" s="187" t="s">
        <v>175</v>
      </c>
      <c r="F147" s="187" t="s">
        <v>178</v>
      </c>
      <c r="G147" s="187">
        <v>236072835</v>
      </c>
      <c r="H147" s="187" t="s">
        <v>97</v>
      </c>
      <c r="I147" s="187" t="s">
        <v>58</v>
      </c>
      <c r="J147" s="187" t="s">
        <v>143</v>
      </c>
      <c r="K147" s="187" t="s">
        <v>61</v>
      </c>
      <c r="L147" s="187">
        <v>20</v>
      </c>
      <c r="M147" s="187">
        <v>8645.31</v>
      </c>
      <c r="N147" s="187">
        <v>17</v>
      </c>
      <c r="O147" s="187">
        <v>6988.78</v>
      </c>
      <c r="P147" s="187">
        <v>16</v>
      </c>
    </row>
    <row r="148" spans="1:16" s="187" customFormat="1" ht="12.75">
      <c r="A148" s="187" t="s">
        <v>54</v>
      </c>
      <c r="B148" s="187" t="s">
        <v>72</v>
      </c>
      <c r="C148" s="187" t="s">
        <v>143</v>
      </c>
      <c r="D148" s="187" t="s">
        <v>143</v>
      </c>
      <c r="E148" s="187" t="s">
        <v>175</v>
      </c>
      <c r="F148" s="187" t="s">
        <v>178</v>
      </c>
      <c r="G148" s="187">
        <v>236072835</v>
      </c>
      <c r="H148" s="187" t="s">
        <v>97</v>
      </c>
      <c r="I148" s="187" t="s">
        <v>58</v>
      </c>
      <c r="J148" s="187" t="s">
        <v>143</v>
      </c>
      <c r="K148" s="187" t="s">
        <v>430</v>
      </c>
      <c r="L148" s="187">
        <v>16</v>
      </c>
      <c r="M148" s="187">
        <v>6865.69</v>
      </c>
      <c r="N148" s="187">
        <v>12</v>
      </c>
      <c r="O148" s="187">
        <v>4894.51</v>
      </c>
      <c r="P148" s="187">
        <v>119</v>
      </c>
    </row>
    <row r="149" spans="1:16" s="187" customFormat="1" ht="12.75">
      <c r="A149" s="187" t="s">
        <v>54</v>
      </c>
      <c r="B149" s="187" t="s">
        <v>72</v>
      </c>
      <c r="C149" s="187" t="s">
        <v>143</v>
      </c>
      <c r="D149" s="187" t="s">
        <v>143</v>
      </c>
      <c r="E149" s="187" t="s">
        <v>175</v>
      </c>
      <c r="F149" s="187" t="s">
        <v>178</v>
      </c>
      <c r="G149" s="187">
        <v>236072835</v>
      </c>
      <c r="H149" s="187" t="s">
        <v>97</v>
      </c>
      <c r="I149" s="187" t="s">
        <v>58</v>
      </c>
      <c r="J149" s="187" t="s">
        <v>143</v>
      </c>
      <c r="K149" s="187" t="s">
        <v>60</v>
      </c>
      <c r="L149" s="187">
        <v>10</v>
      </c>
      <c r="M149" s="187">
        <v>4194.21</v>
      </c>
      <c r="N149" s="187">
        <v>13</v>
      </c>
      <c r="O149" s="187">
        <v>5021.8999999999996</v>
      </c>
      <c r="P149" s="187">
        <v>64</v>
      </c>
    </row>
    <row r="150" spans="1:16" s="187" customFormat="1" ht="12.75">
      <c r="A150" s="187" t="s">
        <v>54</v>
      </c>
      <c r="B150" s="187" t="s">
        <v>72</v>
      </c>
      <c r="C150" s="187" t="s">
        <v>143</v>
      </c>
      <c r="D150" s="187" t="s">
        <v>143</v>
      </c>
      <c r="E150" s="187" t="s">
        <v>175</v>
      </c>
      <c r="F150" s="187" t="s">
        <v>178</v>
      </c>
      <c r="G150" s="187">
        <v>236072835</v>
      </c>
      <c r="H150" s="187" t="s">
        <v>97</v>
      </c>
      <c r="I150" s="187" t="s">
        <v>58</v>
      </c>
      <c r="J150" s="187" t="s">
        <v>143</v>
      </c>
      <c r="K150" s="187" t="s">
        <v>63</v>
      </c>
      <c r="L150" s="187">
        <v>3</v>
      </c>
      <c r="M150" s="187">
        <v>1321.35</v>
      </c>
      <c r="N150" s="187">
        <v>2</v>
      </c>
      <c r="O150" s="187">
        <v>838.83</v>
      </c>
      <c r="P150" s="187">
        <v>1</v>
      </c>
    </row>
    <row r="151" spans="1:16" s="187" customFormat="1" ht="12.75">
      <c r="A151" s="187" t="s">
        <v>54</v>
      </c>
      <c r="B151" s="187" t="s">
        <v>72</v>
      </c>
      <c r="C151" s="187" t="s">
        <v>143</v>
      </c>
      <c r="D151" s="187" t="s">
        <v>143</v>
      </c>
      <c r="E151" s="187" t="s">
        <v>175</v>
      </c>
      <c r="F151" s="187" t="s">
        <v>178</v>
      </c>
      <c r="G151" s="187">
        <v>236072835</v>
      </c>
      <c r="H151" s="187" t="s">
        <v>97</v>
      </c>
      <c r="I151" s="187" t="s">
        <v>58</v>
      </c>
      <c r="J151" s="187" t="s">
        <v>143</v>
      </c>
      <c r="K151" s="187" t="s">
        <v>138</v>
      </c>
      <c r="L151" s="187">
        <v>1</v>
      </c>
      <c r="M151" s="187">
        <v>431.55</v>
      </c>
      <c r="N151" s="187">
        <v>1</v>
      </c>
      <c r="O151" s="187">
        <v>412.83</v>
      </c>
      <c r="P151" s="187">
        <v>0</v>
      </c>
    </row>
    <row r="152" spans="1:16" s="187" customFormat="1" ht="12.75">
      <c r="A152" s="187" t="s">
        <v>54</v>
      </c>
      <c r="B152" s="187" t="s">
        <v>72</v>
      </c>
      <c r="C152" s="187" t="s">
        <v>143</v>
      </c>
      <c r="D152" s="187" t="s">
        <v>143</v>
      </c>
      <c r="E152" s="187" t="s">
        <v>175</v>
      </c>
      <c r="F152" s="187" t="s">
        <v>178</v>
      </c>
      <c r="G152" s="187">
        <v>236072835</v>
      </c>
      <c r="H152" s="187" t="s">
        <v>97</v>
      </c>
      <c r="I152" s="187" t="s">
        <v>58</v>
      </c>
      <c r="J152" s="187" t="s">
        <v>143</v>
      </c>
      <c r="K152" s="187" t="s">
        <v>64</v>
      </c>
      <c r="L152" s="187">
        <v>1</v>
      </c>
      <c r="M152" s="187">
        <v>431.55</v>
      </c>
      <c r="N152" s="187">
        <v>1</v>
      </c>
      <c r="O152" s="187">
        <v>413.91</v>
      </c>
      <c r="P152" s="187">
        <v>0</v>
      </c>
    </row>
    <row r="153" spans="1:16" s="187" customFormat="1" ht="12.75">
      <c r="A153" s="187" t="s">
        <v>54</v>
      </c>
      <c r="B153" s="187" t="s">
        <v>72</v>
      </c>
      <c r="C153" s="187" t="s">
        <v>143</v>
      </c>
      <c r="D153" s="187" t="s">
        <v>143</v>
      </c>
      <c r="E153" s="187" t="s">
        <v>175</v>
      </c>
      <c r="F153" s="187" t="s">
        <v>178</v>
      </c>
      <c r="G153" s="187">
        <v>236072835</v>
      </c>
      <c r="H153" s="187" t="s">
        <v>97</v>
      </c>
      <c r="I153" s="187" t="s">
        <v>58</v>
      </c>
      <c r="J153" s="187" t="s">
        <v>143</v>
      </c>
      <c r="K153" s="187" t="s">
        <v>67</v>
      </c>
      <c r="L153" s="187">
        <v>6</v>
      </c>
      <c r="M153" s="187">
        <v>2580.39</v>
      </c>
      <c r="N153" s="187">
        <v>6</v>
      </c>
      <c r="O153" s="187">
        <v>2451.14</v>
      </c>
      <c r="P153" s="187">
        <v>24</v>
      </c>
    </row>
    <row r="154" spans="1:16" s="187" customFormat="1" ht="12.75">
      <c r="A154" s="187" t="s">
        <v>54</v>
      </c>
      <c r="B154" s="187" t="s">
        <v>72</v>
      </c>
      <c r="C154" s="187" t="s">
        <v>143</v>
      </c>
      <c r="D154" s="187" t="s">
        <v>143</v>
      </c>
      <c r="E154" s="187" t="s">
        <v>175</v>
      </c>
      <c r="F154" s="187" t="s">
        <v>178</v>
      </c>
      <c r="G154" s="187">
        <v>236072835</v>
      </c>
      <c r="H154" s="187" t="s">
        <v>97</v>
      </c>
      <c r="I154" s="187" t="s">
        <v>58</v>
      </c>
      <c r="J154" s="187" t="s">
        <v>143</v>
      </c>
      <c r="K154" s="187" t="s">
        <v>443</v>
      </c>
      <c r="L154" s="187">
        <v>1</v>
      </c>
      <c r="M154" s="187">
        <v>440.45</v>
      </c>
      <c r="N154" s="187">
        <v>1</v>
      </c>
      <c r="O154" s="187">
        <v>421.58</v>
      </c>
      <c r="P154" s="187">
        <v>0</v>
      </c>
    </row>
    <row r="155" spans="1:16" s="187" customFormat="1" ht="12.75">
      <c r="A155" s="187" t="s">
        <v>54</v>
      </c>
      <c r="B155" s="187" t="s">
        <v>72</v>
      </c>
      <c r="C155" s="187" t="s">
        <v>143</v>
      </c>
      <c r="D155" s="187" t="s">
        <v>143</v>
      </c>
      <c r="E155" s="187" t="s">
        <v>175</v>
      </c>
      <c r="F155" s="187" t="s">
        <v>178</v>
      </c>
      <c r="G155" s="187">
        <v>236072835</v>
      </c>
      <c r="H155" s="187" t="s">
        <v>97</v>
      </c>
      <c r="I155" s="187" t="s">
        <v>58</v>
      </c>
      <c r="J155" s="187" t="s">
        <v>143</v>
      </c>
      <c r="K155" s="187" t="s">
        <v>171</v>
      </c>
      <c r="L155" s="187">
        <v>29</v>
      </c>
      <c r="M155" s="187">
        <v>12325.72</v>
      </c>
      <c r="N155" s="187">
        <v>27</v>
      </c>
      <c r="O155" s="187">
        <v>10938.21</v>
      </c>
      <c r="P155" s="187">
        <v>40</v>
      </c>
    </row>
    <row r="156" spans="1:16" s="187" customFormat="1" ht="12.75">
      <c r="A156" s="187" t="s">
        <v>54</v>
      </c>
      <c r="B156" s="187" t="s">
        <v>72</v>
      </c>
      <c r="C156" s="187" t="s">
        <v>143</v>
      </c>
      <c r="D156" s="187" t="s">
        <v>143</v>
      </c>
      <c r="E156" s="187" t="s">
        <v>175</v>
      </c>
      <c r="F156" s="187" t="s">
        <v>178</v>
      </c>
      <c r="G156" s="187">
        <v>236072835</v>
      </c>
      <c r="H156" s="187" t="s">
        <v>97</v>
      </c>
      <c r="I156" s="187" t="s">
        <v>58</v>
      </c>
      <c r="J156" s="187" t="s">
        <v>143</v>
      </c>
      <c r="K156" s="187" t="s">
        <v>62</v>
      </c>
      <c r="L156" s="187">
        <v>3</v>
      </c>
      <c r="M156" s="187">
        <v>1287.1099999999999</v>
      </c>
      <c r="N156" s="187">
        <v>2</v>
      </c>
      <c r="O156" s="187">
        <v>808.24</v>
      </c>
      <c r="P156" s="187">
        <v>0</v>
      </c>
    </row>
    <row r="157" spans="1:16" s="187" customFormat="1" ht="12.75">
      <c r="A157" s="187" t="s">
        <v>54</v>
      </c>
      <c r="B157" s="187" t="s">
        <v>72</v>
      </c>
      <c r="C157" s="187" t="s">
        <v>143</v>
      </c>
      <c r="D157" s="187" t="s">
        <v>143</v>
      </c>
      <c r="E157" s="187" t="s">
        <v>175</v>
      </c>
      <c r="F157" s="187" t="s">
        <v>179</v>
      </c>
      <c r="G157" s="187">
        <v>236072836</v>
      </c>
      <c r="H157" s="187" t="s">
        <v>98</v>
      </c>
      <c r="I157" s="187" t="s">
        <v>58</v>
      </c>
      <c r="J157" s="187" t="s">
        <v>143</v>
      </c>
      <c r="K157" s="187" t="s">
        <v>360</v>
      </c>
      <c r="L157" s="187">
        <v>1</v>
      </c>
      <c r="M157" s="187">
        <v>359.62</v>
      </c>
      <c r="N157" s="187">
        <v>1</v>
      </c>
      <c r="O157" s="187">
        <v>358.06</v>
      </c>
      <c r="P157" s="187">
        <v>0</v>
      </c>
    </row>
    <row r="158" spans="1:16" s="187" customFormat="1" ht="12.75">
      <c r="A158" s="187" t="s">
        <v>54</v>
      </c>
      <c r="B158" s="187" t="s">
        <v>72</v>
      </c>
      <c r="C158" s="187" t="s">
        <v>143</v>
      </c>
      <c r="D158" s="187" t="s">
        <v>143</v>
      </c>
      <c r="E158" s="187" t="s">
        <v>175</v>
      </c>
      <c r="F158" s="187" t="s">
        <v>179</v>
      </c>
      <c r="G158" s="187">
        <v>236072836</v>
      </c>
      <c r="H158" s="187" t="s">
        <v>98</v>
      </c>
      <c r="I158" s="187" t="s">
        <v>58</v>
      </c>
      <c r="J158" s="187" t="s">
        <v>143</v>
      </c>
      <c r="K158" s="187" t="s">
        <v>171</v>
      </c>
      <c r="L158" s="187">
        <v>45</v>
      </c>
      <c r="M158" s="187">
        <v>17934.740000000002</v>
      </c>
      <c r="N158" s="187">
        <v>44</v>
      </c>
      <c r="O158" s="187">
        <v>16220.5</v>
      </c>
      <c r="P158" s="187">
        <v>0</v>
      </c>
    </row>
    <row r="159" spans="1:16" s="187" customFormat="1" ht="12.75">
      <c r="A159" s="187" t="s">
        <v>54</v>
      </c>
      <c r="B159" s="187" t="s">
        <v>72</v>
      </c>
      <c r="C159" s="187" t="s">
        <v>143</v>
      </c>
      <c r="D159" s="187" t="s">
        <v>143</v>
      </c>
      <c r="E159" s="187" t="s">
        <v>175</v>
      </c>
      <c r="F159" s="187" t="s">
        <v>179</v>
      </c>
      <c r="G159" s="187">
        <v>236072836</v>
      </c>
      <c r="H159" s="187" t="s">
        <v>98</v>
      </c>
      <c r="I159" s="187" t="s">
        <v>58</v>
      </c>
      <c r="J159" s="187" t="s">
        <v>143</v>
      </c>
      <c r="K159" s="187" t="s">
        <v>443</v>
      </c>
      <c r="L159" s="187">
        <v>0</v>
      </c>
      <c r="M159" s="187">
        <v>0</v>
      </c>
      <c r="N159" s="187">
        <v>1</v>
      </c>
      <c r="O159" s="187">
        <v>250.99</v>
      </c>
      <c r="P159" s="187">
        <v>0</v>
      </c>
    </row>
    <row r="160" spans="1:16" s="187" customFormat="1" ht="12.75">
      <c r="A160" s="187" t="s">
        <v>54</v>
      </c>
      <c r="B160" s="187" t="s">
        <v>72</v>
      </c>
      <c r="C160" s="187" t="s">
        <v>143</v>
      </c>
      <c r="D160" s="187" t="s">
        <v>143</v>
      </c>
      <c r="E160" s="187" t="s">
        <v>175</v>
      </c>
      <c r="F160" s="187" t="s">
        <v>179</v>
      </c>
      <c r="G160" s="187">
        <v>236072836</v>
      </c>
      <c r="H160" s="187" t="s">
        <v>98</v>
      </c>
      <c r="I160" s="187" t="s">
        <v>58</v>
      </c>
      <c r="J160" s="187" t="s">
        <v>143</v>
      </c>
      <c r="K160" s="187" t="s">
        <v>60</v>
      </c>
      <c r="L160" s="187">
        <v>1</v>
      </c>
      <c r="M160" s="187">
        <v>410.31</v>
      </c>
      <c r="N160" s="187">
        <v>1</v>
      </c>
      <c r="O160" s="187">
        <v>393.52</v>
      </c>
      <c r="P160" s="187">
        <v>0</v>
      </c>
    </row>
    <row r="161" spans="1:16" s="187" customFormat="1" ht="12.75">
      <c r="A161" s="187" t="s">
        <v>54</v>
      </c>
      <c r="B161" s="187" t="s">
        <v>72</v>
      </c>
      <c r="C161" s="187" t="s">
        <v>143</v>
      </c>
      <c r="D161" s="187" t="s">
        <v>143</v>
      </c>
      <c r="E161" s="187" t="s">
        <v>175</v>
      </c>
      <c r="F161" s="187" t="s">
        <v>179</v>
      </c>
      <c r="G161" s="187">
        <v>236072836</v>
      </c>
      <c r="H161" s="187" t="s">
        <v>98</v>
      </c>
      <c r="I161" s="187" t="s">
        <v>58</v>
      </c>
      <c r="J161" s="187" t="s">
        <v>143</v>
      </c>
      <c r="K161" s="187" t="s">
        <v>430</v>
      </c>
      <c r="L161" s="187">
        <v>28</v>
      </c>
      <c r="M161" s="187">
        <v>9937.8700000000008</v>
      </c>
      <c r="N161" s="187">
        <v>28</v>
      </c>
      <c r="O161" s="187">
        <v>9283.7099999999991</v>
      </c>
      <c r="P161" s="187">
        <v>0</v>
      </c>
    </row>
    <row r="162" spans="1:16" s="187" customFormat="1" ht="12.75">
      <c r="A162" s="187" t="s">
        <v>54</v>
      </c>
      <c r="B162" s="187" t="s">
        <v>72</v>
      </c>
      <c r="C162" s="187" t="s">
        <v>143</v>
      </c>
      <c r="D162" s="187" t="s">
        <v>143</v>
      </c>
      <c r="E162" s="187" t="s">
        <v>175</v>
      </c>
      <c r="F162" s="187" t="s">
        <v>179</v>
      </c>
      <c r="G162" s="187">
        <v>236072836</v>
      </c>
      <c r="H162" s="187" t="s">
        <v>98</v>
      </c>
      <c r="I162" s="187" t="s">
        <v>58</v>
      </c>
      <c r="J162" s="187" t="s">
        <v>143</v>
      </c>
      <c r="K162" s="187" t="s">
        <v>89</v>
      </c>
      <c r="L162" s="187">
        <v>1</v>
      </c>
      <c r="M162" s="187">
        <v>352.77</v>
      </c>
      <c r="N162" s="187">
        <v>1</v>
      </c>
      <c r="O162" s="187">
        <v>333.75</v>
      </c>
      <c r="P162" s="187">
        <v>0</v>
      </c>
    </row>
    <row r="163" spans="1:16" s="187" customFormat="1" ht="12.75">
      <c r="A163" s="187" t="s">
        <v>54</v>
      </c>
      <c r="B163" s="187" t="s">
        <v>72</v>
      </c>
      <c r="C163" s="187" t="s">
        <v>143</v>
      </c>
      <c r="D163" s="187" t="s">
        <v>143</v>
      </c>
      <c r="E163" s="187" t="s">
        <v>175</v>
      </c>
      <c r="F163" s="187" t="s">
        <v>179</v>
      </c>
      <c r="G163" s="187">
        <v>236072836</v>
      </c>
      <c r="H163" s="187" t="s">
        <v>98</v>
      </c>
      <c r="I163" s="187" t="s">
        <v>58</v>
      </c>
      <c r="J163" s="187" t="s">
        <v>143</v>
      </c>
      <c r="K163" s="187" t="s">
        <v>64</v>
      </c>
      <c r="L163" s="187">
        <v>14</v>
      </c>
      <c r="M163" s="187">
        <v>5212.8</v>
      </c>
      <c r="N163" s="187">
        <v>15</v>
      </c>
      <c r="O163" s="187">
        <v>4975.3599999999997</v>
      </c>
      <c r="P163" s="187">
        <v>0</v>
      </c>
    </row>
    <row r="164" spans="1:16" s="187" customFormat="1" ht="12.75">
      <c r="A164" s="187" t="s">
        <v>54</v>
      </c>
      <c r="B164" s="187" t="s">
        <v>72</v>
      </c>
      <c r="C164" s="187" t="s">
        <v>143</v>
      </c>
      <c r="D164" s="187" t="s">
        <v>143</v>
      </c>
      <c r="E164" s="187" t="s">
        <v>175</v>
      </c>
      <c r="F164" s="187" t="s">
        <v>179</v>
      </c>
      <c r="G164" s="187">
        <v>236072836</v>
      </c>
      <c r="H164" s="187" t="s">
        <v>98</v>
      </c>
      <c r="I164" s="187" t="s">
        <v>58</v>
      </c>
      <c r="J164" s="187" t="s">
        <v>143</v>
      </c>
      <c r="K164" s="187" t="s">
        <v>288</v>
      </c>
      <c r="L164" s="187">
        <v>2</v>
      </c>
      <c r="M164" s="187">
        <v>705.54</v>
      </c>
      <c r="N164" s="187">
        <v>2</v>
      </c>
      <c r="O164" s="187">
        <v>675.76</v>
      </c>
      <c r="P164" s="187">
        <v>0</v>
      </c>
    </row>
    <row r="165" spans="1:16" s="187" customFormat="1" ht="12.75">
      <c r="A165" s="187" t="s">
        <v>54</v>
      </c>
      <c r="B165" s="187" t="s">
        <v>72</v>
      </c>
      <c r="C165" s="187" t="s">
        <v>143</v>
      </c>
      <c r="D165" s="187" t="s">
        <v>143</v>
      </c>
      <c r="E165" s="187" t="s">
        <v>175</v>
      </c>
      <c r="F165" s="187" t="s">
        <v>179</v>
      </c>
      <c r="G165" s="187">
        <v>236072836</v>
      </c>
      <c r="H165" s="187" t="s">
        <v>98</v>
      </c>
      <c r="I165" s="187" t="s">
        <v>58</v>
      </c>
      <c r="J165" s="187" t="s">
        <v>143</v>
      </c>
      <c r="K165" s="187" t="s">
        <v>62</v>
      </c>
      <c r="L165" s="187">
        <v>1</v>
      </c>
      <c r="M165" s="187">
        <v>398.67</v>
      </c>
      <c r="N165" s="187">
        <v>0</v>
      </c>
      <c r="O165" s="187">
        <v>0</v>
      </c>
      <c r="P165" s="187">
        <v>1</v>
      </c>
    </row>
    <row r="166" spans="1:16" s="187" customFormat="1" ht="12.75">
      <c r="A166" s="187" t="s">
        <v>54</v>
      </c>
      <c r="B166" s="187" t="s">
        <v>72</v>
      </c>
      <c r="C166" s="187" t="s">
        <v>143</v>
      </c>
      <c r="D166" s="187" t="s">
        <v>143</v>
      </c>
      <c r="E166" s="187" t="s">
        <v>175</v>
      </c>
      <c r="F166" s="187" t="s">
        <v>179</v>
      </c>
      <c r="G166" s="187">
        <v>236072836</v>
      </c>
      <c r="H166" s="187" t="s">
        <v>98</v>
      </c>
      <c r="I166" s="187" t="s">
        <v>58</v>
      </c>
      <c r="J166" s="187" t="s">
        <v>143</v>
      </c>
      <c r="K166" s="187" t="s">
        <v>59</v>
      </c>
      <c r="L166" s="187">
        <v>0</v>
      </c>
      <c r="M166" s="187">
        <v>0</v>
      </c>
      <c r="N166" s="187">
        <v>2</v>
      </c>
      <c r="O166" s="187">
        <v>492.01</v>
      </c>
      <c r="P166" s="187">
        <v>0</v>
      </c>
    </row>
    <row r="167" spans="1:16" s="187" customFormat="1" ht="12.75">
      <c r="A167" s="187" t="s">
        <v>54</v>
      </c>
      <c r="B167" s="187" t="s">
        <v>72</v>
      </c>
      <c r="C167" s="187" t="s">
        <v>143</v>
      </c>
      <c r="D167" s="187" t="s">
        <v>143</v>
      </c>
      <c r="E167" s="187" t="s">
        <v>175</v>
      </c>
      <c r="F167" s="187" t="s">
        <v>179</v>
      </c>
      <c r="G167" s="187">
        <v>236072836</v>
      </c>
      <c r="H167" s="187" t="s">
        <v>98</v>
      </c>
      <c r="I167" s="187" t="s">
        <v>58</v>
      </c>
      <c r="J167" s="187" t="s">
        <v>143</v>
      </c>
      <c r="K167" s="187" t="s">
        <v>95</v>
      </c>
      <c r="L167" s="187">
        <v>1</v>
      </c>
      <c r="M167" s="187">
        <v>352.77</v>
      </c>
      <c r="N167" s="187">
        <v>1</v>
      </c>
      <c r="O167" s="187">
        <v>334.38</v>
      </c>
      <c r="P167" s="187">
        <v>0</v>
      </c>
    </row>
    <row r="168" spans="1:16" s="187" customFormat="1" ht="12.75">
      <c r="A168" s="187" t="s">
        <v>54</v>
      </c>
      <c r="B168" s="187" t="s">
        <v>72</v>
      </c>
      <c r="C168" s="187" t="s">
        <v>143</v>
      </c>
      <c r="D168" s="187" t="s">
        <v>143</v>
      </c>
      <c r="E168" s="187" t="s">
        <v>175</v>
      </c>
      <c r="F168" s="187" t="s">
        <v>179</v>
      </c>
      <c r="G168" s="187">
        <v>236072836</v>
      </c>
      <c r="H168" s="187" t="s">
        <v>98</v>
      </c>
      <c r="I168" s="187" t="s">
        <v>58</v>
      </c>
      <c r="J168" s="187" t="s">
        <v>143</v>
      </c>
      <c r="K168" s="187" t="s">
        <v>61</v>
      </c>
      <c r="L168" s="187">
        <v>1</v>
      </c>
      <c r="M168" s="187">
        <v>345.24</v>
      </c>
      <c r="N168" s="187">
        <v>0</v>
      </c>
      <c r="O168" s="187">
        <v>0</v>
      </c>
      <c r="P168" s="187">
        <v>0</v>
      </c>
    </row>
    <row r="169" spans="1:16" s="187" customFormat="1" ht="12.75">
      <c r="A169" s="187" t="s">
        <v>54</v>
      </c>
      <c r="B169" s="187" t="s">
        <v>72</v>
      </c>
      <c r="C169" s="187" t="s">
        <v>143</v>
      </c>
      <c r="D169" s="187" t="s">
        <v>143</v>
      </c>
      <c r="E169" s="187" t="s">
        <v>175</v>
      </c>
      <c r="F169" s="187" t="s">
        <v>179</v>
      </c>
      <c r="G169" s="187">
        <v>236072836</v>
      </c>
      <c r="H169" s="187" t="s">
        <v>98</v>
      </c>
      <c r="I169" s="187" t="s">
        <v>58</v>
      </c>
      <c r="J169" s="187" t="s">
        <v>143</v>
      </c>
      <c r="K169" s="187" t="s">
        <v>63</v>
      </c>
      <c r="L169" s="187">
        <v>4</v>
      </c>
      <c r="M169" s="187">
        <v>1456.98</v>
      </c>
      <c r="N169" s="187">
        <v>3</v>
      </c>
      <c r="O169" s="187">
        <v>1016.8</v>
      </c>
      <c r="P169" s="187">
        <v>0</v>
      </c>
    </row>
    <row r="170" spans="1:16" s="187" customFormat="1" ht="12.75">
      <c r="A170" s="187" t="s">
        <v>54</v>
      </c>
      <c r="B170" s="187" t="s">
        <v>72</v>
      </c>
      <c r="C170" s="187" t="s">
        <v>143</v>
      </c>
      <c r="D170" s="187" t="s">
        <v>143</v>
      </c>
      <c r="E170" s="187" t="s">
        <v>175</v>
      </c>
      <c r="F170" s="187" t="s">
        <v>179</v>
      </c>
      <c r="G170" s="187">
        <v>236072836</v>
      </c>
      <c r="H170" s="187" t="s">
        <v>98</v>
      </c>
      <c r="I170" s="187" t="s">
        <v>58</v>
      </c>
      <c r="J170" s="187" t="s">
        <v>143</v>
      </c>
      <c r="K170" s="187" t="s">
        <v>67</v>
      </c>
      <c r="L170" s="187">
        <v>15</v>
      </c>
      <c r="M170" s="187">
        <v>5156.63</v>
      </c>
      <c r="N170" s="187">
        <v>20</v>
      </c>
      <c r="O170" s="187">
        <v>6134.38</v>
      </c>
      <c r="P170" s="187">
        <v>0</v>
      </c>
    </row>
    <row r="171" spans="1:16" s="187" customFormat="1" ht="12.75">
      <c r="A171" s="187" t="s">
        <v>68</v>
      </c>
      <c r="B171" s="187" t="s">
        <v>69</v>
      </c>
      <c r="C171" s="187" t="s">
        <v>143</v>
      </c>
      <c r="D171" s="187" t="s">
        <v>143</v>
      </c>
      <c r="E171" s="187" t="s">
        <v>90</v>
      </c>
      <c r="F171" s="187" t="s">
        <v>14</v>
      </c>
      <c r="G171" s="187">
        <v>236074677</v>
      </c>
      <c r="H171" s="187" t="s">
        <v>99</v>
      </c>
      <c r="I171" s="187" t="s">
        <v>58</v>
      </c>
      <c r="J171" s="187" t="s">
        <v>143</v>
      </c>
      <c r="K171" s="187" t="s">
        <v>61</v>
      </c>
      <c r="L171" s="187">
        <v>5</v>
      </c>
      <c r="M171" s="187">
        <v>2702.02</v>
      </c>
      <c r="N171" s="187">
        <v>3</v>
      </c>
      <c r="O171" s="187">
        <v>1617.17</v>
      </c>
      <c r="P171" s="187">
        <v>23</v>
      </c>
    </row>
    <row r="172" spans="1:16" s="187" customFormat="1" ht="12.75">
      <c r="A172" s="187" t="s">
        <v>68</v>
      </c>
      <c r="B172" s="187" t="s">
        <v>69</v>
      </c>
      <c r="C172" s="187" t="s">
        <v>143</v>
      </c>
      <c r="D172" s="187" t="s">
        <v>143</v>
      </c>
      <c r="E172" s="187" t="s">
        <v>90</v>
      </c>
      <c r="F172" s="187" t="s">
        <v>14</v>
      </c>
      <c r="G172" s="187">
        <v>236074677</v>
      </c>
      <c r="H172" s="187" t="s">
        <v>99</v>
      </c>
      <c r="I172" s="187" t="s">
        <v>58</v>
      </c>
      <c r="J172" s="187" t="s">
        <v>143</v>
      </c>
      <c r="K172" s="187" t="s">
        <v>63</v>
      </c>
      <c r="L172" s="187">
        <v>1</v>
      </c>
      <c r="M172" s="187">
        <v>540.73</v>
      </c>
      <c r="N172" s="187">
        <v>1</v>
      </c>
      <c r="O172" s="187">
        <v>519.94000000000005</v>
      </c>
      <c r="P172" s="187">
        <v>0</v>
      </c>
    </row>
    <row r="173" spans="1:16" s="187" customFormat="1" ht="12.75">
      <c r="A173" s="187" t="s">
        <v>68</v>
      </c>
      <c r="B173" s="187" t="s">
        <v>69</v>
      </c>
      <c r="C173" s="187" t="s">
        <v>143</v>
      </c>
      <c r="D173" s="187" t="s">
        <v>143</v>
      </c>
      <c r="E173" s="187" t="s">
        <v>100</v>
      </c>
      <c r="F173" s="187" t="s">
        <v>15</v>
      </c>
      <c r="G173" s="187">
        <v>236929187</v>
      </c>
      <c r="H173" s="187" t="s">
        <v>101</v>
      </c>
      <c r="I173" s="187" t="s">
        <v>58</v>
      </c>
      <c r="J173" s="187" t="s">
        <v>143</v>
      </c>
      <c r="K173" s="187" t="s">
        <v>61</v>
      </c>
      <c r="L173" s="187">
        <v>22</v>
      </c>
      <c r="M173" s="187">
        <v>10538.3</v>
      </c>
      <c r="N173" s="187">
        <v>23</v>
      </c>
      <c r="O173" s="187">
        <v>10412.56</v>
      </c>
      <c r="P173" s="187">
        <v>0</v>
      </c>
    </row>
    <row r="174" spans="1:16" s="187" customFormat="1" ht="12.75">
      <c r="A174" s="187" t="s">
        <v>68</v>
      </c>
      <c r="B174" s="187" t="s">
        <v>69</v>
      </c>
      <c r="C174" s="187" t="s">
        <v>143</v>
      </c>
      <c r="D174" s="187" t="s">
        <v>143</v>
      </c>
      <c r="E174" s="187" t="s">
        <v>100</v>
      </c>
      <c r="F174" s="187" t="s">
        <v>15</v>
      </c>
      <c r="G174" s="187">
        <v>236929187</v>
      </c>
      <c r="H174" s="187" t="s">
        <v>101</v>
      </c>
      <c r="I174" s="187" t="s">
        <v>58</v>
      </c>
      <c r="J174" s="187" t="s">
        <v>143</v>
      </c>
      <c r="K174" s="187" t="s">
        <v>360</v>
      </c>
      <c r="L174" s="187">
        <v>2</v>
      </c>
      <c r="M174" s="187">
        <v>950.34</v>
      </c>
      <c r="N174" s="187">
        <v>2</v>
      </c>
      <c r="O174" s="187">
        <v>915.66</v>
      </c>
      <c r="P174" s="187">
        <v>0</v>
      </c>
    </row>
    <row r="175" spans="1:16" s="187" customFormat="1" ht="12.75">
      <c r="A175" s="187" t="s">
        <v>68</v>
      </c>
      <c r="B175" s="187" t="s">
        <v>69</v>
      </c>
      <c r="C175" s="187" t="s">
        <v>143</v>
      </c>
      <c r="D175" s="187" t="s">
        <v>143</v>
      </c>
      <c r="E175" s="187" t="s">
        <v>100</v>
      </c>
      <c r="F175" s="187" t="s">
        <v>15</v>
      </c>
      <c r="G175" s="187">
        <v>236929187</v>
      </c>
      <c r="H175" s="187" t="s">
        <v>101</v>
      </c>
      <c r="I175" s="187" t="s">
        <v>58</v>
      </c>
      <c r="J175" s="187" t="s">
        <v>143</v>
      </c>
      <c r="K175" s="187" t="s">
        <v>163</v>
      </c>
      <c r="L175" s="187">
        <v>1</v>
      </c>
      <c r="M175" s="187">
        <v>467.41</v>
      </c>
      <c r="N175" s="187">
        <v>1</v>
      </c>
      <c r="O175" s="187">
        <v>465.5</v>
      </c>
      <c r="P175" s="187">
        <v>0</v>
      </c>
    </row>
    <row r="176" spans="1:16" s="187" customFormat="1" ht="12.75">
      <c r="A176" s="187" t="s">
        <v>68</v>
      </c>
      <c r="B176" s="187" t="s">
        <v>69</v>
      </c>
      <c r="C176" s="187" t="s">
        <v>143</v>
      </c>
      <c r="D176" s="187" t="s">
        <v>143</v>
      </c>
      <c r="E176" s="187" t="s">
        <v>100</v>
      </c>
      <c r="F176" s="187" t="s">
        <v>15</v>
      </c>
      <c r="G176" s="187">
        <v>236929187</v>
      </c>
      <c r="H176" s="187" t="s">
        <v>101</v>
      </c>
      <c r="I176" s="187" t="s">
        <v>58</v>
      </c>
      <c r="J176" s="187" t="s">
        <v>143</v>
      </c>
      <c r="K176" s="187" t="s">
        <v>63</v>
      </c>
      <c r="L176" s="187">
        <v>1</v>
      </c>
      <c r="M176" s="187">
        <v>475.17</v>
      </c>
      <c r="N176" s="187">
        <v>1</v>
      </c>
      <c r="O176" s="187">
        <v>456.57</v>
      </c>
      <c r="P176" s="187">
        <v>0</v>
      </c>
    </row>
    <row r="177" spans="1:16" s="187" customFormat="1" ht="12.75">
      <c r="A177" s="187" t="s">
        <v>68</v>
      </c>
      <c r="B177" s="187" t="s">
        <v>69</v>
      </c>
      <c r="C177" s="187" t="s">
        <v>143</v>
      </c>
      <c r="D177" s="187" t="s">
        <v>143</v>
      </c>
      <c r="E177" s="187" t="s">
        <v>100</v>
      </c>
      <c r="F177" s="187" t="s">
        <v>15</v>
      </c>
      <c r="G177" s="187">
        <v>236929187</v>
      </c>
      <c r="H177" s="187" t="s">
        <v>101</v>
      </c>
      <c r="I177" s="187" t="s">
        <v>58</v>
      </c>
      <c r="J177" s="187" t="s">
        <v>143</v>
      </c>
      <c r="K177" s="187" t="s">
        <v>67</v>
      </c>
      <c r="L177" s="187">
        <v>6</v>
      </c>
      <c r="M177" s="187">
        <v>2950.94</v>
      </c>
      <c r="N177" s="187">
        <v>7</v>
      </c>
      <c r="O177" s="187">
        <v>3051.02</v>
      </c>
      <c r="P177" s="187">
        <v>0</v>
      </c>
    </row>
    <row r="178" spans="1:16" s="187" customFormat="1" ht="12.75">
      <c r="A178" s="187" t="s">
        <v>68</v>
      </c>
      <c r="B178" s="187" t="s">
        <v>69</v>
      </c>
      <c r="C178" s="187" t="s">
        <v>143</v>
      </c>
      <c r="D178" s="187" t="s">
        <v>143</v>
      </c>
      <c r="E178" s="187" t="s">
        <v>100</v>
      </c>
      <c r="F178" s="187" t="s">
        <v>15</v>
      </c>
      <c r="G178" s="187">
        <v>236929187</v>
      </c>
      <c r="H178" s="187" t="s">
        <v>101</v>
      </c>
      <c r="I178" s="187" t="s">
        <v>58</v>
      </c>
      <c r="J178" s="187" t="s">
        <v>143</v>
      </c>
      <c r="K178" s="187" t="s">
        <v>60</v>
      </c>
      <c r="L178" s="187">
        <v>24</v>
      </c>
      <c r="M178" s="187">
        <v>11405.46</v>
      </c>
      <c r="N178" s="187">
        <v>20</v>
      </c>
      <c r="O178" s="187">
        <v>9027.57</v>
      </c>
      <c r="P178" s="187">
        <v>9</v>
      </c>
    </row>
    <row r="179" spans="1:16" s="187" customFormat="1" ht="12.75">
      <c r="A179" s="187" t="s">
        <v>68</v>
      </c>
      <c r="B179" s="187" t="s">
        <v>69</v>
      </c>
      <c r="C179" s="187" t="s">
        <v>143</v>
      </c>
      <c r="D179" s="187" t="s">
        <v>143</v>
      </c>
      <c r="E179" s="187" t="s">
        <v>100</v>
      </c>
      <c r="F179" s="187" t="s">
        <v>15</v>
      </c>
      <c r="G179" s="187">
        <v>236929187</v>
      </c>
      <c r="H179" s="187" t="s">
        <v>101</v>
      </c>
      <c r="I179" s="187" t="s">
        <v>58</v>
      </c>
      <c r="J179" s="187" t="s">
        <v>143</v>
      </c>
      <c r="K179" s="187" t="s">
        <v>64</v>
      </c>
      <c r="L179" s="187">
        <v>1</v>
      </c>
      <c r="M179" s="187">
        <v>475.17</v>
      </c>
      <c r="N179" s="187">
        <v>2</v>
      </c>
      <c r="O179" s="187">
        <v>722.28</v>
      </c>
      <c r="P179" s="187">
        <v>0</v>
      </c>
    </row>
    <row r="180" spans="1:16" s="187" customFormat="1" ht="12.75">
      <c r="A180" s="187" t="s">
        <v>68</v>
      </c>
      <c r="B180" s="187" t="s">
        <v>69</v>
      </c>
      <c r="C180" s="187" t="s">
        <v>143</v>
      </c>
      <c r="D180" s="187" t="s">
        <v>143</v>
      </c>
      <c r="E180" s="187" t="s">
        <v>100</v>
      </c>
      <c r="F180" s="187" t="s">
        <v>15</v>
      </c>
      <c r="G180" s="187">
        <v>236929187</v>
      </c>
      <c r="H180" s="187" t="s">
        <v>101</v>
      </c>
      <c r="I180" s="187" t="s">
        <v>58</v>
      </c>
      <c r="J180" s="187" t="s">
        <v>143</v>
      </c>
      <c r="K180" s="187" t="s">
        <v>171</v>
      </c>
      <c r="L180" s="187">
        <v>9</v>
      </c>
      <c r="M180" s="187">
        <v>4271.3599999999997</v>
      </c>
      <c r="N180" s="187">
        <v>11</v>
      </c>
      <c r="O180" s="187">
        <v>4711.6000000000004</v>
      </c>
      <c r="P180" s="187">
        <v>0</v>
      </c>
    </row>
    <row r="181" spans="1:16" s="187" customFormat="1" ht="12.75">
      <c r="A181" s="187" t="s">
        <v>68</v>
      </c>
      <c r="B181" s="187" t="s">
        <v>69</v>
      </c>
      <c r="C181" s="187" t="s">
        <v>143</v>
      </c>
      <c r="D181" s="187" t="s">
        <v>143</v>
      </c>
      <c r="E181" s="187" t="s">
        <v>102</v>
      </c>
      <c r="F181" s="187" t="s">
        <v>16</v>
      </c>
      <c r="G181" s="187">
        <v>236929188</v>
      </c>
      <c r="H181" s="187" t="s">
        <v>103</v>
      </c>
      <c r="I181" s="187" t="s">
        <v>58</v>
      </c>
      <c r="J181" s="187" t="s">
        <v>143</v>
      </c>
      <c r="K181" s="187" t="s">
        <v>288</v>
      </c>
      <c r="L181" s="187">
        <v>1</v>
      </c>
      <c r="M181" s="187">
        <v>441.33</v>
      </c>
      <c r="N181" s="187">
        <v>1</v>
      </c>
      <c r="O181" s="187">
        <v>438.65</v>
      </c>
      <c r="P181" s="187">
        <v>0</v>
      </c>
    </row>
    <row r="182" spans="1:16" s="187" customFormat="1" ht="12.75">
      <c r="A182" s="187" t="s">
        <v>68</v>
      </c>
      <c r="B182" s="187" t="s">
        <v>69</v>
      </c>
      <c r="C182" s="187" t="s">
        <v>143</v>
      </c>
      <c r="D182" s="187" t="s">
        <v>143</v>
      </c>
      <c r="E182" s="187" t="s">
        <v>102</v>
      </c>
      <c r="F182" s="187" t="s">
        <v>16</v>
      </c>
      <c r="G182" s="187">
        <v>236929188</v>
      </c>
      <c r="H182" s="187" t="s">
        <v>103</v>
      </c>
      <c r="I182" s="187" t="s">
        <v>58</v>
      </c>
      <c r="J182" s="187" t="s">
        <v>143</v>
      </c>
      <c r="K182" s="187" t="s">
        <v>171</v>
      </c>
      <c r="L182" s="187">
        <v>12</v>
      </c>
      <c r="M182" s="187">
        <v>5623.05</v>
      </c>
      <c r="N182" s="187">
        <v>13</v>
      </c>
      <c r="O182" s="187">
        <v>5632.49</v>
      </c>
      <c r="P182" s="187">
        <v>0</v>
      </c>
    </row>
    <row r="183" spans="1:16" s="187" customFormat="1" ht="12.75">
      <c r="A183" s="187" t="s">
        <v>68</v>
      </c>
      <c r="B183" s="187" t="s">
        <v>69</v>
      </c>
      <c r="C183" s="187" t="s">
        <v>143</v>
      </c>
      <c r="D183" s="187" t="s">
        <v>143</v>
      </c>
      <c r="E183" s="187" t="s">
        <v>102</v>
      </c>
      <c r="F183" s="187" t="s">
        <v>16</v>
      </c>
      <c r="G183" s="187">
        <v>236929188</v>
      </c>
      <c r="H183" s="187" t="s">
        <v>103</v>
      </c>
      <c r="I183" s="187" t="s">
        <v>58</v>
      </c>
      <c r="J183" s="187" t="s">
        <v>143</v>
      </c>
      <c r="K183" s="187" t="s">
        <v>443</v>
      </c>
      <c r="L183" s="187">
        <v>1</v>
      </c>
      <c r="M183" s="187">
        <v>491.38</v>
      </c>
      <c r="N183" s="187">
        <v>1</v>
      </c>
      <c r="O183" s="187">
        <v>472.63</v>
      </c>
      <c r="P183" s="187">
        <v>0</v>
      </c>
    </row>
    <row r="184" spans="1:16" s="187" customFormat="1" ht="12.75">
      <c r="A184" s="187" t="s">
        <v>68</v>
      </c>
      <c r="B184" s="187" t="s">
        <v>69</v>
      </c>
      <c r="C184" s="187" t="s">
        <v>143</v>
      </c>
      <c r="D184" s="187" t="s">
        <v>143</v>
      </c>
      <c r="E184" s="187" t="s">
        <v>102</v>
      </c>
      <c r="F184" s="187" t="s">
        <v>16</v>
      </c>
      <c r="G184" s="187">
        <v>236929188</v>
      </c>
      <c r="H184" s="187" t="s">
        <v>103</v>
      </c>
      <c r="I184" s="187" t="s">
        <v>58</v>
      </c>
      <c r="J184" s="187" t="s">
        <v>143</v>
      </c>
      <c r="K184" s="187" t="s">
        <v>64</v>
      </c>
      <c r="L184" s="187">
        <v>4</v>
      </c>
      <c r="M184" s="187">
        <v>1926.04</v>
      </c>
      <c r="N184" s="187">
        <v>4</v>
      </c>
      <c r="O184" s="187">
        <v>1847.77</v>
      </c>
      <c r="P184" s="187">
        <v>0</v>
      </c>
    </row>
    <row r="185" spans="1:16" s="187" customFormat="1" ht="12.75">
      <c r="A185" s="187" t="s">
        <v>68</v>
      </c>
      <c r="B185" s="187" t="s">
        <v>69</v>
      </c>
      <c r="C185" s="187" t="s">
        <v>143</v>
      </c>
      <c r="D185" s="187" t="s">
        <v>143</v>
      </c>
      <c r="E185" s="187" t="s">
        <v>102</v>
      </c>
      <c r="F185" s="187" t="s">
        <v>16</v>
      </c>
      <c r="G185" s="187">
        <v>236929188</v>
      </c>
      <c r="H185" s="187" t="s">
        <v>103</v>
      </c>
      <c r="I185" s="187" t="s">
        <v>58</v>
      </c>
      <c r="J185" s="187" t="s">
        <v>143</v>
      </c>
      <c r="K185" s="187" t="s">
        <v>60</v>
      </c>
      <c r="L185" s="187">
        <v>34</v>
      </c>
      <c r="M185" s="187">
        <v>16059.81</v>
      </c>
      <c r="N185" s="187">
        <v>33</v>
      </c>
      <c r="O185" s="187">
        <v>14944.66</v>
      </c>
      <c r="P185" s="187">
        <v>0</v>
      </c>
    </row>
    <row r="186" spans="1:16" s="187" customFormat="1" ht="12.75">
      <c r="A186" s="187" t="s">
        <v>68</v>
      </c>
      <c r="B186" s="187" t="s">
        <v>69</v>
      </c>
      <c r="C186" s="187" t="s">
        <v>143</v>
      </c>
      <c r="D186" s="187" t="s">
        <v>143</v>
      </c>
      <c r="E186" s="187" t="s">
        <v>102</v>
      </c>
      <c r="F186" s="187" t="s">
        <v>16</v>
      </c>
      <c r="G186" s="187">
        <v>236929188</v>
      </c>
      <c r="H186" s="187" t="s">
        <v>103</v>
      </c>
      <c r="I186" s="187" t="s">
        <v>58</v>
      </c>
      <c r="J186" s="187" t="s">
        <v>143</v>
      </c>
      <c r="K186" s="187" t="s">
        <v>62</v>
      </c>
      <c r="L186" s="187">
        <v>1</v>
      </c>
      <c r="M186" s="187">
        <v>481.51</v>
      </c>
      <c r="N186" s="187">
        <v>1</v>
      </c>
      <c r="O186" s="187">
        <v>463.92</v>
      </c>
      <c r="P186" s="187">
        <v>0</v>
      </c>
    </row>
    <row r="187" spans="1:16" s="187" customFormat="1" ht="12.75">
      <c r="A187" s="187" t="s">
        <v>68</v>
      </c>
      <c r="B187" s="187" t="s">
        <v>69</v>
      </c>
      <c r="C187" s="187" t="s">
        <v>143</v>
      </c>
      <c r="D187" s="187" t="s">
        <v>143</v>
      </c>
      <c r="E187" s="187" t="s">
        <v>102</v>
      </c>
      <c r="F187" s="187" t="s">
        <v>16</v>
      </c>
      <c r="G187" s="187">
        <v>236929188</v>
      </c>
      <c r="H187" s="187" t="s">
        <v>103</v>
      </c>
      <c r="I187" s="187" t="s">
        <v>58</v>
      </c>
      <c r="J187" s="187" t="s">
        <v>143</v>
      </c>
      <c r="K187" s="187" t="s">
        <v>59</v>
      </c>
      <c r="L187" s="187">
        <v>1</v>
      </c>
      <c r="M187" s="187">
        <v>470.94</v>
      </c>
      <c r="N187" s="187">
        <v>1</v>
      </c>
      <c r="O187" s="187">
        <v>442.77</v>
      </c>
      <c r="P187" s="187">
        <v>0</v>
      </c>
    </row>
    <row r="188" spans="1:16" s="187" customFormat="1" ht="12.75">
      <c r="A188" s="187" t="s">
        <v>68</v>
      </c>
      <c r="B188" s="187" t="s">
        <v>69</v>
      </c>
      <c r="C188" s="187" t="s">
        <v>143</v>
      </c>
      <c r="D188" s="187" t="s">
        <v>143</v>
      </c>
      <c r="E188" s="187" t="s">
        <v>104</v>
      </c>
      <c r="F188" s="187" t="s">
        <v>17</v>
      </c>
      <c r="G188" s="187">
        <v>239233529</v>
      </c>
      <c r="H188" s="187" t="s">
        <v>105</v>
      </c>
      <c r="I188" s="187" t="s">
        <v>58</v>
      </c>
      <c r="J188" s="187" t="s">
        <v>143</v>
      </c>
      <c r="K188" s="187" t="s">
        <v>59</v>
      </c>
      <c r="L188" s="187">
        <v>8</v>
      </c>
      <c r="M188" s="187">
        <v>3629.71</v>
      </c>
      <c r="N188" s="187">
        <v>7</v>
      </c>
      <c r="O188" s="187">
        <v>3034.51</v>
      </c>
      <c r="P188" s="187">
        <v>13</v>
      </c>
    </row>
    <row r="189" spans="1:16" s="187" customFormat="1" ht="12.75">
      <c r="A189" s="187" t="s">
        <v>68</v>
      </c>
      <c r="B189" s="187" t="s">
        <v>69</v>
      </c>
      <c r="C189" s="187" t="s">
        <v>143</v>
      </c>
      <c r="D189" s="187" t="s">
        <v>143</v>
      </c>
      <c r="E189" s="187" t="s">
        <v>104</v>
      </c>
      <c r="F189" s="187" t="s">
        <v>17</v>
      </c>
      <c r="G189" s="187">
        <v>239233529</v>
      </c>
      <c r="H189" s="187" t="s">
        <v>105</v>
      </c>
      <c r="I189" s="187" t="s">
        <v>58</v>
      </c>
      <c r="J189" s="187" t="s">
        <v>143</v>
      </c>
      <c r="K189" s="187" t="s">
        <v>62</v>
      </c>
      <c r="L189" s="187">
        <v>8</v>
      </c>
      <c r="M189" s="187">
        <v>3529.89</v>
      </c>
      <c r="N189" s="187">
        <v>7</v>
      </c>
      <c r="O189" s="187">
        <v>2979.97</v>
      </c>
      <c r="P189" s="187">
        <v>23</v>
      </c>
    </row>
    <row r="190" spans="1:16" s="187" customFormat="1" ht="12.75">
      <c r="A190" s="187" t="s">
        <v>68</v>
      </c>
      <c r="B190" s="187" t="s">
        <v>69</v>
      </c>
      <c r="C190" s="187" t="s">
        <v>143</v>
      </c>
      <c r="D190" s="187" t="s">
        <v>143</v>
      </c>
      <c r="E190" s="187" t="s">
        <v>104</v>
      </c>
      <c r="F190" s="187" t="s">
        <v>17</v>
      </c>
      <c r="G190" s="187">
        <v>239233529</v>
      </c>
      <c r="H190" s="187" t="s">
        <v>105</v>
      </c>
      <c r="I190" s="187" t="s">
        <v>58</v>
      </c>
      <c r="J190" s="187" t="s">
        <v>143</v>
      </c>
      <c r="K190" s="187" t="s">
        <v>171</v>
      </c>
      <c r="L190" s="187">
        <v>1</v>
      </c>
      <c r="M190" s="187">
        <v>451.9</v>
      </c>
      <c r="N190" s="187">
        <v>1</v>
      </c>
      <c r="O190" s="187">
        <v>422.29</v>
      </c>
      <c r="P190" s="187">
        <v>0</v>
      </c>
    </row>
    <row r="191" spans="1:16" s="187" customFormat="1" ht="12.75">
      <c r="A191" s="187" t="s">
        <v>68</v>
      </c>
      <c r="B191" s="187" t="s">
        <v>69</v>
      </c>
      <c r="C191" s="187" t="s">
        <v>143</v>
      </c>
      <c r="D191" s="187" t="s">
        <v>143</v>
      </c>
      <c r="E191" s="187" t="s">
        <v>104</v>
      </c>
      <c r="F191" s="187" t="s">
        <v>17</v>
      </c>
      <c r="G191" s="187">
        <v>239233529</v>
      </c>
      <c r="H191" s="187" t="s">
        <v>105</v>
      </c>
      <c r="I191" s="187" t="s">
        <v>58</v>
      </c>
      <c r="J191" s="187" t="s">
        <v>143</v>
      </c>
      <c r="K191" s="187" t="s">
        <v>61</v>
      </c>
      <c r="L191" s="187">
        <v>0</v>
      </c>
      <c r="M191" s="187">
        <v>0</v>
      </c>
      <c r="N191" s="187">
        <v>0</v>
      </c>
      <c r="O191" s="187">
        <v>0</v>
      </c>
      <c r="P191" s="187">
        <v>25</v>
      </c>
    </row>
    <row r="192" spans="1:16" s="187" customFormat="1" ht="12.75">
      <c r="A192" s="187" t="s">
        <v>68</v>
      </c>
      <c r="B192" s="187" t="s">
        <v>69</v>
      </c>
      <c r="C192" s="187" t="s">
        <v>143</v>
      </c>
      <c r="D192" s="187" t="s">
        <v>143</v>
      </c>
      <c r="E192" s="187" t="s">
        <v>106</v>
      </c>
      <c r="F192" s="187" t="s">
        <v>18</v>
      </c>
      <c r="G192" s="187">
        <v>239235150</v>
      </c>
      <c r="H192" s="187" t="s">
        <v>107</v>
      </c>
      <c r="I192" s="187" t="s">
        <v>58</v>
      </c>
      <c r="J192" s="187" t="s">
        <v>143</v>
      </c>
      <c r="K192" s="187" t="s">
        <v>61</v>
      </c>
      <c r="L192" s="187">
        <v>9</v>
      </c>
      <c r="M192" s="187">
        <v>3026.52</v>
      </c>
      <c r="N192" s="187">
        <v>8</v>
      </c>
      <c r="O192" s="187">
        <v>2546.9</v>
      </c>
      <c r="P192" s="187">
        <v>3</v>
      </c>
    </row>
    <row r="193" spans="1:16" s="187" customFormat="1" ht="12.75">
      <c r="A193" s="187" t="s">
        <v>68</v>
      </c>
      <c r="B193" s="187" t="s">
        <v>69</v>
      </c>
      <c r="C193" s="187" t="s">
        <v>143</v>
      </c>
      <c r="D193" s="187" t="s">
        <v>143</v>
      </c>
      <c r="E193" s="187" t="s">
        <v>106</v>
      </c>
      <c r="F193" s="187" t="s">
        <v>18</v>
      </c>
      <c r="G193" s="187">
        <v>239235150</v>
      </c>
      <c r="H193" s="187" t="s">
        <v>107</v>
      </c>
      <c r="I193" s="187" t="s">
        <v>58</v>
      </c>
      <c r="J193" s="187" t="s">
        <v>143</v>
      </c>
      <c r="K193" s="187" t="s">
        <v>59</v>
      </c>
      <c r="L193" s="187">
        <v>11</v>
      </c>
      <c r="M193" s="187">
        <v>3678.86</v>
      </c>
      <c r="N193" s="187">
        <v>9</v>
      </c>
      <c r="O193" s="187">
        <v>2864.97</v>
      </c>
      <c r="P193" s="187">
        <v>14</v>
      </c>
    </row>
    <row r="194" spans="1:16" s="187" customFormat="1" ht="12.75">
      <c r="A194" s="187" t="s">
        <v>68</v>
      </c>
      <c r="B194" s="187" t="s">
        <v>69</v>
      </c>
      <c r="C194" s="187" t="s">
        <v>143</v>
      </c>
      <c r="D194" s="187" t="s">
        <v>143</v>
      </c>
      <c r="E194" s="187" t="s">
        <v>106</v>
      </c>
      <c r="F194" s="187" t="s">
        <v>18</v>
      </c>
      <c r="G194" s="187">
        <v>239235150</v>
      </c>
      <c r="H194" s="187" t="s">
        <v>107</v>
      </c>
      <c r="I194" s="187" t="s">
        <v>58</v>
      </c>
      <c r="J194" s="187" t="s">
        <v>143</v>
      </c>
      <c r="K194" s="187" t="s">
        <v>62</v>
      </c>
      <c r="L194" s="187">
        <v>7</v>
      </c>
      <c r="M194" s="187">
        <v>2345.5</v>
      </c>
      <c r="N194" s="187">
        <v>6</v>
      </c>
      <c r="O194" s="187">
        <v>1907.45</v>
      </c>
      <c r="P194" s="187">
        <v>6</v>
      </c>
    </row>
    <row r="195" spans="1:16" s="187" customFormat="1" ht="12.75">
      <c r="A195" s="187" t="s">
        <v>108</v>
      </c>
      <c r="B195" s="187" t="s">
        <v>109</v>
      </c>
      <c r="C195" s="187" t="s">
        <v>143</v>
      </c>
      <c r="D195" s="187" t="s">
        <v>143</v>
      </c>
      <c r="E195" s="187" t="s">
        <v>110</v>
      </c>
      <c r="F195" s="187" t="s">
        <v>32</v>
      </c>
      <c r="G195" s="187">
        <v>251407392</v>
      </c>
      <c r="H195" s="187" t="s">
        <v>111</v>
      </c>
      <c r="I195" s="187" t="s">
        <v>58</v>
      </c>
      <c r="J195" s="187" t="s">
        <v>143</v>
      </c>
      <c r="K195" s="187" t="s">
        <v>60</v>
      </c>
      <c r="L195" s="187">
        <v>1</v>
      </c>
      <c r="M195" s="187">
        <v>586.39</v>
      </c>
      <c r="N195" s="187">
        <v>2</v>
      </c>
      <c r="O195" s="187">
        <v>1029.32</v>
      </c>
      <c r="P195" s="187">
        <v>59</v>
      </c>
    </row>
    <row r="196" spans="1:16" s="187" customFormat="1" ht="12.75">
      <c r="A196" s="187" t="s">
        <v>108</v>
      </c>
      <c r="B196" s="187" t="s">
        <v>109</v>
      </c>
      <c r="C196" s="187" t="s">
        <v>143</v>
      </c>
      <c r="D196" s="187" t="s">
        <v>143</v>
      </c>
      <c r="E196" s="187" t="s">
        <v>110</v>
      </c>
      <c r="F196" s="187" t="s">
        <v>32</v>
      </c>
      <c r="G196" s="187">
        <v>251407392</v>
      </c>
      <c r="H196" s="187" t="s">
        <v>111</v>
      </c>
      <c r="I196" s="187" t="s">
        <v>58</v>
      </c>
      <c r="J196" s="187" t="s">
        <v>143</v>
      </c>
      <c r="K196" s="187" t="s">
        <v>63</v>
      </c>
      <c r="L196" s="187">
        <v>1</v>
      </c>
      <c r="M196" s="187">
        <v>565.98</v>
      </c>
      <c r="N196" s="187">
        <v>1</v>
      </c>
      <c r="O196" s="187">
        <v>540.57000000000005</v>
      </c>
      <c r="P196" s="187">
        <v>0</v>
      </c>
    </row>
    <row r="197" spans="1:16" s="187" customFormat="1" ht="12.75">
      <c r="A197" s="187" t="s">
        <v>108</v>
      </c>
      <c r="B197" s="187" t="s">
        <v>109</v>
      </c>
      <c r="C197" s="187" t="s">
        <v>143</v>
      </c>
      <c r="D197" s="187" t="s">
        <v>143</v>
      </c>
      <c r="E197" s="187" t="s">
        <v>110</v>
      </c>
      <c r="F197" s="187" t="s">
        <v>32</v>
      </c>
      <c r="G197" s="187">
        <v>251407392</v>
      </c>
      <c r="H197" s="187" t="s">
        <v>111</v>
      </c>
      <c r="I197" s="187" t="s">
        <v>58</v>
      </c>
      <c r="J197" s="187" t="s">
        <v>143</v>
      </c>
      <c r="K197" s="187" t="s">
        <v>171</v>
      </c>
      <c r="L197" s="187">
        <v>13</v>
      </c>
      <c r="M197" s="187">
        <v>7850.95</v>
      </c>
      <c r="N197" s="187">
        <v>13</v>
      </c>
      <c r="O197" s="187">
        <v>7591.4</v>
      </c>
      <c r="P197" s="187">
        <v>3</v>
      </c>
    </row>
    <row r="198" spans="1:16" s="187" customFormat="1" ht="12.75">
      <c r="A198" s="187" t="s">
        <v>108</v>
      </c>
      <c r="B198" s="187" t="s">
        <v>109</v>
      </c>
      <c r="C198" s="187" t="s">
        <v>143</v>
      </c>
      <c r="D198" s="187" t="s">
        <v>143</v>
      </c>
      <c r="E198" s="187" t="s">
        <v>110</v>
      </c>
      <c r="F198" s="187" t="s">
        <v>31</v>
      </c>
      <c r="G198" s="187">
        <v>251516159</v>
      </c>
      <c r="H198" s="187" t="s">
        <v>112</v>
      </c>
      <c r="I198" s="187" t="s">
        <v>58</v>
      </c>
      <c r="J198" s="187" t="s">
        <v>143</v>
      </c>
      <c r="K198" s="187" t="s">
        <v>60</v>
      </c>
      <c r="L198" s="187">
        <v>29</v>
      </c>
      <c r="M198" s="187">
        <v>15725.01</v>
      </c>
      <c r="N198" s="187">
        <v>23</v>
      </c>
      <c r="O198" s="187">
        <v>11988.52</v>
      </c>
      <c r="P198" s="187">
        <v>5</v>
      </c>
    </row>
    <row r="199" spans="1:16" s="187" customFormat="1" ht="12.75">
      <c r="A199" s="187" t="s">
        <v>108</v>
      </c>
      <c r="B199" s="187" t="s">
        <v>109</v>
      </c>
      <c r="C199" s="187" t="s">
        <v>143</v>
      </c>
      <c r="D199" s="187" t="s">
        <v>143</v>
      </c>
      <c r="E199" s="187" t="s">
        <v>110</v>
      </c>
      <c r="F199" s="187" t="s">
        <v>31</v>
      </c>
      <c r="G199" s="187">
        <v>251516159</v>
      </c>
      <c r="H199" s="187" t="s">
        <v>112</v>
      </c>
      <c r="I199" s="187" t="s">
        <v>58</v>
      </c>
      <c r="J199" s="187" t="s">
        <v>143</v>
      </c>
      <c r="K199" s="187" t="s">
        <v>59</v>
      </c>
      <c r="L199" s="187">
        <v>14</v>
      </c>
      <c r="M199" s="187">
        <v>7819.84</v>
      </c>
      <c r="N199" s="187">
        <v>11</v>
      </c>
      <c r="O199" s="187">
        <v>5919.45</v>
      </c>
      <c r="P199" s="187">
        <v>1</v>
      </c>
    </row>
    <row r="200" spans="1:16" s="187" customFormat="1" ht="12.75">
      <c r="A200" s="187" t="s">
        <v>108</v>
      </c>
      <c r="B200" s="187" t="s">
        <v>109</v>
      </c>
      <c r="C200" s="187" t="s">
        <v>143</v>
      </c>
      <c r="D200" s="187" t="s">
        <v>143</v>
      </c>
      <c r="E200" s="187" t="s">
        <v>110</v>
      </c>
      <c r="F200" s="187" t="s">
        <v>31</v>
      </c>
      <c r="G200" s="187">
        <v>251516159</v>
      </c>
      <c r="H200" s="187" t="s">
        <v>112</v>
      </c>
      <c r="I200" s="187" t="s">
        <v>58</v>
      </c>
      <c r="J200" s="187" t="s">
        <v>143</v>
      </c>
      <c r="K200" s="187" t="s">
        <v>171</v>
      </c>
      <c r="L200" s="187">
        <v>3</v>
      </c>
      <c r="M200" s="187">
        <v>1905.97</v>
      </c>
      <c r="N200" s="187">
        <v>4</v>
      </c>
      <c r="O200" s="187">
        <v>2199.69</v>
      </c>
      <c r="P200" s="187">
        <v>0</v>
      </c>
    </row>
    <row r="201" spans="1:16" s="187" customFormat="1" ht="12.75">
      <c r="A201" s="187" t="s">
        <v>108</v>
      </c>
      <c r="B201" s="187" t="s">
        <v>109</v>
      </c>
      <c r="C201" s="187" t="s">
        <v>143</v>
      </c>
      <c r="D201" s="187" t="s">
        <v>143</v>
      </c>
      <c r="E201" s="187" t="s">
        <v>110</v>
      </c>
      <c r="F201" s="187" t="s">
        <v>31</v>
      </c>
      <c r="G201" s="187">
        <v>251516159</v>
      </c>
      <c r="H201" s="187" t="s">
        <v>112</v>
      </c>
      <c r="I201" s="187" t="s">
        <v>58</v>
      </c>
      <c r="J201" s="187" t="s">
        <v>143</v>
      </c>
      <c r="K201" s="187" t="s">
        <v>61</v>
      </c>
      <c r="L201" s="187">
        <v>1</v>
      </c>
      <c r="M201" s="187">
        <v>527.52</v>
      </c>
      <c r="N201" s="187">
        <v>0</v>
      </c>
      <c r="O201" s="187">
        <v>0</v>
      </c>
      <c r="P201" s="187">
        <v>0</v>
      </c>
    </row>
    <row r="202" spans="1:16" s="187" customFormat="1" ht="12.75">
      <c r="A202" s="187" t="s">
        <v>108</v>
      </c>
      <c r="B202" s="187" t="s">
        <v>109</v>
      </c>
      <c r="C202" s="187" t="s">
        <v>143</v>
      </c>
      <c r="D202" s="187" t="s">
        <v>143</v>
      </c>
      <c r="E202" s="187" t="s">
        <v>110</v>
      </c>
      <c r="F202" s="187" t="s">
        <v>31</v>
      </c>
      <c r="G202" s="187">
        <v>251516159</v>
      </c>
      <c r="H202" s="187" t="s">
        <v>112</v>
      </c>
      <c r="I202" s="187" t="s">
        <v>58</v>
      </c>
      <c r="J202" s="187" t="s">
        <v>143</v>
      </c>
      <c r="K202" s="187" t="s">
        <v>360</v>
      </c>
      <c r="L202" s="187">
        <v>0</v>
      </c>
      <c r="M202" s="187">
        <v>0</v>
      </c>
      <c r="N202" s="187">
        <v>0</v>
      </c>
      <c r="O202" s="187">
        <v>0</v>
      </c>
      <c r="P202" s="187">
        <v>1</v>
      </c>
    </row>
    <row r="203" spans="1:16" s="187" customFormat="1" ht="12.75">
      <c r="A203" s="187" t="s">
        <v>108</v>
      </c>
      <c r="B203" s="187" t="s">
        <v>109</v>
      </c>
      <c r="C203" s="187" t="s">
        <v>143</v>
      </c>
      <c r="D203" s="187" t="s">
        <v>143</v>
      </c>
      <c r="E203" s="187" t="s">
        <v>110</v>
      </c>
      <c r="F203" s="187" t="s">
        <v>31</v>
      </c>
      <c r="G203" s="187">
        <v>251516159</v>
      </c>
      <c r="H203" s="187" t="s">
        <v>112</v>
      </c>
      <c r="I203" s="187" t="s">
        <v>58</v>
      </c>
      <c r="J203" s="187" t="s">
        <v>143</v>
      </c>
      <c r="K203" s="187" t="s">
        <v>63</v>
      </c>
      <c r="L203" s="187">
        <v>1</v>
      </c>
      <c r="M203" s="187">
        <v>545.57000000000005</v>
      </c>
      <c r="N203" s="187">
        <v>1</v>
      </c>
      <c r="O203" s="187">
        <v>519.03</v>
      </c>
      <c r="P203" s="187">
        <v>0</v>
      </c>
    </row>
    <row r="204" spans="1:16" s="187" customFormat="1" ht="12.75">
      <c r="A204" s="187" t="s">
        <v>108</v>
      </c>
      <c r="B204" s="187" t="s">
        <v>109</v>
      </c>
      <c r="C204" s="187" t="s">
        <v>143</v>
      </c>
      <c r="D204" s="187" t="s">
        <v>143</v>
      </c>
      <c r="E204" s="187" t="s">
        <v>110</v>
      </c>
      <c r="F204" s="187" t="s">
        <v>31</v>
      </c>
      <c r="G204" s="187">
        <v>251516159</v>
      </c>
      <c r="H204" s="187" t="s">
        <v>112</v>
      </c>
      <c r="I204" s="187" t="s">
        <v>58</v>
      </c>
      <c r="J204" s="187" t="s">
        <v>143</v>
      </c>
      <c r="K204" s="187" t="s">
        <v>430</v>
      </c>
      <c r="L204" s="187">
        <v>13</v>
      </c>
      <c r="M204" s="187">
        <v>7073.61</v>
      </c>
      <c r="N204" s="187">
        <v>14</v>
      </c>
      <c r="O204" s="187">
        <v>7151.59</v>
      </c>
      <c r="P204" s="187">
        <v>0</v>
      </c>
    </row>
    <row r="205" spans="1:16" s="187" customFormat="1" ht="12.75">
      <c r="A205" s="187" t="s">
        <v>108</v>
      </c>
      <c r="B205" s="187" t="s">
        <v>109</v>
      </c>
      <c r="C205" s="187" t="s">
        <v>143</v>
      </c>
      <c r="D205" s="187" t="s">
        <v>143</v>
      </c>
      <c r="E205" s="187" t="s">
        <v>110</v>
      </c>
      <c r="F205" s="187" t="s">
        <v>31</v>
      </c>
      <c r="G205" s="187">
        <v>251516159</v>
      </c>
      <c r="H205" s="187" t="s">
        <v>112</v>
      </c>
      <c r="I205" s="187" t="s">
        <v>58</v>
      </c>
      <c r="J205" s="187" t="s">
        <v>143</v>
      </c>
      <c r="K205" s="187" t="s">
        <v>62</v>
      </c>
      <c r="L205" s="187">
        <v>1</v>
      </c>
      <c r="M205" s="187">
        <v>545.57000000000005</v>
      </c>
      <c r="N205" s="187">
        <v>1</v>
      </c>
      <c r="O205" s="187">
        <v>524.1</v>
      </c>
      <c r="P205" s="187">
        <v>0</v>
      </c>
    </row>
    <row r="206" spans="1:16" s="187" customFormat="1" ht="12.75">
      <c r="A206" s="187" t="s">
        <v>108</v>
      </c>
      <c r="B206" s="187" t="s">
        <v>109</v>
      </c>
      <c r="C206" s="187" t="s">
        <v>143</v>
      </c>
      <c r="D206" s="187" t="s">
        <v>143</v>
      </c>
      <c r="E206" s="187" t="s">
        <v>110</v>
      </c>
      <c r="F206" s="187" t="s">
        <v>31</v>
      </c>
      <c r="G206" s="187">
        <v>251516159</v>
      </c>
      <c r="H206" s="187" t="s">
        <v>112</v>
      </c>
      <c r="I206" s="187" t="s">
        <v>58</v>
      </c>
      <c r="J206" s="187" t="s">
        <v>143</v>
      </c>
      <c r="K206" s="187" t="s">
        <v>443</v>
      </c>
      <c r="L206" s="187">
        <v>5</v>
      </c>
      <c r="M206" s="187">
        <v>2763.19</v>
      </c>
      <c r="N206" s="187">
        <v>5</v>
      </c>
      <c r="O206" s="187">
        <v>2642.89</v>
      </c>
      <c r="P206" s="187">
        <v>0</v>
      </c>
    </row>
    <row r="207" spans="1:16" s="187" customFormat="1" ht="12.75">
      <c r="A207" s="187" t="s">
        <v>108</v>
      </c>
      <c r="B207" s="187" t="s">
        <v>109</v>
      </c>
      <c r="C207" s="187" t="s">
        <v>143</v>
      </c>
      <c r="D207" s="187" t="s">
        <v>143</v>
      </c>
      <c r="E207" s="187" t="s">
        <v>113</v>
      </c>
      <c r="F207" s="187" t="s">
        <v>29</v>
      </c>
      <c r="G207" s="187">
        <v>251537223</v>
      </c>
      <c r="H207" s="187" t="s">
        <v>114</v>
      </c>
      <c r="I207" s="187" t="s">
        <v>58</v>
      </c>
      <c r="J207" s="187" t="s">
        <v>143</v>
      </c>
      <c r="K207" s="187" t="s">
        <v>443</v>
      </c>
      <c r="L207" s="187">
        <v>3</v>
      </c>
      <c r="M207" s="187">
        <v>1219.0999999999999</v>
      </c>
      <c r="N207" s="187">
        <v>2</v>
      </c>
      <c r="O207" s="187">
        <v>710.55</v>
      </c>
      <c r="P207" s="187">
        <v>0</v>
      </c>
    </row>
    <row r="208" spans="1:16" s="187" customFormat="1" ht="12.75">
      <c r="A208" s="187" t="s">
        <v>108</v>
      </c>
      <c r="B208" s="187" t="s">
        <v>109</v>
      </c>
      <c r="C208" s="187" t="s">
        <v>143</v>
      </c>
      <c r="D208" s="187" t="s">
        <v>143</v>
      </c>
      <c r="E208" s="187" t="s">
        <v>113</v>
      </c>
      <c r="F208" s="187" t="s">
        <v>29</v>
      </c>
      <c r="G208" s="187">
        <v>251537223</v>
      </c>
      <c r="H208" s="187" t="s">
        <v>114</v>
      </c>
      <c r="I208" s="187" t="s">
        <v>58</v>
      </c>
      <c r="J208" s="187" t="s">
        <v>143</v>
      </c>
      <c r="K208" s="187" t="s">
        <v>67</v>
      </c>
      <c r="L208" s="187">
        <v>2</v>
      </c>
      <c r="M208" s="187">
        <v>602.19000000000005</v>
      </c>
      <c r="N208" s="187">
        <v>7</v>
      </c>
      <c r="O208" s="187">
        <v>1901.12</v>
      </c>
      <c r="P208" s="187">
        <v>0</v>
      </c>
    </row>
    <row r="209" spans="1:16" s="187" customFormat="1" ht="12.75">
      <c r="A209" s="187" t="s">
        <v>108</v>
      </c>
      <c r="B209" s="187" t="s">
        <v>109</v>
      </c>
      <c r="C209" s="187" t="s">
        <v>143</v>
      </c>
      <c r="D209" s="187" t="s">
        <v>143</v>
      </c>
      <c r="E209" s="187" t="s">
        <v>113</v>
      </c>
      <c r="F209" s="187" t="s">
        <v>29</v>
      </c>
      <c r="G209" s="187">
        <v>251537223</v>
      </c>
      <c r="H209" s="187" t="s">
        <v>114</v>
      </c>
      <c r="I209" s="187" t="s">
        <v>58</v>
      </c>
      <c r="J209" s="187" t="s">
        <v>143</v>
      </c>
      <c r="K209" s="187" t="s">
        <v>430</v>
      </c>
      <c r="L209" s="187">
        <v>10</v>
      </c>
      <c r="M209" s="187">
        <v>4326.1099999999997</v>
      </c>
      <c r="N209" s="187">
        <v>12</v>
      </c>
      <c r="O209" s="187">
        <v>4803.67</v>
      </c>
      <c r="P209" s="187">
        <v>5</v>
      </c>
    </row>
    <row r="210" spans="1:16" s="187" customFormat="1" ht="12.75">
      <c r="A210" s="187" t="s">
        <v>108</v>
      </c>
      <c r="B210" s="187" t="s">
        <v>109</v>
      </c>
      <c r="C210" s="187" t="s">
        <v>143</v>
      </c>
      <c r="D210" s="187" t="s">
        <v>143</v>
      </c>
      <c r="E210" s="187" t="s">
        <v>113</v>
      </c>
      <c r="F210" s="187" t="s">
        <v>29</v>
      </c>
      <c r="G210" s="187">
        <v>251537223</v>
      </c>
      <c r="H210" s="187" t="s">
        <v>114</v>
      </c>
      <c r="I210" s="187" t="s">
        <v>58</v>
      </c>
      <c r="J210" s="187" t="s">
        <v>143</v>
      </c>
      <c r="K210" s="187" t="s">
        <v>171</v>
      </c>
      <c r="L210" s="187">
        <v>4</v>
      </c>
      <c r="M210" s="187">
        <v>1632.8</v>
      </c>
      <c r="N210" s="187">
        <v>3</v>
      </c>
      <c r="O210" s="187">
        <v>1128.19</v>
      </c>
      <c r="P210" s="187">
        <v>1</v>
      </c>
    </row>
    <row r="211" spans="1:16" s="187" customFormat="1" ht="12.75">
      <c r="A211" s="187" t="s">
        <v>108</v>
      </c>
      <c r="B211" s="187" t="s">
        <v>109</v>
      </c>
      <c r="C211" s="187" t="s">
        <v>143</v>
      </c>
      <c r="D211" s="187" t="s">
        <v>143</v>
      </c>
      <c r="E211" s="187" t="s">
        <v>113</v>
      </c>
      <c r="F211" s="187" t="s">
        <v>29</v>
      </c>
      <c r="G211" s="187">
        <v>251537223</v>
      </c>
      <c r="H211" s="187" t="s">
        <v>114</v>
      </c>
      <c r="I211" s="187" t="s">
        <v>58</v>
      </c>
      <c r="J211" s="187" t="s">
        <v>143</v>
      </c>
      <c r="K211" s="187" t="s">
        <v>60</v>
      </c>
      <c r="L211" s="187">
        <v>2</v>
      </c>
      <c r="M211" s="187">
        <v>966.33</v>
      </c>
      <c r="N211" s="187">
        <v>2</v>
      </c>
      <c r="O211" s="187">
        <v>918.72</v>
      </c>
      <c r="P211" s="187">
        <v>11</v>
      </c>
    </row>
    <row r="212" spans="1:16" s="187" customFormat="1" ht="12.75">
      <c r="A212" s="187" t="s">
        <v>108</v>
      </c>
      <c r="B212" s="187" t="s">
        <v>109</v>
      </c>
      <c r="C212" s="187" t="s">
        <v>143</v>
      </c>
      <c r="D212" s="187" t="s">
        <v>143</v>
      </c>
      <c r="E212" s="187" t="s">
        <v>113</v>
      </c>
      <c r="F212" s="187" t="s">
        <v>29</v>
      </c>
      <c r="G212" s="187">
        <v>251537223</v>
      </c>
      <c r="H212" s="187" t="s">
        <v>114</v>
      </c>
      <c r="I212" s="187" t="s">
        <v>58</v>
      </c>
      <c r="J212" s="187" t="s">
        <v>143</v>
      </c>
      <c r="K212" s="187" t="s">
        <v>59</v>
      </c>
      <c r="L212" s="187">
        <v>9</v>
      </c>
      <c r="M212" s="187">
        <v>3603.53</v>
      </c>
      <c r="N212" s="187">
        <v>7</v>
      </c>
      <c r="O212" s="187">
        <v>2709.36</v>
      </c>
      <c r="P212" s="187">
        <v>50</v>
      </c>
    </row>
    <row r="213" spans="1:16" s="187" customFormat="1" ht="12.75">
      <c r="A213" s="187" t="s">
        <v>108</v>
      </c>
      <c r="B213" s="187" t="s">
        <v>109</v>
      </c>
      <c r="C213" s="187" t="s">
        <v>143</v>
      </c>
      <c r="D213" s="187" t="s">
        <v>143</v>
      </c>
      <c r="E213" s="187" t="s">
        <v>113</v>
      </c>
      <c r="F213" s="187" t="s">
        <v>29</v>
      </c>
      <c r="G213" s="187">
        <v>251537223</v>
      </c>
      <c r="H213" s="187" t="s">
        <v>114</v>
      </c>
      <c r="I213" s="187" t="s">
        <v>58</v>
      </c>
      <c r="J213" s="187" t="s">
        <v>143</v>
      </c>
      <c r="K213" s="187" t="s">
        <v>63</v>
      </c>
      <c r="L213" s="187">
        <v>0</v>
      </c>
      <c r="M213" s="187">
        <v>0</v>
      </c>
      <c r="N213" s="187">
        <v>1</v>
      </c>
      <c r="O213" s="187">
        <v>249.27</v>
      </c>
      <c r="P213" s="187">
        <v>0</v>
      </c>
    </row>
    <row r="214" spans="1:16" s="187" customFormat="1" ht="12.75">
      <c r="A214" s="187" t="s">
        <v>108</v>
      </c>
      <c r="B214" s="187" t="s">
        <v>109</v>
      </c>
      <c r="C214" s="187" t="s">
        <v>143</v>
      </c>
      <c r="D214" s="187" t="s">
        <v>143</v>
      </c>
      <c r="E214" s="187" t="s">
        <v>113</v>
      </c>
      <c r="F214" s="187" t="s">
        <v>29</v>
      </c>
      <c r="G214" s="187">
        <v>251537223</v>
      </c>
      <c r="H214" s="187" t="s">
        <v>114</v>
      </c>
      <c r="I214" s="187" t="s">
        <v>58</v>
      </c>
      <c r="J214" s="187" t="s">
        <v>143</v>
      </c>
      <c r="K214" s="187" t="s">
        <v>62</v>
      </c>
      <c r="L214" s="187">
        <v>2</v>
      </c>
      <c r="M214" s="187">
        <v>846.22</v>
      </c>
      <c r="N214" s="187">
        <v>3</v>
      </c>
      <c r="O214" s="187">
        <v>1146.1099999999999</v>
      </c>
      <c r="P214" s="187">
        <v>0</v>
      </c>
    </row>
    <row r="215" spans="1:16" s="187" customFormat="1" ht="12.75">
      <c r="A215" s="187" t="s">
        <v>108</v>
      </c>
      <c r="B215" s="187" t="s">
        <v>109</v>
      </c>
      <c r="C215" s="187" t="s">
        <v>143</v>
      </c>
      <c r="D215" s="187" t="s">
        <v>143</v>
      </c>
      <c r="E215" s="187" t="s">
        <v>113</v>
      </c>
      <c r="F215" s="187" t="s">
        <v>29</v>
      </c>
      <c r="G215" s="187">
        <v>251537223</v>
      </c>
      <c r="H215" s="187" t="s">
        <v>114</v>
      </c>
      <c r="I215" s="187" t="s">
        <v>58</v>
      </c>
      <c r="J215" s="187" t="s">
        <v>143</v>
      </c>
      <c r="K215" s="187" t="s">
        <v>61</v>
      </c>
      <c r="L215" s="187">
        <v>1</v>
      </c>
      <c r="M215" s="187">
        <v>423.11</v>
      </c>
      <c r="N215" s="187">
        <v>0</v>
      </c>
      <c r="O215" s="187">
        <v>0</v>
      </c>
      <c r="P215" s="187">
        <v>0</v>
      </c>
    </row>
    <row r="216" spans="1:16" s="187" customFormat="1" ht="12.75">
      <c r="A216" s="187" t="s">
        <v>108</v>
      </c>
      <c r="B216" s="187" t="s">
        <v>109</v>
      </c>
      <c r="C216" s="187" t="s">
        <v>143</v>
      </c>
      <c r="D216" s="187" t="s">
        <v>143</v>
      </c>
      <c r="E216" s="187" t="s">
        <v>113</v>
      </c>
      <c r="F216" s="187" t="s">
        <v>30</v>
      </c>
      <c r="G216" s="187">
        <v>251537413</v>
      </c>
      <c r="H216" s="187" t="s">
        <v>115</v>
      </c>
      <c r="I216" s="187" t="s">
        <v>58</v>
      </c>
      <c r="J216" s="187" t="s">
        <v>143</v>
      </c>
      <c r="K216" s="187" t="s">
        <v>87</v>
      </c>
      <c r="L216" s="187">
        <v>1</v>
      </c>
      <c r="M216" s="187">
        <v>339.9</v>
      </c>
      <c r="N216" s="187">
        <v>1</v>
      </c>
      <c r="O216" s="187">
        <v>328.07</v>
      </c>
      <c r="P216" s="187">
        <v>0</v>
      </c>
    </row>
    <row r="217" spans="1:16" s="187" customFormat="1" ht="12.75">
      <c r="A217" s="187" t="s">
        <v>108</v>
      </c>
      <c r="B217" s="187" t="s">
        <v>109</v>
      </c>
      <c r="C217" s="187" t="s">
        <v>143</v>
      </c>
      <c r="D217" s="187" t="s">
        <v>143</v>
      </c>
      <c r="E217" s="187" t="s">
        <v>113</v>
      </c>
      <c r="F217" s="187" t="s">
        <v>30</v>
      </c>
      <c r="G217" s="187">
        <v>251537413</v>
      </c>
      <c r="H217" s="187" t="s">
        <v>115</v>
      </c>
      <c r="I217" s="187" t="s">
        <v>58</v>
      </c>
      <c r="J217" s="187" t="s">
        <v>143</v>
      </c>
      <c r="K217" s="187" t="s">
        <v>62</v>
      </c>
      <c r="L217" s="187">
        <v>18</v>
      </c>
      <c r="M217" s="187">
        <v>7072.67</v>
      </c>
      <c r="N217" s="187">
        <v>17</v>
      </c>
      <c r="O217" s="187">
        <v>6295.01</v>
      </c>
      <c r="P217" s="187">
        <v>35</v>
      </c>
    </row>
    <row r="218" spans="1:16" s="187" customFormat="1" ht="12.75">
      <c r="A218" s="187" t="s">
        <v>108</v>
      </c>
      <c r="B218" s="187" t="s">
        <v>109</v>
      </c>
      <c r="C218" s="187" t="s">
        <v>143</v>
      </c>
      <c r="D218" s="187" t="s">
        <v>143</v>
      </c>
      <c r="E218" s="187" t="s">
        <v>113</v>
      </c>
      <c r="F218" s="187" t="s">
        <v>30</v>
      </c>
      <c r="G218" s="187">
        <v>251537413</v>
      </c>
      <c r="H218" s="187" t="s">
        <v>115</v>
      </c>
      <c r="I218" s="187" t="s">
        <v>58</v>
      </c>
      <c r="J218" s="187" t="s">
        <v>143</v>
      </c>
      <c r="K218" s="187" t="s">
        <v>67</v>
      </c>
      <c r="L218" s="187">
        <v>3</v>
      </c>
      <c r="M218" s="187">
        <v>938.06</v>
      </c>
      <c r="N218" s="187">
        <v>4</v>
      </c>
      <c r="O218" s="187">
        <v>1235.48</v>
      </c>
      <c r="P218" s="187">
        <v>3</v>
      </c>
    </row>
    <row r="219" spans="1:16" s="187" customFormat="1" ht="12.75">
      <c r="A219" s="187" t="s">
        <v>108</v>
      </c>
      <c r="B219" s="187" t="s">
        <v>109</v>
      </c>
      <c r="C219" s="187" t="s">
        <v>143</v>
      </c>
      <c r="D219" s="187" t="s">
        <v>143</v>
      </c>
      <c r="E219" s="187" t="s">
        <v>113</v>
      </c>
      <c r="F219" s="187" t="s">
        <v>30</v>
      </c>
      <c r="G219" s="187">
        <v>251537413</v>
      </c>
      <c r="H219" s="187" t="s">
        <v>115</v>
      </c>
      <c r="I219" s="187" t="s">
        <v>58</v>
      </c>
      <c r="J219" s="187" t="s">
        <v>143</v>
      </c>
      <c r="K219" s="187" t="s">
        <v>360</v>
      </c>
      <c r="L219" s="187">
        <v>0</v>
      </c>
      <c r="M219" s="187">
        <v>0</v>
      </c>
      <c r="N219" s="187">
        <v>0</v>
      </c>
      <c r="O219" s="187">
        <v>0</v>
      </c>
      <c r="P219" s="187">
        <v>2</v>
      </c>
    </row>
    <row r="220" spans="1:16" s="187" customFormat="1" ht="12.75">
      <c r="A220" s="187" t="s">
        <v>108</v>
      </c>
      <c r="B220" s="187" t="s">
        <v>109</v>
      </c>
      <c r="C220" s="187" t="s">
        <v>143</v>
      </c>
      <c r="D220" s="187" t="s">
        <v>143</v>
      </c>
      <c r="E220" s="187" t="s">
        <v>113</v>
      </c>
      <c r="F220" s="187" t="s">
        <v>30</v>
      </c>
      <c r="G220" s="187">
        <v>251537413</v>
      </c>
      <c r="H220" s="187" t="s">
        <v>115</v>
      </c>
      <c r="I220" s="187" t="s">
        <v>58</v>
      </c>
      <c r="J220" s="187" t="s">
        <v>143</v>
      </c>
      <c r="K220" s="187" t="s">
        <v>61</v>
      </c>
      <c r="L220" s="187">
        <v>1</v>
      </c>
      <c r="M220" s="187">
        <v>485.91</v>
      </c>
      <c r="N220" s="187">
        <v>1</v>
      </c>
      <c r="O220" s="187">
        <v>467.52</v>
      </c>
      <c r="P220" s="187">
        <v>0</v>
      </c>
    </row>
    <row r="221" spans="1:16" s="187" customFormat="1" ht="12.75">
      <c r="A221" s="187" t="s">
        <v>108</v>
      </c>
      <c r="B221" s="187" t="s">
        <v>109</v>
      </c>
      <c r="C221" s="187" t="s">
        <v>143</v>
      </c>
      <c r="D221" s="187" t="s">
        <v>143</v>
      </c>
      <c r="E221" s="187" t="s">
        <v>113</v>
      </c>
      <c r="F221" s="187" t="s">
        <v>30</v>
      </c>
      <c r="G221" s="187">
        <v>251537413</v>
      </c>
      <c r="H221" s="187" t="s">
        <v>115</v>
      </c>
      <c r="I221" s="187" t="s">
        <v>58</v>
      </c>
      <c r="J221" s="187" t="s">
        <v>143</v>
      </c>
      <c r="K221" s="187" t="s">
        <v>443</v>
      </c>
      <c r="L221" s="187">
        <v>1</v>
      </c>
      <c r="M221" s="187">
        <v>339.9</v>
      </c>
      <c r="N221" s="187">
        <v>1</v>
      </c>
      <c r="O221" s="187">
        <v>321.10000000000002</v>
      </c>
      <c r="P221" s="187">
        <v>1</v>
      </c>
    </row>
    <row r="222" spans="1:16" s="187" customFormat="1" ht="12.75">
      <c r="A222" s="187" t="s">
        <v>108</v>
      </c>
      <c r="B222" s="187" t="s">
        <v>109</v>
      </c>
      <c r="C222" s="187" t="s">
        <v>143</v>
      </c>
      <c r="D222" s="187" t="s">
        <v>143</v>
      </c>
      <c r="E222" s="187" t="s">
        <v>113</v>
      </c>
      <c r="F222" s="187" t="s">
        <v>30</v>
      </c>
      <c r="G222" s="187">
        <v>251537413</v>
      </c>
      <c r="H222" s="187" t="s">
        <v>115</v>
      </c>
      <c r="I222" s="187" t="s">
        <v>58</v>
      </c>
      <c r="J222" s="187" t="s">
        <v>143</v>
      </c>
      <c r="K222" s="187" t="s">
        <v>171</v>
      </c>
      <c r="L222" s="187">
        <v>4</v>
      </c>
      <c r="M222" s="187">
        <v>1653.99</v>
      </c>
      <c r="N222" s="187">
        <v>3</v>
      </c>
      <c r="O222" s="187">
        <v>1131.9100000000001</v>
      </c>
      <c r="P222" s="187">
        <v>5</v>
      </c>
    </row>
    <row r="223" spans="1:16" s="187" customFormat="1" ht="12.75">
      <c r="A223" s="187" t="s">
        <v>108</v>
      </c>
      <c r="B223" s="187" t="s">
        <v>109</v>
      </c>
      <c r="C223" s="187" t="s">
        <v>143</v>
      </c>
      <c r="D223" s="187" t="s">
        <v>143</v>
      </c>
      <c r="E223" s="187" t="s">
        <v>113</v>
      </c>
      <c r="F223" s="187" t="s">
        <v>30</v>
      </c>
      <c r="G223" s="187">
        <v>251537413</v>
      </c>
      <c r="H223" s="187" t="s">
        <v>115</v>
      </c>
      <c r="I223" s="187" t="s">
        <v>58</v>
      </c>
      <c r="J223" s="187" t="s">
        <v>143</v>
      </c>
      <c r="K223" s="187" t="s">
        <v>288</v>
      </c>
      <c r="L223" s="187">
        <v>0</v>
      </c>
      <c r="M223" s="187">
        <v>0</v>
      </c>
      <c r="N223" s="187">
        <v>0</v>
      </c>
      <c r="O223" s="187">
        <v>0</v>
      </c>
      <c r="P223" s="187">
        <v>1</v>
      </c>
    </row>
    <row r="224" spans="1:16" s="187" customFormat="1" ht="12.75">
      <c r="A224" s="187" t="s">
        <v>108</v>
      </c>
      <c r="B224" s="187" t="s">
        <v>109</v>
      </c>
      <c r="C224" s="187" t="s">
        <v>143</v>
      </c>
      <c r="D224" s="187" t="s">
        <v>143</v>
      </c>
      <c r="E224" s="187" t="s">
        <v>113</v>
      </c>
      <c r="F224" s="187" t="s">
        <v>30</v>
      </c>
      <c r="G224" s="187">
        <v>251537413</v>
      </c>
      <c r="H224" s="187" t="s">
        <v>115</v>
      </c>
      <c r="I224" s="187" t="s">
        <v>58</v>
      </c>
      <c r="J224" s="187" t="s">
        <v>143</v>
      </c>
      <c r="K224" s="187" t="s">
        <v>138</v>
      </c>
      <c r="L224" s="187">
        <v>1</v>
      </c>
      <c r="M224" s="187">
        <v>332.05</v>
      </c>
      <c r="N224" s="187">
        <v>1</v>
      </c>
      <c r="O224" s="187">
        <v>320.3</v>
      </c>
      <c r="P224" s="187">
        <v>0</v>
      </c>
    </row>
    <row r="225" spans="1:16" s="187" customFormat="1" ht="12.75">
      <c r="A225" s="187" t="s">
        <v>108</v>
      </c>
      <c r="B225" s="187" t="s">
        <v>109</v>
      </c>
      <c r="C225" s="187" t="s">
        <v>143</v>
      </c>
      <c r="D225" s="187" t="s">
        <v>143</v>
      </c>
      <c r="E225" s="187" t="s">
        <v>113</v>
      </c>
      <c r="F225" s="187" t="s">
        <v>30</v>
      </c>
      <c r="G225" s="187">
        <v>251537413</v>
      </c>
      <c r="H225" s="187" t="s">
        <v>115</v>
      </c>
      <c r="I225" s="187" t="s">
        <v>58</v>
      </c>
      <c r="J225" s="187" t="s">
        <v>143</v>
      </c>
      <c r="K225" s="187" t="s">
        <v>63</v>
      </c>
      <c r="L225" s="187">
        <v>2</v>
      </c>
      <c r="M225" s="187">
        <v>675.88</v>
      </c>
      <c r="N225" s="187">
        <v>1</v>
      </c>
      <c r="O225" s="187">
        <v>314.11</v>
      </c>
      <c r="P225" s="187">
        <v>0</v>
      </c>
    </row>
    <row r="226" spans="1:16" s="187" customFormat="1" ht="12.75">
      <c r="A226" s="187" t="s">
        <v>108</v>
      </c>
      <c r="B226" s="187" t="s">
        <v>109</v>
      </c>
      <c r="C226" s="187" t="s">
        <v>143</v>
      </c>
      <c r="D226" s="187" t="s">
        <v>143</v>
      </c>
      <c r="E226" s="187" t="s">
        <v>113</v>
      </c>
      <c r="F226" s="187" t="s">
        <v>30</v>
      </c>
      <c r="G226" s="187">
        <v>251537413</v>
      </c>
      <c r="H226" s="187" t="s">
        <v>115</v>
      </c>
      <c r="I226" s="187" t="s">
        <v>58</v>
      </c>
      <c r="J226" s="187" t="s">
        <v>143</v>
      </c>
      <c r="K226" s="187" t="s">
        <v>60</v>
      </c>
      <c r="L226" s="187">
        <v>0</v>
      </c>
      <c r="M226" s="187">
        <v>0</v>
      </c>
      <c r="N226" s="187">
        <v>1</v>
      </c>
      <c r="O226" s="187">
        <v>338.13</v>
      </c>
      <c r="P226" s="187">
        <v>12</v>
      </c>
    </row>
    <row r="227" spans="1:16" s="187" customFormat="1" ht="12.75">
      <c r="A227" s="187" t="s">
        <v>108</v>
      </c>
      <c r="B227" s="187" t="s">
        <v>109</v>
      </c>
      <c r="C227" s="187" t="s">
        <v>143</v>
      </c>
      <c r="D227" s="187" t="s">
        <v>143</v>
      </c>
      <c r="E227" s="187" t="s">
        <v>113</v>
      </c>
      <c r="F227" s="187" t="s">
        <v>30</v>
      </c>
      <c r="G227" s="187">
        <v>251537413</v>
      </c>
      <c r="H227" s="187" t="s">
        <v>115</v>
      </c>
      <c r="I227" s="187" t="s">
        <v>58</v>
      </c>
      <c r="J227" s="187" t="s">
        <v>143</v>
      </c>
      <c r="K227" s="187" t="s">
        <v>430</v>
      </c>
      <c r="L227" s="187">
        <v>7</v>
      </c>
      <c r="M227" s="187">
        <v>2438.96</v>
      </c>
      <c r="N227" s="187">
        <v>6</v>
      </c>
      <c r="O227" s="187">
        <v>2020.71</v>
      </c>
      <c r="P227" s="187">
        <v>7</v>
      </c>
    </row>
    <row r="228" spans="1:16" s="187" customFormat="1" ht="12.75">
      <c r="A228" s="187" t="s">
        <v>108</v>
      </c>
      <c r="B228" s="187" t="s">
        <v>109</v>
      </c>
      <c r="C228" s="187" t="s">
        <v>143</v>
      </c>
      <c r="D228" s="187" t="s">
        <v>143</v>
      </c>
      <c r="E228" s="187" t="s">
        <v>113</v>
      </c>
      <c r="F228" s="187" t="s">
        <v>30</v>
      </c>
      <c r="G228" s="187">
        <v>251537413</v>
      </c>
      <c r="H228" s="187" t="s">
        <v>115</v>
      </c>
      <c r="I228" s="187" t="s">
        <v>58</v>
      </c>
      <c r="J228" s="187" t="s">
        <v>143</v>
      </c>
      <c r="K228" s="187" t="s">
        <v>64</v>
      </c>
      <c r="L228" s="187">
        <v>4</v>
      </c>
      <c r="M228" s="187">
        <v>1427.11</v>
      </c>
      <c r="N228" s="187">
        <v>3</v>
      </c>
      <c r="O228" s="187">
        <v>1028.5</v>
      </c>
      <c r="P228" s="187">
        <v>5</v>
      </c>
    </row>
    <row r="229" spans="1:16" s="187" customFormat="1" ht="12.75">
      <c r="A229" s="187" t="s">
        <v>108</v>
      </c>
      <c r="B229" s="187" t="s">
        <v>109</v>
      </c>
      <c r="C229" s="187" t="s">
        <v>143</v>
      </c>
      <c r="D229" s="187" t="s">
        <v>143</v>
      </c>
      <c r="E229" s="187" t="s">
        <v>113</v>
      </c>
      <c r="F229" s="187" t="s">
        <v>30</v>
      </c>
      <c r="G229" s="187">
        <v>251537413</v>
      </c>
      <c r="H229" s="187" t="s">
        <v>115</v>
      </c>
      <c r="I229" s="187" t="s">
        <v>58</v>
      </c>
      <c r="J229" s="187" t="s">
        <v>143</v>
      </c>
      <c r="K229" s="187" t="s">
        <v>289</v>
      </c>
      <c r="L229" s="187">
        <v>1</v>
      </c>
      <c r="M229" s="187">
        <v>339.9</v>
      </c>
      <c r="N229" s="187">
        <v>1</v>
      </c>
      <c r="O229" s="187">
        <v>325.51</v>
      </c>
      <c r="P229" s="187">
        <v>0</v>
      </c>
    </row>
    <row r="230" spans="1:16" s="187" customFormat="1" ht="12.75">
      <c r="A230" s="187" t="s">
        <v>108</v>
      </c>
      <c r="B230" s="187" t="s">
        <v>109</v>
      </c>
      <c r="C230" s="187" t="s">
        <v>143</v>
      </c>
      <c r="D230" s="187" t="s">
        <v>143</v>
      </c>
      <c r="E230" s="187" t="s">
        <v>113</v>
      </c>
      <c r="F230" s="187" t="s">
        <v>30</v>
      </c>
      <c r="G230" s="187">
        <v>251537413</v>
      </c>
      <c r="H230" s="187" t="s">
        <v>115</v>
      </c>
      <c r="I230" s="187" t="s">
        <v>58</v>
      </c>
      <c r="J230" s="187" t="s">
        <v>143</v>
      </c>
      <c r="K230" s="187" t="s">
        <v>59</v>
      </c>
      <c r="L230" s="187">
        <v>6</v>
      </c>
      <c r="M230" s="187">
        <v>2430.3200000000002</v>
      </c>
      <c r="N230" s="187">
        <v>6</v>
      </c>
      <c r="O230" s="187">
        <v>2128.3000000000002</v>
      </c>
      <c r="P230" s="187">
        <v>55</v>
      </c>
    </row>
    <row r="231" spans="1:16" s="187" customFormat="1" ht="12.75">
      <c r="A231" s="187" t="s">
        <v>54</v>
      </c>
      <c r="B231" s="187" t="s">
        <v>116</v>
      </c>
      <c r="C231" s="187" t="s">
        <v>143</v>
      </c>
      <c r="D231" s="187" t="s">
        <v>143</v>
      </c>
      <c r="E231" s="187" t="s">
        <v>142</v>
      </c>
      <c r="F231" s="187" t="s">
        <v>26</v>
      </c>
      <c r="G231" s="187">
        <v>271440668</v>
      </c>
      <c r="H231" s="187" t="s">
        <v>118</v>
      </c>
      <c r="I231" s="187" t="s">
        <v>58</v>
      </c>
      <c r="J231" s="187" t="s">
        <v>143</v>
      </c>
      <c r="K231" s="187" t="s">
        <v>60</v>
      </c>
      <c r="L231" s="187">
        <v>1</v>
      </c>
      <c r="M231" s="187">
        <v>428.29</v>
      </c>
      <c r="N231" s="187">
        <v>1</v>
      </c>
      <c r="O231" s="187">
        <v>419.91</v>
      </c>
      <c r="P231" s="187">
        <v>18</v>
      </c>
    </row>
    <row r="232" spans="1:16" s="187" customFormat="1" ht="12.75">
      <c r="A232" s="187" t="s">
        <v>54</v>
      </c>
      <c r="B232" s="187" t="s">
        <v>116</v>
      </c>
      <c r="C232" s="187" t="s">
        <v>143</v>
      </c>
      <c r="D232" s="187" t="s">
        <v>143</v>
      </c>
      <c r="E232" s="187" t="s">
        <v>142</v>
      </c>
      <c r="F232" s="187" t="s">
        <v>26</v>
      </c>
      <c r="G232" s="187">
        <v>271440668</v>
      </c>
      <c r="H232" s="187" t="s">
        <v>118</v>
      </c>
      <c r="I232" s="187" t="s">
        <v>58</v>
      </c>
      <c r="J232" s="187" t="s">
        <v>143</v>
      </c>
      <c r="K232" s="187" t="s">
        <v>171</v>
      </c>
      <c r="L232" s="187">
        <v>2</v>
      </c>
      <c r="M232" s="187">
        <v>1455.07</v>
      </c>
      <c r="N232" s="187">
        <v>2</v>
      </c>
      <c r="O232" s="187">
        <v>1377.74</v>
      </c>
      <c r="P232" s="187">
        <v>24</v>
      </c>
    </row>
    <row r="233" spans="1:16" s="187" customFormat="1" ht="12.75">
      <c r="A233" s="187" t="s">
        <v>54</v>
      </c>
      <c r="B233" s="187" t="s">
        <v>116</v>
      </c>
      <c r="C233" s="187" t="s">
        <v>143</v>
      </c>
      <c r="D233" s="187" t="s">
        <v>143</v>
      </c>
      <c r="E233" s="187" t="s">
        <v>142</v>
      </c>
      <c r="F233" s="187" t="s">
        <v>26</v>
      </c>
      <c r="G233" s="187">
        <v>271440668</v>
      </c>
      <c r="H233" s="187" t="s">
        <v>118</v>
      </c>
      <c r="I233" s="187" t="s">
        <v>58</v>
      </c>
      <c r="J233" s="187" t="s">
        <v>143</v>
      </c>
      <c r="K233" s="187" t="s">
        <v>443</v>
      </c>
      <c r="L233" s="187">
        <v>6</v>
      </c>
      <c r="M233" s="187">
        <v>3972.98</v>
      </c>
      <c r="N233" s="187">
        <v>7</v>
      </c>
      <c r="O233" s="187">
        <v>4208.28</v>
      </c>
      <c r="P233" s="187">
        <v>11</v>
      </c>
    </row>
    <row r="234" spans="1:16" s="187" customFormat="1" ht="12.75">
      <c r="A234" s="187" t="s">
        <v>54</v>
      </c>
      <c r="B234" s="187" t="s">
        <v>116</v>
      </c>
      <c r="C234" s="187" t="s">
        <v>143</v>
      </c>
      <c r="D234" s="187" t="s">
        <v>143</v>
      </c>
      <c r="E234" s="187" t="s">
        <v>142</v>
      </c>
      <c r="F234" s="187" t="s">
        <v>26</v>
      </c>
      <c r="G234" s="187">
        <v>271440668</v>
      </c>
      <c r="H234" s="187" t="s">
        <v>118</v>
      </c>
      <c r="I234" s="187" t="s">
        <v>58</v>
      </c>
      <c r="J234" s="187" t="s">
        <v>143</v>
      </c>
      <c r="K234" s="187" t="s">
        <v>64</v>
      </c>
      <c r="L234" s="187">
        <v>4</v>
      </c>
      <c r="M234" s="187">
        <v>2822.41</v>
      </c>
      <c r="N234" s="187">
        <v>4</v>
      </c>
      <c r="O234" s="187">
        <v>2588.1</v>
      </c>
      <c r="P234" s="187">
        <v>16</v>
      </c>
    </row>
    <row r="235" spans="1:16" s="187" customFormat="1" ht="12.75">
      <c r="A235" s="187" t="s">
        <v>54</v>
      </c>
      <c r="B235" s="187" t="s">
        <v>116</v>
      </c>
      <c r="C235" s="187" t="s">
        <v>143</v>
      </c>
      <c r="D235" s="187" t="s">
        <v>143</v>
      </c>
      <c r="E235" s="187" t="s">
        <v>142</v>
      </c>
      <c r="F235" s="187" t="s">
        <v>26</v>
      </c>
      <c r="G235" s="187">
        <v>271440668</v>
      </c>
      <c r="H235" s="187" t="s">
        <v>118</v>
      </c>
      <c r="I235" s="187" t="s">
        <v>58</v>
      </c>
      <c r="J235" s="187" t="s">
        <v>143</v>
      </c>
      <c r="K235" s="187" t="s">
        <v>61</v>
      </c>
      <c r="L235" s="187">
        <v>1</v>
      </c>
      <c r="M235" s="187">
        <v>540.12</v>
      </c>
      <c r="N235" s="187">
        <v>1</v>
      </c>
      <c r="O235" s="187">
        <v>518.92999999999995</v>
      </c>
      <c r="P235" s="187">
        <v>22</v>
      </c>
    </row>
    <row r="236" spans="1:16" s="187" customFormat="1" ht="12.75">
      <c r="A236" s="187" t="s">
        <v>54</v>
      </c>
      <c r="B236" s="187" t="s">
        <v>116</v>
      </c>
      <c r="C236" s="187" t="s">
        <v>143</v>
      </c>
      <c r="D236" s="187" t="s">
        <v>143</v>
      </c>
      <c r="E236" s="187" t="s">
        <v>142</v>
      </c>
      <c r="F236" s="187" t="s">
        <v>26</v>
      </c>
      <c r="G236" s="187">
        <v>271440668</v>
      </c>
      <c r="H236" s="187" t="s">
        <v>118</v>
      </c>
      <c r="I236" s="187" t="s">
        <v>58</v>
      </c>
      <c r="J236" s="187" t="s">
        <v>143</v>
      </c>
      <c r="K236" s="187" t="s">
        <v>62</v>
      </c>
      <c r="L236" s="187">
        <v>0</v>
      </c>
      <c r="M236" s="187">
        <v>0</v>
      </c>
      <c r="N236" s="187">
        <v>1</v>
      </c>
      <c r="O236" s="187">
        <v>543.35</v>
      </c>
      <c r="P236" s="187">
        <v>0</v>
      </c>
    </row>
    <row r="237" spans="1:16" s="187" customFormat="1" ht="12.75">
      <c r="A237" s="187" t="s">
        <v>54</v>
      </c>
      <c r="B237" s="187" t="s">
        <v>116</v>
      </c>
      <c r="C237" s="187" t="s">
        <v>143</v>
      </c>
      <c r="D237" s="187" t="s">
        <v>143</v>
      </c>
      <c r="E237" s="187" t="s">
        <v>142</v>
      </c>
      <c r="F237" s="187" t="s">
        <v>26</v>
      </c>
      <c r="G237" s="187">
        <v>271440668</v>
      </c>
      <c r="H237" s="187" t="s">
        <v>118</v>
      </c>
      <c r="I237" s="187" t="s">
        <v>58</v>
      </c>
      <c r="J237" s="187" t="s">
        <v>143</v>
      </c>
      <c r="K237" s="187" t="s">
        <v>430</v>
      </c>
      <c r="L237" s="187">
        <v>0</v>
      </c>
      <c r="M237" s="187">
        <v>0</v>
      </c>
      <c r="N237" s="187">
        <v>0</v>
      </c>
      <c r="O237" s="187">
        <v>0</v>
      </c>
      <c r="P237" s="187">
        <v>22</v>
      </c>
    </row>
    <row r="238" spans="1:16" s="187" customFormat="1" ht="12.75">
      <c r="A238" s="187" t="s">
        <v>54</v>
      </c>
      <c r="B238" s="187" t="s">
        <v>116</v>
      </c>
      <c r="C238" s="187" t="s">
        <v>143</v>
      </c>
      <c r="D238" s="187" t="s">
        <v>143</v>
      </c>
      <c r="E238" s="187" t="s">
        <v>142</v>
      </c>
      <c r="F238" s="187" t="s">
        <v>26</v>
      </c>
      <c r="G238" s="187">
        <v>271440668</v>
      </c>
      <c r="H238" s="187" t="s">
        <v>118</v>
      </c>
      <c r="I238" s="187" t="s">
        <v>58</v>
      </c>
      <c r="J238" s="187" t="s">
        <v>143</v>
      </c>
      <c r="K238" s="187" t="s">
        <v>63</v>
      </c>
      <c r="L238" s="187">
        <v>3</v>
      </c>
      <c r="M238" s="187">
        <v>1540.65</v>
      </c>
      <c r="N238" s="187">
        <v>3</v>
      </c>
      <c r="O238" s="187">
        <v>1470.06</v>
      </c>
      <c r="P238" s="187">
        <v>21</v>
      </c>
    </row>
    <row r="239" spans="1:16" s="187" customFormat="1" ht="12.75">
      <c r="A239" s="187" t="s">
        <v>54</v>
      </c>
      <c r="B239" s="187" t="s">
        <v>116</v>
      </c>
      <c r="C239" s="187" t="s">
        <v>143</v>
      </c>
      <c r="D239" s="187" t="s">
        <v>143</v>
      </c>
      <c r="E239" s="187" t="s">
        <v>117</v>
      </c>
      <c r="F239" s="187" t="s">
        <v>27</v>
      </c>
      <c r="G239" s="187">
        <v>271440669</v>
      </c>
      <c r="H239" s="187" t="s">
        <v>119</v>
      </c>
      <c r="I239" s="187" t="s">
        <v>58</v>
      </c>
      <c r="J239" s="187" t="s">
        <v>143</v>
      </c>
      <c r="K239" s="187" t="s">
        <v>63</v>
      </c>
      <c r="L239" s="187">
        <v>3</v>
      </c>
      <c r="M239" s="187">
        <v>2009.33</v>
      </c>
      <c r="N239" s="187">
        <v>3</v>
      </c>
      <c r="O239" s="187">
        <v>1941.96</v>
      </c>
      <c r="P239" s="187">
        <v>12</v>
      </c>
    </row>
    <row r="240" spans="1:16" s="187" customFormat="1" ht="12.75">
      <c r="A240" s="187" t="s">
        <v>54</v>
      </c>
      <c r="B240" s="187" t="s">
        <v>116</v>
      </c>
      <c r="C240" s="187" t="s">
        <v>143</v>
      </c>
      <c r="D240" s="187" t="s">
        <v>143</v>
      </c>
      <c r="E240" s="187" t="s">
        <v>117</v>
      </c>
      <c r="F240" s="187" t="s">
        <v>27</v>
      </c>
      <c r="G240" s="187">
        <v>271440669</v>
      </c>
      <c r="H240" s="187" t="s">
        <v>119</v>
      </c>
      <c r="I240" s="187" t="s">
        <v>58</v>
      </c>
      <c r="J240" s="187" t="s">
        <v>143</v>
      </c>
      <c r="K240" s="187" t="s">
        <v>138</v>
      </c>
      <c r="L240" s="187">
        <v>0</v>
      </c>
      <c r="M240" s="187">
        <v>0</v>
      </c>
      <c r="N240" s="187">
        <v>0</v>
      </c>
      <c r="O240" s="187">
        <v>0</v>
      </c>
      <c r="P240" s="187">
        <v>1</v>
      </c>
    </row>
    <row r="241" spans="1:16" s="187" customFormat="1" ht="12.75">
      <c r="A241" s="187" t="s">
        <v>54</v>
      </c>
      <c r="B241" s="187" t="s">
        <v>116</v>
      </c>
      <c r="C241" s="187" t="s">
        <v>143</v>
      </c>
      <c r="D241" s="187" t="s">
        <v>143</v>
      </c>
      <c r="E241" s="187" t="s">
        <v>117</v>
      </c>
      <c r="F241" s="187" t="s">
        <v>27</v>
      </c>
      <c r="G241" s="187">
        <v>271440669</v>
      </c>
      <c r="H241" s="187" t="s">
        <v>119</v>
      </c>
      <c r="I241" s="187" t="s">
        <v>58</v>
      </c>
      <c r="J241" s="187" t="s">
        <v>143</v>
      </c>
      <c r="K241" s="187" t="s">
        <v>60</v>
      </c>
      <c r="L241" s="187">
        <v>0</v>
      </c>
      <c r="M241" s="187">
        <v>0</v>
      </c>
      <c r="N241" s="187">
        <v>0</v>
      </c>
      <c r="O241" s="187">
        <v>0</v>
      </c>
      <c r="P241" s="187">
        <v>19</v>
      </c>
    </row>
    <row r="242" spans="1:16" s="187" customFormat="1" ht="12.75">
      <c r="A242" s="187" t="s">
        <v>54</v>
      </c>
      <c r="B242" s="187" t="s">
        <v>116</v>
      </c>
      <c r="C242" s="187" t="s">
        <v>143</v>
      </c>
      <c r="D242" s="187" t="s">
        <v>143</v>
      </c>
      <c r="E242" s="187" t="s">
        <v>117</v>
      </c>
      <c r="F242" s="187" t="s">
        <v>27</v>
      </c>
      <c r="G242" s="187">
        <v>271440669</v>
      </c>
      <c r="H242" s="187" t="s">
        <v>119</v>
      </c>
      <c r="I242" s="187" t="s">
        <v>58</v>
      </c>
      <c r="J242" s="187" t="s">
        <v>143</v>
      </c>
      <c r="K242" s="187" t="s">
        <v>61</v>
      </c>
      <c r="L242" s="187">
        <v>1</v>
      </c>
      <c r="M242" s="187">
        <v>883.77</v>
      </c>
      <c r="N242" s="187">
        <v>2</v>
      </c>
      <c r="O242" s="187">
        <v>1278.9100000000001</v>
      </c>
      <c r="P242" s="187">
        <v>42</v>
      </c>
    </row>
    <row r="243" spans="1:16" s="187" customFormat="1" ht="12.75">
      <c r="A243" s="187" t="s">
        <v>54</v>
      </c>
      <c r="B243" s="187" t="s">
        <v>116</v>
      </c>
      <c r="C243" s="187" t="s">
        <v>143</v>
      </c>
      <c r="D243" s="187" t="s">
        <v>143</v>
      </c>
      <c r="E243" s="187" t="s">
        <v>117</v>
      </c>
      <c r="F243" s="187" t="s">
        <v>27</v>
      </c>
      <c r="G243" s="187">
        <v>271440669</v>
      </c>
      <c r="H243" s="187" t="s">
        <v>119</v>
      </c>
      <c r="I243" s="187" t="s">
        <v>58</v>
      </c>
      <c r="J243" s="187" t="s">
        <v>143</v>
      </c>
      <c r="K243" s="187" t="s">
        <v>171</v>
      </c>
      <c r="L243" s="187">
        <v>2</v>
      </c>
      <c r="M243" s="187">
        <v>1426.07</v>
      </c>
      <c r="N243" s="187">
        <v>2</v>
      </c>
      <c r="O243" s="187">
        <v>1339.25</v>
      </c>
      <c r="P243" s="187">
        <v>16</v>
      </c>
    </row>
    <row r="244" spans="1:16" s="187" customFormat="1" ht="12.75">
      <c r="A244" s="187" t="s">
        <v>54</v>
      </c>
      <c r="B244" s="187" t="s">
        <v>116</v>
      </c>
      <c r="C244" s="187" t="s">
        <v>143</v>
      </c>
      <c r="D244" s="187" t="s">
        <v>143</v>
      </c>
      <c r="E244" s="187" t="s">
        <v>117</v>
      </c>
      <c r="F244" s="187" t="s">
        <v>27</v>
      </c>
      <c r="G244" s="187">
        <v>271440669</v>
      </c>
      <c r="H244" s="187" t="s">
        <v>119</v>
      </c>
      <c r="I244" s="187" t="s">
        <v>58</v>
      </c>
      <c r="J244" s="187" t="s">
        <v>143</v>
      </c>
      <c r="K244" s="187" t="s">
        <v>430</v>
      </c>
      <c r="L244" s="187">
        <v>1</v>
      </c>
      <c r="M244" s="187">
        <v>883.77</v>
      </c>
      <c r="N244" s="187">
        <v>1</v>
      </c>
      <c r="O244" s="187">
        <v>849.78</v>
      </c>
      <c r="P244" s="187">
        <v>18</v>
      </c>
    </row>
    <row r="245" spans="1:16" s="187" customFormat="1" ht="12.75">
      <c r="A245" s="187" t="s">
        <v>54</v>
      </c>
      <c r="B245" s="187" t="s">
        <v>116</v>
      </c>
      <c r="C245" s="187" t="s">
        <v>143</v>
      </c>
      <c r="D245" s="187" t="s">
        <v>143</v>
      </c>
      <c r="E245" s="187" t="s">
        <v>117</v>
      </c>
      <c r="F245" s="187" t="s">
        <v>27</v>
      </c>
      <c r="G245" s="187">
        <v>271440669</v>
      </c>
      <c r="H245" s="187" t="s">
        <v>119</v>
      </c>
      <c r="I245" s="187" t="s">
        <v>58</v>
      </c>
      <c r="J245" s="187" t="s">
        <v>143</v>
      </c>
      <c r="K245" s="187" t="s">
        <v>288</v>
      </c>
      <c r="L245" s="187">
        <v>0</v>
      </c>
      <c r="M245" s="187">
        <v>0</v>
      </c>
      <c r="N245" s="187">
        <v>0</v>
      </c>
      <c r="O245" s="187">
        <v>0</v>
      </c>
      <c r="P245" s="187">
        <v>1</v>
      </c>
    </row>
    <row r="246" spans="1:16" s="187" customFormat="1" ht="12.75">
      <c r="A246" s="187" t="s">
        <v>54</v>
      </c>
      <c r="B246" s="187" t="s">
        <v>116</v>
      </c>
      <c r="C246" s="187" t="s">
        <v>143</v>
      </c>
      <c r="D246" s="187" t="s">
        <v>143</v>
      </c>
      <c r="E246" s="187" t="s">
        <v>117</v>
      </c>
      <c r="F246" s="187" t="s">
        <v>27</v>
      </c>
      <c r="G246" s="187">
        <v>271440669</v>
      </c>
      <c r="H246" s="187" t="s">
        <v>119</v>
      </c>
      <c r="I246" s="187" t="s">
        <v>58</v>
      </c>
      <c r="J246" s="187" t="s">
        <v>143</v>
      </c>
      <c r="K246" s="187" t="s">
        <v>443</v>
      </c>
      <c r="L246" s="187">
        <v>2</v>
      </c>
      <c r="M246" s="187">
        <v>1128.0999999999999</v>
      </c>
      <c r="N246" s="187">
        <v>2</v>
      </c>
      <c r="O246" s="187">
        <v>956.86</v>
      </c>
      <c r="P246" s="187">
        <v>10</v>
      </c>
    </row>
    <row r="247" spans="1:16" s="187" customFormat="1" ht="12.75">
      <c r="A247" s="187" t="s">
        <v>54</v>
      </c>
      <c r="B247" s="187" t="s">
        <v>116</v>
      </c>
      <c r="C247" s="187" t="s">
        <v>143</v>
      </c>
      <c r="D247" s="187" t="s">
        <v>143</v>
      </c>
      <c r="E247" s="187" t="s">
        <v>117</v>
      </c>
      <c r="F247" s="187" t="s">
        <v>27</v>
      </c>
      <c r="G247" s="187">
        <v>271440669</v>
      </c>
      <c r="H247" s="187" t="s">
        <v>119</v>
      </c>
      <c r="I247" s="187" t="s">
        <v>58</v>
      </c>
      <c r="J247" s="187" t="s">
        <v>143</v>
      </c>
      <c r="K247" s="187" t="s">
        <v>64</v>
      </c>
      <c r="L247" s="187">
        <v>2</v>
      </c>
      <c r="M247" s="187">
        <v>1103.44</v>
      </c>
      <c r="N247" s="187">
        <v>1</v>
      </c>
      <c r="O247" s="187">
        <v>530.53</v>
      </c>
      <c r="P247" s="187">
        <v>19</v>
      </c>
    </row>
    <row r="248" spans="1:16" s="187" customFormat="1" ht="12.75">
      <c r="A248" s="187" t="s">
        <v>54</v>
      </c>
      <c r="B248" s="187" t="s">
        <v>116</v>
      </c>
      <c r="C248" s="187" t="s">
        <v>143</v>
      </c>
      <c r="D248" s="187" t="s">
        <v>143</v>
      </c>
      <c r="E248" s="187" t="s">
        <v>117</v>
      </c>
      <c r="F248" s="187" t="s">
        <v>28</v>
      </c>
      <c r="G248" s="187">
        <v>271440670</v>
      </c>
      <c r="H248" s="187" t="s">
        <v>120</v>
      </c>
      <c r="I248" s="187" t="s">
        <v>58</v>
      </c>
      <c r="J248" s="187" t="s">
        <v>143</v>
      </c>
      <c r="K248" s="187" t="s">
        <v>452</v>
      </c>
      <c r="L248" s="187">
        <v>1</v>
      </c>
      <c r="M248" s="187">
        <v>456.75</v>
      </c>
      <c r="N248" s="187">
        <v>1</v>
      </c>
      <c r="O248" s="187">
        <v>434.79</v>
      </c>
      <c r="P248" s="187">
        <v>0</v>
      </c>
    </row>
    <row r="249" spans="1:16" s="187" customFormat="1" ht="12.75">
      <c r="A249" s="187" t="s">
        <v>54</v>
      </c>
      <c r="B249" s="187" t="s">
        <v>116</v>
      </c>
      <c r="C249" s="187" t="s">
        <v>143</v>
      </c>
      <c r="D249" s="187" t="s">
        <v>143</v>
      </c>
      <c r="E249" s="187" t="s">
        <v>117</v>
      </c>
      <c r="F249" s="187" t="s">
        <v>28</v>
      </c>
      <c r="G249" s="187">
        <v>271440670</v>
      </c>
      <c r="H249" s="187" t="s">
        <v>120</v>
      </c>
      <c r="I249" s="187" t="s">
        <v>58</v>
      </c>
      <c r="J249" s="187" t="s">
        <v>143</v>
      </c>
      <c r="K249" s="187" t="s">
        <v>64</v>
      </c>
      <c r="L249" s="187">
        <v>0</v>
      </c>
      <c r="M249" s="187">
        <v>0</v>
      </c>
      <c r="N249" s="187">
        <v>0</v>
      </c>
      <c r="O249" s="187">
        <v>0</v>
      </c>
      <c r="P249" s="187">
        <v>13</v>
      </c>
    </row>
    <row r="250" spans="1:16" s="187" customFormat="1" ht="12.75">
      <c r="A250" s="187" t="s">
        <v>54</v>
      </c>
      <c r="B250" s="187" t="s">
        <v>116</v>
      </c>
      <c r="C250" s="187" t="s">
        <v>143</v>
      </c>
      <c r="D250" s="187" t="s">
        <v>143</v>
      </c>
      <c r="E250" s="187" t="s">
        <v>117</v>
      </c>
      <c r="F250" s="187" t="s">
        <v>28</v>
      </c>
      <c r="G250" s="187">
        <v>271440670</v>
      </c>
      <c r="H250" s="187" t="s">
        <v>120</v>
      </c>
      <c r="I250" s="187" t="s">
        <v>58</v>
      </c>
      <c r="J250" s="187" t="s">
        <v>143</v>
      </c>
      <c r="K250" s="187" t="s">
        <v>60</v>
      </c>
      <c r="L250" s="187">
        <v>1</v>
      </c>
      <c r="M250" s="187">
        <v>547.37</v>
      </c>
      <c r="N250" s="187">
        <v>1</v>
      </c>
      <c r="O250" s="187">
        <v>504.75</v>
      </c>
      <c r="P250" s="187">
        <v>18</v>
      </c>
    </row>
    <row r="251" spans="1:16" s="187" customFormat="1" ht="12.75">
      <c r="A251" s="187" t="s">
        <v>54</v>
      </c>
      <c r="B251" s="187" t="s">
        <v>116</v>
      </c>
      <c r="C251" s="187" t="s">
        <v>143</v>
      </c>
      <c r="D251" s="187" t="s">
        <v>143</v>
      </c>
      <c r="E251" s="187" t="s">
        <v>117</v>
      </c>
      <c r="F251" s="187" t="s">
        <v>28</v>
      </c>
      <c r="G251" s="187">
        <v>271440670</v>
      </c>
      <c r="H251" s="187" t="s">
        <v>120</v>
      </c>
      <c r="I251" s="187" t="s">
        <v>58</v>
      </c>
      <c r="J251" s="187" t="s">
        <v>143</v>
      </c>
      <c r="K251" s="187" t="s">
        <v>443</v>
      </c>
      <c r="L251" s="187">
        <v>5</v>
      </c>
      <c r="M251" s="187">
        <v>3291.48</v>
      </c>
      <c r="N251" s="187">
        <v>3</v>
      </c>
      <c r="O251" s="187">
        <v>1831.74</v>
      </c>
      <c r="P251" s="187">
        <v>6</v>
      </c>
    </row>
    <row r="252" spans="1:16" s="187" customFormat="1" ht="12.75">
      <c r="A252" s="187" t="s">
        <v>54</v>
      </c>
      <c r="B252" s="187" t="s">
        <v>116</v>
      </c>
      <c r="C252" s="187" t="s">
        <v>143</v>
      </c>
      <c r="D252" s="187" t="s">
        <v>143</v>
      </c>
      <c r="E252" s="187" t="s">
        <v>117</v>
      </c>
      <c r="F252" s="187" t="s">
        <v>28</v>
      </c>
      <c r="G252" s="187">
        <v>271440670</v>
      </c>
      <c r="H252" s="187" t="s">
        <v>120</v>
      </c>
      <c r="I252" s="187" t="s">
        <v>58</v>
      </c>
      <c r="J252" s="187" t="s">
        <v>143</v>
      </c>
      <c r="K252" s="187" t="s">
        <v>61</v>
      </c>
      <c r="L252" s="187">
        <v>8</v>
      </c>
      <c r="M252" s="187">
        <v>5921.85</v>
      </c>
      <c r="N252" s="187">
        <v>7</v>
      </c>
      <c r="O252" s="187">
        <v>4865.1099999999997</v>
      </c>
      <c r="P252" s="187">
        <v>30</v>
      </c>
    </row>
    <row r="253" spans="1:16" s="187" customFormat="1" ht="12.75">
      <c r="A253" s="187" t="s">
        <v>54</v>
      </c>
      <c r="B253" s="187" t="s">
        <v>116</v>
      </c>
      <c r="C253" s="187" t="s">
        <v>143</v>
      </c>
      <c r="D253" s="187" t="s">
        <v>143</v>
      </c>
      <c r="E253" s="187" t="s">
        <v>117</v>
      </c>
      <c r="F253" s="187" t="s">
        <v>28</v>
      </c>
      <c r="G253" s="187">
        <v>271440670</v>
      </c>
      <c r="H253" s="187" t="s">
        <v>120</v>
      </c>
      <c r="I253" s="187" t="s">
        <v>58</v>
      </c>
      <c r="J253" s="187" t="s">
        <v>143</v>
      </c>
      <c r="K253" s="187" t="s">
        <v>430</v>
      </c>
      <c r="L253" s="187">
        <v>0</v>
      </c>
      <c r="M253" s="187">
        <v>0</v>
      </c>
      <c r="N253" s="187">
        <v>0</v>
      </c>
      <c r="O253" s="187">
        <v>0</v>
      </c>
      <c r="P253" s="187">
        <v>19</v>
      </c>
    </row>
    <row r="254" spans="1:16" s="187" customFormat="1" ht="12.75">
      <c r="A254" s="187" t="s">
        <v>54</v>
      </c>
      <c r="B254" s="187" t="s">
        <v>116</v>
      </c>
      <c r="C254" s="187" t="s">
        <v>143</v>
      </c>
      <c r="D254" s="187" t="s">
        <v>143</v>
      </c>
      <c r="E254" s="187" t="s">
        <v>117</v>
      </c>
      <c r="F254" s="187" t="s">
        <v>28</v>
      </c>
      <c r="G254" s="187">
        <v>271440670</v>
      </c>
      <c r="H254" s="187" t="s">
        <v>120</v>
      </c>
      <c r="I254" s="187" t="s">
        <v>58</v>
      </c>
      <c r="J254" s="187" t="s">
        <v>143</v>
      </c>
      <c r="K254" s="187" t="s">
        <v>171</v>
      </c>
      <c r="L254" s="187">
        <v>2</v>
      </c>
      <c r="M254" s="187">
        <v>1748.7</v>
      </c>
      <c r="N254" s="187">
        <v>2</v>
      </c>
      <c r="O254" s="187">
        <v>1659.96</v>
      </c>
      <c r="P254" s="187">
        <v>16</v>
      </c>
    </row>
    <row r="255" spans="1:16" s="187" customFormat="1" ht="12.75">
      <c r="A255" s="187" t="s">
        <v>54</v>
      </c>
      <c r="B255" s="187" t="s">
        <v>116</v>
      </c>
      <c r="C255" s="187" t="s">
        <v>143</v>
      </c>
      <c r="D255" s="187" t="s">
        <v>143</v>
      </c>
      <c r="E255" s="187" t="s">
        <v>117</v>
      </c>
      <c r="F255" s="187" t="s">
        <v>28</v>
      </c>
      <c r="G255" s="187">
        <v>271440670</v>
      </c>
      <c r="H255" s="187" t="s">
        <v>120</v>
      </c>
      <c r="I255" s="187" t="s">
        <v>58</v>
      </c>
      <c r="J255" s="187" t="s">
        <v>143</v>
      </c>
      <c r="K255" s="187" t="s">
        <v>63</v>
      </c>
      <c r="L255" s="187">
        <v>4</v>
      </c>
      <c r="M255" s="187">
        <v>2453.39</v>
      </c>
      <c r="N255" s="187">
        <v>4</v>
      </c>
      <c r="O255" s="187">
        <v>2290.08</v>
      </c>
      <c r="P255" s="187">
        <v>0</v>
      </c>
    </row>
    <row r="256" spans="1:16" s="187" customFormat="1" ht="12.75">
      <c r="A256" s="187" t="s">
        <v>54</v>
      </c>
      <c r="B256" s="187" t="s">
        <v>85</v>
      </c>
      <c r="C256" s="187" t="s">
        <v>143</v>
      </c>
      <c r="D256" s="187" t="s">
        <v>143</v>
      </c>
      <c r="E256" s="187" t="s">
        <v>180</v>
      </c>
      <c r="F256" s="187" t="s">
        <v>181</v>
      </c>
      <c r="G256" s="187">
        <v>273516556</v>
      </c>
      <c r="H256" s="187" t="s">
        <v>121</v>
      </c>
      <c r="I256" s="187" t="s">
        <v>58</v>
      </c>
      <c r="J256" s="187" t="s">
        <v>143</v>
      </c>
      <c r="K256" s="187" t="s">
        <v>62</v>
      </c>
      <c r="L256" s="187">
        <v>0</v>
      </c>
      <c r="M256" s="187">
        <v>0</v>
      </c>
      <c r="N256" s="187">
        <v>0</v>
      </c>
      <c r="O256" s="187">
        <v>0</v>
      </c>
      <c r="P256" s="187">
        <v>1</v>
      </c>
    </row>
    <row r="257" spans="1:16" s="187" customFormat="1" ht="12.75">
      <c r="A257" s="187" t="s">
        <v>54</v>
      </c>
      <c r="B257" s="187" t="s">
        <v>85</v>
      </c>
      <c r="C257" s="187" t="s">
        <v>143</v>
      </c>
      <c r="D257" s="187" t="s">
        <v>143</v>
      </c>
      <c r="E257" s="187" t="s">
        <v>180</v>
      </c>
      <c r="F257" s="187" t="s">
        <v>181</v>
      </c>
      <c r="G257" s="187">
        <v>273516556</v>
      </c>
      <c r="H257" s="187" t="s">
        <v>121</v>
      </c>
      <c r="I257" s="187" t="s">
        <v>58</v>
      </c>
      <c r="J257" s="187" t="s">
        <v>143</v>
      </c>
      <c r="K257" s="187" t="s">
        <v>430</v>
      </c>
      <c r="L257" s="187">
        <v>2</v>
      </c>
      <c r="M257" s="187">
        <v>1181.74</v>
      </c>
      <c r="N257" s="187">
        <v>2</v>
      </c>
      <c r="O257" s="187">
        <v>1139.68</v>
      </c>
      <c r="P257" s="187">
        <v>18</v>
      </c>
    </row>
    <row r="258" spans="1:16" s="187" customFormat="1" ht="12.75">
      <c r="A258" s="187" t="s">
        <v>54</v>
      </c>
      <c r="B258" s="187" t="s">
        <v>85</v>
      </c>
      <c r="C258" s="187" t="s">
        <v>143</v>
      </c>
      <c r="D258" s="187" t="s">
        <v>143</v>
      </c>
      <c r="E258" s="187" t="s">
        <v>180</v>
      </c>
      <c r="F258" s="187" t="s">
        <v>181</v>
      </c>
      <c r="G258" s="187">
        <v>273516556</v>
      </c>
      <c r="H258" s="187" t="s">
        <v>121</v>
      </c>
      <c r="I258" s="187" t="s">
        <v>58</v>
      </c>
      <c r="J258" s="187" t="s">
        <v>143</v>
      </c>
      <c r="K258" s="187" t="s">
        <v>61</v>
      </c>
      <c r="L258" s="187">
        <v>4</v>
      </c>
      <c r="M258" s="187">
        <v>2332.3200000000002</v>
      </c>
      <c r="N258" s="187">
        <v>3</v>
      </c>
      <c r="O258" s="187">
        <v>1650.77</v>
      </c>
      <c r="P258" s="187">
        <v>11</v>
      </c>
    </row>
    <row r="259" spans="1:16" s="187" customFormat="1" ht="12.75">
      <c r="A259" s="187" t="s">
        <v>54</v>
      </c>
      <c r="B259" s="187" t="s">
        <v>85</v>
      </c>
      <c r="C259" s="187" t="s">
        <v>143</v>
      </c>
      <c r="D259" s="187" t="s">
        <v>143</v>
      </c>
      <c r="E259" s="187" t="s">
        <v>180</v>
      </c>
      <c r="F259" s="187" t="s">
        <v>181</v>
      </c>
      <c r="G259" s="187">
        <v>273516556</v>
      </c>
      <c r="H259" s="187" t="s">
        <v>121</v>
      </c>
      <c r="I259" s="187" t="s">
        <v>58</v>
      </c>
      <c r="J259" s="187" t="s">
        <v>143</v>
      </c>
      <c r="K259" s="187" t="s">
        <v>60</v>
      </c>
      <c r="L259" s="187">
        <v>0</v>
      </c>
      <c r="M259" s="187">
        <v>0</v>
      </c>
      <c r="N259" s="187">
        <v>0</v>
      </c>
      <c r="O259" s="187">
        <v>0</v>
      </c>
      <c r="P259" s="187">
        <v>9</v>
      </c>
    </row>
    <row r="260" spans="1:16" s="187" customFormat="1" ht="12.75">
      <c r="A260" s="187" t="s">
        <v>54</v>
      </c>
      <c r="B260" s="187" t="s">
        <v>85</v>
      </c>
      <c r="C260" s="187" t="s">
        <v>143</v>
      </c>
      <c r="D260" s="187" t="s">
        <v>143</v>
      </c>
      <c r="E260" s="187" t="s">
        <v>180</v>
      </c>
      <c r="F260" s="187" t="s">
        <v>181</v>
      </c>
      <c r="G260" s="187">
        <v>273516556</v>
      </c>
      <c r="H260" s="187" t="s">
        <v>121</v>
      </c>
      <c r="I260" s="187" t="s">
        <v>58</v>
      </c>
      <c r="J260" s="187" t="s">
        <v>143</v>
      </c>
      <c r="K260" s="187" t="s">
        <v>171</v>
      </c>
      <c r="L260" s="187">
        <v>4</v>
      </c>
      <c r="M260" s="187">
        <v>2208.35</v>
      </c>
      <c r="N260" s="187">
        <v>3</v>
      </c>
      <c r="O260" s="187">
        <v>1569.25</v>
      </c>
      <c r="P260" s="187">
        <v>6</v>
      </c>
    </row>
    <row r="261" spans="1:16" s="187" customFormat="1" ht="12.75">
      <c r="A261" s="187" t="s">
        <v>54</v>
      </c>
      <c r="B261" s="187" t="s">
        <v>85</v>
      </c>
      <c r="C261" s="187" t="s">
        <v>143</v>
      </c>
      <c r="D261" s="187" t="s">
        <v>143</v>
      </c>
      <c r="E261" s="187" t="s">
        <v>180</v>
      </c>
      <c r="F261" s="187" t="s">
        <v>181</v>
      </c>
      <c r="G261" s="187">
        <v>273516556</v>
      </c>
      <c r="H261" s="187" t="s">
        <v>121</v>
      </c>
      <c r="I261" s="187" t="s">
        <v>58</v>
      </c>
      <c r="J261" s="187" t="s">
        <v>143</v>
      </c>
      <c r="K261" s="187" t="s">
        <v>63</v>
      </c>
      <c r="L261" s="187">
        <v>6</v>
      </c>
      <c r="M261" s="187">
        <v>3521.31</v>
      </c>
      <c r="N261" s="187">
        <v>5</v>
      </c>
      <c r="O261" s="187">
        <v>2799.57</v>
      </c>
      <c r="P261" s="187">
        <v>16</v>
      </c>
    </row>
    <row r="262" spans="1:16" s="187" customFormat="1" ht="12.75">
      <c r="A262" s="187" t="s">
        <v>54</v>
      </c>
      <c r="B262" s="187" t="s">
        <v>85</v>
      </c>
      <c r="C262" s="187" t="s">
        <v>143</v>
      </c>
      <c r="D262" s="187" t="s">
        <v>143</v>
      </c>
      <c r="E262" s="187" t="s">
        <v>180</v>
      </c>
      <c r="F262" s="187" t="s">
        <v>181</v>
      </c>
      <c r="G262" s="187">
        <v>273516556</v>
      </c>
      <c r="H262" s="187" t="s">
        <v>121</v>
      </c>
      <c r="I262" s="187" t="s">
        <v>58</v>
      </c>
      <c r="J262" s="187" t="s">
        <v>143</v>
      </c>
      <c r="K262" s="187" t="s">
        <v>288</v>
      </c>
      <c r="L262" s="187">
        <v>1</v>
      </c>
      <c r="M262" s="187">
        <v>590.87</v>
      </c>
      <c r="N262" s="187">
        <v>1</v>
      </c>
      <c r="O262" s="187">
        <v>567.44000000000005</v>
      </c>
      <c r="P262" s="187">
        <v>0</v>
      </c>
    </row>
    <row r="263" spans="1:16" s="187" customFormat="1" ht="12.75">
      <c r="A263" s="187" t="s">
        <v>54</v>
      </c>
      <c r="B263" s="187" t="s">
        <v>85</v>
      </c>
      <c r="C263" s="187" t="s">
        <v>143</v>
      </c>
      <c r="D263" s="187" t="s">
        <v>143</v>
      </c>
      <c r="E263" s="187" t="s">
        <v>180</v>
      </c>
      <c r="F263" s="187" t="s">
        <v>181</v>
      </c>
      <c r="G263" s="187">
        <v>273516556</v>
      </c>
      <c r="H263" s="187" t="s">
        <v>121</v>
      </c>
      <c r="I263" s="187" t="s">
        <v>58</v>
      </c>
      <c r="J263" s="187" t="s">
        <v>143</v>
      </c>
      <c r="K263" s="187" t="s">
        <v>138</v>
      </c>
      <c r="L263" s="187">
        <v>0</v>
      </c>
      <c r="M263" s="187">
        <v>0</v>
      </c>
      <c r="N263" s="187">
        <v>0</v>
      </c>
      <c r="O263" s="187">
        <v>0</v>
      </c>
      <c r="P263" s="187">
        <v>2</v>
      </c>
    </row>
    <row r="264" spans="1:16" s="187" customFormat="1" ht="12.75">
      <c r="A264" s="187" t="s">
        <v>54</v>
      </c>
      <c r="B264" s="187" t="s">
        <v>85</v>
      </c>
      <c r="C264" s="187" t="s">
        <v>143</v>
      </c>
      <c r="D264" s="187" t="s">
        <v>143</v>
      </c>
      <c r="E264" s="187" t="s">
        <v>180</v>
      </c>
      <c r="F264" s="187" t="s">
        <v>181</v>
      </c>
      <c r="G264" s="187">
        <v>273516556</v>
      </c>
      <c r="H264" s="187" t="s">
        <v>121</v>
      </c>
      <c r="I264" s="187" t="s">
        <v>58</v>
      </c>
      <c r="J264" s="187" t="s">
        <v>143</v>
      </c>
      <c r="K264" s="187" t="s">
        <v>64</v>
      </c>
      <c r="L264" s="187">
        <v>7</v>
      </c>
      <c r="M264" s="187">
        <v>4077.38</v>
      </c>
      <c r="N264" s="187">
        <v>7</v>
      </c>
      <c r="O264" s="187">
        <v>3920.59</v>
      </c>
      <c r="P264" s="187">
        <v>10</v>
      </c>
    </row>
    <row r="265" spans="1:16" s="187" customFormat="1" ht="12.75">
      <c r="A265" s="187" t="s">
        <v>54</v>
      </c>
      <c r="B265" s="187" t="s">
        <v>85</v>
      </c>
      <c r="C265" s="187" t="s">
        <v>143</v>
      </c>
      <c r="D265" s="187" t="s">
        <v>143</v>
      </c>
      <c r="E265" s="187" t="s">
        <v>180</v>
      </c>
      <c r="F265" s="187" t="s">
        <v>181</v>
      </c>
      <c r="G265" s="187">
        <v>273516556</v>
      </c>
      <c r="H265" s="187" t="s">
        <v>121</v>
      </c>
      <c r="I265" s="187" t="s">
        <v>58</v>
      </c>
      <c r="J265" s="187" t="s">
        <v>143</v>
      </c>
      <c r="K265" s="187" t="s">
        <v>443</v>
      </c>
      <c r="L265" s="187">
        <v>2</v>
      </c>
      <c r="M265" s="187">
        <v>1169.42</v>
      </c>
      <c r="N265" s="187">
        <v>4</v>
      </c>
      <c r="O265" s="187">
        <v>2029.23</v>
      </c>
      <c r="P265" s="187">
        <v>7</v>
      </c>
    </row>
    <row r="266" spans="1:16" s="187" customFormat="1" ht="12.75">
      <c r="A266" s="187" t="s">
        <v>68</v>
      </c>
      <c r="B266" s="187" t="s">
        <v>122</v>
      </c>
      <c r="C266" s="187" t="s">
        <v>143</v>
      </c>
      <c r="D266" s="187" t="s">
        <v>143</v>
      </c>
      <c r="E266" s="187" t="s">
        <v>123</v>
      </c>
      <c r="F266" s="187" t="s">
        <v>37</v>
      </c>
      <c r="G266" s="187">
        <v>273527791</v>
      </c>
      <c r="H266" s="187" t="s">
        <v>124</v>
      </c>
      <c r="I266" s="187" t="s">
        <v>58</v>
      </c>
      <c r="J266" s="187" t="s">
        <v>143</v>
      </c>
      <c r="K266" s="187" t="s">
        <v>288</v>
      </c>
      <c r="L266" s="187">
        <v>1</v>
      </c>
      <c r="M266" s="187">
        <v>391.27</v>
      </c>
      <c r="N266" s="187">
        <v>1</v>
      </c>
      <c r="O266" s="187">
        <v>375.6</v>
      </c>
      <c r="P266" s="187">
        <v>0</v>
      </c>
    </row>
    <row r="267" spans="1:16" s="187" customFormat="1" ht="12.75">
      <c r="A267" s="187" t="s">
        <v>68</v>
      </c>
      <c r="B267" s="187" t="s">
        <v>122</v>
      </c>
      <c r="C267" s="187" t="s">
        <v>143</v>
      </c>
      <c r="D267" s="187" t="s">
        <v>143</v>
      </c>
      <c r="E267" s="187" t="s">
        <v>123</v>
      </c>
      <c r="F267" s="187" t="s">
        <v>37</v>
      </c>
      <c r="G267" s="187">
        <v>273527791</v>
      </c>
      <c r="H267" s="187" t="s">
        <v>124</v>
      </c>
      <c r="I267" s="187" t="s">
        <v>58</v>
      </c>
      <c r="J267" s="187" t="s">
        <v>143</v>
      </c>
      <c r="K267" s="187" t="s">
        <v>67</v>
      </c>
      <c r="L267" s="187">
        <v>0</v>
      </c>
      <c r="M267" s="187">
        <v>0</v>
      </c>
      <c r="N267" s="187">
        <v>0</v>
      </c>
      <c r="O267" s="187">
        <v>0</v>
      </c>
      <c r="P267" s="187">
        <v>9</v>
      </c>
    </row>
    <row r="268" spans="1:16" s="187" customFormat="1" ht="12.75">
      <c r="A268" s="187" t="s">
        <v>68</v>
      </c>
      <c r="B268" s="187" t="s">
        <v>122</v>
      </c>
      <c r="C268" s="187" t="s">
        <v>143</v>
      </c>
      <c r="D268" s="187" t="s">
        <v>143</v>
      </c>
      <c r="E268" s="187" t="s">
        <v>123</v>
      </c>
      <c r="F268" s="187" t="s">
        <v>37</v>
      </c>
      <c r="G268" s="187">
        <v>273527791</v>
      </c>
      <c r="H268" s="187" t="s">
        <v>124</v>
      </c>
      <c r="I268" s="187" t="s">
        <v>58</v>
      </c>
      <c r="J268" s="187" t="s">
        <v>143</v>
      </c>
      <c r="K268" s="187" t="s">
        <v>89</v>
      </c>
      <c r="L268" s="187">
        <v>0</v>
      </c>
      <c r="M268" s="187">
        <v>0</v>
      </c>
      <c r="N268" s="187">
        <v>0</v>
      </c>
      <c r="O268" s="187">
        <v>0</v>
      </c>
      <c r="P268" s="187">
        <v>1</v>
      </c>
    </row>
    <row r="269" spans="1:16" s="187" customFormat="1" ht="12.75">
      <c r="A269" s="187" t="s">
        <v>68</v>
      </c>
      <c r="B269" s="187" t="s">
        <v>122</v>
      </c>
      <c r="C269" s="187" t="s">
        <v>143</v>
      </c>
      <c r="D269" s="187" t="s">
        <v>143</v>
      </c>
      <c r="E269" s="187" t="s">
        <v>123</v>
      </c>
      <c r="F269" s="187" t="s">
        <v>37</v>
      </c>
      <c r="G269" s="187">
        <v>273527791</v>
      </c>
      <c r="H269" s="187" t="s">
        <v>124</v>
      </c>
      <c r="I269" s="187" t="s">
        <v>58</v>
      </c>
      <c r="J269" s="187" t="s">
        <v>143</v>
      </c>
      <c r="K269" s="187" t="s">
        <v>443</v>
      </c>
      <c r="L269" s="187">
        <v>1</v>
      </c>
      <c r="M269" s="187">
        <v>404.67</v>
      </c>
      <c r="N269" s="187">
        <v>1</v>
      </c>
      <c r="O269" s="187">
        <v>388.23</v>
      </c>
      <c r="P269" s="187">
        <v>13</v>
      </c>
    </row>
    <row r="270" spans="1:16" s="187" customFormat="1" ht="12.75">
      <c r="A270" s="187" t="s">
        <v>68</v>
      </c>
      <c r="B270" s="187" t="s">
        <v>122</v>
      </c>
      <c r="C270" s="187" t="s">
        <v>143</v>
      </c>
      <c r="D270" s="187" t="s">
        <v>143</v>
      </c>
      <c r="E270" s="187" t="s">
        <v>123</v>
      </c>
      <c r="F270" s="187" t="s">
        <v>37</v>
      </c>
      <c r="G270" s="187">
        <v>273527791</v>
      </c>
      <c r="H270" s="187" t="s">
        <v>124</v>
      </c>
      <c r="I270" s="187" t="s">
        <v>58</v>
      </c>
      <c r="J270" s="187" t="s">
        <v>143</v>
      </c>
      <c r="K270" s="187" t="s">
        <v>62</v>
      </c>
      <c r="L270" s="187">
        <v>0</v>
      </c>
      <c r="M270" s="187">
        <v>0</v>
      </c>
      <c r="N270" s="187">
        <v>0</v>
      </c>
      <c r="O270" s="187">
        <v>0</v>
      </c>
      <c r="P270" s="187">
        <v>31</v>
      </c>
    </row>
    <row r="271" spans="1:16" s="187" customFormat="1" ht="12.75">
      <c r="A271" s="187" t="s">
        <v>68</v>
      </c>
      <c r="B271" s="187" t="s">
        <v>122</v>
      </c>
      <c r="C271" s="187" t="s">
        <v>143</v>
      </c>
      <c r="D271" s="187" t="s">
        <v>143</v>
      </c>
      <c r="E271" s="187" t="s">
        <v>123</v>
      </c>
      <c r="F271" s="187" t="s">
        <v>37</v>
      </c>
      <c r="G271" s="187">
        <v>273527791</v>
      </c>
      <c r="H271" s="187" t="s">
        <v>124</v>
      </c>
      <c r="I271" s="187" t="s">
        <v>58</v>
      </c>
      <c r="J271" s="187" t="s">
        <v>143</v>
      </c>
      <c r="K271" s="187" t="s">
        <v>61</v>
      </c>
      <c r="L271" s="187">
        <v>1</v>
      </c>
      <c r="M271" s="187">
        <v>396.91</v>
      </c>
      <c r="N271" s="187">
        <v>1</v>
      </c>
      <c r="O271" s="187">
        <v>380.24</v>
      </c>
      <c r="P271" s="187">
        <v>0</v>
      </c>
    </row>
    <row r="272" spans="1:16" s="187" customFormat="1" ht="12.75">
      <c r="A272" s="187" t="s">
        <v>68</v>
      </c>
      <c r="B272" s="187" t="s">
        <v>122</v>
      </c>
      <c r="C272" s="187" t="s">
        <v>143</v>
      </c>
      <c r="D272" s="187" t="s">
        <v>143</v>
      </c>
      <c r="E272" s="187" t="s">
        <v>123</v>
      </c>
      <c r="F272" s="187" t="s">
        <v>37</v>
      </c>
      <c r="G272" s="187">
        <v>273527791</v>
      </c>
      <c r="H272" s="187" t="s">
        <v>124</v>
      </c>
      <c r="I272" s="187" t="s">
        <v>58</v>
      </c>
      <c r="J272" s="187" t="s">
        <v>143</v>
      </c>
      <c r="K272" s="187" t="s">
        <v>171</v>
      </c>
      <c r="L272" s="187">
        <v>0</v>
      </c>
      <c r="M272" s="187">
        <v>0</v>
      </c>
      <c r="N272" s="187">
        <v>0</v>
      </c>
      <c r="O272" s="187">
        <v>0</v>
      </c>
      <c r="P272" s="187">
        <v>8</v>
      </c>
    </row>
    <row r="273" spans="1:16" s="187" customFormat="1" ht="12.75">
      <c r="A273" s="187" t="s">
        <v>68</v>
      </c>
      <c r="B273" s="187" t="s">
        <v>122</v>
      </c>
      <c r="C273" s="187" t="s">
        <v>143</v>
      </c>
      <c r="D273" s="187" t="s">
        <v>143</v>
      </c>
      <c r="E273" s="187" t="s">
        <v>123</v>
      </c>
      <c r="F273" s="187" t="s">
        <v>37</v>
      </c>
      <c r="G273" s="187">
        <v>273527791</v>
      </c>
      <c r="H273" s="187" t="s">
        <v>124</v>
      </c>
      <c r="I273" s="187" t="s">
        <v>58</v>
      </c>
      <c r="J273" s="187" t="s">
        <v>143</v>
      </c>
      <c r="K273" s="187" t="s">
        <v>63</v>
      </c>
      <c r="L273" s="187">
        <v>1</v>
      </c>
      <c r="M273" s="187">
        <v>422.29</v>
      </c>
      <c r="N273" s="187">
        <v>1</v>
      </c>
      <c r="O273" s="187">
        <v>400.97</v>
      </c>
      <c r="P273" s="187">
        <v>13</v>
      </c>
    </row>
    <row r="274" spans="1:16" s="187" customFormat="1" ht="12.75">
      <c r="A274" s="187" t="s">
        <v>68</v>
      </c>
      <c r="B274" s="187" t="s">
        <v>122</v>
      </c>
      <c r="C274" s="187" t="s">
        <v>143</v>
      </c>
      <c r="D274" s="187" t="s">
        <v>143</v>
      </c>
      <c r="E274" s="187" t="s">
        <v>123</v>
      </c>
      <c r="F274" s="187" t="s">
        <v>37</v>
      </c>
      <c r="G274" s="187">
        <v>273527791</v>
      </c>
      <c r="H274" s="187" t="s">
        <v>124</v>
      </c>
      <c r="I274" s="187" t="s">
        <v>58</v>
      </c>
      <c r="J274" s="187" t="s">
        <v>143</v>
      </c>
      <c r="K274" s="187" t="s">
        <v>59</v>
      </c>
      <c r="L274" s="187">
        <v>1</v>
      </c>
      <c r="M274" s="187">
        <v>309.49</v>
      </c>
      <c r="N274" s="187">
        <v>0</v>
      </c>
      <c r="O274" s="187">
        <v>0</v>
      </c>
      <c r="P274" s="187">
        <v>32</v>
      </c>
    </row>
    <row r="275" spans="1:16" s="187" customFormat="1" ht="12.75">
      <c r="A275" s="187" t="s">
        <v>68</v>
      </c>
      <c r="B275" s="187" t="s">
        <v>122</v>
      </c>
      <c r="C275" s="187" t="s">
        <v>143</v>
      </c>
      <c r="D275" s="187" t="s">
        <v>143</v>
      </c>
      <c r="E275" s="187" t="s">
        <v>123</v>
      </c>
      <c r="F275" s="187" t="s">
        <v>37</v>
      </c>
      <c r="G275" s="187">
        <v>273527791</v>
      </c>
      <c r="H275" s="187" t="s">
        <v>124</v>
      </c>
      <c r="I275" s="187" t="s">
        <v>58</v>
      </c>
      <c r="J275" s="187" t="s">
        <v>143</v>
      </c>
      <c r="K275" s="187" t="s">
        <v>60</v>
      </c>
      <c r="L275" s="187">
        <v>1</v>
      </c>
      <c r="M275" s="187">
        <v>422.29</v>
      </c>
      <c r="N275" s="187">
        <v>1</v>
      </c>
      <c r="O275" s="187">
        <v>397.77</v>
      </c>
      <c r="P275" s="187">
        <v>15</v>
      </c>
    </row>
    <row r="276" spans="1:16" s="187" customFormat="1" ht="12.75">
      <c r="A276" s="187" t="s">
        <v>68</v>
      </c>
      <c r="B276" s="187" t="s">
        <v>125</v>
      </c>
      <c r="C276" s="187" t="s">
        <v>143</v>
      </c>
      <c r="D276" s="187" t="s">
        <v>143</v>
      </c>
      <c r="E276" s="187" t="s">
        <v>126</v>
      </c>
      <c r="F276" s="187" t="s">
        <v>36</v>
      </c>
      <c r="G276" s="187">
        <v>273546535</v>
      </c>
      <c r="H276" s="187" t="s">
        <v>127</v>
      </c>
      <c r="I276" s="187" t="s">
        <v>58</v>
      </c>
      <c r="J276" s="187" t="s">
        <v>143</v>
      </c>
      <c r="K276" s="187" t="s">
        <v>430</v>
      </c>
      <c r="L276" s="187">
        <v>0</v>
      </c>
      <c r="M276" s="187">
        <v>0</v>
      </c>
      <c r="N276" s="187">
        <v>0</v>
      </c>
      <c r="O276" s="187">
        <v>0</v>
      </c>
      <c r="P276" s="187">
        <v>28</v>
      </c>
    </row>
    <row r="277" spans="1:16" s="187" customFormat="1" ht="12.75">
      <c r="A277" s="187" t="s">
        <v>68</v>
      </c>
      <c r="B277" s="187" t="s">
        <v>125</v>
      </c>
      <c r="C277" s="187" t="s">
        <v>143</v>
      </c>
      <c r="D277" s="187" t="s">
        <v>143</v>
      </c>
      <c r="E277" s="187" t="s">
        <v>126</v>
      </c>
      <c r="F277" s="187" t="s">
        <v>36</v>
      </c>
      <c r="G277" s="187">
        <v>273546535</v>
      </c>
      <c r="H277" s="187" t="s">
        <v>127</v>
      </c>
      <c r="I277" s="187" t="s">
        <v>58</v>
      </c>
      <c r="J277" s="187" t="s">
        <v>143</v>
      </c>
      <c r="K277" s="187" t="s">
        <v>63</v>
      </c>
      <c r="L277" s="187">
        <v>1</v>
      </c>
      <c r="M277" s="187">
        <v>906.75</v>
      </c>
      <c r="N277" s="187">
        <v>1</v>
      </c>
      <c r="O277" s="187">
        <v>864.89</v>
      </c>
      <c r="P277" s="187">
        <v>0</v>
      </c>
    </row>
    <row r="278" spans="1:16" s="187" customFormat="1" ht="12.75">
      <c r="A278" s="187" t="s">
        <v>68</v>
      </c>
      <c r="B278" s="187" t="s">
        <v>125</v>
      </c>
      <c r="C278" s="187" t="s">
        <v>143</v>
      </c>
      <c r="D278" s="187" t="s">
        <v>143</v>
      </c>
      <c r="E278" s="187" t="s">
        <v>126</v>
      </c>
      <c r="F278" s="187" t="s">
        <v>36</v>
      </c>
      <c r="G278" s="187">
        <v>273546535</v>
      </c>
      <c r="H278" s="187" t="s">
        <v>127</v>
      </c>
      <c r="I278" s="187" t="s">
        <v>58</v>
      </c>
      <c r="J278" s="187" t="s">
        <v>143</v>
      </c>
      <c r="K278" s="187" t="s">
        <v>61</v>
      </c>
      <c r="L278" s="187">
        <v>2</v>
      </c>
      <c r="M278" s="187">
        <v>1832.38</v>
      </c>
      <c r="N278" s="187">
        <v>1</v>
      </c>
      <c r="O278" s="187">
        <v>864.89</v>
      </c>
      <c r="P278" s="187">
        <v>18</v>
      </c>
    </row>
    <row r="279" spans="1:16" s="187" customFormat="1" ht="12.75">
      <c r="A279" s="187" t="s">
        <v>68</v>
      </c>
      <c r="B279" s="187" t="s">
        <v>125</v>
      </c>
      <c r="C279" s="187" t="s">
        <v>143</v>
      </c>
      <c r="D279" s="187" t="s">
        <v>143</v>
      </c>
      <c r="E279" s="187" t="s">
        <v>126</v>
      </c>
      <c r="F279" s="187" t="s">
        <v>36</v>
      </c>
      <c r="G279" s="187">
        <v>273546535</v>
      </c>
      <c r="H279" s="187" t="s">
        <v>127</v>
      </c>
      <c r="I279" s="187" t="s">
        <v>58</v>
      </c>
      <c r="J279" s="187" t="s">
        <v>143</v>
      </c>
      <c r="K279" s="187" t="s">
        <v>60</v>
      </c>
      <c r="L279" s="187">
        <v>1</v>
      </c>
      <c r="M279" s="187">
        <v>907.83</v>
      </c>
      <c r="N279" s="187">
        <v>1</v>
      </c>
      <c r="O279" s="187">
        <v>891.45</v>
      </c>
      <c r="P279" s="187">
        <v>17</v>
      </c>
    </row>
    <row r="280" spans="1:16" s="187" customFormat="1" ht="12.75">
      <c r="A280" s="187" t="s">
        <v>68</v>
      </c>
      <c r="B280" s="187" t="s">
        <v>125</v>
      </c>
      <c r="C280" s="187" t="s">
        <v>143</v>
      </c>
      <c r="D280" s="187" t="s">
        <v>143</v>
      </c>
      <c r="E280" s="187" t="s">
        <v>126</v>
      </c>
      <c r="F280" s="187" t="s">
        <v>36</v>
      </c>
      <c r="G280" s="187">
        <v>273546535</v>
      </c>
      <c r="H280" s="187" t="s">
        <v>127</v>
      </c>
      <c r="I280" s="187" t="s">
        <v>58</v>
      </c>
      <c r="J280" s="187" t="s">
        <v>143</v>
      </c>
      <c r="K280" s="187" t="s">
        <v>64</v>
      </c>
      <c r="L280" s="187">
        <v>1</v>
      </c>
      <c r="M280" s="187">
        <v>907.83</v>
      </c>
      <c r="N280" s="187">
        <v>1</v>
      </c>
      <c r="O280" s="187">
        <v>891.45</v>
      </c>
      <c r="P280" s="187">
        <v>0</v>
      </c>
    </row>
    <row r="281" spans="1:16" s="187" customFormat="1" ht="12.75">
      <c r="A281" s="187" t="s">
        <v>68</v>
      </c>
      <c r="B281" s="187" t="s">
        <v>125</v>
      </c>
      <c r="C281" s="187" t="s">
        <v>143</v>
      </c>
      <c r="D281" s="187" t="s">
        <v>143</v>
      </c>
      <c r="E281" s="187" t="s">
        <v>126</v>
      </c>
      <c r="F281" s="187" t="s">
        <v>36</v>
      </c>
      <c r="G281" s="187">
        <v>273546535</v>
      </c>
      <c r="H281" s="187" t="s">
        <v>127</v>
      </c>
      <c r="I281" s="187" t="s">
        <v>58</v>
      </c>
      <c r="J281" s="187" t="s">
        <v>143</v>
      </c>
      <c r="K281" s="187" t="s">
        <v>171</v>
      </c>
      <c r="L281" s="187">
        <v>2</v>
      </c>
      <c r="M281" s="187">
        <v>1861.07</v>
      </c>
      <c r="N281" s="187">
        <v>4</v>
      </c>
      <c r="O281" s="187">
        <v>3656.33</v>
      </c>
      <c r="P281" s="187">
        <v>15</v>
      </c>
    </row>
    <row r="282" spans="1:16" s="187" customFormat="1" ht="12.75">
      <c r="A282" s="187" t="s">
        <v>68</v>
      </c>
      <c r="B282" s="187" t="s">
        <v>128</v>
      </c>
      <c r="C282" s="187" t="s">
        <v>143</v>
      </c>
      <c r="D282" s="187" t="s">
        <v>143</v>
      </c>
      <c r="E282" s="187" t="s">
        <v>284</v>
      </c>
      <c r="F282" s="187" t="s">
        <v>35</v>
      </c>
      <c r="G282" s="187">
        <v>273556717</v>
      </c>
      <c r="H282" s="187" t="s">
        <v>129</v>
      </c>
      <c r="I282" s="187" t="s">
        <v>58</v>
      </c>
      <c r="J282" s="187" t="s">
        <v>143</v>
      </c>
      <c r="K282" s="187" t="s">
        <v>67</v>
      </c>
      <c r="L282" s="187">
        <v>4</v>
      </c>
      <c r="M282" s="187">
        <v>1621.49</v>
      </c>
      <c r="N282" s="187">
        <v>5</v>
      </c>
      <c r="O282" s="187">
        <v>1866.64</v>
      </c>
      <c r="P282" s="187">
        <v>3</v>
      </c>
    </row>
    <row r="283" spans="1:16" s="187" customFormat="1" ht="12.75">
      <c r="A283" s="187" t="s">
        <v>68</v>
      </c>
      <c r="B283" s="187" t="s">
        <v>128</v>
      </c>
      <c r="C283" s="187" t="s">
        <v>143</v>
      </c>
      <c r="D283" s="187" t="s">
        <v>143</v>
      </c>
      <c r="E283" s="187" t="s">
        <v>284</v>
      </c>
      <c r="F283" s="187" t="s">
        <v>35</v>
      </c>
      <c r="G283" s="187">
        <v>273556717</v>
      </c>
      <c r="H283" s="187" t="s">
        <v>129</v>
      </c>
      <c r="I283" s="187" t="s">
        <v>58</v>
      </c>
      <c r="J283" s="187" t="s">
        <v>143</v>
      </c>
      <c r="K283" s="187" t="s">
        <v>64</v>
      </c>
      <c r="L283" s="187">
        <v>0</v>
      </c>
      <c r="M283" s="187">
        <v>0</v>
      </c>
      <c r="N283" s="187">
        <v>1</v>
      </c>
      <c r="O283" s="187">
        <v>303.01</v>
      </c>
      <c r="P283" s="187">
        <v>0</v>
      </c>
    </row>
    <row r="284" spans="1:16" s="187" customFormat="1" ht="12.75">
      <c r="A284" s="187" t="s">
        <v>68</v>
      </c>
      <c r="B284" s="187" t="s">
        <v>128</v>
      </c>
      <c r="C284" s="187" t="s">
        <v>143</v>
      </c>
      <c r="D284" s="187" t="s">
        <v>143</v>
      </c>
      <c r="E284" s="187" t="s">
        <v>284</v>
      </c>
      <c r="F284" s="187" t="s">
        <v>35</v>
      </c>
      <c r="G284" s="187">
        <v>273556717</v>
      </c>
      <c r="H284" s="187" t="s">
        <v>129</v>
      </c>
      <c r="I284" s="187" t="s">
        <v>58</v>
      </c>
      <c r="J284" s="187" t="s">
        <v>143</v>
      </c>
      <c r="K284" s="187" t="s">
        <v>60</v>
      </c>
      <c r="L284" s="187">
        <v>1</v>
      </c>
      <c r="M284" s="187">
        <v>429.34</v>
      </c>
      <c r="N284" s="187">
        <v>2</v>
      </c>
      <c r="O284" s="187">
        <v>707.55</v>
      </c>
      <c r="P284" s="187">
        <v>2</v>
      </c>
    </row>
    <row r="285" spans="1:16" s="187" customFormat="1" ht="12.75">
      <c r="A285" s="187" t="s">
        <v>68</v>
      </c>
      <c r="B285" s="187" t="s">
        <v>128</v>
      </c>
      <c r="C285" s="187" t="s">
        <v>143</v>
      </c>
      <c r="D285" s="187" t="s">
        <v>143</v>
      </c>
      <c r="E285" s="187" t="s">
        <v>284</v>
      </c>
      <c r="F285" s="187" t="s">
        <v>35</v>
      </c>
      <c r="G285" s="187">
        <v>273556717</v>
      </c>
      <c r="H285" s="187" t="s">
        <v>129</v>
      </c>
      <c r="I285" s="187" t="s">
        <v>58</v>
      </c>
      <c r="J285" s="187" t="s">
        <v>143</v>
      </c>
      <c r="K285" s="187" t="s">
        <v>62</v>
      </c>
      <c r="L285" s="187">
        <v>16</v>
      </c>
      <c r="M285" s="187">
        <v>6560.24</v>
      </c>
      <c r="N285" s="187">
        <v>15</v>
      </c>
      <c r="O285" s="187">
        <v>5920.23</v>
      </c>
      <c r="P285" s="187">
        <v>6</v>
      </c>
    </row>
    <row r="286" spans="1:16" s="187" customFormat="1" ht="12.75">
      <c r="A286" s="187" t="s">
        <v>68</v>
      </c>
      <c r="B286" s="187" t="s">
        <v>128</v>
      </c>
      <c r="C286" s="187" t="s">
        <v>143</v>
      </c>
      <c r="D286" s="187" t="s">
        <v>143</v>
      </c>
      <c r="E286" s="187" t="s">
        <v>284</v>
      </c>
      <c r="F286" s="187" t="s">
        <v>35</v>
      </c>
      <c r="G286" s="187">
        <v>273556717</v>
      </c>
      <c r="H286" s="187" t="s">
        <v>129</v>
      </c>
      <c r="I286" s="187" t="s">
        <v>58</v>
      </c>
      <c r="J286" s="187" t="s">
        <v>143</v>
      </c>
      <c r="K286" s="187" t="s">
        <v>59</v>
      </c>
      <c r="L286" s="187">
        <v>4</v>
      </c>
      <c r="M286" s="187">
        <v>1649.69</v>
      </c>
      <c r="N286" s="187">
        <v>6</v>
      </c>
      <c r="O286" s="187">
        <v>2283.23</v>
      </c>
      <c r="P286" s="187">
        <v>48</v>
      </c>
    </row>
    <row r="287" spans="1:16" s="187" customFormat="1" ht="12.75">
      <c r="A287" s="187" t="s">
        <v>108</v>
      </c>
      <c r="B287" s="187" t="s">
        <v>109</v>
      </c>
      <c r="C287" s="187" t="s">
        <v>143</v>
      </c>
      <c r="D287" s="187" t="s">
        <v>143</v>
      </c>
      <c r="E287" s="187" t="s">
        <v>130</v>
      </c>
      <c r="F287" s="187" t="s">
        <v>33</v>
      </c>
      <c r="G287" s="187">
        <v>273588520</v>
      </c>
      <c r="H287" s="187" t="s">
        <v>131</v>
      </c>
      <c r="I287" s="187" t="s">
        <v>58</v>
      </c>
      <c r="J287" s="187" t="s">
        <v>143</v>
      </c>
      <c r="K287" s="187" t="s">
        <v>64</v>
      </c>
      <c r="L287" s="187">
        <v>0</v>
      </c>
      <c r="M287" s="187">
        <v>0</v>
      </c>
      <c r="N287" s="187">
        <v>0</v>
      </c>
      <c r="O287" s="187">
        <v>0</v>
      </c>
      <c r="P287" s="187">
        <v>4</v>
      </c>
    </row>
    <row r="288" spans="1:16" s="187" customFormat="1" ht="12.75">
      <c r="A288" s="187" t="s">
        <v>108</v>
      </c>
      <c r="B288" s="187" t="s">
        <v>109</v>
      </c>
      <c r="C288" s="187" t="s">
        <v>143</v>
      </c>
      <c r="D288" s="187" t="s">
        <v>143</v>
      </c>
      <c r="E288" s="187" t="s">
        <v>130</v>
      </c>
      <c r="F288" s="187" t="s">
        <v>33</v>
      </c>
      <c r="G288" s="187">
        <v>273588520</v>
      </c>
      <c r="H288" s="187" t="s">
        <v>131</v>
      </c>
      <c r="I288" s="187" t="s">
        <v>58</v>
      </c>
      <c r="J288" s="187" t="s">
        <v>143</v>
      </c>
      <c r="K288" s="187" t="s">
        <v>443</v>
      </c>
      <c r="L288" s="187">
        <v>0</v>
      </c>
      <c r="M288" s="187">
        <v>0</v>
      </c>
      <c r="N288" s="187">
        <v>0</v>
      </c>
      <c r="O288" s="187">
        <v>0</v>
      </c>
      <c r="P288" s="187">
        <v>1</v>
      </c>
    </row>
    <row r="289" spans="1:16" s="187" customFormat="1" ht="12.75">
      <c r="A289" s="187" t="s">
        <v>108</v>
      </c>
      <c r="B289" s="187" t="s">
        <v>109</v>
      </c>
      <c r="C289" s="187" t="s">
        <v>143</v>
      </c>
      <c r="D289" s="187" t="s">
        <v>143</v>
      </c>
      <c r="E289" s="187" t="s">
        <v>130</v>
      </c>
      <c r="F289" s="187" t="s">
        <v>33</v>
      </c>
      <c r="G289" s="187">
        <v>273588520</v>
      </c>
      <c r="H289" s="187" t="s">
        <v>131</v>
      </c>
      <c r="I289" s="187" t="s">
        <v>58</v>
      </c>
      <c r="J289" s="187" t="s">
        <v>143</v>
      </c>
      <c r="K289" s="187" t="s">
        <v>59</v>
      </c>
      <c r="L289" s="187">
        <v>3</v>
      </c>
      <c r="M289" s="187">
        <v>2138.92</v>
      </c>
      <c r="N289" s="187">
        <v>4</v>
      </c>
      <c r="O289" s="187">
        <v>2777.57</v>
      </c>
      <c r="P289" s="187">
        <v>2</v>
      </c>
    </row>
    <row r="290" spans="1:16" s="187" customFormat="1" ht="12.75">
      <c r="A290" s="187" t="s">
        <v>108</v>
      </c>
      <c r="B290" s="187" t="s">
        <v>109</v>
      </c>
      <c r="C290" s="187" t="s">
        <v>143</v>
      </c>
      <c r="D290" s="187" t="s">
        <v>143</v>
      </c>
      <c r="E290" s="187" t="s">
        <v>132</v>
      </c>
      <c r="F290" s="187" t="s">
        <v>34</v>
      </c>
      <c r="G290" s="187">
        <v>273589771</v>
      </c>
      <c r="H290" s="187" t="s">
        <v>133</v>
      </c>
      <c r="I290" s="187" t="s">
        <v>58</v>
      </c>
      <c r="J290" s="187" t="s">
        <v>143</v>
      </c>
      <c r="K290" s="187" t="s">
        <v>59</v>
      </c>
      <c r="L290" s="187">
        <v>1</v>
      </c>
      <c r="M290" s="187">
        <v>372.87</v>
      </c>
      <c r="N290" s="187">
        <v>1</v>
      </c>
      <c r="O290" s="187">
        <v>359.76</v>
      </c>
      <c r="P290" s="187">
        <v>6</v>
      </c>
    </row>
    <row r="291" spans="1:16" s="187" customFormat="1" ht="12.75">
      <c r="A291" s="187" t="s">
        <v>108</v>
      </c>
      <c r="B291" s="187" t="s">
        <v>109</v>
      </c>
      <c r="C291" s="187" t="s">
        <v>143</v>
      </c>
      <c r="D291" s="187" t="s">
        <v>143</v>
      </c>
      <c r="E291" s="187" t="s">
        <v>132</v>
      </c>
      <c r="F291" s="187" t="s">
        <v>34</v>
      </c>
      <c r="G291" s="187">
        <v>273589771</v>
      </c>
      <c r="H291" s="187" t="s">
        <v>133</v>
      </c>
      <c r="I291" s="187" t="s">
        <v>58</v>
      </c>
      <c r="J291" s="187" t="s">
        <v>143</v>
      </c>
      <c r="K291" s="187" t="s">
        <v>67</v>
      </c>
      <c r="L291" s="187">
        <v>0</v>
      </c>
      <c r="M291" s="187">
        <v>0</v>
      </c>
      <c r="N291" s="187">
        <v>0</v>
      </c>
      <c r="O291" s="187">
        <v>0</v>
      </c>
      <c r="P291" s="187">
        <v>2</v>
      </c>
    </row>
    <row r="292" spans="1:16" s="187" customFormat="1" ht="12.75">
      <c r="A292" s="187" t="s">
        <v>108</v>
      </c>
      <c r="B292" s="187" t="s">
        <v>109</v>
      </c>
      <c r="C292" s="187" t="s">
        <v>143</v>
      </c>
      <c r="D292" s="187" t="s">
        <v>143</v>
      </c>
      <c r="E292" s="187" t="s">
        <v>132</v>
      </c>
      <c r="F292" s="187" t="s">
        <v>34</v>
      </c>
      <c r="G292" s="187">
        <v>273589771</v>
      </c>
      <c r="H292" s="187" t="s">
        <v>133</v>
      </c>
      <c r="I292" s="187" t="s">
        <v>58</v>
      </c>
      <c r="J292" s="187" t="s">
        <v>143</v>
      </c>
      <c r="K292" s="187" t="s">
        <v>443</v>
      </c>
      <c r="L292" s="187">
        <v>1</v>
      </c>
      <c r="M292" s="187">
        <v>356.39</v>
      </c>
      <c r="N292" s="187">
        <v>1</v>
      </c>
      <c r="O292" s="187">
        <v>343.75</v>
      </c>
      <c r="P292" s="187">
        <v>0</v>
      </c>
    </row>
    <row r="293" spans="1:16" s="187" customFormat="1" ht="12.75">
      <c r="A293" s="187" t="s">
        <v>108</v>
      </c>
      <c r="B293" s="187" t="s">
        <v>109</v>
      </c>
      <c r="C293" s="187" t="s">
        <v>143</v>
      </c>
      <c r="D293" s="187" t="s">
        <v>143</v>
      </c>
      <c r="E293" s="187" t="s">
        <v>132</v>
      </c>
      <c r="F293" s="187" t="s">
        <v>34</v>
      </c>
      <c r="G293" s="187">
        <v>273589771</v>
      </c>
      <c r="H293" s="187" t="s">
        <v>133</v>
      </c>
      <c r="I293" s="187" t="s">
        <v>58</v>
      </c>
      <c r="J293" s="187" t="s">
        <v>143</v>
      </c>
      <c r="K293" s="187" t="s">
        <v>64</v>
      </c>
      <c r="L293" s="187">
        <v>0</v>
      </c>
      <c r="M293" s="187">
        <v>0</v>
      </c>
      <c r="N293" s="187">
        <v>0</v>
      </c>
      <c r="O293" s="187">
        <v>0</v>
      </c>
      <c r="P293" s="187">
        <v>1</v>
      </c>
    </row>
    <row r="294" spans="1:16" s="187" customFormat="1" ht="12.75">
      <c r="A294" s="187" t="s">
        <v>108</v>
      </c>
      <c r="B294" s="187" t="s">
        <v>109</v>
      </c>
      <c r="C294" s="187" t="s">
        <v>143</v>
      </c>
      <c r="D294" s="187" t="s">
        <v>143</v>
      </c>
      <c r="E294" s="187" t="s">
        <v>132</v>
      </c>
      <c r="F294" s="187" t="s">
        <v>34</v>
      </c>
      <c r="G294" s="187">
        <v>273589771</v>
      </c>
      <c r="H294" s="187" t="s">
        <v>133</v>
      </c>
      <c r="I294" s="187" t="s">
        <v>58</v>
      </c>
      <c r="J294" s="187" t="s">
        <v>143</v>
      </c>
      <c r="K294" s="187" t="s">
        <v>62</v>
      </c>
      <c r="L294" s="187">
        <v>0</v>
      </c>
      <c r="M294" s="187">
        <v>0</v>
      </c>
      <c r="N294" s="187">
        <v>0</v>
      </c>
      <c r="O294" s="187">
        <v>0</v>
      </c>
      <c r="P294" s="187">
        <v>6</v>
      </c>
    </row>
    <row r="295" spans="1:16" s="187" customFormat="1" ht="12.75">
      <c r="A295" s="187" t="s">
        <v>54</v>
      </c>
      <c r="B295" s="187" t="s">
        <v>72</v>
      </c>
      <c r="C295" s="187" t="s">
        <v>143</v>
      </c>
      <c r="D295" s="187" t="s">
        <v>143</v>
      </c>
      <c r="E295" s="187" t="s">
        <v>281</v>
      </c>
      <c r="F295" s="187" t="s">
        <v>24</v>
      </c>
      <c r="G295" s="187">
        <v>275208801</v>
      </c>
      <c r="H295" s="187" t="s">
        <v>134</v>
      </c>
      <c r="I295" s="187" t="s">
        <v>58</v>
      </c>
      <c r="J295" s="187" t="s">
        <v>143</v>
      </c>
      <c r="K295" s="187" t="s">
        <v>62</v>
      </c>
      <c r="L295" s="187">
        <v>1</v>
      </c>
      <c r="M295" s="187">
        <v>555.53</v>
      </c>
      <c r="N295" s="187">
        <v>1</v>
      </c>
      <c r="O295" s="187">
        <v>532.66</v>
      </c>
      <c r="P295" s="187">
        <v>13</v>
      </c>
    </row>
    <row r="296" spans="1:16" s="187" customFormat="1" ht="12.75">
      <c r="A296" s="187" t="s">
        <v>54</v>
      </c>
      <c r="B296" s="187" t="s">
        <v>72</v>
      </c>
      <c r="C296" s="187" t="s">
        <v>143</v>
      </c>
      <c r="D296" s="187" t="s">
        <v>143</v>
      </c>
      <c r="E296" s="187" t="s">
        <v>281</v>
      </c>
      <c r="F296" s="187" t="s">
        <v>24</v>
      </c>
      <c r="G296" s="187">
        <v>275208801</v>
      </c>
      <c r="H296" s="187" t="s">
        <v>134</v>
      </c>
      <c r="I296" s="187" t="s">
        <v>58</v>
      </c>
      <c r="J296" s="187" t="s">
        <v>143</v>
      </c>
      <c r="K296" s="187" t="s">
        <v>163</v>
      </c>
      <c r="L296" s="187">
        <v>1</v>
      </c>
      <c r="M296" s="187">
        <v>526.76</v>
      </c>
      <c r="N296" s="187">
        <v>0</v>
      </c>
      <c r="O296" s="187">
        <v>0</v>
      </c>
      <c r="P296" s="187">
        <v>0</v>
      </c>
    </row>
    <row r="297" spans="1:16" s="187" customFormat="1" ht="12.75">
      <c r="A297" s="187" t="s">
        <v>54</v>
      </c>
      <c r="B297" s="187" t="s">
        <v>72</v>
      </c>
      <c r="C297" s="187" t="s">
        <v>143</v>
      </c>
      <c r="D297" s="187" t="s">
        <v>143</v>
      </c>
      <c r="E297" s="187" t="s">
        <v>281</v>
      </c>
      <c r="F297" s="187" t="s">
        <v>24</v>
      </c>
      <c r="G297" s="187">
        <v>275208801</v>
      </c>
      <c r="H297" s="187" t="s">
        <v>134</v>
      </c>
      <c r="I297" s="187" t="s">
        <v>58</v>
      </c>
      <c r="J297" s="187" t="s">
        <v>143</v>
      </c>
      <c r="K297" s="187" t="s">
        <v>360</v>
      </c>
      <c r="L297" s="187">
        <v>2</v>
      </c>
      <c r="M297" s="187">
        <v>1009</v>
      </c>
      <c r="N297" s="187">
        <v>1</v>
      </c>
      <c r="O297" s="187">
        <v>430.58</v>
      </c>
      <c r="P297" s="187">
        <v>0</v>
      </c>
    </row>
    <row r="298" spans="1:16" s="187" customFormat="1" ht="12.75">
      <c r="A298" s="187" t="s">
        <v>54</v>
      </c>
      <c r="B298" s="187" t="s">
        <v>72</v>
      </c>
      <c r="C298" s="187" t="s">
        <v>143</v>
      </c>
      <c r="D298" s="187" t="s">
        <v>143</v>
      </c>
      <c r="E298" s="187" t="s">
        <v>281</v>
      </c>
      <c r="F298" s="187" t="s">
        <v>24</v>
      </c>
      <c r="G298" s="187">
        <v>275208801</v>
      </c>
      <c r="H298" s="187" t="s">
        <v>134</v>
      </c>
      <c r="I298" s="187" t="s">
        <v>58</v>
      </c>
      <c r="J298" s="187" t="s">
        <v>143</v>
      </c>
      <c r="K298" s="187" t="s">
        <v>67</v>
      </c>
      <c r="L298" s="187">
        <v>1</v>
      </c>
      <c r="M298" s="187">
        <v>544.57000000000005</v>
      </c>
      <c r="N298" s="187">
        <v>1</v>
      </c>
      <c r="O298" s="187">
        <v>515.98</v>
      </c>
      <c r="P298" s="187">
        <v>9</v>
      </c>
    </row>
    <row r="299" spans="1:16" s="187" customFormat="1" ht="12.75">
      <c r="A299" s="187" t="s">
        <v>54</v>
      </c>
      <c r="B299" s="187" t="s">
        <v>72</v>
      </c>
      <c r="C299" s="187" t="s">
        <v>143</v>
      </c>
      <c r="D299" s="187" t="s">
        <v>143</v>
      </c>
      <c r="E299" s="187" t="s">
        <v>281</v>
      </c>
      <c r="F299" s="187" t="s">
        <v>24</v>
      </c>
      <c r="G299" s="187">
        <v>275208801</v>
      </c>
      <c r="H299" s="187" t="s">
        <v>134</v>
      </c>
      <c r="I299" s="187" t="s">
        <v>58</v>
      </c>
      <c r="J299" s="187" t="s">
        <v>143</v>
      </c>
      <c r="K299" s="187" t="s">
        <v>63</v>
      </c>
      <c r="L299" s="187">
        <v>4</v>
      </c>
      <c r="M299" s="187">
        <v>2102.25</v>
      </c>
      <c r="N299" s="187">
        <v>4</v>
      </c>
      <c r="O299" s="187">
        <v>2024.83</v>
      </c>
      <c r="P299" s="187">
        <v>1</v>
      </c>
    </row>
    <row r="300" spans="1:16" s="187" customFormat="1" ht="12.75">
      <c r="A300" s="187" t="s">
        <v>54</v>
      </c>
      <c r="B300" s="187" t="s">
        <v>72</v>
      </c>
      <c r="C300" s="187" t="s">
        <v>143</v>
      </c>
      <c r="D300" s="187" t="s">
        <v>143</v>
      </c>
      <c r="E300" s="187" t="s">
        <v>281</v>
      </c>
      <c r="F300" s="187" t="s">
        <v>24</v>
      </c>
      <c r="G300" s="187">
        <v>275208801</v>
      </c>
      <c r="H300" s="187" t="s">
        <v>134</v>
      </c>
      <c r="I300" s="187" t="s">
        <v>58</v>
      </c>
      <c r="J300" s="187" t="s">
        <v>143</v>
      </c>
      <c r="K300" s="187" t="s">
        <v>64</v>
      </c>
      <c r="L300" s="187">
        <v>0</v>
      </c>
      <c r="M300" s="187">
        <v>0</v>
      </c>
      <c r="N300" s="187">
        <v>1</v>
      </c>
      <c r="O300" s="187">
        <v>358.8</v>
      </c>
      <c r="P300" s="187">
        <v>12</v>
      </c>
    </row>
    <row r="301" spans="1:16" s="187" customFormat="1" ht="12.75">
      <c r="A301" s="187" t="s">
        <v>54</v>
      </c>
      <c r="B301" s="187" t="s">
        <v>72</v>
      </c>
      <c r="C301" s="187" t="s">
        <v>143</v>
      </c>
      <c r="D301" s="187" t="s">
        <v>143</v>
      </c>
      <c r="E301" s="187" t="s">
        <v>281</v>
      </c>
      <c r="F301" s="187" t="s">
        <v>24</v>
      </c>
      <c r="G301" s="187">
        <v>275208801</v>
      </c>
      <c r="H301" s="187" t="s">
        <v>134</v>
      </c>
      <c r="I301" s="187" t="s">
        <v>58</v>
      </c>
      <c r="J301" s="187" t="s">
        <v>143</v>
      </c>
      <c r="K301" s="187" t="s">
        <v>59</v>
      </c>
      <c r="L301" s="187">
        <v>1</v>
      </c>
      <c r="M301" s="187">
        <v>457.58</v>
      </c>
      <c r="N301" s="187">
        <v>1</v>
      </c>
      <c r="O301" s="187">
        <v>432.55</v>
      </c>
      <c r="P301" s="187">
        <v>1</v>
      </c>
    </row>
    <row r="302" spans="1:16" s="187" customFormat="1" ht="12.75">
      <c r="A302" s="187" t="s">
        <v>54</v>
      </c>
      <c r="B302" s="187" t="s">
        <v>72</v>
      </c>
      <c r="C302" s="187" t="s">
        <v>143</v>
      </c>
      <c r="D302" s="187" t="s">
        <v>143</v>
      </c>
      <c r="E302" s="187" t="s">
        <v>281</v>
      </c>
      <c r="F302" s="187" t="s">
        <v>24</v>
      </c>
      <c r="G302" s="187">
        <v>275208801</v>
      </c>
      <c r="H302" s="187" t="s">
        <v>134</v>
      </c>
      <c r="I302" s="187" t="s">
        <v>58</v>
      </c>
      <c r="J302" s="187" t="s">
        <v>143</v>
      </c>
      <c r="K302" s="187" t="s">
        <v>443</v>
      </c>
      <c r="L302" s="187">
        <v>0</v>
      </c>
      <c r="M302" s="187">
        <v>0</v>
      </c>
      <c r="N302" s="187">
        <v>1</v>
      </c>
      <c r="O302" s="187">
        <v>354.66</v>
      </c>
      <c r="P302" s="187">
        <v>0</v>
      </c>
    </row>
    <row r="303" spans="1:16" s="187" customFormat="1" ht="12.75">
      <c r="A303" s="187" t="s">
        <v>54</v>
      </c>
      <c r="B303" s="187" t="s">
        <v>72</v>
      </c>
      <c r="C303" s="187" t="s">
        <v>143</v>
      </c>
      <c r="D303" s="187" t="s">
        <v>143</v>
      </c>
      <c r="E303" s="187" t="s">
        <v>281</v>
      </c>
      <c r="F303" s="187" t="s">
        <v>24</v>
      </c>
      <c r="G303" s="187">
        <v>275208801</v>
      </c>
      <c r="H303" s="187" t="s">
        <v>134</v>
      </c>
      <c r="I303" s="187" t="s">
        <v>58</v>
      </c>
      <c r="J303" s="187" t="s">
        <v>143</v>
      </c>
      <c r="K303" s="187" t="s">
        <v>171</v>
      </c>
      <c r="L303" s="187">
        <v>2</v>
      </c>
      <c r="M303" s="187">
        <v>1100.0999999999999</v>
      </c>
      <c r="N303" s="187">
        <v>2</v>
      </c>
      <c r="O303" s="187">
        <v>1043.67</v>
      </c>
      <c r="P303" s="187">
        <v>10</v>
      </c>
    </row>
    <row r="304" spans="1:16" s="187" customFormat="1" ht="12.75">
      <c r="A304" s="187" t="s">
        <v>54</v>
      </c>
      <c r="B304" s="187" t="s">
        <v>72</v>
      </c>
      <c r="C304" s="187" t="s">
        <v>143</v>
      </c>
      <c r="D304" s="187" t="s">
        <v>143</v>
      </c>
      <c r="E304" s="187" t="s">
        <v>281</v>
      </c>
      <c r="F304" s="187" t="s">
        <v>24</v>
      </c>
      <c r="G304" s="187">
        <v>275208801</v>
      </c>
      <c r="H304" s="187" t="s">
        <v>134</v>
      </c>
      <c r="I304" s="187" t="s">
        <v>58</v>
      </c>
      <c r="J304" s="187" t="s">
        <v>143</v>
      </c>
      <c r="K304" s="187" t="s">
        <v>430</v>
      </c>
      <c r="L304" s="187">
        <v>2</v>
      </c>
      <c r="M304" s="187">
        <v>1089.1400000000001</v>
      </c>
      <c r="N304" s="187">
        <v>1</v>
      </c>
      <c r="O304" s="187">
        <v>521.14</v>
      </c>
      <c r="P304" s="187">
        <v>10</v>
      </c>
    </row>
    <row r="305" spans="1:16" s="187" customFormat="1" ht="12.75">
      <c r="A305" s="187" t="s">
        <v>54</v>
      </c>
      <c r="B305" s="187" t="s">
        <v>72</v>
      </c>
      <c r="C305" s="187" t="s">
        <v>143</v>
      </c>
      <c r="D305" s="187" t="s">
        <v>143</v>
      </c>
      <c r="E305" s="187" t="s">
        <v>281</v>
      </c>
      <c r="F305" s="187" t="s">
        <v>25</v>
      </c>
      <c r="G305" s="187">
        <v>275208802</v>
      </c>
      <c r="H305" s="187" t="s">
        <v>135</v>
      </c>
      <c r="I305" s="187" t="s">
        <v>58</v>
      </c>
      <c r="J305" s="187" t="s">
        <v>143</v>
      </c>
      <c r="K305" s="187" t="s">
        <v>443</v>
      </c>
      <c r="L305" s="187">
        <v>0</v>
      </c>
      <c r="M305" s="187">
        <v>0</v>
      </c>
      <c r="N305" s="187">
        <v>1</v>
      </c>
      <c r="O305" s="187">
        <v>675.83</v>
      </c>
      <c r="P305" s="187">
        <v>0</v>
      </c>
    </row>
    <row r="306" spans="1:16" s="187" customFormat="1" ht="12.75">
      <c r="A306" s="187" t="s">
        <v>54</v>
      </c>
      <c r="B306" s="187" t="s">
        <v>72</v>
      </c>
      <c r="C306" s="187" t="s">
        <v>143</v>
      </c>
      <c r="D306" s="187" t="s">
        <v>143</v>
      </c>
      <c r="E306" s="187" t="s">
        <v>281</v>
      </c>
      <c r="F306" s="187" t="s">
        <v>25</v>
      </c>
      <c r="G306" s="187">
        <v>275208802</v>
      </c>
      <c r="H306" s="187" t="s">
        <v>135</v>
      </c>
      <c r="I306" s="187" t="s">
        <v>58</v>
      </c>
      <c r="J306" s="187" t="s">
        <v>143</v>
      </c>
      <c r="K306" s="187" t="s">
        <v>360</v>
      </c>
      <c r="L306" s="187">
        <v>0</v>
      </c>
      <c r="M306" s="187">
        <v>0</v>
      </c>
      <c r="N306" s="187">
        <v>1</v>
      </c>
      <c r="O306" s="187">
        <v>353.36</v>
      </c>
      <c r="P306" s="187">
        <v>0</v>
      </c>
    </row>
    <row r="307" spans="1:16" s="187" customFormat="1" ht="12.75">
      <c r="A307" s="187" t="s">
        <v>54</v>
      </c>
      <c r="B307" s="187" t="s">
        <v>72</v>
      </c>
      <c r="C307" s="187" t="s">
        <v>143</v>
      </c>
      <c r="D307" s="187" t="s">
        <v>143</v>
      </c>
      <c r="E307" s="187" t="s">
        <v>281</v>
      </c>
      <c r="F307" s="187" t="s">
        <v>25</v>
      </c>
      <c r="G307" s="187">
        <v>275208802</v>
      </c>
      <c r="H307" s="187" t="s">
        <v>135</v>
      </c>
      <c r="I307" s="187" t="s">
        <v>58</v>
      </c>
      <c r="J307" s="187" t="s">
        <v>143</v>
      </c>
      <c r="K307" s="187" t="s">
        <v>171</v>
      </c>
      <c r="L307" s="187">
        <v>1</v>
      </c>
      <c r="M307" s="187">
        <v>453.47</v>
      </c>
      <c r="N307" s="187">
        <v>1</v>
      </c>
      <c r="O307" s="187">
        <v>434.95</v>
      </c>
      <c r="P307" s="187">
        <v>0</v>
      </c>
    </row>
    <row r="308" spans="1:16" s="187" customFormat="1" ht="12.75">
      <c r="A308" s="187" t="s">
        <v>54</v>
      </c>
      <c r="B308" s="187" t="s">
        <v>72</v>
      </c>
      <c r="C308" s="187" t="s">
        <v>143</v>
      </c>
      <c r="D308" s="187" t="s">
        <v>143</v>
      </c>
      <c r="E308" s="187" t="s">
        <v>281</v>
      </c>
      <c r="F308" s="187" t="s">
        <v>25</v>
      </c>
      <c r="G308" s="187">
        <v>275208802</v>
      </c>
      <c r="H308" s="187" t="s">
        <v>135</v>
      </c>
      <c r="I308" s="187" t="s">
        <v>58</v>
      </c>
      <c r="J308" s="187" t="s">
        <v>143</v>
      </c>
      <c r="K308" s="187" t="s">
        <v>138</v>
      </c>
      <c r="L308" s="187">
        <v>1</v>
      </c>
      <c r="M308" s="187">
        <v>453.47</v>
      </c>
      <c r="N308" s="187">
        <v>2</v>
      </c>
      <c r="O308" s="187">
        <v>790.75</v>
      </c>
      <c r="P308" s="187">
        <v>0</v>
      </c>
    </row>
    <row r="309" spans="1:16" s="187" customFormat="1" ht="12.75">
      <c r="A309" s="187" t="s">
        <v>54</v>
      </c>
      <c r="B309" s="187" t="s">
        <v>72</v>
      </c>
      <c r="C309" s="187" t="s">
        <v>143</v>
      </c>
      <c r="D309" s="187" t="s">
        <v>143</v>
      </c>
      <c r="E309" s="187" t="s">
        <v>281</v>
      </c>
      <c r="F309" s="187" t="s">
        <v>25</v>
      </c>
      <c r="G309" s="187">
        <v>275208802</v>
      </c>
      <c r="H309" s="187" t="s">
        <v>135</v>
      </c>
      <c r="I309" s="187" t="s">
        <v>58</v>
      </c>
      <c r="J309" s="187" t="s">
        <v>143</v>
      </c>
      <c r="K309" s="187" t="s">
        <v>64</v>
      </c>
      <c r="L309" s="187">
        <v>2</v>
      </c>
      <c r="M309" s="187">
        <v>1021.33</v>
      </c>
      <c r="N309" s="187">
        <v>2</v>
      </c>
      <c r="O309" s="187">
        <v>978.1</v>
      </c>
      <c r="P309" s="187">
        <v>0</v>
      </c>
    </row>
    <row r="310" spans="1:16" s="187" customFormat="1" ht="12.75">
      <c r="A310" s="187" t="s">
        <v>54</v>
      </c>
      <c r="B310" s="187" t="s">
        <v>72</v>
      </c>
      <c r="C310" s="187" t="s">
        <v>143</v>
      </c>
      <c r="D310" s="187" t="s">
        <v>143</v>
      </c>
      <c r="E310" s="187" t="s">
        <v>281</v>
      </c>
      <c r="F310" s="187" t="s">
        <v>25</v>
      </c>
      <c r="G310" s="187">
        <v>275208802</v>
      </c>
      <c r="H310" s="187" t="s">
        <v>135</v>
      </c>
      <c r="I310" s="187" t="s">
        <v>58</v>
      </c>
      <c r="J310" s="187" t="s">
        <v>143</v>
      </c>
      <c r="K310" s="187" t="s">
        <v>60</v>
      </c>
      <c r="L310" s="187">
        <v>2</v>
      </c>
      <c r="M310" s="187">
        <v>1191.5</v>
      </c>
      <c r="N310" s="187">
        <v>2</v>
      </c>
      <c r="O310" s="187">
        <v>1151.3</v>
      </c>
      <c r="P310" s="187">
        <v>0</v>
      </c>
    </row>
    <row r="311" spans="1:16" s="187" customFormat="1" ht="12.75">
      <c r="A311" s="187" t="s">
        <v>54</v>
      </c>
      <c r="B311" s="187" t="s">
        <v>85</v>
      </c>
      <c r="C311" s="187" t="s">
        <v>143</v>
      </c>
      <c r="D311" s="187" t="s">
        <v>143</v>
      </c>
      <c r="E311" s="187" t="s">
        <v>182</v>
      </c>
      <c r="F311" s="187" t="s">
        <v>183</v>
      </c>
      <c r="G311" s="187">
        <v>278515093</v>
      </c>
      <c r="H311" s="187" t="s">
        <v>136</v>
      </c>
      <c r="I311" s="187" t="s">
        <v>58</v>
      </c>
      <c r="J311" s="187" t="s">
        <v>143</v>
      </c>
      <c r="K311" s="187" t="s">
        <v>288</v>
      </c>
      <c r="L311" s="187">
        <v>3</v>
      </c>
      <c r="M311" s="187">
        <v>2020.56</v>
      </c>
      <c r="N311" s="187">
        <v>2</v>
      </c>
      <c r="O311" s="187">
        <v>1237.8599999999999</v>
      </c>
      <c r="P311" s="187">
        <v>0</v>
      </c>
    </row>
    <row r="312" spans="1:16" s="187" customFormat="1" ht="12.75">
      <c r="A312" s="187" t="s">
        <v>54</v>
      </c>
      <c r="B312" s="187" t="s">
        <v>85</v>
      </c>
      <c r="C312" s="187" t="s">
        <v>143</v>
      </c>
      <c r="D312" s="187" t="s">
        <v>143</v>
      </c>
      <c r="E312" s="187" t="s">
        <v>182</v>
      </c>
      <c r="F312" s="187" t="s">
        <v>183</v>
      </c>
      <c r="G312" s="187">
        <v>278515093</v>
      </c>
      <c r="H312" s="187" t="s">
        <v>136</v>
      </c>
      <c r="I312" s="187" t="s">
        <v>58</v>
      </c>
      <c r="J312" s="187" t="s">
        <v>143</v>
      </c>
      <c r="K312" s="187" t="s">
        <v>138</v>
      </c>
      <c r="L312" s="187">
        <v>3</v>
      </c>
      <c r="M312" s="187">
        <v>2098.86</v>
      </c>
      <c r="N312" s="187">
        <v>3</v>
      </c>
      <c r="O312" s="187">
        <v>2013.72</v>
      </c>
      <c r="P312" s="187">
        <v>0</v>
      </c>
    </row>
    <row r="313" spans="1:16" s="187" customFormat="1" ht="12.75">
      <c r="A313" s="187" t="s">
        <v>54</v>
      </c>
      <c r="B313" s="187" t="s">
        <v>85</v>
      </c>
      <c r="C313" s="187" t="s">
        <v>143</v>
      </c>
      <c r="D313" s="187" t="s">
        <v>143</v>
      </c>
      <c r="E313" s="187" t="s">
        <v>182</v>
      </c>
      <c r="F313" s="187" t="s">
        <v>183</v>
      </c>
      <c r="G313" s="187">
        <v>278515093</v>
      </c>
      <c r="H313" s="187" t="s">
        <v>136</v>
      </c>
      <c r="I313" s="187" t="s">
        <v>58</v>
      </c>
      <c r="J313" s="187" t="s">
        <v>143</v>
      </c>
      <c r="K313" s="187" t="s">
        <v>443</v>
      </c>
      <c r="L313" s="187">
        <v>1</v>
      </c>
      <c r="M313" s="187">
        <v>381.35</v>
      </c>
      <c r="N313" s="187">
        <v>1</v>
      </c>
      <c r="O313" s="187">
        <v>366.63</v>
      </c>
      <c r="P313" s="187">
        <v>0</v>
      </c>
    </row>
    <row r="314" spans="1:16" s="187" customFormat="1" ht="12.75">
      <c r="A314" s="187" t="s">
        <v>54</v>
      </c>
      <c r="B314" s="187" t="s">
        <v>85</v>
      </c>
      <c r="C314" s="187" t="s">
        <v>143</v>
      </c>
      <c r="D314" s="187" t="s">
        <v>143</v>
      </c>
      <c r="E314" s="187" t="s">
        <v>182</v>
      </c>
      <c r="F314" s="187" t="s">
        <v>183</v>
      </c>
      <c r="G314" s="187">
        <v>278515093</v>
      </c>
      <c r="H314" s="187" t="s">
        <v>136</v>
      </c>
      <c r="I314" s="187" t="s">
        <v>58</v>
      </c>
      <c r="J314" s="187" t="s">
        <v>143</v>
      </c>
      <c r="K314" s="187" t="s">
        <v>171</v>
      </c>
      <c r="L314" s="187">
        <v>28</v>
      </c>
      <c r="M314" s="187">
        <v>14944.31</v>
      </c>
      <c r="N314" s="187">
        <v>31</v>
      </c>
      <c r="O314" s="187">
        <v>15496.5</v>
      </c>
      <c r="P314" s="187">
        <v>0</v>
      </c>
    </row>
    <row r="315" spans="1:16" s="187" customFormat="1" ht="12.75">
      <c r="A315" s="187" t="s">
        <v>54</v>
      </c>
      <c r="B315" s="187" t="s">
        <v>85</v>
      </c>
      <c r="C315" s="187" t="s">
        <v>143</v>
      </c>
      <c r="D315" s="187" t="s">
        <v>143</v>
      </c>
      <c r="E315" s="187" t="s">
        <v>182</v>
      </c>
      <c r="F315" s="187" t="s">
        <v>183</v>
      </c>
      <c r="G315" s="187">
        <v>278515093</v>
      </c>
      <c r="H315" s="187" t="s">
        <v>136</v>
      </c>
      <c r="I315" s="187" t="s">
        <v>58</v>
      </c>
      <c r="J315" s="187" t="s">
        <v>143</v>
      </c>
      <c r="K315" s="187" t="s">
        <v>64</v>
      </c>
      <c r="L315" s="187">
        <v>25</v>
      </c>
      <c r="M315" s="187">
        <v>16289.9</v>
      </c>
      <c r="N315" s="187">
        <v>19</v>
      </c>
      <c r="O315" s="187">
        <v>11814.78</v>
      </c>
      <c r="P315" s="187">
        <v>3</v>
      </c>
    </row>
    <row r="316" spans="1:16" s="187" customFormat="1" ht="12.75">
      <c r="A316" s="187" t="s">
        <v>54</v>
      </c>
      <c r="B316" s="187" t="s">
        <v>85</v>
      </c>
      <c r="C316" s="187" t="s">
        <v>143</v>
      </c>
      <c r="D316" s="187" t="s">
        <v>143</v>
      </c>
      <c r="E316" s="187" t="s">
        <v>182</v>
      </c>
      <c r="F316" s="187" t="s">
        <v>183</v>
      </c>
      <c r="G316" s="187">
        <v>278515093</v>
      </c>
      <c r="H316" s="187" t="s">
        <v>136</v>
      </c>
      <c r="I316" s="187" t="s">
        <v>58</v>
      </c>
      <c r="J316" s="187" t="s">
        <v>143</v>
      </c>
      <c r="K316" s="187" t="s">
        <v>360</v>
      </c>
      <c r="L316" s="187">
        <v>2</v>
      </c>
      <c r="M316" s="187">
        <v>1060.67</v>
      </c>
      <c r="N316" s="187">
        <v>1</v>
      </c>
      <c r="O316" s="187">
        <v>366.63</v>
      </c>
      <c r="P316" s="187">
        <v>0</v>
      </c>
    </row>
    <row r="317" spans="1:16" s="187" customFormat="1" ht="12.75">
      <c r="A317" s="187" t="s">
        <v>54</v>
      </c>
      <c r="B317" s="187" t="s">
        <v>85</v>
      </c>
      <c r="C317" s="187" t="s">
        <v>143</v>
      </c>
      <c r="D317" s="187" t="s">
        <v>143</v>
      </c>
      <c r="E317" s="187" t="s">
        <v>182</v>
      </c>
      <c r="F317" s="187" t="s">
        <v>183</v>
      </c>
      <c r="G317" s="187">
        <v>278515093</v>
      </c>
      <c r="H317" s="187" t="s">
        <v>136</v>
      </c>
      <c r="I317" s="187" t="s">
        <v>58</v>
      </c>
      <c r="J317" s="187" t="s">
        <v>143</v>
      </c>
      <c r="K317" s="187" t="s">
        <v>67</v>
      </c>
      <c r="L317" s="187">
        <v>2</v>
      </c>
      <c r="M317" s="187">
        <v>1202.04</v>
      </c>
      <c r="N317" s="187">
        <v>1</v>
      </c>
      <c r="O317" s="187">
        <v>577.95000000000005</v>
      </c>
      <c r="P317" s="187">
        <v>0</v>
      </c>
    </row>
    <row r="318" spans="1:16" s="187" customFormat="1" ht="12.75">
      <c r="A318" s="187" t="s">
        <v>54</v>
      </c>
      <c r="B318" s="187" t="s">
        <v>85</v>
      </c>
      <c r="C318" s="187" t="s">
        <v>143</v>
      </c>
      <c r="D318" s="187" t="s">
        <v>143</v>
      </c>
      <c r="E318" s="187" t="s">
        <v>182</v>
      </c>
      <c r="F318" s="187" t="s">
        <v>183</v>
      </c>
      <c r="G318" s="187">
        <v>278515093</v>
      </c>
      <c r="H318" s="187" t="s">
        <v>136</v>
      </c>
      <c r="I318" s="187" t="s">
        <v>58</v>
      </c>
      <c r="J318" s="187" t="s">
        <v>143</v>
      </c>
      <c r="K318" s="187" t="s">
        <v>63</v>
      </c>
      <c r="L318" s="187">
        <v>2</v>
      </c>
      <c r="M318" s="187">
        <v>1191.8900000000001</v>
      </c>
      <c r="N318" s="187">
        <v>4</v>
      </c>
      <c r="O318" s="187">
        <v>2132.48</v>
      </c>
      <c r="P318" s="187">
        <v>0</v>
      </c>
    </row>
    <row r="319" spans="1:16" s="187" customFormat="1" ht="12.75">
      <c r="A319" s="187" t="s">
        <v>54</v>
      </c>
      <c r="B319" s="187" t="s">
        <v>85</v>
      </c>
      <c r="C319" s="187" t="s">
        <v>143</v>
      </c>
      <c r="D319" s="187" t="s">
        <v>143</v>
      </c>
      <c r="E319" s="187" t="s">
        <v>182</v>
      </c>
      <c r="F319" s="187" t="s">
        <v>183</v>
      </c>
      <c r="G319" s="187">
        <v>278515093</v>
      </c>
      <c r="H319" s="187" t="s">
        <v>136</v>
      </c>
      <c r="I319" s="187" t="s">
        <v>58</v>
      </c>
      <c r="J319" s="187" t="s">
        <v>143</v>
      </c>
      <c r="K319" s="187" t="s">
        <v>94</v>
      </c>
      <c r="L319" s="187">
        <v>1</v>
      </c>
      <c r="M319" s="187">
        <v>709.77</v>
      </c>
      <c r="N319" s="187">
        <v>1</v>
      </c>
      <c r="O319" s="187">
        <v>691.01</v>
      </c>
      <c r="P319" s="187">
        <v>0</v>
      </c>
    </row>
    <row r="320" spans="1:16" s="187" customFormat="1" ht="12.75">
      <c r="A320" s="187" t="s">
        <v>54</v>
      </c>
      <c r="B320" s="187" t="s">
        <v>85</v>
      </c>
      <c r="C320" s="187" t="s">
        <v>143</v>
      </c>
      <c r="D320" s="187" t="s">
        <v>143</v>
      </c>
      <c r="E320" s="187" t="s">
        <v>182</v>
      </c>
      <c r="F320" s="187" t="s">
        <v>183</v>
      </c>
      <c r="G320" s="187">
        <v>278515093</v>
      </c>
      <c r="H320" s="187" t="s">
        <v>136</v>
      </c>
      <c r="I320" s="187" t="s">
        <v>58</v>
      </c>
      <c r="J320" s="187" t="s">
        <v>143</v>
      </c>
      <c r="K320" s="187" t="s">
        <v>60</v>
      </c>
      <c r="L320" s="187">
        <v>6</v>
      </c>
      <c r="M320" s="187">
        <v>3821.45</v>
      </c>
      <c r="N320" s="187">
        <v>4</v>
      </c>
      <c r="O320" s="187">
        <v>2301.81</v>
      </c>
      <c r="P320" s="187">
        <v>18</v>
      </c>
    </row>
    <row r="321" spans="1:16" s="187" customFormat="1" ht="12.75">
      <c r="A321" s="187" t="s">
        <v>54</v>
      </c>
      <c r="B321" s="187" t="s">
        <v>85</v>
      </c>
      <c r="C321" s="187" t="s">
        <v>143</v>
      </c>
      <c r="D321" s="187" t="s">
        <v>143</v>
      </c>
      <c r="E321" s="187" t="s">
        <v>182</v>
      </c>
      <c r="F321" s="187" t="s">
        <v>183</v>
      </c>
      <c r="G321" s="187">
        <v>278515093</v>
      </c>
      <c r="H321" s="187" t="s">
        <v>136</v>
      </c>
      <c r="I321" s="187" t="s">
        <v>58</v>
      </c>
      <c r="J321" s="187" t="s">
        <v>143</v>
      </c>
      <c r="K321" s="187" t="s">
        <v>62</v>
      </c>
      <c r="L321" s="187">
        <v>4</v>
      </c>
      <c r="M321" s="187">
        <v>2730.49</v>
      </c>
      <c r="N321" s="187">
        <v>1</v>
      </c>
      <c r="O321" s="187">
        <v>577.51</v>
      </c>
      <c r="P321" s="187">
        <v>0</v>
      </c>
    </row>
    <row r="322" spans="1:16" s="187" customFormat="1" ht="12.75">
      <c r="A322" s="187" t="s">
        <v>54</v>
      </c>
      <c r="B322" s="187" t="s">
        <v>85</v>
      </c>
      <c r="C322" s="187" t="s">
        <v>143</v>
      </c>
      <c r="D322" s="187" t="s">
        <v>143</v>
      </c>
      <c r="E322" s="187" t="s">
        <v>180</v>
      </c>
      <c r="F322" s="187" t="s">
        <v>20</v>
      </c>
      <c r="G322" s="187">
        <v>298193176</v>
      </c>
      <c r="H322" s="187" t="s">
        <v>139</v>
      </c>
      <c r="I322" s="187" t="s">
        <v>58</v>
      </c>
      <c r="J322" s="187" t="s">
        <v>143</v>
      </c>
      <c r="K322" s="187" t="s">
        <v>59</v>
      </c>
      <c r="L322" s="187">
        <v>0</v>
      </c>
      <c r="M322" s="187">
        <v>0</v>
      </c>
      <c r="N322" s="187">
        <v>0</v>
      </c>
      <c r="O322" s="187">
        <v>0</v>
      </c>
      <c r="P322" s="187">
        <v>1</v>
      </c>
    </row>
    <row r="323" spans="1:16" s="187" customFormat="1" ht="12.75">
      <c r="A323" s="187" t="s">
        <v>54</v>
      </c>
      <c r="B323" s="187" t="s">
        <v>85</v>
      </c>
      <c r="C323" s="187" t="s">
        <v>143</v>
      </c>
      <c r="D323" s="187" t="s">
        <v>143</v>
      </c>
      <c r="E323" s="187" t="s">
        <v>180</v>
      </c>
      <c r="F323" s="187" t="s">
        <v>20</v>
      </c>
      <c r="G323" s="187">
        <v>298193176</v>
      </c>
      <c r="H323" s="187" t="s">
        <v>139</v>
      </c>
      <c r="I323" s="187" t="s">
        <v>58</v>
      </c>
      <c r="J323" s="187" t="s">
        <v>143</v>
      </c>
      <c r="K323" s="187" t="s">
        <v>62</v>
      </c>
      <c r="L323" s="187">
        <v>0</v>
      </c>
      <c r="M323" s="187">
        <v>0</v>
      </c>
      <c r="N323" s="187">
        <v>0</v>
      </c>
      <c r="O323" s="187">
        <v>0</v>
      </c>
      <c r="P323" s="187">
        <v>1</v>
      </c>
    </row>
    <row r="324" spans="1:16" s="187" customFormat="1" ht="12.75">
      <c r="A324" s="187" t="s">
        <v>54</v>
      </c>
      <c r="B324" s="187" t="s">
        <v>85</v>
      </c>
      <c r="C324" s="187" t="s">
        <v>143</v>
      </c>
      <c r="D324" s="187" t="s">
        <v>143</v>
      </c>
      <c r="E324" s="187" t="s">
        <v>180</v>
      </c>
      <c r="F324" s="187" t="s">
        <v>20</v>
      </c>
      <c r="G324" s="187">
        <v>298193176</v>
      </c>
      <c r="H324" s="187" t="s">
        <v>139</v>
      </c>
      <c r="I324" s="187" t="s">
        <v>58</v>
      </c>
      <c r="J324" s="187" t="s">
        <v>143</v>
      </c>
      <c r="K324" s="187" t="s">
        <v>60</v>
      </c>
      <c r="L324" s="187">
        <v>0</v>
      </c>
      <c r="M324" s="187">
        <v>0</v>
      </c>
      <c r="N324" s="187">
        <v>0</v>
      </c>
      <c r="O324" s="187">
        <v>0</v>
      </c>
      <c r="P324" s="187">
        <v>26</v>
      </c>
    </row>
    <row r="325" spans="1:16" s="187" customFormat="1" ht="12.75">
      <c r="A325" s="187" t="s">
        <v>54</v>
      </c>
      <c r="B325" s="187" t="s">
        <v>85</v>
      </c>
      <c r="C325" s="187" t="s">
        <v>143</v>
      </c>
      <c r="D325" s="187" t="s">
        <v>143</v>
      </c>
      <c r="E325" s="187" t="s">
        <v>180</v>
      </c>
      <c r="F325" s="187" t="s">
        <v>20</v>
      </c>
      <c r="G325" s="187">
        <v>298193176</v>
      </c>
      <c r="H325" s="187" t="s">
        <v>139</v>
      </c>
      <c r="I325" s="187" t="s">
        <v>58</v>
      </c>
      <c r="J325" s="187" t="s">
        <v>143</v>
      </c>
      <c r="K325" s="187" t="s">
        <v>67</v>
      </c>
      <c r="L325" s="187">
        <v>0</v>
      </c>
      <c r="M325" s="187">
        <v>0</v>
      </c>
      <c r="N325" s="187">
        <v>0</v>
      </c>
      <c r="O325" s="187">
        <v>0</v>
      </c>
      <c r="P325" s="187">
        <v>29</v>
      </c>
    </row>
    <row r="326" spans="1:16" s="187" customFormat="1" ht="12.75">
      <c r="A326" s="187" t="s">
        <v>54</v>
      </c>
      <c r="B326" s="187" t="s">
        <v>85</v>
      </c>
      <c r="C326" s="187" t="s">
        <v>143</v>
      </c>
      <c r="D326" s="187" t="s">
        <v>143</v>
      </c>
      <c r="E326" s="187" t="s">
        <v>180</v>
      </c>
      <c r="F326" s="187" t="s">
        <v>20</v>
      </c>
      <c r="G326" s="187">
        <v>298193176</v>
      </c>
      <c r="H326" s="187" t="s">
        <v>139</v>
      </c>
      <c r="I326" s="187" t="s">
        <v>58</v>
      </c>
      <c r="J326" s="187" t="s">
        <v>143</v>
      </c>
      <c r="K326" s="187" t="s">
        <v>61</v>
      </c>
      <c r="L326" s="187">
        <v>1</v>
      </c>
      <c r="M326" s="187">
        <v>622.04999999999995</v>
      </c>
      <c r="N326" s="187">
        <v>1</v>
      </c>
      <c r="O326" s="187">
        <v>591.5</v>
      </c>
      <c r="P326" s="187">
        <v>42</v>
      </c>
    </row>
    <row r="327" spans="1:16" s="187" customFormat="1" ht="12.75">
      <c r="A327" s="187" t="s">
        <v>54</v>
      </c>
      <c r="B327" s="187" t="s">
        <v>85</v>
      </c>
      <c r="C327" s="187" t="s">
        <v>143</v>
      </c>
      <c r="D327" s="187" t="s">
        <v>143</v>
      </c>
      <c r="E327" s="187" t="s">
        <v>180</v>
      </c>
      <c r="F327" s="187" t="s">
        <v>20</v>
      </c>
      <c r="G327" s="187">
        <v>298193176</v>
      </c>
      <c r="H327" s="187" t="s">
        <v>139</v>
      </c>
      <c r="I327" s="187" t="s">
        <v>58</v>
      </c>
      <c r="J327" s="187" t="s">
        <v>143</v>
      </c>
      <c r="K327" s="187" t="s">
        <v>171</v>
      </c>
      <c r="L327" s="187">
        <v>0</v>
      </c>
      <c r="M327" s="187">
        <v>0</v>
      </c>
      <c r="N327" s="187">
        <v>0</v>
      </c>
      <c r="O327" s="187">
        <v>0</v>
      </c>
      <c r="P327" s="187">
        <v>24</v>
      </c>
    </row>
    <row r="328" spans="1:16" s="187" customFormat="1" ht="12.75">
      <c r="A328" s="187" t="s">
        <v>54</v>
      </c>
      <c r="B328" s="187" t="s">
        <v>85</v>
      </c>
      <c r="C328" s="187" t="s">
        <v>143</v>
      </c>
      <c r="D328" s="187" t="s">
        <v>143</v>
      </c>
      <c r="E328" s="187" t="s">
        <v>180</v>
      </c>
      <c r="F328" s="187" t="s">
        <v>20</v>
      </c>
      <c r="G328" s="187">
        <v>298193176</v>
      </c>
      <c r="H328" s="187" t="s">
        <v>139</v>
      </c>
      <c r="I328" s="187" t="s">
        <v>58</v>
      </c>
      <c r="J328" s="187" t="s">
        <v>143</v>
      </c>
      <c r="K328" s="187" t="s">
        <v>64</v>
      </c>
      <c r="L328" s="187">
        <v>0</v>
      </c>
      <c r="M328" s="187">
        <v>0</v>
      </c>
      <c r="N328" s="187">
        <v>0</v>
      </c>
      <c r="O328" s="187">
        <v>0</v>
      </c>
      <c r="P328" s="187">
        <v>10</v>
      </c>
    </row>
    <row r="329" spans="1:16" s="187" customFormat="1" ht="12.75">
      <c r="A329" s="187" t="s">
        <v>54</v>
      </c>
      <c r="B329" s="187" t="s">
        <v>85</v>
      </c>
      <c r="C329" s="187" t="s">
        <v>143</v>
      </c>
      <c r="D329" s="187" t="s">
        <v>143</v>
      </c>
      <c r="E329" s="187" t="s">
        <v>180</v>
      </c>
      <c r="F329" s="187" t="s">
        <v>20</v>
      </c>
      <c r="G329" s="187">
        <v>298193176</v>
      </c>
      <c r="H329" s="187" t="s">
        <v>139</v>
      </c>
      <c r="I329" s="187" t="s">
        <v>58</v>
      </c>
      <c r="J329" s="187" t="s">
        <v>143</v>
      </c>
      <c r="K329" s="187" t="s">
        <v>443</v>
      </c>
      <c r="L329" s="187">
        <v>2</v>
      </c>
      <c r="M329" s="187">
        <v>1257.1500000000001</v>
      </c>
      <c r="N329" s="187">
        <v>2</v>
      </c>
      <c r="O329" s="187">
        <v>1164.6500000000001</v>
      </c>
      <c r="P329" s="187">
        <v>6</v>
      </c>
    </row>
    <row r="330" spans="1:16" s="187" customFormat="1" ht="12.75">
      <c r="A330" s="187" t="s">
        <v>54</v>
      </c>
      <c r="B330" s="187" t="s">
        <v>85</v>
      </c>
      <c r="C330" s="187" t="s">
        <v>143</v>
      </c>
      <c r="D330" s="187" t="s">
        <v>143</v>
      </c>
      <c r="E330" s="187" t="s">
        <v>180</v>
      </c>
      <c r="F330" s="187" t="s">
        <v>20</v>
      </c>
      <c r="G330" s="187">
        <v>298193176</v>
      </c>
      <c r="H330" s="187" t="s">
        <v>139</v>
      </c>
      <c r="I330" s="187" t="s">
        <v>58</v>
      </c>
      <c r="J330" s="187" t="s">
        <v>143</v>
      </c>
      <c r="K330" s="187" t="s">
        <v>430</v>
      </c>
      <c r="L330" s="187">
        <v>1</v>
      </c>
      <c r="M330" s="187">
        <v>645.97</v>
      </c>
      <c r="N330" s="187">
        <v>1</v>
      </c>
      <c r="O330" s="187">
        <v>621.17999999999995</v>
      </c>
      <c r="P330" s="187">
        <v>14</v>
      </c>
    </row>
    <row r="331" spans="1:16" s="187" customFormat="1" ht="12.75">
      <c r="A331" s="187" t="s">
        <v>54</v>
      </c>
      <c r="B331" s="187" t="s">
        <v>85</v>
      </c>
      <c r="C331" s="187" t="s">
        <v>143</v>
      </c>
      <c r="D331" s="187" t="s">
        <v>143</v>
      </c>
      <c r="E331" s="187" t="s">
        <v>180</v>
      </c>
      <c r="F331" s="187" t="s">
        <v>20</v>
      </c>
      <c r="G331" s="187">
        <v>298193176</v>
      </c>
      <c r="H331" s="187" t="s">
        <v>139</v>
      </c>
      <c r="I331" s="187" t="s">
        <v>58</v>
      </c>
      <c r="J331" s="187" t="s">
        <v>143</v>
      </c>
      <c r="K331" s="187" t="s">
        <v>138</v>
      </c>
      <c r="L331" s="187">
        <v>0</v>
      </c>
      <c r="M331" s="187">
        <v>0</v>
      </c>
      <c r="N331" s="187">
        <v>0</v>
      </c>
      <c r="O331" s="187">
        <v>0</v>
      </c>
      <c r="P331" s="187">
        <v>1</v>
      </c>
    </row>
    <row r="332" spans="1:16" s="187" customFormat="1" ht="12.75">
      <c r="A332" s="187" t="s">
        <v>54</v>
      </c>
      <c r="B332" s="187" t="s">
        <v>85</v>
      </c>
      <c r="C332" s="187" t="s">
        <v>143</v>
      </c>
      <c r="D332" s="187" t="s">
        <v>143</v>
      </c>
      <c r="E332" s="187" t="s">
        <v>180</v>
      </c>
      <c r="F332" s="187" t="s">
        <v>20</v>
      </c>
      <c r="G332" s="187">
        <v>298193176</v>
      </c>
      <c r="H332" s="187" t="s">
        <v>139</v>
      </c>
      <c r="I332" s="187" t="s">
        <v>58</v>
      </c>
      <c r="J332" s="187" t="s">
        <v>143</v>
      </c>
      <c r="K332" s="187" t="s">
        <v>63</v>
      </c>
      <c r="L332" s="187">
        <v>4</v>
      </c>
      <c r="M332" s="187">
        <v>2562.14</v>
      </c>
      <c r="N332" s="187">
        <v>3</v>
      </c>
      <c r="O332" s="187">
        <v>1851.13</v>
      </c>
      <c r="P332" s="187">
        <v>14</v>
      </c>
    </row>
    <row r="333" spans="1:16" s="187" customFormat="1" ht="12.75">
      <c r="A333" s="187" t="s">
        <v>68</v>
      </c>
      <c r="B333" s="187" t="s">
        <v>128</v>
      </c>
      <c r="C333" s="187" t="s">
        <v>143</v>
      </c>
      <c r="D333" s="187" t="s">
        <v>143</v>
      </c>
      <c r="E333" s="187" t="s">
        <v>284</v>
      </c>
      <c r="F333" s="187" t="s">
        <v>140</v>
      </c>
      <c r="G333" s="187">
        <v>321959186</v>
      </c>
      <c r="H333" s="187" t="s">
        <v>149</v>
      </c>
      <c r="I333" s="187" t="s">
        <v>58</v>
      </c>
      <c r="J333" s="187" t="s">
        <v>143</v>
      </c>
      <c r="K333" s="187" t="s">
        <v>430</v>
      </c>
      <c r="L333" s="187">
        <v>2</v>
      </c>
      <c r="M333" s="187">
        <v>940.47</v>
      </c>
      <c r="N333" s="187">
        <v>2</v>
      </c>
      <c r="O333" s="187">
        <v>922.33</v>
      </c>
      <c r="P333" s="187">
        <v>14</v>
      </c>
    </row>
    <row r="334" spans="1:16" s="187" customFormat="1" ht="12.75">
      <c r="A334" s="187" t="s">
        <v>68</v>
      </c>
      <c r="B334" s="187" t="s">
        <v>128</v>
      </c>
      <c r="C334" s="187" t="s">
        <v>143</v>
      </c>
      <c r="D334" s="187" t="s">
        <v>143</v>
      </c>
      <c r="E334" s="187" t="s">
        <v>284</v>
      </c>
      <c r="F334" s="187" t="s">
        <v>140</v>
      </c>
      <c r="G334" s="187">
        <v>321959186</v>
      </c>
      <c r="H334" s="187" t="s">
        <v>149</v>
      </c>
      <c r="I334" s="187" t="s">
        <v>58</v>
      </c>
      <c r="J334" s="187" t="s">
        <v>143</v>
      </c>
      <c r="K334" s="187" t="s">
        <v>63</v>
      </c>
      <c r="L334" s="187">
        <v>0</v>
      </c>
      <c r="M334" s="187">
        <v>0</v>
      </c>
      <c r="N334" s="187">
        <v>1</v>
      </c>
      <c r="O334" s="187">
        <v>355.28</v>
      </c>
      <c r="P334" s="187">
        <v>0</v>
      </c>
    </row>
    <row r="335" spans="1:16" s="187" customFormat="1" ht="12.75">
      <c r="A335" s="187" t="s">
        <v>68</v>
      </c>
      <c r="B335" s="187" t="s">
        <v>128</v>
      </c>
      <c r="C335" s="187" t="s">
        <v>143</v>
      </c>
      <c r="D335" s="187" t="s">
        <v>143</v>
      </c>
      <c r="E335" s="187" t="s">
        <v>284</v>
      </c>
      <c r="F335" s="187" t="s">
        <v>140</v>
      </c>
      <c r="G335" s="187">
        <v>321959186</v>
      </c>
      <c r="H335" s="187" t="s">
        <v>149</v>
      </c>
      <c r="I335" s="187" t="s">
        <v>58</v>
      </c>
      <c r="J335" s="187" t="s">
        <v>143</v>
      </c>
      <c r="K335" s="187" t="s">
        <v>60</v>
      </c>
      <c r="L335" s="187">
        <v>2</v>
      </c>
      <c r="M335" s="187">
        <v>638.72</v>
      </c>
      <c r="N335" s="187">
        <v>3</v>
      </c>
      <c r="O335" s="187">
        <v>932.36</v>
      </c>
      <c r="P335" s="187">
        <v>22</v>
      </c>
    </row>
    <row r="336" spans="1:16" s="187" customFormat="1" ht="12.75">
      <c r="A336" s="187" t="s">
        <v>68</v>
      </c>
      <c r="B336" s="187" t="s">
        <v>122</v>
      </c>
      <c r="C336" s="187" t="s">
        <v>143</v>
      </c>
      <c r="D336" s="187" t="s">
        <v>143</v>
      </c>
      <c r="E336" s="187" t="s">
        <v>123</v>
      </c>
      <c r="F336" s="187" t="s">
        <v>141</v>
      </c>
      <c r="G336" s="187">
        <v>327442631</v>
      </c>
      <c r="H336" s="187" t="s">
        <v>150</v>
      </c>
      <c r="I336" s="187" t="s">
        <v>58</v>
      </c>
      <c r="J336" s="187" t="s">
        <v>143</v>
      </c>
      <c r="K336" s="187" t="s">
        <v>60</v>
      </c>
      <c r="L336" s="187">
        <v>0</v>
      </c>
      <c r="M336" s="187">
        <v>0</v>
      </c>
      <c r="N336" s="187">
        <v>0</v>
      </c>
      <c r="O336" s="187">
        <v>0</v>
      </c>
      <c r="P336" s="187">
        <v>14</v>
      </c>
    </row>
    <row r="337" spans="1:16" s="187" customFormat="1" ht="12.75">
      <c r="A337" s="187" t="s">
        <v>68</v>
      </c>
      <c r="B337" s="187" t="s">
        <v>122</v>
      </c>
      <c r="C337" s="187" t="s">
        <v>143</v>
      </c>
      <c r="D337" s="187" t="s">
        <v>143</v>
      </c>
      <c r="E337" s="187" t="s">
        <v>123</v>
      </c>
      <c r="F337" s="187" t="s">
        <v>141</v>
      </c>
      <c r="G337" s="187">
        <v>327442631</v>
      </c>
      <c r="H337" s="187" t="s">
        <v>150</v>
      </c>
      <c r="I337" s="187" t="s">
        <v>58</v>
      </c>
      <c r="J337" s="187" t="s">
        <v>143</v>
      </c>
      <c r="K337" s="187" t="s">
        <v>443</v>
      </c>
      <c r="L337" s="187">
        <v>1</v>
      </c>
      <c r="M337" s="187">
        <v>482.92</v>
      </c>
      <c r="N337" s="187">
        <v>1</v>
      </c>
      <c r="O337" s="187">
        <v>312.68</v>
      </c>
      <c r="P337" s="187">
        <v>13</v>
      </c>
    </row>
    <row r="338" spans="1:16" s="187" customFormat="1" ht="12.75">
      <c r="A338" s="187" t="s">
        <v>68</v>
      </c>
      <c r="B338" s="187" t="s">
        <v>122</v>
      </c>
      <c r="C338" s="187" t="s">
        <v>143</v>
      </c>
      <c r="D338" s="187" t="s">
        <v>143</v>
      </c>
      <c r="E338" s="187" t="s">
        <v>123</v>
      </c>
      <c r="F338" s="187" t="s">
        <v>141</v>
      </c>
      <c r="G338" s="187">
        <v>327442631</v>
      </c>
      <c r="H338" s="187" t="s">
        <v>150</v>
      </c>
      <c r="I338" s="187" t="s">
        <v>58</v>
      </c>
      <c r="J338" s="187" t="s">
        <v>143</v>
      </c>
      <c r="K338" s="187" t="s">
        <v>89</v>
      </c>
      <c r="L338" s="187">
        <v>0</v>
      </c>
      <c r="M338" s="187">
        <v>0</v>
      </c>
      <c r="N338" s="187">
        <v>0</v>
      </c>
      <c r="O338" s="187">
        <v>0</v>
      </c>
      <c r="P338" s="187">
        <v>2</v>
      </c>
    </row>
    <row r="339" spans="1:16" s="187" customFormat="1" ht="12.75">
      <c r="A339" s="187" t="s">
        <v>68</v>
      </c>
      <c r="B339" s="187" t="s">
        <v>122</v>
      </c>
      <c r="C339" s="187" t="s">
        <v>143</v>
      </c>
      <c r="D339" s="187" t="s">
        <v>143</v>
      </c>
      <c r="E339" s="187" t="s">
        <v>123</v>
      </c>
      <c r="F339" s="187" t="s">
        <v>141</v>
      </c>
      <c r="G339" s="187">
        <v>327442631</v>
      </c>
      <c r="H339" s="187" t="s">
        <v>150</v>
      </c>
      <c r="I339" s="187" t="s">
        <v>58</v>
      </c>
      <c r="J339" s="187" t="s">
        <v>143</v>
      </c>
      <c r="K339" s="187" t="s">
        <v>67</v>
      </c>
      <c r="L339" s="187">
        <v>0</v>
      </c>
      <c r="M339" s="187">
        <v>0</v>
      </c>
      <c r="N339" s="187">
        <v>0</v>
      </c>
      <c r="O339" s="187">
        <v>0</v>
      </c>
      <c r="P339" s="187">
        <v>1</v>
      </c>
    </row>
    <row r="340" spans="1:16" s="187" customFormat="1" ht="12.75">
      <c r="A340" s="187" t="s">
        <v>68</v>
      </c>
      <c r="B340" s="187" t="s">
        <v>122</v>
      </c>
      <c r="C340" s="187" t="s">
        <v>143</v>
      </c>
      <c r="D340" s="187" t="s">
        <v>143</v>
      </c>
      <c r="E340" s="187" t="s">
        <v>123</v>
      </c>
      <c r="F340" s="187" t="s">
        <v>141</v>
      </c>
      <c r="G340" s="187">
        <v>327442631</v>
      </c>
      <c r="H340" s="187" t="s">
        <v>150</v>
      </c>
      <c r="I340" s="187" t="s">
        <v>58</v>
      </c>
      <c r="J340" s="187" t="s">
        <v>143</v>
      </c>
      <c r="K340" s="187" t="s">
        <v>61</v>
      </c>
      <c r="L340" s="187">
        <v>0</v>
      </c>
      <c r="M340" s="187">
        <v>0</v>
      </c>
      <c r="N340" s="187">
        <v>0</v>
      </c>
      <c r="O340" s="187">
        <v>0</v>
      </c>
      <c r="P340" s="187">
        <v>17</v>
      </c>
    </row>
    <row r="341" spans="1:16" s="187" customFormat="1" ht="12.75">
      <c r="A341" s="187" t="s">
        <v>68</v>
      </c>
      <c r="B341" s="187" t="s">
        <v>122</v>
      </c>
      <c r="C341" s="187" t="s">
        <v>143</v>
      </c>
      <c r="D341" s="187" t="s">
        <v>143</v>
      </c>
      <c r="E341" s="187" t="s">
        <v>123</v>
      </c>
      <c r="F341" s="187" t="s">
        <v>141</v>
      </c>
      <c r="G341" s="187">
        <v>327442631</v>
      </c>
      <c r="H341" s="187" t="s">
        <v>150</v>
      </c>
      <c r="I341" s="187" t="s">
        <v>58</v>
      </c>
      <c r="J341" s="187" t="s">
        <v>143</v>
      </c>
      <c r="K341" s="187" t="s">
        <v>59</v>
      </c>
      <c r="L341" s="187">
        <v>0</v>
      </c>
      <c r="M341" s="187">
        <v>0</v>
      </c>
      <c r="N341" s="187">
        <v>0</v>
      </c>
      <c r="O341" s="187">
        <v>0</v>
      </c>
      <c r="P341" s="187">
        <v>4</v>
      </c>
    </row>
    <row r="342" spans="1:16" s="187" customFormat="1" ht="12.75">
      <c r="A342" s="187" t="s">
        <v>68</v>
      </c>
      <c r="B342" s="187" t="s">
        <v>122</v>
      </c>
      <c r="C342" s="187" t="s">
        <v>143</v>
      </c>
      <c r="D342" s="187" t="s">
        <v>143</v>
      </c>
      <c r="E342" s="187" t="s">
        <v>123</v>
      </c>
      <c r="F342" s="187" t="s">
        <v>141</v>
      </c>
      <c r="G342" s="187">
        <v>327442631</v>
      </c>
      <c r="H342" s="187" t="s">
        <v>150</v>
      </c>
      <c r="I342" s="187" t="s">
        <v>58</v>
      </c>
      <c r="J342" s="187" t="s">
        <v>143</v>
      </c>
      <c r="K342" s="187" t="s">
        <v>62</v>
      </c>
      <c r="L342" s="187">
        <v>2</v>
      </c>
      <c r="M342" s="187">
        <v>946.1</v>
      </c>
      <c r="N342" s="187">
        <v>0</v>
      </c>
      <c r="O342" s="187">
        <v>0</v>
      </c>
      <c r="P342" s="187">
        <v>1</v>
      </c>
    </row>
    <row r="343" spans="1:16" s="187" customFormat="1" ht="12.75">
      <c r="A343" s="187" t="s">
        <v>68</v>
      </c>
      <c r="B343" s="187" t="s">
        <v>122</v>
      </c>
      <c r="C343" s="187" t="s">
        <v>143</v>
      </c>
      <c r="D343" s="187" t="s">
        <v>143</v>
      </c>
      <c r="E343" s="187" t="s">
        <v>123</v>
      </c>
      <c r="F343" s="187" t="s">
        <v>141</v>
      </c>
      <c r="G343" s="187">
        <v>327442631</v>
      </c>
      <c r="H343" s="187" t="s">
        <v>150</v>
      </c>
      <c r="I343" s="187" t="s">
        <v>58</v>
      </c>
      <c r="J343" s="187" t="s">
        <v>143</v>
      </c>
      <c r="K343" s="187" t="s">
        <v>171</v>
      </c>
      <c r="L343" s="187">
        <v>0</v>
      </c>
      <c r="M343" s="187">
        <v>0</v>
      </c>
      <c r="N343" s="187">
        <v>0</v>
      </c>
      <c r="O343" s="187">
        <v>0</v>
      </c>
      <c r="P343" s="187">
        <v>15</v>
      </c>
    </row>
    <row r="344" spans="1:16" s="187" customFormat="1" ht="12.75">
      <c r="A344" s="187" t="s">
        <v>68</v>
      </c>
      <c r="B344" s="187" t="s">
        <v>122</v>
      </c>
      <c r="C344" s="187" t="s">
        <v>143</v>
      </c>
      <c r="D344" s="187" t="s">
        <v>143</v>
      </c>
      <c r="E344" s="187" t="s">
        <v>123</v>
      </c>
      <c r="F344" s="187" t="s">
        <v>141</v>
      </c>
      <c r="G344" s="187">
        <v>327442631</v>
      </c>
      <c r="H344" s="187" t="s">
        <v>150</v>
      </c>
      <c r="I344" s="187" t="s">
        <v>58</v>
      </c>
      <c r="J344" s="187" t="s">
        <v>143</v>
      </c>
      <c r="K344" s="187" t="s">
        <v>63</v>
      </c>
      <c r="L344" s="187">
        <v>1</v>
      </c>
      <c r="M344" s="187">
        <v>323.58999999999997</v>
      </c>
      <c r="N344" s="187">
        <v>1</v>
      </c>
      <c r="O344" s="187">
        <v>309.82</v>
      </c>
      <c r="P344" s="187">
        <v>16</v>
      </c>
    </row>
    <row r="345" spans="1:16" s="187" customFormat="1" ht="12.75">
      <c r="A345" s="187" t="s">
        <v>54</v>
      </c>
      <c r="B345" s="187" t="s">
        <v>72</v>
      </c>
      <c r="C345" s="187" t="s">
        <v>143</v>
      </c>
      <c r="D345" s="187" t="s">
        <v>143</v>
      </c>
      <c r="E345" s="187" t="s">
        <v>166</v>
      </c>
      <c r="F345" s="187" t="s">
        <v>144</v>
      </c>
      <c r="G345" s="187">
        <v>340734340</v>
      </c>
      <c r="H345" s="187" t="s">
        <v>152</v>
      </c>
      <c r="I345" s="187" t="s">
        <v>58</v>
      </c>
      <c r="J345" s="187" t="s">
        <v>143</v>
      </c>
      <c r="K345" s="187" t="s">
        <v>67</v>
      </c>
      <c r="L345" s="187">
        <v>0</v>
      </c>
      <c r="M345" s="187">
        <v>0</v>
      </c>
      <c r="N345" s="187">
        <v>0</v>
      </c>
      <c r="O345" s="187">
        <v>0</v>
      </c>
      <c r="P345" s="187">
        <v>1</v>
      </c>
    </row>
    <row r="346" spans="1:16" s="187" customFormat="1" ht="12.75">
      <c r="A346" s="187" t="s">
        <v>54</v>
      </c>
      <c r="B346" s="187" t="s">
        <v>72</v>
      </c>
      <c r="C346" s="187" t="s">
        <v>143</v>
      </c>
      <c r="D346" s="187" t="s">
        <v>143</v>
      </c>
      <c r="E346" s="187" t="s">
        <v>166</v>
      </c>
      <c r="F346" s="187" t="s">
        <v>144</v>
      </c>
      <c r="G346" s="187">
        <v>340734340</v>
      </c>
      <c r="H346" s="187" t="s">
        <v>152</v>
      </c>
      <c r="I346" s="187" t="s">
        <v>58</v>
      </c>
      <c r="J346" s="187" t="s">
        <v>143</v>
      </c>
      <c r="K346" s="187" t="s">
        <v>60</v>
      </c>
      <c r="L346" s="187">
        <v>0</v>
      </c>
      <c r="M346" s="187">
        <v>0</v>
      </c>
      <c r="N346" s="187">
        <v>0</v>
      </c>
      <c r="O346" s="187">
        <v>0</v>
      </c>
      <c r="P346" s="187">
        <v>1</v>
      </c>
    </row>
    <row r="347" spans="1:16" s="187" customFormat="1" ht="12.75">
      <c r="A347" s="187" t="s">
        <v>54</v>
      </c>
      <c r="B347" s="187" t="s">
        <v>72</v>
      </c>
      <c r="C347" s="187" t="s">
        <v>143</v>
      </c>
      <c r="D347" s="187" t="s">
        <v>143</v>
      </c>
      <c r="E347" s="187" t="s">
        <v>166</v>
      </c>
      <c r="F347" s="187" t="s">
        <v>144</v>
      </c>
      <c r="G347" s="187">
        <v>340734340</v>
      </c>
      <c r="H347" s="187" t="s">
        <v>152</v>
      </c>
      <c r="I347" s="187" t="s">
        <v>58</v>
      </c>
      <c r="J347" s="187" t="s">
        <v>143</v>
      </c>
      <c r="K347" s="187" t="s">
        <v>62</v>
      </c>
      <c r="L347" s="187">
        <v>1</v>
      </c>
      <c r="M347" s="187">
        <v>355.51</v>
      </c>
      <c r="N347" s="187">
        <v>0</v>
      </c>
      <c r="O347" s="187">
        <v>0</v>
      </c>
      <c r="P347" s="187">
        <v>0</v>
      </c>
    </row>
    <row r="348" spans="1:16" s="187" customFormat="1" ht="12.75">
      <c r="A348" s="187" t="s">
        <v>54</v>
      </c>
      <c r="B348" s="187" t="s">
        <v>72</v>
      </c>
      <c r="C348" s="187" t="s">
        <v>143</v>
      </c>
      <c r="D348" s="187" t="s">
        <v>143</v>
      </c>
      <c r="E348" s="187" t="s">
        <v>166</v>
      </c>
      <c r="F348" s="187" t="s">
        <v>144</v>
      </c>
      <c r="G348" s="187">
        <v>340734340</v>
      </c>
      <c r="H348" s="187" t="s">
        <v>152</v>
      </c>
      <c r="I348" s="187" t="s">
        <v>58</v>
      </c>
      <c r="J348" s="187" t="s">
        <v>143</v>
      </c>
      <c r="K348" s="187" t="s">
        <v>64</v>
      </c>
      <c r="L348" s="187">
        <v>0</v>
      </c>
      <c r="M348" s="187">
        <v>0</v>
      </c>
      <c r="N348" s="187">
        <v>1</v>
      </c>
      <c r="O348" s="187">
        <v>201.63</v>
      </c>
      <c r="P348" s="187">
        <v>0</v>
      </c>
    </row>
    <row r="349" spans="1:16" s="187" customFormat="1" ht="12.75">
      <c r="A349" s="187" t="s">
        <v>54</v>
      </c>
      <c r="B349" s="187" t="s">
        <v>72</v>
      </c>
      <c r="C349" s="187" t="s">
        <v>143</v>
      </c>
      <c r="D349" s="187" t="s">
        <v>143</v>
      </c>
      <c r="E349" s="187" t="s">
        <v>166</v>
      </c>
      <c r="F349" s="187" t="s">
        <v>144</v>
      </c>
      <c r="G349" s="187">
        <v>340734340</v>
      </c>
      <c r="H349" s="187" t="s">
        <v>152</v>
      </c>
      <c r="I349" s="187" t="s">
        <v>58</v>
      </c>
      <c r="J349" s="187" t="s">
        <v>143</v>
      </c>
      <c r="K349" s="187" t="s">
        <v>59</v>
      </c>
      <c r="L349" s="187">
        <v>1</v>
      </c>
      <c r="M349" s="187">
        <v>215.77</v>
      </c>
      <c r="N349" s="187">
        <v>2</v>
      </c>
      <c r="O349" s="187">
        <v>410.56</v>
      </c>
      <c r="P349" s="187">
        <v>0</v>
      </c>
    </row>
    <row r="350" spans="1:16" s="187" customFormat="1" ht="12.75">
      <c r="A350" s="187" t="s">
        <v>54</v>
      </c>
      <c r="B350" s="187" t="s">
        <v>72</v>
      </c>
      <c r="C350" s="187" t="s">
        <v>143</v>
      </c>
      <c r="D350" s="187" t="s">
        <v>143</v>
      </c>
      <c r="E350" s="187" t="s">
        <v>166</v>
      </c>
      <c r="F350" s="187" t="s">
        <v>144</v>
      </c>
      <c r="G350" s="187">
        <v>340734340</v>
      </c>
      <c r="H350" s="187" t="s">
        <v>152</v>
      </c>
      <c r="I350" s="187" t="s">
        <v>58</v>
      </c>
      <c r="J350" s="187" t="s">
        <v>143</v>
      </c>
      <c r="K350" s="187" t="s">
        <v>430</v>
      </c>
      <c r="L350" s="187">
        <v>7</v>
      </c>
      <c r="M350" s="187">
        <v>2046.07</v>
      </c>
      <c r="N350" s="187">
        <v>6</v>
      </c>
      <c r="O350" s="187">
        <v>1556.42</v>
      </c>
      <c r="P350" s="187">
        <v>3</v>
      </c>
    </row>
    <row r="351" spans="1:16" s="187" customFormat="1" ht="12.75">
      <c r="A351" s="187" t="s">
        <v>54</v>
      </c>
      <c r="B351" s="187" t="s">
        <v>72</v>
      </c>
      <c r="C351" s="187" t="s">
        <v>143</v>
      </c>
      <c r="D351" s="187" t="s">
        <v>143</v>
      </c>
      <c r="E351" s="187" t="s">
        <v>151</v>
      </c>
      <c r="F351" s="187" t="s">
        <v>145</v>
      </c>
      <c r="G351" s="187">
        <v>340741532</v>
      </c>
      <c r="H351" s="187" t="s">
        <v>153</v>
      </c>
      <c r="I351" s="187" t="s">
        <v>58</v>
      </c>
      <c r="J351" s="187" t="s">
        <v>143</v>
      </c>
      <c r="K351" s="187" t="s">
        <v>67</v>
      </c>
      <c r="L351" s="187">
        <v>0</v>
      </c>
      <c r="M351" s="187">
        <v>0</v>
      </c>
      <c r="N351" s="187">
        <v>0</v>
      </c>
      <c r="O351" s="187">
        <v>0</v>
      </c>
      <c r="P351" s="187">
        <v>6</v>
      </c>
    </row>
    <row r="352" spans="1:16" s="187" customFormat="1" ht="12.75">
      <c r="A352" s="187" t="s">
        <v>54</v>
      </c>
      <c r="B352" s="187" t="s">
        <v>72</v>
      </c>
      <c r="C352" s="187" t="s">
        <v>143</v>
      </c>
      <c r="D352" s="187" t="s">
        <v>143</v>
      </c>
      <c r="E352" s="187" t="s">
        <v>151</v>
      </c>
      <c r="F352" s="187" t="s">
        <v>145</v>
      </c>
      <c r="G352" s="187">
        <v>340741532</v>
      </c>
      <c r="H352" s="187" t="s">
        <v>153</v>
      </c>
      <c r="I352" s="187" t="s">
        <v>58</v>
      </c>
      <c r="J352" s="187" t="s">
        <v>143</v>
      </c>
      <c r="K352" s="187" t="s">
        <v>62</v>
      </c>
      <c r="L352" s="187">
        <v>1</v>
      </c>
      <c r="M352" s="187">
        <v>215.77</v>
      </c>
      <c r="N352" s="187">
        <v>1</v>
      </c>
      <c r="O352" s="187">
        <v>203.14</v>
      </c>
      <c r="P352" s="187">
        <v>23</v>
      </c>
    </row>
    <row r="353" spans="1:16" s="187" customFormat="1" ht="12.75">
      <c r="A353" s="187" t="s">
        <v>54</v>
      </c>
      <c r="B353" s="187" t="s">
        <v>72</v>
      </c>
      <c r="C353" s="187" t="s">
        <v>143</v>
      </c>
      <c r="D353" s="187" t="s">
        <v>143</v>
      </c>
      <c r="E353" s="187" t="s">
        <v>151</v>
      </c>
      <c r="F353" s="187" t="s">
        <v>145</v>
      </c>
      <c r="G353" s="187">
        <v>340741532</v>
      </c>
      <c r="H353" s="187" t="s">
        <v>153</v>
      </c>
      <c r="I353" s="187" t="s">
        <v>58</v>
      </c>
      <c r="J353" s="187" t="s">
        <v>143</v>
      </c>
      <c r="K353" s="187" t="s">
        <v>89</v>
      </c>
      <c r="L353" s="187">
        <v>0</v>
      </c>
      <c r="M353" s="187">
        <v>0</v>
      </c>
      <c r="N353" s="187">
        <v>1</v>
      </c>
      <c r="O353" s="187">
        <v>160.16</v>
      </c>
      <c r="P353" s="187">
        <v>0</v>
      </c>
    </row>
    <row r="354" spans="1:16" s="187" customFormat="1" ht="12.75">
      <c r="A354" s="187" t="s">
        <v>54</v>
      </c>
      <c r="B354" s="187" t="s">
        <v>72</v>
      </c>
      <c r="C354" s="187" t="s">
        <v>143</v>
      </c>
      <c r="D354" s="187" t="s">
        <v>143</v>
      </c>
      <c r="E354" s="187" t="s">
        <v>151</v>
      </c>
      <c r="F354" s="187" t="s">
        <v>145</v>
      </c>
      <c r="G354" s="187">
        <v>340741532</v>
      </c>
      <c r="H354" s="187" t="s">
        <v>153</v>
      </c>
      <c r="I354" s="187" t="s">
        <v>58</v>
      </c>
      <c r="J354" s="187" t="s">
        <v>143</v>
      </c>
      <c r="K354" s="187" t="s">
        <v>63</v>
      </c>
      <c r="L354" s="187">
        <v>1</v>
      </c>
      <c r="M354" s="187">
        <v>314.41000000000003</v>
      </c>
      <c r="N354" s="187">
        <v>1</v>
      </c>
      <c r="O354" s="187">
        <v>299.05</v>
      </c>
      <c r="P354" s="187">
        <v>12</v>
      </c>
    </row>
    <row r="355" spans="1:16" s="187" customFormat="1" ht="12.75">
      <c r="A355" s="187" t="s">
        <v>54</v>
      </c>
      <c r="B355" s="187" t="s">
        <v>72</v>
      </c>
      <c r="C355" s="187" t="s">
        <v>143</v>
      </c>
      <c r="D355" s="187" t="s">
        <v>143</v>
      </c>
      <c r="E355" s="187" t="s">
        <v>151</v>
      </c>
      <c r="F355" s="187" t="s">
        <v>145</v>
      </c>
      <c r="G355" s="187">
        <v>340741532</v>
      </c>
      <c r="H355" s="187" t="s">
        <v>153</v>
      </c>
      <c r="I355" s="187" t="s">
        <v>58</v>
      </c>
      <c r="J355" s="187" t="s">
        <v>143</v>
      </c>
      <c r="K355" s="187" t="s">
        <v>64</v>
      </c>
      <c r="L355" s="187">
        <v>0</v>
      </c>
      <c r="M355" s="187">
        <v>0</v>
      </c>
      <c r="N355" s="187">
        <v>0</v>
      </c>
      <c r="O355" s="187">
        <v>0</v>
      </c>
      <c r="P355" s="187">
        <v>1</v>
      </c>
    </row>
    <row r="356" spans="1:16" s="187" customFormat="1" ht="12.75">
      <c r="A356" s="187" t="s">
        <v>54</v>
      </c>
      <c r="B356" s="187" t="s">
        <v>72</v>
      </c>
      <c r="C356" s="187" t="s">
        <v>143</v>
      </c>
      <c r="D356" s="187" t="s">
        <v>143</v>
      </c>
      <c r="E356" s="187" t="s">
        <v>151</v>
      </c>
      <c r="F356" s="187" t="s">
        <v>145</v>
      </c>
      <c r="G356" s="187">
        <v>340741532</v>
      </c>
      <c r="H356" s="187" t="s">
        <v>153</v>
      </c>
      <c r="I356" s="187" t="s">
        <v>58</v>
      </c>
      <c r="J356" s="187" t="s">
        <v>143</v>
      </c>
      <c r="K356" s="187" t="s">
        <v>60</v>
      </c>
      <c r="L356" s="187">
        <v>0</v>
      </c>
      <c r="M356" s="187">
        <v>0</v>
      </c>
      <c r="N356" s="187">
        <v>0</v>
      </c>
      <c r="O356" s="187">
        <v>0</v>
      </c>
      <c r="P356" s="187">
        <v>8</v>
      </c>
    </row>
    <row r="357" spans="1:16" s="187" customFormat="1" ht="12.75">
      <c r="A357" s="187" t="s">
        <v>54</v>
      </c>
      <c r="B357" s="187" t="s">
        <v>72</v>
      </c>
      <c r="C357" s="187" t="s">
        <v>143</v>
      </c>
      <c r="D357" s="187" t="s">
        <v>143</v>
      </c>
      <c r="E357" s="187" t="s">
        <v>151</v>
      </c>
      <c r="F357" s="187" t="s">
        <v>145</v>
      </c>
      <c r="G357" s="187">
        <v>340741532</v>
      </c>
      <c r="H357" s="187" t="s">
        <v>153</v>
      </c>
      <c r="I357" s="187" t="s">
        <v>58</v>
      </c>
      <c r="J357" s="187" t="s">
        <v>143</v>
      </c>
      <c r="K357" s="187" t="s">
        <v>59</v>
      </c>
      <c r="L357" s="187">
        <v>1</v>
      </c>
      <c r="M357" s="187">
        <v>257.56</v>
      </c>
      <c r="N357" s="187">
        <v>3</v>
      </c>
      <c r="O357" s="187">
        <v>577.46</v>
      </c>
      <c r="P357" s="187">
        <v>0</v>
      </c>
    </row>
    <row r="358" spans="1:16" s="187" customFormat="1" ht="12.75">
      <c r="A358" s="187" t="s">
        <v>54</v>
      </c>
      <c r="B358" s="187" t="s">
        <v>72</v>
      </c>
      <c r="C358" s="187" t="s">
        <v>143</v>
      </c>
      <c r="D358" s="187" t="s">
        <v>143</v>
      </c>
      <c r="E358" s="187" t="s">
        <v>151</v>
      </c>
      <c r="F358" s="187" t="s">
        <v>145</v>
      </c>
      <c r="G358" s="187">
        <v>340741532</v>
      </c>
      <c r="H358" s="187" t="s">
        <v>153</v>
      </c>
      <c r="I358" s="187" t="s">
        <v>58</v>
      </c>
      <c r="J358" s="187" t="s">
        <v>143</v>
      </c>
      <c r="K358" s="187" t="s">
        <v>430</v>
      </c>
      <c r="L358" s="187">
        <v>0</v>
      </c>
      <c r="M358" s="187">
        <v>0</v>
      </c>
      <c r="N358" s="187">
        <v>0</v>
      </c>
      <c r="O358" s="187">
        <v>0</v>
      </c>
      <c r="P358" s="187">
        <v>11</v>
      </c>
    </row>
    <row r="359" spans="1:16" s="187" customFormat="1" ht="12.75">
      <c r="A359" s="187" t="s">
        <v>54</v>
      </c>
      <c r="B359" s="187" t="s">
        <v>72</v>
      </c>
      <c r="C359" s="187" t="s">
        <v>143</v>
      </c>
      <c r="D359" s="187" t="s">
        <v>143</v>
      </c>
      <c r="E359" s="187" t="s">
        <v>151</v>
      </c>
      <c r="F359" s="187" t="s">
        <v>145</v>
      </c>
      <c r="G359" s="187">
        <v>340741532</v>
      </c>
      <c r="H359" s="187" t="s">
        <v>153</v>
      </c>
      <c r="I359" s="187" t="s">
        <v>58</v>
      </c>
      <c r="J359" s="187" t="s">
        <v>143</v>
      </c>
      <c r="K359" s="187" t="s">
        <v>61</v>
      </c>
      <c r="L359" s="187">
        <v>3</v>
      </c>
      <c r="M359" s="187">
        <v>701.43</v>
      </c>
      <c r="N359" s="187">
        <v>2</v>
      </c>
      <c r="O359" s="187">
        <v>467.75</v>
      </c>
      <c r="P359" s="187">
        <v>0</v>
      </c>
    </row>
    <row r="360" spans="1:16" s="187" customFormat="1" ht="12.75">
      <c r="A360" s="187" t="s">
        <v>54</v>
      </c>
      <c r="B360" s="187" t="s">
        <v>72</v>
      </c>
      <c r="C360" s="187" t="s">
        <v>143</v>
      </c>
      <c r="D360" s="187" t="s">
        <v>143</v>
      </c>
      <c r="E360" s="187" t="s">
        <v>151</v>
      </c>
      <c r="F360" s="187" t="s">
        <v>146</v>
      </c>
      <c r="G360" s="187">
        <v>340743352</v>
      </c>
      <c r="H360" s="187" t="s">
        <v>154</v>
      </c>
      <c r="I360" s="187" t="s">
        <v>58</v>
      </c>
      <c r="J360" s="187" t="s">
        <v>143</v>
      </c>
      <c r="K360" s="187" t="s">
        <v>430</v>
      </c>
      <c r="L360" s="187">
        <v>0</v>
      </c>
      <c r="M360" s="187">
        <v>0</v>
      </c>
      <c r="N360" s="187">
        <v>0</v>
      </c>
      <c r="O360" s="187">
        <v>0</v>
      </c>
      <c r="P360" s="187">
        <v>11</v>
      </c>
    </row>
    <row r="361" spans="1:16" s="187" customFormat="1" ht="12.75">
      <c r="A361" s="187" t="s">
        <v>54</v>
      </c>
      <c r="B361" s="187" t="s">
        <v>72</v>
      </c>
      <c r="C361" s="187" t="s">
        <v>143</v>
      </c>
      <c r="D361" s="187" t="s">
        <v>143</v>
      </c>
      <c r="E361" s="187" t="s">
        <v>151</v>
      </c>
      <c r="F361" s="187" t="s">
        <v>146</v>
      </c>
      <c r="G361" s="187">
        <v>340743352</v>
      </c>
      <c r="H361" s="187" t="s">
        <v>154</v>
      </c>
      <c r="I361" s="187" t="s">
        <v>58</v>
      </c>
      <c r="J361" s="187" t="s">
        <v>143</v>
      </c>
      <c r="K361" s="187" t="s">
        <v>61</v>
      </c>
      <c r="L361" s="187">
        <v>1</v>
      </c>
      <c r="M361" s="187">
        <v>224.68</v>
      </c>
      <c r="N361" s="187">
        <v>0</v>
      </c>
      <c r="O361" s="187">
        <v>0</v>
      </c>
      <c r="P361" s="187">
        <v>0</v>
      </c>
    </row>
    <row r="362" spans="1:16" s="187" customFormat="1" ht="12.75">
      <c r="A362" s="187" t="s">
        <v>54</v>
      </c>
      <c r="B362" s="187" t="s">
        <v>72</v>
      </c>
      <c r="C362" s="187" t="s">
        <v>143</v>
      </c>
      <c r="D362" s="187" t="s">
        <v>143</v>
      </c>
      <c r="E362" s="187" t="s">
        <v>151</v>
      </c>
      <c r="F362" s="187" t="s">
        <v>146</v>
      </c>
      <c r="G362" s="187">
        <v>340743352</v>
      </c>
      <c r="H362" s="187" t="s">
        <v>154</v>
      </c>
      <c r="I362" s="187" t="s">
        <v>58</v>
      </c>
      <c r="J362" s="187" t="s">
        <v>143</v>
      </c>
      <c r="K362" s="187" t="s">
        <v>60</v>
      </c>
      <c r="L362" s="187">
        <v>2</v>
      </c>
      <c r="M362" s="187">
        <v>583.61</v>
      </c>
      <c r="N362" s="187">
        <v>1</v>
      </c>
      <c r="O362" s="187">
        <v>216.97</v>
      </c>
      <c r="P362" s="187">
        <v>2</v>
      </c>
    </row>
    <row r="363" spans="1:16" s="187" customFormat="1" ht="12.75">
      <c r="A363" s="187" t="s">
        <v>54</v>
      </c>
      <c r="B363" s="187" t="s">
        <v>72</v>
      </c>
      <c r="C363" s="187" t="s">
        <v>143</v>
      </c>
      <c r="D363" s="187" t="s">
        <v>143</v>
      </c>
      <c r="E363" s="187" t="s">
        <v>151</v>
      </c>
      <c r="F363" s="187" t="s">
        <v>146</v>
      </c>
      <c r="G363" s="187">
        <v>340743352</v>
      </c>
      <c r="H363" s="187" t="s">
        <v>154</v>
      </c>
      <c r="I363" s="187" t="s">
        <v>58</v>
      </c>
      <c r="J363" s="187" t="s">
        <v>143</v>
      </c>
      <c r="K363" s="187" t="s">
        <v>89</v>
      </c>
      <c r="L363" s="187">
        <v>0</v>
      </c>
      <c r="M363" s="187">
        <v>0</v>
      </c>
      <c r="N363" s="187">
        <v>0</v>
      </c>
      <c r="O363" s="187">
        <v>0</v>
      </c>
      <c r="P363" s="187">
        <v>1</v>
      </c>
    </row>
    <row r="364" spans="1:16" s="187" customFormat="1" ht="12.75">
      <c r="A364" s="187" t="s">
        <v>54</v>
      </c>
      <c r="B364" s="187" t="s">
        <v>72</v>
      </c>
      <c r="C364" s="187" t="s">
        <v>143</v>
      </c>
      <c r="D364" s="187" t="s">
        <v>143</v>
      </c>
      <c r="E364" s="187" t="s">
        <v>151</v>
      </c>
      <c r="F364" s="187" t="s">
        <v>146</v>
      </c>
      <c r="G364" s="187">
        <v>340743352</v>
      </c>
      <c r="H364" s="187" t="s">
        <v>154</v>
      </c>
      <c r="I364" s="187" t="s">
        <v>58</v>
      </c>
      <c r="J364" s="187" t="s">
        <v>143</v>
      </c>
      <c r="K364" s="187" t="s">
        <v>63</v>
      </c>
      <c r="L364" s="187">
        <v>2</v>
      </c>
      <c r="M364" s="187">
        <v>537.72</v>
      </c>
      <c r="N364" s="187">
        <v>0</v>
      </c>
      <c r="O364" s="187">
        <v>-45.68</v>
      </c>
      <c r="P364" s="187">
        <v>7</v>
      </c>
    </row>
    <row r="365" spans="1:16" s="187" customFormat="1" ht="12.75">
      <c r="A365" s="187" t="s">
        <v>54</v>
      </c>
      <c r="B365" s="187" t="s">
        <v>72</v>
      </c>
      <c r="C365" s="187" t="s">
        <v>143</v>
      </c>
      <c r="D365" s="187" t="s">
        <v>143</v>
      </c>
      <c r="E365" s="187" t="s">
        <v>151</v>
      </c>
      <c r="F365" s="187" t="s">
        <v>146</v>
      </c>
      <c r="G365" s="187">
        <v>340743352</v>
      </c>
      <c r="H365" s="187" t="s">
        <v>154</v>
      </c>
      <c r="I365" s="187" t="s">
        <v>58</v>
      </c>
      <c r="J365" s="187" t="s">
        <v>143</v>
      </c>
      <c r="K365" s="187" t="s">
        <v>443</v>
      </c>
      <c r="L365" s="187">
        <v>2</v>
      </c>
      <c r="M365" s="187">
        <v>580.19000000000005</v>
      </c>
      <c r="N365" s="187">
        <v>3</v>
      </c>
      <c r="O365" s="187">
        <v>724.58</v>
      </c>
      <c r="P365" s="187">
        <v>0</v>
      </c>
    </row>
    <row r="366" spans="1:16" s="187" customFormat="1" ht="12.75">
      <c r="A366" s="187" t="s">
        <v>54</v>
      </c>
      <c r="B366" s="187" t="s">
        <v>72</v>
      </c>
      <c r="C366" s="187" t="s">
        <v>143</v>
      </c>
      <c r="D366" s="187" t="s">
        <v>143</v>
      </c>
      <c r="E366" s="187" t="s">
        <v>151</v>
      </c>
      <c r="F366" s="187" t="s">
        <v>146</v>
      </c>
      <c r="G366" s="187">
        <v>340743352</v>
      </c>
      <c r="H366" s="187" t="s">
        <v>154</v>
      </c>
      <c r="I366" s="187" t="s">
        <v>58</v>
      </c>
      <c r="J366" s="187" t="s">
        <v>143</v>
      </c>
      <c r="K366" s="187" t="s">
        <v>67</v>
      </c>
      <c r="L366" s="187">
        <v>2</v>
      </c>
      <c r="M366" s="187">
        <v>665.81</v>
      </c>
      <c r="N366" s="187">
        <v>2</v>
      </c>
      <c r="O366" s="187">
        <v>637.99</v>
      </c>
      <c r="P366" s="187">
        <v>0</v>
      </c>
    </row>
    <row r="367" spans="1:16" s="187" customFormat="1" ht="12.75">
      <c r="A367" s="187" t="s">
        <v>54</v>
      </c>
      <c r="B367" s="187" t="s">
        <v>72</v>
      </c>
      <c r="C367" s="187" t="s">
        <v>143</v>
      </c>
      <c r="D367" s="187" t="s">
        <v>143</v>
      </c>
      <c r="E367" s="187" t="s">
        <v>151</v>
      </c>
      <c r="F367" s="187" t="s">
        <v>146</v>
      </c>
      <c r="G367" s="187">
        <v>340743352</v>
      </c>
      <c r="H367" s="187" t="s">
        <v>154</v>
      </c>
      <c r="I367" s="187" t="s">
        <v>58</v>
      </c>
      <c r="J367" s="187" t="s">
        <v>143</v>
      </c>
      <c r="K367" s="187" t="s">
        <v>59</v>
      </c>
      <c r="L367" s="187">
        <v>2</v>
      </c>
      <c r="M367" s="187">
        <v>456.89</v>
      </c>
      <c r="N367" s="187">
        <v>2</v>
      </c>
      <c r="O367" s="187">
        <v>398.59</v>
      </c>
      <c r="P367" s="187">
        <v>0</v>
      </c>
    </row>
    <row r="368" spans="1:16" s="187" customFormat="1" ht="12.75">
      <c r="A368" s="187" t="s">
        <v>54</v>
      </c>
      <c r="B368" s="187" t="s">
        <v>72</v>
      </c>
      <c r="C368" s="187" t="s">
        <v>143</v>
      </c>
      <c r="D368" s="187" t="s">
        <v>143</v>
      </c>
      <c r="E368" s="187" t="s">
        <v>151</v>
      </c>
      <c r="F368" s="187" t="s">
        <v>146</v>
      </c>
      <c r="G368" s="187">
        <v>340743352</v>
      </c>
      <c r="H368" s="187" t="s">
        <v>154</v>
      </c>
      <c r="I368" s="187" t="s">
        <v>58</v>
      </c>
      <c r="J368" s="187" t="s">
        <v>143</v>
      </c>
      <c r="K368" s="187" t="s">
        <v>138</v>
      </c>
      <c r="L368" s="187">
        <v>1</v>
      </c>
      <c r="M368" s="187">
        <v>314.41000000000003</v>
      </c>
      <c r="N368" s="187">
        <v>1</v>
      </c>
      <c r="O368" s="187">
        <v>302.38</v>
      </c>
      <c r="P368" s="187">
        <v>0</v>
      </c>
    </row>
    <row r="369" spans="1:16" s="187" customFormat="1" ht="12.75">
      <c r="A369" s="187" t="s">
        <v>54</v>
      </c>
      <c r="B369" s="187" t="s">
        <v>72</v>
      </c>
      <c r="C369" s="187" t="s">
        <v>143</v>
      </c>
      <c r="D369" s="187" t="s">
        <v>143</v>
      </c>
      <c r="E369" s="187" t="s">
        <v>151</v>
      </c>
      <c r="F369" s="187" t="s">
        <v>146</v>
      </c>
      <c r="G369" s="187">
        <v>340743352</v>
      </c>
      <c r="H369" s="187" t="s">
        <v>154</v>
      </c>
      <c r="I369" s="187" t="s">
        <v>58</v>
      </c>
      <c r="J369" s="187" t="s">
        <v>143</v>
      </c>
      <c r="K369" s="187" t="s">
        <v>62</v>
      </c>
      <c r="L369" s="187">
        <v>1</v>
      </c>
      <c r="M369" s="187">
        <v>182.21</v>
      </c>
      <c r="N369" s="187">
        <v>1</v>
      </c>
      <c r="O369" s="187">
        <v>170.23</v>
      </c>
      <c r="P369" s="187">
        <v>10</v>
      </c>
    </row>
    <row r="370" spans="1:16" s="187" customFormat="1" ht="12.75">
      <c r="A370" s="187" t="s">
        <v>54</v>
      </c>
      <c r="B370" s="187" t="s">
        <v>72</v>
      </c>
      <c r="C370" s="187" t="s">
        <v>143</v>
      </c>
      <c r="D370" s="187" t="s">
        <v>143</v>
      </c>
      <c r="E370" s="187" t="s">
        <v>151</v>
      </c>
      <c r="F370" s="187" t="s">
        <v>147</v>
      </c>
      <c r="G370" s="187">
        <v>340743911</v>
      </c>
      <c r="H370" s="187" t="s">
        <v>155</v>
      </c>
      <c r="I370" s="187" t="s">
        <v>58</v>
      </c>
      <c r="J370" s="187" t="s">
        <v>143</v>
      </c>
      <c r="K370" s="187" t="s">
        <v>62</v>
      </c>
      <c r="L370" s="187">
        <v>5</v>
      </c>
      <c r="M370" s="187">
        <v>767.2</v>
      </c>
      <c r="N370" s="187">
        <v>7</v>
      </c>
      <c r="O370" s="187">
        <v>1035.4100000000001</v>
      </c>
      <c r="P370" s="187">
        <v>0</v>
      </c>
    </row>
    <row r="371" spans="1:16" s="187" customFormat="1" ht="12.75">
      <c r="A371" s="187" t="s">
        <v>54</v>
      </c>
      <c r="B371" s="187" t="s">
        <v>72</v>
      </c>
      <c r="C371" s="187" t="s">
        <v>143</v>
      </c>
      <c r="D371" s="187" t="s">
        <v>143</v>
      </c>
      <c r="E371" s="187" t="s">
        <v>151</v>
      </c>
      <c r="F371" s="187" t="s">
        <v>147</v>
      </c>
      <c r="G371" s="187">
        <v>340743911</v>
      </c>
      <c r="H371" s="187" t="s">
        <v>155</v>
      </c>
      <c r="I371" s="187" t="s">
        <v>58</v>
      </c>
      <c r="J371" s="187" t="s">
        <v>143</v>
      </c>
      <c r="K371" s="187" t="s">
        <v>67</v>
      </c>
      <c r="L371" s="187">
        <v>2</v>
      </c>
      <c r="M371" s="187">
        <v>467.85</v>
      </c>
      <c r="N371" s="187">
        <v>2</v>
      </c>
      <c r="O371" s="187">
        <v>289.58999999999997</v>
      </c>
      <c r="P371" s="187">
        <v>0</v>
      </c>
    </row>
    <row r="372" spans="1:16" s="187" customFormat="1" ht="12.75">
      <c r="A372" s="187" t="s">
        <v>54</v>
      </c>
      <c r="B372" s="187" t="s">
        <v>72</v>
      </c>
      <c r="C372" s="187" t="s">
        <v>143</v>
      </c>
      <c r="D372" s="187" t="s">
        <v>143</v>
      </c>
      <c r="E372" s="187" t="s">
        <v>151</v>
      </c>
      <c r="F372" s="187" t="s">
        <v>147</v>
      </c>
      <c r="G372" s="187">
        <v>340743911</v>
      </c>
      <c r="H372" s="187" t="s">
        <v>155</v>
      </c>
      <c r="I372" s="187" t="s">
        <v>58</v>
      </c>
      <c r="J372" s="187" t="s">
        <v>143</v>
      </c>
      <c r="K372" s="187" t="s">
        <v>467</v>
      </c>
      <c r="L372" s="187">
        <v>1</v>
      </c>
      <c r="M372" s="187">
        <v>211.66</v>
      </c>
      <c r="N372" s="187">
        <v>1</v>
      </c>
      <c r="O372" s="187">
        <v>203.63</v>
      </c>
      <c r="P372" s="187">
        <v>0</v>
      </c>
    </row>
    <row r="373" spans="1:16" s="187" customFormat="1" ht="12.75">
      <c r="A373" s="187" t="s">
        <v>54</v>
      </c>
      <c r="B373" s="187" t="s">
        <v>72</v>
      </c>
      <c r="C373" s="187" t="s">
        <v>143</v>
      </c>
      <c r="D373" s="187" t="s">
        <v>143</v>
      </c>
      <c r="E373" s="187" t="s">
        <v>151</v>
      </c>
      <c r="F373" s="187" t="s">
        <v>147</v>
      </c>
      <c r="G373" s="187">
        <v>340743911</v>
      </c>
      <c r="H373" s="187" t="s">
        <v>155</v>
      </c>
      <c r="I373" s="187" t="s">
        <v>58</v>
      </c>
      <c r="J373" s="187" t="s">
        <v>143</v>
      </c>
      <c r="K373" s="187" t="s">
        <v>163</v>
      </c>
      <c r="L373" s="187">
        <v>0</v>
      </c>
      <c r="M373" s="187">
        <v>0</v>
      </c>
      <c r="N373" s="187">
        <v>0</v>
      </c>
      <c r="O373" s="187">
        <v>0</v>
      </c>
      <c r="P373" s="187">
        <v>2</v>
      </c>
    </row>
    <row r="374" spans="1:16" s="187" customFormat="1" ht="12.75">
      <c r="A374" s="187" t="s">
        <v>54</v>
      </c>
      <c r="B374" s="187" t="s">
        <v>72</v>
      </c>
      <c r="C374" s="187" t="s">
        <v>143</v>
      </c>
      <c r="D374" s="187" t="s">
        <v>143</v>
      </c>
      <c r="E374" s="187" t="s">
        <v>151</v>
      </c>
      <c r="F374" s="187" t="s">
        <v>147</v>
      </c>
      <c r="G374" s="187">
        <v>340743911</v>
      </c>
      <c r="H374" s="187" t="s">
        <v>155</v>
      </c>
      <c r="I374" s="187" t="s">
        <v>58</v>
      </c>
      <c r="J374" s="187" t="s">
        <v>143</v>
      </c>
      <c r="K374" s="187" t="s">
        <v>430</v>
      </c>
      <c r="L374" s="187">
        <v>2</v>
      </c>
      <c r="M374" s="187">
        <v>567.16999999999996</v>
      </c>
      <c r="N374" s="187">
        <v>2</v>
      </c>
      <c r="O374" s="187">
        <v>488.04</v>
      </c>
      <c r="P374" s="187">
        <v>8</v>
      </c>
    </row>
    <row r="375" spans="1:16" s="187" customFormat="1" ht="12.75">
      <c r="A375" s="187" t="s">
        <v>54</v>
      </c>
      <c r="B375" s="187" t="s">
        <v>72</v>
      </c>
      <c r="C375" s="187" t="s">
        <v>143</v>
      </c>
      <c r="D375" s="187" t="s">
        <v>143</v>
      </c>
      <c r="E375" s="187" t="s">
        <v>151</v>
      </c>
      <c r="F375" s="187" t="s">
        <v>147</v>
      </c>
      <c r="G375" s="187">
        <v>340743911</v>
      </c>
      <c r="H375" s="187" t="s">
        <v>155</v>
      </c>
      <c r="I375" s="187" t="s">
        <v>58</v>
      </c>
      <c r="J375" s="187" t="s">
        <v>143</v>
      </c>
      <c r="K375" s="187" t="s">
        <v>60</v>
      </c>
      <c r="L375" s="187">
        <v>0</v>
      </c>
      <c r="M375" s="187">
        <v>0</v>
      </c>
      <c r="N375" s="187">
        <v>0</v>
      </c>
      <c r="O375" s="187">
        <v>0</v>
      </c>
      <c r="P375" s="187">
        <v>1</v>
      </c>
    </row>
    <row r="376" spans="1:16" s="187" customFormat="1" ht="12.75">
      <c r="A376" s="187" t="s">
        <v>54</v>
      </c>
      <c r="B376" s="187" t="s">
        <v>72</v>
      </c>
      <c r="C376" s="187" t="s">
        <v>143</v>
      </c>
      <c r="D376" s="187" t="s">
        <v>143</v>
      </c>
      <c r="E376" s="187" t="s">
        <v>151</v>
      </c>
      <c r="F376" s="187" t="s">
        <v>147</v>
      </c>
      <c r="G376" s="187">
        <v>340743911</v>
      </c>
      <c r="H376" s="187" t="s">
        <v>155</v>
      </c>
      <c r="I376" s="187" t="s">
        <v>58</v>
      </c>
      <c r="J376" s="187" t="s">
        <v>143</v>
      </c>
      <c r="K376" s="187" t="s">
        <v>63</v>
      </c>
      <c r="L376" s="187">
        <v>0</v>
      </c>
      <c r="M376" s="187">
        <v>0</v>
      </c>
      <c r="N376" s="187">
        <v>0</v>
      </c>
      <c r="O376" s="187">
        <v>0</v>
      </c>
      <c r="P376" s="187">
        <v>2</v>
      </c>
    </row>
    <row r="377" spans="1:16" s="187" customFormat="1" ht="12.75">
      <c r="A377" s="187" t="s">
        <v>54</v>
      </c>
      <c r="B377" s="187" t="s">
        <v>72</v>
      </c>
      <c r="C377" s="187" t="s">
        <v>143</v>
      </c>
      <c r="D377" s="187" t="s">
        <v>143</v>
      </c>
      <c r="E377" s="187" t="s">
        <v>151</v>
      </c>
      <c r="F377" s="187" t="s">
        <v>147</v>
      </c>
      <c r="G377" s="187">
        <v>340743911</v>
      </c>
      <c r="H377" s="187" t="s">
        <v>155</v>
      </c>
      <c r="I377" s="187" t="s">
        <v>58</v>
      </c>
      <c r="J377" s="187" t="s">
        <v>143</v>
      </c>
      <c r="K377" s="187" t="s">
        <v>171</v>
      </c>
      <c r="L377" s="187">
        <v>0</v>
      </c>
      <c r="M377" s="187">
        <v>0</v>
      </c>
      <c r="N377" s="187">
        <v>2</v>
      </c>
      <c r="O377" s="187">
        <v>295.2</v>
      </c>
      <c r="P377" s="187">
        <v>0</v>
      </c>
    </row>
    <row r="378" spans="1:16" s="187" customFormat="1" ht="12.75">
      <c r="A378" s="187" t="s">
        <v>54</v>
      </c>
      <c r="B378" s="187" t="s">
        <v>72</v>
      </c>
      <c r="C378" s="187" t="s">
        <v>143</v>
      </c>
      <c r="D378" s="187" t="s">
        <v>143</v>
      </c>
      <c r="E378" s="187" t="s">
        <v>151</v>
      </c>
      <c r="F378" s="187" t="s">
        <v>147</v>
      </c>
      <c r="G378" s="187">
        <v>340743911</v>
      </c>
      <c r="H378" s="187" t="s">
        <v>155</v>
      </c>
      <c r="I378" s="187" t="s">
        <v>58</v>
      </c>
      <c r="J378" s="187" t="s">
        <v>143</v>
      </c>
      <c r="K378" s="187" t="s">
        <v>61</v>
      </c>
      <c r="L378" s="187">
        <v>0</v>
      </c>
      <c r="M378" s="187">
        <v>0</v>
      </c>
      <c r="N378" s="187">
        <v>1</v>
      </c>
      <c r="O378" s="187">
        <v>145.91999999999999</v>
      </c>
      <c r="P378" s="187">
        <v>1</v>
      </c>
    </row>
    <row r="379" spans="1:16" s="187" customFormat="1" ht="12.75">
      <c r="A379" s="187" t="s">
        <v>54</v>
      </c>
      <c r="B379" s="187" t="s">
        <v>72</v>
      </c>
      <c r="C379" s="187" t="s">
        <v>143</v>
      </c>
      <c r="D379" s="187" t="s">
        <v>143</v>
      </c>
      <c r="E379" s="187" t="s">
        <v>151</v>
      </c>
      <c r="F379" s="187" t="s">
        <v>147</v>
      </c>
      <c r="G379" s="187">
        <v>340743911</v>
      </c>
      <c r="H379" s="187" t="s">
        <v>155</v>
      </c>
      <c r="I379" s="187" t="s">
        <v>58</v>
      </c>
      <c r="J379" s="187" t="s">
        <v>143</v>
      </c>
      <c r="K379" s="187" t="s">
        <v>59</v>
      </c>
      <c r="L379" s="187">
        <v>10</v>
      </c>
      <c r="M379" s="187">
        <v>2219.0100000000002</v>
      </c>
      <c r="N379" s="187">
        <v>15</v>
      </c>
      <c r="O379" s="187">
        <v>2861.03</v>
      </c>
      <c r="P379" s="187">
        <v>0</v>
      </c>
    </row>
    <row r="380" spans="1:16" s="187" customFormat="1" ht="12.75">
      <c r="A380" s="187" t="s">
        <v>54</v>
      </c>
      <c r="B380" s="187" t="s">
        <v>72</v>
      </c>
      <c r="C380" s="187" t="s">
        <v>143</v>
      </c>
      <c r="D380" s="187" t="s">
        <v>143</v>
      </c>
      <c r="E380" s="187" t="s">
        <v>151</v>
      </c>
      <c r="F380" s="187" t="s">
        <v>147</v>
      </c>
      <c r="G380" s="187">
        <v>340743911</v>
      </c>
      <c r="H380" s="187" t="s">
        <v>155</v>
      </c>
      <c r="I380" s="187" t="s">
        <v>58</v>
      </c>
      <c r="J380" s="187" t="s">
        <v>143</v>
      </c>
      <c r="K380" s="187" t="s">
        <v>64</v>
      </c>
      <c r="L380" s="187">
        <v>0</v>
      </c>
      <c r="M380" s="187">
        <v>0</v>
      </c>
      <c r="N380" s="187">
        <v>0</v>
      </c>
      <c r="O380" s="187">
        <v>0</v>
      </c>
      <c r="P380" s="187">
        <v>0</v>
      </c>
    </row>
    <row r="381" spans="1:16" s="187" customFormat="1" ht="12.75">
      <c r="A381" s="187" t="s">
        <v>68</v>
      </c>
      <c r="B381" s="187" t="s">
        <v>156</v>
      </c>
      <c r="C381" s="187" t="s">
        <v>143</v>
      </c>
      <c r="D381" s="187" t="s">
        <v>143</v>
      </c>
      <c r="E381" s="187" t="s">
        <v>157</v>
      </c>
      <c r="F381" s="187" t="s">
        <v>148</v>
      </c>
      <c r="G381" s="187">
        <v>340802685</v>
      </c>
      <c r="H381" s="187" t="s">
        <v>158</v>
      </c>
      <c r="I381" s="187" t="s">
        <v>58</v>
      </c>
      <c r="J381" s="187" t="s">
        <v>143</v>
      </c>
      <c r="K381" s="187" t="s">
        <v>63</v>
      </c>
      <c r="L381" s="187">
        <v>1</v>
      </c>
      <c r="M381" s="187">
        <v>364.48</v>
      </c>
      <c r="N381" s="187">
        <v>1</v>
      </c>
      <c r="O381" s="187">
        <v>344.17</v>
      </c>
      <c r="P381" s="187">
        <v>0</v>
      </c>
    </row>
    <row r="382" spans="1:16" s="187" customFormat="1" ht="12.75">
      <c r="A382" s="187" t="s">
        <v>68</v>
      </c>
      <c r="B382" s="187" t="s">
        <v>156</v>
      </c>
      <c r="C382" s="187" t="s">
        <v>143</v>
      </c>
      <c r="D382" s="187" t="s">
        <v>143</v>
      </c>
      <c r="E382" s="187" t="s">
        <v>157</v>
      </c>
      <c r="F382" s="187" t="s">
        <v>148</v>
      </c>
      <c r="G382" s="187">
        <v>340802685</v>
      </c>
      <c r="H382" s="187" t="s">
        <v>158</v>
      </c>
      <c r="I382" s="187" t="s">
        <v>58</v>
      </c>
      <c r="J382" s="187" t="s">
        <v>143</v>
      </c>
      <c r="K382" s="187" t="s">
        <v>163</v>
      </c>
      <c r="L382" s="187">
        <v>1</v>
      </c>
      <c r="M382" s="187">
        <v>265.08</v>
      </c>
      <c r="N382" s="187">
        <v>0</v>
      </c>
      <c r="O382" s="187">
        <v>0</v>
      </c>
      <c r="P382" s="187">
        <v>0</v>
      </c>
    </row>
    <row r="383" spans="1:16" s="187" customFormat="1" ht="12.75">
      <c r="A383" s="187" t="s">
        <v>68</v>
      </c>
      <c r="B383" s="187" t="s">
        <v>156</v>
      </c>
      <c r="C383" s="187" t="s">
        <v>143</v>
      </c>
      <c r="D383" s="187" t="s">
        <v>143</v>
      </c>
      <c r="E383" s="187" t="s">
        <v>157</v>
      </c>
      <c r="F383" s="187" t="s">
        <v>148</v>
      </c>
      <c r="G383" s="187">
        <v>340802685</v>
      </c>
      <c r="H383" s="187" t="s">
        <v>158</v>
      </c>
      <c r="I383" s="187" t="s">
        <v>58</v>
      </c>
      <c r="J383" s="187" t="s">
        <v>143</v>
      </c>
      <c r="K383" s="187" t="s">
        <v>62</v>
      </c>
      <c r="L383" s="187">
        <v>1</v>
      </c>
      <c r="M383" s="187">
        <v>353.2</v>
      </c>
      <c r="N383" s="187">
        <v>1</v>
      </c>
      <c r="O383" s="187">
        <v>340.49</v>
      </c>
      <c r="P383" s="187">
        <v>6</v>
      </c>
    </row>
    <row r="384" spans="1:16" s="187" customFormat="1" ht="12.75">
      <c r="A384" s="187" t="s">
        <v>68</v>
      </c>
      <c r="B384" s="187" t="s">
        <v>156</v>
      </c>
      <c r="C384" s="187" t="s">
        <v>143</v>
      </c>
      <c r="D384" s="187" t="s">
        <v>143</v>
      </c>
      <c r="E384" s="187" t="s">
        <v>157</v>
      </c>
      <c r="F384" s="187" t="s">
        <v>148</v>
      </c>
      <c r="G384" s="187">
        <v>340802685</v>
      </c>
      <c r="H384" s="187" t="s">
        <v>158</v>
      </c>
      <c r="I384" s="187" t="s">
        <v>58</v>
      </c>
      <c r="J384" s="187" t="s">
        <v>143</v>
      </c>
      <c r="K384" s="187" t="s">
        <v>171</v>
      </c>
      <c r="L384" s="187">
        <v>1</v>
      </c>
      <c r="M384" s="187">
        <v>265.08</v>
      </c>
      <c r="N384" s="187">
        <v>0</v>
      </c>
      <c r="O384" s="187">
        <v>0</v>
      </c>
      <c r="P384" s="187">
        <v>1</v>
      </c>
    </row>
    <row r="385" spans="1:16" s="187" customFormat="1" ht="12.75">
      <c r="A385" s="187" t="s">
        <v>68</v>
      </c>
      <c r="B385" s="187" t="s">
        <v>156</v>
      </c>
      <c r="C385" s="187" t="s">
        <v>143</v>
      </c>
      <c r="D385" s="187" t="s">
        <v>143</v>
      </c>
      <c r="E385" s="187" t="s">
        <v>157</v>
      </c>
      <c r="F385" s="187" t="s">
        <v>148</v>
      </c>
      <c r="G385" s="187">
        <v>340802685</v>
      </c>
      <c r="H385" s="187" t="s">
        <v>158</v>
      </c>
      <c r="I385" s="187" t="s">
        <v>58</v>
      </c>
      <c r="J385" s="187" t="s">
        <v>143</v>
      </c>
      <c r="K385" s="187" t="s">
        <v>59</v>
      </c>
      <c r="L385" s="187">
        <v>0</v>
      </c>
      <c r="M385" s="187">
        <v>0</v>
      </c>
      <c r="N385" s="187">
        <v>0</v>
      </c>
      <c r="O385" s="187">
        <v>0</v>
      </c>
      <c r="P385" s="187">
        <v>12</v>
      </c>
    </row>
    <row r="386" spans="1:16" s="187" customFormat="1" ht="12.75">
      <c r="A386" s="187" t="s">
        <v>54</v>
      </c>
      <c r="B386" s="187" t="s">
        <v>85</v>
      </c>
      <c r="C386" s="187" t="s">
        <v>143</v>
      </c>
      <c r="D386" s="187" t="s">
        <v>143</v>
      </c>
      <c r="E386" s="187" t="s">
        <v>180</v>
      </c>
      <c r="F386" s="187" t="s">
        <v>184</v>
      </c>
      <c r="G386" s="187">
        <v>345168494</v>
      </c>
      <c r="H386" s="187" t="s">
        <v>159</v>
      </c>
      <c r="I386" s="187" t="s">
        <v>58</v>
      </c>
      <c r="J386" s="187" t="s">
        <v>143</v>
      </c>
      <c r="K386" s="187" t="s">
        <v>61</v>
      </c>
      <c r="L386" s="187">
        <v>9</v>
      </c>
      <c r="M386" s="187">
        <v>5268.55</v>
      </c>
      <c r="N386" s="187">
        <v>6</v>
      </c>
      <c r="O386" s="187">
        <v>3402.33</v>
      </c>
      <c r="P386" s="187">
        <v>19</v>
      </c>
    </row>
    <row r="387" spans="1:16" s="187" customFormat="1" ht="12.75">
      <c r="A387" s="187" t="s">
        <v>54</v>
      </c>
      <c r="B387" s="187" t="s">
        <v>85</v>
      </c>
      <c r="C387" s="187" t="s">
        <v>143</v>
      </c>
      <c r="D387" s="187" t="s">
        <v>143</v>
      </c>
      <c r="E387" s="187" t="s">
        <v>180</v>
      </c>
      <c r="F387" s="187" t="s">
        <v>184</v>
      </c>
      <c r="G387" s="187">
        <v>345168494</v>
      </c>
      <c r="H387" s="187" t="s">
        <v>159</v>
      </c>
      <c r="I387" s="187" t="s">
        <v>58</v>
      </c>
      <c r="J387" s="187" t="s">
        <v>143</v>
      </c>
      <c r="K387" s="187" t="s">
        <v>67</v>
      </c>
      <c r="L387" s="187">
        <v>2</v>
      </c>
      <c r="M387" s="187">
        <v>1149.8399999999999</v>
      </c>
      <c r="N387" s="187">
        <v>2</v>
      </c>
      <c r="O387" s="187">
        <v>1104.78</v>
      </c>
      <c r="P387" s="187">
        <v>0</v>
      </c>
    </row>
    <row r="388" spans="1:16" s="187" customFormat="1" ht="12.75">
      <c r="A388" s="187" t="s">
        <v>54</v>
      </c>
      <c r="B388" s="187" t="s">
        <v>85</v>
      </c>
      <c r="C388" s="187" t="s">
        <v>143</v>
      </c>
      <c r="D388" s="187" t="s">
        <v>143</v>
      </c>
      <c r="E388" s="187" t="s">
        <v>180</v>
      </c>
      <c r="F388" s="187" t="s">
        <v>184</v>
      </c>
      <c r="G388" s="187">
        <v>345168494</v>
      </c>
      <c r="H388" s="187" t="s">
        <v>159</v>
      </c>
      <c r="I388" s="187" t="s">
        <v>58</v>
      </c>
      <c r="J388" s="187" t="s">
        <v>143</v>
      </c>
      <c r="K388" s="187" t="s">
        <v>138</v>
      </c>
      <c r="L388" s="187">
        <v>2</v>
      </c>
      <c r="M388" s="187">
        <v>1117.94</v>
      </c>
      <c r="N388" s="187">
        <v>2</v>
      </c>
      <c r="O388" s="187">
        <v>1052.0999999999999</v>
      </c>
      <c r="P388" s="187">
        <v>0</v>
      </c>
    </row>
    <row r="389" spans="1:16" s="187" customFormat="1" ht="12.75">
      <c r="A389" s="187" t="s">
        <v>54</v>
      </c>
      <c r="B389" s="187" t="s">
        <v>85</v>
      </c>
      <c r="C389" s="187" t="s">
        <v>143</v>
      </c>
      <c r="D389" s="187" t="s">
        <v>143</v>
      </c>
      <c r="E389" s="187" t="s">
        <v>180</v>
      </c>
      <c r="F389" s="187" t="s">
        <v>184</v>
      </c>
      <c r="G389" s="187">
        <v>345168494</v>
      </c>
      <c r="H389" s="187" t="s">
        <v>159</v>
      </c>
      <c r="I389" s="187" t="s">
        <v>58</v>
      </c>
      <c r="J389" s="187" t="s">
        <v>143</v>
      </c>
      <c r="K389" s="187" t="s">
        <v>171</v>
      </c>
      <c r="L389" s="187">
        <v>6</v>
      </c>
      <c r="M389" s="187">
        <v>3476.37</v>
      </c>
      <c r="N389" s="187">
        <v>6</v>
      </c>
      <c r="O389" s="187">
        <v>3323.27</v>
      </c>
      <c r="P389" s="187">
        <v>51</v>
      </c>
    </row>
    <row r="390" spans="1:16" s="187" customFormat="1" ht="12.75">
      <c r="A390" s="187" t="s">
        <v>54</v>
      </c>
      <c r="B390" s="187" t="s">
        <v>85</v>
      </c>
      <c r="C390" s="187" t="s">
        <v>143</v>
      </c>
      <c r="D390" s="187" t="s">
        <v>143</v>
      </c>
      <c r="E390" s="187" t="s">
        <v>180</v>
      </c>
      <c r="F390" s="187" t="s">
        <v>184</v>
      </c>
      <c r="G390" s="187">
        <v>345168494</v>
      </c>
      <c r="H390" s="187" t="s">
        <v>159</v>
      </c>
      <c r="I390" s="187" t="s">
        <v>58</v>
      </c>
      <c r="J390" s="187" t="s">
        <v>143</v>
      </c>
      <c r="K390" s="187" t="s">
        <v>430</v>
      </c>
      <c r="L390" s="187">
        <v>6</v>
      </c>
      <c r="M390" s="187">
        <v>3545.95</v>
      </c>
      <c r="N390" s="187">
        <v>5</v>
      </c>
      <c r="O390" s="187">
        <v>2670.93</v>
      </c>
      <c r="P390" s="187">
        <v>18</v>
      </c>
    </row>
    <row r="391" spans="1:16" s="187" customFormat="1" ht="12.75">
      <c r="A391" s="187" t="s">
        <v>54</v>
      </c>
      <c r="B391" s="187" t="s">
        <v>85</v>
      </c>
      <c r="C391" s="187" t="s">
        <v>143</v>
      </c>
      <c r="D391" s="187" t="s">
        <v>143</v>
      </c>
      <c r="E391" s="187" t="s">
        <v>180</v>
      </c>
      <c r="F391" s="187" t="s">
        <v>184</v>
      </c>
      <c r="G391" s="187">
        <v>345168494</v>
      </c>
      <c r="H391" s="187" t="s">
        <v>159</v>
      </c>
      <c r="I391" s="187" t="s">
        <v>58</v>
      </c>
      <c r="J391" s="187" t="s">
        <v>143</v>
      </c>
      <c r="K391" s="187" t="s">
        <v>60</v>
      </c>
      <c r="L391" s="187">
        <v>1</v>
      </c>
      <c r="M391" s="187">
        <v>590.87</v>
      </c>
      <c r="N391" s="187">
        <v>0</v>
      </c>
      <c r="O391" s="187">
        <v>0</v>
      </c>
      <c r="P391" s="187">
        <v>30</v>
      </c>
    </row>
    <row r="392" spans="1:16" s="187" customFormat="1" ht="12.75">
      <c r="A392" s="187" t="s">
        <v>54</v>
      </c>
      <c r="B392" s="187" t="s">
        <v>85</v>
      </c>
      <c r="C392" s="187" t="s">
        <v>143</v>
      </c>
      <c r="D392" s="187" t="s">
        <v>143</v>
      </c>
      <c r="E392" s="187" t="s">
        <v>180</v>
      </c>
      <c r="F392" s="187" t="s">
        <v>184</v>
      </c>
      <c r="G392" s="187">
        <v>345168494</v>
      </c>
      <c r="H392" s="187" t="s">
        <v>159</v>
      </c>
      <c r="I392" s="187" t="s">
        <v>58</v>
      </c>
      <c r="J392" s="187" t="s">
        <v>143</v>
      </c>
      <c r="K392" s="187" t="s">
        <v>443</v>
      </c>
      <c r="L392" s="187">
        <v>7</v>
      </c>
      <c r="M392" s="187">
        <v>4038.96</v>
      </c>
      <c r="N392" s="187">
        <v>6</v>
      </c>
      <c r="O392" s="187">
        <v>3320.37</v>
      </c>
      <c r="P392" s="187">
        <v>18</v>
      </c>
    </row>
    <row r="393" spans="1:16" s="187" customFormat="1" ht="12.75">
      <c r="A393" s="187" t="s">
        <v>54</v>
      </c>
      <c r="B393" s="187" t="s">
        <v>85</v>
      </c>
      <c r="C393" s="187" t="s">
        <v>143</v>
      </c>
      <c r="D393" s="187" t="s">
        <v>143</v>
      </c>
      <c r="E393" s="187" t="s">
        <v>180</v>
      </c>
      <c r="F393" s="187" t="s">
        <v>184</v>
      </c>
      <c r="G393" s="187">
        <v>345168494</v>
      </c>
      <c r="H393" s="187" t="s">
        <v>159</v>
      </c>
      <c r="I393" s="187" t="s">
        <v>58</v>
      </c>
      <c r="J393" s="187" t="s">
        <v>143</v>
      </c>
      <c r="K393" s="187" t="s">
        <v>87</v>
      </c>
      <c r="L393" s="187">
        <v>1</v>
      </c>
      <c r="M393" s="187">
        <v>603.91999999999996</v>
      </c>
      <c r="N393" s="187">
        <v>1</v>
      </c>
      <c r="O393" s="187">
        <v>580.61</v>
      </c>
      <c r="P393" s="187">
        <v>0</v>
      </c>
    </row>
    <row r="394" spans="1:16" s="187" customFormat="1" ht="12.75">
      <c r="A394" s="187" t="s">
        <v>54</v>
      </c>
      <c r="B394" s="187" t="s">
        <v>85</v>
      </c>
      <c r="C394" s="187" t="s">
        <v>143</v>
      </c>
      <c r="D394" s="187" t="s">
        <v>143</v>
      </c>
      <c r="E394" s="187" t="s">
        <v>180</v>
      </c>
      <c r="F394" s="187" t="s">
        <v>184</v>
      </c>
      <c r="G394" s="187">
        <v>345168494</v>
      </c>
      <c r="H394" s="187" t="s">
        <v>159</v>
      </c>
      <c r="I394" s="187" t="s">
        <v>58</v>
      </c>
      <c r="J394" s="187" t="s">
        <v>143</v>
      </c>
      <c r="K394" s="187" t="s">
        <v>360</v>
      </c>
      <c r="L394" s="187">
        <v>1</v>
      </c>
      <c r="M394" s="187">
        <v>603.91999999999996</v>
      </c>
      <c r="N394" s="187">
        <v>1</v>
      </c>
      <c r="O394" s="187">
        <v>581.25</v>
      </c>
      <c r="P394" s="187">
        <v>0</v>
      </c>
    </row>
    <row r="395" spans="1:16" s="187" customFormat="1" ht="12.75">
      <c r="A395" s="187" t="s">
        <v>54</v>
      </c>
      <c r="B395" s="187" t="s">
        <v>85</v>
      </c>
      <c r="C395" s="187" t="s">
        <v>143</v>
      </c>
      <c r="D395" s="187" t="s">
        <v>143</v>
      </c>
      <c r="E395" s="187" t="s">
        <v>180</v>
      </c>
      <c r="F395" s="187" t="s">
        <v>184</v>
      </c>
      <c r="G395" s="187">
        <v>345168494</v>
      </c>
      <c r="H395" s="187" t="s">
        <v>159</v>
      </c>
      <c r="I395" s="187" t="s">
        <v>58</v>
      </c>
      <c r="J395" s="187" t="s">
        <v>143</v>
      </c>
      <c r="K395" s="187" t="s">
        <v>64</v>
      </c>
      <c r="L395" s="187">
        <v>9</v>
      </c>
      <c r="M395" s="187">
        <v>5295.37</v>
      </c>
      <c r="N395" s="187">
        <v>8</v>
      </c>
      <c r="O395" s="187">
        <v>4496.8100000000004</v>
      </c>
      <c r="P395" s="187">
        <v>20</v>
      </c>
    </row>
    <row r="396" spans="1:16" s="187" customFormat="1" ht="12.75">
      <c r="A396" s="187" t="s">
        <v>54</v>
      </c>
      <c r="B396" s="187" t="s">
        <v>85</v>
      </c>
      <c r="C396" s="187" t="s">
        <v>143</v>
      </c>
      <c r="D396" s="187" t="s">
        <v>143</v>
      </c>
      <c r="E396" s="187" t="s">
        <v>180</v>
      </c>
      <c r="F396" s="187" t="s">
        <v>184</v>
      </c>
      <c r="G396" s="187">
        <v>345168494</v>
      </c>
      <c r="H396" s="187" t="s">
        <v>159</v>
      </c>
      <c r="I396" s="187" t="s">
        <v>58</v>
      </c>
      <c r="J396" s="187" t="s">
        <v>143</v>
      </c>
      <c r="K396" s="187" t="s">
        <v>63</v>
      </c>
      <c r="L396" s="187">
        <v>22</v>
      </c>
      <c r="M396" s="187">
        <v>12687.48</v>
      </c>
      <c r="N396" s="187">
        <v>17</v>
      </c>
      <c r="O396" s="187">
        <v>9171.2800000000007</v>
      </c>
      <c r="P396" s="187">
        <v>11</v>
      </c>
    </row>
    <row r="397" spans="1:16" s="187" customFormat="1" ht="12.75">
      <c r="A397" s="187" t="s">
        <v>54</v>
      </c>
      <c r="B397" s="187" t="s">
        <v>72</v>
      </c>
      <c r="C397" s="187" t="s">
        <v>143</v>
      </c>
      <c r="D397" s="187" t="s">
        <v>143</v>
      </c>
      <c r="E397" s="187" t="s">
        <v>282</v>
      </c>
      <c r="F397" s="187" t="s">
        <v>185</v>
      </c>
      <c r="G397" s="187">
        <v>370591238</v>
      </c>
      <c r="H397" s="187" t="s">
        <v>169</v>
      </c>
      <c r="I397" s="187" t="s">
        <v>58</v>
      </c>
      <c r="J397" s="187" t="s">
        <v>143</v>
      </c>
      <c r="K397" s="187" t="s">
        <v>59</v>
      </c>
      <c r="L397" s="187">
        <v>4</v>
      </c>
      <c r="M397" s="187">
        <v>1296</v>
      </c>
      <c r="N397" s="187">
        <v>2</v>
      </c>
      <c r="O397" s="187">
        <v>614.65</v>
      </c>
      <c r="P397" s="187">
        <v>0</v>
      </c>
    </row>
    <row r="398" spans="1:16" s="187" customFormat="1" ht="12.75">
      <c r="A398" s="187" t="s">
        <v>54</v>
      </c>
      <c r="B398" s="187" t="s">
        <v>72</v>
      </c>
      <c r="C398" s="187" t="s">
        <v>143</v>
      </c>
      <c r="D398" s="187" t="s">
        <v>143</v>
      </c>
      <c r="E398" s="187" t="s">
        <v>282</v>
      </c>
      <c r="F398" s="187" t="s">
        <v>185</v>
      </c>
      <c r="G398" s="187">
        <v>370591238</v>
      </c>
      <c r="H398" s="187" t="s">
        <v>169</v>
      </c>
      <c r="I398" s="187" t="s">
        <v>58</v>
      </c>
      <c r="J398" s="187" t="s">
        <v>143</v>
      </c>
      <c r="K398" s="187" t="s">
        <v>64</v>
      </c>
      <c r="L398" s="187">
        <v>16</v>
      </c>
      <c r="M398" s="187">
        <v>5947.1</v>
      </c>
      <c r="N398" s="187">
        <v>21</v>
      </c>
      <c r="O398" s="187">
        <v>7090.38</v>
      </c>
      <c r="P398" s="187">
        <v>0</v>
      </c>
    </row>
    <row r="399" spans="1:16" s="187" customFormat="1" ht="12.75">
      <c r="A399" s="187" t="s">
        <v>54</v>
      </c>
      <c r="B399" s="187" t="s">
        <v>72</v>
      </c>
      <c r="C399" s="187" t="s">
        <v>143</v>
      </c>
      <c r="D399" s="187" t="s">
        <v>143</v>
      </c>
      <c r="E399" s="187" t="s">
        <v>282</v>
      </c>
      <c r="F399" s="187" t="s">
        <v>185</v>
      </c>
      <c r="G399" s="187">
        <v>370591238</v>
      </c>
      <c r="H399" s="187" t="s">
        <v>169</v>
      </c>
      <c r="I399" s="187" t="s">
        <v>58</v>
      </c>
      <c r="J399" s="187" t="s">
        <v>143</v>
      </c>
      <c r="K399" s="187" t="s">
        <v>360</v>
      </c>
      <c r="L399" s="187">
        <v>1</v>
      </c>
      <c r="M399" s="187">
        <v>410.31</v>
      </c>
      <c r="N399" s="187">
        <v>2</v>
      </c>
      <c r="O399" s="187">
        <v>691.34</v>
      </c>
      <c r="P399" s="187">
        <v>0</v>
      </c>
    </row>
    <row r="400" spans="1:16" s="187" customFormat="1" ht="12.75">
      <c r="A400" s="187" t="s">
        <v>54</v>
      </c>
      <c r="B400" s="187" t="s">
        <v>72</v>
      </c>
      <c r="C400" s="187" t="s">
        <v>143</v>
      </c>
      <c r="D400" s="187" t="s">
        <v>143</v>
      </c>
      <c r="E400" s="187" t="s">
        <v>282</v>
      </c>
      <c r="F400" s="187" t="s">
        <v>185</v>
      </c>
      <c r="G400" s="187">
        <v>370591238</v>
      </c>
      <c r="H400" s="187" t="s">
        <v>169</v>
      </c>
      <c r="I400" s="187" t="s">
        <v>58</v>
      </c>
      <c r="J400" s="187" t="s">
        <v>143</v>
      </c>
      <c r="K400" s="187" t="s">
        <v>443</v>
      </c>
      <c r="L400" s="187">
        <v>4</v>
      </c>
      <c r="M400" s="187">
        <v>1345.32</v>
      </c>
      <c r="N400" s="187">
        <v>3</v>
      </c>
      <c r="O400" s="187">
        <v>975.27</v>
      </c>
      <c r="P400" s="187">
        <v>0</v>
      </c>
    </row>
    <row r="401" spans="1:16" s="187" customFormat="1" ht="12.75">
      <c r="A401" s="187" t="s">
        <v>54</v>
      </c>
      <c r="B401" s="187" t="s">
        <v>72</v>
      </c>
      <c r="C401" s="187" t="s">
        <v>143</v>
      </c>
      <c r="D401" s="187" t="s">
        <v>143</v>
      </c>
      <c r="E401" s="187" t="s">
        <v>282</v>
      </c>
      <c r="F401" s="187" t="s">
        <v>185</v>
      </c>
      <c r="G401" s="187">
        <v>370591238</v>
      </c>
      <c r="H401" s="187" t="s">
        <v>169</v>
      </c>
      <c r="I401" s="187" t="s">
        <v>58</v>
      </c>
      <c r="J401" s="187" t="s">
        <v>143</v>
      </c>
      <c r="K401" s="187" t="s">
        <v>61</v>
      </c>
      <c r="L401" s="187">
        <v>0</v>
      </c>
      <c r="M401" s="187">
        <v>0</v>
      </c>
      <c r="N401" s="187">
        <v>1</v>
      </c>
      <c r="O401" s="187">
        <v>286.01</v>
      </c>
      <c r="P401" s="187">
        <v>0</v>
      </c>
    </row>
    <row r="402" spans="1:16" s="187" customFormat="1" ht="12.75">
      <c r="A402" s="187" t="s">
        <v>54</v>
      </c>
      <c r="B402" s="187" t="s">
        <v>72</v>
      </c>
      <c r="C402" s="187" t="s">
        <v>143</v>
      </c>
      <c r="D402" s="187" t="s">
        <v>143</v>
      </c>
      <c r="E402" s="187" t="s">
        <v>282</v>
      </c>
      <c r="F402" s="187" t="s">
        <v>185</v>
      </c>
      <c r="G402" s="187">
        <v>370591238</v>
      </c>
      <c r="H402" s="187" t="s">
        <v>169</v>
      </c>
      <c r="I402" s="187" t="s">
        <v>58</v>
      </c>
      <c r="J402" s="187" t="s">
        <v>143</v>
      </c>
      <c r="K402" s="187" t="s">
        <v>430</v>
      </c>
      <c r="L402" s="187">
        <v>1</v>
      </c>
      <c r="M402" s="187">
        <v>348.66</v>
      </c>
      <c r="N402" s="187">
        <v>1</v>
      </c>
      <c r="O402" s="187">
        <v>335.31</v>
      </c>
      <c r="P402" s="187">
        <v>0</v>
      </c>
    </row>
    <row r="403" spans="1:16" s="187" customFormat="1" ht="12.75">
      <c r="A403" s="187" t="s">
        <v>54</v>
      </c>
      <c r="B403" s="187" t="s">
        <v>72</v>
      </c>
      <c r="C403" s="187" t="s">
        <v>143</v>
      </c>
      <c r="D403" s="187" t="s">
        <v>143</v>
      </c>
      <c r="E403" s="187" t="s">
        <v>282</v>
      </c>
      <c r="F403" s="187" t="s">
        <v>185</v>
      </c>
      <c r="G403" s="187">
        <v>370591238</v>
      </c>
      <c r="H403" s="187" t="s">
        <v>169</v>
      </c>
      <c r="I403" s="187" t="s">
        <v>58</v>
      </c>
      <c r="J403" s="187" t="s">
        <v>143</v>
      </c>
      <c r="K403" s="187" t="s">
        <v>62</v>
      </c>
      <c r="L403" s="187">
        <v>1</v>
      </c>
      <c r="M403" s="187">
        <v>311.67</v>
      </c>
      <c r="N403" s="187">
        <v>0</v>
      </c>
      <c r="O403" s="187">
        <v>0</v>
      </c>
      <c r="P403" s="187">
        <v>0</v>
      </c>
    </row>
    <row r="404" spans="1:16" s="187" customFormat="1" ht="12.75">
      <c r="A404" s="187" t="s">
        <v>54</v>
      </c>
      <c r="B404" s="187" t="s">
        <v>72</v>
      </c>
      <c r="C404" s="187" t="s">
        <v>143</v>
      </c>
      <c r="D404" s="187" t="s">
        <v>143</v>
      </c>
      <c r="E404" s="187" t="s">
        <v>282</v>
      </c>
      <c r="F404" s="187" t="s">
        <v>185</v>
      </c>
      <c r="G404" s="187">
        <v>370591238</v>
      </c>
      <c r="H404" s="187" t="s">
        <v>169</v>
      </c>
      <c r="I404" s="187" t="s">
        <v>58</v>
      </c>
      <c r="J404" s="187" t="s">
        <v>143</v>
      </c>
      <c r="K404" s="187" t="s">
        <v>60</v>
      </c>
      <c r="L404" s="187">
        <v>2</v>
      </c>
      <c r="M404" s="187">
        <v>758.97</v>
      </c>
      <c r="N404" s="187">
        <v>2</v>
      </c>
      <c r="O404" s="187">
        <v>701.36</v>
      </c>
      <c r="P404" s="187">
        <v>0</v>
      </c>
    </row>
    <row r="405" spans="1:16" s="187" customFormat="1" ht="12.75">
      <c r="A405" s="187" t="s">
        <v>54</v>
      </c>
      <c r="B405" s="187" t="s">
        <v>72</v>
      </c>
      <c r="C405" s="187" t="s">
        <v>143</v>
      </c>
      <c r="D405" s="187" t="s">
        <v>143</v>
      </c>
      <c r="E405" s="187" t="s">
        <v>282</v>
      </c>
      <c r="F405" s="187" t="s">
        <v>185</v>
      </c>
      <c r="G405" s="187">
        <v>370591238</v>
      </c>
      <c r="H405" s="187" t="s">
        <v>169</v>
      </c>
      <c r="I405" s="187" t="s">
        <v>58</v>
      </c>
      <c r="J405" s="187" t="s">
        <v>143</v>
      </c>
      <c r="K405" s="187" t="s">
        <v>138</v>
      </c>
      <c r="L405" s="187">
        <v>2</v>
      </c>
      <c r="M405" s="187">
        <v>664.44</v>
      </c>
      <c r="N405" s="187">
        <v>2</v>
      </c>
      <c r="O405" s="187">
        <v>633.45000000000005</v>
      </c>
      <c r="P405" s="187">
        <v>0</v>
      </c>
    </row>
    <row r="406" spans="1:16" s="187" customFormat="1" ht="12.75">
      <c r="A406" s="187" t="s">
        <v>54</v>
      </c>
      <c r="B406" s="187" t="s">
        <v>72</v>
      </c>
      <c r="C406" s="187" t="s">
        <v>143</v>
      </c>
      <c r="D406" s="187" t="s">
        <v>143</v>
      </c>
      <c r="E406" s="187" t="s">
        <v>282</v>
      </c>
      <c r="F406" s="187" t="s">
        <v>185</v>
      </c>
      <c r="G406" s="187">
        <v>370591238</v>
      </c>
      <c r="H406" s="187" t="s">
        <v>169</v>
      </c>
      <c r="I406" s="187" t="s">
        <v>58</v>
      </c>
      <c r="J406" s="187" t="s">
        <v>143</v>
      </c>
      <c r="K406" s="187" t="s">
        <v>67</v>
      </c>
      <c r="L406" s="187">
        <v>2</v>
      </c>
      <c r="M406" s="187">
        <v>726.09</v>
      </c>
      <c r="N406" s="187">
        <v>2</v>
      </c>
      <c r="O406" s="187">
        <v>697.27</v>
      </c>
      <c r="P406" s="187">
        <v>0</v>
      </c>
    </row>
    <row r="407" spans="1:16" s="187" customFormat="1" ht="12.75">
      <c r="A407" s="187" t="s">
        <v>54</v>
      </c>
      <c r="B407" s="187" t="s">
        <v>72</v>
      </c>
      <c r="C407" s="187" t="s">
        <v>143</v>
      </c>
      <c r="D407" s="187" t="s">
        <v>143</v>
      </c>
      <c r="E407" s="187" t="s">
        <v>282</v>
      </c>
      <c r="F407" s="187" t="s">
        <v>185</v>
      </c>
      <c r="G407" s="187">
        <v>370591238</v>
      </c>
      <c r="H407" s="187" t="s">
        <v>169</v>
      </c>
      <c r="I407" s="187" t="s">
        <v>58</v>
      </c>
      <c r="J407" s="187" t="s">
        <v>143</v>
      </c>
      <c r="K407" s="187" t="s">
        <v>63</v>
      </c>
      <c r="L407" s="187">
        <v>2</v>
      </c>
      <c r="M407" s="187">
        <v>664.44</v>
      </c>
      <c r="N407" s="187">
        <v>1</v>
      </c>
      <c r="O407" s="187">
        <v>297.66000000000003</v>
      </c>
      <c r="P407" s="187">
        <v>0</v>
      </c>
    </row>
    <row r="408" spans="1:16" s="187" customFormat="1" ht="12.75">
      <c r="A408" s="187" t="s">
        <v>68</v>
      </c>
      <c r="B408" s="187" t="s">
        <v>128</v>
      </c>
      <c r="C408" s="187" t="s">
        <v>143</v>
      </c>
      <c r="D408" s="187" t="s">
        <v>143</v>
      </c>
      <c r="E408" s="187" t="s">
        <v>284</v>
      </c>
      <c r="F408" s="187" t="s">
        <v>168</v>
      </c>
      <c r="G408" s="187">
        <v>370594147</v>
      </c>
      <c r="H408" s="187" t="s">
        <v>170</v>
      </c>
      <c r="I408" s="187" t="s">
        <v>58</v>
      </c>
      <c r="J408" s="187" t="s">
        <v>143</v>
      </c>
      <c r="K408" s="187" t="s">
        <v>64</v>
      </c>
      <c r="L408" s="187">
        <v>1</v>
      </c>
      <c r="M408" s="187">
        <v>319.36</v>
      </c>
      <c r="N408" s="187">
        <v>4</v>
      </c>
      <c r="O408" s="187">
        <v>1273.3499999999999</v>
      </c>
      <c r="P408" s="187">
        <v>0</v>
      </c>
    </row>
    <row r="409" spans="1:16" s="187" customFormat="1" ht="12.75">
      <c r="A409" s="187" t="s">
        <v>68</v>
      </c>
      <c r="B409" s="187" t="s">
        <v>128</v>
      </c>
      <c r="C409" s="187" t="s">
        <v>143</v>
      </c>
      <c r="D409" s="187" t="s">
        <v>143</v>
      </c>
      <c r="E409" s="187" t="s">
        <v>284</v>
      </c>
      <c r="F409" s="187" t="s">
        <v>168</v>
      </c>
      <c r="G409" s="187">
        <v>370594147</v>
      </c>
      <c r="H409" s="187" t="s">
        <v>170</v>
      </c>
      <c r="I409" s="187" t="s">
        <v>58</v>
      </c>
      <c r="J409" s="187" t="s">
        <v>143</v>
      </c>
      <c r="K409" s="187" t="s">
        <v>443</v>
      </c>
      <c r="L409" s="187">
        <v>1</v>
      </c>
      <c r="M409" s="187">
        <v>482.92</v>
      </c>
      <c r="N409" s="187">
        <v>1</v>
      </c>
      <c r="O409" s="187">
        <v>462.73</v>
      </c>
      <c r="P409" s="187">
        <v>0</v>
      </c>
    </row>
    <row r="410" spans="1:16" s="187" customFormat="1" ht="12.75">
      <c r="A410" s="187" t="s">
        <v>68</v>
      </c>
      <c r="B410" s="187" t="s">
        <v>128</v>
      </c>
      <c r="C410" s="187" t="s">
        <v>143</v>
      </c>
      <c r="D410" s="187" t="s">
        <v>143</v>
      </c>
      <c r="E410" s="187" t="s">
        <v>284</v>
      </c>
      <c r="F410" s="187" t="s">
        <v>168</v>
      </c>
      <c r="G410" s="187">
        <v>370594147</v>
      </c>
      <c r="H410" s="187" t="s">
        <v>170</v>
      </c>
      <c r="I410" s="187" t="s">
        <v>58</v>
      </c>
      <c r="J410" s="187" t="s">
        <v>143</v>
      </c>
      <c r="K410" s="187" t="s">
        <v>60</v>
      </c>
      <c r="L410" s="187">
        <v>7</v>
      </c>
      <c r="M410" s="187">
        <v>2997.64</v>
      </c>
      <c r="N410" s="187">
        <v>6</v>
      </c>
      <c r="O410" s="187">
        <v>2409.4699999999998</v>
      </c>
      <c r="P410" s="187">
        <v>23</v>
      </c>
    </row>
    <row r="411" spans="1:16" s="187" customFormat="1" ht="12.75">
      <c r="A411" s="187" t="s">
        <v>54</v>
      </c>
      <c r="B411" s="187" t="s">
        <v>85</v>
      </c>
      <c r="C411" s="187" t="s">
        <v>143</v>
      </c>
      <c r="D411" s="187" t="s">
        <v>143</v>
      </c>
      <c r="E411" s="187" t="s">
        <v>393</v>
      </c>
      <c r="F411" s="187" t="s">
        <v>198</v>
      </c>
      <c r="G411" s="187">
        <v>419130077</v>
      </c>
      <c r="H411" s="187" t="s">
        <v>199</v>
      </c>
      <c r="I411" s="187" t="s">
        <v>58</v>
      </c>
      <c r="J411" s="187" t="s">
        <v>143</v>
      </c>
      <c r="K411" s="187" t="s">
        <v>430</v>
      </c>
      <c r="L411" s="187">
        <v>4</v>
      </c>
      <c r="M411" s="187">
        <v>1944.44</v>
      </c>
      <c r="N411" s="187">
        <v>2</v>
      </c>
      <c r="O411" s="187">
        <v>934.95</v>
      </c>
      <c r="P411" s="187">
        <v>57</v>
      </c>
    </row>
    <row r="412" spans="1:16" s="187" customFormat="1" ht="12.75">
      <c r="A412" s="187" t="s">
        <v>54</v>
      </c>
      <c r="B412" s="187" t="s">
        <v>85</v>
      </c>
      <c r="C412" s="187" t="s">
        <v>143</v>
      </c>
      <c r="D412" s="187" t="s">
        <v>143</v>
      </c>
      <c r="E412" s="187" t="s">
        <v>393</v>
      </c>
      <c r="F412" s="187" t="s">
        <v>198</v>
      </c>
      <c r="G412" s="187">
        <v>419130077</v>
      </c>
      <c r="H412" s="187" t="s">
        <v>199</v>
      </c>
      <c r="I412" s="187" t="s">
        <v>58</v>
      </c>
      <c r="J412" s="187" t="s">
        <v>143</v>
      </c>
      <c r="K412" s="187" t="s">
        <v>171</v>
      </c>
      <c r="L412" s="187">
        <v>2</v>
      </c>
      <c r="M412" s="187">
        <v>1245.54</v>
      </c>
      <c r="N412" s="187">
        <v>1</v>
      </c>
      <c r="O412" s="187">
        <v>598.70000000000005</v>
      </c>
      <c r="P412" s="187">
        <v>40</v>
      </c>
    </row>
    <row r="413" spans="1:16" s="187" customFormat="1" ht="12.75">
      <c r="A413" s="187" t="s">
        <v>54</v>
      </c>
      <c r="B413" s="187" t="s">
        <v>85</v>
      </c>
      <c r="C413" s="187" t="s">
        <v>143</v>
      </c>
      <c r="D413" s="187" t="s">
        <v>143</v>
      </c>
      <c r="E413" s="187" t="s">
        <v>393</v>
      </c>
      <c r="F413" s="187" t="s">
        <v>198</v>
      </c>
      <c r="G413" s="187">
        <v>419130077</v>
      </c>
      <c r="H413" s="187" t="s">
        <v>199</v>
      </c>
      <c r="I413" s="187" t="s">
        <v>58</v>
      </c>
      <c r="J413" s="187" t="s">
        <v>143</v>
      </c>
      <c r="K413" s="187" t="s">
        <v>63</v>
      </c>
      <c r="L413" s="187">
        <v>3</v>
      </c>
      <c r="M413" s="187">
        <v>1788.56</v>
      </c>
      <c r="N413" s="187">
        <v>5</v>
      </c>
      <c r="O413" s="187">
        <v>2497.5</v>
      </c>
      <c r="P413" s="187">
        <v>0</v>
      </c>
    </row>
    <row r="414" spans="1:16" s="187" customFormat="1" ht="12.75">
      <c r="A414" s="187" t="s">
        <v>54</v>
      </c>
      <c r="B414" s="187" t="s">
        <v>85</v>
      </c>
      <c r="C414" s="187" t="s">
        <v>143</v>
      </c>
      <c r="D414" s="187" t="s">
        <v>143</v>
      </c>
      <c r="E414" s="187" t="s">
        <v>393</v>
      </c>
      <c r="F414" s="187" t="s">
        <v>198</v>
      </c>
      <c r="G414" s="187">
        <v>419130077</v>
      </c>
      <c r="H414" s="187" t="s">
        <v>199</v>
      </c>
      <c r="I414" s="187" t="s">
        <v>58</v>
      </c>
      <c r="J414" s="187" t="s">
        <v>143</v>
      </c>
      <c r="K414" s="187" t="s">
        <v>87</v>
      </c>
      <c r="L414" s="187">
        <v>1</v>
      </c>
      <c r="M414" s="187">
        <v>494.45</v>
      </c>
      <c r="N414" s="187">
        <v>1</v>
      </c>
      <c r="O414" s="187">
        <v>475.33</v>
      </c>
      <c r="P414" s="187">
        <v>0</v>
      </c>
    </row>
    <row r="415" spans="1:16" s="187" customFormat="1" ht="12.75">
      <c r="A415" s="187" t="s">
        <v>54</v>
      </c>
      <c r="B415" s="187" t="s">
        <v>85</v>
      </c>
      <c r="C415" s="187" t="s">
        <v>143</v>
      </c>
      <c r="D415" s="187" t="s">
        <v>143</v>
      </c>
      <c r="E415" s="187" t="s">
        <v>393</v>
      </c>
      <c r="F415" s="187" t="s">
        <v>198</v>
      </c>
      <c r="G415" s="187">
        <v>419130077</v>
      </c>
      <c r="H415" s="187" t="s">
        <v>199</v>
      </c>
      <c r="I415" s="187" t="s">
        <v>58</v>
      </c>
      <c r="J415" s="187" t="s">
        <v>143</v>
      </c>
      <c r="K415" s="187" t="s">
        <v>138</v>
      </c>
      <c r="L415" s="187">
        <v>2</v>
      </c>
      <c r="M415" s="187">
        <v>1225.24</v>
      </c>
      <c r="N415" s="187">
        <v>1</v>
      </c>
      <c r="O415" s="187">
        <v>592.91</v>
      </c>
      <c r="P415" s="187">
        <v>0</v>
      </c>
    </row>
    <row r="416" spans="1:16" s="187" customFormat="1" ht="12.75">
      <c r="A416" s="187" t="s">
        <v>54</v>
      </c>
      <c r="B416" s="187" t="s">
        <v>85</v>
      </c>
      <c r="C416" s="187" t="s">
        <v>143</v>
      </c>
      <c r="D416" s="187" t="s">
        <v>143</v>
      </c>
      <c r="E416" s="187" t="s">
        <v>393</v>
      </c>
      <c r="F416" s="187" t="s">
        <v>198</v>
      </c>
      <c r="G416" s="187">
        <v>419130077</v>
      </c>
      <c r="H416" s="187" t="s">
        <v>199</v>
      </c>
      <c r="I416" s="187" t="s">
        <v>58</v>
      </c>
      <c r="J416" s="187" t="s">
        <v>143</v>
      </c>
      <c r="K416" s="187" t="s">
        <v>62</v>
      </c>
      <c r="L416" s="187">
        <v>2</v>
      </c>
      <c r="M416" s="187">
        <v>1158.4100000000001</v>
      </c>
      <c r="N416" s="187">
        <v>1</v>
      </c>
      <c r="O416" s="187">
        <v>563.08000000000004</v>
      </c>
      <c r="P416" s="187">
        <v>0</v>
      </c>
    </row>
    <row r="417" spans="1:16" s="187" customFormat="1" ht="12.75">
      <c r="A417" s="187" t="s">
        <v>54</v>
      </c>
      <c r="B417" s="187" t="s">
        <v>85</v>
      </c>
      <c r="C417" s="187" t="s">
        <v>143</v>
      </c>
      <c r="D417" s="187" t="s">
        <v>143</v>
      </c>
      <c r="E417" s="187" t="s">
        <v>393</v>
      </c>
      <c r="F417" s="187" t="s">
        <v>198</v>
      </c>
      <c r="G417" s="187">
        <v>419130077</v>
      </c>
      <c r="H417" s="187" t="s">
        <v>199</v>
      </c>
      <c r="I417" s="187" t="s">
        <v>58</v>
      </c>
      <c r="J417" s="187" t="s">
        <v>143</v>
      </c>
      <c r="K417" s="187" t="s">
        <v>67</v>
      </c>
      <c r="L417" s="187">
        <v>0</v>
      </c>
      <c r="M417" s="187">
        <v>0</v>
      </c>
      <c r="N417" s="187">
        <v>0</v>
      </c>
      <c r="O417" s="187">
        <v>0</v>
      </c>
      <c r="P417" s="187">
        <v>1</v>
      </c>
    </row>
    <row r="418" spans="1:16" s="187" customFormat="1" ht="12.75">
      <c r="A418" s="187" t="s">
        <v>54</v>
      </c>
      <c r="B418" s="187" t="s">
        <v>85</v>
      </c>
      <c r="C418" s="187" t="s">
        <v>143</v>
      </c>
      <c r="D418" s="187" t="s">
        <v>143</v>
      </c>
      <c r="E418" s="187" t="s">
        <v>393</v>
      </c>
      <c r="F418" s="187" t="s">
        <v>198</v>
      </c>
      <c r="G418" s="187">
        <v>419130077</v>
      </c>
      <c r="H418" s="187" t="s">
        <v>199</v>
      </c>
      <c r="I418" s="187" t="s">
        <v>58</v>
      </c>
      <c r="J418" s="187" t="s">
        <v>143</v>
      </c>
      <c r="K418" s="187" t="s">
        <v>360</v>
      </c>
      <c r="L418" s="187">
        <v>0</v>
      </c>
      <c r="M418" s="187">
        <v>0</v>
      </c>
      <c r="N418" s="187">
        <v>0</v>
      </c>
      <c r="O418" s="187">
        <v>0</v>
      </c>
      <c r="P418" s="187">
        <v>1</v>
      </c>
    </row>
    <row r="419" spans="1:16" s="187" customFormat="1" ht="12.75">
      <c r="A419" s="187" t="s">
        <v>54</v>
      </c>
      <c r="B419" s="187" t="s">
        <v>85</v>
      </c>
      <c r="C419" s="187" t="s">
        <v>143</v>
      </c>
      <c r="D419" s="187" t="s">
        <v>143</v>
      </c>
      <c r="E419" s="187" t="s">
        <v>393</v>
      </c>
      <c r="F419" s="187" t="s">
        <v>198</v>
      </c>
      <c r="G419" s="187">
        <v>419130077</v>
      </c>
      <c r="H419" s="187" t="s">
        <v>199</v>
      </c>
      <c r="I419" s="187" t="s">
        <v>58</v>
      </c>
      <c r="J419" s="187" t="s">
        <v>143</v>
      </c>
      <c r="K419" s="187" t="s">
        <v>61</v>
      </c>
      <c r="L419" s="187">
        <v>17</v>
      </c>
      <c r="M419" s="187">
        <v>9447.66</v>
      </c>
      <c r="N419" s="187">
        <v>14</v>
      </c>
      <c r="O419" s="187">
        <v>7527.06</v>
      </c>
      <c r="P419" s="187">
        <v>40</v>
      </c>
    </row>
    <row r="420" spans="1:16" s="187" customFormat="1" ht="12.75">
      <c r="A420" s="187" t="s">
        <v>54</v>
      </c>
      <c r="B420" s="187" t="s">
        <v>85</v>
      </c>
      <c r="C420" s="187" t="s">
        <v>143</v>
      </c>
      <c r="D420" s="187" t="s">
        <v>143</v>
      </c>
      <c r="E420" s="187" t="s">
        <v>393</v>
      </c>
      <c r="F420" s="187" t="s">
        <v>198</v>
      </c>
      <c r="G420" s="187">
        <v>419130077</v>
      </c>
      <c r="H420" s="187" t="s">
        <v>199</v>
      </c>
      <c r="I420" s="187" t="s">
        <v>58</v>
      </c>
      <c r="J420" s="187" t="s">
        <v>143</v>
      </c>
      <c r="K420" s="187" t="s">
        <v>443</v>
      </c>
      <c r="L420" s="187">
        <v>2</v>
      </c>
      <c r="M420" s="187">
        <v>1073.72</v>
      </c>
      <c r="N420" s="187">
        <v>2</v>
      </c>
      <c r="O420" s="187">
        <v>1031.97</v>
      </c>
      <c r="P420" s="187">
        <v>0</v>
      </c>
    </row>
    <row r="421" spans="1:16" s="187" customFormat="1" ht="12.75">
      <c r="A421" s="187" t="s">
        <v>54</v>
      </c>
      <c r="B421" s="187" t="s">
        <v>85</v>
      </c>
      <c r="C421" s="187" t="s">
        <v>143</v>
      </c>
      <c r="D421" s="187" t="s">
        <v>143</v>
      </c>
      <c r="E421" s="187" t="s">
        <v>393</v>
      </c>
      <c r="F421" s="187" t="s">
        <v>198</v>
      </c>
      <c r="G421" s="187">
        <v>419130077</v>
      </c>
      <c r="H421" s="187" t="s">
        <v>199</v>
      </c>
      <c r="I421" s="187" t="s">
        <v>58</v>
      </c>
      <c r="J421" s="187" t="s">
        <v>143</v>
      </c>
      <c r="K421" s="187" t="s">
        <v>60</v>
      </c>
      <c r="L421" s="187">
        <v>2</v>
      </c>
      <c r="M421" s="187">
        <v>1225.24</v>
      </c>
      <c r="N421" s="187">
        <v>1</v>
      </c>
      <c r="O421" s="187">
        <v>585.4</v>
      </c>
      <c r="P421" s="187">
        <v>45</v>
      </c>
    </row>
    <row r="422" spans="1:16" s="187" customFormat="1" ht="12.75">
      <c r="A422" s="187" t="s">
        <v>54</v>
      </c>
      <c r="B422" s="187" t="s">
        <v>85</v>
      </c>
      <c r="C422" s="187" t="s">
        <v>143</v>
      </c>
      <c r="D422" s="187" t="s">
        <v>143</v>
      </c>
      <c r="E422" s="187" t="s">
        <v>393</v>
      </c>
      <c r="F422" s="187" t="s">
        <v>198</v>
      </c>
      <c r="G422" s="187">
        <v>419130077</v>
      </c>
      <c r="H422" s="187" t="s">
        <v>199</v>
      </c>
      <c r="I422" s="187" t="s">
        <v>58</v>
      </c>
      <c r="J422" s="187" t="s">
        <v>143</v>
      </c>
      <c r="K422" s="187" t="s">
        <v>493</v>
      </c>
      <c r="L422" s="187">
        <v>0</v>
      </c>
      <c r="M422" s="187">
        <v>0</v>
      </c>
      <c r="N422" s="187">
        <v>0</v>
      </c>
      <c r="O422" s="187">
        <v>0</v>
      </c>
      <c r="P422" s="187">
        <v>1</v>
      </c>
    </row>
    <row r="423" spans="1:16" s="187" customFormat="1" ht="12.75">
      <c r="A423" s="187" t="s">
        <v>54</v>
      </c>
      <c r="B423" s="187" t="s">
        <v>85</v>
      </c>
      <c r="C423" s="187" t="s">
        <v>143</v>
      </c>
      <c r="D423" s="187" t="s">
        <v>143</v>
      </c>
      <c r="E423" s="187" t="s">
        <v>393</v>
      </c>
      <c r="F423" s="187" t="s">
        <v>198</v>
      </c>
      <c r="G423" s="187">
        <v>419130077</v>
      </c>
      <c r="H423" s="187" t="s">
        <v>199</v>
      </c>
      <c r="I423" s="187" t="s">
        <v>58</v>
      </c>
      <c r="J423" s="187" t="s">
        <v>143</v>
      </c>
      <c r="K423" s="187" t="s">
        <v>64</v>
      </c>
      <c r="L423" s="187">
        <v>2</v>
      </c>
      <c r="M423" s="187">
        <v>1245.54</v>
      </c>
      <c r="N423" s="187">
        <v>1</v>
      </c>
      <c r="O423" s="187">
        <v>591.84</v>
      </c>
      <c r="P423" s="187">
        <v>19</v>
      </c>
    </row>
    <row r="424" spans="1:16" s="187" customFormat="1" ht="12.75">
      <c r="A424" s="187" t="s">
        <v>54</v>
      </c>
      <c r="B424" s="187" t="s">
        <v>72</v>
      </c>
      <c r="C424" s="187" t="s">
        <v>143</v>
      </c>
      <c r="D424" s="187" t="s">
        <v>143</v>
      </c>
      <c r="E424" s="187" t="s">
        <v>285</v>
      </c>
      <c r="F424" s="187" t="s">
        <v>200</v>
      </c>
      <c r="G424" s="187">
        <v>419141548</v>
      </c>
      <c r="H424" s="187" t="s">
        <v>201</v>
      </c>
      <c r="I424" s="187" t="s">
        <v>58</v>
      </c>
      <c r="J424" s="187" t="s">
        <v>143</v>
      </c>
      <c r="K424" s="187" t="s">
        <v>288</v>
      </c>
      <c r="L424" s="187">
        <v>0</v>
      </c>
      <c r="M424" s="187">
        <v>0</v>
      </c>
      <c r="N424" s="187">
        <v>0</v>
      </c>
      <c r="O424" s="187">
        <v>0</v>
      </c>
      <c r="P424" s="187">
        <v>1</v>
      </c>
    </row>
    <row r="425" spans="1:16" s="187" customFormat="1" ht="12.75">
      <c r="A425" s="187" t="s">
        <v>54</v>
      </c>
      <c r="B425" s="187" t="s">
        <v>72</v>
      </c>
      <c r="C425" s="187" t="s">
        <v>143</v>
      </c>
      <c r="D425" s="187" t="s">
        <v>143</v>
      </c>
      <c r="E425" s="187" t="s">
        <v>285</v>
      </c>
      <c r="F425" s="187" t="s">
        <v>200</v>
      </c>
      <c r="G425" s="187">
        <v>419141548</v>
      </c>
      <c r="H425" s="187" t="s">
        <v>201</v>
      </c>
      <c r="I425" s="187" t="s">
        <v>58</v>
      </c>
      <c r="J425" s="187" t="s">
        <v>143</v>
      </c>
      <c r="K425" s="187" t="s">
        <v>67</v>
      </c>
      <c r="L425" s="187">
        <v>2</v>
      </c>
      <c r="M425" s="187">
        <v>762.4</v>
      </c>
      <c r="N425" s="187">
        <v>2</v>
      </c>
      <c r="O425" s="187">
        <v>731.85</v>
      </c>
      <c r="P425" s="187">
        <v>11</v>
      </c>
    </row>
    <row r="426" spans="1:16" s="187" customFormat="1" ht="12.75">
      <c r="A426" s="187" t="s">
        <v>54</v>
      </c>
      <c r="B426" s="187" t="s">
        <v>72</v>
      </c>
      <c r="C426" s="187" t="s">
        <v>143</v>
      </c>
      <c r="D426" s="187" t="s">
        <v>143</v>
      </c>
      <c r="E426" s="187" t="s">
        <v>285</v>
      </c>
      <c r="F426" s="187" t="s">
        <v>200</v>
      </c>
      <c r="G426" s="187">
        <v>419141548</v>
      </c>
      <c r="H426" s="187" t="s">
        <v>201</v>
      </c>
      <c r="I426" s="187" t="s">
        <v>58</v>
      </c>
      <c r="J426" s="187" t="s">
        <v>143</v>
      </c>
      <c r="K426" s="187" t="s">
        <v>430</v>
      </c>
      <c r="L426" s="187">
        <v>2</v>
      </c>
      <c r="M426" s="187">
        <v>676.78</v>
      </c>
      <c r="N426" s="187">
        <v>2</v>
      </c>
      <c r="O426" s="187">
        <v>656.52</v>
      </c>
      <c r="P426" s="187">
        <v>16</v>
      </c>
    </row>
    <row r="427" spans="1:16" s="187" customFormat="1" ht="12.75">
      <c r="A427" s="187" t="s">
        <v>54</v>
      </c>
      <c r="B427" s="187" t="s">
        <v>72</v>
      </c>
      <c r="C427" s="187" t="s">
        <v>143</v>
      </c>
      <c r="D427" s="187" t="s">
        <v>143</v>
      </c>
      <c r="E427" s="187" t="s">
        <v>285</v>
      </c>
      <c r="F427" s="187" t="s">
        <v>200</v>
      </c>
      <c r="G427" s="187">
        <v>419141548</v>
      </c>
      <c r="H427" s="187" t="s">
        <v>201</v>
      </c>
      <c r="I427" s="187" t="s">
        <v>58</v>
      </c>
      <c r="J427" s="187" t="s">
        <v>143</v>
      </c>
      <c r="K427" s="187" t="s">
        <v>138</v>
      </c>
      <c r="L427" s="187">
        <v>1</v>
      </c>
      <c r="M427" s="187">
        <v>419.22</v>
      </c>
      <c r="N427" s="187">
        <v>1</v>
      </c>
      <c r="O427" s="187">
        <v>395.99</v>
      </c>
      <c r="P427" s="187">
        <v>0</v>
      </c>
    </row>
    <row r="428" spans="1:16" s="187" customFormat="1" ht="12.75">
      <c r="A428" s="187" t="s">
        <v>54</v>
      </c>
      <c r="B428" s="187" t="s">
        <v>72</v>
      </c>
      <c r="C428" s="187" t="s">
        <v>143</v>
      </c>
      <c r="D428" s="187" t="s">
        <v>143</v>
      </c>
      <c r="E428" s="187" t="s">
        <v>285</v>
      </c>
      <c r="F428" s="187" t="s">
        <v>200</v>
      </c>
      <c r="G428" s="187">
        <v>419141548</v>
      </c>
      <c r="H428" s="187" t="s">
        <v>201</v>
      </c>
      <c r="I428" s="187" t="s">
        <v>58</v>
      </c>
      <c r="J428" s="187" t="s">
        <v>143</v>
      </c>
      <c r="K428" s="187" t="s">
        <v>63</v>
      </c>
      <c r="L428" s="187">
        <v>3</v>
      </c>
      <c r="M428" s="187">
        <v>1043.25</v>
      </c>
      <c r="N428" s="187">
        <v>3</v>
      </c>
      <c r="O428" s="187">
        <v>902.91</v>
      </c>
      <c r="P428" s="187">
        <v>0</v>
      </c>
    </row>
    <row r="429" spans="1:16" s="187" customFormat="1" ht="12.75">
      <c r="A429" s="187" t="s">
        <v>54</v>
      </c>
      <c r="B429" s="187" t="s">
        <v>72</v>
      </c>
      <c r="C429" s="187" t="s">
        <v>143</v>
      </c>
      <c r="D429" s="187" t="s">
        <v>143</v>
      </c>
      <c r="E429" s="187" t="s">
        <v>285</v>
      </c>
      <c r="F429" s="187" t="s">
        <v>200</v>
      </c>
      <c r="G429" s="187">
        <v>419141548</v>
      </c>
      <c r="H429" s="187" t="s">
        <v>201</v>
      </c>
      <c r="I429" s="187" t="s">
        <v>58</v>
      </c>
      <c r="J429" s="187" t="s">
        <v>143</v>
      </c>
      <c r="K429" s="187" t="s">
        <v>360</v>
      </c>
      <c r="L429" s="187">
        <v>0</v>
      </c>
      <c r="M429" s="187">
        <v>0</v>
      </c>
      <c r="N429" s="187">
        <v>0</v>
      </c>
      <c r="O429" s="187">
        <v>0</v>
      </c>
      <c r="P429" s="187">
        <v>1</v>
      </c>
    </row>
    <row r="430" spans="1:16" s="187" customFormat="1" ht="12.75">
      <c r="A430" s="187" t="s">
        <v>54</v>
      </c>
      <c r="B430" s="187" t="s">
        <v>72</v>
      </c>
      <c r="C430" s="187" t="s">
        <v>143</v>
      </c>
      <c r="D430" s="187" t="s">
        <v>143</v>
      </c>
      <c r="E430" s="187" t="s">
        <v>285</v>
      </c>
      <c r="F430" s="187" t="s">
        <v>200</v>
      </c>
      <c r="G430" s="187">
        <v>419141548</v>
      </c>
      <c r="H430" s="187" t="s">
        <v>201</v>
      </c>
      <c r="I430" s="187" t="s">
        <v>58</v>
      </c>
      <c r="J430" s="187" t="s">
        <v>143</v>
      </c>
      <c r="K430" s="187" t="s">
        <v>64</v>
      </c>
      <c r="L430" s="187">
        <v>0</v>
      </c>
      <c r="M430" s="187">
        <v>0</v>
      </c>
      <c r="N430" s="187">
        <v>0</v>
      </c>
      <c r="O430" s="187">
        <v>0</v>
      </c>
      <c r="P430" s="187">
        <v>17</v>
      </c>
    </row>
    <row r="431" spans="1:16" s="187" customFormat="1" ht="12.75">
      <c r="A431" s="187" t="s">
        <v>54</v>
      </c>
      <c r="B431" s="187" t="s">
        <v>72</v>
      </c>
      <c r="C431" s="187" t="s">
        <v>143</v>
      </c>
      <c r="D431" s="187" t="s">
        <v>143</v>
      </c>
      <c r="E431" s="187" t="s">
        <v>285</v>
      </c>
      <c r="F431" s="187" t="s">
        <v>200</v>
      </c>
      <c r="G431" s="187">
        <v>419141548</v>
      </c>
      <c r="H431" s="187" t="s">
        <v>201</v>
      </c>
      <c r="I431" s="187" t="s">
        <v>58</v>
      </c>
      <c r="J431" s="187" t="s">
        <v>143</v>
      </c>
      <c r="K431" s="187" t="s">
        <v>443</v>
      </c>
      <c r="L431" s="187">
        <v>2</v>
      </c>
      <c r="M431" s="187">
        <v>663.76</v>
      </c>
      <c r="N431" s="187">
        <v>3</v>
      </c>
      <c r="O431" s="187">
        <v>862.68</v>
      </c>
      <c r="P431" s="187">
        <v>5</v>
      </c>
    </row>
    <row r="432" spans="1:16" s="187" customFormat="1" ht="12.75">
      <c r="A432" s="187" t="s">
        <v>54</v>
      </c>
      <c r="B432" s="187" t="s">
        <v>72</v>
      </c>
      <c r="C432" s="187" t="s">
        <v>143</v>
      </c>
      <c r="D432" s="187" t="s">
        <v>143</v>
      </c>
      <c r="E432" s="187" t="s">
        <v>285</v>
      </c>
      <c r="F432" s="187" t="s">
        <v>200</v>
      </c>
      <c r="G432" s="187">
        <v>419141548</v>
      </c>
      <c r="H432" s="187" t="s">
        <v>201</v>
      </c>
      <c r="I432" s="187" t="s">
        <v>58</v>
      </c>
      <c r="J432" s="187" t="s">
        <v>143</v>
      </c>
      <c r="K432" s="187" t="s">
        <v>59</v>
      </c>
      <c r="L432" s="187">
        <v>1</v>
      </c>
      <c r="M432" s="187">
        <v>342.5</v>
      </c>
      <c r="N432" s="187">
        <v>0</v>
      </c>
      <c r="O432" s="187">
        <v>0</v>
      </c>
      <c r="P432" s="187">
        <v>0</v>
      </c>
    </row>
    <row r="433" spans="1:16" s="187" customFormat="1" ht="12.75">
      <c r="A433" s="187" t="s">
        <v>54</v>
      </c>
      <c r="B433" s="187" t="s">
        <v>72</v>
      </c>
      <c r="C433" s="187" t="s">
        <v>143</v>
      </c>
      <c r="D433" s="187" t="s">
        <v>143</v>
      </c>
      <c r="E433" s="187" t="s">
        <v>286</v>
      </c>
      <c r="F433" s="187" t="s">
        <v>202</v>
      </c>
      <c r="G433" s="187">
        <v>419141549</v>
      </c>
      <c r="H433" s="187" t="s">
        <v>203</v>
      </c>
      <c r="I433" s="187" t="s">
        <v>58</v>
      </c>
      <c r="J433" s="187" t="s">
        <v>143</v>
      </c>
      <c r="K433" s="187" t="s">
        <v>62</v>
      </c>
      <c r="L433" s="187">
        <v>1</v>
      </c>
      <c r="M433" s="187">
        <v>304.82</v>
      </c>
      <c r="N433" s="187">
        <v>1</v>
      </c>
      <c r="O433" s="187">
        <v>298.16000000000003</v>
      </c>
      <c r="P433" s="187">
        <v>0</v>
      </c>
    </row>
    <row r="434" spans="1:16" s="187" customFormat="1" ht="12.75">
      <c r="A434" s="187" t="s">
        <v>54</v>
      </c>
      <c r="B434" s="187" t="s">
        <v>72</v>
      </c>
      <c r="C434" s="187" t="s">
        <v>143</v>
      </c>
      <c r="D434" s="187" t="s">
        <v>143</v>
      </c>
      <c r="E434" s="187" t="s">
        <v>286</v>
      </c>
      <c r="F434" s="187" t="s">
        <v>202</v>
      </c>
      <c r="G434" s="187">
        <v>419141549</v>
      </c>
      <c r="H434" s="187" t="s">
        <v>203</v>
      </c>
      <c r="I434" s="187" t="s">
        <v>58</v>
      </c>
      <c r="J434" s="187" t="s">
        <v>143</v>
      </c>
      <c r="K434" s="187" t="s">
        <v>60</v>
      </c>
      <c r="L434" s="187">
        <v>4</v>
      </c>
      <c r="M434" s="187">
        <v>1338.47</v>
      </c>
      <c r="N434" s="187">
        <v>4</v>
      </c>
      <c r="O434" s="187">
        <v>1282.8399999999999</v>
      </c>
      <c r="P434" s="187">
        <v>0</v>
      </c>
    </row>
    <row r="435" spans="1:16" s="187" customFormat="1" ht="12.75">
      <c r="A435" s="187" t="s">
        <v>54</v>
      </c>
      <c r="B435" s="187" t="s">
        <v>72</v>
      </c>
      <c r="C435" s="187" t="s">
        <v>143</v>
      </c>
      <c r="D435" s="187" t="s">
        <v>143</v>
      </c>
      <c r="E435" s="187" t="s">
        <v>286</v>
      </c>
      <c r="F435" s="187" t="s">
        <v>202</v>
      </c>
      <c r="G435" s="187">
        <v>419141549</v>
      </c>
      <c r="H435" s="187" t="s">
        <v>203</v>
      </c>
      <c r="I435" s="187" t="s">
        <v>58</v>
      </c>
      <c r="J435" s="187" t="s">
        <v>143</v>
      </c>
      <c r="K435" s="187" t="s">
        <v>430</v>
      </c>
      <c r="L435" s="187">
        <v>0</v>
      </c>
      <c r="M435" s="187">
        <v>0</v>
      </c>
      <c r="N435" s="187">
        <v>1</v>
      </c>
      <c r="O435" s="187">
        <v>302.22000000000003</v>
      </c>
      <c r="P435" s="187">
        <v>0</v>
      </c>
    </row>
    <row r="436" spans="1:16" s="187" customFormat="1" ht="12.75">
      <c r="A436" s="187" t="s">
        <v>54</v>
      </c>
      <c r="B436" s="187" t="s">
        <v>72</v>
      </c>
      <c r="C436" s="187" t="s">
        <v>143</v>
      </c>
      <c r="D436" s="187" t="s">
        <v>143</v>
      </c>
      <c r="E436" s="187" t="s">
        <v>286</v>
      </c>
      <c r="F436" s="187" t="s">
        <v>202</v>
      </c>
      <c r="G436" s="187">
        <v>419141549</v>
      </c>
      <c r="H436" s="187" t="s">
        <v>203</v>
      </c>
      <c r="I436" s="187" t="s">
        <v>58</v>
      </c>
      <c r="J436" s="187" t="s">
        <v>143</v>
      </c>
      <c r="K436" s="187" t="s">
        <v>443</v>
      </c>
      <c r="L436" s="187">
        <v>1</v>
      </c>
      <c r="M436" s="187">
        <v>485.66</v>
      </c>
      <c r="N436" s="187">
        <v>1</v>
      </c>
      <c r="O436" s="187">
        <v>465.67</v>
      </c>
      <c r="P436" s="187">
        <v>0</v>
      </c>
    </row>
    <row r="437" spans="1:16" s="187" customFormat="1" ht="12.75">
      <c r="A437" s="187" t="s">
        <v>54</v>
      </c>
      <c r="B437" s="187" t="s">
        <v>72</v>
      </c>
      <c r="C437" s="187" t="s">
        <v>143</v>
      </c>
      <c r="D437" s="187" t="s">
        <v>143</v>
      </c>
      <c r="E437" s="187" t="s">
        <v>286</v>
      </c>
      <c r="F437" s="187" t="s">
        <v>202</v>
      </c>
      <c r="G437" s="187">
        <v>419141549</v>
      </c>
      <c r="H437" s="187" t="s">
        <v>203</v>
      </c>
      <c r="I437" s="187" t="s">
        <v>58</v>
      </c>
      <c r="J437" s="187" t="s">
        <v>143</v>
      </c>
      <c r="K437" s="187" t="s">
        <v>64</v>
      </c>
      <c r="L437" s="187">
        <v>1</v>
      </c>
      <c r="M437" s="187">
        <v>236.32</v>
      </c>
      <c r="N437" s="187">
        <v>4</v>
      </c>
      <c r="O437" s="187">
        <v>906.87</v>
      </c>
      <c r="P437" s="187">
        <v>0</v>
      </c>
    </row>
    <row r="438" spans="1:16" s="187" customFormat="1" ht="12.75">
      <c r="A438" s="187" t="s">
        <v>54</v>
      </c>
      <c r="B438" s="187" t="s">
        <v>72</v>
      </c>
      <c r="C438" s="187" t="s">
        <v>143</v>
      </c>
      <c r="D438" s="187" t="s">
        <v>143</v>
      </c>
      <c r="E438" s="187" t="s">
        <v>285</v>
      </c>
      <c r="F438" s="187" t="s">
        <v>204</v>
      </c>
      <c r="G438" s="187">
        <v>419145389</v>
      </c>
      <c r="H438" s="187" t="s">
        <v>205</v>
      </c>
      <c r="I438" s="187" t="s">
        <v>58</v>
      </c>
      <c r="J438" s="187" t="s">
        <v>143</v>
      </c>
      <c r="K438" s="187" t="s">
        <v>443</v>
      </c>
      <c r="L438" s="187">
        <v>2</v>
      </c>
      <c r="M438" s="187">
        <v>674.72</v>
      </c>
      <c r="N438" s="187">
        <v>2</v>
      </c>
      <c r="O438" s="187">
        <v>660.83</v>
      </c>
      <c r="P438" s="187">
        <v>10</v>
      </c>
    </row>
    <row r="439" spans="1:16" s="187" customFormat="1" ht="12.75">
      <c r="A439" s="187" t="s">
        <v>54</v>
      </c>
      <c r="B439" s="187" t="s">
        <v>72</v>
      </c>
      <c r="C439" s="187" t="s">
        <v>143</v>
      </c>
      <c r="D439" s="187" t="s">
        <v>143</v>
      </c>
      <c r="E439" s="187" t="s">
        <v>285</v>
      </c>
      <c r="F439" s="187" t="s">
        <v>204</v>
      </c>
      <c r="G439" s="187">
        <v>419145389</v>
      </c>
      <c r="H439" s="187" t="s">
        <v>205</v>
      </c>
      <c r="I439" s="187" t="s">
        <v>58</v>
      </c>
      <c r="J439" s="187" t="s">
        <v>143</v>
      </c>
      <c r="K439" s="187" t="s">
        <v>360</v>
      </c>
      <c r="L439" s="187">
        <v>0</v>
      </c>
      <c r="M439" s="187">
        <v>0</v>
      </c>
      <c r="N439" s="187">
        <v>0</v>
      </c>
      <c r="O439" s="187">
        <v>0</v>
      </c>
      <c r="P439" s="187">
        <v>1</v>
      </c>
    </row>
    <row r="440" spans="1:16" s="187" customFormat="1" ht="12.75">
      <c r="A440" s="187" t="s">
        <v>54</v>
      </c>
      <c r="B440" s="187" t="s">
        <v>72</v>
      </c>
      <c r="C440" s="187" t="s">
        <v>143</v>
      </c>
      <c r="D440" s="187" t="s">
        <v>143</v>
      </c>
      <c r="E440" s="187" t="s">
        <v>285</v>
      </c>
      <c r="F440" s="187" t="s">
        <v>204</v>
      </c>
      <c r="G440" s="187">
        <v>419145389</v>
      </c>
      <c r="H440" s="187" t="s">
        <v>205</v>
      </c>
      <c r="I440" s="187" t="s">
        <v>58</v>
      </c>
      <c r="J440" s="187" t="s">
        <v>143</v>
      </c>
      <c r="K440" s="187" t="s">
        <v>430</v>
      </c>
      <c r="L440" s="187">
        <v>0</v>
      </c>
      <c r="M440" s="187">
        <v>0</v>
      </c>
      <c r="N440" s="187">
        <v>0</v>
      </c>
      <c r="O440" s="187">
        <v>0</v>
      </c>
      <c r="P440" s="187">
        <v>19</v>
      </c>
    </row>
    <row r="441" spans="1:16" s="187" customFormat="1" ht="12.75">
      <c r="A441" s="187" t="s">
        <v>54</v>
      </c>
      <c r="B441" s="187" t="s">
        <v>72</v>
      </c>
      <c r="C441" s="187" t="s">
        <v>143</v>
      </c>
      <c r="D441" s="187" t="s">
        <v>143</v>
      </c>
      <c r="E441" s="187" t="s">
        <v>285</v>
      </c>
      <c r="F441" s="187" t="s">
        <v>204</v>
      </c>
      <c r="G441" s="187">
        <v>419145389</v>
      </c>
      <c r="H441" s="187" t="s">
        <v>205</v>
      </c>
      <c r="I441" s="187" t="s">
        <v>58</v>
      </c>
      <c r="J441" s="187" t="s">
        <v>143</v>
      </c>
      <c r="K441" s="187" t="s">
        <v>67</v>
      </c>
      <c r="L441" s="187">
        <v>3</v>
      </c>
      <c r="M441" s="187">
        <v>1146</v>
      </c>
      <c r="N441" s="187">
        <v>2</v>
      </c>
      <c r="O441" s="187">
        <v>710.84</v>
      </c>
      <c r="P441" s="187">
        <v>4</v>
      </c>
    </row>
    <row r="442" spans="1:16" s="187" customFormat="1" ht="12.75">
      <c r="A442" s="187" t="s">
        <v>54</v>
      </c>
      <c r="B442" s="187" t="s">
        <v>72</v>
      </c>
      <c r="C442" s="187" t="s">
        <v>143</v>
      </c>
      <c r="D442" s="187" t="s">
        <v>143</v>
      </c>
      <c r="E442" s="187" t="s">
        <v>285</v>
      </c>
      <c r="F442" s="187" t="s">
        <v>204</v>
      </c>
      <c r="G442" s="187">
        <v>419145389</v>
      </c>
      <c r="H442" s="187" t="s">
        <v>205</v>
      </c>
      <c r="I442" s="187" t="s">
        <v>58</v>
      </c>
      <c r="J442" s="187" t="s">
        <v>143</v>
      </c>
      <c r="K442" s="187" t="s">
        <v>64</v>
      </c>
      <c r="L442" s="187">
        <v>1</v>
      </c>
      <c r="M442" s="187">
        <v>379.49</v>
      </c>
      <c r="N442" s="187">
        <v>0</v>
      </c>
      <c r="O442" s="187">
        <v>0</v>
      </c>
      <c r="P442" s="187">
        <v>14</v>
      </c>
    </row>
    <row r="443" spans="1:16" s="187" customFormat="1" ht="12.75">
      <c r="A443" s="187" t="s">
        <v>54</v>
      </c>
      <c r="B443" s="187" t="s">
        <v>72</v>
      </c>
      <c r="C443" s="187" t="s">
        <v>143</v>
      </c>
      <c r="D443" s="187" t="s">
        <v>143</v>
      </c>
      <c r="E443" s="187" t="s">
        <v>286</v>
      </c>
      <c r="F443" s="187" t="s">
        <v>206</v>
      </c>
      <c r="G443" s="187">
        <v>419145390</v>
      </c>
      <c r="H443" s="187" t="s">
        <v>207</v>
      </c>
      <c r="I443" s="187" t="s">
        <v>58</v>
      </c>
      <c r="J443" s="187" t="s">
        <v>143</v>
      </c>
      <c r="K443" s="187" t="s">
        <v>60</v>
      </c>
      <c r="L443" s="187">
        <v>0</v>
      </c>
      <c r="M443" s="187">
        <v>0</v>
      </c>
      <c r="N443" s="187">
        <v>1</v>
      </c>
      <c r="O443" s="187">
        <v>323.54000000000002</v>
      </c>
      <c r="P443" s="187">
        <v>0</v>
      </c>
    </row>
    <row r="444" spans="1:16" s="187" customFormat="1" ht="12.75">
      <c r="A444" s="187" t="s">
        <v>54</v>
      </c>
      <c r="B444" s="187" t="s">
        <v>72</v>
      </c>
      <c r="C444" s="187" t="s">
        <v>143</v>
      </c>
      <c r="D444" s="187" t="s">
        <v>143</v>
      </c>
      <c r="E444" s="187" t="s">
        <v>286</v>
      </c>
      <c r="F444" s="187" t="s">
        <v>206</v>
      </c>
      <c r="G444" s="187">
        <v>419145390</v>
      </c>
      <c r="H444" s="187" t="s">
        <v>207</v>
      </c>
      <c r="I444" s="187" t="s">
        <v>58</v>
      </c>
      <c r="J444" s="187" t="s">
        <v>143</v>
      </c>
      <c r="K444" s="187" t="s">
        <v>63</v>
      </c>
      <c r="L444" s="187">
        <v>2</v>
      </c>
      <c r="M444" s="187">
        <v>752.12</v>
      </c>
      <c r="N444" s="187">
        <v>2</v>
      </c>
      <c r="O444" s="187">
        <v>711.77</v>
      </c>
      <c r="P444" s="187">
        <v>0</v>
      </c>
    </row>
    <row r="445" spans="1:16" s="187" customFormat="1" ht="12.75">
      <c r="A445" s="187" t="s">
        <v>54</v>
      </c>
      <c r="B445" s="187" t="s">
        <v>72</v>
      </c>
      <c r="C445" s="187" t="s">
        <v>143</v>
      </c>
      <c r="D445" s="187" t="s">
        <v>143</v>
      </c>
      <c r="E445" s="187" t="s">
        <v>286</v>
      </c>
      <c r="F445" s="187" t="s">
        <v>206</v>
      </c>
      <c r="G445" s="187">
        <v>419145390</v>
      </c>
      <c r="H445" s="187" t="s">
        <v>207</v>
      </c>
      <c r="I445" s="187" t="s">
        <v>58</v>
      </c>
      <c r="J445" s="187" t="s">
        <v>143</v>
      </c>
      <c r="K445" s="187" t="s">
        <v>61</v>
      </c>
      <c r="L445" s="187">
        <v>2</v>
      </c>
      <c r="M445" s="187">
        <v>752.12</v>
      </c>
      <c r="N445" s="187">
        <v>2</v>
      </c>
      <c r="O445" s="187">
        <v>721.26</v>
      </c>
      <c r="P445" s="187">
        <v>0</v>
      </c>
    </row>
    <row r="446" spans="1:16" s="187" customFormat="1" ht="12.75">
      <c r="A446" s="187" t="s">
        <v>54</v>
      </c>
      <c r="B446" s="187" t="s">
        <v>72</v>
      </c>
      <c r="C446" s="187" t="s">
        <v>143</v>
      </c>
      <c r="D446" s="187" t="s">
        <v>143</v>
      </c>
      <c r="E446" s="187" t="s">
        <v>286</v>
      </c>
      <c r="F446" s="187" t="s">
        <v>206</v>
      </c>
      <c r="G446" s="187">
        <v>419145390</v>
      </c>
      <c r="H446" s="187" t="s">
        <v>207</v>
      </c>
      <c r="I446" s="187" t="s">
        <v>58</v>
      </c>
      <c r="J446" s="187" t="s">
        <v>143</v>
      </c>
      <c r="K446" s="187" t="s">
        <v>59</v>
      </c>
      <c r="L446" s="187">
        <v>1</v>
      </c>
      <c r="M446" s="187">
        <v>424.01</v>
      </c>
      <c r="N446" s="187">
        <v>1</v>
      </c>
      <c r="O446" s="187">
        <v>400.84</v>
      </c>
      <c r="P446" s="187">
        <v>0</v>
      </c>
    </row>
    <row r="447" spans="1:16" s="187" customFormat="1" ht="12.75">
      <c r="A447" s="187" t="s">
        <v>54</v>
      </c>
      <c r="B447" s="187" t="s">
        <v>72</v>
      </c>
      <c r="C447" s="187" t="s">
        <v>143</v>
      </c>
      <c r="D447" s="187" t="s">
        <v>143</v>
      </c>
      <c r="E447" s="187" t="s">
        <v>286</v>
      </c>
      <c r="F447" s="187" t="s">
        <v>206</v>
      </c>
      <c r="G447" s="187">
        <v>419145390</v>
      </c>
      <c r="H447" s="187" t="s">
        <v>207</v>
      </c>
      <c r="I447" s="187" t="s">
        <v>58</v>
      </c>
      <c r="J447" s="187" t="s">
        <v>143</v>
      </c>
      <c r="K447" s="187" t="s">
        <v>138</v>
      </c>
      <c r="L447" s="187">
        <v>1</v>
      </c>
      <c r="M447" s="187">
        <v>424.01</v>
      </c>
      <c r="N447" s="187">
        <v>1</v>
      </c>
      <c r="O447" s="187">
        <v>406.1</v>
      </c>
      <c r="P447" s="187">
        <v>0</v>
      </c>
    </row>
    <row r="448" spans="1:16" s="187" customFormat="1" ht="12.75">
      <c r="A448" s="187" t="s">
        <v>54</v>
      </c>
      <c r="B448" s="187" t="s">
        <v>72</v>
      </c>
      <c r="C448" s="187" t="s">
        <v>143</v>
      </c>
      <c r="D448" s="187" t="s">
        <v>143</v>
      </c>
      <c r="E448" s="187" t="s">
        <v>286</v>
      </c>
      <c r="F448" s="187" t="s">
        <v>206</v>
      </c>
      <c r="G448" s="187">
        <v>419145390</v>
      </c>
      <c r="H448" s="187" t="s">
        <v>207</v>
      </c>
      <c r="I448" s="187" t="s">
        <v>58</v>
      </c>
      <c r="J448" s="187" t="s">
        <v>143</v>
      </c>
      <c r="K448" s="187" t="s">
        <v>62</v>
      </c>
      <c r="L448" s="187">
        <v>0</v>
      </c>
      <c r="M448" s="187">
        <v>0</v>
      </c>
      <c r="N448" s="187">
        <v>1</v>
      </c>
      <c r="O448" s="187">
        <v>234.06</v>
      </c>
      <c r="P448" s="187">
        <v>0</v>
      </c>
    </row>
    <row r="449" spans="1:16" s="187" customFormat="1" ht="12.75">
      <c r="A449" s="187" t="s">
        <v>54</v>
      </c>
      <c r="B449" s="187" t="s">
        <v>72</v>
      </c>
      <c r="C449" s="187" t="s">
        <v>143</v>
      </c>
      <c r="D449" s="187" t="s">
        <v>143</v>
      </c>
      <c r="E449" s="187" t="s">
        <v>286</v>
      </c>
      <c r="F449" s="187" t="s">
        <v>206</v>
      </c>
      <c r="G449" s="187">
        <v>419145390</v>
      </c>
      <c r="H449" s="187" t="s">
        <v>207</v>
      </c>
      <c r="I449" s="187" t="s">
        <v>58</v>
      </c>
      <c r="J449" s="187" t="s">
        <v>143</v>
      </c>
      <c r="K449" s="187" t="s">
        <v>288</v>
      </c>
      <c r="L449" s="187">
        <v>1</v>
      </c>
      <c r="M449" s="187">
        <v>424.01</v>
      </c>
      <c r="N449" s="187">
        <v>1</v>
      </c>
      <c r="O449" s="187">
        <v>406.22</v>
      </c>
      <c r="P449" s="187">
        <v>0</v>
      </c>
    </row>
    <row r="450" spans="1:16" s="187" customFormat="1" ht="12.75">
      <c r="A450" s="187" t="s">
        <v>54</v>
      </c>
      <c r="B450" s="187" t="s">
        <v>72</v>
      </c>
      <c r="C450" s="187" t="s">
        <v>143</v>
      </c>
      <c r="D450" s="187" t="s">
        <v>143</v>
      </c>
      <c r="E450" s="187" t="s">
        <v>285</v>
      </c>
      <c r="F450" s="187" t="s">
        <v>208</v>
      </c>
      <c r="G450" s="187">
        <v>419145748</v>
      </c>
      <c r="H450" s="187" t="s">
        <v>209</v>
      </c>
      <c r="I450" s="187" t="s">
        <v>58</v>
      </c>
      <c r="J450" s="187" t="s">
        <v>143</v>
      </c>
      <c r="K450" s="187" t="s">
        <v>89</v>
      </c>
      <c r="L450" s="187">
        <v>0</v>
      </c>
      <c r="M450" s="187">
        <v>0</v>
      </c>
      <c r="N450" s="187">
        <v>0</v>
      </c>
      <c r="O450" s="187">
        <v>0</v>
      </c>
      <c r="P450" s="187">
        <v>1</v>
      </c>
    </row>
    <row r="451" spans="1:16" s="187" customFormat="1" ht="12.75">
      <c r="A451" s="187" t="s">
        <v>54</v>
      </c>
      <c r="B451" s="187" t="s">
        <v>72</v>
      </c>
      <c r="C451" s="187" t="s">
        <v>143</v>
      </c>
      <c r="D451" s="187" t="s">
        <v>143</v>
      </c>
      <c r="E451" s="187" t="s">
        <v>285</v>
      </c>
      <c r="F451" s="187" t="s">
        <v>208</v>
      </c>
      <c r="G451" s="187">
        <v>419145748</v>
      </c>
      <c r="H451" s="187" t="s">
        <v>209</v>
      </c>
      <c r="I451" s="187" t="s">
        <v>58</v>
      </c>
      <c r="J451" s="187" t="s">
        <v>143</v>
      </c>
      <c r="K451" s="187" t="s">
        <v>443</v>
      </c>
      <c r="L451" s="187">
        <v>1</v>
      </c>
      <c r="M451" s="187">
        <v>419.22</v>
      </c>
      <c r="N451" s="187">
        <v>1</v>
      </c>
      <c r="O451" s="187">
        <v>234.3</v>
      </c>
      <c r="P451" s="187">
        <v>9</v>
      </c>
    </row>
    <row r="452" spans="1:16" s="187" customFormat="1" ht="12.75">
      <c r="A452" s="187" t="s">
        <v>54</v>
      </c>
      <c r="B452" s="187" t="s">
        <v>72</v>
      </c>
      <c r="C452" s="187" t="s">
        <v>143</v>
      </c>
      <c r="D452" s="187" t="s">
        <v>143</v>
      </c>
      <c r="E452" s="187" t="s">
        <v>285</v>
      </c>
      <c r="F452" s="187" t="s">
        <v>208</v>
      </c>
      <c r="G452" s="187">
        <v>419145748</v>
      </c>
      <c r="H452" s="187" t="s">
        <v>209</v>
      </c>
      <c r="I452" s="187" t="s">
        <v>58</v>
      </c>
      <c r="J452" s="187" t="s">
        <v>143</v>
      </c>
      <c r="K452" s="187" t="s">
        <v>63</v>
      </c>
      <c r="L452" s="187">
        <v>1</v>
      </c>
      <c r="M452" s="187">
        <v>419.22</v>
      </c>
      <c r="N452" s="187">
        <v>1</v>
      </c>
      <c r="O452" s="187">
        <v>230.31</v>
      </c>
      <c r="P452" s="187">
        <v>11</v>
      </c>
    </row>
    <row r="453" spans="1:16" s="187" customFormat="1" ht="12.75">
      <c r="A453" s="187" t="s">
        <v>54</v>
      </c>
      <c r="B453" s="187" t="s">
        <v>72</v>
      </c>
      <c r="C453" s="187" t="s">
        <v>143</v>
      </c>
      <c r="D453" s="187" t="s">
        <v>143</v>
      </c>
      <c r="E453" s="187" t="s">
        <v>285</v>
      </c>
      <c r="F453" s="187" t="s">
        <v>208</v>
      </c>
      <c r="G453" s="187">
        <v>419145748</v>
      </c>
      <c r="H453" s="187" t="s">
        <v>209</v>
      </c>
      <c r="I453" s="187" t="s">
        <v>58</v>
      </c>
      <c r="J453" s="187" t="s">
        <v>143</v>
      </c>
      <c r="K453" s="187" t="s">
        <v>67</v>
      </c>
      <c r="L453" s="187">
        <v>0</v>
      </c>
      <c r="M453" s="187">
        <v>0</v>
      </c>
      <c r="N453" s="187">
        <v>0</v>
      </c>
      <c r="O453" s="187">
        <v>0</v>
      </c>
      <c r="P453" s="187">
        <v>16</v>
      </c>
    </row>
    <row r="454" spans="1:16" s="187" customFormat="1" ht="12.75">
      <c r="A454" s="187" t="s">
        <v>54</v>
      </c>
      <c r="B454" s="187" t="s">
        <v>72</v>
      </c>
      <c r="C454" s="187" t="s">
        <v>143</v>
      </c>
      <c r="D454" s="187" t="s">
        <v>143</v>
      </c>
      <c r="E454" s="187" t="s">
        <v>285</v>
      </c>
      <c r="F454" s="187" t="s">
        <v>208</v>
      </c>
      <c r="G454" s="187">
        <v>419145748</v>
      </c>
      <c r="H454" s="187" t="s">
        <v>209</v>
      </c>
      <c r="I454" s="187" t="s">
        <v>58</v>
      </c>
      <c r="J454" s="187" t="s">
        <v>143</v>
      </c>
      <c r="K454" s="187" t="s">
        <v>64</v>
      </c>
      <c r="L454" s="187">
        <v>0</v>
      </c>
      <c r="M454" s="187">
        <v>0</v>
      </c>
      <c r="N454" s="187">
        <v>0</v>
      </c>
      <c r="O454" s="187">
        <v>0</v>
      </c>
      <c r="P454" s="187">
        <v>18</v>
      </c>
    </row>
    <row r="455" spans="1:16" s="187" customFormat="1" ht="12.75">
      <c r="A455" s="187" t="s">
        <v>54</v>
      </c>
      <c r="B455" s="187" t="s">
        <v>72</v>
      </c>
      <c r="C455" s="187" t="s">
        <v>143</v>
      </c>
      <c r="D455" s="187" t="s">
        <v>143</v>
      </c>
      <c r="E455" s="187" t="s">
        <v>285</v>
      </c>
      <c r="F455" s="187" t="s">
        <v>208</v>
      </c>
      <c r="G455" s="187">
        <v>419145748</v>
      </c>
      <c r="H455" s="187" t="s">
        <v>209</v>
      </c>
      <c r="I455" s="187" t="s">
        <v>58</v>
      </c>
      <c r="J455" s="187" t="s">
        <v>143</v>
      </c>
      <c r="K455" s="187" t="s">
        <v>430</v>
      </c>
      <c r="L455" s="187">
        <v>2</v>
      </c>
      <c r="M455" s="187">
        <v>758.97</v>
      </c>
      <c r="N455" s="187">
        <v>2</v>
      </c>
      <c r="O455" s="187">
        <v>728.03</v>
      </c>
      <c r="P455" s="187">
        <v>15</v>
      </c>
    </row>
    <row r="456" spans="1:16" s="187" customFormat="1" ht="12.75">
      <c r="A456" s="187" t="s">
        <v>54</v>
      </c>
      <c r="B456" s="187" t="s">
        <v>72</v>
      </c>
      <c r="C456" s="187" t="s">
        <v>143</v>
      </c>
      <c r="D456" s="187" t="s">
        <v>143</v>
      </c>
      <c r="E456" s="187" t="s">
        <v>286</v>
      </c>
      <c r="F456" s="187" t="s">
        <v>210</v>
      </c>
      <c r="G456" s="187">
        <v>419145749</v>
      </c>
      <c r="H456" s="187" t="s">
        <v>211</v>
      </c>
      <c r="I456" s="187" t="s">
        <v>58</v>
      </c>
      <c r="J456" s="187" t="s">
        <v>143</v>
      </c>
      <c r="K456" s="187" t="s">
        <v>64</v>
      </c>
      <c r="L456" s="187">
        <v>3</v>
      </c>
      <c r="M456" s="187">
        <v>1093.26</v>
      </c>
      <c r="N456" s="187">
        <v>3</v>
      </c>
      <c r="O456" s="187">
        <v>1036.17</v>
      </c>
      <c r="P456" s="187">
        <v>12</v>
      </c>
    </row>
    <row r="457" spans="1:16" s="187" customFormat="1" ht="12.75">
      <c r="A457" s="187" t="s">
        <v>54</v>
      </c>
      <c r="B457" s="187" t="s">
        <v>72</v>
      </c>
      <c r="C457" s="187" t="s">
        <v>143</v>
      </c>
      <c r="D457" s="187" t="s">
        <v>143</v>
      </c>
      <c r="E457" s="187" t="s">
        <v>286</v>
      </c>
      <c r="F457" s="187" t="s">
        <v>210</v>
      </c>
      <c r="G457" s="187">
        <v>419145749</v>
      </c>
      <c r="H457" s="187" t="s">
        <v>211</v>
      </c>
      <c r="I457" s="187" t="s">
        <v>58</v>
      </c>
      <c r="J457" s="187" t="s">
        <v>143</v>
      </c>
      <c r="K457" s="187" t="s">
        <v>67</v>
      </c>
      <c r="L457" s="187">
        <v>1</v>
      </c>
      <c r="M457" s="187">
        <v>356.2</v>
      </c>
      <c r="N457" s="187">
        <v>1</v>
      </c>
      <c r="O457" s="187">
        <v>336.97</v>
      </c>
      <c r="P457" s="187">
        <v>13</v>
      </c>
    </row>
    <row r="458" spans="1:16" s="187" customFormat="1" ht="12.75">
      <c r="A458" s="187" t="s">
        <v>54</v>
      </c>
      <c r="B458" s="187" t="s">
        <v>72</v>
      </c>
      <c r="C458" s="187" t="s">
        <v>143</v>
      </c>
      <c r="D458" s="187" t="s">
        <v>143</v>
      </c>
      <c r="E458" s="187" t="s">
        <v>286</v>
      </c>
      <c r="F458" s="187" t="s">
        <v>210</v>
      </c>
      <c r="G458" s="187">
        <v>419145749</v>
      </c>
      <c r="H458" s="187" t="s">
        <v>211</v>
      </c>
      <c r="I458" s="187" t="s">
        <v>58</v>
      </c>
      <c r="J458" s="187" t="s">
        <v>143</v>
      </c>
      <c r="K458" s="187" t="s">
        <v>430</v>
      </c>
      <c r="L458" s="187">
        <v>0</v>
      </c>
      <c r="M458" s="187">
        <v>0</v>
      </c>
      <c r="N458" s="187">
        <v>0</v>
      </c>
      <c r="O458" s="187">
        <v>0</v>
      </c>
      <c r="P458" s="187">
        <v>10</v>
      </c>
    </row>
    <row r="459" spans="1:16" s="187" customFormat="1" ht="12.75">
      <c r="A459" s="187" t="s">
        <v>54</v>
      </c>
      <c r="B459" s="187" t="s">
        <v>72</v>
      </c>
      <c r="C459" s="187" t="s">
        <v>143</v>
      </c>
      <c r="D459" s="187" t="s">
        <v>143</v>
      </c>
      <c r="E459" s="187" t="s">
        <v>286</v>
      </c>
      <c r="F459" s="187" t="s">
        <v>210</v>
      </c>
      <c r="G459" s="187">
        <v>419145749</v>
      </c>
      <c r="H459" s="187" t="s">
        <v>211</v>
      </c>
      <c r="I459" s="187" t="s">
        <v>58</v>
      </c>
      <c r="J459" s="187" t="s">
        <v>143</v>
      </c>
      <c r="K459" s="187" t="s">
        <v>360</v>
      </c>
      <c r="L459" s="187">
        <v>0</v>
      </c>
      <c r="M459" s="187">
        <v>0</v>
      </c>
      <c r="N459" s="187">
        <v>0</v>
      </c>
      <c r="O459" s="187">
        <v>0</v>
      </c>
      <c r="P459" s="187">
        <v>1</v>
      </c>
    </row>
    <row r="460" spans="1:16" s="187" customFormat="1" ht="12.75">
      <c r="A460" s="187" t="s">
        <v>54</v>
      </c>
      <c r="B460" s="187" t="s">
        <v>72</v>
      </c>
      <c r="C460" s="187" t="s">
        <v>143</v>
      </c>
      <c r="D460" s="187" t="s">
        <v>143</v>
      </c>
      <c r="E460" s="187" t="s">
        <v>286</v>
      </c>
      <c r="F460" s="187" t="s">
        <v>210</v>
      </c>
      <c r="G460" s="187">
        <v>419145749</v>
      </c>
      <c r="H460" s="187" t="s">
        <v>211</v>
      </c>
      <c r="I460" s="187" t="s">
        <v>58</v>
      </c>
      <c r="J460" s="187" t="s">
        <v>143</v>
      </c>
      <c r="K460" s="187" t="s">
        <v>171</v>
      </c>
      <c r="L460" s="187">
        <v>0</v>
      </c>
      <c r="M460" s="187">
        <v>0</v>
      </c>
      <c r="N460" s="187">
        <v>0</v>
      </c>
      <c r="O460" s="187">
        <v>0</v>
      </c>
      <c r="P460" s="187">
        <v>5</v>
      </c>
    </row>
    <row r="461" spans="1:16" s="187" customFormat="1" ht="12.75">
      <c r="A461" s="187" t="s">
        <v>54</v>
      </c>
      <c r="B461" s="187" t="s">
        <v>72</v>
      </c>
      <c r="C461" s="187" t="s">
        <v>143</v>
      </c>
      <c r="D461" s="187" t="s">
        <v>143</v>
      </c>
      <c r="E461" s="187" t="s">
        <v>286</v>
      </c>
      <c r="F461" s="187" t="s">
        <v>210</v>
      </c>
      <c r="G461" s="187">
        <v>419145749</v>
      </c>
      <c r="H461" s="187" t="s">
        <v>211</v>
      </c>
      <c r="I461" s="187" t="s">
        <v>58</v>
      </c>
      <c r="J461" s="187" t="s">
        <v>143</v>
      </c>
      <c r="K461" s="187" t="s">
        <v>63</v>
      </c>
      <c r="L461" s="187">
        <v>1</v>
      </c>
      <c r="M461" s="187">
        <v>356.2</v>
      </c>
      <c r="N461" s="187">
        <v>1</v>
      </c>
      <c r="O461" s="187">
        <v>333.62</v>
      </c>
      <c r="P461" s="187">
        <v>9</v>
      </c>
    </row>
    <row r="462" spans="1:16" s="187" customFormat="1" ht="12.75">
      <c r="A462" s="187" t="s">
        <v>54</v>
      </c>
      <c r="B462" s="187" t="s">
        <v>72</v>
      </c>
      <c r="C462" s="187" t="s">
        <v>143</v>
      </c>
      <c r="D462" s="187" t="s">
        <v>143</v>
      </c>
      <c r="E462" s="187" t="s">
        <v>286</v>
      </c>
      <c r="F462" s="187" t="s">
        <v>210</v>
      </c>
      <c r="G462" s="187">
        <v>419145749</v>
      </c>
      <c r="H462" s="187" t="s">
        <v>211</v>
      </c>
      <c r="I462" s="187" t="s">
        <v>58</v>
      </c>
      <c r="J462" s="187" t="s">
        <v>143</v>
      </c>
      <c r="K462" s="187" t="s">
        <v>60</v>
      </c>
      <c r="L462" s="187">
        <v>0</v>
      </c>
      <c r="M462" s="187">
        <v>0</v>
      </c>
      <c r="N462" s="187">
        <v>0</v>
      </c>
      <c r="O462" s="187">
        <v>0</v>
      </c>
      <c r="P462" s="187">
        <v>8</v>
      </c>
    </row>
    <row r="463" spans="1:16" s="187" customFormat="1" ht="12.75">
      <c r="A463" s="187" t="s">
        <v>54</v>
      </c>
      <c r="B463" s="187" t="s">
        <v>72</v>
      </c>
      <c r="C463" s="187" t="s">
        <v>143</v>
      </c>
      <c r="D463" s="187" t="s">
        <v>143</v>
      </c>
      <c r="E463" s="187" t="s">
        <v>286</v>
      </c>
      <c r="F463" s="187" t="s">
        <v>210</v>
      </c>
      <c r="G463" s="187">
        <v>419145749</v>
      </c>
      <c r="H463" s="187" t="s">
        <v>211</v>
      </c>
      <c r="I463" s="187" t="s">
        <v>58</v>
      </c>
      <c r="J463" s="187" t="s">
        <v>143</v>
      </c>
      <c r="K463" s="187" t="s">
        <v>443</v>
      </c>
      <c r="L463" s="187">
        <v>2</v>
      </c>
      <c r="M463" s="187">
        <v>725.22</v>
      </c>
      <c r="N463" s="187">
        <v>2</v>
      </c>
      <c r="O463" s="187">
        <v>713.97</v>
      </c>
      <c r="P463" s="187">
        <v>6</v>
      </c>
    </row>
    <row r="464" spans="1:16" s="187" customFormat="1" ht="12.75">
      <c r="A464" s="187" t="s">
        <v>54</v>
      </c>
      <c r="B464" s="187" t="s">
        <v>72</v>
      </c>
      <c r="C464" s="187" t="s">
        <v>143</v>
      </c>
      <c r="D464" s="187" t="s">
        <v>143</v>
      </c>
      <c r="E464" s="187" t="s">
        <v>286</v>
      </c>
      <c r="F464" s="187" t="s">
        <v>210</v>
      </c>
      <c r="G464" s="187">
        <v>419145749</v>
      </c>
      <c r="H464" s="187" t="s">
        <v>211</v>
      </c>
      <c r="I464" s="187" t="s">
        <v>58</v>
      </c>
      <c r="J464" s="187" t="s">
        <v>143</v>
      </c>
      <c r="K464" s="187" t="s">
        <v>61</v>
      </c>
      <c r="L464" s="187">
        <v>0</v>
      </c>
      <c r="M464" s="187">
        <v>0</v>
      </c>
      <c r="N464" s="187">
        <v>0</v>
      </c>
      <c r="O464" s="187">
        <v>0</v>
      </c>
      <c r="P464" s="187">
        <v>5</v>
      </c>
    </row>
    <row r="465" spans="1:16" s="187" customFormat="1" ht="12.75">
      <c r="A465" s="187" t="s">
        <v>54</v>
      </c>
      <c r="B465" s="187" t="s">
        <v>72</v>
      </c>
      <c r="C465" s="187" t="s">
        <v>143</v>
      </c>
      <c r="D465" s="187" t="s">
        <v>143</v>
      </c>
      <c r="E465" s="187" t="s">
        <v>285</v>
      </c>
      <c r="F465" s="187" t="s">
        <v>212</v>
      </c>
      <c r="G465" s="187">
        <v>419145985</v>
      </c>
      <c r="H465" s="187" t="s">
        <v>213</v>
      </c>
      <c r="I465" s="187" t="s">
        <v>58</v>
      </c>
      <c r="J465" s="187" t="s">
        <v>143</v>
      </c>
      <c r="K465" s="187" t="s">
        <v>62</v>
      </c>
      <c r="L465" s="187">
        <v>0</v>
      </c>
      <c r="M465" s="187">
        <v>0</v>
      </c>
      <c r="N465" s="187">
        <v>0</v>
      </c>
      <c r="O465" s="187">
        <v>0</v>
      </c>
      <c r="P465" s="187">
        <v>1</v>
      </c>
    </row>
    <row r="466" spans="1:16" s="187" customFormat="1" ht="12.75">
      <c r="A466" s="187" t="s">
        <v>54</v>
      </c>
      <c r="B466" s="187" t="s">
        <v>72</v>
      </c>
      <c r="C466" s="187" t="s">
        <v>143</v>
      </c>
      <c r="D466" s="187" t="s">
        <v>143</v>
      </c>
      <c r="E466" s="187" t="s">
        <v>285</v>
      </c>
      <c r="F466" s="187" t="s">
        <v>212</v>
      </c>
      <c r="G466" s="187">
        <v>419145985</v>
      </c>
      <c r="H466" s="187" t="s">
        <v>213</v>
      </c>
      <c r="I466" s="187" t="s">
        <v>58</v>
      </c>
      <c r="J466" s="187" t="s">
        <v>143</v>
      </c>
      <c r="K466" s="187" t="s">
        <v>443</v>
      </c>
      <c r="L466" s="187">
        <v>0</v>
      </c>
      <c r="M466" s="187">
        <v>0</v>
      </c>
      <c r="N466" s="187">
        <v>1</v>
      </c>
      <c r="O466" s="187">
        <v>267.87</v>
      </c>
      <c r="P466" s="187">
        <v>4</v>
      </c>
    </row>
    <row r="467" spans="1:16" s="187" customFormat="1" ht="12.75">
      <c r="A467" s="187" t="s">
        <v>54</v>
      </c>
      <c r="B467" s="187" t="s">
        <v>72</v>
      </c>
      <c r="C467" s="187" t="s">
        <v>143</v>
      </c>
      <c r="D467" s="187" t="s">
        <v>143</v>
      </c>
      <c r="E467" s="187" t="s">
        <v>285</v>
      </c>
      <c r="F467" s="187" t="s">
        <v>212</v>
      </c>
      <c r="G467" s="187">
        <v>419145985</v>
      </c>
      <c r="H467" s="187" t="s">
        <v>213</v>
      </c>
      <c r="I467" s="187" t="s">
        <v>58</v>
      </c>
      <c r="J467" s="187" t="s">
        <v>143</v>
      </c>
      <c r="K467" s="187" t="s">
        <v>67</v>
      </c>
      <c r="L467" s="187">
        <v>1</v>
      </c>
      <c r="M467" s="187">
        <v>350.72</v>
      </c>
      <c r="N467" s="187">
        <v>1</v>
      </c>
      <c r="O467" s="187">
        <v>336.32</v>
      </c>
      <c r="P467" s="187">
        <v>15</v>
      </c>
    </row>
    <row r="468" spans="1:16" s="187" customFormat="1" ht="12.75">
      <c r="A468" s="187" t="s">
        <v>54</v>
      </c>
      <c r="B468" s="187" t="s">
        <v>72</v>
      </c>
      <c r="C468" s="187" t="s">
        <v>143</v>
      </c>
      <c r="D468" s="187" t="s">
        <v>143</v>
      </c>
      <c r="E468" s="187" t="s">
        <v>285</v>
      </c>
      <c r="F468" s="187" t="s">
        <v>212</v>
      </c>
      <c r="G468" s="187">
        <v>419145985</v>
      </c>
      <c r="H468" s="187" t="s">
        <v>213</v>
      </c>
      <c r="I468" s="187" t="s">
        <v>58</v>
      </c>
      <c r="J468" s="187" t="s">
        <v>143</v>
      </c>
      <c r="K468" s="187" t="s">
        <v>430</v>
      </c>
      <c r="L468" s="187">
        <v>0</v>
      </c>
      <c r="M468" s="187">
        <v>0</v>
      </c>
      <c r="N468" s="187">
        <v>0</v>
      </c>
      <c r="O468" s="187">
        <v>0</v>
      </c>
      <c r="P468" s="187">
        <v>14</v>
      </c>
    </row>
    <row r="469" spans="1:16" s="187" customFormat="1" ht="12.75">
      <c r="A469" s="187" t="s">
        <v>54</v>
      </c>
      <c r="B469" s="187" t="s">
        <v>72</v>
      </c>
      <c r="C469" s="187" t="s">
        <v>143</v>
      </c>
      <c r="D469" s="187" t="s">
        <v>143</v>
      </c>
      <c r="E469" s="187" t="s">
        <v>285</v>
      </c>
      <c r="F469" s="187" t="s">
        <v>212</v>
      </c>
      <c r="G469" s="187">
        <v>419145985</v>
      </c>
      <c r="H469" s="187" t="s">
        <v>213</v>
      </c>
      <c r="I469" s="187" t="s">
        <v>58</v>
      </c>
      <c r="J469" s="187" t="s">
        <v>143</v>
      </c>
      <c r="K469" s="187" t="s">
        <v>63</v>
      </c>
      <c r="L469" s="187">
        <v>2</v>
      </c>
      <c r="M469" s="187">
        <v>705.54</v>
      </c>
      <c r="N469" s="187">
        <v>2</v>
      </c>
      <c r="O469" s="187">
        <v>607.78</v>
      </c>
      <c r="P469" s="187">
        <v>6</v>
      </c>
    </row>
    <row r="470" spans="1:16" s="187" customFormat="1" ht="12.75">
      <c r="A470" s="187" t="s">
        <v>54</v>
      </c>
      <c r="B470" s="187" t="s">
        <v>72</v>
      </c>
      <c r="C470" s="187" t="s">
        <v>143</v>
      </c>
      <c r="D470" s="187" t="s">
        <v>143</v>
      </c>
      <c r="E470" s="187" t="s">
        <v>285</v>
      </c>
      <c r="F470" s="187" t="s">
        <v>212</v>
      </c>
      <c r="G470" s="187">
        <v>419145985</v>
      </c>
      <c r="H470" s="187" t="s">
        <v>213</v>
      </c>
      <c r="I470" s="187" t="s">
        <v>58</v>
      </c>
      <c r="J470" s="187" t="s">
        <v>143</v>
      </c>
      <c r="K470" s="187" t="s">
        <v>444</v>
      </c>
      <c r="L470" s="187">
        <v>0</v>
      </c>
      <c r="M470" s="187">
        <v>0</v>
      </c>
      <c r="N470" s="187">
        <v>0</v>
      </c>
      <c r="O470" s="187">
        <v>0</v>
      </c>
      <c r="P470" s="187">
        <v>1</v>
      </c>
    </row>
    <row r="471" spans="1:16" s="187" customFormat="1" ht="12.75">
      <c r="A471" s="187" t="s">
        <v>54</v>
      </c>
      <c r="B471" s="187" t="s">
        <v>72</v>
      </c>
      <c r="C471" s="187" t="s">
        <v>143</v>
      </c>
      <c r="D471" s="187" t="s">
        <v>143</v>
      </c>
      <c r="E471" s="187" t="s">
        <v>285</v>
      </c>
      <c r="F471" s="187" t="s">
        <v>212</v>
      </c>
      <c r="G471" s="187">
        <v>419145985</v>
      </c>
      <c r="H471" s="187" t="s">
        <v>213</v>
      </c>
      <c r="I471" s="187" t="s">
        <v>58</v>
      </c>
      <c r="J471" s="187" t="s">
        <v>143</v>
      </c>
      <c r="K471" s="187" t="s">
        <v>163</v>
      </c>
      <c r="L471" s="187">
        <v>0</v>
      </c>
      <c r="M471" s="187">
        <v>0</v>
      </c>
      <c r="N471" s="187">
        <v>0</v>
      </c>
      <c r="O471" s="187">
        <v>0</v>
      </c>
      <c r="P471" s="187">
        <v>1</v>
      </c>
    </row>
    <row r="472" spans="1:16" s="187" customFormat="1" ht="12.75">
      <c r="A472" s="187" t="s">
        <v>54</v>
      </c>
      <c r="B472" s="187" t="s">
        <v>72</v>
      </c>
      <c r="C472" s="187" t="s">
        <v>143</v>
      </c>
      <c r="D472" s="187" t="s">
        <v>143</v>
      </c>
      <c r="E472" s="187" t="s">
        <v>285</v>
      </c>
      <c r="F472" s="187" t="s">
        <v>212</v>
      </c>
      <c r="G472" s="187">
        <v>419145985</v>
      </c>
      <c r="H472" s="187" t="s">
        <v>213</v>
      </c>
      <c r="I472" s="187" t="s">
        <v>58</v>
      </c>
      <c r="J472" s="187" t="s">
        <v>143</v>
      </c>
      <c r="K472" s="187" t="s">
        <v>64</v>
      </c>
      <c r="L472" s="187">
        <v>0</v>
      </c>
      <c r="M472" s="187">
        <v>0</v>
      </c>
      <c r="N472" s="187">
        <v>0</v>
      </c>
      <c r="O472" s="187">
        <v>0</v>
      </c>
      <c r="P472" s="187">
        <v>18</v>
      </c>
    </row>
    <row r="473" spans="1:16" s="187" customFormat="1" ht="12.75">
      <c r="A473" s="187" t="s">
        <v>54</v>
      </c>
      <c r="B473" s="187" t="s">
        <v>72</v>
      </c>
      <c r="C473" s="187" t="s">
        <v>143</v>
      </c>
      <c r="D473" s="187" t="s">
        <v>143</v>
      </c>
      <c r="E473" s="187" t="s">
        <v>285</v>
      </c>
      <c r="F473" s="187" t="s">
        <v>212</v>
      </c>
      <c r="G473" s="187">
        <v>419145985</v>
      </c>
      <c r="H473" s="187" t="s">
        <v>213</v>
      </c>
      <c r="I473" s="187" t="s">
        <v>58</v>
      </c>
      <c r="J473" s="187" t="s">
        <v>143</v>
      </c>
      <c r="K473" s="187" t="s">
        <v>61</v>
      </c>
      <c r="L473" s="187">
        <v>0</v>
      </c>
      <c r="M473" s="187">
        <v>0</v>
      </c>
      <c r="N473" s="187">
        <v>0</v>
      </c>
      <c r="O473" s="187">
        <v>0</v>
      </c>
      <c r="P473" s="187">
        <v>2</v>
      </c>
    </row>
    <row r="474" spans="1:16" s="187" customFormat="1" ht="12.75">
      <c r="A474" s="187" t="s">
        <v>54</v>
      </c>
      <c r="B474" s="187" t="s">
        <v>72</v>
      </c>
      <c r="C474" s="187" t="s">
        <v>143</v>
      </c>
      <c r="D474" s="187" t="s">
        <v>143</v>
      </c>
      <c r="E474" s="187" t="s">
        <v>286</v>
      </c>
      <c r="F474" s="187" t="s">
        <v>214</v>
      </c>
      <c r="G474" s="187">
        <v>419145986</v>
      </c>
      <c r="H474" s="187" t="s">
        <v>215</v>
      </c>
      <c r="I474" s="187" t="s">
        <v>58</v>
      </c>
      <c r="J474" s="187" t="s">
        <v>143</v>
      </c>
      <c r="K474" s="187" t="s">
        <v>443</v>
      </c>
      <c r="L474" s="187">
        <v>1</v>
      </c>
      <c r="M474" s="187">
        <v>356.2</v>
      </c>
      <c r="N474" s="187">
        <v>1</v>
      </c>
      <c r="O474" s="187">
        <v>340.92</v>
      </c>
      <c r="P474" s="187">
        <v>10</v>
      </c>
    </row>
    <row r="475" spans="1:16" s="187" customFormat="1" ht="12.75">
      <c r="A475" s="187" t="s">
        <v>54</v>
      </c>
      <c r="B475" s="187" t="s">
        <v>72</v>
      </c>
      <c r="C475" s="187" t="s">
        <v>143</v>
      </c>
      <c r="D475" s="187" t="s">
        <v>143</v>
      </c>
      <c r="E475" s="187" t="s">
        <v>286</v>
      </c>
      <c r="F475" s="187" t="s">
        <v>214</v>
      </c>
      <c r="G475" s="187">
        <v>419145986</v>
      </c>
      <c r="H475" s="187" t="s">
        <v>215</v>
      </c>
      <c r="I475" s="187" t="s">
        <v>58</v>
      </c>
      <c r="J475" s="187" t="s">
        <v>143</v>
      </c>
      <c r="K475" s="187" t="s">
        <v>171</v>
      </c>
      <c r="L475" s="187">
        <v>0</v>
      </c>
      <c r="M475" s="187">
        <v>0</v>
      </c>
      <c r="N475" s="187">
        <v>0</v>
      </c>
      <c r="O475" s="187">
        <v>0</v>
      </c>
      <c r="P475" s="187">
        <v>9</v>
      </c>
    </row>
    <row r="476" spans="1:16" s="187" customFormat="1" ht="12.75">
      <c r="A476" s="187" t="s">
        <v>54</v>
      </c>
      <c r="B476" s="187" t="s">
        <v>72</v>
      </c>
      <c r="C476" s="187" t="s">
        <v>143</v>
      </c>
      <c r="D476" s="187" t="s">
        <v>143</v>
      </c>
      <c r="E476" s="187" t="s">
        <v>286</v>
      </c>
      <c r="F476" s="187" t="s">
        <v>214</v>
      </c>
      <c r="G476" s="187">
        <v>419145986</v>
      </c>
      <c r="H476" s="187" t="s">
        <v>215</v>
      </c>
      <c r="I476" s="187" t="s">
        <v>58</v>
      </c>
      <c r="J476" s="187" t="s">
        <v>143</v>
      </c>
      <c r="K476" s="187" t="s">
        <v>67</v>
      </c>
      <c r="L476" s="187">
        <v>0</v>
      </c>
      <c r="M476" s="187">
        <v>0</v>
      </c>
      <c r="N476" s="187">
        <v>0</v>
      </c>
      <c r="O476" s="187">
        <v>0</v>
      </c>
      <c r="P476" s="187">
        <v>19</v>
      </c>
    </row>
    <row r="477" spans="1:16" s="187" customFormat="1" ht="12.75">
      <c r="A477" s="187" t="s">
        <v>54</v>
      </c>
      <c r="B477" s="187" t="s">
        <v>72</v>
      </c>
      <c r="C477" s="187" t="s">
        <v>143</v>
      </c>
      <c r="D477" s="187" t="s">
        <v>143</v>
      </c>
      <c r="E477" s="187" t="s">
        <v>286</v>
      </c>
      <c r="F477" s="187" t="s">
        <v>214</v>
      </c>
      <c r="G477" s="187">
        <v>419145986</v>
      </c>
      <c r="H477" s="187" t="s">
        <v>215</v>
      </c>
      <c r="I477" s="187" t="s">
        <v>58</v>
      </c>
      <c r="J477" s="187" t="s">
        <v>143</v>
      </c>
      <c r="K477" s="187" t="s">
        <v>63</v>
      </c>
      <c r="L477" s="187">
        <v>6</v>
      </c>
      <c r="M477" s="187">
        <v>2328.3000000000002</v>
      </c>
      <c r="N477" s="187">
        <v>6</v>
      </c>
      <c r="O477" s="187">
        <v>2206.3000000000002</v>
      </c>
      <c r="P477" s="187">
        <v>4</v>
      </c>
    </row>
    <row r="478" spans="1:16" s="187" customFormat="1" ht="12.75">
      <c r="A478" s="187" t="s">
        <v>54</v>
      </c>
      <c r="B478" s="187" t="s">
        <v>72</v>
      </c>
      <c r="C478" s="187" t="s">
        <v>143</v>
      </c>
      <c r="D478" s="187" t="s">
        <v>143</v>
      </c>
      <c r="E478" s="187" t="s">
        <v>286</v>
      </c>
      <c r="F478" s="187" t="s">
        <v>214</v>
      </c>
      <c r="G478" s="187">
        <v>419145986</v>
      </c>
      <c r="H478" s="187" t="s">
        <v>215</v>
      </c>
      <c r="I478" s="187" t="s">
        <v>58</v>
      </c>
      <c r="J478" s="187" t="s">
        <v>143</v>
      </c>
      <c r="K478" s="187" t="s">
        <v>60</v>
      </c>
      <c r="L478" s="187">
        <v>1</v>
      </c>
      <c r="M478" s="187">
        <v>480.87</v>
      </c>
      <c r="N478" s="187">
        <v>0</v>
      </c>
      <c r="O478" s="187">
        <v>0</v>
      </c>
      <c r="P478" s="187">
        <v>9</v>
      </c>
    </row>
    <row r="479" spans="1:16" s="187" customFormat="1" ht="12.75">
      <c r="A479" s="187" t="s">
        <v>54</v>
      </c>
      <c r="B479" s="187" t="s">
        <v>72</v>
      </c>
      <c r="C479" s="187" t="s">
        <v>143</v>
      </c>
      <c r="D479" s="187" t="s">
        <v>143</v>
      </c>
      <c r="E479" s="187" t="s">
        <v>286</v>
      </c>
      <c r="F479" s="187" t="s">
        <v>214</v>
      </c>
      <c r="G479" s="187">
        <v>419145986</v>
      </c>
      <c r="H479" s="187" t="s">
        <v>215</v>
      </c>
      <c r="I479" s="187" t="s">
        <v>58</v>
      </c>
      <c r="J479" s="187" t="s">
        <v>143</v>
      </c>
      <c r="K479" s="187" t="s">
        <v>64</v>
      </c>
      <c r="L479" s="187">
        <v>0</v>
      </c>
      <c r="M479" s="187">
        <v>0</v>
      </c>
      <c r="N479" s="187">
        <v>0</v>
      </c>
      <c r="O479" s="187">
        <v>0</v>
      </c>
      <c r="P479" s="187">
        <v>19</v>
      </c>
    </row>
    <row r="480" spans="1:16" s="187" customFormat="1" ht="12.75">
      <c r="A480" s="187" t="s">
        <v>54</v>
      </c>
      <c r="B480" s="187" t="s">
        <v>72</v>
      </c>
      <c r="C480" s="187" t="s">
        <v>143</v>
      </c>
      <c r="D480" s="187" t="s">
        <v>143</v>
      </c>
      <c r="E480" s="187" t="s">
        <v>286</v>
      </c>
      <c r="F480" s="187" t="s">
        <v>214</v>
      </c>
      <c r="G480" s="187">
        <v>419145986</v>
      </c>
      <c r="H480" s="187" t="s">
        <v>215</v>
      </c>
      <c r="I480" s="187" t="s">
        <v>58</v>
      </c>
      <c r="J480" s="187" t="s">
        <v>143</v>
      </c>
      <c r="K480" s="187" t="s">
        <v>59</v>
      </c>
      <c r="L480" s="187">
        <v>0</v>
      </c>
      <c r="M480" s="187">
        <v>0</v>
      </c>
      <c r="N480" s="187">
        <v>0</v>
      </c>
      <c r="O480" s="187">
        <v>0</v>
      </c>
      <c r="P480" s="187">
        <v>2</v>
      </c>
    </row>
    <row r="481" spans="1:16" s="187" customFormat="1" ht="12.75">
      <c r="A481" s="187" t="s">
        <v>54</v>
      </c>
      <c r="B481" s="187" t="s">
        <v>72</v>
      </c>
      <c r="C481" s="187" t="s">
        <v>143</v>
      </c>
      <c r="D481" s="187" t="s">
        <v>143</v>
      </c>
      <c r="E481" s="187" t="s">
        <v>286</v>
      </c>
      <c r="F481" s="187" t="s">
        <v>214</v>
      </c>
      <c r="G481" s="187">
        <v>419145986</v>
      </c>
      <c r="H481" s="187" t="s">
        <v>215</v>
      </c>
      <c r="I481" s="187" t="s">
        <v>58</v>
      </c>
      <c r="J481" s="187" t="s">
        <v>143</v>
      </c>
      <c r="K481" s="187" t="s">
        <v>61</v>
      </c>
      <c r="L481" s="187">
        <v>1</v>
      </c>
      <c r="M481" s="187">
        <v>368.53</v>
      </c>
      <c r="N481" s="187">
        <v>2</v>
      </c>
      <c r="O481" s="187">
        <v>613.15</v>
      </c>
      <c r="P481" s="187">
        <v>9</v>
      </c>
    </row>
    <row r="482" spans="1:16" s="187" customFormat="1" ht="12.75">
      <c r="A482" s="187" t="s">
        <v>54</v>
      </c>
      <c r="B482" s="187" t="s">
        <v>72</v>
      </c>
      <c r="C482" s="187" t="s">
        <v>143</v>
      </c>
      <c r="D482" s="187" t="s">
        <v>143</v>
      </c>
      <c r="E482" s="187" t="s">
        <v>286</v>
      </c>
      <c r="F482" s="187" t="s">
        <v>214</v>
      </c>
      <c r="G482" s="187">
        <v>419145986</v>
      </c>
      <c r="H482" s="187" t="s">
        <v>215</v>
      </c>
      <c r="I482" s="187" t="s">
        <v>58</v>
      </c>
      <c r="J482" s="187" t="s">
        <v>143</v>
      </c>
      <c r="K482" s="187" t="s">
        <v>62</v>
      </c>
      <c r="L482" s="187">
        <v>1</v>
      </c>
      <c r="M482" s="187">
        <v>364.42</v>
      </c>
      <c r="N482" s="187">
        <v>0</v>
      </c>
      <c r="O482" s="187">
        <v>0</v>
      </c>
      <c r="P482" s="187">
        <v>0</v>
      </c>
    </row>
    <row r="483" spans="1:16" s="187" customFormat="1" ht="12.75">
      <c r="A483" s="187" t="s">
        <v>54</v>
      </c>
      <c r="B483" s="187" t="s">
        <v>72</v>
      </c>
      <c r="C483" s="187" t="s">
        <v>143</v>
      </c>
      <c r="D483" s="187" t="s">
        <v>143</v>
      </c>
      <c r="E483" s="187" t="s">
        <v>286</v>
      </c>
      <c r="F483" s="187" t="s">
        <v>214</v>
      </c>
      <c r="G483" s="187">
        <v>419145986</v>
      </c>
      <c r="H483" s="187" t="s">
        <v>215</v>
      </c>
      <c r="I483" s="187" t="s">
        <v>58</v>
      </c>
      <c r="J483" s="187" t="s">
        <v>143</v>
      </c>
      <c r="K483" s="187" t="s">
        <v>430</v>
      </c>
      <c r="L483" s="187">
        <v>0</v>
      </c>
      <c r="M483" s="187">
        <v>0</v>
      </c>
      <c r="N483" s="187">
        <v>1</v>
      </c>
      <c r="O483" s="187">
        <v>264.66000000000003</v>
      </c>
      <c r="P483" s="187">
        <v>11</v>
      </c>
    </row>
    <row r="484" spans="1:16" s="187" customFormat="1" ht="12.75">
      <c r="A484" s="187" t="s">
        <v>54</v>
      </c>
      <c r="B484" s="187" t="s">
        <v>72</v>
      </c>
      <c r="C484" s="187" t="s">
        <v>143</v>
      </c>
      <c r="D484" s="187" t="s">
        <v>143</v>
      </c>
      <c r="E484" s="187" t="s">
        <v>286</v>
      </c>
      <c r="F484" s="187" t="s">
        <v>216</v>
      </c>
      <c r="G484" s="187">
        <v>419146579</v>
      </c>
      <c r="H484" s="187" t="s">
        <v>217</v>
      </c>
      <c r="I484" s="187" t="s">
        <v>58</v>
      </c>
      <c r="J484" s="187" t="s">
        <v>143</v>
      </c>
      <c r="K484" s="187" t="s">
        <v>64</v>
      </c>
      <c r="L484" s="187">
        <v>0</v>
      </c>
      <c r="M484" s="187">
        <v>0</v>
      </c>
      <c r="N484" s="187">
        <v>0</v>
      </c>
      <c r="O484" s="187">
        <v>0</v>
      </c>
      <c r="P484" s="187">
        <v>15</v>
      </c>
    </row>
    <row r="485" spans="1:16" s="187" customFormat="1" ht="12.75">
      <c r="A485" s="187" t="s">
        <v>54</v>
      </c>
      <c r="B485" s="187" t="s">
        <v>72</v>
      </c>
      <c r="C485" s="187" t="s">
        <v>143</v>
      </c>
      <c r="D485" s="187" t="s">
        <v>143</v>
      </c>
      <c r="E485" s="187" t="s">
        <v>286</v>
      </c>
      <c r="F485" s="187" t="s">
        <v>216</v>
      </c>
      <c r="G485" s="187">
        <v>419146579</v>
      </c>
      <c r="H485" s="187" t="s">
        <v>217</v>
      </c>
      <c r="I485" s="187" t="s">
        <v>58</v>
      </c>
      <c r="J485" s="187" t="s">
        <v>143</v>
      </c>
      <c r="K485" s="187" t="s">
        <v>443</v>
      </c>
      <c r="L485" s="187">
        <v>0</v>
      </c>
      <c r="M485" s="187">
        <v>0</v>
      </c>
      <c r="N485" s="187">
        <v>0</v>
      </c>
      <c r="O485" s="187">
        <v>0</v>
      </c>
      <c r="P485" s="187">
        <v>2</v>
      </c>
    </row>
    <row r="486" spans="1:16" s="187" customFormat="1" ht="12.75">
      <c r="A486" s="187" t="s">
        <v>54</v>
      </c>
      <c r="B486" s="187" t="s">
        <v>72</v>
      </c>
      <c r="C486" s="187" t="s">
        <v>143</v>
      </c>
      <c r="D486" s="187" t="s">
        <v>143</v>
      </c>
      <c r="E486" s="187" t="s">
        <v>286</v>
      </c>
      <c r="F486" s="187" t="s">
        <v>216</v>
      </c>
      <c r="G486" s="187">
        <v>419146579</v>
      </c>
      <c r="H486" s="187" t="s">
        <v>217</v>
      </c>
      <c r="I486" s="187" t="s">
        <v>58</v>
      </c>
      <c r="J486" s="187" t="s">
        <v>143</v>
      </c>
      <c r="K486" s="187" t="s">
        <v>61</v>
      </c>
      <c r="L486" s="187">
        <v>1</v>
      </c>
      <c r="M486" s="187">
        <v>304.82</v>
      </c>
      <c r="N486" s="187">
        <v>0</v>
      </c>
      <c r="O486" s="187">
        <v>0</v>
      </c>
      <c r="P486" s="187">
        <v>0</v>
      </c>
    </row>
    <row r="487" spans="1:16" s="187" customFormat="1" ht="12.75">
      <c r="A487" s="187" t="s">
        <v>54</v>
      </c>
      <c r="B487" s="187" t="s">
        <v>72</v>
      </c>
      <c r="C487" s="187" t="s">
        <v>143</v>
      </c>
      <c r="D487" s="187" t="s">
        <v>143</v>
      </c>
      <c r="E487" s="187" t="s">
        <v>286</v>
      </c>
      <c r="F487" s="187" t="s">
        <v>216</v>
      </c>
      <c r="G487" s="187">
        <v>419146579</v>
      </c>
      <c r="H487" s="187" t="s">
        <v>217</v>
      </c>
      <c r="I487" s="187" t="s">
        <v>58</v>
      </c>
      <c r="J487" s="187" t="s">
        <v>143</v>
      </c>
      <c r="K487" s="187" t="s">
        <v>60</v>
      </c>
      <c r="L487" s="187">
        <v>1</v>
      </c>
      <c r="M487" s="187">
        <v>533.61</v>
      </c>
      <c r="N487" s="187">
        <v>1</v>
      </c>
      <c r="O487" s="187">
        <v>506.28</v>
      </c>
      <c r="P487" s="187">
        <v>13</v>
      </c>
    </row>
    <row r="488" spans="1:16" s="187" customFormat="1" ht="12.75">
      <c r="A488" s="187" t="s">
        <v>54</v>
      </c>
      <c r="B488" s="187" t="s">
        <v>72</v>
      </c>
      <c r="C488" s="187" t="s">
        <v>143</v>
      </c>
      <c r="D488" s="187" t="s">
        <v>143</v>
      </c>
      <c r="E488" s="187" t="s">
        <v>286</v>
      </c>
      <c r="F488" s="187" t="s">
        <v>216</v>
      </c>
      <c r="G488" s="187">
        <v>419146579</v>
      </c>
      <c r="H488" s="187" t="s">
        <v>217</v>
      </c>
      <c r="I488" s="187" t="s">
        <v>58</v>
      </c>
      <c r="J488" s="187" t="s">
        <v>143</v>
      </c>
      <c r="K488" s="187" t="s">
        <v>63</v>
      </c>
      <c r="L488" s="187">
        <v>2</v>
      </c>
      <c r="M488" s="187">
        <v>713.76</v>
      </c>
      <c r="N488" s="187">
        <v>2</v>
      </c>
      <c r="O488" s="187">
        <v>684.54</v>
      </c>
      <c r="P488" s="187">
        <v>0</v>
      </c>
    </row>
    <row r="489" spans="1:16" s="187" customFormat="1" ht="12.75">
      <c r="A489" s="187" t="s">
        <v>54</v>
      </c>
      <c r="B489" s="187" t="s">
        <v>72</v>
      </c>
      <c r="C489" s="187" t="s">
        <v>143</v>
      </c>
      <c r="D489" s="187" t="s">
        <v>143</v>
      </c>
      <c r="E489" s="187" t="s">
        <v>286</v>
      </c>
      <c r="F489" s="187" t="s">
        <v>216</v>
      </c>
      <c r="G489" s="187">
        <v>419146579</v>
      </c>
      <c r="H489" s="187" t="s">
        <v>217</v>
      </c>
      <c r="I489" s="187" t="s">
        <v>58</v>
      </c>
      <c r="J489" s="187" t="s">
        <v>143</v>
      </c>
      <c r="K489" s="187" t="s">
        <v>430</v>
      </c>
      <c r="L489" s="187">
        <v>3</v>
      </c>
      <c r="M489" s="187">
        <v>1143.25</v>
      </c>
      <c r="N489" s="187">
        <v>1</v>
      </c>
      <c r="O489" s="187">
        <v>302.5</v>
      </c>
      <c r="P489" s="187">
        <v>6</v>
      </c>
    </row>
    <row r="490" spans="1:16" s="187" customFormat="1" ht="12.75">
      <c r="A490" s="187" t="s">
        <v>54</v>
      </c>
      <c r="B490" s="187" t="s">
        <v>72</v>
      </c>
      <c r="C490" s="187" t="s">
        <v>143</v>
      </c>
      <c r="D490" s="187" t="s">
        <v>143</v>
      </c>
      <c r="E490" s="187" t="s">
        <v>286</v>
      </c>
      <c r="F490" s="187" t="s">
        <v>216</v>
      </c>
      <c r="G490" s="187">
        <v>419146579</v>
      </c>
      <c r="H490" s="187" t="s">
        <v>217</v>
      </c>
      <c r="I490" s="187" t="s">
        <v>58</v>
      </c>
      <c r="J490" s="187" t="s">
        <v>143</v>
      </c>
      <c r="K490" s="187" t="s">
        <v>67</v>
      </c>
      <c r="L490" s="187">
        <v>0</v>
      </c>
      <c r="M490" s="187">
        <v>0</v>
      </c>
      <c r="N490" s="187">
        <v>1</v>
      </c>
      <c r="O490" s="187">
        <v>283.42</v>
      </c>
      <c r="P490" s="187">
        <v>2</v>
      </c>
    </row>
    <row r="491" spans="1:16" s="187" customFormat="1" ht="12.75">
      <c r="A491" s="187" t="s">
        <v>54</v>
      </c>
      <c r="B491" s="187" t="s">
        <v>72</v>
      </c>
      <c r="C491" s="187" t="s">
        <v>143</v>
      </c>
      <c r="D491" s="187" t="s">
        <v>143</v>
      </c>
      <c r="E491" s="187" t="s">
        <v>286</v>
      </c>
      <c r="F491" s="187" t="s">
        <v>216</v>
      </c>
      <c r="G491" s="187">
        <v>419146579</v>
      </c>
      <c r="H491" s="187" t="s">
        <v>217</v>
      </c>
      <c r="I491" s="187" t="s">
        <v>58</v>
      </c>
      <c r="J491" s="187" t="s">
        <v>143</v>
      </c>
      <c r="K491" s="187" t="s">
        <v>171</v>
      </c>
      <c r="L491" s="187">
        <v>1</v>
      </c>
      <c r="M491" s="187">
        <v>289.75</v>
      </c>
      <c r="N491" s="187">
        <v>1</v>
      </c>
      <c r="O491" s="187">
        <v>278.68</v>
      </c>
      <c r="P491" s="187">
        <v>1</v>
      </c>
    </row>
    <row r="492" spans="1:16" s="187" customFormat="1" ht="12.75">
      <c r="A492" s="187" t="s">
        <v>54</v>
      </c>
      <c r="B492" s="187" t="s">
        <v>72</v>
      </c>
      <c r="C492" s="187" t="s">
        <v>143</v>
      </c>
      <c r="D492" s="187" t="s">
        <v>143</v>
      </c>
      <c r="E492" s="187" t="s">
        <v>286</v>
      </c>
      <c r="F492" s="187" t="s">
        <v>216</v>
      </c>
      <c r="G492" s="187">
        <v>419146579</v>
      </c>
      <c r="H492" s="187" t="s">
        <v>217</v>
      </c>
      <c r="I492" s="187" t="s">
        <v>58</v>
      </c>
      <c r="J492" s="187" t="s">
        <v>143</v>
      </c>
      <c r="K492" s="187" t="s">
        <v>288</v>
      </c>
      <c r="L492" s="187">
        <v>0</v>
      </c>
      <c r="M492" s="187">
        <v>0</v>
      </c>
      <c r="N492" s="187">
        <v>1</v>
      </c>
      <c r="O492" s="187">
        <v>511.06</v>
      </c>
      <c r="P492" s="187">
        <v>0</v>
      </c>
    </row>
    <row r="493" spans="1:16" s="187" customFormat="1" ht="12.75">
      <c r="A493" s="187" t="s">
        <v>54</v>
      </c>
      <c r="B493" s="187" t="s">
        <v>72</v>
      </c>
      <c r="C493" s="187" t="s">
        <v>143</v>
      </c>
      <c r="D493" s="187" t="s">
        <v>143</v>
      </c>
      <c r="E493" s="187" t="s">
        <v>286</v>
      </c>
      <c r="F493" s="187" t="s">
        <v>216</v>
      </c>
      <c r="G493" s="187">
        <v>419146579</v>
      </c>
      <c r="H493" s="187" t="s">
        <v>217</v>
      </c>
      <c r="I493" s="187" t="s">
        <v>58</v>
      </c>
      <c r="J493" s="187" t="s">
        <v>143</v>
      </c>
      <c r="K493" s="187" t="s">
        <v>62</v>
      </c>
      <c r="L493" s="187">
        <v>4</v>
      </c>
      <c r="M493" s="187">
        <v>1580.96</v>
      </c>
      <c r="N493" s="187">
        <v>2</v>
      </c>
      <c r="O493" s="187">
        <v>586.70000000000005</v>
      </c>
      <c r="P493" s="187">
        <v>1</v>
      </c>
    </row>
    <row r="494" spans="1:16" s="187" customFormat="1" ht="12.75">
      <c r="A494" s="187" t="s">
        <v>54</v>
      </c>
      <c r="B494" s="187" t="s">
        <v>72</v>
      </c>
      <c r="C494" s="187" t="s">
        <v>143</v>
      </c>
      <c r="D494" s="187" t="s">
        <v>143</v>
      </c>
      <c r="E494" s="187" t="s">
        <v>286</v>
      </c>
      <c r="F494" s="187" t="s">
        <v>216</v>
      </c>
      <c r="G494" s="187">
        <v>419146579</v>
      </c>
      <c r="H494" s="187" t="s">
        <v>217</v>
      </c>
      <c r="I494" s="187" t="s">
        <v>58</v>
      </c>
      <c r="J494" s="187" t="s">
        <v>143</v>
      </c>
      <c r="K494" s="187" t="s">
        <v>455</v>
      </c>
      <c r="L494" s="187">
        <v>1</v>
      </c>
      <c r="M494" s="187">
        <v>424.01</v>
      </c>
      <c r="N494" s="187">
        <v>0</v>
      </c>
      <c r="O494" s="187">
        <v>0</v>
      </c>
      <c r="P494" s="187">
        <v>0</v>
      </c>
    </row>
    <row r="495" spans="1:16" s="187" customFormat="1" ht="12.75">
      <c r="A495" s="187" t="s">
        <v>54</v>
      </c>
      <c r="B495" s="187" t="s">
        <v>85</v>
      </c>
      <c r="C495" s="187" t="s">
        <v>143</v>
      </c>
      <c r="D495" s="187" t="s">
        <v>143</v>
      </c>
      <c r="E495" s="187" t="s">
        <v>394</v>
      </c>
      <c r="F495" s="187" t="s">
        <v>298</v>
      </c>
      <c r="G495" s="187">
        <v>448248943</v>
      </c>
      <c r="H495" s="187" t="s">
        <v>312</v>
      </c>
      <c r="I495" s="187" t="s">
        <v>58</v>
      </c>
      <c r="J495" s="187" t="s">
        <v>143</v>
      </c>
      <c r="K495" s="187" t="s">
        <v>171</v>
      </c>
      <c r="L495" s="187">
        <v>2</v>
      </c>
      <c r="M495" s="187">
        <v>1158.54</v>
      </c>
      <c r="N495" s="187">
        <v>1</v>
      </c>
      <c r="O495" s="187">
        <v>551.32000000000005</v>
      </c>
      <c r="P495" s="187">
        <v>25</v>
      </c>
    </row>
    <row r="496" spans="1:16" s="187" customFormat="1" ht="12.75">
      <c r="A496" s="187" t="s">
        <v>54</v>
      </c>
      <c r="B496" s="187" t="s">
        <v>85</v>
      </c>
      <c r="C496" s="187" t="s">
        <v>143</v>
      </c>
      <c r="D496" s="187" t="s">
        <v>143</v>
      </c>
      <c r="E496" s="187" t="s">
        <v>394</v>
      </c>
      <c r="F496" s="187" t="s">
        <v>298</v>
      </c>
      <c r="G496" s="187">
        <v>448248943</v>
      </c>
      <c r="H496" s="187" t="s">
        <v>312</v>
      </c>
      <c r="I496" s="187" t="s">
        <v>58</v>
      </c>
      <c r="J496" s="187" t="s">
        <v>143</v>
      </c>
      <c r="K496" s="187" t="s">
        <v>360</v>
      </c>
      <c r="L496" s="187">
        <v>0</v>
      </c>
      <c r="M496" s="187">
        <v>0</v>
      </c>
      <c r="N496" s="187">
        <v>0</v>
      </c>
      <c r="O496" s="187">
        <v>0</v>
      </c>
      <c r="P496" s="187">
        <v>1</v>
      </c>
    </row>
    <row r="497" spans="1:16" s="187" customFormat="1" ht="12.75">
      <c r="A497" s="187" t="s">
        <v>54</v>
      </c>
      <c r="B497" s="187" t="s">
        <v>85</v>
      </c>
      <c r="C497" s="187" t="s">
        <v>143</v>
      </c>
      <c r="D497" s="187" t="s">
        <v>143</v>
      </c>
      <c r="E497" s="187" t="s">
        <v>394</v>
      </c>
      <c r="F497" s="187" t="s">
        <v>298</v>
      </c>
      <c r="G497" s="187">
        <v>448248943</v>
      </c>
      <c r="H497" s="187" t="s">
        <v>312</v>
      </c>
      <c r="I497" s="187" t="s">
        <v>58</v>
      </c>
      <c r="J497" s="187" t="s">
        <v>143</v>
      </c>
      <c r="K497" s="187" t="s">
        <v>62</v>
      </c>
      <c r="L497" s="187">
        <v>1</v>
      </c>
      <c r="M497" s="187">
        <v>494.45</v>
      </c>
      <c r="N497" s="187">
        <v>1</v>
      </c>
      <c r="O497" s="187">
        <v>475.89</v>
      </c>
      <c r="P497" s="187">
        <v>0</v>
      </c>
    </row>
    <row r="498" spans="1:16" s="187" customFormat="1" ht="12.75">
      <c r="A498" s="187" t="s">
        <v>54</v>
      </c>
      <c r="B498" s="187" t="s">
        <v>85</v>
      </c>
      <c r="C498" s="187" t="s">
        <v>143</v>
      </c>
      <c r="D498" s="187" t="s">
        <v>143</v>
      </c>
      <c r="E498" s="187" t="s">
        <v>394</v>
      </c>
      <c r="F498" s="187" t="s">
        <v>298</v>
      </c>
      <c r="G498" s="187">
        <v>448248943</v>
      </c>
      <c r="H498" s="187" t="s">
        <v>312</v>
      </c>
      <c r="I498" s="187" t="s">
        <v>58</v>
      </c>
      <c r="J498" s="187" t="s">
        <v>143</v>
      </c>
      <c r="K498" s="187" t="s">
        <v>63</v>
      </c>
      <c r="L498" s="187">
        <v>16</v>
      </c>
      <c r="M498" s="187">
        <v>9733.24</v>
      </c>
      <c r="N498" s="187">
        <v>11</v>
      </c>
      <c r="O498" s="187">
        <v>6375.13</v>
      </c>
      <c r="P498" s="187">
        <v>0</v>
      </c>
    </row>
    <row r="499" spans="1:16" s="187" customFormat="1" ht="12.75">
      <c r="A499" s="187" t="s">
        <v>54</v>
      </c>
      <c r="B499" s="187" t="s">
        <v>85</v>
      </c>
      <c r="C499" s="187" t="s">
        <v>143</v>
      </c>
      <c r="D499" s="187" t="s">
        <v>143</v>
      </c>
      <c r="E499" s="187" t="s">
        <v>394</v>
      </c>
      <c r="F499" s="187" t="s">
        <v>298</v>
      </c>
      <c r="G499" s="187">
        <v>448248943</v>
      </c>
      <c r="H499" s="187" t="s">
        <v>312</v>
      </c>
      <c r="I499" s="187" t="s">
        <v>58</v>
      </c>
      <c r="J499" s="187" t="s">
        <v>143</v>
      </c>
      <c r="K499" s="187" t="s">
        <v>89</v>
      </c>
      <c r="L499" s="187">
        <v>1</v>
      </c>
      <c r="M499" s="187">
        <v>622.77</v>
      </c>
      <c r="N499" s="187">
        <v>1</v>
      </c>
      <c r="O499" s="187">
        <v>592.91</v>
      </c>
      <c r="P499" s="187">
        <v>0</v>
      </c>
    </row>
    <row r="500" spans="1:16" s="187" customFormat="1" ht="12.75">
      <c r="A500" s="187" t="s">
        <v>54</v>
      </c>
      <c r="B500" s="187" t="s">
        <v>85</v>
      </c>
      <c r="C500" s="187" t="s">
        <v>143</v>
      </c>
      <c r="D500" s="187" t="s">
        <v>143</v>
      </c>
      <c r="E500" s="187" t="s">
        <v>394</v>
      </c>
      <c r="F500" s="187" t="s">
        <v>298</v>
      </c>
      <c r="G500" s="187">
        <v>448248943</v>
      </c>
      <c r="H500" s="187" t="s">
        <v>312</v>
      </c>
      <c r="I500" s="187" t="s">
        <v>58</v>
      </c>
      <c r="J500" s="187" t="s">
        <v>143</v>
      </c>
      <c r="K500" s="187" t="s">
        <v>87</v>
      </c>
      <c r="L500" s="187">
        <v>0</v>
      </c>
      <c r="M500" s="187">
        <v>0</v>
      </c>
      <c r="N500" s="187">
        <v>0</v>
      </c>
      <c r="O500" s="187">
        <v>0</v>
      </c>
      <c r="P500" s="187">
        <v>1</v>
      </c>
    </row>
    <row r="501" spans="1:16" s="187" customFormat="1" ht="12.75">
      <c r="A501" s="187" t="s">
        <v>54</v>
      </c>
      <c r="B501" s="187" t="s">
        <v>85</v>
      </c>
      <c r="C501" s="187" t="s">
        <v>143</v>
      </c>
      <c r="D501" s="187" t="s">
        <v>143</v>
      </c>
      <c r="E501" s="187" t="s">
        <v>394</v>
      </c>
      <c r="F501" s="187" t="s">
        <v>298</v>
      </c>
      <c r="G501" s="187">
        <v>448248943</v>
      </c>
      <c r="H501" s="187" t="s">
        <v>312</v>
      </c>
      <c r="I501" s="187" t="s">
        <v>58</v>
      </c>
      <c r="J501" s="187" t="s">
        <v>143</v>
      </c>
      <c r="K501" s="187" t="s">
        <v>61</v>
      </c>
      <c r="L501" s="187">
        <v>3</v>
      </c>
      <c r="M501" s="187">
        <v>1621.09</v>
      </c>
      <c r="N501" s="187">
        <v>2</v>
      </c>
      <c r="O501" s="187">
        <v>846.91</v>
      </c>
      <c r="P501" s="187">
        <v>44</v>
      </c>
    </row>
    <row r="502" spans="1:16" s="187" customFormat="1" ht="12.75">
      <c r="A502" s="187" t="s">
        <v>54</v>
      </c>
      <c r="B502" s="187" t="s">
        <v>85</v>
      </c>
      <c r="C502" s="187" t="s">
        <v>143</v>
      </c>
      <c r="D502" s="187" t="s">
        <v>143</v>
      </c>
      <c r="E502" s="187" t="s">
        <v>394</v>
      </c>
      <c r="F502" s="187" t="s">
        <v>298</v>
      </c>
      <c r="G502" s="187">
        <v>448248943</v>
      </c>
      <c r="H502" s="187" t="s">
        <v>312</v>
      </c>
      <c r="I502" s="187" t="s">
        <v>58</v>
      </c>
      <c r="J502" s="187" t="s">
        <v>143</v>
      </c>
      <c r="K502" s="187" t="s">
        <v>288</v>
      </c>
      <c r="L502" s="187">
        <v>1</v>
      </c>
      <c r="M502" s="187">
        <v>579.27</v>
      </c>
      <c r="N502" s="187">
        <v>1</v>
      </c>
      <c r="O502" s="187">
        <v>556.91999999999996</v>
      </c>
      <c r="P502" s="187">
        <v>0</v>
      </c>
    </row>
    <row r="503" spans="1:16" s="187" customFormat="1" ht="12.75">
      <c r="A503" s="187" t="s">
        <v>54</v>
      </c>
      <c r="B503" s="187" t="s">
        <v>85</v>
      </c>
      <c r="C503" s="187" t="s">
        <v>143</v>
      </c>
      <c r="D503" s="187" t="s">
        <v>143</v>
      </c>
      <c r="E503" s="187" t="s">
        <v>394</v>
      </c>
      <c r="F503" s="187" t="s">
        <v>298</v>
      </c>
      <c r="G503" s="187">
        <v>448248943</v>
      </c>
      <c r="H503" s="187" t="s">
        <v>312</v>
      </c>
      <c r="I503" s="187" t="s">
        <v>58</v>
      </c>
      <c r="J503" s="187" t="s">
        <v>143</v>
      </c>
      <c r="K503" s="187" t="s">
        <v>453</v>
      </c>
      <c r="L503" s="187">
        <v>0</v>
      </c>
      <c r="M503" s="187">
        <v>0</v>
      </c>
      <c r="N503" s="187">
        <v>0</v>
      </c>
      <c r="O503" s="187">
        <v>0</v>
      </c>
      <c r="P503" s="187">
        <v>1</v>
      </c>
    </row>
    <row r="504" spans="1:16" s="187" customFormat="1" ht="12.75">
      <c r="A504" s="187" t="s">
        <v>54</v>
      </c>
      <c r="B504" s="187" t="s">
        <v>85</v>
      </c>
      <c r="C504" s="187" t="s">
        <v>143</v>
      </c>
      <c r="D504" s="187" t="s">
        <v>143</v>
      </c>
      <c r="E504" s="187" t="s">
        <v>394</v>
      </c>
      <c r="F504" s="187" t="s">
        <v>298</v>
      </c>
      <c r="G504" s="187">
        <v>448248943</v>
      </c>
      <c r="H504" s="187" t="s">
        <v>312</v>
      </c>
      <c r="I504" s="187" t="s">
        <v>58</v>
      </c>
      <c r="J504" s="187" t="s">
        <v>143</v>
      </c>
      <c r="K504" s="187" t="s">
        <v>430</v>
      </c>
      <c r="L504" s="187">
        <v>4</v>
      </c>
      <c r="M504" s="187">
        <v>2505.58</v>
      </c>
      <c r="N504" s="187">
        <v>3</v>
      </c>
      <c r="O504" s="187">
        <v>1791.65</v>
      </c>
      <c r="P504" s="187">
        <v>33</v>
      </c>
    </row>
    <row r="505" spans="1:16" s="187" customFormat="1" ht="12.75">
      <c r="A505" s="187" t="s">
        <v>54</v>
      </c>
      <c r="B505" s="187" t="s">
        <v>85</v>
      </c>
      <c r="C505" s="187" t="s">
        <v>143</v>
      </c>
      <c r="D505" s="187" t="s">
        <v>143</v>
      </c>
      <c r="E505" s="187" t="s">
        <v>394</v>
      </c>
      <c r="F505" s="187" t="s">
        <v>298</v>
      </c>
      <c r="G505" s="187">
        <v>448248943</v>
      </c>
      <c r="H505" s="187" t="s">
        <v>312</v>
      </c>
      <c r="I505" s="187" t="s">
        <v>58</v>
      </c>
      <c r="J505" s="187" t="s">
        <v>143</v>
      </c>
      <c r="K505" s="187" t="s">
        <v>95</v>
      </c>
      <c r="L505" s="187">
        <v>1</v>
      </c>
      <c r="M505" s="187">
        <v>622.77</v>
      </c>
      <c r="N505" s="187">
        <v>0</v>
      </c>
      <c r="O505" s="187">
        <v>0</v>
      </c>
      <c r="P505" s="187">
        <v>0</v>
      </c>
    </row>
    <row r="506" spans="1:16" s="187" customFormat="1" ht="12.75">
      <c r="A506" s="187" t="s">
        <v>54</v>
      </c>
      <c r="B506" s="187" t="s">
        <v>85</v>
      </c>
      <c r="C506" s="187" t="s">
        <v>143</v>
      </c>
      <c r="D506" s="187" t="s">
        <v>143</v>
      </c>
      <c r="E506" s="187" t="s">
        <v>394</v>
      </c>
      <c r="F506" s="187" t="s">
        <v>298</v>
      </c>
      <c r="G506" s="187">
        <v>448248943</v>
      </c>
      <c r="H506" s="187" t="s">
        <v>312</v>
      </c>
      <c r="I506" s="187" t="s">
        <v>58</v>
      </c>
      <c r="J506" s="187" t="s">
        <v>143</v>
      </c>
      <c r="K506" s="187" t="s">
        <v>443</v>
      </c>
      <c r="L506" s="187">
        <v>9</v>
      </c>
      <c r="M506" s="187">
        <v>5244.01</v>
      </c>
      <c r="N506" s="187">
        <v>7</v>
      </c>
      <c r="O506" s="187">
        <v>3843.68</v>
      </c>
      <c r="P506" s="187">
        <v>7</v>
      </c>
    </row>
    <row r="507" spans="1:16" s="187" customFormat="1" ht="12.75">
      <c r="A507" s="187" t="s">
        <v>54</v>
      </c>
      <c r="B507" s="187" t="s">
        <v>85</v>
      </c>
      <c r="C507" s="187" t="s">
        <v>143</v>
      </c>
      <c r="D507" s="187" t="s">
        <v>143</v>
      </c>
      <c r="E507" s="187" t="s">
        <v>394</v>
      </c>
      <c r="F507" s="187" t="s">
        <v>298</v>
      </c>
      <c r="G507" s="187">
        <v>448248943</v>
      </c>
      <c r="H507" s="187" t="s">
        <v>312</v>
      </c>
      <c r="I507" s="187" t="s">
        <v>58</v>
      </c>
      <c r="J507" s="187" t="s">
        <v>143</v>
      </c>
      <c r="K507" s="187" t="s">
        <v>64</v>
      </c>
      <c r="L507" s="187">
        <v>6</v>
      </c>
      <c r="M507" s="187">
        <v>3219.7</v>
      </c>
      <c r="N507" s="187">
        <v>5</v>
      </c>
      <c r="O507" s="187">
        <v>2611.77</v>
      </c>
      <c r="P507" s="187">
        <v>21</v>
      </c>
    </row>
    <row r="508" spans="1:16" s="187" customFormat="1" ht="12.75">
      <c r="A508" s="187" t="s">
        <v>54</v>
      </c>
      <c r="B508" s="187" t="s">
        <v>85</v>
      </c>
      <c r="C508" s="187" t="s">
        <v>143</v>
      </c>
      <c r="D508" s="187" t="s">
        <v>143</v>
      </c>
      <c r="E508" s="187" t="s">
        <v>394</v>
      </c>
      <c r="F508" s="187" t="s">
        <v>298</v>
      </c>
      <c r="G508" s="187">
        <v>448248943</v>
      </c>
      <c r="H508" s="187" t="s">
        <v>312</v>
      </c>
      <c r="I508" s="187" t="s">
        <v>58</v>
      </c>
      <c r="J508" s="187" t="s">
        <v>143</v>
      </c>
      <c r="K508" s="187" t="s">
        <v>60</v>
      </c>
      <c r="L508" s="187">
        <v>2</v>
      </c>
      <c r="M508" s="187">
        <v>1202.04</v>
      </c>
      <c r="N508" s="187">
        <v>3</v>
      </c>
      <c r="O508" s="187">
        <v>1541.93</v>
      </c>
      <c r="P508" s="187">
        <v>24</v>
      </c>
    </row>
    <row r="509" spans="1:16" s="187" customFormat="1" ht="12.75">
      <c r="A509" s="187" t="s">
        <v>54</v>
      </c>
      <c r="B509" s="187" t="s">
        <v>85</v>
      </c>
      <c r="C509" s="187" t="s">
        <v>143</v>
      </c>
      <c r="D509" s="187" t="s">
        <v>143</v>
      </c>
      <c r="E509" s="187" t="s">
        <v>393</v>
      </c>
      <c r="F509" s="187" t="s">
        <v>296</v>
      </c>
      <c r="G509" s="187">
        <v>448254852</v>
      </c>
      <c r="H509" s="187" t="s">
        <v>313</v>
      </c>
      <c r="I509" s="187" t="s">
        <v>58</v>
      </c>
      <c r="J509" s="187" t="s">
        <v>143</v>
      </c>
      <c r="K509" s="187" t="s">
        <v>60</v>
      </c>
      <c r="L509" s="187">
        <v>5</v>
      </c>
      <c r="M509" s="187">
        <v>2457.02</v>
      </c>
      <c r="N509" s="187">
        <v>5</v>
      </c>
      <c r="O509" s="187">
        <v>2356.13</v>
      </c>
      <c r="P509" s="187">
        <v>15</v>
      </c>
    </row>
    <row r="510" spans="1:16" s="187" customFormat="1" ht="12.75">
      <c r="A510" s="187" t="s">
        <v>54</v>
      </c>
      <c r="B510" s="187" t="s">
        <v>85</v>
      </c>
      <c r="C510" s="187" t="s">
        <v>143</v>
      </c>
      <c r="D510" s="187" t="s">
        <v>143</v>
      </c>
      <c r="E510" s="187" t="s">
        <v>393</v>
      </c>
      <c r="F510" s="187" t="s">
        <v>296</v>
      </c>
      <c r="G510" s="187">
        <v>448254852</v>
      </c>
      <c r="H510" s="187" t="s">
        <v>313</v>
      </c>
      <c r="I510" s="187" t="s">
        <v>58</v>
      </c>
      <c r="J510" s="187" t="s">
        <v>143</v>
      </c>
      <c r="K510" s="187" t="s">
        <v>443</v>
      </c>
      <c r="L510" s="187">
        <v>4</v>
      </c>
      <c r="M510" s="187">
        <v>2377.2600000000002</v>
      </c>
      <c r="N510" s="187">
        <v>3</v>
      </c>
      <c r="O510" s="187">
        <v>1661.67</v>
      </c>
      <c r="P510" s="187">
        <v>23</v>
      </c>
    </row>
    <row r="511" spans="1:16" s="187" customFormat="1" ht="12.75">
      <c r="A511" s="187" t="s">
        <v>54</v>
      </c>
      <c r="B511" s="187" t="s">
        <v>85</v>
      </c>
      <c r="C511" s="187" t="s">
        <v>143</v>
      </c>
      <c r="D511" s="187" t="s">
        <v>143</v>
      </c>
      <c r="E511" s="187" t="s">
        <v>393</v>
      </c>
      <c r="F511" s="187" t="s">
        <v>296</v>
      </c>
      <c r="G511" s="187">
        <v>448254852</v>
      </c>
      <c r="H511" s="187" t="s">
        <v>313</v>
      </c>
      <c r="I511" s="187" t="s">
        <v>58</v>
      </c>
      <c r="J511" s="187" t="s">
        <v>143</v>
      </c>
      <c r="K511" s="187" t="s">
        <v>64</v>
      </c>
      <c r="L511" s="187">
        <v>0</v>
      </c>
      <c r="M511" s="187">
        <v>0</v>
      </c>
      <c r="N511" s="187">
        <v>0</v>
      </c>
      <c r="O511" s="187">
        <v>0</v>
      </c>
      <c r="P511" s="187">
        <v>34</v>
      </c>
    </row>
    <row r="512" spans="1:16" s="187" customFormat="1" ht="12.75">
      <c r="A512" s="187" t="s">
        <v>54</v>
      </c>
      <c r="B512" s="187" t="s">
        <v>85</v>
      </c>
      <c r="C512" s="187" t="s">
        <v>143</v>
      </c>
      <c r="D512" s="187" t="s">
        <v>143</v>
      </c>
      <c r="E512" s="187" t="s">
        <v>393</v>
      </c>
      <c r="F512" s="187" t="s">
        <v>296</v>
      </c>
      <c r="G512" s="187">
        <v>448254852</v>
      </c>
      <c r="H512" s="187" t="s">
        <v>313</v>
      </c>
      <c r="I512" s="187" t="s">
        <v>58</v>
      </c>
      <c r="J512" s="187" t="s">
        <v>143</v>
      </c>
      <c r="K512" s="187" t="s">
        <v>61</v>
      </c>
      <c r="L512" s="187">
        <v>2</v>
      </c>
      <c r="M512" s="187">
        <v>1115.04</v>
      </c>
      <c r="N512" s="187">
        <v>2</v>
      </c>
      <c r="O512" s="187">
        <v>1071.98</v>
      </c>
      <c r="P512" s="187">
        <v>40</v>
      </c>
    </row>
    <row r="513" spans="1:16" s="187" customFormat="1" ht="12.75">
      <c r="A513" s="187" t="s">
        <v>54</v>
      </c>
      <c r="B513" s="187" t="s">
        <v>85</v>
      </c>
      <c r="C513" s="187" t="s">
        <v>143</v>
      </c>
      <c r="D513" s="187" t="s">
        <v>143</v>
      </c>
      <c r="E513" s="187" t="s">
        <v>393</v>
      </c>
      <c r="F513" s="187" t="s">
        <v>296</v>
      </c>
      <c r="G513" s="187">
        <v>448254852</v>
      </c>
      <c r="H513" s="187" t="s">
        <v>313</v>
      </c>
      <c r="I513" s="187" t="s">
        <v>58</v>
      </c>
      <c r="J513" s="187" t="s">
        <v>143</v>
      </c>
      <c r="K513" s="187" t="s">
        <v>430</v>
      </c>
      <c r="L513" s="187">
        <v>1</v>
      </c>
      <c r="M513" s="187">
        <v>611.9</v>
      </c>
      <c r="N513" s="187">
        <v>1</v>
      </c>
      <c r="O513" s="187">
        <v>589.05999999999995</v>
      </c>
      <c r="P513" s="187">
        <v>35</v>
      </c>
    </row>
    <row r="514" spans="1:16" s="187" customFormat="1" ht="12.75">
      <c r="A514" s="187" t="s">
        <v>54</v>
      </c>
      <c r="B514" s="187" t="s">
        <v>85</v>
      </c>
      <c r="C514" s="187" t="s">
        <v>143</v>
      </c>
      <c r="D514" s="187" t="s">
        <v>143</v>
      </c>
      <c r="E514" s="187" t="s">
        <v>393</v>
      </c>
      <c r="F514" s="187" t="s">
        <v>296</v>
      </c>
      <c r="G514" s="187">
        <v>448254852</v>
      </c>
      <c r="H514" s="187" t="s">
        <v>313</v>
      </c>
      <c r="I514" s="187" t="s">
        <v>58</v>
      </c>
      <c r="J514" s="187" t="s">
        <v>143</v>
      </c>
      <c r="K514" s="187" t="s">
        <v>171</v>
      </c>
      <c r="L514" s="187">
        <v>1</v>
      </c>
      <c r="M514" s="187">
        <v>602.47</v>
      </c>
      <c r="N514" s="187">
        <v>1</v>
      </c>
      <c r="O514" s="187">
        <v>578.64</v>
      </c>
      <c r="P514" s="187">
        <v>19</v>
      </c>
    </row>
    <row r="515" spans="1:16" s="187" customFormat="1" ht="12.75">
      <c r="A515" s="187" t="s">
        <v>54</v>
      </c>
      <c r="B515" s="187" t="s">
        <v>85</v>
      </c>
      <c r="C515" s="187" t="s">
        <v>143</v>
      </c>
      <c r="D515" s="187" t="s">
        <v>143</v>
      </c>
      <c r="E515" s="187" t="s">
        <v>393</v>
      </c>
      <c r="F515" s="187" t="s">
        <v>296</v>
      </c>
      <c r="G515" s="187">
        <v>448254852</v>
      </c>
      <c r="H515" s="187" t="s">
        <v>313</v>
      </c>
      <c r="I515" s="187" t="s">
        <v>58</v>
      </c>
      <c r="J515" s="187" t="s">
        <v>143</v>
      </c>
      <c r="K515" s="187" t="s">
        <v>63</v>
      </c>
      <c r="L515" s="187">
        <v>22</v>
      </c>
      <c r="M515" s="187">
        <v>11952.62</v>
      </c>
      <c r="N515" s="187">
        <v>15</v>
      </c>
      <c r="O515" s="187">
        <v>7600.31</v>
      </c>
      <c r="P515" s="187">
        <v>15</v>
      </c>
    </row>
    <row r="516" spans="1:16" s="187" customFormat="1" ht="12.75">
      <c r="A516" s="187" t="s">
        <v>54</v>
      </c>
      <c r="B516" s="187" t="s">
        <v>445</v>
      </c>
      <c r="C516" s="187" t="s">
        <v>143</v>
      </c>
      <c r="D516" s="187" t="s">
        <v>143</v>
      </c>
      <c r="E516" s="187" t="s">
        <v>446</v>
      </c>
      <c r="F516" s="187" t="s">
        <v>447</v>
      </c>
      <c r="G516" s="187">
        <v>550539998</v>
      </c>
      <c r="H516" s="187" t="s">
        <v>448</v>
      </c>
      <c r="I516" s="187" t="s">
        <v>58</v>
      </c>
      <c r="J516" s="187" t="s">
        <v>143</v>
      </c>
      <c r="K516" s="187" t="s">
        <v>61</v>
      </c>
      <c r="L516" s="187">
        <v>1</v>
      </c>
      <c r="M516" s="187">
        <v>1360.82</v>
      </c>
      <c r="N516" s="187">
        <v>1</v>
      </c>
      <c r="O516" s="187">
        <v>1308.43</v>
      </c>
      <c r="P516" s="187">
        <v>14</v>
      </c>
    </row>
    <row r="517" spans="1:16" s="187" customFormat="1" ht="12.75">
      <c r="A517" s="187" t="s">
        <v>54</v>
      </c>
      <c r="B517" s="187" t="s">
        <v>445</v>
      </c>
      <c r="C517" s="187" t="s">
        <v>143</v>
      </c>
      <c r="D517" s="187" t="s">
        <v>143</v>
      </c>
      <c r="E517" s="187" t="s">
        <v>446</v>
      </c>
      <c r="F517" s="187" t="s">
        <v>447</v>
      </c>
      <c r="G517" s="187">
        <v>550539998</v>
      </c>
      <c r="H517" s="187" t="s">
        <v>448</v>
      </c>
      <c r="I517" s="187" t="s">
        <v>58</v>
      </c>
      <c r="J517" s="187" t="s">
        <v>143</v>
      </c>
      <c r="K517" s="187" t="s">
        <v>60</v>
      </c>
      <c r="L517" s="187">
        <v>0</v>
      </c>
      <c r="M517" s="187">
        <v>0</v>
      </c>
      <c r="N517" s="187">
        <v>0</v>
      </c>
      <c r="O517" s="187">
        <v>0</v>
      </c>
      <c r="P517" s="187">
        <v>12</v>
      </c>
    </row>
    <row r="518" spans="1:16" s="187" customFormat="1" ht="12.75">
      <c r="A518" s="187" t="s">
        <v>54</v>
      </c>
      <c r="B518" s="187" t="s">
        <v>445</v>
      </c>
      <c r="C518" s="187" t="s">
        <v>143</v>
      </c>
      <c r="D518" s="187" t="s">
        <v>143</v>
      </c>
      <c r="E518" s="187" t="s">
        <v>446</v>
      </c>
      <c r="F518" s="187" t="s">
        <v>447</v>
      </c>
      <c r="G518" s="187">
        <v>550539998</v>
      </c>
      <c r="H518" s="187" t="s">
        <v>448</v>
      </c>
      <c r="I518" s="187" t="s">
        <v>58</v>
      </c>
      <c r="J518" s="187" t="s">
        <v>143</v>
      </c>
      <c r="K518" s="187" t="s">
        <v>171</v>
      </c>
      <c r="L518" s="187">
        <v>1</v>
      </c>
      <c r="M518" s="187">
        <v>1288.32</v>
      </c>
      <c r="N518" s="187">
        <v>1</v>
      </c>
      <c r="O518" s="187">
        <v>1197.1600000000001</v>
      </c>
      <c r="P518" s="187">
        <v>2</v>
      </c>
    </row>
    <row r="519" spans="1:16" s="187" customFormat="1" ht="12.75">
      <c r="A519" s="187" t="s">
        <v>54</v>
      </c>
      <c r="B519" s="187" t="s">
        <v>445</v>
      </c>
      <c r="C519" s="187" t="s">
        <v>143</v>
      </c>
      <c r="D519" s="187" t="s">
        <v>143</v>
      </c>
      <c r="E519" s="187" t="s">
        <v>449</v>
      </c>
      <c r="F519" s="187" t="s">
        <v>450</v>
      </c>
      <c r="G519" s="187">
        <v>550539999</v>
      </c>
      <c r="H519" s="187" t="s">
        <v>451</v>
      </c>
      <c r="I519" s="187" t="s">
        <v>58</v>
      </c>
      <c r="J519" s="187" t="s">
        <v>143</v>
      </c>
      <c r="K519" s="187" t="s">
        <v>61</v>
      </c>
      <c r="L519" s="187">
        <v>1</v>
      </c>
      <c r="M519" s="187">
        <v>677.87</v>
      </c>
      <c r="N519" s="187">
        <v>0</v>
      </c>
      <c r="O519" s="187">
        <v>0</v>
      </c>
      <c r="P519" s="187">
        <v>16</v>
      </c>
    </row>
    <row r="520" spans="1:16" s="187" customFormat="1" ht="12.75">
      <c r="A520" s="187" t="s">
        <v>54</v>
      </c>
      <c r="B520" s="187" t="s">
        <v>445</v>
      </c>
      <c r="C520" s="187" t="s">
        <v>143</v>
      </c>
      <c r="D520" s="187" t="s">
        <v>143</v>
      </c>
      <c r="E520" s="187" t="s">
        <v>449</v>
      </c>
      <c r="F520" s="187" t="s">
        <v>450</v>
      </c>
      <c r="G520" s="187">
        <v>550539999</v>
      </c>
      <c r="H520" s="187" t="s">
        <v>451</v>
      </c>
      <c r="I520" s="187" t="s">
        <v>58</v>
      </c>
      <c r="J520" s="187" t="s">
        <v>143</v>
      </c>
      <c r="K520" s="187" t="s">
        <v>171</v>
      </c>
      <c r="L520" s="187">
        <v>1</v>
      </c>
      <c r="M520" s="187">
        <v>687.3</v>
      </c>
      <c r="N520" s="187">
        <v>0</v>
      </c>
      <c r="O520" s="187">
        <v>0</v>
      </c>
      <c r="P520" s="187">
        <v>11</v>
      </c>
    </row>
    <row r="521" spans="1:16" s="187" customFormat="1" ht="12.75">
      <c r="A521" s="187" t="s">
        <v>54</v>
      </c>
      <c r="B521" s="187" t="s">
        <v>445</v>
      </c>
      <c r="C521" s="187" t="s">
        <v>143</v>
      </c>
      <c r="D521" s="187" t="s">
        <v>143</v>
      </c>
      <c r="E521" s="187" t="s">
        <v>449</v>
      </c>
      <c r="F521" s="187" t="s">
        <v>450</v>
      </c>
      <c r="G521" s="187">
        <v>550539999</v>
      </c>
      <c r="H521" s="187" t="s">
        <v>451</v>
      </c>
      <c r="I521" s="187" t="s">
        <v>58</v>
      </c>
      <c r="J521" s="187" t="s">
        <v>143</v>
      </c>
      <c r="K521" s="187" t="s">
        <v>60</v>
      </c>
      <c r="L521" s="187">
        <v>0</v>
      </c>
      <c r="M521" s="187">
        <v>0</v>
      </c>
      <c r="N521" s="187">
        <v>0</v>
      </c>
      <c r="O521" s="187">
        <v>0</v>
      </c>
      <c r="P521" s="187">
        <v>14</v>
      </c>
    </row>
    <row r="522" spans="1:16" s="187" customFormat="1" ht="12.75">
      <c r="A522" s="187" t="s">
        <v>54</v>
      </c>
      <c r="B522" s="187" t="s">
        <v>445</v>
      </c>
      <c r="C522" s="187" t="s">
        <v>143</v>
      </c>
      <c r="D522" s="187" t="s">
        <v>143</v>
      </c>
      <c r="E522" s="187" t="s">
        <v>449</v>
      </c>
      <c r="F522" s="187" t="s">
        <v>450</v>
      </c>
      <c r="G522" s="187">
        <v>550539999</v>
      </c>
      <c r="H522" s="187" t="s">
        <v>451</v>
      </c>
      <c r="I522" s="187" t="s">
        <v>58</v>
      </c>
      <c r="J522" s="187" t="s">
        <v>143</v>
      </c>
      <c r="K522" s="187" t="s">
        <v>62</v>
      </c>
      <c r="L522" s="187">
        <v>1</v>
      </c>
      <c r="M522" s="187">
        <v>687.3</v>
      </c>
      <c r="N522" s="187">
        <v>1</v>
      </c>
      <c r="O522" s="187">
        <v>660.1</v>
      </c>
      <c r="P522" s="187">
        <v>0</v>
      </c>
    </row>
    <row r="523" spans="1:16" s="187" customFormat="1" ht="12.75">
      <c r="A523" s="187" t="s">
        <v>54</v>
      </c>
      <c r="B523" s="187" t="s">
        <v>445</v>
      </c>
      <c r="C523" s="187" t="s">
        <v>143</v>
      </c>
      <c r="D523" s="187" t="s">
        <v>143</v>
      </c>
      <c r="E523" s="187" t="s">
        <v>454</v>
      </c>
      <c r="F523" s="187" t="s">
        <v>456</v>
      </c>
      <c r="G523" s="187">
        <v>820643010</v>
      </c>
      <c r="H523" s="187" t="s">
        <v>457</v>
      </c>
      <c r="I523" s="187" t="s">
        <v>58</v>
      </c>
      <c r="J523" s="187" t="s">
        <v>143</v>
      </c>
      <c r="K523" s="187" t="s">
        <v>163</v>
      </c>
      <c r="L523" s="187">
        <v>0</v>
      </c>
      <c r="M523" s="187">
        <v>0</v>
      </c>
      <c r="N523" s="187">
        <v>0</v>
      </c>
      <c r="O523" s="187">
        <v>0</v>
      </c>
      <c r="P523" s="187">
        <v>1</v>
      </c>
    </row>
    <row r="524" spans="1:16" s="187" customFormat="1" ht="12.75">
      <c r="A524" s="187" t="s">
        <v>54</v>
      </c>
      <c r="B524" s="187" t="s">
        <v>445</v>
      </c>
      <c r="C524" s="187" t="s">
        <v>143</v>
      </c>
      <c r="D524" s="187" t="s">
        <v>143</v>
      </c>
      <c r="E524" s="187" t="s">
        <v>454</v>
      </c>
      <c r="F524" s="187" t="s">
        <v>456</v>
      </c>
      <c r="G524" s="187">
        <v>820643010</v>
      </c>
      <c r="H524" s="187" t="s">
        <v>457</v>
      </c>
      <c r="I524" s="187" t="s">
        <v>58</v>
      </c>
      <c r="J524" s="187" t="s">
        <v>143</v>
      </c>
      <c r="K524" s="187" t="s">
        <v>61</v>
      </c>
      <c r="L524" s="187">
        <v>7</v>
      </c>
      <c r="M524" s="187">
        <v>6735.95</v>
      </c>
      <c r="N524" s="187">
        <v>8</v>
      </c>
      <c r="O524" s="187">
        <v>7423.37</v>
      </c>
      <c r="P524" s="187">
        <v>34</v>
      </c>
    </row>
  </sheetData>
  <autoFilter ref="A2:P529" xr:uid="{BD4FEA19-B8DA-4B77-B173-647F32B7C398}"/>
  <mergeCells count="3">
    <mergeCell ref="A1:K1"/>
    <mergeCell ref="L1:M1"/>
    <mergeCell ref="N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858A-4F27-4A49-BD34-5CBE63CFC474}">
  <sheetPr>
    <tabColor rgb="FF33CCFF"/>
  </sheetPr>
  <dimension ref="A1:L340"/>
  <sheetViews>
    <sheetView workbookViewId="0">
      <selection sqref="A1:XFD1048576"/>
    </sheetView>
  </sheetViews>
  <sheetFormatPr defaultRowHeight="15"/>
  <sheetData>
    <row r="1" spans="1:12">
      <c r="A1" t="s">
        <v>224</v>
      </c>
    </row>
    <row r="2" spans="1:12">
      <c r="A2" t="s">
        <v>225</v>
      </c>
      <c r="B2" t="s">
        <v>477</v>
      </c>
      <c r="C2" t="s">
        <v>226</v>
      </c>
      <c r="D2" t="s">
        <v>478</v>
      </c>
    </row>
    <row r="3" spans="1:12">
      <c r="A3" t="s">
        <v>227</v>
      </c>
      <c r="B3" t="s">
        <v>228</v>
      </c>
    </row>
    <row r="4" spans="1:12">
      <c r="A4" t="s">
        <v>229</v>
      </c>
      <c r="B4" t="s">
        <v>230</v>
      </c>
      <c r="C4" t="s">
        <v>218</v>
      </c>
      <c r="D4" t="s">
        <v>231</v>
      </c>
      <c r="E4" t="s">
        <v>232</v>
      </c>
      <c r="F4" t="s">
        <v>233</v>
      </c>
      <c r="G4" t="s">
        <v>234</v>
      </c>
      <c r="H4" t="s">
        <v>235</v>
      </c>
      <c r="I4" t="s">
        <v>236</v>
      </c>
      <c r="J4" t="s">
        <v>237</v>
      </c>
      <c r="K4" t="s">
        <v>238</v>
      </c>
      <c r="L4" t="s">
        <v>239</v>
      </c>
    </row>
    <row r="5" spans="1:12">
      <c r="A5" t="s">
        <v>240</v>
      </c>
      <c r="B5" t="s">
        <v>252</v>
      </c>
      <c r="C5" t="s">
        <v>22</v>
      </c>
      <c r="D5" t="s">
        <v>314</v>
      </c>
      <c r="E5">
        <v>1</v>
      </c>
      <c r="F5">
        <v>1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>
      <c r="A6" t="s">
        <v>249</v>
      </c>
      <c r="B6" t="s">
        <v>460</v>
      </c>
      <c r="C6" t="s">
        <v>178</v>
      </c>
      <c r="D6" t="s">
        <v>282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</row>
    <row r="7" spans="1:12">
      <c r="A7" t="s">
        <v>249</v>
      </c>
      <c r="B7" t="s">
        <v>290</v>
      </c>
      <c r="C7" t="s">
        <v>178</v>
      </c>
      <c r="D7" t="s">
        <v>282</v>
      </c>
      <c r="E7">
        <v>2</v>
      </c>
      <c r="F7">
        <v>0</v>
      </c>
      <c r="G7">
        <v>0</v>
      </c>
      <c r="H7">
        <v>2</v>
      </c>
      <c r="I7">
        <v>2</v>
      </c>
      <c r="J7">
        <v>0</v>
      </c>
      <c r="K7">
        <v>0</v>
      </c>
      <c r="L7">
        <v>0</v>
      </c>
    </row>
    <row r="8" spans="1:12">
      <c r="A8" t="s">
        <v>249</v>
      </c>
      <c r="B8" t="s">
        <v>244</v>
      </c>
      <c r="C8" t="s">
        <v>178</v>
      </c>
      <c r="D8" t="s">
        <v>282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</row>
    <row r="9" spans="1:12">
      <c r="A9" t="s">
        <v>249</v>
      </c>
      <c r="B9" t="s">
        <v>291</v>
      </c>
      <c r="C9" t="s">
        <v>178</v>
      </c>
      <c r="D9" t="s">
        <v>282</v>
      </c>
      <c r="E9">
        <v>0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</row>
    <row r="10" spans="1:12">
      <c r="A10" t="s">
        <v>249</v>
      </c>
      <c r="B10" t="s">
        <v>265</v>
      </c>
      <c r="C10" t="s">
        <v>178</v>
      </c>
      <c r="D10" t="s">
        <v>282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</row>
    <row r="11" spans="1:12">
      <c r="A11" t="s">
        <v>249</v>
      </c>
      <c r="B11" t="s">
        <v>246</v>
      </c>
      <c r="C11" t="s">
        <v>178</v>
      </c>
      <c r="D11" t="s">
        <v>282</v>
      </c>
      <c r="E11">
        <v>18</v>
      </c>
      <c r="F11">
        <v>0</v>
      </c>
      <c r="G11">
        <v>0</v>
      </c>
      <c r="H11">
        <v>18</v>
      </c>
      <c r="I11">
        <v>18</v>
      </c>
      <c r="J11">
        <v>0</v>
      </c>
      <c r="K11">
        <v>0</v>
      </c>
      <c r="L11">
        <v>0</v>
      </c>
    </row>
    <row r="12" spans="1:12">
      <c r="A12" t="s">
        <v>249</v>
      </c>
      <c r="B12" t="s">
        <v>248</v>
      </c>
      <c r="C12" t="s">
        <v>178</v>
      </c>
      <c r="D12" t="s">
        <v>282</v>
      </c>
      <c r="E12">
        <v>1</v>
      </c>
      <c r="F12">
        <v>2</v>
      </c>
      <c r="G12">
        <v>0</v>
      </c>
      <c r="H12">
        <v>3</v>
      </c>
      <c r="I12">
        <v>3</v>
      </c>
      <c r="J12">
        <v>0</v>
      </c>
      <c r="K12">
        <v>0</v>
      </c>
      <c r="L12">
        <v>0</v>
      </c>
    </row>
    <row r="13" spans="1:12">
      <c r="A13" t="s">
        <v>254</v>
      </c>
      <c r="B13" t="s">
        <v>243</v>
      </c>
      <c r="C13" t="s">
        <v>177</v>
      </c>
      <c r="D13" t="s">
        <v>282</v>
      </c>
      <c r="E13">
        <v>0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</row>
    <row r="14" spans="1:12">
      <c r="A14" t="s">
        <v>254</v>
      </c>
      <c r="B14" t="s">
        <v>274</v>
      </c>
      <c r="C14" t="s">
        <v>177</v>
      </c>
      <c r="D14" t="s">
        <v>282</v>
      </c>
      <c r="E14">
        <v>4</v>
      </c>
      <c r="F14">
        <v>0</v>
      </c>
      <c r="G14">
        <v>0</v>
      </c>
      <c r="H14">
        <v>4</v>
      </c>
      <c r="I14">
        <v>4</v>
      </c>
      <c r="J14">
        <v>0</v>
      </c>
      <c r="K14">
        <v>0</v>
      </c>
      <c r="L14">
        <v>0</v>
      </c>
    </row>
    <row r="15" spans="1:12">
      <c r="A15" t="s">
        <v>254</v>
      </c>
      <c r="B15" t="s">
        <v>458</v>
      </c>
      <c r="C15" t="s">
        <v>177</v>
      </c>
      <c r="D15" t="s">
        <v>282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</row>
    <row r="16" spans="1:12">
      <c r="A16" t="s">
        <v>257</v>
      </c>
      <c r="B16" t="s">
        <v>273</v>
      </c>
      <c r="C16" t="s">
        <v>176</v>
      </c>
      <c r="D16" t="s">
        <v>282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</row>
    <row r="17" spans="1:12">
      <c r="A17" t="s">
        <v>257</v>
      </c>
      <c r="B17" t="s">
        <v>290</v>
      </c>
      <c r="C17" t="s">
        <v>176</v>
      </c>
      <c r="D17" t="s">
        <v>282</v>
      </c>
      <c r="E17">
        <v>8</v>
      </c>
      <c r="F17">
        <v>0</v>
      </c>
      <c r="G17">
        <v>0</v>
      </c>
      <c r="H17">
        <v>6</v>
      </c>
      <c r="I17">
        <v>6</v>
      </c>
      <c r="J17">
        <v>2</v>
      </c>
      <c r="K17">
        <v>2</v>
      </c>
      <c r="L17">
        <v>0</v>
      </c>
    </row>
    <row r="18" spans="1:12">
      <c r="A18" t="s">
        <v>257</v>
      </c>
      <c r="B18" t="s">
        <v>387</v>
      </c>
      <c r="C18" t="s">
        <v>176</v>
      </c>
      <c r="D18" t="s">
        <v>282</v>
      </c>
      <c r="E18">
        <v>1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</row>
    <row r="19" spans="1:12">
      <c r="A19" t="s">
        <v>257</v>
      </c>
      <c r="B19" t="s">
        <v>244</v>
      </c>
      <c r="C19" t="s">
        <v>176</v>
      </c>
      <c r="D19" t="s">
        <v>282</v>
      </c>
      <c r="E19">
        <v>0</v>
      </c>
      <c r="F19">
        <v>1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</row>
    <row r="20" spans="1:12">
      <c r="A20" t="s">
        <v>257</v>
      </c>
      <c r="B20" t="s">
        <v>253</v>
      </c>
      <c r="C20" t="s">
        <v>176</v>
      </c>
      <c r="D20" t="s">
        <v>282</v>
      </c>
      <c r="E20">
        <v>2</v>
      </c>
      <c r="F20">
        <v>0</v>
      </c>
      <c r="G20">
        <v>0</v>
      </c>
      <c r="H20">
        <v>2</v>
      </c>
      <c r="I20">
        <v>2</v>
      </c>
      <c r="J20">
        <v>0</v>
      </c>
      <c r="K20">
        <v>0</v>
      </c>
      <c r="L20">
        <v>0</v>
      </c>
    </row>
    <row r="21" spans="1:12">
      <c r="A21" t="s">
        <v>257</v>
      </c>
      <c r="B21" t="s">
        <v>246</v>
      </c>
      <c r="C21" t="s">
        <v>176</v>
      </c>
      <c r="D21" t="s">
        <v>282</v>
      </c>
      <c r="E21">
        <v>3</v>
      </c>
      <c r="F21">
        <v>1</v>
      </c>
      <c r="G21">
        <v>0</v>
      </c>
      <c r="H21">
        <v>4</v>
      </c>
      <c r="I21">
        <v>4</v>
      </c>
      <c r="J21">
        <v>0</v>
      </c>
      <c r="K21">
        <v>0</v>
      </c>
      <c r="L21">
        <v>0</v>
      </c>
    </row>
    <row r="22" spans="1:12">
      <c r="A22" t="s">
        <v>257</v>
      </c>
      <c r="B22" t="s">
        <v>329</v>
      </c>
      <c r="C22" t="s">
        <v>176</v>
      </c>
      <c r="D22" t="s">
        <v>282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</row>
    <row r="23" spans="1:12">
      <c r="A23" t="s">
        <v>257</v>
      </c>
      <c r="B23" t="s">
        <v>248</v>
      </c>
      <c r="C23" t="s">
        <v>176</v>
      </c>
      <c r="D23" t="s">
        <v>282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</row>
    <row r="24" spans="1:12">
      <c r="A24" t="s">
        <v>257</v>
      </c>
      <c r="B24" t="s">
        <v>459</v>
      </c>
      <c r="C24" t="s">
        <v>176</v>
      </c>
      <c r="D24" t="s">
        <v>282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</row>
    <row r="25" spans="1:12">
      <c r="A25" t="s">
        <v>260</v>
      </c>
      <c r="B25" t="s">
        <v>462</v>
      </c>
      <c r="C25" t="s">
        <v>185</v>
      </c>
      <c r="D25" t="s">
        <v>282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</row>
    <row r="26" spans="1:12">
      <c r="A26" t="s">
        <v>260</v>
      </c>
      <c r="B26" t="s">
        <v>290</v>
      </c>
      <c r="C26" t="s">
        <v>185</v>
      </c>
      <c r="D26" t="s">
        <v>282</v>
      </c>
      <c r="E26">
        <v>8</v>
      </c>
      <c r="F26">
        <v>0</v>
      </c>
      <c r="G26">
        <v>0</v>
      </c>
      <c r="H26">
        <v>8</v>
      </c>
      <c r="I26">
        <v>8</v>
      </c>
      <c r="J26">
        <v>0</v>
      </c>
      <c r="K26">
        <v>0</v>
      </c>
      <c r="L26">
        <v>0</v>
      </c>
    </row>
    <row r="27" spans="1:12">
      <c r="A27" t="s">
        <v>260</v>
      </c>
      <c r="B27" t="s">
        <v>244</v>
      </c>
      <c r="C27" t="s">
        <v>185</v>
      </c>
      <c r="D27" t="s">
        <v>282</v>
      </c>
      <c r="E27">
        <v>0</v>
      </c>
      <c r="F27">
        <v>2</v>
      </c>
      <c r="G27">
        <v>0</v>
      </c>
      <c r="H27">
        <v>2</v>
      </c>
      <c r="I27">
        <v>2</v>
      </c>
      <c r="J27">
        <v>0</v>
      </c>
      <c r="K27">
        <v>0</v>
      </c>
      <c r="L27">
        <v>0</v>
      </c>
    </row>
    <row r="28" spans="1:12">
      <c r="A28" t="s">
        <v>260</v>
      </c>
      <c r="B28" t="s">
        <v>261</v>
      </c>
      <c r="C28" t="s">
        <v>185</v>
      </c>
      <c r="D28" t="s">
        <v>282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</row>
    <row r="29" spans="1:12">
      <c r="A29" t="s">
        <v>260</v>
      </c>
      <c r="B29" t="s">
        <v>291</v>
      </c>
      <c r="C29" t="s">
        <v>185</v>
      </c>
      <c r="D29" t="s">
        <v>282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</row>
    <row r="30" spans="1:12">
      <c r="A30" t="s">
        <v>260</v>
      </c>
      <c r="B30" t="s">
        <v>256</v>
      </c>
      <c r="C30" t="s">
        <v>185</v>
      </c>
      <c r="D30" t="s">
        <v>282</v>
      </c>
      <c r="E30">
        <v>0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</row>
    <row r="31" spans="1:12">
      <c r="A31" t="s">
        <v>260</v>
      </c>
      <c r="B31" t="s">
        <v>251</v>
      </c>
      <c r="C31" t="s">
        <v>185</v>
      </c>
      <c r="D31" t="s">
        <v>282</v>
      </c>
      <c r="E31">
        <v>0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</row>
    <row r="32" spans="1:12">
      <c r="A32" t="s">
        <v>260</v>
      </c>
      <c r="B32" t="s">
        <v>245</v>
      </c>
      <c r="C32" t="s">
        <v>185</v>
      </c>
      <c r="D32" t="s">
        <v>282</v>
      </c>
      <c r="E32">
        <v>0</v>
      </c>
      <c r="F32">
        <v>1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</row>
    <row r="33" spans="1:12">
      <c r="A33" t="s">
        <v>260</v>
      </c>
      <c r="B33" t="s">
        <v>253</v>
      </c>
      <c r="C33" t="s">
        <v>185</v>
      </c>
      <c r="D33" t="s">
        <v>282</v>
      </c>
      <c r="E33">
        <v>1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</row>
    <row r="34" spans="1:12">
      <c r="A34" t="s">
        <v>260</v>
      </c>
      <c r="B34" t="s">
        <v>246</v>
      </c>
      <c r="C34" t="s">
        <v>185</v>
      </c>
      <c r="D34" t="s">
        <v>282</v>
      </c>
      <c r="E34">
        <v>6</v>
      </c>
      <c r="F34">
        <v>0</v>
      </c>
      <c r="G34">
        <v>0</v>
      </c>
      <c r="H34">
        <v>6</v>
      </c>
      <c r="I34">
        <v>6</v>
      </c>
      <c r="J34">
        <v>0</v>
      </c>
      <c r="K34">
        <v>0</v>
      </c>
      <c r="L34">
        <v>0</v>
      </c>
    </row>
    <row r="35" spans="1:12">
      <c r="A35" t="s">
        <v>260</v>
      </c>
      <c r="B35" t="s">
        <v>248</v>
      </c>
      <c r="C35" t="s">
        <v>185</v>
      </c>
      <c r="D35" t="s">
        <v>282</v>
      </c>
      <c r="E35">
        <v>0</v>
      </c>
      <c r="F35">
        <v>2</v>
      </c>
      <c r="G35">
        <v>0</v>
      </c>
      <c r="H35">
        <v>2</v>
      </c>
      <c r="I35">
        <v>2</v>
      </c>
      <c r="J35">
        <v>0</v>
      </c>
      <c r="K35">
        <v>0</v>
      </c>
      <c r="L35">
        <v>0</v>
      </c>
    </row>
    <row r="36" spans="1:12">
      <c r="A36" t="s">
        <v>260</v>
      </c>
      <c r="B36" t="s">
        <v>458</v>
      </c>
      <c r="C36" t="s">
        <v>185</v>
      </c>
      <c r="D36" t="s">
        <v>282</v>
      </c>
      <c r="E36">
        <v>0</v>
      </c>
      <c r="F36">
        <v>1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1:12">
      <c r="A37" t="s">
        <v>262</v>
      </c>
      <c r="B37" t="s">
        <v>273</v>
      </c>
      <c r="C37" t="s">
        <v>179</v>
      </c>
      <c r="D37" t="s">
        <v>282</v>
      </c>
      <c r="E37">
        <v>0</v>
      </c>
      <c r="F37">
        <v>1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</row>
    <row r="38" spans="1:12">
      <c r="A38" t="s">
        <v>262</v>
      </c>
      <c r="B38" t="s">
        <v>250</v>
      </c>
      <c r="C38" t="s">
        <v>179</v>
      </c>
      <c r="D38" t="s">
        <v>282</v>
      </c>
      <c r="E38">
        <v>0</v>
      </c>
      <c r="F38">
        <v>1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</row>
    <row r="39" spans="1:12">
      <c r="A39" t="s">
        <v>262</v>
      </c>
      <c r="B39" t="s">
        <v>242</v>
      </c>
      <c r="C39" t="s">
        <v>179</v>
      </c>
      <c r="D39" t="s">
        <v>282</v>
      </c>
      <c r="E39">
        <v>12</v>
      </c>
      <c r="F39">
        <v>10</v>
      </c>
      <c r="G39">
        <v>0</v>
      </c>
      <c r="H39">
        <v>22</v>
      </c>
      <c r="I39">
        <v>22</v>
      </c>
      <c r="J39">
        <v>0</v>
      </c>
      <c r="K39">
        <v>0</v>
      </c>
      <c r="L39">
        <v>0</v>
      </c>
    </row>
    <row r="40" spans="1:12">
      <c r="A40" t="s">
        <v>262</v>
      </c>
      <c r="B40" t="s">
        <v>255</v>
      </c>
      <c r="C40" t="s">
        <v>179</v>
      </c>
      <c r="D40" t="s">
        <v>282</v>
      </c>
      <c r="E40">
        <v>0</v>
      </c>
      <c r="F40">
        <v>1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</row>
    <row r="41" spans="1:12">
      <c r="A41" t="s">
        <v>262</v>
      </c>
      <c r="B41" t="s">
        <v>460</v>
      </c>
      <c r="C41" t="s">
        <v>179</v>
      </c>
      <c r="D41" t="s">
        <v>282</v>
      </c>
      <c r="E41">
        <v>0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1:12">
      <c r="A42" t="s">
        <v>262</v>
      </c>
      <c r="B42" t="s">
        <v>290</v>
      </c>
      <c r="C42" t="s">
        <v>179</v>
      </c>
      <c r="D42" t="s">
        <v>282</v>
      </c>
      <c r="E42">
        <v>10</v>
      </c>
      <c r="F42">
        <v>0</v>
      </c>
      <c r="G42">
        <v>0</v>
      </c>
      <c r="H42">
        <v>10</v>
      </c>
      <c r="I42">
        <v>10</v>
      </c>
      <c r="J42">
        <v>0</v>
      </c>
      <c r="K42">
        <v>0</v>
      </c>
      <c r="L42">
        <v>0</v>
      </c>
    </row>
    <row r="43" spans="1:12">
      <c r="A43" t="s">
        <v>262</v>
      </c>
      <c r="B43" t="s">
        <v>311</v>
      </c>
      <c r="C43" t="s">
        <v>179</v>
      </c>
      <c r="D43" t="s">
        <v>282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</row>
    <row r="44" spans="1:12">
      <c r="A44" t="s">
        <v>262</v>
      </c>
      <c r="B44" t="s">
        <v>264</v>
      </c>
      <c r="C44" t="s">
        <v>179</v>
      </c>
      <c r="D44" t="s">
        <v>282</v>
      </c>
      <c r="E44">
        <v>0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</row>
    <row r="45" spans="1:12">
      <c r="A45" t="s">
        <v>262</v>
      </c>
      <c r="B45" t="s">
        <v>291</v>
      </c>
      <c r="C45" t="s">
        <v>179</v>
      </c>
      <c r="D45" t="s">
        <v>282</v>
      </c>
      <c r="E45">
        <v>2</v>
      </c>
      <c r="F45">
        <v>0</v>
      </c>
      <c r="G45">
        <v>0</v>
      </c>
      <c r="H45">
        <v>2</v>
      </c>
      <c r="I45">
        <v>2</v>
      </c>
      <c r="J45">
        <v>0</v>
      </c>
      <c r="K45">
        <v>0</v>
      </c>
      <c r="L45">
        <v>0</v>
      </c>
    </row>
    <row r="46" spans="1:12">
      <c r="A46" t="s">
        <v>262</v>
      </c>
      <c r="B46" t="s">
        <v>256</v>
      </c>
      <c r="C46" t="s">
        <v>179</v>
      </c>
      <c r="D46" t="s">
        <v>282</v>
      </c>
      <c r="E46">
        <v>0</v>
      </c>
      <c r="F46">
        <v>2</v>
      </c>
      <c r="G46">
        <v>0</v>
      </c>
      <c r="H46">
        <v>2</v>
      </c>
      <c r="I46">
        <v>2</v>
      </c>
      <c r="J46">
        <v>0</v>
      </c>
      <c r="K46">
        <v>0</v>
      </c>
      <c r="L46">
        <v>0</v>
      </c>
    </row>
    <row r="47" spans="1:12">
      <c r="A47" t="s">
        <v>262</v>
      </c>
      <c r="B47" t="s">
        <v>253</v>
      </c>
      <c r="C47" t="s">
        <v>179</v>
      </c>
      <c r="D47" t="s">
        <v>282</v>
      </c>
      <c r="E47">
        <v>3</v>
      </c>
      <c r="F47">
        <v>0</v>
      </c>
      <c r="G47">
        <v>0</v>
      </c>
      <c r="H47">
        <v>3</v>
      </c>
      <c r="I47">
        <v>3</v>
      </c>
      <c r="J47">
        <v>0</v>
      </c>
      <c r="K47">
        <v>0</v>
      </c>
      <c r="L47">
        <v>0</v>
      </c>
    </row>
    <row r="48" spans="1:12">
      <c r="A48" t="s">
        <v>262</v>
      </c>
      <c r="B48" t="s">
        <v>461</v>
      </c>
      <c r="C48" t="s">
        <v>179</v>
      </c>
      <c r="D48" t="s">
        <v>282</v>
      </c>
      <c r="E48">
        <v>0</v>
      </c>
      <c r="F48">
        <v>1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</row>
    <row r="49" spans="1:12">
      <c r="A49" t="s">
        <v>262</v>
      </c>
      <c r="B49" t="s">
        <v>274</v>
      </c>
      <c r="C49" t="s">
        <v>179</v>
      </c>
      <c r="D49" t="s">
        <v>282</v>
      </c>
      <c r="E49">
        <v>1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</row>
    <row r="50" spans="1:12">
      <c r="A50" t="s">
        <v>262</v>
      </c>
      <c r="B50" t="s">
        <v>246</v>
      </c>
      <c r="C50" t="s">
        <v>179</v>
      </c>
      <c r="D50" t="s">
        <v>282</v>
      </c>
      <c r="E50">
        <v>6</v>
      </c>
      <c r="F50">
        <v>1</v>
      </c>
      <c r="G50">
        <v>0</v>
      </c>
      <c r="H50">
        <v>7</v>
      </c>
      <c r="I50">
        <v>7</v>
      </c>
      <c r="J50">
        <v>0</v>
      </c>
      <c r="K50">
        <v>0</v>
      </c>
      <c r="L50">
        <v>0</v>
      </c>
    </row>
    <row r="51" spans="1:12">
      <c r="A51" t="s">
        <v>262</v>
      </c>
      <c r="B51" t="s">
        <v>259</v>
      </c>
      <c r="C51" t="s">
        <v>179</v>
      </c>
      <c r="D51" t="s">
        <v>282</v>
      </c>
      <c r="E51">
        <v>0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</row>
    <row r="52" spans="1:12">
      <c r="A52" t="s">
        <v>262</v>
      </c>
      <c r="B52" t="s">
        <v>248</v>
      </c>
      <c r="C52" t="s">
        <v>179</v>
      </c>
      <c r="D52" t="s">
        <v>282</v>
      </c>
      <c r="E52">
        <v>5</v>
      </c>
      <c r="F52">
        <v>0</v>
      </c>
      <c r="G52">
        <v>0</v>
      </c>
      <c r="H52">
        <v>5</v>
      </c>
      <c r="I52">
        <v>5</v>
      </c>
      <c r="J52">
        <v>0</v>
      </c>
      <c r="K52">
        <v>0</v>
      </c>
      <c r="L52">
        <v>0</v>
      </c>
    </row>
    <row r="53" spans="1:12">
      <c r="A53" t="s">
        <v>263</v>
      </c>
      <c r="B53" t="s">
        <v>242</v>
      </c>
      <c r="C53" t="s">
        <v>21</v>
      </c>
      <c r="D53" t="s">
        <v>219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0</v>
      </c>
    </row>
    <row r="54" spans="1:12">
      <c r="A54" t="s">
        <v>263</v>
      </c>
      <c r="B54" t="s">
        <v>255</v>
      </c>
      <c r="C54" t="s">
        <v>21</v>
      </c>
      <c r="D54" t="s">
        <v>219</v>
      </c>
      <c r="E54">
        <v>15</v>
      </c>
      <c r="F54">
        <v>0</v>
      </c>
      <c r="G54">
        <v>0</v>
      </c>
      <c r="H54">
        <v>1</v>
      </c>
      <c r="I54">
        <v>1</v>
      </c>
      <c r="J54">
        <v>14</v>
      </c>
      <c r="K54">
        <v>14</v>
      </c>
      <c r="L54">
        <v>0</v>
      </c>
    </row>
    <row r="55" spans="1:12">
      <c r="A55" t="s">
        <v>263</v>
      </c>
      <c r="B55" t="s">
        <v>243</v>
      </c>
      <c r="C55" t="s">
        <v>21</v>
      </c>
      <c r="D55" t="s">
        <v>219</v>
      </c>
      <c r="E55">
        <v>2</v>
      </c>
      <c r="F55">
        <v>0</v>
      </c>
      <c r="G55">
        <v>0</v>
      </c>
      <c r="H55">
        <v>2</v>
      </c>
      <c r="I55">
        <v>2</v>
      </c>
      <c r="J55">
        <v>0</v>
      </c>
      <c r="K55">
        <v>0</v>
      </c>
      <c r="L55">
        <v>0</v>
      </c>
    </row>
    <row r="56" spans="1:12">
      <c r="A56" t="s">
        <v>263</v>
      </c>
      <c r="B56" t="s">
        <v>290</v>
      </c>
      <c r="C56" t="s">
        <v>21</v>
      </c>
      <c r="D56" t="s">
        <v>219</v>
      </c>
      <c r="E56">
        <v>1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</row>
    <row r="57" spans="1:12">
      <c r="A57" t="s">
        <v>263</v>
      </c>
      <c r="B57" t="s">
        <v>261</v>
      </c>
      <c r="C57" t="s">
        <v>21</v>
      </c>
      <c r="D57" t="s">
        <v>219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</row>
    <row r="58" spans="1:12">
      <c r="A58" t="s">
        <v>263</v>
      </c>
      <c r="B58" t="s">
        <v>311</v>
      </c>
      <c r="C58" t="s">
        <v>21</v>
      </c>
      <c r="D58" t="s">
        <v>219</v>
      </c>
      <c r="E58">
        <v>0</v>
      </c>
      <c r="F58">
        <v>1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</row>
    <row r="59" spans="1:12">
      <c r="A59" t="s">
        <v>263</v>
      </c>
      <c r="B59" t="s">
        <v>386</v>
      </c>
      <c r="C59" t="s">
        <v>21</v>
      </c>
      <c r="D59" t="s">
        <v>219</v>
      </c>
      <c r="E59">
        <v>1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</row>
    <row r="60" spans="1:12">
      <c r="A60" t="s">
        <v>263</v>
      </c>
      <c r="B60" t="s">
        <v>275</v>
      </c>
      <c r="C60" t="s">
        <v>21</v>
      </c>
      <c r="D60" t="s">
        <v>219</v>
      </c>
      <c r="E60">
        <v>1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</row>
    <row r="61" spans="1:12">
      <c r="A61" t="s">
        <v>263</v>
      </c>
      <c r="B61" t="s">
        <v>291</v>
      </c>
      <c r="C61" t="s">
        <v>21</v>
      </c>
      <c r="D61" t="s">
        <v>219</v>
      </c>
      <c r="E61">
        <v>3</v>
      </c>
      <c r="F61">
        <v>0</v>
      </c>
      <c r="G61">
        <v>0</v>
      </c>
      <c r="H61">
        <v>3</v>
      </c>
      <c r="I61">
        <v>3</v>
      </c>
      <c r="J61">
        <v>0</v>
      </c>
      <c r="K61">
        <v>0</v>
      </c>
      <c r="L61">
        <v>0</v>
      </c>
    </row>
    <row r="62" spans="1:12">
      <c r="A62" t="s">
        <v>263</v>
      </c>
      <c r="B62" t="s">
        <v>256</v>
      </c>
      <c r="C62" t="s">
        <v>21</v>
      </c>
      <c r="D62" t="s">
        <v>219</v>
      </c>
      <c r="E62">
        <v>19</v>
      </c>
      <c r="F62">
        <v>0</v>
      </c>
      <c r="G62">
        <v>0</v>
      </c>
      <c r="H62">
        <v>19</v>
      </c>
      <c r="I62">
        <v>19</v>
      </c>
      <c r="J62">
        <v>0</v>
      </c>
      <c r="K62">
        <v>0</v>
      </c>
      <c r="L62">
        <v>0</v>
      </c>
    </row>
    <row r="63" spans="1:12">
      <c r="A63" t="s">
        <v>263</v>
      </c>
      <c r="B63" t="s">
        <v>253</v>
      </c>
      <c r="C63" t="s">
        <v>21</v>
      </c>
      <c r="D63" t="s">
        <v>219</v>
      </c>
      <c r="E63">
        <v>3</v>
      </c>
      <c r="F63">
        <v>0</v>
      </c>
      <c r="G63">
        <v>0</v>
      </c>
      <c r="H63">
        <v>3</v>
      </c>
      <c r="I63">
        <v>3</v>
      </c>
      <c r="J63">
        <v>0</v>
      </c>
      <c r="K63">
        <v>0</v>
      </c>
      <c r="L63">
        <v>0</v>
      </c>
    </row>
    <row r="64" spans="1:12">
      <c r="A64" t="s">
        <v>263</v>
      </c>
      <c r="B64" t="s">
        <v>246</v>
      </c>
      <c r="C64" t="s">
        <v>21</v>
      </c>
      <c r="D64" t="s">
        <v>219</v>
      </c>
      <c r="E64">
        <v>5</v>
      </c>
      <c r="F64">
        <v>0</v>
      </c>
      <c r="G64">
        <v>0</v>
      </c>
      <c r="H64">
        <v>5</v>
      </c>
      <c r="I64">
        <v>5</v>
      </c>
      <c r="J64">
        <v>0</v>
      </c>
      <c r="K64">
        <v>0</v>
      </c>
      <c r="L64">
        <v>0</v>
      </c>
    </row>
    <row r="65" spans="1:12">
      <c r="A65" t="s">
        <v>263</v>
      </c>
      <c r="B65" t="s">
        <v>395</v>
      </c>
      <c r="C65" t="s">
        <v>21</v>
      </c>
      <c r="D65" t="s">
        <v>219</v>
      </c>
      <c r="E65">
        <v>1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</row>
    <row r="66" spans="1:12">
      <c r="A66" t="s">
        <v>263</v>
      </c>
      <c r="B66" t="s">
        <v>329</v>
      </c>
      <c r="C66" t="s">
        <v>21</v>
      </c>
      <c r="D66" t="s">
        <v>219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</row>
    <row r="67" spans="1:12">
      <c r="A67" t="s">
        <v>263</v>
      </c>
      <c r="B67" t="s">
        <v>248</v>
      </c>
      <c r="C67" t="s">
        <v>21</v>
      </c>
      <c r="D67" t="s">
        <v>219</v>
      </c>
      <c r="E67">
        <v>0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</row>
    <row r="68" spans="1:12">
      <c r="A68" t="s">
        <v>266</v>
      </c>
      <c r="B68" t="s">
        <v>255</v>
      </c>
      <c r="C68" t="s">
        <v>31</v>
      </c>
      <c r="D68" t="s">
        <v>110</v>
      </c>
      <c r="E68">
        <v>4</v>
      </c>
      <c r="F68">
        <v>0</v>
      </c>
      <c r="G68">
        <v>0</v>
      </c>
      <c r="H68">
        <v>2</v>
      </c>
      <c r="I68">
        <v>2</v>
      </c>
      <c r="J68">
        <v>2</v>
      </c>
      <c r="K68">
        <v>2</v>
      </c>
      <c r="L68">
        <v>0</v>
      </c>
    </row>
    <row r="69" spans="1:12">
      <c r="A69" t="s">
        <v>266</v>
      </c>
      <c r="B69" t="s">
        <v>245</v>
      </c>
      <c r="C69" t="s">
        <v>31</v>
      </c>
      <c r="D69" t="s">
        <v>110</v>
      </c>
      <c r="E69">
        <v>3</v>
      </c>
      <c r="F69">
        <v>0</v>
      </c>
      <c r="G69">
        <v>0</v>
      </c>
      <c r="H69">
        <v>3</v>
      </c>
      <c r="I69">
        <v>3</v>
      </c>
      <c r="J69">
        <v>0</v>
      </c>
      <c r="K69">
        <v>0</v>
      </c>
      <c r="L69">
        <v>0</v>
      </c>
    </row>
    <row r="70" spans="1:12">
      <c r="A70" t="s">
        <v>266</v>
      </c>
      <c r="B70" t="s">
        <v>246</v>
      </c>
      <c r="C70" t="s">
        <v>31</v>
      </c>
      <c r="D70" t="s">
        <v>110</v>
      </c>
      <c r="E70">
        <v>1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</row>
    <row r="71" spans="1:12">
      <c r="A71" t="s">
        <v>266</v>
      </c>
      <c r="B71" t="s">
        <v>248</v>
      </c>
      <c r="C71" t="s">
        <v>31</v>
      </c>
      <c r="D71" t="s">
        <v>110</v>
      </c>
      <c r="E71">
        <v>1</v>
      </c>
      <c r="F71">
        <v>2</v>
      </c>
      <c r="G71">
        <v>0</v>
      </c>
      <c r="H71">
        <v>3</v>
      </c>
      <c r="I71">
        <v>1</v>
      </c>
      <c r="J71">
        <v>0</v>
      </c>
      <c r="K71">
        <v>0</v>
      </c>
      <c r="L71">
        <v>0</v>
      </c>
    </row>
    <row r="72" spans="1:12">
      <c r="A72" t="s">
        <v>396</v>
      </c>
      <c r="B72" t="s">
        <v>242</v>
      </c>
      <c r="C72" t="s">
        <v>32</v>
      </c>
      <c r="D72" t="s">
        <v>110</v>
      </c>
      <c r="E72">
        <v>2</v>
      </c>
      <c r="F72">
        <v>0</v>
      </c>
      <c r="G72">
        <v>0</v>
      </c>
      <c r="H72">
        <v>0</v>
      </c>
      <c r="I72">
        <v>0</v>
      </c>
      <c r="J72">
        <v>2</v>
      </c>
      <c r="K72">
        <v>2</v>
      </c>
      <c r="L72">
        <v>0</v>
      </c>
    </row>
    <row r="73" spans="1:12">
      <c r="A73" t="s">
        <v>396</v>
      </c>
      <c r="B73" t="s">
        <v>255</v>
      </c>
      <c r="C73" t="s">
        <v>32</v>
      </c>
      <c r="D73" t="s">
        <v>110</v>
      </c>
      <c r="E73">
        <v>4</v>
      </c>
      <c r="F73">
        <v>0</v>
      </c>
      <c r="G73">
        <v>0</v>
      </c>
      <c r="H73">
        <v>0</v>
      </c>
      <c r="I73">
        <v>0</v>
      </c>
      <c r="J73">
        <v>4</v>
      </c>
      <c r="K73">
        <v>4</v>
      </c>
      <c r="L73">
        <v>0</v>
      </c>
    </row>
    <row r="74" spans="1:12">
      <c r="A74" t="s">
        <v>396</v>
      </c>
      <c r="B74" t="s">
        <v>243</v>
      </c>
      <c r="C74" t="s">
        <v>32</v>
      </c>
      <c r="D74" t="s">
        <v>110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</row>
    <row r="75" spans="1:12">
      <c r="A75" t="s">
        <v>396</v>
      </c>
      <c r="B75" t="s">
        <v>460</v>
      </c>
      <c r="C75" t="s">
        <v>32</v>
      </c>
      <c r="D75" t="s">
        <v>110</v>
      </c>
      <c r="E75">
        <v>5</v>
      </c>
      <c r="F75">
        <v>0</v>
      </c>
      <c r="G75">
        <v>0</v>
      </c>
      <c r="H75">
        <v>3</v>
      </c>
      <c r="I75">
        <v>3</v>
      </c>
      <c r="J75">
        <v>2</v>
      </c>
      <c r="K75">
        <v>2</v>
      </c>
      <c r="L75">
        <v>0</v>
      </c>
    </row>
    <row r="76" spans="1:12">
      <c r="A76" t="s">
        <v>396</v>
      </c>
      <c r="B76" t="s">
        <v>290</v>
      </c>
      <c r="C76" t="s">
        <v>32</v>
      </c>
      <c r="D76" t="s">
        <v>110</v>
      </c>
      <c r="E76">
        <v>2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0</v>
      </c>
    </row>
    <row r="77" spans="1:12">
      <c r="A77" t="s">
        <v>396</v>
      </c>
      <c r="B77" t="s">
        <v>291</v>
      </c>
      <c r="C77" t="s">
        <v>32</v>
      </c>
      <c r="D77" t="s">
        <v>110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2</v>
      </c>
      <c r="L77">
        <v>0</v>
      </c>
    </row>
    <row r="78" spans="1:12">
      <c r="A78" t="s">
        <v>396</v>
      </c>
      <c r="B78" t="s">
        <v>461</v>
      </c>
      <c r="C78" t="s">
        <v>32</v>
      </c>
      <c r="D78" t="s">
        <v>110</v>
      </c>
      <c r="E78">
        <v>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</row>
    <row r="79" spans="1:12">
      <c r="A79" t="s">
        <v>396</v>
      </c>
      <c r="B79" t="s">
        <v>246</v>
      </c>
      <c r="C79" t="s">
        <v>32</v>
      </c>
      <c r="D79" t="s">
        <v>110</v>
      </c>
      <c r="E79">
        <v>3</v>
      </c>
      <c r="F79">
        <v>0</v>
      </c>
      <c r="G79">
        <v>0</v>
      </c>
      <c r="H79">
        <v>0</v>
      </c>
      <c r="I79">
        <v>0</v>
      </c>
      <c r="J79">
        <v>3</v>
      </c>
      <c r="K79">
        <v>3</v>
      </c>
      <c r="L79">
        <v>0</v>
      </c>
    </row>
    <row r="80" spans="1:12">
      <c r="A80" t="s">
        <v>396</v>
      </c>
      <c r="B80" t="s">
        <v>395</v>
      </c>
      <c r="C80" t="s">
        <v>32</v>
      </c>
      <c r="D80" t="s">
        <v>110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2</v>
      </c>
      <c r="L80">
        <v>0</v>
      </c>
    </row>
    <row r="81" spans="1:12">
      <c r="A81" t="s">
        <v>396</v>
      </c>
      <c r="B81" t="s">
        <v>247</v>
      </c>
      <c r="C81" t="s">
        <v>32</v>
      </c>
      <c r="D81" t="s">
        <v>110</v>
      </c>
      <c r="E81">
        <v>1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</row>
    <row r="82" spans="1:12">
      <c r="A82" t="s">
        <v>396</v>
      </c>
      <c r="B82" t="s">
        <v>248</v>
      </c>
      <c r="C82" t="s">
        <v>32</v>
      </c>
      <c r="D82" t="s">
        <v>110</v>
      </c>
      <c r="E82">
        <v>1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</row>
    <row r="83" spans="1:12">
      <c r="A83" t="s">
        <v>267</v>
      </c>
      <c r="B83" t="s">
        <v>250</v>
      </c>
      <c r="C83" t="s">
        <v>183</v>
      </c>
      <c r="D83" t="s">
        <v>220</v>
      </c>
      <c r="E83">
        <v>0</v>
      </c>
      <c r="F83">
        <v>1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</row>
    <row r="84" spans="1:12">
      <c r="A84" t="s">
        <v>267</v>
      </c>
      <c r="B84" t="s">
        <v>241</v>
      </c>
      <c r="C84" t="s">
        <v>183</v>
      </c>
      <c r="D84" t="s">
        <v>220</v>
      </c>
      <c r="E84">
        <v>2</v>
      </c>
      <c r="F84">
        <v>0</v>
      </c>
      <c r="G84">
        <v>0</v>
      </c>
      <c r="H84">
        <v>2</v>
      </c>
      <c r="I84">
        <v>2</v>
      </c>
      <c r="J84">
        <v>0</v>
      </c>
      <c r="K84">
        <v>0</v>
      </c>
      <c r="L84">
        <v>0</v>
      </c>
    </row>
    <row r="85" spans="1:12">
      <c r="A85" t="s">
        <v>267</v>
      </c>
      <c r="B85" t="s">
        <v>242</v>
      </c>
      <c r="C85" t="s">
        <v>183</v>
      </c>
      <c r="D85" t="s">
        <v>220</v>
      </c>
      <c r="E85">
        <v>1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</row>
    <row r="86" spans="1:12">
      <c r="A86" t="s">
        <v>267</v>
      </c>
      <c r="B86" t="s">
        <v>255</v>
      </c>
      <c r="C86" t="s">
        <v>183</v>
      </c>
      <c r="D86" t="s">
        <v>220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  <c r="K86">
        <v>2</v>
      </c>
      <c r="L86">
        <v>0</v>
      </c>
    </row>
    <row r="87" spans="1:12">
      <c r="A87" t="s">
        <v>267</v>
      </c>
      <c r="B87" t="s">
        <v>311</v>
      </c>
      <c r="C87" t="s">
        <v>183</v>
      </c>
      <c r="D87" t="s">
        <v>220</v>
      </c>
      <c r="E87">
        <v>0</v>
      </c>
      <c r="F87">
        <v>4</v>
      </c>
      <c r="G87">
        <v>0</v>
      </c>
      <c r="H87">
        <v>4</v>
      </c>
      <c r="I87">
        <v>2</v>
      </c>
      <c r="J87">
        <v>0</v>
      </c>
      <c r="K87">
        <v>0</v>
      </c>
      <c r="L87">
        <v>0</v>
      </c>
    </row>
    <row r="88" spans="1:12">
      <c r="A88" t="s">
        <v>267</v>
      </c>
      <c r="B88" t="s">
        <v>291</v>
      </c>
      <c r="C88" t="s">
        <v>183</v>
      </c>
      <c r="D88" t="s">
        <v>220</v>
      </c>
      <c r="E88">
        <v>3</v>
      </c>
      <c r="F88">
        <v>0</v>
      </c>
      <c r="G88">
        <v>0</v>
      </c>
      <c r="H88">
        <v>3</v>
      </c>
      <c r="I88">
        <v>3</v>
      </c>
      <c r="J88">
        <v>0</v>
      </c>
      <c r="K88">
        <v>0</v>
      </c>
      <c r="L88">
        <v>0</v>
      </c>
    </row>
    <row r="89" spans="1:12">
      <c r="A89" t="s">
        <v>267</v>
      </c>
      <c r="B89" t="s">
        <v>265</v>
      </c>
      <c r="C89" t="s">
        <v>183</v>
      </c>
      <c r="D89" t="s">
        <v>220</v>
      </c>
      <c r="E89">
        <v>0</v>
      </c>
      <c r="F89">
        <v>1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</row>
    <row r="90" spans="1:12">
      <c r="A90" t="s">
        <v>267</v>
      </c>
      <c r="B90" t="s">
        <v>251</v>
      </c>
      <c r="C90" t="s">
        <v>183</v>
      </c>
      <c r="D90" t="s">
        <v>220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</row>
    <row r="91" spans="1:12">
      <c r="A91" t="s">
        <v>267</v>
      </c>
      <c r="B91" t="s">
        <v>245</v>
      </c>
      <c r="C91" t="s">
        <v>183</v>
      </c>
      <c r="D91" t="s">
        <v>220</v>
      </c>
      <c r="E91">
        <v>12</v>
      </c>
      <c r="F91">
        <v>0</v>
      </c>
      <c r="G91">
        <v>0</v>
      </c>
      <c r="H91">
        <v>3</v>
      </c>
      <c r="I91">
        <v>3</v>
      </c>
      <c r="J91">
        <v>9</v>
      </c>
      <c r="K91">
        <v>9</v>
      </c>
      <c r="L91">
        <v>0</v>
      </c>
    </row>
    <row r="92" spans="1:12">
      <c r="A92" t="s">
        <v>267</v>
      </c>
      <c r="B92" t="s">
        <v>252</v>
      </c>
      <c r="C92" t="s">
        <v>183</v>
      </c>
      <c r="D92" t="s">
        <v>220</v>
      </c>
      <c r="E92">
        <v>9</v>
      </c>
      <c r="F92">
        <v>0</v>
      </c>
      <c r="G92">
        <v>0</v>
      </c>
      <c r="H92">
        <v>9</v>
      </c>
      <c r="I92">
        <v>9</v>
      </c>
      <c r="J92">
        <v>0</v>
      </c>
      <c r="K92">
        <v>0</v>
      </c>
      <c r="L92">
        <v>0</v>
      </c>
    </row>
    <row r="93" spans="1:12">
      <c r="A93" t="s">
        <v>267</v>
      </c>
      <c r="B93" t="s">
        <v>461</v>
      </c>
      <c r="C93" t="s">
        <v>183</v>
      </c>
      <c r="D93" t="s">
        <v>220</v>
      </c>
      <c r="E93">
        <v>0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</row>
    <row r="94" spans="1:12">
      <c r="A94" t="s">
        <v>267</v>
      </c>
      <c r="B94" t="s">
        <v>274</v>
      </c>
      <c r="C94" t="s">
        <v>183</v>
      </c>
      <c r="D94" t="s">
        <v>220</v>
      </c>
      <c r="E94">
        <v>5</v>
      </c>
      <c r="F94">
        <v>0</v>
      </c>
      <c r="G94">
        <v>0</v>
      </c>
      <c r="H94">
        <v>4</v>
      </c>
      <c r="I94">
        <v>4</v>
      </c>
      <c r="J94">
        <v>1</v>
      </c>
      <c r="K94">
        <v>1</v>
      </c>
      <c r="L94">
        <v>0</v>
      </c>
    </row>
    <row r="95" spans="1:12">
      <c r="A95" t="s">
        <v>267</v>
      </c>
      <c r="B95" t="s">
        <v>246</v>
      </c>
      <c r="C95" t="s">
        <v>183</v>
      </c>
      <c r="D95" t="s">
        <v>220</v>
      </c>
      <c r="E95">
        <v>9</v>
      </c>
      <c r="F95">
        <v>0</v>
      </c>
      <c r="G95">
        <v>0</v>
      </c>
      <c r="H95">
        <v>2</v>
      </c>
      <c r="I95">
        <v>2</v>
      </c>
      <c r="J95">
        <v>7</v>
      </c>
      <c r="K95">
        <v>7</v>
      </c>
      <c r="L95">
        <v>0</v>
      </c>
    </row>
    <row r="96" spans="1:12">
      <c r="A96" t="s">
        <v>268</v>
      </c>
      <c r="B96" t="s">
        <v>273</v>
      </c>
      <c r="C96" t="s">
        <v>184</v>
      </c>
      <c r="D96" t="s">
        <v>180</v>
      </c>
      <c r="E96">
        <v>0</v>
      </c>
      <c r="F96">
        <v>1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</row>
    <row r="97" spans="1:12">
      <c r="A97" t="s">
        <v>268</v>
      </c>
      <c r="B97" t="s">
        <v>250</v>
      </c>
      <c r="C97" t="s">
        <v>184</v>
      </c>
      <c r="D97" t="s">
        <v>180</v>
      </c>
      <c r="E97">
        <v>3</v>
      </c>
      <c r="F97">
        <v>0</v>
      </c>
      <c r="G97">
        <v>0</v>
      </c>
      <c r="H97">
        <v>3</v>
      </c>
      <c r="I97">
        <v>3</v>
      </c>
      <c r="J97">
        <v>0</v>
      </c>
      <c r="K97">
        <v>0</v>
      </c>
      <c r="L97">
        <v>0</v>
      </c>
    </row>
    <row r="98" spans="1:12">
      <c r="A98" t="s">
        <v>268</v>
      </c>
      <c r="B98" t="s">
        <v>242</v>
      </c>
      <c r="C98" t="s">
        <v>184</v>
      </c>
      <c r="D98" t="s">
        <v>180</v>
      </c>
      <c r="E98">
        <v>4</v>
      </c>
      <c r="F98">
        <v>0</v>
      </c>
      <c r="G98">
        <v>0</v>
      </c>
      <c r="H98">
        <v>4</v>
      </c>
      <c r="I98">
        <v>4</v>
      </c>
      <c r="J98">
        <v>0</v>
      </c>
      <c r="K98">
        <v>0</v>
      </c>
      <c r="L98">
        <v>0</v>
      </c>
    </row>
    <row r="99" spans="1:12">
      <c r="A99" t="s">
        <v>268</v>
      </c>
      <c r="B99" t="s">
        <v>255</v>
      </c>
      <c r="C99" t="s">
        <v>184</v>
      </c>
      <c r="D99" t="s">
        <v>180</v>
      </c>
      <c r="E99">
        <v>1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</row>
    <row r="100" spans="1:12">
      <c r="A100" t="s">
        <v>268</v>
      </c>
      <c r="B100" t="s">
        <v>290</v>
      </c>
      <c r="C100" t="s">
        <v>184</v>
      </c>
      <c r="D100" t="s">
        <v>180</v>
      </c>
      <c r="E100">
        <v>4</v>
      </c>
      <c r="F100">
        <v>2</v>
      </c>
      <c r="G100">
        <v>0</v>
      </c>
      <c r="H100">
        <v>4</v>
      </c>
      <c r="I100">
        <v>2</v>
      </c>
      <c r="J100">
        <v>2</v>
      </c>
      <c r="K100">
        <v>2</v>
      </c>
      <c r="L100">
        <v>0</v>
      </c>
    </row>
    <row r="101" spans="1:12">
      <c r="A101" t="s">
        <v>268</v>
      </c>
      <c r="B101" t="s">
        <v>291</v>
      </c>
      <c r="C101" t="s">
        <v>184</v>
      </c>
      <c r="D101" t="s">
        <v>180</v>
      </c>
      <c r="E101">
        <v>3</v>
      </c>
      <c r="F101">
        <v>0</v>
      </c>
      <c r="G101">
        <v>0</v>
      </c>
      <c r="H101">
        <v>3</v>
      </c>
      <c r="I101">
        <v>3</v>
      </c>
      <c r="J101">
        <v>0</v>
      </c>
      <c r="K101">
        <v>0</v>
      </c>
      <c r="L101">
        <v>0</v>
      </c>
    </row>
    <row r="102" spans="1:12">
      <c r="A102" t="s">
        <v>268</v>
      </c>
      <c r="B102" t="s">
        <v>245</v>
      </c>
      <c r="C102" t="s">
        <v>184</v>
      </c>
      <c r="D102" t="s">
        <v>180</v>
      </c>
      <c r="E102">
        <v>7</v>
      </c>
      <c r="F102">
        <v>0</v>
      </c>
      <c r="G102">
        <v>0</v>
      </c>
      <c r="H102">
        <v>1</v>
      </c>
      <c r="I102">
        <v>1</v>
      </c>
      <c r="J102">
        <v>6</v>
      </c>
      <c r="K102">
        <v>6</v>
      </c>
      <c r="L102">
        <v>0</v>
      </c>
    </row>
    <row r="103" spans="1:12">
      <c r="A103" t="s">
        <v>268</v>
      </c>
      <c r="B103" t="s">
        <v>253</v>
      </c>
      <c r="C103" t="s">
        <v>184</v>
      </c>
      <c r="D103" t="s">
        <v>180</v>
      </c>
      <c r="E103">
        <v>2</v>
      </c>
      <c r="F103">
        <v>0</v>
      </c>
      <c r="G103">
        <v>0</v>
      </c>
      <c r="H103">
        <v>2</v>
      </c>
      <c r="I103">
        <v>2</v>
      </c>
      <c r="J103">
        <v>0</v>
      </c>
      <c r="K103">
        <v>0</v>
      </c>
      <c r="L103">
        <v>0</v>
      </c>
    </row>
    <row r="104" spans="1:12">
      <c r="A104" t="s">
        <v>268</v>
      </c>
      <c r="B104" t="s">
        <v>274</v>
      </c>
      <c r="C104" t="s">
        <v>184</v>
      </c>
      <c r="D104" t="s">
        <v>180</v>
      </c>
      <c r="E104">
        <v>5</v>
      </c>
      <c r="F104">
        <v>1</v>
      </c>
      <c r="G104">
        <v>0</v>
      </c>
      <c r="H104">
        <v>1</v>
      </c>
      <c r="I104">
        <v>1</v>
      </c>
      <c r="J104">
        <v>5</v>
      </c>
      <c r="K104">
        <v>5</v>
      </c>
      <c r="L104">
        <v>0</v>
      </c>
    </row>
    <row r="105" spans="1:12">
      <c r="A105" t="s">
        <v>268</v>
      </c>
      <c r="B105" t="s">
        <v>246</v>
      </c>
      <c r="C105" t="s">
        <v>184</v>
      </c>
      <c r="D105" t="s">
        <v>180</v>
      </c>
      <c r="E105">
        <v>7</v>
      </c>
      <c r="F105">
        <v>0</v>
      </c>
      <c r="G105">
        <v>0</v>
      </c>
      <c r="H105">
        <v>4</v>
      </c>
      <c r="I105">
        <v>4</v>
      </c>
      <c r="J105">
        <v>3</v>
      </c>
      <c r="K105">
        <v>3</v>
      </c>
      <c r="L105">
        <v>0</v>
      </c>
    </row>
    <row r="106" spans="1:12">
      <c r="A106" t="s">
        <v>268</v>
      </c>
      <c r="B106" t="s">
        <v>259</v>
      </c>
      <c r="C106" t="s">
        <v>184</v>
      </c>
      <c r="D106" t="s">
        <v>180</v>
      </c>
      <c r="E106">
        <v>0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</row>
    <row r="107" spans="1:12">
      <c r="A107" t="s">
        <v>268</v>
      </c>
      <c r="B107" t="s">
        <v>248</v>
      </c>
      <c r="C107" t="s">
        <v>184</v>
      </c>
      <c r="D107" t="s">
        <v>180</v>
      </c>
      <c r="E107">
        <v>4</v>
      </c>
      <c r="F107">
        <v>0</v>
      </c>
      <c r="G107">
        <v>0</v>
      </c>
      <c r="H107">
        <v>3</v>
      </c>
      <c r="I107">
        <v>3</v>
      </c>
      <c r="J107">
        <v>1</v>
      </c>
      <c r="K107">
        <v>1</v>
      </c>
      <c r="L107">
        <v>0</v>
      </c>
    </row>
    <row r="108" spans="1:12">
      <c r="A108" t="s">
        <v>292</v>
      </c>
      <c r="B108" t="s">
        <v>250</v>
      </c>
      <c r="C108" t="s">
        <v>36</v>
      </c>
      <c r="D108" t="s">
        <v>126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</row>
    <row r="109" spans="1:12">
      <c r="A109" t="s">
        <v>292</v>
      </c>
      <c r="B109" t="s">
        <v>290</v>
      </c>
      <c r="C109" t="s">
        <v>36</v>
      </c>
      <c r="D109" t="s">
        <v>126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</row>
    <row r="110" spans="1:12">
      <c r="A110" t="s">
        <v>292</v>
      </c>
      <c r="B110" t="s">
        <v>275</v>
      </c>
      <c r="C110" t="s">
        <v>36</v>
      </c>
      <c r="D110" t="s">
        <v>126</v>
      </c>
      <c r="E110">
        <v>1</v>
      </c>
      <c r="F110">
        <v>1</v>
      </c>
      <c r="G110">
        <v>0</v>
      </c>
      <c r="H110">
        <v>2</v>
      </c>
      <c r="I110">
        <v>1</v>
      </c>
      <c r="J110">
        <v>0</v>
      </c>
      <c r="K110">
        <v>0</v>
      </c>
      <c r="L110">
        <v>0</v>
      </c>
    </row>
    <row r="111" spans="1:12">
      <c r="A111" t="s">
        <v>292</v>
      </c>
      <c r="B111" t="s">
        <v>245</v>
      </c>
      <c r="C111" t="s">
        <v>36</v>
      </c>
      <c r="D111" t="s">
        <v>126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2</v>
      </c>
      <c r="L111">
        <v>0</v>
      </c>
    </row>
    <row r="112" spans="1:12">
      <c r="A112" t="s">
        <v>292</v>
      </c>
      <c r="B112" t="s">
        <v>274</v>
      </c>
      <c r="C112" t="s">
        <v>36</v>
      </c>
      <c r="D112" t="s">
        <v>126</v>
      </c>
      <c r="E112">
        <v>2</v>
      </c>
      <c r="F112">
        <v>0</v>
      </c>
      <c r="G112">
        <v>0</v>
      </c>
      <c r="H112">
        <v>2</v>
      </c>
      <c r="I112">
        <v>2</v>
      </c>
      <c r="J112">
        <v>0</v>
      </c>
      <c r="K112">
        <v>0</v>
      </c>
      <c r="L112">
        <v>0</v>
      </c>
    </row>
    <row r="113" spans="1:12">
      <c r="A113" t="s">
        <v>292</v>
      </c>
      <c r="B113" t="s">
        <v>246</v>
      </c>
      <c r="C113" t="s">
        <v>36</v>
      </c>
      <c r="D113" t="s">
        <v>126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</row>
    <row r="114" spans="1:12">
      <c r="A114" t="s">
        <v>479</v>
      </c>
      <c r="B114" t="s">
        <v>253</v>
      </c>
      <c r="C114" t="s">
        <v>141</v>
      </c>
      <c r="D114" t="s">
        <v>293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</row>
    <row r="115" spans="1:12">
      <c r="A115" t="s">
        <v>294</v>
      </c>
      <c r="B115" t="s">
        <v>242</v>
      </c>
      <c r="C115" t="s">
        <v>181</v>
      </c>
      <c r="D115" t="s">
        <v>180</v>
      </c>
      <c r="E115">
        <v>5</v>
      </c>
      <c r="F115">
        <v>0</v>
      </c>
      <c r="G115">
        <v>0</v>
      </c>
      <c r="H115">
        <v>3</v>
      </c>
      <c r="I115">
        <v>3</v>
      </c>
      <c r="J115">
        <v>2</v>
      </c>
      <c r="K115">
        <v>2</v>
      </c>
      <c r="L115">
        <v>0</v>
      </c>
    </row>
    <row r="116" spans="1:12">
      <c r="A116" t="s">
        <v>294</v>
      </c>
      <c r="B116" t="s">
        <v>272</v>
      </c>
      <c r="C116" t="s">
        <v>181</v>
      </c>
      <c r="D116" t="s">
        <v>180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</row>
    <row r="117" spans="1:12">
      <c r="A117" t="s">
        <v>294</v>
      </c>
      <c r="B117" t="s">
        <v>243</v>
      </c>
      <c r="C117" t="s">
        <v>181</v>
      </c>
      <c r="D117" t="s">
        <v>180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</row>
    <row r="118" spans="1:12">
      <c r="A118" t="s">
        <v>294</v>
      </c>
      <c r="B118" t="s">
        <v>290</v>
      </c>
      <c r="C118" t="s">
        <v>181</v>
      </c>
      <c r="D118" t="s">
        <v>180</v>
      </c>
      <c r="E118">
        <v>4</v>
      </c>
      <c r="F118">
        <v>0</v>
      </c>
      <c r="G118">
        <v>0</v>
      </c>
      <c r="H118">
        <v>2</v>
      </c>
      <c r="I118">
        <v>2</v>
      </c>
      <c r="J118">
        <v>2</v>
      </c>
      <c r="K118">
        <v>2</v>
      </c>
      <c r="L118">
        <v>0</v>
      </c>
    </row>
    <row r="119" spans="1:12">
      <c r="A119" t="s">
        <v>294</v>
      </c>
      <c r="B119" t="s">
        <v>291</v>
      </c>
      <c r="C119" t="s">
        <v>181</v>
      </c>
      <c r="D119" t="s">
        <v>180</v>
      </c>
      <c r="E119">
        <v>5</v>
      </c>
      <c r="F119">
        <v>0</v>
      </c>
      <c r="G119">
        <v>0</v>
      </c>
      <c r="H119">
        <v>5</v>
      </c>
      <c r="I119">
        <v>5</v>
      </c>
      <c r="J119">
        <v>0</v>
      </c>
      <c r="K119">
        <v>0</v>
      </c>
      <c r="L119">
        <v>0</v>
      </c>
    </row>
    <row r="120" spans="1:12">
      <c r="A120" t="s">
        <v>294</v>
      </c>
      <c r="B120" t="s">
        <v>256</v>
      </c>
      <c r="C120" t="s">
        <v>181</v>
      </c>
      <c r="D120" t="s">
        <v>180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</row>
    <row r="121" spans="1:12">
      <c r="A121" t="s">
        <v>294</v>
      </c>
      <c r="B121" t="s">
        <v>253</v>
      </c>
      <c r="C121" t="s">
        <v>181</v>
      </c>
      <c r="D121" t="s">
        <v>180</v>
      </c>
      <c r="E121">
        <v>5</v>
      </c>
      <c r="F121">
        <v>0</v>
      </c>
      <c r="G121">
        <v>0</v>
      </c>
      <c r="H121">
        <v>5</v>
      </c>
      <c r="I121">
        <v>5</v>
      </c>
      <c r="J121">
        <v>0</v>
      </c>
      <c r="K121">
        <v>0</v>
      </c>
      <c r="L121">
        <v>0</v>
      </c>
    </row>
    <row r="122" spans="1:12">
      <c r="A122" t="s">
        <v>294</v>
      </c>
      <c r="B122" t="s">
        <v>246</v>
      </c>
      <c r="C122" t="s">
        <v>181</v>
      </c>
      <c r="D122" t="s">
        <v>180</v>
      </c>
      <c r="E122">
        <v>7</v>
      </c>
      <c r="F122">
        <v>0</v>
      </c>
      <c r="G122">
        <v>0</v>
      </c>
      <c r="H122">
        <v>2</v>
      </c>
      <c r="I122">
        <v>2</v>
      </c>
      <c r="J122">
        <v>5</v>
      </c>
      <c r="K122">
        <v>5</v>
      </c>
      <c r="L122">
        <v>0</v>
      </c>
    </row>
    <row r="123" spans="1:12">
      <c r="A123" t="s">
        <v>294</v>
      </c>
      <c r="B123" t="s">
        <v>395</v>
      </c>
      <c r="C123" t="s">
        <v>181</v>
      </c>
      <c r="D123" t="s">
        <v>180</v>
      </c>
      <c r="E123">
        <v>1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</row>
    <row r="124" spans="1:12">
      <c r="A124" t="s">
        <v>294</v>
      </c>
      <c r="B124" t="s">
        <v>248</v>
      </c>
      <c r="C124" t="s">
        <v>181</v>
      </c>
      <c r="D124" t="s">
        <v>180</v>
      </c>
      <c r="E124">
        <v>3</v>
      </c>
      <c r="F124">
        <v>1</v>
      </c>
      <c r="G124">
        <v>0</v>
      </c>
      <c r="H124">
        <v>2</v>
      </c>
      <c r="I124">
        <v>2</v>
      </c>
      <c r="J124">
        <v>2</v>
      </c>
      <c r="K124">
        <v>2</v>
      </c>
      <c r="L124">
        <v>0</v>
      </c>
    </row>
    <row r="125" spans="1:12">
      <c r="A125" t="s">
        <v>463</v>
      </c>
      <c r="B125" t="s">
        <v>242</v>
      </c>
      <c r="C125" t="s">
        <v>8</v>
      </c>
      <c r="D125" t="s">
        <v>75</v>
      </c>
      <c r="E125">
        <v>1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</row>
    <row r="126" spans="1:12">
      <c r="A126" t="s">
        <v>463</v>
      </c>
      <c r="B126" t="s">
        <v>243</v>
      </c>
      <c r="C126" t="s">
        <v>8</v>
      </c>
      <c r="D126" t="s">
        <v>75</v>
      </c>
      <c r="E126">
        <v>2</v>
      </c>
      <c r="F126">
        <v>0</v>
      </c>
      <c r="G126">
        <v>0</v>
      </c>
      <c r="H126">
        <v>2</v>
      </c>
      <c r="I126">
        <v>2</v>
      </c>
      <c r="J126">
        <v>0</v>
      </c>
      <c r="K126">
        <v>0</v>
      </c>
      <c r="L126">
        <v>0</v>
      </c>
    </row>
    <row r="127" spans="1:12">
      <c r="A127" t="s">
        <v>463</v>
      </c>
      <c r="B127" t="s">
        <v>290</v>
      </c>
      <c r="C127" t="s">
        <v>8</v>
      </c>
      <c r="D127" t="s">
        <v>75</v>
      </c>
      <c r="E127">
        <v>1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</row>
    <row r="128" spans="1:12">
      <c r="A128" t="s">
        <v>463</v>
      </c>
      <c r="B128" t="s">
        <v>244</v>
      </c>
      <c r="C128" t="s">
        <v>8</v>
      </c>
      <c r="D128" t="s">
        <v>75</v>
      </c>
      <c r="E128">
        <v>3</v>
      </c>
      <c r="F128">
        <v>0</v>
      </c>
      <c r="G128">
        <v>0</v>
      </c>
      <c r="H128">
        <v>3</v>
      </c>
      <c r="I128">
        <v>3</v>
      </c>
      <c r="J128">
        <v>0</v>
      </c>
      <c r="K128">
        <v>0</v>
      </c>
      <c r="L128">
        <v>0</v>
      </c>
    </row>
    <row r="129" spans="1:12">
      <c r="A129" t="s">
        <v>463</v>
      </c>
      <c r="B129" t="s">
        <v>291</v>
      </c>
      <c r="C129" t="s">
        <v>8</v>
      </c>
      <c r="D129" t="s">
        <v>75</v>
      </c>
      <c r="E129">
        <v>1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</row>
    <row r="130" spans="1:12">
      <c r="A130" t="s">
        <v>463</v>
      </c>
      <c r="B130" t="s">
        <v>246</v>
      </c>
      <c r="C130" t="s">
        <v>8</v>
      </c>
      <c r="D130" t="s">
        <v>75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2</v>
      </c>
      <c r="L130">
        <v>0</v>
      </c>
    </row>
    <row r="131" spans="1:12">
      <c r="A131" t="s">
        <v>463</v>
      </c>
      <c r="B131" t="s">
        <v>395</v>
      </c>
      <c r="C131" t="s">
        <v>8</v>
      </c>
      <c r="D131" t="s">
        <v>75</v>
      </c>
      <c r="E131">
        <v>2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0</v>
      </c>
    </row>
    <row r="132" spans="1:12">
      <c r="A132" t="s">
        <v>463</v>
      </c>
      <c r="B132" t="s">
        <v>247</v>
      </c>
      <c r="C132" t="s">
        <v>8</v>
      </c>
      <c r="D132" t="s">
        <v>75</v>
      </c>
      <c r="E132">
        <v>2</v>
      </c>
      <c r="F132">
        <v>0</v>
      </c>
      <c r="G132">
        <v>0</v>
      </c>
      <c r="H132">
        <v>2</v>
      </c>
      <c r="I132">
        <v>2</v>
      </c>
      <c r="J132">
        <v>0</v>
      </c>
      <c r="K132">
        <v>0</v>
      </c>
      <c r="L132">
        <v>0</v>
      </c>
    </row>
    <row r="133" spans="1:12">
      <c r="A133" t="s">
        <v>269</v>
      </c>
      <c r="B133" t="s">
        <v>241</v>
      </c>
      <c r="C133" t="s">
        <v>198</v>
      </c>
      <c r="D133" t="s">
        <v>221</v>
      </c>
      <c r="E133">
        <v>2</v>
      </c>
      <c r="F133">
        <v>0</v>
      </c>
      <c r="G133">
        <v>0</v>
      </c>
      <c r="H133">
        <v>2</v>
      </c>
      <c r="I133">
        <v>2</v>
      </c>
      <c r="J133">
        <v>0</v>
      </c>
      <c r="K133">
        <v>0</v>
      </c>
      <c r="L133">
        <v>0</v>
      </c>
    </row>
    <row r="134" spans="1:12">
      <c r="A134" t="s">
        <v>269</v>
      </c>
      <c r="B134" t="s">
        <v>242</v>
      </c>
      <c r="C134" t="s">
        <v>198</v>
      </c>
      <c r="D134" t="s">
        <v>221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</row>
    <row r="135" spans="1:12">
      <c r="A135" t="s">
        <v>269</v>
      </c>
      <c r="B135" t="s">
        <v>255</v>
      </c>
      <c r="C135" t="s">
        <v>198</v>
      </c>
      <c r="D135" t="s">
        <v>221</v>
      </c>
      <c r="E135">
        <v>5</v>
      </c>
      <c r="F135">
        <v>0</v>
      </c>
      <c r="G135">
        <v>0</v>
      </c>
      <c r="H135">
        <v>1</v>
      </c>
      <c r="I135">
        <v>1</v>
      </c>
      <c r="J135">
        <v>4</v>
      </c>
      <c r="K135">
        <v>4</v>
      </c>
      <c r="L135">
        <v>0</v>
      </c>
    </row>
    <row r="136" spans="1:12">
      <c r="A136" t="s">
        <v>269</v>
      </c>
      <c r="B136" t="s">
        <v>243</v>
      </c>
      <c r="C136" t="s">
        <v>198</v>
      </c>
      <c r="D136" t="s">
        <v>221</v>
      </c>
      <c r="E136">
        <v>4</v>
      </c>
      <c r="F136">
        <v>0</v>
      </c>
      <c r="G136">
        <v>0</v>
      </c>
      <c r="H136">
        <v>4</v>
      </c>
      <c r="I136">
        <v>4</v>
      </c>
      <c r="J136">
        <v>0</v>
      </c>
      <c r="K136">
        <v>0</v>
      </c>
      <c r="L136">
        <v>0</v>
      </c>
    </row>
    <row r="137" spans="1:12">
      <c r="A137" t="s">
        <v>269</v>
      </c>
      <c r="B137" t="s">
        <v>290</v>
      </c>
      <c r="C137" t="s">
        <v>198</v>
      </c>
      <c r="D137" t="s">
        <v>221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2</v>
      </c>
      <c r="L137">
        <v>0</v>
      </c>
    </row>
    <row r="138" spans="1:12">
      <c r="A138" t="s">
        <v>269</v>
      </c>
      <c r="B138" t="s">
        <v>261</v>
      </c>
      <c r="C138" t="s">
        <v>198</v>
      </c>
      <c r="D138" t="s">
        <v>221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</row>
    <row r="139" spans="1:12">
      <c r="A139" t="s">
        <v>269</v>
      </c>
      <c r="B139" t="s">
        <v>256</v>
      </c>
      <c r="C139" t="s">
        <v>198</v>
      </c>
      <c r="D139" t="s">
        <v>221</v>
      </c>
      <c r="E139">
        <v>10</v>
      </c>
      <c r="F139">
        <v>0</v>
      </c>
      <c r="G139">
        <v>0</v>
      </c>
      <c r="H139">
        <v>7</v>
      </c>
      <c r="I139">
        <v>7</v>
      </c>
      <c r="J139">
        <v>3</v>
      </c>
      <c r="K139">
        <v>3</v>
      </c>
      <c r="L139">
        <v>0</v>
      </c>
    </row>
    <row r="140" spans="1:12">
      <c r="A140" t="s">
        <v>269</v>
      </c>
      <c r="B140" t="s">
        <v>251</v>
      </c>
      <c r="C140" t="s">
        <v>198</v>
      </c>
      <c r="D140" t="s">
        <v>221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</row>
    <row r="141" spans="1:12">
      <c r="A141" t="s">
        <v>269</v>
      </c>
      <c r="B141" t="s">
        <v>245</v>
      </c>
      <c r="C141" t="s">
        <v>198</v>
      </c>
      <c r="D141" t="s">
        <v>221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6</v>
      </c>
      <c r="K141">
        <v>6</v>
      </c>
      <c r="L141">
        <v>0</v>
      </c>
    </row>
    <row r="142" spans="1:12">
      <c r="A142" t="s">
        <v>269</v>
      </c>
      <c r="B142" t="s">
        <v>253</v>
      </c>
      <c r="C142" t="s">
        <v>198</v>
      </c>
      <c r="D142" t="s">
        <v>221</v>
      </c>
      <c r="E142">
        <v>4</v>
      </c>
      <c r="F142">
        <v>0</v>
      </c>
      <c r="G142">
        <v>0</v>
      </c>
      <c r="H142">
        <v>1</v>
      </c>
      <c r="I142">
        <v>1</v>
      </c>
      <c r="J142">
        <v>3</v>
      </c>
      <c r="K142">
        <v>3</v>
      </c>
      <c r="L142">
        <v>0</v>
      </c>
    </row>
    <row r="143" spans="1:12">
      <c r="A143" t="s">
        <v>269</v>
      </c>
      <c r="B143" t="s">
        <v>274</v>
      </c>
      <c r="C143" t="s">
        <v>198</v>
      </c>
      <c r="D143" t="s">
        <v>221</v>
      </c>
      <c r="E143">
        <v>4</v>
      </c>
      <c r="F143">
        <v>0</v>
      </c>
      <c r="G143">
        <v>0</v>
      </c>
      <c r="H143">
        <v>1</v>
      </c>
      <c r="I143">
        <v>1</v>
      </c>
      <c r="J143">
        <v>3</v>
      </c>
      <c r="K143">
        <v>3</v>
      </c>
      <c r="L143">
        <v>0</v>
      </c>
    </row>
    <row r="144" spans="1:12">
      <c r="A144" t="s">
        <v>269</v>
      </c>
      <c r="B144" t="s">
        <v>246</v>
      </c>
      <c r="C144" t="s">
        <v>198</v>
      </c>
      <c r="D144" t="s">
        <v>221</v>
      </c>
      <c r="E144">
        <v>7</v>
      </c>
      <c r="F144">
        <v>0</v>
      </c>
      <c r="G144">
        <v>0</v>
      </c>
      <c r="H144">
        <v>2</v>
      </c>
      <c r="I144">
        <v>2</v>
      </c>
      <c r="J144">
        <v>5</v>
      </c>
      <c r="K144">
        <v>5</v>
      </c>
      <c r="L144">
        <v>0</v>
      </c>
    </row>
    <row r="145" spans="1:12">
      <c r="A145" t="s">
        <v>269</v>
      </c>
      <c r="B145" t="s">
        <v>395</v>
      </c>
      <c r="C145" t="s">
        <v>198</v>
      </c>
      <c r="D145" t="s">
        <v>221</v>
      </c>
      <c r="E145">
        <v>2</v>
      </c>
      <c r="F145">
        <v>0</v>
      </c>
      <c r="G145">
        <v>0</v>
      </c>
      <c r="H145">
        <v>2</v>
      </c>
      <c r="I145">
        <v>2</v>
      </c>
      <c r="J145">
        <v>0</v>
      </c>
      <c r="K145">
        <v>0</v>
      </c>
      <c r="L145">
        <v>0</v>
      </c>
    </row>
    <row r="146" spans="1:12">
      <c r="A146" t="s">
        <v>269</v>
      </c>
      <c r="B146" t="s">
        <v>247</v>
      </c>
      <c r="C146" t="s">
        <v>198</v>
      </c>
      <c r="D146" t="s">
        <v>221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</row>
    <row r="147" spans="1:12">
      <c r="A147" t="s">
        <v>295</v>
      </c>
      <c r="B147" t="s">
        <v>241</v>
      </c>
      <c r="C147" t="s">
        <v>296</v>
      </c>
      <c r="D147" t="s">
        <v>172</v>
      </c>
      <c r="E147">
        <v>5</v>
      </c>
      <c r="F147">
        <v>1</v>
      </c>
      <c r="G147">
        <v>0</v>
      </c>
      <c r="H147">
        <v>6</v>
      </c>
      <c r="I147">
        <v>6</v>
      </c>
      <c r="J147">
        <v>0</v>
      </c>
      <c r="K147">
        <v>0</v>
      </c>
      <c r="L147">
        <v>0</v>
      </c>
    </row>
    <row r="148" spans="1:12">
      <c r="A148" t="s">
        <v>295</v>
      </c>
      <c r="B148" t="s">
        <v>242</v>
      </c>
      <c r="C148" t="s">
        <v>296</v>
      </c>
      <c r="D148" t="s">
        <v>172</v>
      </c>
      <c r="E148">
        <v>4</v>
      </c>
      <c r="F148">
        <v>0</v>
      </c>
      <c r="G148">
        <v>0</v>
      </c>
      <c r="H148">
        <v>4</v>
      </c>
      <c r="I148">
        <v>4</v>
      </c>
      <c r="J148">
        <v>0</v>
      </c>
      <c r="K148">
        <v>0</v>
      </c>
      <c r="L148">
        <v>0</v>
      </c>
    </row>
    <row r="149" spans="1:12">
      <c r="A149" t="s">
        <v>295</v>
      </c>
      <c r="B149" t="s">
        <v>243</v>
      </c>
      <c r="C149" t="s">
        <v>296</v>
      </c>
      <c r="D149" t="s">
        <v>172</v>
      </c>
      <c r="E149">
        <v>5</v>
      </c>
      <c r="F149">
        <v>0</v>
      </c>
      <c r="G149">
        <v>0</v>
      </c>
      <c r="H149">
        <v>5</v>
      </c>
      <c r="I149">
        <v>5</v>
      </c>
      <c r="J149">
        <v>0</v>
      </c>
      <c r="K149">
        <v>0</v>
      </c>
      <c r="L149">
        <v>0</v>
      </c>
    </row>
    <row r="150" spans="1:12">
      <c r="A150" t="s">
        <v>295</v>
      </c>
      <c r="B150" t="s">
        <v>290</v>
      </c>
      <c r="C150" t="s">
        <v>296</v>
      </c>
      <c r="D150" t="s">
        <v>172</v>
      </c>
      <c r="E150">
        <v>2</v>
      </c>
      <c r="F150">
        <v>0</v>
      </c>
      <c r="G150">
        <v>0</v>
      </c>
      <c r="H150">
        <v>2</v>
      </c>
      <c r="I150">
        <v>2</v>
      </c>
      <c r="J150">
        <v>0</v>
      </c>
      <c r="K150">
        <v>0</v>
      </c>
      <c r="L150">
        <v>0</v>
      </c>
    </row>
    <row r="151" spans="1:12">
      <c r="A151" t="s">
        <v>295</v>
      </c>
      <c r="B151" t="s">
        <v>386</v>
      </c>
      <c r="C151" t="s">
        <v>296</v>
      </c>
      <c r="D151" t="s">
        <v>172</v>
      </c>
      <c r="E151">
        <v>0</v>
      </c>
      <c r="F151">
        <v>5</v>
      </c>
      <c r="G151">
        <v>0</v>
      </c>
      <c r="H151">
        <v>5</v>
      </c>
      <c r="I151">
        <v>5</v>
      </c>
      <c r="J151">
        <v>0</v>
      </c>
      <c r="K151">
        <v>0</v>
      </c>
      <c r="L151">
        <v>0</v>
      </c>
    </row>
    <row r="152" spans="1:12">
      <c r="A152" t="s">
        <v>295</v>
      </c>
      <c r="B152" t="s">
        <v>291</v>
      </c>
      <c r="C152" t="s">
        <v>296</v>
      </c>
      <c r="D152" t="s">
        <v>172</v>
      </c>
      <c r="E152">
        <v>2</v>
      </c>
      <c r="F152">
        <v>0</v>
      </c>
      <c r="G152">
        <v>0</v>
      </c>
      <c r="H152">
        <v>2</v>
      </c>
      <c r="I152">
        <v>2</v>
      </c>
      <c r="J152">
        <v>0</v>
      </c>
      <c r="K152">
        <v>0</v>
      </c>
      <c r="L152">
        <v>0</v>
      </c>
    </row>
    <row r="153" spans="1:12">
      <c r="A153" t="s">
        <v>295</v>
      </c>
      <c r="B153" t="s">
        <v>256</v>
      </c>
      <c r="C153" t="s">
        <v>296</v>
      </c>
      <c r="D153" t="s">
        <v>172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</row>
    <row r="154" spans="1:12">
      <c r="A154" t="s">
        <v>295</v>
      </c>
      <c r="B154" t="s">
        <v>245</v>
      </c>
      <c r="C154" t="s">
        <v>296</v>
      </c>
      <c r="D154" t="s">
        <v>172</v>
      </c>
      <c r="E154">
        <v>7</v>
      </c>
      <c r="F154">
        <v>0</v>
      </c>
      <c r="G154">
        <v>0</v>
      </c>
      <c r="H154">
        <v>1</v>
      </c>
      <c r="I154">
        <v>1</v>
      </c>
      <c r="J154">
        <v>6</v>
      </c>
      <c r="K154">
        <v>6</v>
      </c>
      <c r="L154">
        <v>0</v>
      </c>
    </row>
    <row r="155" spans="1:12">
      <c r="A155" t="s">
        <v>295</v>
      </c>
      <c r="B155" t="s">
        <v>253</v>
      </c>
      <c r="C155" t="s">
        <v>296</v>
      </c>
      <c r="D155" t="s">
        <v>172</v>
      </c>
      <c r="E155">
        <v>3</v>
      </c>
      <c r="F155">
        <v>0</v>
      </c>
      <c r="G155">
        <v>0</v>
      </c>
      <c r="H155">
        <v>3</v>
      </c>
      <c r="I155">
        <v>3</v>
      </c>
      <c r="J155">
        <v>0</v>
      </c>
      <c r="K155">
        <v>0</v>
      </c>
      <c r="L155">
        <v>0</v>
      </c>
    </row>
    <row r="156" spans="1:12">
      <c r="A156" t="s">
        <v>295</v>
      </c>
      <c r="B156" t="s">
        <v>274</v>
      </c>
      <c r="C156" t="s">
        <v>296</v>
      </c>
      <c r="D156" t="s">
        <v>172</v>
      </c>
      <c r="E156">
        <v>2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</row>
    <row r="157" spans="1:12">
      <c r="A157" t="s">
        <v>295</v>
      </c>
      <c r="B157" t="s">
        <v>246</v>
      </c>
      <c r="C157" t="s">
        <v>296</v>
      </c>
      <c r="D157" t="s">
        <v>172</v>
      </c>
      <c r="E157">
        <v>7</v>
      </c>
      <c r="F157">
        <v>0</v>
      </c>
      <c r="G157">
        <v>0</v>
      </c>
      <c r="H157">
        <v>3</v>
      </c>
      <c r="I157">
        <v>3</v>
      </c>
      <c r="J157">
        <v>4</v>
      </c>
      <c r="K157">
        <v>4</v>
      </c>
      <c r="L157">
        <v>0</v>
      </c>
    </row>
    <row r="158" spans="1:12">
      <c r="A158" t="s">
        <v>295</v>
      </c>
      <c r="B158" t="s">
        <v>395</v>
      </c>
      <c r="C158" t="s">
        <v>296</v>
      </c>
      <c r="D158" t="s">
        <v>172</v>
      </c>
      <c r="E158">
        <v>2</v>
      </c>
      <c r="F158">
        <v>0</v>
      </c>
      <c r="G158">
        <v>0</v>
      </c>
      <c r="H158">
        <v>2</v>
      </c>
      <c r="I158">
        <v>2</v>
      </c>
      <c r="J158">
        <v>0</v>
      </c>
      <c r="K158">
        <v>0</v>
      </c>
      <c r="L158">
        <v>0</v>
      </c>
    </row>
    <row r="159" spans="1:12">
      <c r="A159" t="s">
        <v>295</v>
      </c>
      <c r="B159" t="s">
        <v>329</v>
      </c>
      <c r="C159" t="s">
        <v>296</v>
      </c>
      <c r="D159" t="s">
        <v>172</v>
      </c>
      <c r="E159">
        <v>2</v>
      </c>
      <c r="F159">
        <v>0</v>
      </c>
      <c r="G159">
        <v>0</v>
      </c>
      <c r="H159">
        <v>2</v>
      </c>
      <c r="I159">
        <v>2</v>
      </c>
      <c r="J159">
        <v>0</v>
      </c>
      <c r="K159">
        <v>0</v>
      </c>
      <c r="L159">
        <v>0</v>
      </c>
    </row>
    <row r="160" spans="1:12">
      <c r="A160" t="s">
        <v>295</v>
      </c>
      <c r="B160" t="s">
        <v>248</v>
      </c>
      <c r="C160" t="s">
        <v>296</v>
      </c>
      <c r="D160" t="s">
        <v>172</v>
      </c>
      <c r="E160">
        <v>5</v>
      </c>
      <c r="F160">
        <v>0</v>
      </c>
      <c r="G160">
        <v>0</v>
      </c>
      <c r="H160">
        <v>1</v>
      </c>
      <c r="I160">
        <v>1</v>
      </c>
      <c r="J160">
        <v>4</v>
      </c>
      <c r="K160">
        <v>4</v>
      </c>
      <c r="L160">
        <v>0</v>
      </c>
    </row>
    <row r="161" spans="1:12">
      <c r="A161" t="s">
        <v>297</v>
      </c>
      <c r="B161" t="s">
        <v>250</v>
      </c>
      <c r="C161" t="s">
        <v>298</v>
      </c>
      <c r="D161" t="s">
        <v>172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</row>
    <row r="162" spans="1:12">
      <c r="A162" t="s">
        <v>297</v>
      </c>
      <c r="B162" t="s">
        <v>255</v>
      </c>
      <c r="C162" t="s">
        <v>298</v>
      </c>
      <c r="D162" t="s">
        <v>172</v>
      </c>
      <c r="E162">
        <v>3</v>
      </c>
      <c r="F162">
        <v>0</v>
      </c>
      <c r="G162">
        <v>0</v>
      </c>
      <c r="H162">
        <v>1</v>
      </c>
      <c r="I162">
        <v>1</v>
      </c>
      <c r="J162">
        <v>2</v>
      </c>
      <c r="K162">
        <v>2</v>
      </c>
      <c r="L162">
        <v>0</v>
      </c>
    </row>
    <row r="163" spans="1:12">
      <c r="A163" t="s">
        <v>297</v>
      </c>
      <c r="B163" t="s">
        <v>290</v>
      </c>
      <c r="C163" t="s">
        <v>298</v>
      </c>
      <c r="D163" t="s">
        <v>172</v>
      </c>
      <c r="E163">
        <v>3</v>
      </c>
      <c r="F163">
        <v>0</v>
      </c>
      <c r="G163">
        <v>0</v>
      </c>
      <c r="H163">
        <v>1</v>
      </c>
      <c r="I163">
        <v>1</v>
      </c>
      <c r="J163">
        <v>2</v>
      </c>
      <c r="K163">
        <v>2</v>
      </c>
      <c r="L163">
        <v>0</v>
      </c>
    </row>
    <row r="164" spans="1:12">
      <c r="A164" t="s">
        <v>297</v>
      </c>
      <c r="B164" t="s">
        <v>261</v>
      </c>
      <c r="C164" t="s">
        <v>298</v>
      </c>
      <c r="D164" t="s">
        <v>172</v>
      </c>
      <c r="E164">
        <v>0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</row>
    <row r="165" spans="1:12">
      <c r="A165" t="s">
        <v>297</v>
      </c>
      <c r="B165" t="s">
        <v>386</v>
      </c>
      <c r="C165" t="s">
        <v>298</v>
      </c>
      <c r="D165" t="s">
        <v>172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</row>
    <row r="166" spans="1:12">
      <c r="A166" t="s">
        <v>297</v>
      </c>
      <c r="B166" t="s">
        <v>265</v>
      </c>
      <c r="C166" t="s">
        <v>298</v>
      </c>
      <c r="D166" t="s">
        <v>172</v>
      </c>
      <c r="E166">
        <v>1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</row>
    <row r="167" spans="1:12">
      <c r="A167" t="s">
        <v>297</v>
      </c>
      <c r="B167" t="s">
        <v>251</v>
      </c>
      <c r="C167" t="s">
        <v>298</v>
      </c>
      <c r="D167" t="s">
        <v>172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</row>
    <row r="168" spans="1:12">
      <c r="A168" t="s">
        <v>297</v>
      </c>
      <c r="B168" t="s">
        <v>245</v>
      </c>
      <c r="C168" t="s">
        <v>298</v>
      </c>
      <c r="D168" t="s">
        <v>172</v>
      </c>
      <c r="E168">
        <v>9</v>
      </c>
      <c r="F168">
        <v>1</v>
      </c>
      <c r="G168">
        <v>0</v>
      </c>
      <c r="H168">
        <v>2</v>
      </c>
      <c r="I168">
        <v>2</v>
      </c>
      <c r="J168">
        <v>8</v>
      </c>
      <c r="K168">
        <v>8</v>
      </c>
      <c r="L168">
        <v>0</v>
      </c>
    </row>
    <row r="169" spans="1:12">
      <c r="A169" t="s">
        <v>297</v>
      </c>
      <c r="B169" t="s">
        <v>253</v>
      </c>
      <c r="C169" t="s">
        <v>298</v>
      </c>
      <c r="D169" t="s">
        <v>172</v>
      </c>
      <c r="E169">
        <v>1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</row>
    <row r="170" spans="1:12">
      <c r="A170" t="s">
        <v>297</v>
      </c>
      <c r="B170" t="s">
        <v>274</v>
      </c>
      <c r="C170" t="s">
        <v>298</v>
      </c>
      <c r="D170" t="s">
        <v>172</v>
      </c>
      <c r="E170">
        <v>4</v>
      </c>
      <c r="F170">
        <v>0</v>
      </c>
      <c r="G170">
        <v>0</v>
      </c>
      <c r="H170">
        <v>0</v>
      </c>
      <c r="I170">
        <v>0</v>
      </c>
      <c r="J170">
        <v>4</v>
      </c>
      <c r="K170">
        <v>4</v>
      </c>
      <c r="L170">
        <v>0</v>
      </c>
    </row>
    <row r="171" spans="1:12">
      <c r="A171" t="s">
        <v>297</v>
      </c>
      <c r="B171" t="s">
        <v>246</v>
      </c>
      <c r="C171" t="s">
        <v>298</v>
      </c>
      <c r="D171" t="s">
        <v>172</v>
      </c>
      <c r="E171">
        <v>3</v>
      </c>
      <c r="F171">
        <v>0</v>
      </c>
      <c r="G171">
        <v>0</v>
      </c>
      <c r="H171">
        <v>1</v>
      </c>
      <c r="I171">
        <v>1</v>
      </c>
      <c r="J171">
        <v>2</v>
      </c>
      <c r="K171">
        <v>2</v>
      </c>
      <c r="L171">
        <v>0</v>
      </c>
    </row>
    <row r="172" spans="1:12">
      <c r="A172" t="s">
        <v>297</v>
      </c>
      <c r="B172" t="s">
        <v>329</v>
      </c>
      <c r="C172" t="s">
        <v>298</v>
      </c>
      <c r="D172" t="s">
        <v>172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</row>
    <row r="173" spans="1:12">
      <c r="A173" t="s">
        <v>297</v>
      </c>
      <c r="B173" t="s">
        <v>248</v>
      </c>
      <c r="C173" t="s">
        <v>298</v>
      </c>
      <c r="D173" t="s">
        <v>172</v>
      </c>
      <c r="E173">
        <v>3</v>
      </c>
      <c r="F173">
        <v>0</v>
      </c>
      <c r="G173">
        <v>0</v>
      </c>
      <c r="H173">
        <v>2</v>
      </c>
      <c r="I173">
        <v>2</v>
      </c>
      <c r="J173">
        <v>1</v>
      </c>
      <c r="K173">
        <v>1</v>
      </c>
      <c r="L173">
        <v>0</v>
      </c>
    </row>
    <row r="174" spans="1:12">
      <c r="A174" t="s">
        <v>299</v>
      </c>
      <c r="B174" t="s">
        <v>328</v>
      </c>
      <c r="C174" t="s">
        <v>206</v>
      </c>
      <c r="D174" t="s">
        <v>300</v>
      </c>
      <c r="E174">
        <v>0</v>
      </c>
      <c r="F174">
        <v>5</v>
      </c>
      <c r="G174">
        <v>0</v>
      </c>
      <c r="H174">
        <v>4</v>
      </c>
      <c r="I174">
        <v>1</v>
      </c>
      <c r="J174">
        <v>1</v>
      </c>
      <c r="K174">
        <v>1</v>
      </c>
      <c r="L174">
        <v>0</v>
      </c>
    </row>
    <row r="175" spans="1:12">
      <c r="A175" t="s">
        <v>299</v>
      </c>
      <c r="B175" t="s">
        <v>373</v>
      </c>
      <c r="C175" t="s">
        <v>206</v>
      </c>
      <c r="D175" t="s">
        <v>300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</row>
    <row r="176" spans="1:12">
      <c r="A176" t="s">
        <v>299</v>
      </c>
      <c r="B176" t="s">
        <v>253</v>
      </c>
      <c r="C176" t="s">
        <v>206</v>
      </c>
      <c r="D176" t="s">
        <v>300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</row>
    <row r="177" spans="1:12">
      <c r="A177" t="s">
        <v>299</v>
      </c>
      <c r="B177" t="s">
        <v>274</v>
      </c>
      <c r="C177" t="s">
        <v>206</v>
      </c>
      <c r="D177" t="s">
        <v>300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</row>
    <row r="178" spans="1:12">
      <c r="A178" t="s">
        <v>299</v>
      </c>
      <c r="B178" t="s">
        <v>248</v>
      </c>
      <c r="C178" t="s">
        <v>206</v>
      </c>
      <c r="D178" t="s">
        <v>300</v>
      </c>
      <c r="E178">
        <v>1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</row>
    <row r="179" spans="1:12">
      <c r="A179" t="s">
        <v>301</v>
      </c>
      <c r="B179" t="s">
        <v>250</v>
      </c>
      <c r="C179" t="s">
        <v>24</v>
      </c>
      <c r="D179" t="s">
        <v>281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</row>
    <row r="180" spans="1:12">
      <c r="A180" t="s">
        <v>301</v>
      </c>
      <c r="B180" t="s">
        <v>245</v>
      </c>
      <c r="C180" t="s">
        <v>24</v>
      </c>
      <c r="D180" t="s">
        <v>281</v>
      </c>
      <c r="E180">
        <v>0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</row>
    <row r="181" spans="1:12">
      <c r="A181" t="s">
        <v>302</v>
      </c>
      <c r="B181" t="s">
        <v>242</v>
      </c>
      <c r="C181" t="s">
        <v>216</v>
      </c>
      <c r="D181" t="s">
        <v>300</v>
      </c>
      <c r="E181">
        <v>2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</row>
    <row r="182" spans="1:12">
      <c r="A182" t="s">
        <v>302</v>
      </c>
      <c r="B182" t="s">
        <v>460</v>
      </c>
      <c r="C182" t="s">
        <v>216</v>
      </c>
      <c r="D182" t="s">
        <v>300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2</v>
      </c>
      <c r="L182">
        <v>0</v>
      </c>
    </row>
    <row r="183" spans="1:12">
      <c r="A183" t="s">
        <v>302</v>
      </c>
      <c r="B183" t="s">
        <v>291</v>
      </c>
      <c r="C183" t="s">
        <v>216</v>
      </c>
      <c r="D183" t="s">
        <v>300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2</v>
      </c>
      <c r="L183">
        <v>0</v>
      </c>
    </row>
    <row r="184" spans="1:12">
      <c r="A184" t="s">
        <v>302</v>
      </c>
      <c r="B184" t="s">
        <v>253</v>
      </c>
      <c r="C184" t="s">
        <v>216</v>
      </c>
      <c r="D184" t="s">
        <v>300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</row>
    <row r="185" spans="1:12">
      <c r="A185" t="s">
        <v>302</v>
      </c>
      <c r="B185" t="s">
        <v>246</v>
      </c>
      <c r="C185" t="s">
        <v>216</v>
      </c>
      <c r="D185" t="s">
        <v>300</v>
      </c>
      <c r="E185">
        <v>2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0</v>
      </c>
    </row>
    <row r="186" spans="1:12">
      <c r="A186" t="s">
        <v>302</v>
      </c>
      <c r="B186" t="s">
        <v>395</v>
      </c>
      <c r="C186" t="s">
        <v>216</v>
      </c>
      <c r="D186" t="s">
        <v>300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2</v>
      </c>
      <c r="L186">
        <v>0</v>
      </c>
    </row>
    <row r="187" spans="1:12">
      <c r="A187" t="s">
        <v>303</v>
      </c>
      <c r="B187" t="s">
        <v>250</v>
      </c>
      <c r="C187" t="s">
        <v>210</v>
      </c>
      <c r="D187" t="s">
        <v>300</v>
      </c>
      <c r="E187">
        <v>1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</row>
    <row r="188" spans="1:12">
      <c r="A188" t="s">
        <v>304</v>
      </c>
      <c r="B188" t="s">
        <v>265</v>
      </c>
      <c r="C188" t="s">
        <v>25</v>
      </c>
      <c r="D188" t="s">
        <v>440</v>
      </c>
      <c r="E188">
        <v>1</v>
      </c>
      <c r="F188">
        <v>1</v>
      </c>
      <c r="G188">
        <v>0</v>
      </c>
      <c r="H188">
        <v>2</v>
      </c>
      <c r="I188">
        <v>1</v>
      </c>
      <c r="J188">
        <v>0</v>
      </c>
      <c r="K188">
        <v>0</v>
      </c>
      <c r="L188">
        <v>0</v>
      </c>
    </row>
    <row r="189" spans="1:12">
      <c r="A189" t="s">
        <v>315</v>
      </c>
      <c r="B189" t="s">
        <v>242</v>
      </c>
      <c r="C189" t="s">
        <v>27</v>
      </c>
      <c r="D189" t="s">
        <v>117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</row>
    <row r="190" spans="1:12">
      <c r="A190" t="s">
        <v>315</v>
      </c>
      <c r="B190" t="s">
        <v>255</v>
      </c>
      <c r="C190" t="s">
        <v>27</v>
      </c>
      <c r="D190" t="s">
        <v>117</v>
      </c>
      <c r="E190">
        <v>2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0</v>
      </c>
    </row>
    <row r="191" spans="1:12">
      <c r="A191" t="s">
        <v>315</v>
      </c>
      <c r="B191" t="s">
        <v>462</v>
      </c>
      <c r="C191" t="s">
        <v>27</v>
      </c>
      <c r="D191" t="s">
        <v>117</v>
      </c>
      <c r="E191">
        <v>2</v>
      </c>
      <c r="F191">
        <v>0</v>
      </c>
      <c r="G191">
        <v>0</v>
      </c>
      <c r="H191">
        <v>2</v>
      </c>
      <c r="I191">
        <v>2</v>
      </c>
      <c r="J191">
        <v>0</v>
      </c>
      <c r="K191">
        <v>0</v>
      </c>
      <c r="L191">
        <v>0</v>
      </c>
    </row>
    <row r="192" spans="1:12">
      <c r="A192" t="s">
        <v>315</v>
      </c>
      <c r="B192" t="s">
        <v>243</v>
      </c>
      <c r="C192" t="s">
        <v>27</v>
      </c>
      <c r="D192" t="s">
        <v>117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2</v>
      </c>
      <c r="L192">
        <v>0</v>
      </c>
    </row>
    <row r="193" spans="1:12">
      <c r="A193" t="s">
        <v>315</v>
      </c>
      <c r="B193" t="s">
        <v>460</v>
      </c>
      <c r="C193" t="s">
        <v>27</v>
      </c>
      <c r="D193" t="s">
        <v>117</v>
      </c>
      <c r="E193">
        <v>3</v>
      </c>
      <c r="F193">
        <v>0</v>
      </c>
      <c r="G193">
        <v>0</v>
      </c>
      <c r="H193">
        <v>3</v>
      </c>
      <c r="I193">
        <v>3</v>
      </c>
      <c r="J193">
        <v>0</v>
      </c>
      <c r="K193">
        <v>0</v>
      </c>
      <c r="L193">
        <v>0</v>
      </c>
    </row>
    <row r="194" spans="1:12">
      <c r="A194" t="s">
        <v>315</v>
      </c>
      <c r="B194" t="s">
        <v>290</v>
      </c>
      <c r="C194" t="s">
        <v>27</v>
      </c>
      <c r="D194" t="s">
        <v>117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2</v>
      </c>
      <c r="L194">
        <v>0</v>
      </c>
    </row>
    <row r="195" spans="1:12">
      <c r="A195" t="s">
        <v>315</v>
      </c>
      <c r="B195" t="s">
        <v>275</v>
      </c>
      <c r="C195" t="s">
        <v>27</v>
      </c>
      <c r="D195" t="s">
        <v>117</v>
      </c>
      <c r="E195">
        <v>1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</row>
    <row r="196" spans="1:12">
      <c r="A196" t="s">
        <v>315</v>
      </c>
      <c r="B196" t="s">
        <v>291</v>
      </c>
      <c r="C196" t="s">
        <v>27</v>
      </c>
      <c r="D196" t="s">
        <v>117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2</v>
      </c>
      <c r="L196">
        <v>0</v>
      </c>
    </row>
    <row r="197" spans="1:12">
      <c r="A197" t="s">
        <v>315</v>
      </c>
      <c r="B197" t="s">
        <v>256</v>
      </c>
      <c r="C197" t="s">
        <v>27</v>
      </c>
      <c r="D197" t="s">
        <v>117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</row>
    <row r="198" spans="1:12">
      <c r="A198" t="s">
        <v>315</v>
      </c>
      <c r="B198" t="s">
        <v>253</v>
      </c>
      <c r="C198" t="s">
        <v>27</v>
      </c>
      <c r="D198" t="s">
        <v>117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2</v>
      </c>
      <c r="L198">
        <v>0</v>
      </c>
    </row>
    <row r="199" spans="1:12">
      <c r="A199" t="s">
        <v>315</v>
      </c>
      <c r="B199" t="s">
        <v>246</v>
      </c>
      <c r="C199" t="s">
        <v>27</v>
      </c>
      <c r="D199" t="s">
        <v>117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2</v>
      </c>
      <c r="L199">
        <v>0</v>
      </c>
    </row>
    <row r="200" spans="1:12">
      <c r="A200" t="s">
        <v>315</v>
      </c>
      <c r="B200" t="s">
        <v>395</v>
      </c>
      <c r="C200" t="s">
        <v>27</v>
      </c>
      <c r="D200" t="s">
        <v>117</v>
      </c>
      <c r="E200">
        <v>2</v>
      </c>
      <c r="F200">
        <v>0</v>
      </c>
      <c r="G200">
        <v>0</v>
      </c>
      <c r="H200">
        <v>2</v>
      </c>
      <c r="I200">
        <v>2</v>
      </c>
      <c r="J200">
        <v>0</v>
      </c>
      <c r="K200">
        <v>0</v>
      </c>
      <c r="L200">
        <v>0</v>
      </c>
    </row>
    <row r="201" spans="1:12">
      <c r="A201" t="s">
        <v>315</v>
      </c>
      <c r="B201" t="s">
        <v>329</v>
      </c>
      <c r="C201" t="s">
        <v>27</v>
      </c>
      <c r="D201" t="s">
        <v>117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2</v>
      </c>
      <c r="L201">
        <v>0</v>
      </c>
    </row>
    <row r="202" spans="1:12">
      <c r="A202" t="s">
        <v>315</v>
      </c>
      <c r="B202" t="s">
        <v>247</v>
      </c>
      <c r="C202" t="s">
        <v>27</v>
      </c>
      <c r="D202" t="s">
        <v>117</v>
      </c>
      <c r="E202">
        <v>2</v>
      </c>
      <c r="F202">
        <v>0</v>
      </c>
      <c r="G202">
        <v>0</v>
      </c>
      <c r="H202">
        <v>2</v>
      </c>
      <c r="I202">
        <v>2</v>
      </c>
      <c r="J202">
        <v>0</v>
      </c>
      <c r="K202">
        <v>0</v>
      </c>
      <c r="L202">
        <v>0</v>
      </c>
    </row>
    <row r="203" spans="1:12">
      <c r="A203" t="s">
        <v>315</v>
      </c>
      <c r="B203" t="s">
        <v>248</v>
      </c>
      <c r="C203" t="s">
        <v>27</v>
      </c>
      <c r="D203" t="s">
        <v>117</v>
      </c>
      <c r="E203">
        <v>2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</row>
    <row r="204" spans="1:12">
      <c r="A204" t="s">
        <v>316</v>
      </c>
      <c r="B204" t="s">
        <v>273</v>
      </c>
      <c r="C204" t="s">
        <v>26</v>
      </c>
      <c r="D204" t="s">
        <v>117</v>
      </c>
      <c r="E204">
        <v>0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</row>
    <row r="205" spans="1:12">
      <c r="A205" t="s">
        <v>316</v>
      </c>
      <c r="B205" t="s">
        <v>242</v>
      </c>
      <c r="C205" t="s">
        <v>26</v>
      </c>
      <c r="D205" t="s">
        <v>117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</row>
    <row r="206" spans="1:12">
      <c r="A206" t="s">
        <v>316</v>
      </c>
      <c r="B206" t="s">
        <v>255</v>
      </c>
      <c r="C206" t="s">
        <v>26</v>
      </c>
      <c r="D206" t="s">
        <v>117</v>
      </c>
      <c r="E206">
        <v>2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</row>
    <row r="207" spans="1:12">
      <c r="A207" t="s">
        <v>316</v>
      </c>
      <c r="B207" t="s">
        <v>462</v>
      </c>
      <c r="C207" t="s">
        <v>26</v>
      </c>
      <c r="D207" t="s">
        <v>117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>
      <c r="A208" t="s">
        <v>316</v>
      </c>
      <c r="B208" t="s">
        <v>243</v>
      </c>
      <c r="C208" t="s">
        <v>26</v>
      </c>
      <c r="D208" t="s">
        <v>117</v>
      </c>
      <c r="E208">
        <v>0</v>
      </c>
      <c r="F208">
        <v>2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0</v>
      </c>
    </row>
    <row r="209" spans="1:12">
      <c r="A209" t="s">
        <v>316</v>
      </c>
      <c r="B209" t="s">
        <v>460</v>
      </c>
      <c r="C209" t="s">
        <v>26</v>
      </c>
      <c r="D209" t="s">
        <v>117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3</v>
      </c>
      <c r="K209">
        <v>3</v>
      </c>
      <c r="L209">
        <v>0</v>
      </c>
    </row>
    <row r="210" spans="1:12">
      <c r="A210" t="s">
        <v>316</v>
      </c>
      <c r="B210" t="s">
        <v>290</v>
      </c>
      <c r="C210" t="s">
        <v>26</v>
      </c>
      <c r="D210" t="s">
        <v>117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</row>
    <row r="211" spans="1:12">
      <c r="A211" t="s">
        <v>316</v>
      </c>
      <c r="B211" t="s">
        <v>275</v>
      </c>
      <c r="C211" t="s">
        <v>26</v>
      </c>
      <c r="D211" t="s">
        <v>117</v>
      </c>
      <c r="E211">
        <v>5</v>
      </c>
      <c r="F211">
        <v>0</v>
      </c>
      <c r="G211">
        <v>0</v>
      </c>
      <c r="H211">
        <v>4</v>
      </c>
      <c r="I211">
        <v>4</v>
      </c>
      <c r="J211">
        <v>1</v>
      </c>
      <c r="K211">
        <v>1</v>
      </c>
      <c r="L211">
        <v>0</v>
      </c>
    </row>
    <row r="212" spans="1:12">
      <c r="A212" t="s">
        <v>316</v>
      </c>
      <c r="B212" t="s">
        <v>291</v>
      </c>
      <c r="C212" t="s">
        <v>26</v>
      </c>
      <c r="D212" t="s">
        <v>117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2</v>
      </c>
      <c r="L212">
        <v>0</v>
      </c>
    </row>
    <row r="213" spans="1:12">
      <c r="A213" t="s">
        <v>316</v>
      </c>
      <c r="B213" t="s">
        <v>253</v>
      </c>
      <c r="C213" t="s">
        <v>26</v>
      </c>
      <c r="D213" t="s">
        <v>117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2</v>
      </c>
      <c r="L213">
        <v>0</v>
      </c>
    </row>
    <row r="214" spans="1:12">
      <c r="A214" t="s">
        <v>316</v>
      </c>
      <c r="B214" t="s">
        <v>246</v>
      </c>
      <c r="C214" t="s">
        <v>26</v>
      </c>
      <c r="D214" t="s">
        <v>117</v>
      </c>
      <c r="E214">
        <v>2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0</v>
      </c>
    </row>
    <row r="215" spans="1:12">
      <c r="A215" t="s">
        <v>316</v>
      </c>
      <c r="B215" t="s">
        <v>395</v>
      </c>
      <c r="C215" t="s">
        <v>26</v>
      </c>
      <c r="D215" t="s">
        <v>117</v>
      </c>
      <c r="E215">
        <v>2</v>
      </c>
      <c r="F215">
        <v>0</v>
      </c>
      <c r="G215">
        <v>0</v>
      </c>
      <c r="H215">
        <v>2</v>
      </c>
      <c r="I215">
        <v>2</v>
      </c>
      <c r="J215">
        <v>0</v>
      </c>
      <c r="K215">
        <v>0</v>
      </c>
      <c r="L215">
        <v>0</v>
      </c>
    </row>
    <row r="216" spans="1:12">
      <c r="A216" t="s">
        <v>316</v>
      </c>
      <c r="B216" t="s">
        <v>329</v>
      </c>
      <c r="C216" t="s">
        <v>26</v>
      </c>
      <c r="D216" t="s">
        <v>117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</row>
    <row r="217" spans="1:12">
      <c r="A217" t="s">
        <v>316</v>
      </c>
      <c r="B217" t="s">
        <v>247</v>
      </c>
      <c r="C217" t="s">
        <v>26</v>
      </c>
      <c r="D217" t="s">
        <v>117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</row>
    <row r="218" spans="1:12">
      <c r="A218" t="s">
        <v>316</v>
      </c>
      <c r="B218" t="s">
        <v>248</v>
      </c>
      <c r="C218" t="s">
        <v>26</v>
      </c>
      <c r="D218" t="s">
        <v>117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</row>
    <row r="219" spans="1:12">
      <c r="A219" t="s">
        <v>305</v>
      </c>
      <c r="B219" t="s">
        <v>241</v>
      </c>
      <c r="C219" t="s">
        <v>214</v>
      </c>
      <c r="D219" t="s">
        <v>300</v>
      </c>
      <c r="E219">
        <v>0</v>
      </c>
      <c r="F219">
        <v>2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0</v>
      </c>
    </row>
    <row r="220" spans="1:12">
      <c r="A220" t="s">
        <v>305</v>
      </c>
      <c r="B220" t="s">
        <v>242</v>
      </c>
      <c r="C220" t="s">
        <v>214</v>
      </c>
      <c r="D220" t="s">
        <v>300</v>
      </c>
      <c r="E220">
        <v>2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0</v>
      </c>
    </row>
    <row r="221" spans="1:12">
      <c r="A221" t="s">
        <v>305</v>
      </c>
      <c r="B221" t="s">
        <v>255</v>
      </c>
      <c r="C221" t="s">
        <v>214</v>
      </c>
      <c r="D221" t="s">
        <v>300</v>
      </c>
      <c r="E221">
        <v>1</v>
      </c>
      <c r="F221">
        <v>1</v>
      </c>
      <c r="G221">
        <v>0</v>
      </c>
      <c r="H221">
        <v>2</v>
      </c>
      <c r="I221">
        <v>2</v>
      </c>
      <c r="J221">
        <v>0</v>
      </c>
      <c r="K221">
        <v>0</v>
      </c>
      <c r="L221">
        <v>0</v>
      </c>
    </row>
    <row r="222" spans="1:12">
      <c r="A222" t="s">
        <v>305</v>
      </c>
      <c r="B222" t="s">
        <v>243</v>
      </c>
      <c r="C222" t="s">
        <v>214</v>
      </c>
      <c r="D222" t="s">
        <v>300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3</v>
      </c>
      <c r="K222">
        <v>3</v>
      </c>
      <c r="L222">
        <v>0</v>
      </c>
    </row>
    <row r="223" spans="1:12">
      <c r="A223" t="s">
        <v>305</v>
      </c>
      <c r="B223" t="s">
        <v>460</v>
      </c>
      <c r="C223" t="s">
        <v>214</v>
      </c>
      <c r="D223" t="s">
        <v>300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</row>
    <row r="224" spans="1:12">
      <c r="A224" t="s">
        <v>305</v>
      </c>
      <c r="B224" t="s">
        <v>253</v>
      </c>
      <c r="C224" t="s">
        <v>214</v>
      </c>
      <c r="D224" t="s">
        <v>300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</row>
    <row r="225" spans="1:12">
      <c r="A225" t="s">
        <v>305</v>
      </c>
      <c r="B225" t="s">
        <v>274</v>
      </c>
      <c r="C225" t="s">
        <v>214</v>
      </c>
      <c r="D225" t="s">
        <v>300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</row>
    <row r="226" spans="1:12">
      <c r="A226" t="s">
        <v>305</v>
      </c>
      <c r="B226" t="s">
        <v>246</v>
      </c>
      <c r="C226" t="s">
        <v>214</v>
      </c>
      <c r="D226" t="s">
        <v>300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4</v>
      </c>
      <c r="K226">
        <v>4</v>
      </c>
      <c r="L226">
        <v>0</v>
      </c>
    </row>
    <row r="227" spans="1:12">
      <c r="A227" t="s">
        <v>305</v>
      </c>
      <c r="B227" t="s">
        <v>395</v>
      </c>
      <c r="C227" t="s">
        <v>214</v>
      </c>
      <c r="D227" t="s">
        <v>300</v>
      </c>
      <c r="E227">
        <v>2</v>
      </c>
      <c r="F227">
        <v>0</v>
      </c>
      <c r="G227">
        <v>0</v>
      </c>
      <c r="H227">
        <v>2</v>
      </c>
      <c r="I227">
        <v>2</v>
      </c>
      <c r="J227">
        <v>0</v>
      </c>
      <c r="K227">
        <v>0</v>
      </c>
      <c r="L227">
        <v>0</v>
      </c>
    </row>
    <row r="228" spans="1:12">
      <c r="A228" t="s">
        <v>305</v>
      </c>
      <c r="B228" t="s">
        <v>248</v>
      </c>
      <c r="C228" t="s">
        <v>214</v>
      </c>
      <c r="D228" t="s">
        <v>300</v>
      </c>
      <c r="E228">
        <v>2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0</v>
      </c>
    </row>
    <row r="229" spans="1:12">
      <c r="A229" t="s">
        <v>305</v>
      </c>
      <c r="B229" t="s">
        <v>458</v>
      </c>
      <c r="C229" t="s">
        <v>214</v>
      </c>
      <c r="D229" t="s">
        <v>300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</row>
    <row r="230" spans="1:12">
      <c r="A230" t="s">
        <v>306</v>
      </c>
      <c r="B230" t="s">
        <v>328</v>
      </c>
      <c r="C230" t="s">
        <v>202</v>
      </c>
      <c r="D230" t="s">
        <v>300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</row>
    <row r="231" spans="1:12">
      <c r="A231" t="s">
        <v>306</v>
      </c>
      <c r="B231" t="s">
        <v>258</v>
      </c>
      <c r="C231" t="s">
        <v>202</v>
      </c>
      <c r="D231" t="s">
        <v>300</v>
      </c>
      <c r="E231">
        <v>2</v>
      </c>
      <c r="F231">
        <v>0</v>
      </c>
      <c r="G231">
        <v>0</v>
      </c>
      <c r="H231">
        <v>2</v>
      </c>
      <c r="I231">
        <v>2</v>
      </c>
      <c r="J231">
        <v>0</v>
      </c>
      <c r="K231">
        <v>0</v>
      </c>
      <c r="L231">
        <v>0</v>
      </c>
    </row>
    <row r="232" spans="1:12">
      <c r="A232" t="s">
        <v>306</v>
      </c>
      <c r="B232" t="s">
        <v>246</v>
      </c>
      <c r="C232" t="s">
        <v>202</v>
      </c>
      <c r="D232" t="s">
        <v>300</v>
      </c>
      <c r="E232">
        <v>1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</row>
    <row r="233" spans="1:12">
      <c r="A233" t="s">
        <v>306</v>
      </c>
      <c r="B233" t="s">
        <v>248</v>
      </c>
      <c r="C233" t="s">
        <v>202</v>
      </c>
      <c r="D233" t="s">
        <v>300</v>
      </c>
      <c r="E233">
        <v>2</v>
      </c>
      <c r="F233">
        <v>0</v>
      </c>
      <c r="G233">
        <v>0</v>
      </c>
      <c r="H233">
        <v>2</v>
      </c>
      <c r="I233">
        <v>2</v>
      </c>
      <c r="J233">
        <v>0</v>
      </c>
      <c r="K233">
        <v>0</v>
      </c>
      <c r="L233">
        <v>0</v>
      </c>
    </row>
    <row r="234" spans="1:12">
      <c r="A234" t="s">
        <v>317</v>
      </c>
      <c r="B234" t="s">
        <v>273</v>
      </c>
      <c r="C234" t="s">
        <v>28</v>
      </c>
      <c r="D234" t="s">
        <v>117</v>
      </c>
      <c r="E234">
        <v>0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</row>
    <row r="235" spans="1:12">
      <c r="A235" t="s">
        <v>317</v>
      </c>
      <c r="B235" t="s">
        <v>242</v>
      </c>
      <c r="C235" t="s">
        <v>28</v>
      </c>
      <c r="D235" t="s">
        <v>117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</row>
    <row r="236" spans="1:12">
      <c r="A236" t="s">
        <v>317</v>
      </c>
      <c r="B236" t="s">
        <v>255</v>
      </c>
      <c r="C236" t="s">
        <v>28</v>
      </c>
      <c r="D236" t="s">
        <v>117</v>
      </c>
      <c r="E236">
        <v>2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0</v>
      </c>
    </row>
    <row r="237" spans="1:12">
      <c r="A237" t="s">
        <v>317</v>
      </c>
      <c r="B237" t="s">
        <v>243</v>
      </c>
      <c r="C237" t="s">
        <v>28</v>
      </c>
      <c r="D237" t="s">
        <v>117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</row>
    <row r="238" spans="1:12">
      <c r="A238" t="s">
        <v>317</v>
      </c>
      <c r="B238" t="s">
        <v>460</v>
      </c>
      <c r="C238" t="s">
        <v>28</v>
      </c>
      <c r="D238" t="s">
        <v>117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0</v>
      </c>
    </row>
    <row r="239" spans="1:12">
      <c r="A239" t="s">
        <v>317</v>
      </c>
      <c r="B239" t="s">
        <v>290</v>
      </c>
      <c r="C239" t="s">
        <v>28</v>
      </c>
      <c r="D239" t="s">
        <v>117</v>
      </c>
      <c r="E239">
        <v>2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0</v>
      </c>
    </row>
    <row r="240" spans="1:12">
      <c r="A240" t="s">
        <v>317</v>
      </c>
      <c r="B240" t="s">
        <v>291</v>
      </c>
      <c r="C240" t="s">
        <v>28</v>
      </c>
      <c r="D240" t="s">
        <v>117</v>
      </c>
      <c r="E240">
        <v>2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</row>
    <row r="241" spans="1:12">
      <c r="A241" t="s">
        <v>317</v>
      </c>
      <c r="B241" t="s">
        <v>246</v>
      </c>
      <c r="C241" t="s">
        <v>28</v>
      </c>
      <c r="D241" t="s">
        <v>117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2</v>
      </c>
      <c r="L241">
        <v>0</v>
      </c>
    </row>
    <row r="242" spans="1:12">
      <c r="A242" t="s">
        <v>317</v>
      </c>
      <c r="B242" t="s">
        <v>395</v>
      </c>
      <c r="C242" t="s">
        <v>28</v>
      </c>
      <c r="D242" t="s">
        <v>117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2</v>
      </c>
      <c r="L242">
        <v>0</v>
      </c>
    </row>
    <row r="243" spans="1:12">
      <c r="A243" t="s">
        <v>317</v>
      </c>
      <c r="B243" t="s">
        <v>329</v>
      </c>
      <c r="C243" t="s">
        <v>28</v>
      </c>
      <c r="D243" t="s">
        <v>117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2</v>
      </c>
      <c r="L243">
        <v>0</v>
      </c>
    </row>
    <row r="244" spans="1:12">
      <c r="A244" t="s">
        <v>318</v>
      </c>
      <c r="B244" t="s">
        <v>242</v>
      </c>
      <c r="C244" t="s">
        <v>6</v>
      </c>
      <c r="D244" t="s">
        <v>280</v>
      </c>
      <c r="E244">
        <v>2</v>
      </c>
      <c r="F244">
        <v>1</v>
      </c>
      <c r="G244">
        <v>0</v>
      </c>
      <c r="H244">
        <v>3</v>
      </c>
      <c r="I244">
        <v>3</v>
      </c>
      <c r="J244">
        <v>0</v>
      </c>
      <c r="K244">
        <v>0</v>
      </c>
      <c r="L244">
        <v>0</v>
      </c>
    </row>
    <row r="245" spans="1:12">
      <c r="A245" t="s">
        <v>318</v>
      </c>
      <c r="B245" t="s">
        <v>255</v>
      </c>
      <c r="C245" t="s">
        <v>6</v>
      </c>
      <c r="D245" t="s">
        <v>280</v>
      </c>
      <c r="E245">
        <v>1</v>
      </c>
      <c r="F245">
        <v>1</v>
      </c>
      <c r="G245">
        <v>0</v>
      </c>
      <c r="H245">
        <v>2</v>
      </c>
      <c r="I245">
        <v>2</v>
      </c>
      <c r="J245">
        <v>0</v>
      </c>
      <c r="K245">
        <v>0</v>
      </c>
      <c r="L245">
        <v>0</v>
      </c>
    </row>
    <row r="246" spans="1:12">
      <c r="A246" t="s">
        <v>318</v>
      </c>
      <c r="B246" t="s">
        <v>460</v>
      </c>
      <c r="C246" t="s">
        <v>6</v>
      </c>
      <c r="D246" t="s">
        <v>280</v>
      </c>
      <c r="E246">
        <v>1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</row>
    <row r="247" spans="1:12">
      <c r="A247" t="s">
        <v>318</v>
      </c>
      <c r="B247" t="s">
        <v>244</v>
      </c>
      <c r="C247" t="s">
        <v>6</v>
      </c>
      <c r="D247" t="s">
        <v>280</v>
      </c>
      <c r="E247">
        <v>0</v>
      </c>
      <c r="F247">
        <v>2</v>
      </c>
      <c r="G247">
        <v>0</v>
      </c>
      <c r="H247">
        <v>2</v>
      </c>
      <c r="I247">
        <v>2</v>
      </c>
      <c r="J247">
        <v>0</v>
      </c>
      <c r="K247">
        <v>0</v>
      </c>
      <c r="L247">
        <v>0</v>
      </c>
    </row>
    <row r="248" spans="1:12">
      <c r="A248" t="s">
        <v>318</v>
      </c>
      <c r="B248" t="s">
        <v>291</v>
      </c>
      <c r="C248" t="s">
        <v>6</v>
      </c>
      <c r="D248" t="s">
        <v>280</v>
      </c>
      <c r="E248">
        <v>2</v>
      </c>
      <c r="F248">
        <v>0</v>
      </c>
      <c r="G248">
        <v>0</v>
      </c>
      <c r="H248">
        <v>2</v>
      </c>
      <c r="I248">
        <v>2</v>
      </c>
      <c r="J248">
        <v>0</v>
      </c>
      <c r="K248">
        <v>0</v>
      </c>
      <c r="L248">
        <v>0</v>
      </c>
    </row>
    <row r="249" spans="1:12">
      <c r="A249" t="s">
        <v>318</v>
      </c>
      <c r="B249" t="s">
        <v>256</v>
      </c>
      <c r="C249" t="s">
        <v>6</v>
      </c>
      <c r="D249" t="s">
        <v>280</v>
      </c>
      <c r="E249">
        <v>3</v>
      </c>
      <c r="F249">
        <v>3</v>
      </c>
      <c r="G249">
        <v>0</v>
      </c>
      <c r="H249">
        <v>6</v>
      </c>
      <c r="I249">
        <v>4</v>
      </c>
      <c r="J249">
        <v>0</v>
      </c>
      <c r="K249">
        <v>0</v>
      </c>
      <c r="L249">
        <v>0</v>
      </c>
    </row>
    <row r="250" spans="1:12">
      <c r="A250" t="s">
        <v>318</v>
      </c>
      <c r="B250" t="s">
        <v>253</v>
      </c>
      <c r="C250" t="s">
        <v>6</v>
      </c>
      <c r="D250" t="s">
        <v>280</v>
      </c>
      <c r="E250">
        <v>2</v>
      </c>
      <c r="F250">
        <v>0</v>
      </c>
      <c r="G250">
        <v>0</v>
      </c>
      <c r="H250">
        <v>2</v>
      </c>
      <c r="I250">
        <v>2</v>
      </c>
      <c r="J250">
        <v>0</v>
      </c>
      <c r="K250">
        <v>0</v>
      </c>
      <c r="L250">
        <v>0</v>
      </c>
    </row>
    <row r="251" spans="1:12">
      <c r="A251" t="s">
        <v>318</v>
      </c>
      <c r="B251" t="s">
        <v>246</v>
      </c>
      <c r="C251" t="s">
        <v>6</v>
      </c>
      <c r="D251" t="s">
        <v>280</v>
      </c>
      <c r="E251">
        <v>3</v>
      </c>
      <c r="F251">
        <v>0</v>
      </c>
      <c r="G251">
        <v>0</v>
      </c>
      <c r="H251">
        <v>3</v>
      </c>
      <c r="I251">
        <v>3</v>
      </c>
      <c r="J251">
        <v>0</v>
      </c>
      <c r="K251">
        <v>0</v>
      </c>
      <c r="L251">
        <v>0</v>
      </c>
    </row>
    <row r="252" spans="1:12">
      <c r="A252" t="s">
        <v>318</v>
      </c>
      <c r="B252" t="s">
        <v>395</v>
      </c>
      <c r="C252" t="s">
        <v>6</v>
      </c>
      <c r="D252" t="s">
        <v>280</v>
      </c>
      <c r="E252">
        <v>3</v>
      </c>
      <c r="F252">
        <v>2</v>
      </c>
      <c r="G252">
        <v>0</v>
      </c>
      <c r="H252">
        <v>5</v>
      </c>
      <c r="I252">
        <v>3</v>
      </c>
      <c r="J252">
        <v>0</v>
      </c>
      <c r="K252">
        <v>0</v>
      </c>
      <c r="L252">
        <v>0</v>
      </c>
    </row>
    <row r="253" spans="1:12">
      <c r="A253" t="s">
        <v>318</v>
      </c>
      <c r="B253" t="s">
        <v>329</v>
      </c>
      <c r="C253" t="s">
        <v>6</v>
      </c>
      <c r="D253" t="s">
        <v>280</v>
      </c>
      <c r="E253">
        <v>2</v>
      </c>
      <c r="F253">
        <v>0</v>
      </c>
      <c r="G253">
        <v>0</v>
      </c>
      <c r="H253">
        <v>2</v>
      </c>
      <c r="I253">
        <v>2</v>
      </c>
      <c r="J253">
        <v>0</v>
      </c>
      <c r="K253">
        <v>0</v>
      </c>
      <c r="L253">
        <v>0</v>
      </c>
    </row>
    <row r="254" spans="1:12">
      <c r="A254" t="s">
        <v>318</v>
      </c>
      <c r="B254" t="s">
        <v>247</v>
      </c>
      <c r="C254" t="s">
        <v>6</v>
      </c>
      <c r="D254" t="s">
        <v>280</v>
      </c>
      <c r="E254">
        <v>0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</row>
    <row r="255" spans="1:12">
      <c r="A255" t="s">
        <v>318</v>
      </c>
      <c r="B255" t="s">
        <v>248</v>
      </c>
      <c r="C255" t="s">
        <v>6</v>
      </c>
      <c r="D255" t="s">
        <v>280</v>
      </c>
      <c r="E255">
        <v>1</v>
      </c>
      <c r="F255">
        <v>4</v>
      </c>
      <c r="G255">
        <v>0</v>
      </c>
      <c r="H255">
        <v>4</v>
      </c>
      <c r="I255">
        <v>3</v>
      </c>
      <c r="J255">
        <v>1</v>
      </c>
      <c r="K255">
        <v>0</v>
      </c>
      <c r="L255">
        <v>1</v>
      </c>
    </row>
    <row r="256" spans="1:12">
      <c r="A256" t="s">
        <v>319</v>
      </c>
      <c r="B256" t="s">
        <v>242</v>
      </c>
      <c r="C256" t="s">
        <v>9</v>
      </c>
      <c r="D256" t="s">
        <v>81</v>
      </c>
      <c r="E256">
        <v>2</v>
      </c>
      <c r="F256">
        <v>0</v>
      </c>
      <c r="G256">
        <v>0</v>
      </c>
      <c r="H256">
        <v>2</v>
      </c>
      <c r="I256">
        <v>2</v>
      </c>
      <c r="J256">
        <v>0</v>
      </c>
      <c r="K256">
        <v>0</v>
      </c>
      <c r="L256">
        <v>0</v>
      </c>
    </row>
    <row r="257" spans="1:12">
      <c r="A257" t="s">
        <v>319</v>
      </c>
      <c r="B257" t="s">
        <v>255</v>
      </c>
      <c r="C257" t="s">
        <v>9</v>
      </c>
      <c r="D257" t="s">
        <v>81</v>
      </c>
      <c r="E257">
        <v>2</v>
      </c>
      <c r="F257">
        <v>0</v>
      </c>
      <c r="G257">
        <v>0</v>
      </c>
      <c r="H257">
        <v>2</v>
      </c>
      <c r="I257">
        <v>2</v>
      </c>
      <c r="J257">
        <v>0</v>
      </c>
      <c r="K257">
        <v>0</v>
      </c>
      <c r="L257">
        <v>0</v>
      </c>
    </row>
    <row r="258" spans="1:12">
      <c r="A258" t="s">
        <v>319</v>
      </c>
      <c r="B258" t="s">
        <v>462</v>
      </c>
      <c r="C258" t="s">
        <v>9</v>
      </c>
      <c r="D258" t="s">
        <v>81</v>
      </c>
      <c r="E258">
        <v>2</v>
      </c>
      <c r="F258">
        <v>0</v>
      </c>
      <c r="G258">
        <v>0</v>
      </c>
      <c r="H258">
        <v>2</v>
      </c>
      <c r="I258">
        <v>2</v>
      </c>
      <c r="J258">
        <v>0</v>
      </c>
      <c r="K258">
        <v>0</v>
      </c>
      <c r="L258">
        <v>0</v>
      </c>
    </row>
    <row r="259" spans="1:12">
      <c r="A259" t="s">
        <v>319</v>
      </c>
      <c r="B259" t="s">
        <v>243</v>
      </c>
      <c r="C259" t="s">
        <v>9</v>
      </c>
      <c r="D259" t="s">
        <v>81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</row>
    <row r="260" spans="1:12">
      <c r="A260" t="s">
        <v>319</v>
      </c>
      <c r="B260" t="s">
        <v>460</v>
      </c>
      <c r="C260" t="s">
        <v>9</v>
      </c>
      <c r="D260" t="s">
        <v>81</v>
      </c>
      <c r="E260">
        <v>5</v>
      </c>
      <c r="F260">
        <v>0</v>
      </c>
      <c r="G260">
        <v>0</v>
      </c>
      <c r="H260">
        <v>5</v>
      </c>
      <c r="I260">
        <v>5</v>
      </c>
      <c r="J260">
        <v>0</v>
      </c>
      <c r="K260">
        <v>0</v>
      </c>
      <c r="L260">
        <v>0</v>
      </c>
    </row>
    <row r="261" spans="1:12">
      <c r="A261" t="s">
        <v>319</v>
      </c>
      <c r="B261" t="s">
        <v>291</v>
      </c>
      <c r="C261" t="s">
        <v>9</v>
      </c>
      <c r="D261" t="s">
        <v>81</v>
      </c>
      <c r="E261">
        <v>1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0</v>
      </c>
    </row>
    <row r="262" spans="1:12">
      <c r="A262" t="s">
        <v>319</v>
      </c>
      <c r="B262" t="s">
        <v>256</v>
      </c>
      <c r="C262" t="s">
        <v>9</v>
      </c>
      <c r="D262" t="s">
        <v>81</v>
      </c>
      <c r="E262">
        <v>3</v>
      </c>
      <c r="F262">
        <v>0</v>
      </c>
      <c r="G262">
        <v>0</v>
      </c>
      <c r="H262">
        <v>3</v>
      </c>
      <c r="I262">
        <v>3</v>
      </c>
      <c r="J262">
        <v>0</v>
      </c>
      <c r="K262">
        <v>0</v>
      </c>
      <c r="L262">
        <v>0</v>
      </c>
    </row>
    <row r="263" spans="1:12">
      <c r="A263" t="s">
        <v>319</v>
      </c>
      <c r="B263" t="s">
        <v>253</v>
      </c>
      <c r="C263" t="s">
        <v>9</v>
      </c>
      <c r="D263" t="s">
        <v>81</v>
      </c>
      <c r="E263">
        <v>3</v>
      </c>
      <c r="F263">
        <v>0</v>
      </c>
      <c r="G263">
        <v>0</v>
      </c>
      <c r="H263">
        <v>2</v>
      </c>
      <c r="I263">
        <v>2</v>
      </c>
      <c r="J263">
        <v>1</v>
      </c>
      <c r="K263">
        <v>1</v>
      </c>
      <c r="L263">
        <v>0</v>
      </c>
    </row>
    <row r="264" spans="1:12">
      <c r="A264" t="s">
        <v>319</v>
      </c>
      <c r="B264" t="s">
        <v>246</v>
      </c>
      <c r="C264" t="s">
        <v>9</v>
      </c>
      <c r="D264" t="s">
        <v>81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</row>
    <row r="265" spans="1:12">
      <c r="A265" t="s">
        <v>319</v>
      </c>
      <c r="B265" t="s">
        <v>329</v>
      </c>
      <c r="C265" t="s">
        <v>9</v>
      </c>
      <c r="D265" t="s">
        <v>81</v>
      </c>
      <c r="E265">
        <v>2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0</v>
      </c>
    </row>
    <row r="266" spans="1:12">
      <c r="A266" t="s">
        <v>319</v>
      </c>
      <c r="B266" t="s">
        <v>248</v>
      </c>
      <c r="C266" t="s">
        <v>9</v>
      </c>
      <c r="D266" t="s">
        <v>81</v>
      </c>
      <c r="E266">
        <v>2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0</v>
      </c>
    </row>
    <row r="267" spans="1:12">
      <c r="A267" t="s">
        <v>320</v>
      </c>
      <c r="B267" t="s">
        <v>242</v>
      </c>
      <c r="C267" t="s">
        <v>15</v>
      </c>
      <c r="D267" t="s">
        <v>100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</row>
    <row r="268" spans="1:12">
      <c r="A268" t="s">
        <v>320</v>
      </c>
      <c r="B268" t="s">
        <v>255</v>
      </c>
      <c r="C268" t="s">
        <v>15</v>
      </c>
      <c r="D268" t="s">
        <v>100</v>
      </c>
      <c r="E268">
        <v>3</v>
      </c>
      <c r="F268">
        <v>0</v>
      </c>
      <c r="G268">
        <v>0</v>
      </c>
      <c r="H268">
        <v>2</v>
      </c>
      <c r="I268">
        <v>2</v>
      </c>
      <c r="J268">
        <v>1</v>
      </c>
      <c r="K268">
        <v>1</v>
      </c>
      <c r="L268">
        <v>0</v>
      </c>
    </row>
    <row r="269" spans="1:12">
      <c r="A269" t="s">
        <v>320</v>
      </c>
      <c r="B269" t="s">
        <v>462</v>
      </c>
      <c r="C269" t="s">
        <v>15</v>
      </c>
      <c r="D269" t="s">
        <v>100</v>
      </c>
      <c r="E269">
        <v>2</v>
      </c>
      <c r="F269">
        <v>0</v>
      </c>
      <c r="G269">
        <v>0</v>
      </c>
      <c r="H269">
        <v>2</v>
      </c>
      <c r="I269">
        <v>2</v>
      </c>
      <c r="J269">
        <v>0</v>
      </c>
      <c r="K269">
        <v>0</v>
      </c>
      <c r="L269">
        <v>0</v>
      </c>
    </row>
    <row r="270" spans="1:12">
      <c r="A270" t="s">
        <v>320</v>
      </c>
      <c r="B270" t="s">
        <v>243</v>
      </c>
      <c r="C270" t="s">
        <v>15</v>
      </c>
      <c r="D270" t="s">
        <v>100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</row>
    <row r="271" spans="1:12">
      <c r="A271" t="s">
        <v>320</v>
      </c>
      <c r="B271" t="s">
        <v>460</v>
      </c>
      <c r="C271" t="s">
        <v>15</v>
      </c>
      <c r="D271" t="s">
        <v>100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5</v>
      </c>
      <c r="K271">
        <v>5</v>
      </c>
      <c r="L271">
        <v>0</v>
      </c>
    </row>
    <row r="272" spans="1:12">
      <c r="A272" t="s">
        <v>320</v>
      </c>
      <c r="B272" t="s">
        <v>244</v>
      </c>
      <c r="C272" t="s">
        <v>15</v>
      </c>
      <c r="D272" t="s">
        <v>100</v>
      </c>
      <c r="E272">
        <v>2</v>
      </c>
      <c r="F272">
        <v>0</v>
      </c>
      <c r="G272">
        <v>0</v>
      </c>
      <c r="H272">
        <v>2</v>
      </c>
      <c r="I272">
        <v>2</v>
      </c>
      <c r="J272">
        <v>0</v>
      </c>
      <c r="K272">
        <v>0</v>
      </c>
      <c r="L272">
        <v>0</v>
      </c>
    </row>
    <row r="273" spans="1:12">
      <c r="A273" t="s">
        <v>320</v>
      </c>
      <c r="B273" t="s">
        <v>311</v>
      </c>
      <c r="C273" t="s">
        <v>15</v>
      </c>
      <c r="D273" t="s">
        <v>100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</row>
    <row r="274" spans="1:12">
      <c r="A274" t="s">
        <v>320</v>
      </c>
      <c r="B274" t="s">
        <v>275</v>
      </c>
      <c r="C274" t="s">
        <v>15</v>
      </c>
      <c r="D274" t="s">
        <v>100</v>
      </c>
      <c r="E274">
        <v>2</v>
      </c>
      <c r="F274">
        <v>0</v>
      </c>
      <c r="G274">
        <v>0</v>
      </c>
      <c r="H274">
        <v>2</v>
      </c>
      <c r="I274">
        <v>2</v>
      </c>
      <c r="J274">
        <v>0</v>
      </c>
      <c r="K274">
        <v>0</v>
      </c>
      <c r="L274">
        <v>0</v>
      </c>
    </row>
    <row r="275" spans="1:12">
      <c r="A275" t="s">
        <v>320</v>
      </c>
      <c r="B275" t="s">
        <v>291</v>
      </c>
      <c r="C275" t="s">
        <v>15</v>
      </c>
      <c r="D275" t="s">
        <v>100</v>
      </c>
      <c r="E275">
        <v>1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</row>
    <row r="276" spans="1:12">
      <c r="A276" t="s">
        <v>320</v>
      </c>
      <c r="B276" t="s">
        <v>256</v>
      </c>
      <c r="C276" t="s">
        <v>15</v>
      </c>
      <c r="D276" t="s">
        <v>100</v>
      </c>
      <c r="E276">
        <v>4</v>
      </c>
      <c r="F276">
        <v>0</v>
      </c>
      <c r="G276">
        <v>0</v>
      </c>
      <c r="H276">
        <v>1</v>
      </c>
      <c r="I276">
        <v>1</v>
      </c>
      <c r="J276">
        <v>3</v>
      </c>
      <c r="K276">
        <v>3</v>
      </c>
      <c r="L276">
        <v>0</v>
      </c>
    </row>
    <row r="277" spans="1:12">
      <c r="A277" t="s">
        <v>320</v>
      </c>
      <c r="B277" t="s">
        <v>253</v>
      </c>
      <c r="C277" t="s">
        <v>15</v>
      </c>
      <c r="D277" t="s">
        <v>100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3</v>
      </c>
      <c r="K277">
        <v>3</v>
      </c>
      <c r="L277">
        <v>0</v>
      </c>
    </row>
    <row r="278" spans="1:12">
      <c r="A278" t="s">
        <v>320</v>
      </c>
      <c r="B278" t="s">
        <v>246</v>
      </c>
      <c r="C278" t="s">
        <v>15</v>
      </c>
      <c r="D278" t="s">
        <v>100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</row>
    <row r="279" spans="1:12">
      <c r="A279" t="s">
        <v>320</v>
      </c>
      <c r="B279" t="s">
        <v>395</v>
      </c>
      <c r="C279" t="s">
        <v>15</v>
      </c>
      <c r="D279" t="s">
        <v>100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</row>
    <row r="280" spans="1:12">
      <c r="A280" t="s">
        <v>320</v>
      </c>
      <c r="B280" t="s">
        <v>247</v>
      </c>
      <c r="C280" t="s">
        <v>15</v>
      </c>
      <c r="D280" t="s">
        <v>100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2</v>
      </c>
      <c r="L280">
        <v>0</v>
      </c>
    </row>
    <row r="281" spans="1:12">
      <c r="A281" t="s">
        <v>320</v>
      </c>
      <c r="B281" t="s">
        <v>248</v>
      </c>
      <c r="C281" t="s">
        <v>15</v>
      </c>
      <c r="D281" t="s">
        <v>100</v>
      </c>
      <c r="E281">
        <v>3</v>
      </c>
      <c r="F281">
        <v>2</v>
      </c>
      <c r="G281">
        <v>0</v>
      </c>
      <c r="H281">
        <v>2</v>
      </c>
      <c r="I281">
        <v>0</v>
      </c>
      <c r="J281">
        <v>3</v>
      </c>
      <c r="K281">
        <v>3</v>
      </c>
      <c r="L281">
        <v>0</v>
      </c>
    </row>
    <row r="282" spans="1:12">
      <c r="A282" t="s">
        <v>321</v>
      </c>
      <c r="B282" t="s">
        <v>242</v>
      </c>
      <c r="C282" t="s">
        <v>13</v>
      </c>
      <c r="D282" t="s">
        <v>90</v>
      </c>
      <c r="E282">
        <v>2</v>
      </c>
      <c r="F282">
        <v>2</v>
      </c>
      <c r="G282">
        <v>0</v>
      </c>
      <c r="H282">
        <v>3</v>
      </c>
      <c r="I282">
        <v>1</v>
      </c>
      <c r="J282">
        <v>1</v>
      </c>
      <c r="K282">
        <v>1</v>
      </c>
      <c r="L282">
        <v>0</v>
      </c>
    </row>
    <row r="283" spans="1:12">
      <c r="A283" t="s">
        <v>321</v>
      </c>
      <c r="B283" t="s">
        <v>255</v>
      </c>
      <c r="C283" t="s">
        <v>13</v>
      </c>
      <c r="D283" t="s">
        <v>90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3</v>
      </c>
      <c r="K283">
        <v>3</v>
      </c>
      <c r="L283">
        <v>0</v>
      </c>
    </row>
    <row r="284" spans="1:12">
      <c r="A284" t="s">
        <v>321</v>
      </c>
      <c r="B284" t="s">
        <v>462</v>
      </c>
      <c r="C284" t="s">
        <v>13</v>
      </c>
      <c r="D284" t="s">
        <v>90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</row>
    <row r="285" spans="1:12">
      <c r="A285" t="s">
        <v>321</v>
      </c>
      <c r="B285" t="s">
        <v>243</v>
      </c>
      <c r="C285" t="s">
        <v>13</v>
      </c>
      <c r="D285" t="s">
        <v>90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</row>
    <row r="286" spans="1:12">
      <c r="A286" t="s">
        <v>321</v>
      </c>
      <c r="B286" t="s">
        <v>460</v>
      </c>
      <c r="C286" t="s">
        <v>13</v>
      </c>
      <c r="D286" t="s">
        <v>90</v>
      </c>
      <c r="E286">
        <v>5</v>
      </c>
      <c r="F286">
        <v>0</v>
      </c>
      <c r="G286">
        <v>0</v>
      </c>
      <c r="H286">
        <v>0</v>
      </c>
      <c r="I286">
        <v>0</v>
      </c>
      <c r="J286">
        <v>5</v>
      </c>
      <c r="K286">
        <v>5</v>
      </c>
      <c r="L286">
        <v>0</v>
      </c>
    </row>
    <row r="287" spans="1:12">
      <c r="A287" t="s">
        <v>321</v>
      </c>
      <c r="B287" t="s">
        <v>275</v>
      </c>
      <c r="C287" t="s">
        <v>13</v>
      </c>
      <c r="D287" t="s">
        <v>90</v>
      </c>
      <c r="E287">
        <v>4</v>
      </c>
      <c r="F287">
        <v>2</v>
      </c>
      <c r="G287">
        <v>0</v>
      </c>
      <c r="H287">
        <v>6</v>
      </c>
      <c r="I287">
        <v>4</v>
      </c>
      <c r="J287">
        <v>0</v>
      </c>
      <c r="K287">
        <v>0</v>
      </c>
      <c r="L287">
        <v>0</v>
      </c>
    </row>
    <row r="288" spans="1:12">
      <c r="A288" t="s">
        <v>321</v>
      </c>
      <c r="B288" t="s">
        <v>256</v>
      </c>
      <c r="C288" t="s">
        <v>13</v>
      </c>
      <c r="D288" t="s">
        <v>90</v>
      </c>
      <c r="E288">
        <v>4</v>
      </c>
      <c r="F288">
        <v>0</v>
      </c>
      <c r="G288">
        <v>0</v>
      </c>
      <c r="H288">
        <v>1</v>
      </c>
      <c r="I288">
        <v>1</v>
      </c>
      <c r="J288">
        <v>3</v>
      </c>
      <c r="K288">
        <v>3</v>
      </c>
      <c r="L288">
        <v>0</v>
      </c>
    </row>
    <row r="289" spans="1:12">
      <c r="A289" t="s">
        <v>321</v>
      </c>
      <c r="B289" t="s">
        <v>253</v>
      </c>
      <c r="C289" t="s">
        <v>13</v>
      </c>
      <c r="D289" t="s">
        <v>90</v>
      </c>
      <c r="E289">
        <v>3</v>
      </c>
      <c r="F289">
        <v>0</v>
      </c>
      <c r="G289">
        <v>0</v>
      </c>
      <c r="H289">
        <v>1</v>
      </c>
      <c r="I289">
        <v>1</v>
      </c>
      <c r="J289">
        <v>2</v>
      </c>
      <c r="K289">
        <v>2</v>
      </c>
      <c r="L289">
        <v>0</v>
      </c>
    </row>
    <row r="290" spans="1:12">
      <c r="A290" t="s">
        <v>321</v>
      </c>
      <c r="B290" t="s">
        <v>246</v>
      </c>
      <c r="C290" t="s">
        <v>13</v>
      </c>
      <c r="D290" t="s">
        <v>90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</row>
    <row r="291" spans="1:12">
      <c r="A291" t="s">
        <v>321</v>
      </c>
      <c r="B291" t="s">
        <v>395</v>
      </c>
      <c r="C291" t="s">
        <v>13</v>
      </c>
      <c r="D291" t="s">
        <v>90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</row>
    <row r="292" spans="1:12">
      <c r="A292" t="s">
        <v>321</v>
      </c>
      <c r="B292" t="s">
        <v>329</v>
      </c>
      <c r="C292" t="s">
        <v>13</v>
      </c>
      <c r="D292" t="s">
        <v>90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2</v>
      </c>
      <c r="L292">
        <v>0</v>
      </c>
    </row>
    <row r="293" spans="1:12">
      <c r="A293" t="s">
        <v>321</v>
      </c>
      <c r="B293" t="s">
        <v>375</v>
      </c>
      <c r="C293" t="s">
        <v>13</v>
      </c>
      <c r="D293" t="s">
        <v>90</v>
      </c>
      <c r="E293">
        <v>0</v>
      </c>
      <c r="F293">
        <v>2</v>
      </c>
      <c r="G293">
        <v>0</v>
      </c>
      <c r="H293">
        <v>2</v>
      </c>
      <c r="I293">
        <v>2</v>
      </c>
      <c r="J293">
        <v>0</v>
      </c>
      <c r="K293">
        <v>0</v>
      </c>
      <c r="L293">
        <v>0</v>
      </c>
    </row>
    <row r="294" spans="1:12">
      <c r="A294" t="s">
        <v>321</v>
      </c>
      <c r="B294" t="s">
        <v>247</v>
      </c>
      <c r="C294" t="s">
        <v>13</v>
      </c>
      <c r="D294" t="s">
        <v>90</v>
      </c>
      <c r="E294">
        <v>2</v>
      </c>
      <c r="F294">
        <v>0</v>
      </c>
      <c r="G294">
        <v>0</v>
      </c>
      <c r="H294">
        <v>2</v>
      </c>
      <c r="I294">
        <v>2</v>
      </c>
      <c r="J294">
        <v>0</v>
      </c>
      <c r="K294">
        <v>0</v>
      </c>
      <c r="L294">
        <v>0</v>
      </c>
    </row>
    <row r="295" spans="1:12">
      <c r="A295" t="s">
        <v>321</v>
      </c>
      <c r="B295" t="s">
        <v>248</v>
      </c>
      <c r="C295" t="s">
        <v>13</v>
      </c>
      <c r="D295" t="s">
        <v>90</v>
      </c>
      <c r="E295">
        <v>2</v>
      </c>
      <c r="F295">
        <v>0</v>
      </c>
      <c r="G295">
        <v>0</v>
      </c>
      <c r="H295">
        <v>2</v>
      </c>
      <c r="I295">
        <v>2</v>
      </c>
      <c r="J295">
        <v>0</v>
      </c>
      <c r="K295">
        <v>0</v>
      </c>
      <c r="L295">
        <v>0</v>
      </c>
    </row>
    <row r="296" spans="1:12">
      <c r="A296" t="s">
        <v>322</v>
      </c>
      <c r="B296" t="s">
        <v>242</v>
      </c>
      <c r="C296" t="s">
        <v>16</v>
      </c>
      <c r="D296" t="s">
        <v>102</v>
      </c>
      <c r="E296">
        <v>1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</row>
    <row r="297" spans="1:12">
      <c r="A297" t="s">
        <v>322</v>
      </c>
      <c r="B297" t="s">
        <v>255</v>
      </c>
      <c r="C297" t="s">
        <v>16</v>
      </c>
      <c r="D297" t="s">
        <v>102</v>
      </c>
      <c r="E297">
        <v>2</v>
      </c>
      <c r="F297">
        <v>0</v>
      </c>
      <c r="G297">
        <v>0</v>
      </c>
      <c r="H297">
        <v>2</v>
      </c>
      <c r="I297">
        <v>2</v>
      </c>
      <c r="J297">
        <v>0</v>
      </c>
      <c r="K297">
        <v>0</v>
      </c>
      <c r="L297">
        <v>0</v>
      </c>
    </row>
    <row r="298" spans="1:12">
      <c r="A298" t="s">
        <v>322</v>
      </c>
      <c r="B298" t="s">
        <v>462</v>
      </c>
      <c r="C298" t="s">
        <v>16</v>
      </c>
      <c r="D298" t="s">
        <v>102</v>
      </c>
      <c r="E298">
        <v>1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</row>
    <row r="299" spans="1:12">
      <c r="A299" t="s">
        <v>322</v>
      </c>
      <c r="B299" t="s">
        <v>460</v>
      </c>
      <c r="C299" t="s">
        <v>16</v>
      </c>
      <c r="D299" t="s">
        <v>102</v>
      </c>
      <c r="E299">
        <v>5</v>
      </c>
      <c r="F299">
        <v>0</v>
      </c>
      <c r="G299">
        <v>0</v>
      </c>
      <c r="H299">
        <v>1</v>
      </c>
      <c r="I299">
        <v>1</v>
      </c>
      <c r="J299">
        <v>4</v>
      </c>
      <c r="K299">
        <v>4</v>
      </c>
      <c r="L299">
        <v>0</v>
      </c>
    </row>
    <row r="300" spans="1:12">
      <c r="A300" t="s">
        <v>322</v>
      </c>
      <c r="B300" t="s">
        <v>275</v>
      </c>
      <c r="C300" t="s">
        <v>16</v>
      </c>
      <c r="D300" t="s">
        <v>102</v>
      </c>
      <c r="E300">
        <v>4</v>
      </c>
      <c r="F300">
        <v>0</v>
      </c>
      <c r="G300">
        <v>0</v>
      </c>
      <c r="H300">
        <v>4</v>
      </c>
      <c r="I300">
        <v>4</v>
      </c>
      <c r="J300">
        <v>0</v>
      </c>
      <c r="K300">
        <v>0</v>
      </c>
      <c r="L300">
        <v>0</v>
      </c>
    </row>
    <row r="301" spans="1:12">
      <c r="A301" t="s">
        <v>322</v>
      </c>
      <c r="B301" t="s">
        <v>291</v>
      </c>
      <c r="C301" t="s">
        <v>16</v>
      </c>
      <c r="D301" t="s">
        <v>102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0</v>
      </c>
    </row>
    <row r="302" spans="1:12">
      <c r="A302" t="s">
        <v>322</v>
      </c>
      <c r="B302" t="s">
        <v>256</v>
      </c>
      <c r="C302" t="s">
        <v>16</v>
      </c>
      <c r="D302" t="s">
        <v>102</v>
      </c>
      <c r="E302">
        <v>4</v>
      </c>
      <c r="F302">
        <v>0</v>
      </c>
      <c r="G302">
        <v>0</v>
      </c>
      <c r="H302">
        <v>4</v>
      </c>
      <c r="I302">
        <v>4</v>
      </c>
      <c r="J302">
        <v>0</v>
      </c>
      <c r="K302">
        <v>0</v>
      </c>
      <c r="L302">
        <v>0</v>
      </c>
    </row>
    <row r="303" spans="1:12">
      <c r="A303" t="s">
        <v>322</v>
      </c>
      <c r="B303" t="s">
        <v>246</v>
      </c>
      <c r="C303" t="s">
        <v>16</v>
      </c>
      <c r="D303" t="s">
        <v>102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</row>
    <row r="304" spans="1:12">
      <c r="A304" t="s">
        <v>322</v>
      </c>
      <c r="B304" t="s">
        <v>395</v>
      </c>
      <c r="C304" t="s">
        <v>16</v>
      </c>
      <c r="D304" t="s">
        <v>102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</row>
    <row r="305" spans="1:12">
      <c r="A305" t="s">
        <v>322</v>
      </c>
      <c r="B305" t="s">
        <v>329</v>
      </c>
      <c r="C305" t="s">
        <v>16</v>
      </c>
      <c r="D305" t="s">
        <v>102</v>
      </c>
      <c r="E305">
        <v>2</v>
      </c>
      <c r="F305">
        <v>0</v>
      </c>
      <c r="G305">
        <v>0</v>
      </c>
      <c r="H305">
        <v>2</v>
      </c>
      <c r="I305">
        <v>2</v>
      </c>
      <c r="J305">
        <v>0</v>
      </c>
      <c r="K305">
        <v>0</v>
      </c>
      <c r="L305">
        <v>0</v>
      </c>
    </row>
    <row r="306" spans="1:12">
      <c r="A306" t="s">
        <v>322</v>
      </c>
      <c r="B306" t="s">
        <v>247</v>
      </c>
      <c r="C306" t="s">
        <v>16</v>
      </c>
      <c r="D306" t="s">
        <v>102</v>
      </c>
      <c r="E306">
        <v>2</v>
      </c>
      <c r="F306">
        <v>0</v>
      </c>
      <c r="G306">
        <v>0</v>
      </c>
      <c r="H306">
        <v>2</v>
      </c>
      <c r="I306">
        <v>2</v>
      </c>
      <c r="J306">
        <v>0</v>
      </c>
      <c r="K306">
        <v>0</v>
      </c>
      <c r="L306">
        <v>0</v>
      </c>
    </row>
    <row r="307" spans="1:12">
      <c r="A307" t="s">
        <v>322</v>
      </c>
      <c r="B307" t="s">
        <v>248</v>
      </c>
      <c r="C307" t="s">
        <v>16</v>
      </c>
      <c r="D307" t="s">
        <v>102</v>
      </c>
      <c r="E307">
        <v>2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</row>
    <row r="308" spans="1:12">
      <c r="A308" t="s">
        <v>323</v>
      </c>
      <c r="B308" t="s">
        <v>242</v>
      </c>
      <c r="C308" t="s">
        <v>7</v>
      </c>
      <c r="D308" t="s">
        <v>324</v>
      </c>
      <c r="E308">
        <v>2</v>
      </c>
      <c r="F308">
        <v>0</v>
      </c>
      <c r="G308">
        <v>0</v>
      </c>
      <c r="H308">
        <v>2</v>
      </c>
      <c r="I308">
        <v>2</v>
      </c>
      <c r="J308">
        <v>0</v>
      </c>
      <c r="K308">
        <v>0</v>
      </c>
      <c r="L308">
        <v>0</v>
      </c>
    </row>
    <row r="309" spans="1:12">
      <c r="A309" t="s">
        <v>323</v>
      </c>
      <c r="B309" t="s">
        <v>462</v>
      </c>
      <c r="C309" t="s">
        <v>7</v>
      </c>
      <c r="D309" t="s">
        <v>324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</row>
    <row r="310" spans="1:12">
      <c r="A310" t="s">
        <v>323</v>
      </c>
      <c r="B310" t="s">
        <v>243</v>
      </c>
      <c r="C310" t="s">
        <v>7</v>
      </c>
      <c r="D310" t="s">
        <v>324</v>
      </c>
      <c r="E310">
        <v>0</v>
      </c>
      <c r="F310">
        <v>3</v>
      </c>
      <c r="G310">
        <v>0</v>
      </c>
      <c r="H310">
        <v>3</v>
      </c>
      <c r="I310">
        <v>3</v>
      </c>
      <c r="J310">
        <v>0</v>
      </c>
      <c r="K310">
        <v>0</v>
      </c>
      <c r="L310">
        <v>0</v>
      </c>
    </row>
    <row r="311" spans="1:12">
      <c r="A311" t="s">
        <v>323</v>
      </c>
      <c r="B311" t="s">
        <v>460</v>
      </c>
      <c r="C311" t="s">
        <v>7</v>
      </c>
      <c r="D311" t="s">
        <v>324</v>
      </c>
      <c r="E311">
        <v>4</v>
      </c>
      <c r="F311">
        <v>0</v>
      </c>
      <c r="G311">
        <v>0</v>
      </c>
      <c r="H311">
        <v>4</v>
      </c>
      <c r="I311">
        <v>4</v>
      </c>
      <c r="J311">
        <v>0</v>
      </c>
      <c r="K311">
        <v>0</v>
      </c>
      <c r="L311">
        <v>0</v>
      </c>
    </row>
    <row r="312" spans="1:12">
      <c r="A312" t="s">
        <v>323</v>
      </c>
      <c r="B312" t="s">
        <v>275</v>
      </c>
      <c r="C312" t="s">
        <v>7</v>
      </c>
      <c r="D312" t="s">
        <v>324</v>
      </c>
      <c r="E312">
        <v>1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</row>
    <row r="313" spans="1:12">
      <c r="A313" t="s">
        <v>323</v>
      </c>
      <c r="B313" t="s">
        <v>256</v>
      </c>
      <c r="C313" t="s">
        <v>7</v>
      </c>
      <c r="D313" t="s">
        <v>324</v>
      </c>
      <c r="E313">
        <v>2</v>
      </c>
      <c r="F313">
        <v>0</v>
      </c>
      <c r="G313">
        <v>0</v>
      </c>
      <c r="H313">
        <v>2</v>
      </c>
      <c r="I313">
        <v>2</v>
      </c>
      <c r="J313">
        <v>0</v>
      </c>
      <c r="K313">
        <v>0</v>
      </c>
      <c r="L313">
        <v>0</v>
      </c>
    </row>
    <row r="314" spans="1:12">
      <c r="A314" t="s">
        <v>323</v>
      </c>
      <c r="B314" t="s">
        <v>253</v>
      </c>
      <c r="C314" t="s">
        <v>7</v>
      </c>
      <c r="D314" t="s">
        <v>324</v>
      </c>
      <c r="E314">
        <v>2</v>
      </c>
      <c r="F314">
        <v>0</v>
      </c>
      <c r="G314">
        <v>0</v>
      </c>
      <c r="H314">
        <v>2</v>
      </c>
      <c r="I314">
        <v>2</v>
      </c>
      <c r="J314">
        <v>0</v>
      </c>
      <c r="K314">
        <v>0</v>
      </c>
      <c r="L314">
        <v>0</v>
      </c>
    </row>
    <row r="315" spans="1:12">
      <c r="A315" t="s">
        <v>323</v>
      </c>
      <c r="B315" t="s">
        <v>329</v>
      </c>
      <c r="C315" t="s">
        <v>7</v>
      </c>
      <c r="D315" t="s">
        <v>324</v>
      </c>
      <c r="E315">
        <v>1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</row>
    <row r="316" spans="1:12">
      <c r="A316" t="s">
        <v>323</v>
      </c>
      <c r="B316" t="s">
        <v>247</v>
      </c>
      <c r="C316" t="s">
        <v>7</v>
      </c>
      <c r="D316" t="s">
        <v>324</v>
      </c>
      <c r="E316">
        <v>2</v>
      </c>
      <c r="F316">
        <v>0</v>
      </c>
      <c r="G316">
        <v>0</v>
      </c>
      <c r="H316">
        <v>2</v>
      </c>
      <c r="I316">
        <v>2</v>
      </c>
      <c r="J316">
        <v>0</v>
      </c>
      <c r="K316">
        <v>0</v>
      </c>
      <c r="L316">
        <v>0</v>
      </c>
    </row>
    <row r="317" spans="1:12">
      <c r="A317" t="s">
        <v>323</v>
      </c>
      <c r="B317" t="s">
        <v>248</v>
      </c>
      <c r="C317" t="s">
        <v>7</v>
      </c>
      <c r="D317" t="s">
        <v>324</v>
      </c>
      <c r="E317">
        <v>1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</row>
    <row r="318" spans="1:12">
      <c r="A318" t="s">
        <v>325</v>
      </c>
      <c r="B318" t="s">
        <v>460</v>
      </c>
      <c r="C318" t="s">
        <v>12</v>
      </c>
      <c r="D318" t="s">
        <v>79</v>
      </c>
      <c r="E318">
        <v>5</v>
      </c>
      <c r="F318">
        <v>0</v>
      </c>
      <c r="G318">
        <v>0</v>
      </c>
      <c r="H318">
        <v>0</v>
      </c>
      <c r="I318">
        <v>0</v>
      </c>
      <c r="J318">
        <v>5</v>
      </c>
      <c r="K318">
        <v>5</v>
      </c>
      <c r="L318">
        <v>0</v>
      </c>
    </row>
    <row r="319" spans="1:12">
      <c r="A319" t="s">
        <v>325</v>
      </c>
      <c r="B319" t="s">
        <v>275</v>
      </c>
      <c r="C319" t="s">
        <v>12</v>
      </c>
      <c r="D319" t="s">
        <v>79</v>
      </c>
      <c r="E319">
        <v>4</v>
      </c>
      <c r="F319">
        <v>1</v>
      </c>
      <c r="G319">
        <v>0</v>
      </c>
      <c r="H319">
        <v>5</v>
      </c>
      <c r="I319">
        <v>5</v>
      </c>
      <c r="J319">
        <v>0</v>
      </c>
      <c r="K319">
        <v>0</v>
      </c>
      <c r="L319">
        <v>0</v>
      </c>
    </row>
    <row r="320" spans="1:12">
      <c r="A320" t="s">
        <v>325</v>
      </c>
      <c r="B320" t="s">
        <v>256</v>
      </c>
      <c r="C320" t="s">
        <v>12</v>
      </c>
      <c r="D320" t="s">
        <v>79</v>
      </c>
      <c r="E320">
        <v>2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0</v>
      </c>
    </row>
    <row r="321" spans="1:12">
      <c r="A321" t="s">
        <v>325</v>
      </c>
      <c r="B321" t="s">
        <v>246</v>
      </c>
      <c r="C321" t="s">
        <v>12</v>
      </c>
      <c r="D321" t="s">
        <v>79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</row>
    <row r="322" spans="1:12">
      <c r="A322" t="s">
        <v>325</v>
      </c>
      <c r="B322" t="s">
        <v>329</v>
      </c>
      <c r="C322" t="s">
        <v>12</v>
      </c>
      <c r="D322" t="s">
        <v>79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</row>
    <row r="323" spans="1:12">
      <c r="A323" t="s">
        <v>325</v>
      </c>
      <c r="B323" t="s">
        <v>247</v>
      </c>
      <c r="C323" t="s">
        <v>12</v>
      </c>
      <c r="D323" t="s">
        <v>79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</row>
    <row r="324" spans="1:12">
      <c r="A324" t="s">
        <v>325</v>
      </c>
      <c r="B324" t="s">
        <v>248</v>
      </c>
      <c r="C324" t="s">
        <v>12</v>
      </c>
      <c r="D324" t="s">
        <v>79</v>
      </c>
      <c r="E324">
        <v>2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0</v>
      </c>
    </row>
    <row r="325" spans="1:12">
      <c r="A325" t="s">
        <v>326</v>
      </c>
      <c r="B325" t="s">
        <v>241</v>
      </c>
      <c r="C325" t="s">
        <v>11</v>
      </c>
      <c r="D325" t="s">
        <v>77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</row>
    <row r="326" spans="1:12">
      <c r="A326" t="s">
        <v>326</v>
      </c>
      <c r="B326" t="s">
        <v>242</v>
      </c>
      <c r="C326" t="s">
        <v>11</v>
      </c>
      <c r="D326" t="s">
        <v>77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</row>
    <row r="327" spans="1:12">
      <c r="A327" t="s">
        <v>326</v>
      </c>
      <c r="B327" t="s">
        <v>462</v>
      </c>
      <c r="C327" t="s">
        <v>11</v>
      </c>
      <c r="D327" t="s">
        <v>77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</row>
    <row r="328" spans="1:12">
      <c r="A328" t="s">
        <v>326</v>
      </c>
      <c r="B328" t="s">
        <v>460</v>
      </c>
      <c r="C328" t="s">
        <v>11</v>
      </c>
      <c r="D328" t="s">
        <v>77</v>
      </c>
      <c r="E328">
        <v>5</v>
      </c>
      <c r="F328">
        <v>0</v>
      </c>
      <c r="G328">
        <v>0</v>
      </c>
      <c r="H328">
        <v>0</v>
      </c>
      <c r="I328">
        <v>0</v>
      </c>
      <c r="J328">
        <v>5</v>
      </c>
      <c r="K328">
        <v>5</v>
      </c>
      <c r="L328">
        <v>0</v>
      </c>
    </row>
    <row r="329" spans="1:12">
      <c r="A329" t="s">
        <v>326</v>
      </c>
      <c r="B329" t="s">
        <v>290</v>
      </c>
      <c r="C329" t="s">
        <v>11</v>
      </c>
      <c r="D329" t="s">
        <v>77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</row>
    <row r="330" spans="1:12">
      <c r="A330" t="s">
        <v>326</v>
      </c>
      <c r="B330" t="s">
        <v>291</v>
      </c>
      <c r="C330" t="s">
        <v>11</v>
      </c>
      <c r="D330" t="s">
        <v>77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0</v>
      </c>
    </row>
    <row r="331" spans="1:12">
      <c r="A331" t="s">
        <v>326</v>
      </c>
      <c r="B331" t="s">
        <v>256</v>
      </c>
      <c r="C331" t="s">
        <v>11</v>
      </c>
      <c r="D331" t="s">
        <v>77</v>
      </c>
      <c r="E331">
        <v>5</v>
      </c>
      <c r="F331">
        <v>0</v>
      </c>
      <c r="G331">
        <v>0</v>
      </c>
      <c r="H331">
        <v>1</v>
      </c>
      <c r="I331">
        <v>1</v>
      </c>
      <c r="J331">
        <v>4</v>
      </c>
      <c r="K331">
        <v>4</v>
      </c>
      <c r="L331">
        <v>0</v>
      </c>
    </row>
    <row r="332" spans="1:12">
      <c r="A332" t="s">
        <v>326</v>
      </c>
      <c r="B332" t="s">
        <v>253</v>
      </c>
      <c r="C332" t="s">
        <v>11</v>
      </c>
      <c r="D332" t="s">
        <v>77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3</v>
      </c>
      <c r="K332">
        <v>3</v>
      </c>
      <c r="L332">
        <v>0</v>
      </c>
    </row>
    <row r="333" spans="1:12">
      <c r="A333" t="s">
        <v>326</v>
      </c>
      <c r="B333" t="s">
        <v>246</v>
      </c>
      <c r="C333" t="s">
        <v>11</v>
      </c>
      <c r="D333" t="s">
        <v>77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</row>
    <row r="334" spans="1:12">
      <c r="A334" t="s">
        <v>326</v>
      </c>
      <c r="B334" t="s">
        <v>395</v>
      </c>
      <c r="C334" t="s">
        <v>11</v>
      </c>
      <c r="D334" t="s">
        <v>77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</row>
    <row r="335" spans="1:12">
      <c r="A335" t="s">
        <v>326</v>
      </c>
      <c r="B335" t="s">
        <v>329</v>
      </c>
      <c r="C335" t="s">
        <v>11</v>
      </c>
      <c r="D335" t="s">
        <v>77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</row>
    <row r="336" spans="1:12">
      <c r="A336" t="s">
        <v>326</v>
      </c>
      <c r="B336" t="s">
        <v>248</v>
      </c>
      <c r="C336" t="s">
        <v>11</v>
      </c>
      <c r="D336" t="s">
        <v>77</v>
      </c>
      <c r="E336">
        <v>3</v>
      </c>
      <c r="F336">
        <v>0</v>
      </c>
      <c r="G336">
        <v>0</v>
      </c>
      <c r="H336">
        <v>1</v>
      </c>
      <c r="I336">
        <v>1</v>
      </c>
      <c r="J336">
        <v>2</v>
      </c>
      <c r="K336">
        <v>2</v>
      </c>
      <c r="L336">
        <v>0</v>
      </c>
    </row>
    <row r="337" spans="1:12">
      <c r="A337" t="s">
        <v>464</v>
      </c>
      <c r="B337" t="s">
        <v>460</v>
      </c>
      <c r="C337" t="s">
        <v>5</v>
      </c>
      <c r="D337" t="s">
        <v>465</v>
      </c>
      <c r="E337">
        <v>2</v>
      </c>
      <c r="F337">
        <v>0</v>
      </c>
      <c r="G337">
        <v>0</v>
      </c>
      <c r="H337">
        <v>2</v>
      </c>
      <c r="I337">
        <v>2</v>
      </c>
      <c r="J337">
        <v>0</v>
      </c>
      <c r="K337">
        <v>0</v>
      </c>
      <c r="L337">
        <v>0</v>
      </c>
    </row>
    <row r="338" spans="1:12">
      <c r="A338" t="s">
        <v>464</v>
      </c>
      <c r="B338" t="s">
        <v>291</v>
      </c>
      <c r="C338" t="s">
        <v>5</v>
      </c>
      <c r="D338" t="s">
        <v>465</v>
      </c>
      <c r="E338">
        <v>0</v>
      </c>
      <c r="F338">
        <v>1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</row>
    <row r="339" spans="1:12">
      <c r="A339" t="s">
        <v>464</v>
      </c>
      <c r="B339" t="s">
        <v>253</v>
      </c>
      <c r="C339" t="s">
        <v>5</v>
      </c>
      <c r="D339" t="s">
        <v>465</v>
      </c>
      <c r="E339">
        <v>2</v>
      </c>
      <c r="F339">
        <v>0</v>
      </c>
      <c r="G339">
        <v>0</v>
      </c>
      <c r="H339">
        <v>2</v>
      </c>
      <c r="I339">
        <v>2</v>
      </c>
      <c r="J339">
        <v>0</v>
      </c>
      <c r="K339">
        <v>0</v>
      </c>
      <c r="L339">
        <v>0</v>
      </c>
    </row>
    <row r="340" spans="1:12">
      <c r="A340" t="s">
        <v>327</v>
      </c>
      <c r="B340" t="s">
        <v>255</v>
      </c>
      <c r="C340" t="s">
        <v>10</v>
      </c>
      <c r="D340" t="s">
        <v>83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763-84C1-4301-B01E-A55C1FEBE296}">
  <sheetPr>
    <tabColor rgb="FF33CCFF"/>
  </sheetPr>
  <dimension ref="A1:Q217"/>
  <sheetViews>
    <sheetView workbookViewId="0">
      <selection sqref="A1:XFD1048576"/>
    </sheetView>
  </sheetViews>
  <sheetFormatPr defaultRowHeight="15"/>
  <cols>
    <col min="1" max="17" width="20" customWidth="1"/>
  </cols>
  <sheetData>
    <row r="1" spans="1:17" ht="15.75">
      <c r="A1" s="317" t="s">
        <v>480</v>
      </c>
      <c r="B1" s="318"/>
      <c r="C1" s="318"/>
      <c r="D1" s="318"/>
    </row>
    <row r="2" spans="1:17" ht="15.75">
      <c r="A2" s="317" t="s">
        <v>481</v>
      </c>
      <c r="B2" s="318"/>
      <c r="C2" s="318"/>
      <c r="D2" s="318"/>
    </row>
    <row r="3" spans="1:17" ht="15.75">
      <c r="A3" s="317" t="s">
        <v>431</v>
      </c>
      <c r="B3" s="318"/>
      <c r="C3" s="318"/>
      <c r="D3" s="318"/>
      <c r="E3" s="318"/>
      <c r="F3" s="318"/>
      <c r="G3" s="318"/>
      <c r="H3" s="318"/>
      <c r="I3" s="318"/>
      <c r="J3" s="318"/>
    </row>
    <row r="4" spans="1:17" ht="15.75">
      <c r="A4" s="317" t="s">
        <v>468</v>
      </c>
      <c r="B4" s="318"/>
      <c r="C4" s="318"/>
      <c r="D4" s="318"/>
    </row>
    <row r="6" spans="1:17" ht="47.25">
      <c r="A6" s="188" t="s">
        <v>229</v>
      </c>
      <c r="B6" s="188" t="s">
        <v>218</v>
      </c>
      <c r="C6" s="188" t="s">
        <v>231</v>
      </c>
      <c r="D6" s="188" t="s">
        <v>469</v>
      </c>
      <c r="E6" s="188" t="s">
        <v>330</v>
      </c>
      <c r="F6" s="188" t="s">
        <v>331</v>
      </c>
      <c r="G6" s="188" t="s">
        <v>332</v>
      </c>
      <c r="H6" s="188" t="s">
        <v>333</v>
      </c>
      <c r="I6" s="188" t="s">
        <v>334</v>
      </c>
      <c r="J6" s="188" t="s">
        <v>335</v>
      </c>
      <c r="K6" s="188" t="s">
        <v>336</v>
      </c>
      <c r="L6" s="188" t="s">
        <v>337</v>
      </c>
      <c r="M6" s="188" t="s">
        <v>338</v>
      </c>
      <c r="N6" s="188" t="s">
        <v>339</v>
      </c>
      <c r="O6" s="188" t="s">
        <v>340</v>
      </c>
      <c r="P6" s="188" t="s">
        <v>341</v>
      </c>
      <c r="Q6" s="188" t="s">
        <v>342</v>
      </c>
    </row>
    <row r="7" spans="1:17" ht="30.75">
      <c r="A7" s="51">
        <v>2409845343</v>
      </c>
      <c r="B7" s="51" t="s">
        <v>296</v>
      </c>
      <c r="C7" s="51" t="s">
        <v>172</v>
      </c>
      <c r="D7" s="52">
        <v>3</v>
      </c>
      <c r="E7" s="53" t="s">
        <v>343</v>
      </c>
      <c r="F7" s="51" t="s">
        <v>355</v>
      </c>
      <c r="G7" s="51" t="s">
        <v>344</v>
      </c>
      <c r="H7" s="52" t="s">
        <v>473</v>
      </c>
      <c r="I7" s="52" t="s">
        <v>476</v>
      </c>
      <c r="J7" s="52">
        <v>83.25</v>
      </c>
      <c r="K7" s="51" t="s">
        <v>143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0.28999999999999998</v>
      </c>
    </row>
    <row r="8" spans="1:17" ht="30.75">
      <c r="A8" s="51">
        <v>2409845343</v>
      </c>
      <c r="B8" s="51" t="s">
        <v>296</v>
      </c>
      <c r="C8" s="51" t="s">
        <v>172</v>
      </c>
      <c r="D8" s="52">
        <v>1</v>
      </c>
      <c r="E8" s="53" t="s">
        <v>343</v>
      </c>
      <c r="F8" s="51" t="s">
        <v>435</v>
      </c>
      <c r="G8" s="51" t="s">
        <v>344</v>
      </c>
      <c r="H8" s="52" t="s">
        <v>345</v>
      </c>
      <c r="I8" s="52" t="s">
        <v>350</v>
      </c>
      <c r="J8" s="52">
        <v>27.91</v>
      </c>
      <c r="K8" s="51" t="s">
        <v>143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0.11</v>
      </c>
    </row>
    <row r="9" spans="1:17" ht="30.75">
      <c r="A9" s="51">
        <v>2409845343</v>
      </c>
      <c r="B9" s="51" t="s">
        <v>296</v>
      </c>
      <c r="C9" s="51" t="s">
        <v>172</v>
      </c>
      <c r="D9" s="52">
        <v>1</v>
      </c>
      <c r="E9" s="53" t="s">
        <v>343</v>
      </c>
      <c r="F9" s="51" t="s">
        <v>59</v>
      </c>
      <c r="G9" s="51" t="s">
        <v>344</v>
      </c>
      <c r="H9" s="52" t="s">
        <v>345</v>
      </c>
      <c r="I9" s="52" t="s">
        <v>347</v>
      </c>
      <c r="J9" s="52">
        <v>8.06</v>
      </c>
      <c r="K9" s="51" t="s">
        <v>143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0.04</v>
      </c>
    </row>
    <row r="10" spans="1:17" ht="30.75">
      <c r="A10" s="51">
        <v>2409845343</v>
      </c>
      <c r="B10" s="51" t="s">
        <v>296</v>
      </c>
      <c r="C10" s="51" t="s">
        <v>172</v>
      </c>
      <c r="D10" s="52">
        <v>0</v>
      </c>
      <c r="E10" s="54" t="s">
        <v>357</v>
      </c>
      <c r="F10" s="51" t="s">
        <v>356</v>
      </c>
      <c r="G10" s="51" t="s">
        <v>344</v>
      </c>
      <c r="H10" s="52" t="s">
        <v>58</v>
      </c>
      <c r="I10" s="52" t="s">
        <v>58</v>
      </c>
      <c r="J10" s="52">
        <v>0</v>
      </c>
      <c r="K10" s="51" t="s">
        <v>143</v>
      </c>
      <c r="L10" s="52">
        <v>0</v>
      </c>
      <c r="M10" s="52">
        <v>0</v>
      </c>
      <c r="N10" s="52">
        <v>3</v>
      </c>
      <c r="O10" s="52">
        <v>0</v>
      </c>
      <c r="P10" s="52">
        <v>0</v>
      </c>
      <c r="Q10" s="52">
        <v>0</v>
      </c>
    </row>
    <row r="11" spans="1:17" ht="30.75">
      <c r="A11" s="51">
        <v>2409845343</v>
      </c>
      <c r="B11" s="51" t="s">
        <v>296</v>
      </c>
      <c r="C11" s="51" t="s">
        <v>172</v>
      </c>
      <c r="D11" s="52">
        <v>0</v>
      </c>
      <c r="E11" s="54" t="s">
        <v>357</v>
      </c>
      <c r="F11" s="51" t="s">
        <v>358</v>
      </c>
      <c r="G11" s="51" t="s">
        <v>344</v>
      </c>
      <c r="H11" s="52" t="s">
        <v>58</v>
      </c>
      <c r="I11" s="52" t="s">
        <v>58</v>
      </c>
      <c r="J11" s="52">
        <v>0</v>
      </c>
      <c r="K11" s="51" t="s">
        <v>143</v>
      </c>
      <c r="L11" s="52">
        <v>0</v>
      </c>
      <c r="M11" s="52">
        <v>0</v>
      </c>
      <c r="N11" s="52">
        <v>6</v>
      </c>
      <c r="O11" s="52">
        <v>0</v>
      </c>
      <c r="P11" s="52">
        <v>0</v>
      </c>
      <c r="Q11" s="52">
        <v>0</v>
      </c>
    </row>
    <row r="12" spans="1:17" ht="30.75">
      <c r="A12" s="51">
        <v>2409845343</v>
      </c>
      <c r="B12" s="51" t="s">
        <v>296</v>
      </c>
      <c r="C12" s="51" t="s">
        <v>172</v>
      </c>
      <c r="D12" s="52">
        <v>0</v>
      </c>
      <c r="E12" s="54" t="s">
        <v>357</v>
      </c>
      <c r="F12" s="51" t="s">
        <v>439</v>
      </c>
      <c r="G12" s="51" t="s">
        <v>344</v>
      </c>
      <c r="H12" s="52" t="s">
        <v>58</v>
      </c>
      <c r="I12" s="52" t="s">
        <v>58</v>
      </c>
      <c r="J12" s="52">
        <v>0</v>
      </c>
      <c r="K12" s="51" t="s">
        <v>143</v>
      </c>
      <c r="L12" s="52">
        <v>0</v>
      </c>
      <c r="M12" s="52">
        <v>0</v>
      </c>
      <c r="N12" s="52">
        <v>1</v>
      </c>
      <c r="O12" s="52">
        <v>0</v>
      </c>
      <c r="P12" s="52">
        <v>0</v>
      </c>
      <c r="Q12" s="52">
        <v>0</v>
      </c>
    </row>
    <row r="13" spans="1:17" ht="30.75">
      <c r="A13" s="51">
        <v>2409845343</v>
      </c>
      <c r="B13" s="51" t="s">
        <v>296</v>
      </c>
      <c r="C13" s="51" t="s">
        <v>172</v>
      </c>
      <c r="D13" s="52">
        <v>0</v>
      </c>
      <c r="E13" s="54" t="s">
        <v>357</v>
      </c>
      <c r="F13" s="51" t="s">
        <v>438</v>
      </c>
      <c r="G13" s="51" t="s">
        <v>344</v>
      </c>
      <c r="H13" s="52" t="s">
        <v>58</v>
      </c>
      <c r="I13" s="52" t="s">
        <v>58</v>
      </c>
      <c r="J13" s="52">
        <v>0</v>
      </c>
      <c r="K13" s="51" t="s">
        <v>143</v>
      </c>
      <c r="L13" s="52">
        <v>0</v>
      </c>
      <c r="M13" s="52">
        <v>0</v>
      </c>
      <c r="N13" s="52">
        <v>2</v>
      </c>
      <c r="O13" s="52">
        <v>0</v>
      </c>
      <c r="P13" s="52">
        <v>0</v>
      </c>
      <c r="Q13" s="52">
        <v>0</v>
      </c>
    </row>
    <row r="14" spans="1:17" ht="45.75">
      <c r="A14" s="51">
        <v>1980924947</v>
      </c>
      <c r="B14" s="51" t="s">
        <v>176</v>
      </c>
      <c r="C14" s="51" t="s">
        <v>362</v>
      </c>
      <c r="D14" s="52">
        <v>1</v>
      </c>
      <c r="E14" s="53" t="s">
        <v>343</v>
      </c>
      <c r="F14" s="51" t="s">
        <v>94</v>
      </c>
      <c r="G14" s="51" t="s">
        <v>344</v>
      </c>
      <c r="H14" s="52" t="s">
        <v>345</v>
      </c>
      <c r="I14" s="52" t="s">
        <v>482</v>
      </c>
      <c r="J14" s="52">
        <v>4.66</v>
      </c>
      <c r="K14" s="51" t="s">
        <v>143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0.04</v>
      </c>
    </row>
    <row r="15" spans="1:17" ht="45.75">
      <c r="A15" s="51">
        <v>1980924947</v>
      </c>
      <c r="B15" s="51" t="s">
        <v>176</v>
      </c>
      <c r="C15" s="51" t="s">
        <v>362</v>
      </c>
      <c r="D15" s="52">
        <v>3</v>
      </c>
      <c r="E15" s="53" t="s">
        <v>343</v>
      </c>
      <c r="F15" s="51" t="s">
        <v>351</v>
      </c>
      <c r="G15" s="51" t="s">
        <v>344</v>
      </c>
      <c r="H15" s="52" t="s">
        <v>376</v>
      </c>
      <c r="I15" s="52" t="s">
        <v>350</v>
      </c>
      <c r="J15" s="52">
        <v>9.7200000000000006</v>
      </c>
      <c r="K15" s="51" t="s">
        <v>143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7.0000000000000007E-2</v>
      </c>
    </row>
    <row r="16" spans="1:17" ht="45.75">
      <c r="A16" s="51">
        <v>1980924947</v>
      </c>
      <c r="B16" s="51" t="s">
        <v>176</v>
      </c>
      <c r="C16" s="51" t="s">
        <v>362</v>
      </c>
      <c r="D16" s="52">
        <v>1</v>
      </c>
      <c r="E16" s="53" t="s">
        <v>343</v>
      </c>
      <c r="F16" s="51" t="s">
        <v>439</v>
      </c>
      <c r="G16" s="51" t="s">
        <v>344</v>
      </c>
      <c r="H16" s="52" t="s">
        <v>345</v>
      </c>
      <c r="I16" s="52" t="s">
        <v>350</v>
      </c>
      <c r="J16" s="52">
        <v>4.8899999999999997</v>
      </c>
      <c r="K16" s="51" t="s">
        <v>143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0.04</v>
      </c>
    </row>
    <row r="17" spans="1:17" ht="45.75">
      <c r="A17" s="51">
        <v>1980924947</v>
      </c>
      <c r="B17" s="51" t="s">
        <v>176</v>
      </c>
      <c r="C17" s="51" t="s">
        <v>362</v>
      </c>
      <c r="D17" s="52">
        <v>1</v>
      </c>
      <c r="E17" s="53" t="s">
        <v>343</v>
      </c>
      <c r="F17" s="51" t="s">
        <v>360</v>
      </c>
      <c r="G17" s="51" t="s">
        <v>344</v>
      </c>
      <c r="H17" s="52" t="s">
        <v>345</v>
      </c>
      <c r="I17" s="52" t="s">
        <v>347</v>
      </c>
      <c r="J17" s="52">
        <v>0.04</v>
      </c>
      <c r="K17" s="51" t="s">
        <v>143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0.04</v>
      </c>
    </row>
    <row r="18" spans="1:17" ht="45.75">
      <c r="A18" s="51">
        <v>1980924947</v>
      </c>
      <c r="B18" s="51" t="s">
        <v>176</v>
      </c>
      <c r="C18" s="51" t="s">
        <v>362</v>
      </c>
      <c r="D18" s="52">
        <v>1</v>
      </c>
      <c r="E18" s="53" t="s">
        <v>343</v>
      </c>
      <c r="F18" s="51" t="s">
        <v>60</v>
      </c>
      <c r="G18" s="51" t="s">
        <v>344</v>
      </c>
      <c r="H18" s="52" t="s">
        <v>345</v>
      </c>
      <c r="I18" s="52" t="s">
        <v>346</v>
      </c>
      <c r="J18" s="52">
        <v>4.63</v>
      </c>
      <c r="K18" s="51" t="s">
        <v>143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0.04</v>
      </c>
    </row>
    <row r="19" spans="1:17" ht="45.75">
      <c r="A19" s="51">
        <v>1980924947</v>
      </c>
      <c r="B19" s="51" t="s">
        <v>176</v>
      </c>
      <c r="C19" s="51" t="s">
        <v>362</v>
      </c>
      <c r="D19" s="52">
        <v>1</v>
      </c>
      <c r="E19" s="53" t="s">
        <v>343</v>
      </c>
      <c r="F19" s="51" t="s">
        <v>436</v>
      </c>
      <c r="G19" s="51" t="s">
        <v>344</v>
      </c>
      <c r="H19" s="52" t="s">
        <v>345</v>
      </c>
      <c r="I19" s="52" t="s">
        <v>58</v>
      </c>
      <c r="J19" s="52">
        <v>5.24</v>
      </c>
      <c r="K19" s="51" t="s">
        <v>143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0.04</v>
      </c>
    </row>
    <row r="20" spans="1:17" ht="45.75">
      <c r="A20" s="51">
        <v>1980924947</v>
      </c>
      <c r="B20" s="51" t="s">
        <v>176</v>
      </c>
      <c r="C20" s="51" t="s">
        <v>362</v>
      </c>
      <c r="D20" s="52">
        <v>1</v>
      </c>
      <c r="E20" s="53" t="s">
        <v>343</v>
      </c>
      <c r="F20" s="51" t="s">
        <v>356</v>
      </c>
      <c r="G20" s="51" t="s">
        <v>344</v>
      </c>
      <c r="H20" s="52" t="s">
        <v>363</v>
      </c>
      <c r="I20" s="52" t="s">
        <v>58</v>
      </c>
      <c r="J20" s="52">
        <v>5.75</v>
      </c>
      <c r="K20" s="51" t="s">
        <v>143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0.04</v>
      </c>
    </row>
    <row r="21" spans="1:17" ht="45.75">
      <c r="A21" s="51">
        <v>1980924947</v>
      </c>
      <c r="B21" s="51" t="s">
        <v>176</v>
      </c>
      <c r="C21" s="51" t="s">
        <v>362</v>
      </c>
      <c r="D21" s="52">
        <v>1</v>
      </c>
      <c r="E21" s="53" t="s">
        <v>343</v>
      </c>
      <c r="F21" s="51" t="s">
        <v>435</v>
      </c>
      <c r="G21" s="51" t="s">
        <v>344</v>
      </c>
      <c r="H21" s="52" t="s">
        <v>345</v>
      </c>
      <c r="I21" s="52" t="s">
        <v>58</v>
      </c>
      <c r="J21" s="52">
        <v>30.71</v>
      </c>
      <c r="K21" s="51" t="s">
        <v>143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7.0000000000000007E-2</v>
      </c>
    </row>
    <row r="22" spans="1:17" ht="45.75">
      <c r="A22" s="51">
        <v>1980924947</v>
      </c>
      <c r="B22" s="51" t="s">
        <v>176</v>
      </c>
      <c r="C22" s="51" t="s">
        <v>362</v>
      </c>
      <c r="D22" s="52">
        <v>0</v>
      </c>
      <c r="E22" s="54" t="s">
        <v>357</v>
      </c>
      <c r="F22" s="51" t="s">
        <v>64</v>
      </c>
      <c r="G22" s="51" t="s">
        <v>344</v>
      </c>
      <c r="H22" s="52" t="s">
        <v>58</v>
      </c>
      <c r="I22" s="52" t="s">
        <v>345</v>
      </c>
      <c r="J22" s="52">
        <v>5.01</v>
      </c>
      <c r="K22" s="51" t="s">
        <v>143</v>
      </c>
      <c r="L22" s="52">
        <v>14</v>
      </c>
      <c r="M22" s="52">
        <v>0</v>
      </c>
      <c r="N22" s="52">
        <v>1</v>
      </c>
      <c r="O22" s="52">
        <v>0</v>
      </c>
      <c r="P22" s="52">
        <v>0</v>
      </c>
      <c r="Q22" s="52">
        <v>7.0000000000000007E-2</v>
      </c>
    </row>
    <row r="23" spans="1:17" ht="45.75">
      <c r="A23" s="51">
        <v>1980925084</v>
      </c>
      <c r="B23" s="51" t="s">
        <v>179</v>
      </c>
      <c r="C23" s="51" t="s">
        <v>362</v>
      </c>
      <c r="D23" s="52">
        <v>2</v>
      </c>
      <c r="E23" s="53" t="s">
        <v>343</v>
      </c>
      <c r="F23" s="51" t="s">
        <v>94</v>
      </c>
      <c r="G23" s="51" t="s">
        <v>344</v>
      </c>
      <c r="H23" s="52" t="s">
        <v>345</v>
      </c>
      <c r="I23" s="52" t="s">
        <v>483</v>
      </c>
      <c r="J23" s="52">
        <v>13.08</v>
      </c>
      <c r="K23" s="51" t="s">
        <v>143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0.08</v>
      </c>
    </row>
    <row r="24" spans="1:17" ht="45.75">
      <c r="A24" s="51">
        <v>1980925084</v>
      </c>
      <c r="B24" s="51" t="s">
        <v>179</v>
      </c>
      <c r="C24" s="51" t="s">
        <v>362</v>
      </c>
      <c r="D24" s="52">
        <v>2</v>
      </c>
      <c r="E24" s="53" t="s">
        <v>343</v>
      </c>
      <c r="F24" s="51" t="s">
        <v>59</v>
      </c>
      <c r="G24" s="51" t="s">
        <v>344</v>
      </c>
      <c r="H24" s="52" t="s">
        <v>345</v>
      </c>
      <c r="I24" s="52" t="s">
        <v>350</v>
      </c>
      <c r="J24" s="52">
        <v>6.58</v>
      </c>
      <c r="K24" s="51" t="s">
        <v>143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0.04</v>
      </c>
    </row>
    <row r="25" spans="1:17" ht="45.75">
      <c r="A25" s="51">
        <v>1980925084</v>
      </c>
      <c r="B25" s="51" t="s">
        <v>179</v>
      </c>
      <c r="C25" s="51" t="s">
        <v>362</v>
      </c>
      <c r="D25" s="52">
        <v>2</v>
      </c>
      <c r="E25" s="53" t="s">
        <v>343</v>
      </c>
      <c r="F25" s="51" t="s">
        <v>360</v>
      </c>
      <c r="G25" s="51" t="s">
        <v>344</v>
      </c>
      <c r="H25" s="52" t="s">
        <v>345</v>
      </c>
      <c r="I25" s="52" t="s">
        <v>347</v>
      </c>
      <c r="J25" s="52">
        <v>6.45</v>
      </c>
      <c r="K25" s="51" t="s">
        <v>143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0.04</v>
      </c>
    </row>
    <row r="26" spans="1:17" ht="45.75">
      <c r="A26" s="51">
        <v>1980925084</v>
      </c>
      <c r="B26" s="51" t="s">
        <v>179</v>
      </c>
      <c r="C26" s="51" t="s">
        <v>362</v>
      </c>
      <c r="D26" s="52">
        <v>5</v>
      </c>
      <c r="E26" s="53" t="s">
        <v>343</v>
      </c>
      <c r="F26" s="51" t="s">
        <v>351</v>
      </c>
      <c r="G26" s="51" t="s">
        <v>344</v>
      </c>
      <c r="H26" s="52" t="s">
        <v>374</v>
      </c>
      <c r="I26" s="52" t="s">
        <v>345</v>
      </c>
      <c r="J26" s="52">
        <v>31.32</v>
      </c>
      <c r="K26" s="51" t="s">
        <v>143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0.15</v>
      </c>
    </row>
    <row r="27" spans="1:17" ht="45.75">
      <c r="A27" s="51">
        <v>1980925084</v>
      </c>
      <c r="B27" s="51" t="s">
        <v>179</v>
      </c>
      <c r="C27" s="51" t="s">
        <v>362</v>
      </c>
      <c r="D27" s="52">
        <v>2</v>
      </c>
      <c r="E27" s="53" t="s">
        <v>343</v>
      </c>
      <c r="F27" s="51" t="s">
        <v>358</v>
      </c>
      <c r="G27" s="51" t="s">
        <v>344</v>
      </c>
      <c r="H27" s="52" t="s">
        <v>345</v>
      </c>
      <c r="I27" s="52" t="s">
        <v>58</v>
      </c>
      <c r="J27" s="52">
        <v>10.26</v>
      </c>
      <c r="K27" s="51" t="s">
        <v>143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0.04</v>
      </c>
    </row>
    <row r="28" spans="1:17" ht="45.75">
      <c r="A28" s="51">
        <v>1980925084</v>
      </c>
      <c r="B28" s="51" t="s">
        <v>179</v>
      </c>
      <c r="C28" s="51" t="s">
        <v>362</v>
      </c>
      <c r="D28" s="52">
        <v>1</v>
      </c>
      <c r="E28" s="53" t="s">
        <v>343</v>
      </c>
      <c r="F28" s="51" t="s">
        <v>352</v>
      </c>
      <c r="G28" s="51" t="s">
        <v>344</v>
      </c>
      <c r="H28" s="52" t="s">
        <v>466</v>
      </c>
      <c r="I28" s="52" t="s">
        <v>58</v>
      </c>
      <c r="J28" s="52">
        <v>8.93</v>
      </c>
      <c r="K28" s="51" t="s">
        <v>143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0.08</v>
      </c>
    </row>
    <row r="29" spans="1:17" ht="45.75">
      <c r="A29" s="51">
        <v>1980925084</v>
      </c>
      <c r="B29" s="51" t="s">
        <v>179</v>
      </c>
      <c r="C29" s="51" t="s">
        <v>362</v>
      </c>
      <c r="D29" s="52">
        <v>9</v>
      </c>
      <c r="E29" s="53" t="s">
        <v>343</v>
      </c>
      <c r="F29" s="51" t="s">
        <v>355</v>
      </c>
      <c r="G29" s="51" t="s">
        <v>344</v>
      </c>
      <c r="H29" s="52" t="s">
        <v>345</v>
      </c>
      <c r="I29" s="52" t="s">
        <v>58</v>
      </c>
      <c r="J29" s="52">
        <v>63.4</v>
      </c>
      <c r="K29" s="51" t="s">
        <v>143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0.31</v>
      </c>
    </row>
    <row r="30" spans="1:17" ht="45.75">
      <c r="A30" s="51">
        <v>1980925084</v>
      </c>
      <c r="B30" s="51" t="s">
        <v>179</v>
      </c>
      <c r="C30" s="51" t="s">
        <v>362</v>
      </c>
      <c r="D30" s="52">
        <v>2</v>
      </c>
      <c r="E30" s="53" t="s">
        <v>343</v>
      </c>
      <c r="F30" s="51" t="s">
        <v>64</v>
      </c>
      <c r="G30" s="51" t="s">
        <v>344</v>
      </c>
      <c r="H30" s="52" t="s">
        <v>471</v>
      </c>
      <c r="I30" s="52" t="s">
        <v>58</v>
      </c>
      <c r="J30" s="52">
        <v>18.239999999999998</v>
      </c>
      <c r="K30" s="51" t="s">
        <v>143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0.08</v>
      </c>
    </row>
    <row r="31" spans="1:17" ht="45.75">
      <c r="A31" s="51">
        <v>1980925084</v>
      </c>
      <c r="B31" s="51" t="s">
        <v>179</v>
      </c>
      <c r="C31" s="51" t="s">
        <v>362</v>
      </c>
      <c r="D31" s="52">
        <v>1</v>
      </c>
      <c r="E31" s="53" t="s">
        <v>343</v>
      </c>
      <c r="F31" s="51" t="s">
        <v>361</v>
      </c>
      <c r="G31" s="51" t="s">
        <v>344</v>
      </c>
      <c r="H31" s="52" t="s">
        <v>374</v>
      </c>
      <c r="I31" s="52" t="s">
        <v>58</v>
      </c>
      <c r="J31" s="52">
        <v>11.63</v>
      </c>
      <c r="K31" s="51" t="s">
        <v>143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0.04</v>
      </c>
    </row>
    <row r="32" spans="1:17" ht="45.75">
      <c r="A32" s="51">
        <v>2419349453</v>
      </c>
      <c r="B32" s="51" t="s">
        <v>13</v>
      </c>
      <c r="C32" s="51" t="s">
        <v>369</v>
      </c>
      <c r="D32" s="52">
        <v>3</v>
      </c>
      <c r="E32" s="53" t="s">
        <v>343</v>
      </c>
      <c r="F32" s="51" t="s">
        <v>355</v>
      </c>
      <c r="G32" s="51" t="s">
        <v>344</v>
      </c>
      <c r="H32" s="52" t="s">
        <v>474</v>
      </c>
      <c r="I32" s="52" t="s">
        <v>472</v>
      </c>
      <c r="J32" s="52">
        <v>27.18</v>
      </c>
      <c r="K32" s="51" t="s">
        <v>143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0.11</v>
      </c>
    </row>
    <row r="33" spans="1:17" ht="45.75">
      <c r="A33" s="51">
        <v>2419349453</v>
      </c>
      <c r="B33" s="51" t="s">
        <v>13</v>
      </c>
      <c r="C33" s="51" t="s">
        <v>369</v>
      </c>
      <c r="D33" s="52">
        <v>1</v>
      </c>
      <c r="E33" s="53" t="s">
        <v>343</v>
      </c>
      <c r="F33" s="51" t="s">
        <v>94</v>
      </c>
      <c r="G33" s="51" t="s">
        <v>344</v>
      </c>
      <c r="H33" s="52" t="s">
        <v>345</v>
      </c>
      <c r="I33" s="52" t="s">
        <v>350</v>
      </c>
      <c r="J33" s="52">
        <v>7.67</v>
      </c>
      <c r="K33" s="51" t="s">
        <v>143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0.04</v>
      </c>
    </row>
    <row r="34" spans="1:17" ht="45.75">
      <c r="A34" s="51">
        <v>2419349453</v>
      </c>
      <c r="B34" s="51" t="s">
        <v>13</v>
      </c>
      <c r="C34" s="51" t="s">
        <v>369</v>
      </c>
      <c r="D34" s="52">
        <v>1</v>
      </c>
      <c r="E34" s="53" t="s">
        <v>343</v>
      </c>
      <c r="F34" s="51" t="s">
        <v>352</v>
      </c>
      <c r="G34" s="51" t="s">
        <v>344</v>
      </c>
      <c r="H34" s="52" t="s">
        <v>345</v>
      </c>
      <c r="I34" s="52" t="s">
        <v>484</v>
      </c>
      <c r="J34" s="52">
        <v>47.89</v>
      </c>
      <c r="K34" s="51" t="s">
        <v>143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0.25</v>
      </c>
    </row>
    <row r="35" spans="1:17" ht="45.75">
      <c r="A35" s="51">
        <v>2419349453</v>
      </c>
      <c r="B35" s="51" t="s">
        <v>13</v>
      </c>
      <c r="C35" s="51" t="s">
        <v>369</v>
      </c>
      <c r="D35" s="52">
        <v>1</v>
      </c>
      <c r="E35" s="53" t="s">
        <v>343</v>
      </c>
      <c r="F35" s="51" t="s">
        <v>359</v>
      </c>
      <c r="G35" s="51" t="s">
        <v>344</v>
      </c>
      <c r="H35" s="52" t="s">
        <v>471</v>
      </c>
      <c r="I35" s="52" t="s">
        <v>345</v>
      </c>
      <c r="J35" s="52">
        <v>8.2200000000000006</v>
      </c>
      <c r="K35" s="51" t="s">
        <v>143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0.04</v>
      </c>
    </row>
    <row r="36" spans="1:17" ht="45.75">
      <c r="A36" s="51">
        <v>2419349453</v>
      </c>
      <c r="B36" s="51" t="s">
        <v>13</v>
      </c>
      <c r="C36" s="51" t="s">
        <v>369</v>
      </c>
      <c r="D36" s="52">
        <v>1</v>
      </c>
      <c r="E36" s="53" t="s">
        <v>343</v>
      </c>
      <c r="F36" s="51" t="s">
        <v>360</v>
      </c>
      <c r="G36" s="51" t="s">
        <v>344</v>
      </c>
      <c r="H36" s="52" t="s">
        <v>345</v>
      </c>
      <c r="I36" s="52" t="s">
        <v>58</v>
      </c>
      <c r="J36" s="52">
        <v>7.26</v>
      </c>
      <c r="K36" s="51" t="s">
        <v>143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0.04</v>
      </c>
    </row>
    <row r="37" spans="1:17" ht="45.75">
      <c r="A37" s="51">
        <v>2419349453</v>
      </c>
      <c r="B37" s="51" t="s">
        <v>13</v>
      </c>
      <c r="C37" s="51" t="s">
        <v>369</v>
      </c>
      <c r="D37" s="52">
        <v>0</v>
      </c>
      <c r="E37" s="54" t="s">
        <v>357</v>
      </c>
      <c r="F37" s="51" t="s">
        <v>361</v>
      </c>
      <c r="G37" s="51" t="s">
        <v>344</v>
      </c>
      <c r="H37" s="52" t="s">
        <v>58</v>
      </c>
      <c r="I37" s="52" t="s">
        <v>58</v>
      </c>
      <c r="J37" s="52">
        <v>0</v>
      </c>
      <c r="K37" s="51" t="s">
        <v>143</v>
      </c>
      <c r="L37" s="52">
        <v>0</v>
      </c>
      <c r="M37" s="52">
        <v>0</v>
      </c>
      <c r="N37" s="52">
        <v>4</v>
      </c>
      <c r="O37" s="52">
        <v>0</v>
      </c>
      <c r="P37" s="52">
        <v>0</v>
      </c>
      <c r="Q37" s="52">
        <v>0</v>
      </c>
    </row>
    <row r="38" spans="1:17" ht="45.75">
      <c r="A38" s="51">
        <v>2419349453</v>
      </c>
      <c r="B38" s="51" t="s">
        <v>13</v>
      </c>
      <c r="C38" s="51" t="s">
        <v>369</v>
      </c>
      <c r="D38" s="52">
        <v>0</v>
      </c>
      <c r="E38" s="54" t="s">
        <v>357</v>
      </c>
      <c r="F38" s="51" t="s">
        <v>351</v>
      </c>
      <c r="G38" s="51" t="s">
        <v>344</v>
      </c>
      <c r="H38" s="52" t="s">
        <v>58</v>
      </c>
      <c r="I38" s="52" t="s">
        <v>58</v>
      </c>
      <c r="J38" s="52">
        <v>7.83</v>
      </c>
      <c r="K38" s="51" t="s">
        <v>143</v>
      </c>
      <c r="L38" s="52">
        <v>84</v>
      </c>
      <c r="M38" s="52">
        <v>0</v>
      </c>
      <c r="N38" s="52">
        <v>3</v>
      </c>
      <c r="O38" s="52">
        <v>0</v>
      </c>
      <c r="P38" s="52">
        <v>0</v>
      </c>
      <c r="Q38" s="52">
        <v>0.04</v>
      </c>
    </row>
    <row r="39" spans="1:17" ht="45.75">
      <c r="A39" s="51">
        <v>2419349453</v>
      </c>
      <c r="B39" s="51" t="s">
        <v>13</v>
      </c>
      <c r="C39" s="51" t="s">
        <v>369</v>
      </c>
      <c r="D39" s="52">
        <v>0</v>
      </c>
      <c r="E39" s="54" t="s">
        <v>357</v>
      </c>
      <c r="F39" s="51" t="s">
        <v>436</v>
      </c>
      <c r="G39" s="51" t="s">
        <v>344</v>
      </c>
      <c r="H39" s="52" t="s">
        <v>58</v>
      </c>
      <c r="I39" s="52" t="s">
        <v>58</v>
      </c>
      <c r="J39" s="52">
        <v>0</v>
      </c>
      <c r="K39" s="51" t="s">
        <v>143</v>
      </c>
      <c r="L39" s="52">
        <v>0</v>
      </c>
      <c r="M39" s="52">
        <v>0</v>
      </c>
      <c r="N39" s="52">
        <v>1</v>
      </c>
      <c r="O39" s="52">
        <v>0</v>
      </c>
      <c r="P39" s="52">
        <v>0</v>
      </c>
      <c r="Q39" s="52">
        <v>0</v>
      </c>
    </row>
    <row r="40" spans="1:17" ht="45.75">
      <c r="A40" s="51">
        <v>2419349453</v>
      </c>
      <c r="B40" s="51" t="s">
        <v>13</v>
      </c>
      <c r="C40" s="51" t="s">
        <v>369</v>
      </c>
      <c r="D40" s="52">
        <v>0</v>
      </c>
      <c r="E40" s="54" t="s">
        <v>357</v>
      </c>
      <c r="F40" s="51" t="s">
        <v>437</v>
      </c>
      <c r="G40" s="51" t="s">
        <v>344</v>
      </c>
      <c r="H40" s="52" t="s">
        <v>58</v>
      </c>
      <c r="I40" s="52" t="s">
        <v>58</v>
      </c>
      <c r="J40" s="52">
        <v>0</v>
      </c>
      <c r="K40" s="51" t="s">
        <v>143</v>
      </c>
      <c r="L40" s="52">
        <v>0</v>
      </c>
      <c r="M40" s="52">
        <v>0</v>
      </c>
      <c r="N40" s="52">
        <v>1</v>
      </c>
      <c r="O40" s="52">
        <v>0</v>
      </c>
      <c r="P40" s="52">
        <v>0</v>
      </c>
      <c r="Q40" s="52">
        <v>0</v>
      </c>
    </row>
    <row r="41" spans="1:17" ht="45.75">
      <c r="A41" s="51">
        <v>2419349453</v>
      </c>
      <c r="B41" s="51" t="s">
        <v>13</v>
      </c>
      <c r="C41" s="51" t="s">
        <v>369</v>
      </c>
      <c r="D41" s="52">
        <v>0</v>
      </c>
      <c r="E41" s="54" t="s">
        <v>357</v>
      </c>
      <c r="F41" s="51" t="s">
        <v>60</v>
      </c>
      <c r="G41" s="51" t="s">
        <v>344</v>
      </c>
      <c r="H41" s="52" t="s">
        <v>58</v>
      </c>
      <c r="I41" s="52" t="s">
        <v>58</v>
      </c>
      <c r="J41" s="52">
        <v>0</v>
      </c>
      <c r="K41" s="51" t="s">
        <v>143</v>
      </c>
      <c r="L41" s="52">
        <v>0</v>
      </c>
      <c r="M41" s="52">
        <v>0</v>
      </c>
      <c r="N41" s="52">
        <v>2</v>
      </c>
      <c r="O41" s="52">
        <v>0</v>
      </c>
      <c r="P41" s="52">
        <v>0</v>
      </c>
      <c r="Q41" s="52">
        <v>0</v>
      </c>
    </row>
    <row r="42" spans="1:17" ht="45.75">
      <c r="A42" s="51">
        <v>2419349453</v>
      </c>
      <c r="B42" s="51" t="s">
        <v>13</v>
      </c>
      <c r="C42" s="51" t="s">
        <v>369</v>
      </c>
      <c r="D42" s="52">
        <v>0</v>
      </c>
      <c r="E42" s="54" t="s">
        <v>357</v>
      </c>
      <c r="F42" s="51" t="s">
        <v>354</v>
      </c>
      <c r="G42" s="51" t="s">
        <v>344</v>
      </c>
      <c r="H42" s="52" t="s">
        <v>58</v>
      </c>
      <c r="I42" s="52" t="s">
        <v>58</v>
      </c>
      <c r="J42" s="52">
        <v>0</v>
      </c>
      <c r="K42" s="51" t="s">
        <v>143</v>
      </c>
      <c r="L42" s="52">
        <v>0</v>
      </c>
      <c r="M42" s="52">
        <v>0</v>
      </c>
      <c r="N42" s="52">
        <v>3</v>
      </c>
      <c r="O42" s="52">
        <v>0</v>
      </c>
      <c r="P42" s="52">
        <v>0</v>
      </c>
      <c r="Q42" s="52">
        <v>0</v>
      </c>
    </row>
    <row r="43" spans="1:17" ht="45.75">
      <c r="A43" s="51">
        <v>2415742649</v>
      </c>
      <c r="B43" s="51" t="s">
        <v>27</v>
      </c>
      <c r="C43" s="51" t="s">
        <v>117</v>
      </c>
      <c r="D43" s="52">
        <v>1</v>
      </c>
      <c r="E43" s="53" t="s">
        <v>343</v>
      </c>
      <c r="F43" s="51" t="s">
        <v>359</v>
      </c>
      <c r="G43" s="51" t="s">
        <v>344</v>
      </c>
      <c r="H43" s="52" t="s">
        <v>433</v>
      </c>
      <c r="I43" s="52" t="s">
        <v>485</v>
      </c>
      <c r="J43" s="52">
        <v>61.86</v>
      </c>
      <c r="K43" s="51" t="s">
        <v>143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0.11</v>
      </c>
    </row>
    <row r="44" spans="1:17" ht="45.75">
      <c r="A44" s="51">
        <v>2415742649</v>
      </c>
      <c r="B44" s="51" t="s">
        <v>27</v>
      </c>
      <c r="C44" s="51" t="s">
        <v>117</v>
      </c>
      <c r="D44" s="52">
        <v>1</v>
      </c>
      <c r="E44" s="53" t="s">
        <v>343</v>
      </c>
      <c r="F44" s="51" t="s">
        <v>432</v>
      </c>
      <c r="G44" s="51" t="s">
        <v>344</v>
      </c>
      <c r="H44" s="52" t="s">
        <v>345</v>
      </c>
      <c r="I44" s="52" t="s">
        <v>347</v>
      </c>
      <c r="J44" s="52">
        <v>18.16</v>
      </c>
      <c r="K44" s="51" t="s">
        <v>143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0.04</v>
      </c>
    </row>
    <row r="45" spans="1:17" ht="45.75">
      <c r="A45" s="51">
        <v>2415742649</v>
      </c>
      <c r="B45" s="51" t="s">
        <v>27</v>
      </c>
      <c r="C45" s="51" t="s">
        <v>117</v>
      </c>
      <c r="D45" s="52">
        <v>1</v>
      </c>
      <c r="E45" s="53" t="s">
        <v>343</v>
      </c>
      <c r="F45" s="51" t="s">
        <v>435</v>
      </c>
      <c r="G45" s="51" t="s">
        <v>344</v>
      </c>
      <c r="H45" s="52" t="s">
        <v>345</v>
      </c>
      <c r="I45" s="52" t="s">
        <v>346</v>
      </c>
      <c r="J45" s="52">
        <v>16.84</v>
      </c>
      <c r="K45" s="51" t="s">
        <v>143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0.04</v>
      </c>
    </row>
    <row r="46" spans="1:17" ht="45.75">
      <c r="A46" s="51">
        <v>2415742649</v>
      </c>
      <c r="B46" s="51" t="s">
        <v>27</v>
      </c>
      <c r="C46" s="51" t="s">
        <v>117</v>
      </c>
      <c r="D46" s="52">
        <v>1</v>
      </c>
      <c r="E46" s="53" t="s">
        <v>343</v>
      </c>
      <c r="F46" s="51" t="s">
        <v>348</v>
      </c>
      <c r="G46" s="51" t="s">
        <v>344</v>
      </c>
      <c r="H46" s="52" t="s">
        <v>486</v>
      </c>
      <c r="I46" s="52" t="s">
        <v>345</v>
      </c>
      <c r="J46" s="52">
        <v>41.54</v>
      </c>
      <c r="K46" s="51" t="s">
        <v>143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7.0000000000000007E-2</v>
      </c>
    </row>
    <row r="47" spans="1:17" ht="45.75">
      <c r="A47" s="51">
        <v>2415742649</v>
      </c>
      <c r="B47" s="51" t="s">
        <v>27</v>
      </c>
      <c r="C47" s="51" t="s">
        <v>117</v>
      </c>
      <c r="D47" s="52">
        <v>2</v>
      </c>
      <c r="E47" s="53" t="s">
        <v>343</v>
      </c>
      <c r="F47" s="51" t="s">
        <v>351</v>
      </c>
      <c r="G47" s="51" t="s">
        <v>344</v>
      </c>
      <c r="H47" s="52" t="s">
        <v>433</v>
      </c>
      <c r="I47" s="52" t="s">
        <v>58</v>
      </c>
      <c r="J47" s="52">
        <v>31.53</v>
      </c>
      <c r="K47" s="51" t="s">
        <v>143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7.0000000000000007E-2</v>
      </c>
    </row>
    <row r="48" spans="1:17" ht="45.75">
      <c r="A48" s="51">
        <v>2415742649</v>
      </c>
      <c r="B48" s="51" t="s">
        <v>27</v>
      </c>
      <c r="C48" s="51" t="s">
        <v>117</v>
      </c>
      <c r="D48" s="52">
        <v>3</v>
      </c>
      <c r="E48" s="53" t="s">
        <v>343</v>
      </c>
      <c r="F48" s="51" t="s">
        <v>355</v>
      </c>
      <c r="G48" s="51" t="s">
        <v>344</v>
      </c>
      <c r="H48" s="52" t="s">
        <v>345</v>
      </c>
      <c r="I48" s="52" t="s">
        <v>58</v>
      </c>
      <c r="J48" s="52">
        <v>16.5</v>
      </c>
      <c r="K48" s="51" t="s">
        <v>143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0.04</v>
      </c>
    </row>
    <row r="49" spans="1:17" ht="45.75">
      <c r="A49" s="51">
        <v>2415742649</v>
      </c>
      <c r="B49" s="51" t="s">
        <v>27</v>
      </c>
      <c r="C49" s="51" t="s">
        <v>117</v>
      </c>
      <c r="D49" s="52">
        <v>1</v>
      </c>
      <c r="E49" s="53" t="s">
        <v>343</v>
      </c>
      <c r="F49" s="51" t="s">
        <v>358</v>
      </c>
      <c r="G49" s="51" t="s">
        <v>344</v>
      </c>
      <c r="H49" s="52" t="s">
        <v>345</v>
      </c>
      <c r="I49" s="52" t="s">
        <v>58</v>
      </c>
      <c r="J49" s="52">
        <v>26.8</v>
      </c>
      <c r="K49" s="51" t="s">
        <v>143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0.04</v>
      </c>
    </row>
    <row r="50" spans="1:17" ht="45.75">
      <c r="A50" s="51">
        <v>2415742649</v>
      </c>
      <c r="B50" s="51" t="s">
        <v>27</v>
      </c>
      <c r="C50" s="51" t="s">
        <v>117</v>
      </c>
      <c r="D50" s="52">
        <v>0</v>
      </c>
      <c r="E50" s="54" t="s">
        <v>357</v>
      </c>
      <c r="F50" s="51" t="s">
        <v>437</v>
      </c>
      <c r="G50" s="51" t="s">
        <v>344</v>
      </c>
      <c r="H50" s="52" t="s">
        <v>58</v>
      </c>
      <c r="I50" s="52" t="s">
        <v>58</v>
      </c>
      <c r="J50" s="52">
        <v>0</v>
      </c>
      <c r="K50" s="51" t="s">
        <v>143</v>
      </c>
      <c r="L50" s="52">
        <v>0</v>
      </c>
      <c r="M50" s="52">
        <v>0</v>
      </c>
      <c r="N50" s="52">
        <v>2</v>
      </c>
      <c r="O50" s="52">
        <v>0</v>
      </c>
      <c r="P50" s="52">
        <v>0</v>
      </c>
      <c r="Q50" s="52">
        <v>0</v>
      </c>
    </row>
    <row r="51" spans="1:17" ht="45.75">
      <c r="A51" s="51">
        <v>2415742649</v>
      </c>
      <c r="B51" s="51" t="s">
        <v>27</v>
      </c>
      <c r="C51" s="51" t="s">
        <v>117</v>
      </c>
      <c r="D51" s="52">
        <v>0</v>
      </c>
      <c r="E51" s="54" t="s">
        <v>357</v>
      </c>
      <c r="F51" s="51" t="s">
        <v>354</v>
      </c>
      <c r="G51" s="51" t="s">
        <v>344</v>
      </c>
      <c r="H51" s="52" t="s">
        <v>58</v>
      </c>
      <c r="I51" s="52" t="s">
        <v>58</v>
      </c>
      <c r="J51" s="52">
        <v>27.21</v>
      </c>
      <c r="K51" s="51" t="s">
        <v>143</v>
      </c>
      <c r="L51" s="52">
        <v>28</v>
      </c>
      <c r="M51" s="52">
        <v>0</v>
      </c>
      <c r="N51" s="52">
        <v>1</v>
      </c>
      <c r="O51" s="52">
        <v>0</v>
      </c>
      <c r="P51" s="52">
        <v>0</v>
      </c>
      <c r="Q51" s="52">
        <v>0.04</v>
      </c>
    </row>
    <row r="52" spans="1:17" ht="45.75">
      <c r="A52" s="51">
        <v>2415742649</v>
      </c>
      <c r="B52" s="51" t="s">
        <v>27</v>
      </c>
      <c r="C52" s="51" t="s">
        <v>117</v>
      </c>
      <c r="D52" s="52">
        <v>0</v>
      </c>
      <c r="E52" s="54" t="s">
        <v>357</v>
      </c>
      <c r="F52" s="51" t="s">
        <v>438</v>
      </c>
      <c r="G52" s="51" t="s">
        <v>344</v>
      </c>
      <c r="H52" s="52" t="s">
        <v>58</v>
      </c>
      <c r="I52" s="52" t="s">
        <v>58</v>
      </c>
      <c r="J52" s="52">
        <v>0</v>
      </c>
      <c r="K52" s="51" t="s">
        <v>143</v>
      </c>
      <c r="L52" s="52">
        <v>0</v>
      </c>
      <c r="M52" s="52">
        <v>0</v>
      </c>
      <c r="N52" s="52">
        <v>2</v>
      </c>
      <c r="O52" s="52">
        <v>0</v>
      </c>
      <c r="P52" s="52">
        <v>0</v>
      </c>
      <c r="Q52" s="52">
        <v>0</v>
      </c>
    </row>
    <row r="53" spans="1:17" ht="45.75">
      <c r="A53" s="51">
        <v>2415742649</v>
      </c>
      <c r="B53" s="51" t="s">
        <v>27</v>
      </c>
      <c r="C53" s="51" t="s">
        <v>117</v>
      </c>
      <c r="D53" s="52">
        <v>0</v>
      </c>
      <c r="E53" s="54" t="s">
        <v>357</v>
      </c>
      <c r="F53" s="51" t="s">
        <v>436</v>
      </c>
      <c r="G53" s="51" t="s">
        <v>344</v>
      </c>
      <c r="H53" s="52" t="s">
        <v>58</v>
      </c>
      <c r="I53" s="52" t="s">
        <v>58</v>
      </c>
      <c r="J53" s="52">
        <v>0</v>
      </c>
      <c r="K53" s="51" t="s">
        <v>143</v>
      </c>
      <c r="L53" s="52">
        <v>0</v>
      </c>
      <c r="M53" s="52">
        <v>0</v>
      </c>
      <c r="N53" s="52">
        <v>1</v>
      </c>
      <c r="O53" s="52">
        <v>0</v>
      </c>
      <c r="P53" s="52">
        <v>0</v>
      </c>
      <c r="Q53" s="52">
        <v>0</v>
      </c>
    </row>
    <row r="54" spans="1:17" ht="45.75">
      <c r="A54" s="51">
        <v>2415742649</v>
      </c>
      <c r="B54" s="51" t="s">
        <v>27</v>
      </c>
      <c r="C54" s="51" t="s">
        <v>117</v>
      </c>
      <c r="D54" s="52">
        <v>0</v>
      </c>
      <c r="E54" s="54" t="s">
        <v>357</v>
      </c>
      <c r="F54" s="51" t="s">
        <v>352</v>
      </c>
      <c r="G54" s="51" t="s">
        <v>344</v>
      </c>
      <c r="H54" s="52" t="s">
        <v>58</v>
      </c>
      <c r="I54" s="52" t="s">
        <v>58</v>
      </c>
      <c r="J54" s="52">
        <v>0</v>
      </c>
      <c r="K54" s="51" t="s">
        <v>143</v>
      </c>
      <c r="L54" s="52">
        <v>0</v>
      </c>
      <c r="M54" s="52">
        <v>0</v>
      </c>
      <c r="N54" s="52">
        <v>2</v>
      </c>
      <c r="O54" s="52">
        <v>0</v>
      </c>
      <c r="P54" s="52">
        <v>0</v>
      </c>
      <c r="Q54" s="52">
        <v>0</v>
      </c>
    </row>
    <row r="55" spans="1:17" ht="45.75">
      <c r="A55" s="51">
        <v>2415742649</v>
      </c>
      <c r="B55" s="51" t="s">
        <v>27</v>
      </c>
      <c r="C55" s="51" t="s">
        <v>117</v>
      </c>
      <c r="D55" s="52">
        <v>0</v>
      </c>
      <c r="E55" s="54" t="s">
        <v>357</v>
      </c>
      <c r="F55" s="51" t="s">
        <v>64</v>
      </c>
      <c r="G55" s="51" t="s">
        <v>344</v>
      </c>
      <c r="H55" s="52" t="s">
        <v>58</v>
      </c>
      <c r="I55" s="52" t="s">
        <v>58</v>
      </c>
      <c r="J55" s="52">
        <v>0</v>
      </c>
      <c r="K55" s="51" t="s">
        <v>143</v>
      </c>
      <c r="L55" s="52">
        <v>0</v>
      </c>
      <c r="M55" s="52">
        <v>0</v>
      </c>
      <c r="N55" s="52">
        <v>2</v>
      </c>
      <c r="O55" s="52">
        <v>0</v>
      </c>
      <c r="P55" s="52">
        <v>0</v>
      </c>
      <c r="Q55" s="52">
        <v>0</v>
      </c>
    </row>
    <row r="56" spans="1:17" ht="45.75">
      <c r="A56" s="51">
        <v>2415742649</v>
      </c>
      <c r="B56" s="51" t="s">
        <v>27</v>
      </c>
      <c r="C56" s="51" t="s">
        <v>117</v>
      </c>
      <c r="D56" s="52">
        <v>0</v>
      </c>
      <c r="E56" s="54" t="s">
        <v>357</v>
      </c>
      <c r="F56" s="51" t="s">
        <v>349</v>
      </c>
      <c r="G56" s="51" t="s">
        <v>344</v>
      </c>
      <c r="H56" s="52" t="s">
        <v>58</v>
      </c>
      <c r="I56" s="52" t="s">
        <v>58</v>
      </c>
      <c r="J56" s="52">
        <v>0</v>
      </c>
      <c r="K56" s="51" t="s">
        <v>143</v>
      </c>
      <c r="L56" s="52">
        <v>0</v>
      </c>
      <c r="M56" s="52">
        <v>0</v>
      </c>
      <c r="N56" s="52">
        <v>1</v>
      </c>
      <c r="O56" s="52">
        <v>0</v>
      </c>
      <c r="P56" s="52">
        <v>0</v>
      </c>
      <c r="Q56" s="52">
        <v>0</v>
      </c>
    </row>
    <row r="57" spans="1:17" ht="45.75">
      <c r="A57" s="51">
        <v>2415742649</v>
      </c>
      <c r="B57" s="51" t="s">
        <v>27</v>
      </c>
      <c r="C57" s="51" t="s">
        <v>117</v>
      </c>
      <c r="D57" s="52">
        <v>0</v>
      </c>
      <c r="E57" s="54" t="s">
        <v>357</v>
      </c>
      <c r="F57" s="51" t="s">
        <v>60</v>
      </c>
      <c r="G57" s="51" t="s">
        <v>344</v>
      </c>
      <c r="H57" s="52" t="s">
        <v>58</v>
      </c>
      <c r="I57" s="52" t="s">
        <v>58</v>
      </c>
      <c r="J57" s="52">
        <v>0</v>
      </c>
      <c r="K57" s="51" t="s">
        <v>143</v>
      </c>
      <c r="L57" s="52">
        <v>0</v>
      </c>
      <c r="M57" s="52">
        <v>0</v>
      </c>
      <c r="N57" s="52">
        <v>1</v>
      </c>
      <c r="O57" s="52">
        <v>0</v>
      </c>
      <c r="P57" s="52">
        <v>0</v>
      </c>
      <c r="Q57" s="52">
        <v>0</v>
      </c>
    </row>
    <row r="58" spans="1:17" ht="45.75">
      <c r="A58" s="51">
        <v>2415742649</v>
      </c>
      <c r="B58" s="51" t="s">
        <v>27</v>
      </c>
      <c r="C58" s="51" t="s">
        <v>117</v>
      </c>
      <c r="D58" s="52">
        <v>0</v>
      </c>
      <c r="E58" s="54" t="s">
        <v>357</v>
      </c>
      <c r="F58" s="51" t="s">
        <v>356</v>
      </c>
      <c r="G58" s="51" t="s">
        <v>344</v>
      </c>
      <c r="H58" s="52" t="s">
        <v>58</v>
      </c>
      <c r="I58" s="52" t="s">
        <v>58</v>
      </c>
      <c r="J58" s="52">
        <v>0</v>
      </c>
      <c r="K58" s="51" t="s">
        <v>143</v>
      </c>
      <c r="L58" s="52">
        <v>0</v>
      </c>
      <c r="M58" s="52">
        <v>0</v>
      </c>
      <c r="N58" s="52">
        <v>1</v>
      </c>
      <c r="O58" s="52">
        <v>0</v>
      </c>
      <c r="P58" s="52">
        <v>0</v>
      </c>
      <c r="Q58" s="52">
        <v>0</v>
      </c>
    </row>
    <row r="59" spans="1:17" ht="45.75">
      <c r="A59" s="51">
        <v>2415743140</v>
      </c>
      <c r="B59" s="51" t="s">
        <v>28</v>
      </c>
      <c r="C59" s="51" t="s">
        <v>117</v>
      </c>
      <c r="D59" s="52">
        <v>1</v>
      </c>
      <c r="E59" s="53" t="s">
        <v>343</v>
      </c>
      <c r="F59" s="51" t="s">
        <v>94</v>
      </c>
      <c r="G59" s="51" t="s">
        <v>344</v>
      </c>
      <c r="H59" s="52" t="s">
        <v>345</v>
      </c>
      <c r="I59" s="52" t="s">
        <v>350</v>
      </c>
      <c r="J59" s="52">
        <v>12.83</v>
      </c>
      <c r="K59" s="51" t="s">
        <v>143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0.04</v>
      </c>
    </row>
    <row r="60" spans="1:17" ht="45.75">
      <c r="A60" s="51">
        <v>2415743140</v>
      </c>
      <c r="B60" s="51" t="s">
        <v>28</v>
      </c>
      <c r="C60" s="51" t="s">
        <v>117</v>
      </c>
      <c r="D60" s="52">
        <v>1</v>
      </c>
      <c r="E60" s="53" t="s">
        <v>343</v>
      </c>
      <c r="F60" s="51" t="s">
        <v>439</v>
      </c>
      <c r="G60" s="51" t="s">
        <v>344</v>
      </c>
      <c r="H60" s="52" t="s">
        <v>345</v>
      </c>
      <c r="I60" s="52" t="s">
        <v>350</v>
      </c>
      <c r="J60" s="52">
        <v>19.149999999999999</v>
      </c>
      <c r="K60" s="51" t="s">
        <v>143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0.04</v>
      </c>
    </row>
    <row r="61" spans="1:17" ht="45.75">
      <c r="A61" s="51">
        <v>2415743140</v>
      </c>
      <c r="B61" s="51" t="s">
        <v>28</v>
      </c>
      <c r="C61" s="51" t="s">
        <v>117</v>
      </c>
      <c r="D61" s="52">
        <v>1</v>
      </c>
      <c r="E61" s="53" t="s">
        <v>343</v>
      </c>
      <c r="F61" s="51" t="s">
        <v>360</v>
      </c>
      <c r="G61" s="51" t="s">
        <v>344</v>
      </c>
      <c r="H61" s="52" t="s">
        <v>345</v>
      </c>
      <c r="I61" s="52" t="s">
        <v>347</v>
      </c>
      <c r="J61" s="52">
        <v>13.42</v>
      </c>
      <c r="K61" s="51" t="s">
        <v>143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0.04</v>
      </c>
    </row>
    <row r="62" spans="1:17" ht="45.75">
      <c r="A62" s="51">
        <v>2415743140</v>
      </c>
      <c r="B62" s="51" t="s">
        <v>28</v>
      </c>
      <c r="C62" s="51" t="s">
        <v>117</v>
      </c>
      <c r="D62" s="52">
        <v>1</v>
      </c>
      <c r="E62" s="53" t="s">
        <v>343</v>
      </c>
      <c r="F62" s="51" t="s">
        <v>359</v>
      </c>
      <c r="G62" s="51" t="s">
        <v>344</v>
      </c>
      <c r="H62" s="52" t="s">
        <v>345</v>
      </c>
      <c r="I62" s="52" t="s">
        <v>58</v>
      </c>
      <c r="J62" s="52">
        <v>30.04</v>
      </c>
      <c r="K62" s="51" t="s">
        <v>143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0.04</v>
      </c>
    </row>
    <row r="63" spans="1:17" ht="45.75">
      <c r="A63" s="51">
        <v>2415743140</v>
      </c>
      <c r="B63" s="51" t="s">
        <v>28</v>
      </c>
      <c r="C63" s="51" t="s">
        <v>117</v>
      </c>
      <c r="D63" s="52">
        <v>0</v>
      </c>
      <c r="E63" s="54" t="s">
        <v>357</v>
      </c>
      <c r="F63" s="51" t="s">
        <v>64</v>
      </c>
      <c r="G63" s="51" t="s">
        <v>344</v>
      </c>
      <c r="H63" s="52" t="s">
        <v>58</v>
      </c>
      <c r="I63" s="52" t="s">
        <v>345</v>
      </c>
      <c r="J63" s="52">
        <v>12.93</v>
      </c>
      <c r="K63" s="51" t="s">
        <v>143</v>
      </c>
      <c r="L63" s="52">
        <v>28</v>
      </c>
      <c r="M63" s="52">
        <v>0</v>
      </c>
      <c r="N63" s="52">
        <v>1</v>
      </c>
      <c r="O63" s="52">
        <v>0</v>
      </c>
      <c r="P63" s="52">
        <v>0</v>
      </c>
      <c r="Q63" s="52">
        <v>0.04</v>
      </c>
    </row>
    <row r="64" spans="1:17" ht="45.75">
      <c r="A64" s="51">
        <v>2415743140</v>
      </c>
      <c r="B64" s="51" t="s">
        <v>28</v>
      </c>
      <c r="C64" s="51" t="s">
        <v>117</v>
      </c>
      <c r="D64" s="52">
        <v>0</v>
      </c>
      <c r="E64" s="54" t="s">
        <v>357</v>
      </c>
      <c r="F64" s="51" t="s">
        <v>354</v>
      </c>
      <c r="G64" s="51" t="s">
        <v>344</v>
      </c>
      <c r="H64" s="52" t="s">
        <v>58</v>
      </c>
      <c r="I64" s="52" t="s">
        <v>58</v>
      </c>
      <c r="J64" s="52">
        <v>0</v>
      </c>
      <c r="K64" s="51" t="s">
        <v>143</v>
      </c>
      <c r="L64" s="52">
        <v>0</v>
      </c>
      <c r="M64" s="52">
        <v>0</v>
      </c>
      <c r="N64" s="52">
        <v>1</v>
      </c>
      <c r="O64" s="52">
        <v>0</v>
      </c>
      <c r="P64" s="52">
        <v>0</v>
      </c>
      <c r="Q64" s="52">
        <v>0</v>
      </c>
    </row>
    <row r="65" spans="1:17" ht="45.75">
      <c r="A65" s="51">
        <v>2415743140</v>
      </c>
      <c r="B65" s="51" t="s">
        <v>28</v>
      </c>
      <c r="C65" s="51" t="s">
        <v>117</v>
      </c>
      <c r="D65" s="52">
        <v>0</v>
      </c>
      <c r="E65" s="54" t="s">
        <v>357</v>
      </c>
      <c r="F65" s="51" t="s">
        <v>348</v>
      </c>
      <c r="G65" s="51" t="s">
        <v>344</v>
      </c>
      <c r="H65" s="52" t="s">
        <v>58</v>
      </c>
      <c r="I65" s="52" t="s">
        <v>58</v>
      </c>
      <c r="J65" s="52">
        <v>0</v>
      </c>
      <c r="K65" s="51" t="s">
        <v>143</v>
      </c>
      <c r="L65" s="52">
        <v>0</v>
      </c>
      <c r="M65" s="52">
        <v>0</v>
      </c>
      <c r="N65" s="52">
        <v>1</v>
      </c>
      <c r="O65" s="52">
        <v>0</v>
      </c>
      <c r="P65" s="52">
        <v>0</v>
      </c>
      <c r="Q65" s="52">
        <v>0</v>
      </c>
    </row>
    <row r="66" spans="1:17" ht="45.75">
      <c r="A66" s="51">
        <v>2415743140</v>
      </c>
      <c r="B66" s="51" t="s">
        <v>28</v>
      </c>
      <c r="C66" s="51" t="s">
        <v>117</v>
      </c>
      <c r="D66" s="52">
        <v>0</v>
      </c>
      <c r="E66" s="54" t="s">
        <v>357</v>
      </c>
      <c r="F66" s="51" t="s">
        <v>438</v>
      </c>
      <c r="G66" s="51" t="s">
        <v>344</v>
      </c>
      <c r="H66" s="52" t="s">
        <v>58</v>
      </c>
      <c r="I66" s="52" t="s">
        <v>58</v>
      </c>
      <c r="J66" s="52">
        <v>0</v>
      </c>
      <c r="K66" s="51" t="s">
        <v>143</v>
      </c>
      <c r="L66" s="52">
        <v>0</v>
      </c>
      <c r="M66" s="52">
        <v>0</v>
      </c>
      <c r="N66" s="52">
        <v>2</v>
      </c>
      <c r="O66" s="52">
        <v>0</v>
      </c>
      <c r="P66" s="52">
        <v>0</v>
      </c>
      <c r="Q66" s="52">
        <v>0</v>
      </c>
    </row>
    <row r="67" spans="1:17" ht="45.75">
      <c r="A67" s="51">
        <v>2415743140</v>
      </c>
      <c r="B67" s="51" t="s">
        <v>28</v>
      </c>
      <c r="C67" s="51" t="s">
        <v>117</v>
      </c>
      <c r="D67" s="52">
        <v>0</v>
      </c>
      <c r="E67" s="54" t="s">
        <v>357</v>
      </c>
      <c r="F67" s="51" t="s">
        <v>349</v>
      </c>
      <c r="G67" s="51" t="s">
        <v>344</v>
      </c>
      <c r="H67" s="52" t="s">
        <v>58</v>
      </c>
      <c r="I67" s="52" t="s">
        <v>58</v>
      </c>
      <c r="J67" s="52">
        <v>0</v>
      </c>
      <c r="K67" s="51" t="s">
        <v>143</v>
      </c>
      <c r="L67" s="52">
        <v>0</v>
      </c>
      <c r="M67" s="52">
        <v>0</v>
      </c>
      <c r="N67" s="52">
        <v>1</v>
      </c>
      <c r="O67" s="52">
        <v>0</v>
      </c>
      <c r="P67" s="52">
        <v>0</v>
      </c>
      <c r="Q67" s="52">
        <v>0</v>
      </c>
    </row>
    <row r="68" spans="1:17" ht="45.75">
      <c r="A68" s="51">
        <v>2415743140</v>
      </c>
      <c r="B68" s="51" t="s">
        <v>28</v>
      </c>
      <c r="C68" s="51" t="s">
        <v>117</v>
      </c>
      <c r="D68" s="52">
        <v>0</v>
      </c>
      <c r="E68" s="54" t="s">
        <v>357</v>
      </c>
      <c r="F68" s="51" t="s">
        <v>352</v>
      </c>
      <c r="G68" s="51" t="s">
        <v>344</v>
      </c>
      <c r="H68" s="52" t="s">
        <v>58</v>
      </c>
      <c r="I68" s="52" t="s">
        <v>58</v>
      </c>
      <c r="J68" s="52">
        <v>0</v>
      </c>
      <c r="K68" s="51" t="s">
        <v>143</v>
      </c>
      <c r="L68" s="52">
        <v>0</v>
      </c>
      <c r="M68" s="52">
        <v>0</v>
      </c>
      <c r="N68" s="52">
        <v>1</v>
      </c>
      <c r="O68" s="52">
        <v>0</v>
      </c>
      <c r="P68" s="52">
        <v>0</v>
      </c>
      <c r="Q68" s="52">
        <v>0</v>
      </c>
    </row>
    <row r="69" spans="1:17" ht="45.75">
      <c r="A69" s="51">
        <v>2415743140</v>
      </c>
      <c r="B69" s="51" t="s">
        <v>28</v>
      </c>
      <c r="C69" s="51" t="s">
        <v>117</v>
      </c>
      <c r="D69" s="52">
        <v>0</v>
      </c>
      <c r="E69" s="54" t="s">
        <v>357</v>
      </c>
      <c r="F69" s="51" t="s">
        <v>361</v>
      </c>
      <c r="G69" s="51" t="s">
        <v>344</v>
      </c>
      <c r="H69" s="52" t="s">
        <v>58</v>
      </c>
      <c r="I69" s="52" t="s">
        <v>58</v>
      </c>
      <c r="J69" s="52">
        <v>0</v>
      </c>
      <c r="K69" s="51" t="s">
        <v>143</v>
      </c>
      <c r="L69" s="52">
        <v>0</v>
      </c>
      <c r="M69" s="52">
        <v>0</v>
      </c>
      <c r="N69" s="52">
        <v>1</v>
      </c>
      <c r="O69" s="52">
        <v>0</v>
      </c>
      <c r="P69" s="52">
        <v>0</v>
      </c>
      <c r="Q69" s="52">
        <v>0</v>
      </c>
    </row>
    <row r="70" spans="1:17" ht="45.75">
      <c r="A70" s="51">
        <v>2415743140</v>
      </c>
      <c r="B70" s="51" t="s">
        <v>28</v>
      </c>
      <c r="C70" s="51" t="s">
        <v>117</v>
      </c>
      <c r="D70" s="52">
        <v>0</v>
      </c>
      <c r="E70" s="54" t="s">
        <v>357</v>
      </c>
      <c r="F70" s="51" t="s">
        <v>437</v>
      </c>
      <c r="G70" s="51" t="s">
        <v>344</v>
      </c>
      <c r="H70" s="52" t="s">
        <v>58</v>
      </c>
      <c r="I70" s="52" t="s">
        <v>58</v>
      </c>
      <c r="J70" s="52">
        <v>0</v>
      </c>
      <c r="K70" s="51" t="s">
        <v>143</v>
      </c>
      <c r="L70" s="52">
        <v>0</v>
      </c>
      <c r="M70" s="52">
        <v>0</v>
      </c>
      <c r="N70" s="52">
        <v>1</v>
      </c>
      <c r="O70" s="52">
        <v>0</v>
      </c>
      <c r="P70" s="52">
        <v>0</v>
      </c>
      <c r="Q70" s="52">
        <v>0</v>
      </c>
    </row>
    <row r="71" spans="1:17" ht="45.75">
      <c r="A71" s="51">
        <v>2082252055</v>
      </c>
      <c r="B71" s="51" t="s">
        <v>183</v>
      </c>
      <c r="C71" s="51" t="s">
        <v>220</v>
      </c>
      <c r="D71" s="52">
        <v>2</v>
      </c>
      <c r="E71" s="53" t="s">
        <v>343</v>
      </c>
      <c r="F71" s="51" t="s">
        <v>94</v>
      </c>
      <c r="G71" s="51" t="s">
        <v>344</v>
      </c>
      <c r="H71" s="52" t="s">
        <v>434</v>
      </c>
      <c r="I71" s="52" t="s">
        <v>346</v>
      </c>
      <c r="J71" s="52">
        <v>25.24</v>
      </c>
      <c r="K71" s="51" t="s">
        <v>143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7.0000000000000007E-2</v>
      </c>
    </row>
    <row r="72" spans="1:17" ht="45.75">
      <c r="A72" s="51">
        <v>2082252055</v>
      </c>
      <c r="B72" s="51" t="s">
        <v>183</v>
      </c>
      <c r="C72" s="51" t="s">
        <v>220</v>
      </c>
      <c r="D72" s="52">
        <v>1</v>
      </c>
      <c r="E72" s="53" t="s">
        <v>343</v>
      </c>
      <c r="F72" s="51" t="s">
        <v>360</v>
      </c>
      <c r="G72" s="51" t="s">
        <v>344</v>
      </c>
      <c r="H72" s="52" t="s">
        <v>441</v>
      </c>
      <c r="I72" s="52" t="s">
        <v>347</v>
      </c>
      <c r="J72" s="52">
        <v>13.13</v>
      </c>
      <c r="K72" s="51" t="s">
        <v>143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0.04</v>
      </c>
    </row>
    <row r="73" spans="1:17" ht="45.75">
      <c r="A73" s="51">
        <v>2082252055</v>
      </c>
      <c r="B73" s="51" t="s">
        <v>183</v>
      </c>
      <c r="C73" s="51" t="s">
        <v>220</v>
      </c>
      <c r="D73" s="52">
        <v>1</v>
      </c>
      <c r="E73" s="53" t="s">
        <v>343</v>
      </c>
      <c r="F73" s="51" t="s">
        <v>353</v>
      </c>
      <c r="G73" s="51" t="s">
        <v>344</v>
      </c>
      <c r="H73" s="52" t="s">
        <v>345</v>
      </c>
      <c r="I73" s="52" t="s">
        <v>346</v>
      </c>
      <c r="J73" s="52">
        <v>14.75</v>
      </c>
      <c r="K73" s="51" t="s">
        <v>143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0.04</v>
      </c>
    </row>
    <row r="74" spans="1:17" ht="45.75">
      <c r="A74" s="51">
        <v>2082252055</v>
      </c>
      <c r="B74" s="51" t="s">
        <v>183</v>
      </c>
      <c r="C74" s="51" t="s">
        <v>220</v>
      </c>
      <c r="D74" s="52">
        <v>3</v>
      </c>
      <c r="E74" s="53" t="s">
        <v>343</v>
      </c>
      <c r="F74" s="51" t="s">
        <v>351</v>
      </c>
      <c r="G74" s="51" t="s">
        <v>344</v>
      </c>
      <c r="H74" s="52" t="s">
        <v>377</v>
      </c>
      <c r="I74" s="52" t="s">
        <v>58</v>
      </c>
      <c r="J74" s="52">
        <v>58.47</v>
      </c>
      <c r="K74" s="51" t="s">
        <v>143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0.14000000000000001</v>
      </c>
    </row>
    <row r="75" spans="1:17" ht="45.75">
      <c r="A75" s="51">
        <v>2082252055</v>
      </c>
      <c r="B75" s="51" t="s">
        <v>183</v>
      </c>
      <c r="C75" s="51" t="s">
        <v>220</v>
      </c>
      <c r="D75" s="52">
        <v>6</v>
      </c>
      <c r="E75" s="53" t="s">
        <v>343</v>
      </c>
      <c r="F75" s="51" t="s">
        <v>355</v>
      </c>
      <c r="G75" s="51" t="s">
        <v>344</v>
      </c>
      <c r="H75" s="52" t="s">
        <v>345</v>
      </c>
      <c r="I75" s="52" t="s">
        <v>58</v>
      </c>
      <c r="J75" s="52">
        <v>47.43</v>
      </c>
      <c r="K75" s="51" t="s">
        <v>143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  <c r="Q75" s="52">
        <v>0.11</v>
      </c>
    </row>
    <row r="76" spans="1:17" ht="45.75">
      <c r="A76" s="51">
        <v>2082252055</v>
      </c>
      <c r="B76" s="51" t="s">
        <v>183</v>
      </c>
      <c r="C76" s="51" t="s">
        <v>220</v>
      </c>
      <c r="D76" s="52">
        <v>2</v>
      </c>
      <c r="E76" s="53" t="s">
        <v>343</v>
      </c>
      <c r="F76" s="51" t="s">
        <v>435</v>
      </c>
      <c r="G76" s="51" t="s">
        <v>344</v>
      </c>
      <c r="H76" s="52" t="s">
        <v>345</v>
      </c>
      <c r="I76" s="52" t="s">
        <v>58</v>
      </c>
      <c r="J76" s="52">
        <v>14.31</v>
      </c>
      <c r="K76" s="51" t="s">
        <v>143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  <c r="Q76" s="52">
        <v>0.04</v>
      </c>
    </row>
    <row r="77" spans="1:17" ht="45.75">
      <c r="A77" s="51">
        <v>2082252055</v>
      </c>
      <c r="B77" s="51" t="s">
        <v>183</v>
      </c>
      <c r="C77" s="51" t="s">
        <v>220</v>
      </c>
      <c r="D77" s="52">
        <v>1</v>
      </c>
      <c r="E77" s="53" t="s">
        <v>343</v>
      </c>
      <c r="F77" s="51" t="s">
        <v>359</v>
      </c>
      <c r="G77" s="51" t="s">
        <v>344</v>
      </c>
      <c r="H77" s="52" t="s">
        <v>345</v>
      </c>
      <c r="I77" s="52" t="s">
        <v>58</v>
      </c>
      <c r="J77" s="52">
        <v>18.809999999999999</v>
      </c>
      <c r="K77" s="51" t="s">
        <v>143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  <c r="Q77" s="52">
        <v>0.04</v>
      </c>
    </row>
    <row r="78" spans="1:17" ht="45.75">
      <c r="A78" s="51">
        <v>2082252055</v>
      </c>
      <c r="B78" s="51" t="s">
        <v>183</v>
      </c>
      <c r="C78" s="51" t="s">
        <v>220</v>
      </c>
      <c r="D78" s="52">
        <v>1</v>
      </c>
      <c r="E78" s="53" t="s">
        <v>343</v>
      </c>
      <c r="F78" s="51" t="s">
        <v>349</v>
      </c>
      <c r="G78" s="51" t="s">
        <v>344</v>
      </c>
      <c r="H78" s="52" t="s">
        <v>345</v>
      </c>
      <c r="I78" s="52" t="s">
        <v>58</v>
      </c>
      <c r="J78" s="52">
        <v>13.81</v>
      </c>
      <c r="K78" s="51" t="s">
        <v>143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0.04</v>
      </c>
    </row>
    <row r="79" spans="1:17" ht="45.75">
      <c r="A79" s="51">
        <v>2082252055</v>
      </c>
      <c r="B79" s="51" t="s">
        <v>183</v>
      </c>
      <c r="C79" s="51" t="s">
        <v>220</v>
      </c>
      <c r="D79" s="52">
        <v>0</v>
      </c>
      <c r="E79" s="54" t="s">
        <v>357</v>
      </c>
      <c r="F79" s="51" t="s">
        <v>438</v>
      </c>
      <c r="G79" s="51" t="s">
        <v>344</v>
      </c>
      <c r="H79" s="52" t="s">
        <v>58</v>
      </c>
      <c r="I79" s="52" t="s">
        <v>58</v>
      </c>
      <c r="J79" s="52">
        <v>0</v>
      </c>
      <c r="K79" s="51" t="s">
        <v>143</v>
      </c>
      <c r="L79" s="52">
        <v>0</v>
      </c>
      <c r="M79" s="52">
        <v>0</v>
      </c>
      <c r="N79" s="52">
        <v>7</v>
      </c>
      <c r="O79" s="52">
        <v>0</v>
      </c>
      <c r="P79" s="52">
        <v>0</v>
      </c>
      <c r="Q79" s="52">
        <v>0</v>
      </c>
    </row>
    <row r="80" spans="1:17" ht="45.75">
      <c r="A80" s="51">
        <v>2082252055</v>
      </c>
      <c r="B80" s="51" t="s">
        <v>183</v>
      </c>
      <c r="C80" s="51" t="s">
        <v>220</v>
      </c>
      <c r="D80" s="52">
        <v>0</v>
      </c>
      <c r="E80" s="54" t="s">
        <v>357</v>
      </c>
      <c r="F80" s="51" t="s">
        <v>439</v>
      </c>
      <c r="G80" s="51" t="s">
        <v>344</v>
      </c>
      <c r="H80" s="52" t="s">
        <v>58</v>
      </c>
      <c r="I80" s="52" t="s">
        <v>58</v>
      </c>
      <c r="J80" s="52">
        <v>0</v>
      </c>
      <c r="K80" s="51" t="s">
        <v>143</v>
      </c>
      <c r="L80" s="52">
        <v>0</v>
      </c>
      <c r="M80" s="52">
        <v>0</v>
      </c>
      <c r="N80" s="52">
        <v>1</v>
      </c>
      <c r="O80" s="52">
        <v>0</v>
      </c>
      <c r="P80" s="52">
        <v>0</v>
      </c>
      <c r="Q80" s="52">
        <v>0</v>
      </c>
    </row>
    <row r="81" spans="1:17" ht="45.75">
      <c r="A81" s="51">
        <v>2082252055</v>
      </c>
      <c r="B81" s="51" t="s">
        <v>183</v>
      </c>
      <c r="C81" s="51" t="s">
        <v>220</v>
      </c>
      <c r="D81" s="52">
        <v>0</v>
      </c>
      <c r="E81" s="54" t="s">
        <v>357</v>
      </c>
      <c r="F81" s="51" t="s">
        <v>354</v>
      </c>
      <c r="G81" s="51" t="s">
        <v>344</v>
      </c>
      <c r="H81" s="52" t="s">
        <v>58</v>
      </c>
      <c r="I81" s="52" t="s">
        <v>58</v>
      </c>
      <c r="J81" s="52">
        <v>0</v>
      </c>
      <c r="K81" s="51" t="s">
        <v>143</v>
      </c>
      <c r="L81" s="52">
        <v>0</v>
      </c>
      <c r="M81" s="52">
        <v>0</v>
      </c>
      <c r="N81" s="52">
        <v>2</v>
      </c>
      <c r="O81" s="52">
        <v>0</v>
      </c>
      <c r="P81" s="52">
        <v>0</v>
      </c>
      <c r="Q81" s="52">
        <v>0</v>
      </c>
    </row>
    <row r="82" spans="1:17" ht="45.75">
      <c r="A82" s="51">
        <v>2082252055</v>
      </c>
      <c r="B82" s="51" t="s">
        <v>183</v>
      </c>
      <c r="C82" s="51" t="s">
        <v>220</v>
      </c>
      <c r="D82" s="52">
        <v>0</v>
      </c>
      <c r="E82" s="54" t="s">
        <v>357</v>
      </c>
      <c r="F82" s="51" t="s">
        <v>358</v>
      </c>
      <c r="G82" s="51" t="s">
        <v>344</v>
      </c>
      <c r="H82" s="52" t="s">
        <v>58</v>
      </c>
      <c r="I82" s="52" t="s">
        <v>58</v>
      </c>
      <c r="J82" s="52">
        <v>0</v>
      </c>
      <c r="K82" s="51" t="s">
        <v>143</v>
      </c>
      <c r="L82" s="52">
        <v>0</v>
      </c>
      <c r="M82" s="52">
        <v>0</v>
      </c>
      <c r="N82" s="52">
        <v>9</v>
      </c>
      <c r="O82" s="52">
        <v>0</v>
      </c>
      <c r="P82" s="52">
        <v>0</v>
      </c>
      <c r="Q82" s="52">
        <v>0</v>
      </c>
    </row>
    <row r="83" spans="1:17" ht="45.75">
      <c r="A83" s="51">
        <v>2082255799</v>
      </c>
      <c r="B83" s="51" t="s">
        <v>184</v>
      </c>
      <c r="C83" s="51" t="s">
        <v>180</v>
      </c>
      <c r="D83" s="52">
        <v>3</v>
      </c>
      <c r="E83" s="53" t="s">
        <v>343</v>
      </c>
      <c r="F83" s="51" t="s">
        <v>351</v>
      </c>
      <c r="G83" s="51" t="s">
        <v>344</v>
      </c>
      <c r="H83" s="52" t="s">
        <v>364</v>
      </c>
      <c r="I83" s="52" t="s">
        <v>350</v>
      </c>
      <c r="J83" s="52">
        <v>6.8</v>
      </c>
      <c r="K83" s="51" t="s">
        <v>143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  <c r="Q83" s="52">
        <v>0.04</v>
      </c>
    </row>
    <row r="84" spans="1:17" ht="45.75">
      <c r="A84" s="51">
        <v>2082255799</v>
      </c>
      <c r="B84" s="51" t="s">
        <v>184</v>
      </c>
      <c r="C84" s="51" t="s">
        <v>180</v>
      </c>
      <c r="D84" s="52">
        <v>5</v>
      </c>
      <c r="E84" s="53" t="s">
        <v>343</v>
      </c>
      <c r="F84" s="51" t="s">
        <v>355</v>
      </c>
      <c r="G84" s="51" t="s">
        <v>344</v>
      </c>
      <c r="H84" s="52" t="s">
        <v>388</v>
      </c>
      <c r="I84" s="52" t="s">
        <v>350</v>
      </c>
      <c r="J84" s="52">
        <v>54.77</v>
      </c>
      <c r="K84" s="51" t="s">
        <v>143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  <c r="Q84" s="52">
        <v>0.18</v>
      </c>
    </row>
    <row r="85" spans="1:17" ht="45.75">
      <c r="A85" s="51">
        <v>2082255799</v>
      </c>
      <c r="B85" s="51" t="s">
        <v>184</v>
      </c>
      <c r="C85" s="51" t="s">
        <v>180</v>
      </c>
      <c r="D85" s="52">
        <v>1</v>
      </c>
      <c r="E85" s="53" t="s">
        <v>343</v>
      </c>
      <c r="F85" s="51" t="s">
        <v>353</v>
      </c>
      <c r="G85" s="51" t="s">
        <v>344</v>
      </c>
      <c r="H85" s="52" t="s">
        <v>345</v>
      </c>
      <c r="I85" s="52" t="s">
        <v>58</v>
      </c>
      <c r="J85" s="52">
        <v>6.6</v>
      </c>
      <c r="K85" s="51" t="s">
        <v>143</v>
      </c>
      <c r="L85" s="52">
        <v>0</v>
      </c>
      <c r="M85" s="52">
        <v>0</v>
      </c>
      <c r="N85" s="52">
        <v>0</v>
      </c>
      <c r="O85" s="52">
        <v>0</v>
      </c>
      <c r="P85" s="52">
        <v>0</v>
      </c>
      <c r="Q85" s="52">
        <v>0.04</v>
      </c>
    </row>
    <row r="86" spans="1:17" ht="45.75">
      <c r="A86" s="51">
        <v>2082255799</v>
      </c>
      <c r="B86" s="51" t="s">
        <v>184</v>
      </c>
      <c r="C86" s="51" t="s">
        <v>180</v>
      </c>
      <c r="D86" s="52">
        <v>1</v>
      </c>
      <c r="E86" s="53" t="s">
        <v>343</v>
      </c>
      <c r="F86" s="51" t="s">
        <v>94</v>
      </c>
      <c r="G86" s="51" t="s">
        <v>344</v>
      </c>
      <c r="H86" s="52" t="s">
        <v>345</v>
      </c>
      <c r="I86" s="52" t="s">
        <v>58</v>
      </c>
      <c r="J86" s="52">
        <v>14.83</v>
      </c>
      <c r="K86" s="51" t="s">
        <v>143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0.04</v>
      </c>
    </row>
    <row r="87" spans="1:17" ht="45.75">
      <c r="A87" s="51">
        <v>2082255799</v>
      </c>
      <c r="B87" s="51" t="s">
        <v>184</v>
      </c>
      <c r="C87" s="51" t="s">
        <v>180</v>
      </c>
      <c r="D87" s="52">
        <v>0</v>
      </c>
      <c r="E87" s="54" t="s">
        <v>357</v>
      </c>
      <c r="F87" s="51" t="s">
        <v>358</v>
      </c>
      <c r="G87" s="51" t="s">
        <v>344</v>
      </c>
      <c r="H87" s="52" t="s">
        <v>58</v>
      </c>
      <c r="I87" s="52" t="s">
        <v>345</v>
      </c>
      <c r="J87" s="52">
        <v>8.1999999999999993</v>
      </c>
      <c r="K87" s="51" t="s">
        <v>143</v>
      </c>
      <c r="L87" s="52">
        <v>140</v>
      </c>
      <c r="M87" s="52">
        <v>0</v>
      </c>
      <c r="N87" s="52">
        <v>5</v>
      </c>
      <c r="O87" s="52">
        <v>0</v>
      </c>
      <c r="P87" s="52">
        <v>0</v>
      </c>
      <c r="Q87" s="52">
        <v>0.04</v>
      </c>
    </row>
    <row r="88" spans="1:17" ht="45.75">
      <c r="A88" s="51">
        <v>2082255799</v>
      </c>
      <c r="B88" s="51" t="s">
        <v>184</v>
      </c>
      <c r="C88" s="51" t="s">
        <v>180</v>
      </c>
      <c r="D88" s="52">
        <v>0</v>
      </c>
      <c r="E88" s="54" t="s">
        <v>357</v>
      </c>
      <c r="F88" s="51" t="s">
        <v>356</v>
      </c>
      <c r="G88" s="51" t="s">
        <v>344</v>
      </c>
      <c r="H88" s="52" t="s">
        <v>58</v>
      </c>
      <c r="I88" s="52" t="s">
        <v>58</v>
      </c>
      <c r="J88" s="52">
        <v>23.3</v>
      </c>
      <c r="K88" s="51" t="s">
        <v>143</v>
      </c>
      <c r="L88" s="52">
        <v>14</v>
      </c>
      <c r="M88" s="52">
        <v>0</v>
      </c>
      <c r="N88" s="52">
        <v>1</v>
      </c>
      <c r="O88" s="52">
        <v>0</v>
      </c>
      <c r="P88" s="52">
        <v>0</v>
      </c>
      <c r="Q88" s="52">
        <v>7.0000000000000007E-2</v>
      </c>
    </row>
    <row r="89" spans="1:17" ht="45.75">
      <c r="A89" s="51">
        <v>2082255799</v>
      </c>
      <c r="B89" s="51" t="s">
        <v>184</v>
      </c>
      <c r="C89" s="51" t="s">
        <v>180</v>
      </c>
      <c r="D89" s="52">
        <v>0</v>
      </c>
      <c r="E89" s="54" t="s">
        <v>357</v>
      </c>
      <c r="F89" s="51" t="s">
        <v>439</v>
      </c>
      <c r="G89" s="51" t="s">
        <v>344</v>
      </c>
      <c r="H89" s="52" t="s">
        <v>58</v>
      </c>
      <c r="I89" s="52" t="s">
        <v>58</v>
      </c>
      <c r="J89" s="52">
        <v>0</v>
      </c>
      <c r="K89" s="51" t="s">
        <v>143</v>
      </c>
      <c r="L89" s="52">
        <v>0</v>
      </c>
      <c r="M89" s="52">
        <v>0</v>
      </c>
      <c r="N89" s="52">
        <v>5</v>
      </c>
      <c r="O89" s="52">
        <v>0</v>
      </c>
      <c r="P89" s="52">
        <v>0</v>
      </c>
      <c r="Q89" s="52">
        <v>0</v>
      </c>
    </row>
    <row r="90" spans="1:17" ht="45.75">
      <c r="A90" s="51">
        <v>2082255799</v>
      </c>
      <c r="B90" s="51" t="s">
        <v>184</v>
      </c>
      <c r="C90" s="51" t="s">
        <v>180</v>
      </c>
      <c r="D90" s="52">
        <v>0</v>
      </c>
      <c r="E90" s="54" t="s">
        <v>357</v>
      </c>
      <c r="F90" s="51" t="s">
        <v>64</v>
      </c>
      <c r="G90" s="51" t="s">
        <v>344</v>
      </c>
      <c r="H90" s="52" t="s">
        <v>58</v>
      </c>
      <c r="I90" s="52" t="s">
        <v>58</v>
      </c>
      <c r="J90" s="52">
        <v>0</v>
      </c>
      <c r="K90" s="51" t="s">
        <v>143</v>
      </c>
      <c r="L90" s="52">
        <v>0</v>
      </c>
      <c r="M90" s="52">
        <v>0</v>
      </c>
      <c r="N90" s="52">
        <v>2</v>
      </c>
      <c r="O90" s="52">
        <v>0</v>
      </c>
      <c r="P90" s="52">
        <v>0</v>
      </c>
      <c r="Q90" s="52">
        <v>0</v>
      </c>
    </row>
    <row r="91" spans="1:17" ht="45.75">
      <c r="A91" s="51">
        <v>2082255799</v>
      </c>
      <c r="B91" s="51" t="s">
        <v>184</v>
      </c>
      <c r="C91" s="51" t="s">
        <v>180</v>
      </c>
      <c r="D91" s="52">
        <v>0</v>
      </c>
      <c r="E91" s="54" t="s">
        <v>357</v>
      </c>
      <c r="F91" s="51" t="s">
        <v>438</v>
      </c>
      <c r="G91" s="51" t="s">
        <v>344</v>
      </c>
      <c r="H91" s="52" t="s">
        <v>58</v>
      </c>
      <c r="I91" s="52" t="s">
        <v>58</v>
      </c>
      <c r="J91" s="52">
        <v>0</v>
      </c>
      <c r="K91" s="51" t="s">
        <v>143</v>
      </c>
      <c r="L91" s="52">
        <v>0</v>
      </c>
      <c r="M91" s="52">
        <v>0</v>
      </c>
      <c r="N91" s="52">
        <v>2</v>
      </c>
      <c r="O91" s="52">
        <v>0</v>
      </c>
      <c r="P91" s="52">
        <v>0</v>
      </c>
      <c r="Q91" s="52">
        <v>0</v>
      </c>
    </row>
    <row r="92" spans="1:17" ht="45.75">
      <c r="A92" s="51">
        <v>2138705583</v>
      </c>
      <c r="B92" s="51" t="s">
        <v>181</v>
      </c>
      <c r="C92" s="51" t="s">
        <v>180</v>
      </c>
      <c r="D92" s="52">
        <v>3</v>
      </c>
      <c r="E92" s="53" t="s">
        <v>343</v>
      </c>
      <c r="F92" s="51" t="s">
        <v>351</v>
      </c>
      <c r="G92" s="51" t="s">
        <v>344</v>
      </c>
      <c r="H92" s="52" t="s">
        <v>345</v>
      </c>
      <c r="I92" s="52" t="s">
        <v>350</v>
      </c>
      <c r="J92" s="52">
        <v>38.1</v>
      </c>
      <c r="K92" s="51" t="s">
        <v>143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0.11</v>
      </c>
    </row>
    <row r="93" spans="1:17" ht="45.75">
      <c r="A93" s="51">
        <v>2138705583</v>
      </c>
      <c r="B93" s="51" t="s">
        <v>181</v>
      </c>
      <c r="C93" s="51" t="s">
        <v>180</v>
      </c>
      <c r="D93" s="52">
        <v>1</v>
      </c>
      <c r="E93" s="53" t="s">
        <v>343</v>
      </c>
      <c r="F93" s="51" t="s">
        <v>487</v>
      </c>
      <c r="G93" s="51" t="s">
        <v>344</v>
      </c>
      <c r="H93" s="52" t="s">
        <v>345</v>
      </c>
      <c r="I93" s="52" t="s">
        <v>346</v>
      </c>
      <c r="J93" s="52">
        <v>11.14</v>
      </c>
      <c r="K93" s="51" t="s">
        <v>143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0.04</v>
      </c>
    </row>
    <row r="94" spans="1:17" ht="45.75">
      <c r="A94" s="51">
        <v>2138705583</v>
      </c>
      <c r="B94" s="51" t="s">
        <v>181</v>
      </c>
      <c r="C94" s="51" t="s">
        <v>180</v>
      </c>
      <c r="D94" s="52">
        <v>4</v>
      </c>
      <c r="E94" s="53" t="s">
        <v>343</v>
      </c>
      <c r="F94" s="51" t="s">
        <v>355</v>
      </c>
      <c r="G94" s="51" t="s">
        <v>344</v>
      </c>
      <c r="H94" s="52" t="s">
        <v>345</v>
      </c>
      <c r="I94" s="52" t="s">
        <v>58</v>
      </c>
      <c r="J94" s="52">
        <v>47.79</v>
      </c>
      <c r="K94" s="51" t="s">
        <v>143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  <c r="Q94" s="52">
        <v>0.18</v>
      </c>
    </row>
    <row r="95" spans="1:17" ht="45.75">
      <c r="A95" s="51">
        <v>2138705583</v>
      </c>
      <c r="B95" s="51" t="s">
        <v>181</v>
      </c>
      <c r="C95" s="51" t="s">
        <v>180</v>
      </c>
      <c r="D95" s="52">
        <v>0</v>
      </c>
      <c r="E95" s="54" t="s">
        <v>357</v>
      </c>
      <c r="F95" s="51" t="s">
        <v>438</v>
      </c>
      <c r="G95" s="51" t="s">
        <v>344</v>
      </c>
      <c r="H95" s="52" t="s">
        <v>58</v>
      </c>
      <c r="I95" s="52" t="s">
        <v>58</v>
      </c>
      <c r="J95" s="52">
        <v>0</v>
      </c>
      <c r="K95" s="51" t="s">
        <v>143</v>
      </c>
      <c r="L95" s="52">
        <v>0</v>
      </c>
      <c r="M95" s="52">
        <v>0</v>
      </c>
      <c r="N95" s="52">
        <v>5</v>
      </c>
      <c r="O95" s="52">
        <v>0</v>
      </c>
      <c r="P95" s="52">
        <v>0</v>
      </c>
      <c r="Q95" s="52">
        <v>0</v>
      </c>
    </row>
    <row r="96" spans="1:17" ht="45.75">
      <c r="A96" s="51">
        <v>2138705583</v>
      </c>
      <c r="B96" s="51" t="s">
        <v>181</v>
      </c>
      <c r="C96" s="51" t="s">
        <v>180</v>
      </c>
      <c r="D96" s="52">
        <v>0</v>
      </c>
      <c r="E96" s="54" t="s">
        <v>357</v>
      </c>
      <c r="F96" s="51" t="s">
        <v>356</v>
      </c>
      <c r="G96" s="51" t="s">
        <v>344</v>
      </c>
      <c r="H96" s="52" t="s">
        <v>58</v>
      </c>
      <c r="I96" s="52" t="s">
        <v>58</v>
      </c>
      <c r="J96" s="52">
        <v>0</v>
      </c>
      <c r="K96" s="51" t="s">
        <v>143</v>
      </c>
      <c r="L96" s="52">
        <v>0</v>
      </c>
      <c r="M96" s="52">
        <v>0</v>
      </c>
      <c r="N96" s="52">
        <v>2</v>
      </c>
      <c r="O96" s="52">
        <v>0</v>
      </c>
      <c r="P96" s="52">
        <v>0</v>
      </c>
      <c r="Q96" s="52">
        <v>0</v>
      </c>
    </row>
    <row r="97" spans="1:17" ht="45.75">
      <c r="A97" s="51">
        <v>2138705583</v>
      </c>
      <c r="B97" s="51" t="s">
        <v>181</v>
      </c>
      <c r="C97" s="51" t="s">
        <v>180</v>
      </c>
      <c r="D97" s="52">
        <v>0</v>
      </c>
      <c r="E97" s="54" t="s">
        <v>357</v>
      </c>
      <c r="F97" s="51" t="s">
        <v>64</v>
      </c>
      <c r="G97" s="51" t="s">
        <v>344</v>
      </c>
      <c r="H97" s="52" t="s">
        <v>58</v>
      </c>
      <c r="I97" s="52" t="s">
        <v>58</v>
      </c>
      <c r="J97" s="52">
        <v>0</v>
      </c>
      <c r="K97" s="51" t="s">
        <v>143</v>
      </c>
      <c r="L97" s="52">
        <v>0</v>
      </c>
      <c r="M97" s="52">
        <v>0</v>
      </c>
      <c r="N97" s="52">
        <v>2</v>
      </c>
      <c r="O97" s="52">
        <v>0</v>
      </c>
      <c r="P97" s="52">
        <v>0</v>
      </c>
      <c r="Q97" s="52">
        <v>0</v>
      </c>
    </row>
    <row r="98" spans="1:17" ht="45.75">
      <c r="A98" s="51">
        <v>2138705583</v>
      </c>
      <c r="B98" s="51" t="s">
        <v>181</v>
      </c>
      <c r="C98" s="51" t="s">
        <v>180</v>
      </c>
      <c r="D98" s="52">
        <v>0</v>
      </c>
      <c r="E98" s="54" t="s">
        <v>357</v>
      </c>
      <c r="F98" s="51" t="s">
        <v>436</v>
      </c>
      <c r="G98" s="51" t="s">
        <v>344</v>
      </c>
      <c r="H98" s="52" t="s">
        <v>58</v>
      </c>
      <c r="I98" s="52" t="s">
        <v>58</v>
      </c>
      <c r="J98" s="52">
        <v>15.1</v>
      </c>
      <c r="K98" s="51" t="s">
        <v>143</v>
      </c>
      <c r="L98" s="52">
        <v>56</v>
      </c>
      <c r="M98" s="52">
        <v>0</v>
      </c>
      <c r="N98" s="52">
        <v>2</v>
      </c>
      <c r="O98" s="52">
        <v>0</v>
      </c>
      <c r="P98" s="52">
        <v>0</v>
      </c>
      <c r="Q98" s="52">
        <v>0.04</v>
      </c>
    </row>
    <row r="99" spans="1:17" ht="45.75">
      <c r="A99" s="51">
        <v>2168964833</v>
      </c>
      <c r="B99" s="51" t="s">
        <v>198</v>
      </c>
      <c r="C99" s="51" t="s">
        <v>221</v>
      </c>
      <c r="D99" s="52">
        <v>1</v>
      </c>
      <c r="E99" s="53" t="s">
        <v>343</v>
      </c>
      <c r="F99" s="51" t="s">
        <v>487</v>
      </c>
      <c r="G99" s="51" t="s">
        <v>344</v>
      </c>
      <c r="H99" s="52" t="s">
        <v>345</v>
      </c>
      <c r="I99" s="52" t="s">
        <v>347</v>
      </c>
      <c r="J99" s="52">
        <v>17.03</v>
      </c>
      <c r="K99" s="51" t="s">
        <v>143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52">
        <v>0.04</v>
      </c>
    </row>
    <row r="100" spans="1:17" ht="45.75">
      <c r="A100" s="51">
        <v>2168964833</v>
      </c>
      <c r="B100" s="51" t="s">
        <v>198</v>
      </c>
      <c r="C100" s="51" t="s">
        <v>221</v>
      </c>
      <c r="D100" s="52">
        <v>5</v>
      </c>
      <c r="E100" s="53" t="s">
        <v>343</v>
      </c>
      <c r="F100" s="51" t="s">
        <v>355</v>
      </c>
      <c r="G100" s="51" t="s">
        <v>344</v>
      </c>
      <c r="H100" s="52" t="s">
        <v>345</v>
      </c>
      <c r="I100" s="52" t="s">
        <v>347</v>
      </c>
      <c r="J100" s="52">
        <v>44.03</v>
      </c>
      <c r="K100" s="51" t="s">
        <v>143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  <c r="Q100" s="52">
        <v>0.11</v>
      </c>
    </row>
    <row r="101" spans="1:17" ht="45.75">
      <c r="A101" s="51">
        <v>2168964833</v>
      </c>
      <c r="B101" s="51" t="s">
        <v>198</v>
      </c>
      <c r="C101" s="51" t="s">
        <v>221</v>
      </c>
      <c r="D101" s="52">
        <v>1</v>
      </c>
      <c r="E101" s="53" t="s">
        <v>343</v>
      </c>
      <c r="F101" s="51" t="s">
        <v>359</v>
      </c>
      <c r="G101" s="51" t="s">
        <v>344</v>
      </c>
      <c r="H101" s="52" t="s">
        <v>345</v>
      </c>
      <c r="I101" s="52" t="s">
        <v>58</v>
      </c>
      <c r="J101" s="52">
        <v>14.52</v>
      </c>
      <c r="K101" s="51" t="s">
        <v>143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0.04</v>
      </c>
    </row>
    <row r="102" spans="1:17" ht="45.75">
      <c r="A102" s="51">
        <v>2168964833</v>
      </c>
      <c r="B102" s="51" t="s">
        <v>198</v>
      </c>
      <c r="C102" s="51" t="s">
        <v>221</v>
      </c>
      <c r="D102" s="52">
        <v>1</v>
      </c>
      <c r="E102" s="53" t="s">
        <v>343</v>
      </c>
      <c r="F102" s="51" t="s">
        <v>349</v>
      </c>
      <c r="G102" s="51" t="s">
        <v>344</v>
      </c>
      <c r="H102" s="52" t="s">
        <v>364</v>
      </c>
      <c r="I102" s="52" t="s">
        <v>58</v>
      </c>
      <c r="J102" s="52">
        <v>32.549999999999997</v>
      </c>
      <c r="K102" s="51" t="s">
        <v>143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7.0000000000000007E-2</v>
      </c>
    </row>
    <row r="103" spans="1:17" ht="45.75">
      <c r="A103" s="51">
        <v>2168964833</v>
      </c>
      <c r="B103" s="51" t="s">
        <v>198</v>
      </c>
      <c r="C103" s="51" t="s">
        <v>221</v>
      </c>
      <c r="D103" s="52">
        <v>1</v>
      </c>
      <c r="E103" s="53" t="s">
        <v>343</v>
      </c>
      <c r="F103" s="51" t="s">
        <v>432</v>
      </c>
      <c r="G103" s="51" t="s">
        <v>344</v>
      </c>
      <c r="H103" s="52" t="s">
        <v>345</v>
      </c>
      <c r="I103" s="52" t="s">
        <v>58</v>
      </c>
      <c r="J103" s="52">
        <v>16.260000000000002</v>
      </c>
      <c r="K103" s="51" t="s">
        <v>143</v>
      </c>
      <c r="L103" s="52">
        <v>0</v>
      </c>
      <c r="M103" s="52">
        <v>0</v>
      </c>
      <c r="N103" s="52">
        <v>0</v>
      </c>
      <c r="O103" s="52">
        <v>0</v>
      </c>
      <c r="P103" s="52">
        <v>0</v>
      </c>
      <c r="Q103" s="52">
        <v>0.04</v>
      </c>
    </row>
    <row r="104" spans="1:17" ht="45.75">
      <c r="A104" s="51">
        <v>2168964833</v>
      </c>
      <c r="B104" s="51" t="s">
        <v>198</v>
      </c>
      <c r="C104" s="51" t="s">
        <v>221</v>
      </c>
      <c r="D104" s="52">
        <v>1</v>
      </c>
      <c r="E104" s="53" t="s">
        <v>343</v>
      </c>
      <c r="F104" s="51" t="s">
        <v>356</v>
      </c>
      <c r="G104" s="51" t="s">
        <v>344</v>
      </c>
      <c r="H104" s="52" t="s">
        <v>345</v>
      </c>
      <c r="I104" s="52" t="s">
        <v>58</v>
      </c>
      <c r="J104" s="52">
        <v>15.53</v>
      </c>
      <c r="K104" s="51" t="s">
        <v>143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  <c r="Q104" s="52">
        <v>0.04</v>
      </c>
    </row>
    <row r="105" spans="1:17" ht="45.75">
      <c r="A105" s="51">
        <v>2168964833</v>
      </c>
      <c r="B105" s="51" t="s">
        <v>198</v>
      </c>
      <c r="C105" s="51" t="s">
        <v>221</v>
      </c>
      <c r="D105" s="52">
        <v>1</v>
      </c>
      <c r="E105" s="53" t="s">
        <v>343</v>
      </c>
      <c r="F105" s="51" t="s">
        <v>437</v>
      </c>
      <c r="G105" s="51" t="s">
        <v>344</v>
      </c>
      <c r="H105" s="52" t="s">
        <v>345</v>
      </c>
      <c r="I105" s="52" t="s">
        <v>58</v>
      </c>
      <c r="J105" s="52">
        <v>15.92</v>
      </c>
      <c r="K105" s="51" t="s">
        <v>143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2">
        <v>0.04</v>
      </c>
    </row>
    <row r="106" spans="1:17" ht="45.75">
      <c r="A106" s="51">
        <v>2168964833</v>
      </c>
      <c r="B106" s="51" t="s">
        <v>198</v>
      </c>
      <c r="C106" s="51" t="s">
        <v>221</v>
      </c>
      <c r="D106" s="52">
        <v>0</v>
      </c>
      <c r="E106" s="54" t="s">
        <v>357</v>
      </c>
      <c r="F106" s="51" t="s">
        <v>351</v>
      </c>
      <c r="G106" s="51" t="s">
        <v>344</v>
      </c>
      <c r="H106" s="52" t="s">
        <v>58</v>
      </c>
      <c r="I106" s="52" t="s">
        <v>345</v>
      </c>
      <c r="J106" s="52">
        <v>48.46</v>
      </c>
      <c r="K106" s="51" t="s">
        <v>143</v>
      </c>
      <c r="L106" s="52">
        <v>28</v>
      </c>
      <c r="M106" s="52">
        <v>0</v>
      </c>
      <c r="N106" s="52">
        <v>3</v>
      </c>
      <c r="O106" s="52">
        <v>0</v>
      </c>
      <c r="P106" s="52">
        <v>0</v>
      </c>
      <c r="Q106" s="52">
        <v>0.11</v>
      </c>
    </row>
    <row r="107" spans="1:17" ht="45.75">
      <c r="A107" s="51">
        <v>2168964833</v>
      </c>
      <c r="B107" s="51" t="s">
        <v>198</v>
      </c>
      <c r="C107" s="51" t="s">
        <v>221</v>
      </c>
      <c r="D107" s="52">
        <v>0</v>
      </c>
      <c r="E107" s="54" t="s">
        <v>357</v>
      </c>
      <c r="F107" s="51" t="s">
        <v>354</v>
      </c>
      <c r="G107" s="51" t="s">
        <v>344</v>
      </c>
      <c r="H107" s="52" t="s">
        <v>58</v>
      </c>
      <c r="I107" s="52" t="s">
        <v>58</v>
      </c>
      <c r="J107" s="52">
        <v>15.94</v>
      </c>
      <c r="K107" s="51" t="s">
        <v>143</v>
      </c>
      <c r="L107" s="52">
        <v>112</v>
      </c>
      <c r="M107" s="52">
        <v>0</v>
      </c>
      <c r="N107" s="52">
        <v>4</v>
      </c>
      <c r="O107" s="52">
        <v>0</v>
      </c>
      <c r="P107" s="52">
        <v>0</v>
      </c>
      <c r="Q107" s="52">
        <v>0.04</v>
      </c>
    </row>
    <row r="108" spans="1:17" ht="45.75">
      <c r="A108" s="51">
        <v>2168964833</v>
      </c>
      <c r="B108" s="51" t="s">
        <v>198</v>
      </c>
      <c r="C108" s="51" t="s">
        <v>221</v>
      </c>
      <c r="D108" s="52">
        <v>0</v>
      </c>
      <c r="E108" s="54" t="s">
        <v>357</v>
      </c>
      <c r="F108" s="51" t="s">
        <v>358</v>
      </c>
      <c r="G108" s="51" t="s">
        <v>344</v>
      </c>
      <c r="H108" s="52" t="s">
        <v>58</v>
      </c>
      <c r="I108" s="52" t="s">
        <v>58</v>
      </c>
      <c r="J108" s="52">
        <v>0</v>
      </c>
      <c r="K108" s="51" t="s">
        <v>143</v>
      </c>
      <c r="L108" s="52">
        <v>0</v>
      </c>
      <c r="M108" s="52">
        <v>0</v>
      </c>
      <c r="N108" s="52">
        <v>6</v>
      </c>
      <c r="O108" s="52">
        <v>0</v>
      </c>
      <c r="P108" s="52">
        <v>0</v>
      </c>
      <c r="Q108" s="52">
        <v>0</v>
      </c>
    </row>
    <row r="109" spans="1:17" ht="45.75">
      <c r="A109" s="51">
        <v>2168964833</v>
      </c>
      <c r="B109" s="51" t="s">
        <v>198</v>
      </c>
      <c r="C109" s="51" t="s">
        <v>221</v>
      </c>
      <c r="D109" s="52">
        <v>0</v>
      </c>
      <c r="E109" s="54" t="s">
        <v>357</v>
      </c>
      <c r="F109" s="51" t="s">
        <v>64</v>
      </c>
      <c r="G109" s="51" t="s">
        <v>344</v>
      </c>
      <c r="H109" s="52" t="s">
        <v>58</v>
      </c>
      <c r="I109" s="52" t="s">
        <v>58</v>
      </c>
      <c r="J109" s="52">
        <v>0</v>
      </c>
      <c r="K109" s="51" t="s">
        <v>143</v>
      </c>
      <c r="L109" s="52">
        <v>0</v>
      </c>
      <c r="M109" s="52">
        <v>0</v>
      </c>
      <c r="N109" s="52">
        <v>2</v>
      </c>
      <c r="O109" s="52">
        <v>0</v>
      </c>
      <c r="P109" s="52">
        <v>0</v>
      </c>
      <c r="Q109" s="52">
        <v>0</v>
      </c>
    </row>
    <row r="110" spans="1:17" ht="45.75">
      <c r="A110" s="51">
        <v>2168964833</v>
      </c>
      <c r="B110" s="51" t="s">
        <v>198</v>
      </c>
      <c r="C110" s="51" t="s">
        <v>221</v>
      </c>
      <c r="D110" s="52">
        <v>0</v>
      </c>
      <c r="E110" s="54" t="s">
        <v>357</v>
      </c>
      <c r="F110" s="51" t="s">
        <v>438</v>
      </c>
      <c r="G110" s="51" t="s">
        <v>344</v>
      </c>
      <c r="H110" s="52" t="s">
        <v>58</v>
      </c>
      <c r="I110" s="52" t="s">
        <v>58</v>
      </c>
      <c r="J110" s="52">
        <v>0</v>
      </c>
      <c r="K110" s="51" t="s">
        <v>143</v>
      </c>
      <c r="L110" s="52">
        <v>0</v>
      </c>
      <c r="M110" s="52">
        <v>0</v>
      </c>
      <c r="N110" s="52">
        <v>5</v>
      </c>
      <c r="O110" s="52">
        <v>0</v>
      </c>
      <c r="P110" s="52">
        <v>0</v>
      </c>
      <c r="Q110" s="52">
        <v>0</v>
      </c>
    </row>
    <row r="111" spans="1:17" ht="45.75">
      <c r="A111" s="51">
        <v>2168964833</v>
      </c>
      <c r="B111" s="51" t="s">
        <v>198</v>
      </c>
      <c r="C111" s="51" t="s">
        <v>221</v>
      </c>
      <c r="D111" s="52">
        <v>0</v>
      </c>
      <c r="E111" s="54" t="s">
        <v>357</v>
      </c>
      <c r="F111" s="51" t="s">
        <v>439</v>
      </c>
      <c r="G111" s="51" t="s">
        <v>344</v>
      </c>
      <c r="H111" s="52" t="s">
        <v>58</v>
      </c>
      <c r="I111" s="52" t="s">
        <v>58</v>
      </c>
      <c r="J111" s="52">
        <v>0</v>
      </c>
      <c r="K111" s="51" t="s">
        <v>143</v>
      </c>
      <c r="L111" s="52">
        <v>0</v>
      </c>
      <c r="M111" s="52">
        <v>0</v>
      </c>
      <c r="N111" s="52">
        <v>3</v>
      </c>
      <c r="O111" s="52">
        <v>0</v>
      </c>
      <c r="P111" s="52">
        <v>0</v>
      </c>
      <c r="Q111" s="52">
        <v>0</v>
      </c>
    </row>
    <row r="112" spans="1:17" ht="45.75">
      <c r="A112" s="51">
        <v>2168964833</v>
      </c>
      <c r="B112" s="51" t="s">
        <v>198</v>
      </c>
      <c r="C112" s="51" t="s">
        <v>221</v>
      </c>
      <c r="D112" s="52">
        <v>0</v>
      </c>
      <c r="E112" s="54" t="s">
        <v>357</v>
      </c>
      <c r="F112" s="51" t="s">
        <v>60</v>
      </c>
      <c r="G112" s="51" t="s">
        <v>344</v>
      </c>
      <c r="H112" s="52" t="s">
        <v>58</v>
      </c>
      <c r="I112" s="52" t="s">
        <v>58</v>
      </c>
      <c r="J112" s="52">
        <v>14.76</v>
      </c>
      <c r="K112" s="51" t="s">
        <v>143</v>
      </c>
      <c r="L112" s="52">
        <v>84</v>
      </c>
      <c r="M112" s="52">
        <v>0</v>
      </c>
      <c r="N112" s="52">
        <v>3</v>
      </c>
      <c r="O112" s="52">
        <v>0</v>
      </c>
      <c r="P112" s="52">
        <v>0</v>
      </c>
      <c r="Q112" s="52">
        <v>0.04</v>
      </c>
    </row>
    <row r="113" spans="1:17" ht="60.75">
      <c r="A113" s="51">
        <v>2419349422</v>
      </c>
      <c r="B113" s="51" t="s">
        <v>16</v>
      </c>
      <c r="C113" s="51" t="s">
        <v>368</v>
      </c>
      <c r="D113" s="52">
        <v>3</v>
      </c>
      <c r="E113" s="53" t="s">
        <v>343</v>
      </c>
      <c r="F113" s="51" t="s">
        <v>355</v>
      </c>
      <c r="G113" s="51" t="s">
        <v>344</v>
      </c>
      <c r="H113" s="52" t="s">
        <v>374</v>
      </c>
      <c r="I113" s="52" t="s">
        <v>347</v>
      </c>
      <c r="J113" s="52">
        <v>68.03</v>
      </c>
      <c r="K113" s="51" t="s">
        <v>143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0.18</v>
      </c>
    </row>
    <row r="114" spans="1:17" ht="60.75">
      <c r="A114" s="51">
        <v>2419349422</v>
      </c>
      <c r="B114" s="51" t="s">
        <v>16</v>
      </c>
      <c r="C114" s="51" t="s">
        <v>368</v>
      </c>
      <c r="D114" s="52">
        <v>1</v>
      </c>
      <c r="E114" s="53" t="s">
        <v>343</v>
      </c>
      <c r="F114" s="51" t="s">
        <v>59</v>
      </c>
      <c r="G114" s="51" t="s">
        <v>344</v>
      </c>
      <c r="H114" s="52" t="s">
        <v>345</v>
      </c>
      <c r="I114" s="52" t="s">
        <v>347</v>
      </c>
      <c r="J114" s="52">
        <v>13.57</v>
      </c>
      <c r="K114" s="51" t="s">
        <v>143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  <c r="Q114" s="52">
        <v>0.04</v>
      </c>
    </row>
    <row r="115" spans="1:17" ht="60.75">
      <c r="A115" s="51">
        <v>2419349422</v>
      </c>
      <c r="B115" s="51" t="s">
        <v>16</v>
      </c>
      <c r="C115" s="51" t="s">
        <v>368</v>
      </c>
      <c r="D115" s="52">
        <v>2</v>
      </c>
      <c r="E115" s="53" t="s">
        <v>343</v>
      </c>
      <c r="F115" s="51" t="s">
        <v>351</v>
      </c>
      <c r="G115" s="51" t="s">
        <v>344</v>
      </c>
      <c r="H115" s="52" t="s">
        <v>488</v>
      </c>
      <c r="I115" s="52" t="s">
        <v>345</v>
      </c>
      <c r="J115" s="52">
        <v>52.8</v>
      </c>
      <c r="K115" s="51" t="s">
        <v>143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  <c r="Q115" s="52">
        <v>0.14000000000000001</v>
      </c>
    </row>
    <row r="116" spans="1:17" ht="60.75">
      <c r="A116" s="51">
        <v>2419349422</v>
      </c>
      <c r="B116" s="51" t="s">
        <v>16</v>
      </c>
      <c r="C116" s="51" t="s">
        <v>368</v>
      </c>
      <c r="D116" s="52">
        <v>1</v>
      </c>
      <c r="E116" s="53" t="s">
        <v>343</v>
      </c>
      <c r="F116" s="51" t="s">
        <v>348</v>
      </c>
      <c r="G116" s="51" t="s">
        <v>344</v>
      </c>
      <c r="H116" s="52" t="s">
        <v>434</v>
      </c>
      <c r="I116" s="52" t="s">
        <v>345</v>
      </c>
      <c r="J116" s="52">
        <v>12.36</v>
      </c>
      <c r="K116" s="51" t="s">
        <v>143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0.04</v>
      </c>
    </row>
    <row r="117" spans="1:17" ht="60.75">
      <c r="A117" s="51">
        <v>2419349422</v>
      </c>
      <c r="B117" s="51" t="s">
        <v>16</v>
      </c>
      <c r="C117" s="51" t="s">
        <v>368</v>
      </c>
      <c r="D117" s="52">
        <v>1</v>
      </c>
      <c r="E117" s="53" t="s">
        <v>343</v>
      </c>
      <c r="F117" s="51" t="s">
        <v>436</v>
      </c>
      <c r="G117" s="51" t="s">
        <v>344</v>
      </c>
      <c r="H117" s="52" t="s">
        <v>489</v>
      </c>
      <c r="I117" s="52" t="s">
        <v>345</v>
      </c>
      <c r="J117" s="52">
        <v>12.38</v>
      </c>
      <c r="K117" s="51" t="s">
        <v>143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0.04</v>
      </c>
    </row>
    <row r="118" spans="1:17" ht="60.75">
      <c r="A118" s="51">
        <v>2419349422</v>
      </c>
      <c r="B118" s="51" t="s">
        <v>16</v>
      </c>
      <c r="C118" s="51" t="s">
        <v>368</v>
      </c>
      <c r="D118" s="52">
        <v>1</v>
      </c>
      <c r="E118" s="53" t="s">
        <v>343</v>
      </c>
      <c r="F118" s="51" t="s">
        <v>437</v>
      </c>
      <c r="G118" s="51" t="s">
        <v>344</v>
      </c>
      <c r="H118" s="52" t="s">
        <v>471</v>
      </c>
      <c r="I118" s="52" t="s">
        <v>58</v>
      </c>
      <c r="J118" s="52">
        <v>14.22</v>
      </c>
      <c r="K118" s="51" t="s">
        <v>143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  <c r="Q118" s="52">
        <v>0.04</v>
      </c>
    </row>
    <row r="119" spans="1:17" ht="60.75">
      <c r="A119" s="51">
        <v>2419349422</v>
      </c>
      <c r="B119" s="51" t="s">
        <v>16</v>
      </c>
      <c r="C119" s="51" t="s">
        <v>368</v>
      </c>
      <c r="D119" s="52">
        <v>0</v>
      </c>
      <c r="E119" s="54" t="s">
        <v>357</v>
      </c>
      <c r="F119" s="51" t="s">
        <v>438</v>
      </c>
      <c r="G119" s="51" t="s">
        <v>344</v>
      </c>
      <c r="H119" s="52" t="s">
        <v>58</v>
      </c>
      <c r="I119" s="52" t="s">
        <v>58</v>
      </c>
      <c r="J119" s="52">
        <v>0</v>
      </c>
      <c r="K119" s="51" t="s">
        <v>143</v>
      </c>
      <c r="L119" s="52">
        <v>0</v>
      </c>
      <c r="M119" s="52">
        <v>0</v>
      </c>
      <c r="N119" s="52">
        <v>1</v>
      </c>
      <c r="O119" s="52">
        <v>0</v>
      </c>
      <c r="P119" s="52">
        <v>0</v>
      </c>
      <c r="Q119" s="52">
        <v>0</v>
      </c>
    </row>
    <row r="120" spans="1:17" ht="60.75">
      <c r="A120" s="51">
        <v>2419349422</v>
      </c>
      <c r="B120" s="51" t="s">
        <v>16</v>
      </c>
      <c r="C120" s="51" t="s">
        <v>368</v>
      </c>
      <c r="D120" s="52">
        <v>0</v>
      </c>
      <c r="E120" s="54" t="s">
        <v>357</v>
      </c>
      <c r="F120" s="51" t="s">
        <v>356</v>
      </c>
      <c r="G120" s="51" t="s">
        <v>344</v>
      </c>
      <c r="H120" s="52" t="s">
        <v>58</v>
      </c>
      <c r="I120" s="52" t="s">
        <v>58</v>
      </c>
      <c r="J120" s="52">
        <v>13.78</v>
      </c>
      <c r="K120" s="51" t="s">
        <v>143</v>
      </c>
      <c r="L120" s="52">
        <v>28</v>
      </c>
      <c r="M120" s="52">
        <v>0</v>
      </c>
      <c r="N120" s="52">
        <v>1</v>
      </c>
      <c r="O120" s="52">
        <v>0</v>
      </c>
      <c r="P120" s="52">
        <v>0</v>
      </c>
      <c r="Q120" s="52">
        <v>0.04</v>
      </c>
    </row>
    <row r="121" spans="1:17" ht="60.75">
      <c r="A121" s="51">
        <v>2419349422</v>
      </c>
      <c r="B121" s="51" t="s">
        <v>16</v>
      </c>
      <c r="C121" s="51" t="s">
        <v>368</v>
      </c>
      <c r="D121" s="52">
        <v>0</v>
      </c>
      <c r="E121" s="54" t="s">
        <v>357</v>
      </c>
      <c r="F121" s="51" t="s">
        <v>361</v>
      </c>
      <c r="G121" s="51" t="s">
        <v>344</v>
      </c>
      <c r="H121" s="52" t="s">
        <v>58</v>
      </c>
      <c r="I121" s="52" t="s">
        <v>58</v>
      </c>
      <c r="J121" s="52">
        <v>0</v>
      </c>
      <c r="K121" s="51" t="s">
        <v>143</v>
      </c>
      <c r="L121" s="52">
        <v>0</v>
      </c>
      <c r="M121" s="52">
        <v>0</v>
      </c>
      <c r="N121" s="52">
        <v>3</v>
      </c>
      <c r="O121" s="52">
        <v>0</v>
      </c>
      <c r="P121" s="52">
        <v>0</v>
      </c>
      <c r="Q121" s="52">
        <v>0</v>
      </c>
    </row>
    <row r="122" spans="1:17" ht="45.75">
      <c r="A122" s="51">
        <v>2415742680</v>
      </c>
      <c r="B122" s="51" t="s">
        <v>26</v>
      </c>
      <c r="C122" s="51" t="s">
        <v>117</v>
      </c>
      <c r="D122" s="52">
        <v>1</v>
      </c>
      <c r="E122" s="53" t="s">
        <v>343</v>
      </c>
      <c r="F122" s="51" t="s">
        <v>351</v>
      </c>
      <c r="G122" s="51" t="s">
        <v>344</v>
      </c>
      <c r="H122" s="52" t="s">
        <v>434</v>
      </c>
      <c r="I122" s="52" t="s">
        <v>490</v>
      </c>
      <c r="J122" s="52">
        <v>39.85</v>
      </c>
      <c r="K122" s="51" t="s">
        <v>143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  <c r="Q122" s="52">
        <v>7.0000000000000007E-2</v>
      </c>
    </row>
    <row r="123" spans="1:17" ht="45.75">
      <c r="A123" s="51">
        <v>2415742680</v>
      </c>
      <c r="B123" s="51" t="s">
        <v>26</v>
      </c>
      <c r="C123" s="51" t="s">
        <v>117</v>
      </c>
      <c r="D123" s="52">
        <v>1</v>
      </c>
      <c r="E123" s="53" t="s">
        <v>343</v>
      </c>
      <c r="F123" s="51" t="s">
        <v>435</v>
      </c>
      <c r="G123" s="51" t="s">
        <v>344</v>
      </c>
      <c r="H123" s="52" t="s">
        <v>345</v>
      </c>
      <c r="I123" s="52" t="s">
        <v>346</v>
      </c>
      <c r="J123" s="52">
        <v>24.08</v>
      </c>
      <c r="K123" s="51" t="s">
        <v>143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  <c r="Q123" s="52">
        <v>0.04</v>
      </c>
    </row>
    <row r="124" spans="1:17" ht="45.75">
      <c r="A124" s="51">
        <v>2415742680</v>
      </c>
      <c r="B124" s="51" t="s">
        <v>26</v>
      </c>
      <c r="C124" s="51" t="s">
        <v>117</v>
      </c>
      <c r="D124" s="52">
        <v>1</v>
      </c>
      <c r="E124" s="53" t="s">
        <v>343</v>
      </c>
      <c r="F124" s="51" t="s">
        <v>437</v>
      </c>
      <c r="G124" s="51" t="s">
        <v>344</v>
      </c>
      <c r="H124" s="52" t="s">
        <v>489</v>
      </c>
      <c r="I124" s="52" t="s">
        <v>345</v>
      </c>
      <c r="J124" s="52">
        <v>22.27</v>
      </c>
      <c r="K124" s="51" t="s">
        <v>143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  <c r="Q124" s="52">
        <v>0.04</v>
      </c>
    </row>
    <row r="125" spans="1:17" ht="45.75">
      <c r="A125" s="51">
        <v>2415742680</v>
      </c>
      <c r="B125" s="51" t="s">
        <v>26</v>
      </c>
      <c r="C125" s="51" t="s">
        <v>117</v>
      </c>
      <c r="D125" s="52">
        <v>1</v>
      </c>
      <c r="E125" s="53" t="s">
        <v>343</v>
      </c>
      <c r="F125" s="51" t="s">
        <v>94</v>
      </c>
      <c r="G125" s="51" t="s">
        <v>344</v>
      </c>
      <c r="H125" s="52" t="s">
        <v>345</v>
      </c>
      <c r="I125" s="52" t="s">
        <v>58</v>
      </c>
      <c r="J125" s="52">
        <v>123.21</v>
      </c>
      <c r="K125" s="51" t="s">
        <v>143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  <c r="Q125" s="52">
        <v>0.18</v>
      </c>
    </row>
    <row r="126" spans="1:17" ht="45.75">
      <c r="A126" s="51">
        <v>2415742680</v>
      </c>
      <c r="B126" s="51" t="s">
        <v>26</v>
      </c>
      <c r="C126" s="51" t="s">
        <v>117</v>
      </c>
      <c r="D126" s="52">
        <v>1</v>
      </c>
      <c r="E126" s="53" t="s">
        <v>343</v>
      </c>
      <c r="F126" s="51" t="s">
        <v>355</v>
      </c>
      <c r="G126" s="51" t="s">
        <v>344</v>
      </c>
      <c r="H126" s="52" t="s">
        <v>58</v>
      </c>
      <c r="I126" s="52" t="s">
        <v>58</v>
      </c>
      <c r="J126" s="52">
        <v>44.2</v>
      </c>
      <c r="K126" s="51" t="s">
        <v>143</v>
      </c>
      <c r="L126" s="52">
        <v>14</v>
      </c>
      <c r="M126" s="52">
        <v>0</v>
      </c>
      <c r="N126" s="52">
        <v>1</v>
      </c>
      <c r="O126" s="52">
        <v>0</v>
      </c>
      <c r="P126" s="52">
        <v>0</v>
      </c>
      <c r="Q126" s="52">
        <v>7.0000000000000007E-2</v>
      </c>
    </row>
    <row r="127" spans="1:17" ht="45.75">
      <c r="A127" s="51">
        <v>2415742680</v>
      </c>
      <c r="B127" s="51" t="s">
        <v>26</v>
      </c>
      <c r="C127" s="51" t="s">
        <v>117</v>
      </c>
      <c r="D127" s="52">
        <v>0</v>
      </c>
      <c r="E127" s="54" t="s">
        <v>357</v>
      </c>
      <c r="F127" s="51" t="s">
        <v>352</v>
      </c>
      <c r="G127" s="51" t="s">
        <v>344</v>
      </c>
      <c r="H127" s="52" t="s">
        <v>58</v>
      </c>
      <c r="I127" s="52" t="s">
        <v>58</v>
      </c>
      <c r="J127" s="52">
        <v>0</v>
      </c>
      <c r="K127" s="51" t="s">
        <v>143</v>
      </c>
      <c r="L127" s="52">
        <v>0</v>
      </c>
      <c r="M127" s="52">
        <v>0</v>
      </c>
      <c r="N127" s="52">
        <v>2</v>
      </c>
      <c r="O127" s="52">
        <v>0</v>
      </c>
      <c r="P127" s="52">
        <v>0</v>
      </c>
      <c r="Q127" s="52">
        <v>0</v>
      </c>
    </row>
    <row r="128" spans="1:17" ht="45.75">
      <c r="A128" s="51">
        <v>2415742680</v>
      </c>
      <c r="B128" s="51" t="s">
        <v>26</v>
      </c>
      <c r="C128" s="51" t="s">
        <v>117</v>
      </c>
      <c r="D128" s="52">
        <v>0</v>
      </c>
      <c r="E128" s="54" t="s">
        <v>357</v>
      </c>
      <c r="F128" s="51" t="s">
        <v>349</v>
      </c>
      <c r="G128" s="51" t="s">
        <v>344</v>
      </c>
      <c r="H128" s="52" t="s">
        <v>58</v>
      </c>
      <c r="I128" s="52" t="s">
        <v>58</v>
      </c>
      <c r="J128" s="52">
        <v>24.05</v>
      </c>
      <c r="K128" s="51" t="s">
        <v>143</v>
      </c>
      <c r="L128" s="52">
        <v>28</v>
      </c>
      <c r="M128" s="52">
        <v>0</v>
      </c>
      <c r="N128" s="52">
        <v>1</v>
      </c>
      <c r="O128" s="52">
        <v>0</v>
      </c>
      <c r="P128" s="52">
        <v>0</v>
      </c>
      <c r="Q128" s="52">
        <v>0.04</v>
      </c>
    </row>
    <row r="129" spans="1:17" ht="45.75">
      <c r="A129" s="51">
        <v>2415742680</v>
      </c>
      <c r="B129" s="51" t="s">
        <v>26</v>
      </c>
      <c r="C129" s="51" t="s">
        <v>117</v>
      </c>
      <c r="D129" s="52">
        <v>0</v>
      </c>
      <c r="E129" s="54" t="s">
        <v>357</v>
      </c>
      <c r="F129" s="51" t="s">
        <v>361</v>
      </c>
      <c r="G129" s="51" t="s">
        <v>344</v>
      </c>
      <c r="H129" s="52" t="s">
        <v>58</v>
      </c>
      <c r="I129" s="52" t="s">
        <v>58</v>
      </c>
      <c r="J129" s="52">
        <v>0</v>
      </c>
      <c r="K129" s="51" t="s">
        <v>143</v>
      </c>
      <c r="L129" s="52">
        <v>0</v>
      </c>
      <c r="M129" s="52">
        <v>0</v>
      </c>
      <c r="N129" s="52">
        <v>3</v>
      </c>
      <c r="O129" s="52">
        <v>0</v>
      </c>
      <c r="P129" s="52">
        <v>0</v>
      </c>
      <c r="Q129" s="52">
        <v>0</v>
      </c>
    </row>
    <row r="130" spans="1:17" ht="45.75">
      <c r="A130" s="51">
        <v>2415742680</v>
      </c>
      <c r="B130" s="51" t="s">
        <v>26</v>
      </c>
      <c r="C130" s="51" t="s">
        <v>117</v>
      </c>
      <c r="D130" s="52">
        <v>0</v>
      </c>
      <c r="E130" s="54" t="s">
        <v>357</v>
      </c>
      <c r="F130" s="51" t="s">
        <v>438</v>
      </c>
      <c r="G130" s="51" t="s">
        <v>344</v>
      </c>
      <c r="H130" s="52" t="s">
        <v>58</v>
      </c>
      <c r="I130" s="52" t="s">
        <v>58</v>
      </c>
      <c r="J130" s="52">
        <v>0</v>
      </c>
      <c r="K130" s="51" t="s">
        <v>143</v>
      </c>
      <c r="L130" s="52">
        <v>0</v>
      </c>
      <c r="M130" s="52">
        <v>0</v>
      </c>
      <c r="N130" s="52">
        <v>1</v>
      </c>
      <c r="O130" s="52">
        <v>0</v>
      </c>
      <c r="P130" s="52">
        <v>0</v>
      </c>
      <c r="Q130" s="52">
        <v>0</v>
      </c>
    </row>
    <row r="131" spans="1:17" ht="45.75">
      <c r="A131" s="51">
        <v>2415742680</v>
      </c>
      <c r="B131" s="51" t="s">
        <v>26</v>
      </c>
      <c r="C131" s="51" t="s">
        <v>117</v>
      </c>
      <c r="D131" s="52">
        <v>0</v>
      </c>
      <c r="E131" s="54" t="s">
        <v>357</v>
      </c>
      <c r="F131" s="51" t="s">
        <v>354</v>
      </c>
      <c r="G131" s="51" t="s">
        <v>344</v>
      </c>
      <c r="H131" s="52" t="s">
        <v>58</v>
      </c>
      <c r="I131" s="52" t="s">
        <v>58</v>
      </c>
      <c r="J131" s="52">
        <v>0.04</v>
      </c>
      <c r="K131" s="51" t="s">
        <v>143</v>
      </c>
      <c r="L131" s="52">
        <v>28</v>
      </c>
      <c r="M131" s="52">
        <v>0</v>
      </c>
      <c r="N131" s="52">
        <v>1</v>
      </c>
      <c r="O131" s="52">
        <v>0</v>
      </c>
      <c r="P131" s="52">
        <v>0</v>
      </c>
      <c r="Q131" s="52">
        <v>0.04</v>
      </c>
    </row>
    <row r="132" spans="1:17" ht="45.75">
      <c r="A132" s="51">
        <v>2415742680</v>
      </c>
      <c r="B132" s="51" t="s">
        <v>26</v>
      </c>
      <c r="C132" s="51" t="s">
        <v>117</v>
      </c>
      <c r="D132" s="52">
        <v>0</v>
      </c>
      <c r="E132" s="54" t="s">
        <v>357</v>
      </c>
      <c r="F132" s="51" t="s">
        <v>359</v>
      </c>
      <c r="G132" s="51" t="s">
        <v>344</v>
      </c>
      <c r="H132" s="52" t="s">
        <v>58</v>
      </c>
      <c r="I132" s="52" t="s">
        <v>58</v>
      </c>
      <c r="J132" s="52">
        <v>0</v>
      </c>
      <c r="K132" s="51" t="s">
        <v>143</v>
      </c>
      <c r="L132" s="52">
        <v>0</v>
      </c>
      <c r="M132" s="52">
        <v>0</v>
      </c>
      <c r="N132" s="52">
        <v>1</v>
      </c>
      <c r="O132" s="52">
        <v>0</v>
      </c>
      <c r="P132" s="52">
        <v>0</v>
      </c>
      <c r="Q132" s="52">
        <v>0</v>
      </c>
    </row>
    <row r="133" spans="1:17" ht="45.75">
      <c r="A133" s="51">
        <v>2415742680</v>
      </c>
      <c r="B133" s="51" t="s">
        <v>26</v>
      </c>
      <c r="C133" s="51" t="s">
        <v>117</v>
      </c>
      <c r="D133" s="52">
        <v>0</v>
      </c>
      <c r="E133" s="54" t="s">
        <v>357</v>
      </c>
      <c r="F133" s="51" t="s">
        <v>60</v>
      </c>
      <c r="G133" s="51" t="s">
        <v>344</v>
      </c>
      <c r="H133" s="52" t="s">
        <v>58</v>
      </c>
      <c r="I133" s="52" t="s">
        <v>58</v>
      </c>
      <c r="J133" s="52">
        <v>0</v>
      </c>
      <c r="K133" s="51" t="s">
        <v>143</v>
      </c>
      <c r="L133" s="52">
        <v>0</v>
      </c>
      <c r="M133" s="52">
        <v>0</v>
      </c>
      <c r="N133" s="52">
        <v>2</v>
      </c>
      <c r="O133" s="52">
        <v>0</v>
      </c>
      <c r="P133" s="52">
        <v>0</v>
      </c>
      <c r="Q133" s="52">
        <v>0</v>
      </c>
    </row>
    <row r="134" spans="1:17" ht="60.75">
      <c r="A134" s="51">
        <v>2086999506</v>
      </c>
      <c r="B134" s="51" t="s">
        <v>36</v>
      </c>
      <c r="C134" s="51" t="s">
        <v>371</v>
      </c>
      <c r="D134" s="52">
        <v>1</v>
      </c>
      <c r="E134" s="53" t="s">
        <v>343</v>
      </c>
      <c r="F134" s="51" t="s">
        <v>351</v>
      </c>
      <c r="G134" s="51" t="s">
        <v>344</v>
      </c>
      <c r="H134" s="52" t="s">
        <v>345</v>
      </c>
      <c r="I134" s="52" t="s">
        <v>350</v>
      </c>
      <c r="J134" s="52">
        <v>7.65</v>
      </c>
      <c r="K134" s="51" t="s">
        <v>143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  <c r="Q134" s="52">
        <v>0.04</v>
      </c>
    </row>
    <row r="135" spans="1:17" ht="60.75">
      <c r="A135" s="51">
        <v>2086999506</v>
      </c>
      <c r="B135" s="51" t="s">
        <v>36</v>
      </c>
      <c r="C135" s="51" t="s">
        <v>371</v>
      </c>
      <c r="D135" s="52">
        <v>1</v>
      </c>
      <c r="E135" s="53" t="s">
        <v>343</v>
      </c>
      <c r="F135" s="51" t="s">
        <v>439</v>
      </c>
      <c r="G135" s="51" t="s">
        <v>344</v>
      </c>
      <c r="H135" s="52" t="s">
        <v>434</v>
      </c>
      <c r="I135" s="52" t="s">
        <v>345</v>
      </c>
      <c r="J135" s="52">
        <v>7.76</v>
      </c>
      <c r="K135" s="51" t="s">
        <v>143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0.04</v>
      </c>
    </row>
    <row r="136" spans="1:17" ht="60.75">
      <c r="A136" s="51">
        <v>2086999506</v>
      </c>
      <c r="B136" s="51" t="s">
        <v>36</v>
      </c>
      <c r="C136" s="51" t="s">
        <v>371</v>
      </c>
      <c r="D136" s="52">
        <v>0</v>
      </c>
      <c r="E136" s="54" t="s">
        <v>357</v>
      </c>
      <c r="F136" s="51" t="s">
        <v>358</v>
      </c>
      <c r="G136" s="51" t="s">
        <v>344</v>
      </c>
      <c r="H136" s="52" t="s">
        <v>58</v>
      </c>
      <c r="I136" s="52" t="s">
        <v>58</v>
      </c>
      <c r="J136" s="52">
        <v>0</v>
      </c>
      <c r="K136" s="51" t="s">
        <v>143</v>
      </c>
      <c r="L136" s="52">
        <v>0</v>
      </c>
      <c r="M136" s="52">
        <v>0</v>
      </c>
      <c r="N136" s="52">
        <v>2</v>
      </c>
      <c r="O136" s="52">
        <v>0</v>
      </c>
      <c r="P136" s="52">
        <v>0</v>
      </c>
      <c r="Q136" s="52">
        <v>0</v>
      </c>
    </row>
    <row r="137" spans="1:17" ht="45.75">
      <c r="A137" s="51">
        <v>2419349262</v>
      </c>
      <c r="B137" s="51" t="s">
        <v>9</v>
      </c>
      <c r="C137" s="51" t="s">
        <v>366</v>
      </c>
      <c r="D137" s="52">
        <v>1</v>
      </c>
      <c r="E137" s="53" t="s">
        <v>343</v>
      </c>
      <c r="F137" s="51" t="s">
        <v>354</v>
      </c>
      <c r="G137" s="51" t="s">
        <v>344</v>
      </c>
      <c r="H137" s="52" t="s">
        <v>345</v>
      </c>
      <c r="I137" s="52" t="s">
        <v>58</v>
      </c>
      <c r="J137" s="52">
        <v>0.04</v>
      </c>
      <c r="K137" s="51" t="s">
        <v>143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  <c r="Q137" s="52">
        <v>0.04</v>
      </c>
    </row>
    <row r="138" spans="1:17" ht="45.75">
      <c r="A138" s="51">
        <v>2419349262</v>
      </c>
      <c r="B138" s="51" t="s">
        <v>9</v>
      </c>
      <c r="C138" s="51" t="s">
        <v>366</v>
      </c>
      <c r="D138" s="52">
        <v>3</v>
      </c>
      <c r="E138" s="53" t="s">
        <v>343</v>
      </c>
      <c r="F138" s="51" t="s">
        <v>355</v>
      </c>
      <c r="G138" s="51" t="s">
        <v>344</v>
      </c>
      <c r="H138" s="52" t="s">
        <v>345</v>
      </c>
      <c r="I138" s="52" t="s">
        <v>58</v>
      </c>
      <c r="J138" s="52">
        <v>35.24</v>
      </c>
      <c r="K138" s="51" t="s">
        <v>143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  <c r="Q138" s="52">
        <v>7.0000000000000007E-2</v>
      </c>
    </row>
    <row r="139" spans="1:17" ht="45.75">
      <c r="A139" s="51">
        <v>2419349262</v>
      </c>
      <c r="B139" s="51" t="s">
        <v>9</v>
      </c>
      <c r="C139" s="51" t="s">
        <v>366</v>
      </c>
      <c r="D139" s="52">
        <v>1</v>
      </c>
      <c r="E139" s="53" t="s">
        <v>343</v>
      </c>
      <c r="F139" s="51" t="s">
        <v>59</v>
      </c>
      <c r="G139" s="51" t="s">
        <v>344</v>
      </c>
      <c r="H139" s="52" t="s">
        <v>345</v>
      </c>
      <c r="I139" s="52" t="s">
        <v>58</v>
      </c>
      <c r="J139" s="52">
        <v>18.13</v>
      </c>
      <c r="K139" s="51" t="s">
        <v>143</v>
      </c>
      <c r="L139" s="52">
        <v>0</v>
      </c>
      <c r="M139" s="52">
        <v>0</v>
      </c>
      <c r="N139" s="52">
        <v>0</v>
      </c>
      <c r="O139" s="52">
        <v>0</v>
      </c>
      <c r="P139" s="52">
        <v>0</v>
      </c>
      <c r="Q139" s="52">
        <v>0.04</v>
      </c>
    </row>
    <row r="140" spans="1:17" ht="45.75">
      <c r="A140" s="51">
        <v>2419349262</v>
      </c>
      <c r="B140" s="51" t="s">
        <v>9</v>
      </c>
      <c r="C140" s="51" t="s">
        <v>366</v>
      </c>
      <c r="D140" s="52">
        <v>0</v>
      </c>
      <c r="E140" s="54" t="s">
        <v>357</v>
      </c>
      <c r="F140" s="51" t="s">
        <v>356</v>
      </c>
      <c r="G140" s="51" t="s">
        <v>344</v>
      </c>
      <c r="H140" s="52" t="s">
        <v>58</v>
      </c>
      <c r="I140" s="52" t="s">
        <v>58</v>
      </c>
      <c r="J140" s="52">
        <v>0</v>
      </c>
      <c r="K140" s="51" t="s">
        <v>143</v>
      </c>
      <c r="L140" s="52">
        <v>0</v>
      </c>
      <c r="M140" s="52">
        <v>0</v>
      </c>
      <c r="N140" s="52">
        <v>1</v>
      </c>
      <c r="O140" s="52">
        <v>0</v>
      </c>
      <c r="P140" s="52">
        <v>0</v>
      </c>
      <c r="Q140" s="52">
        <v>0</v>
      </c>
    </row>
    <row r="141" spans="1:17" ht="45.75">
      <c r="A141" s="51">
        <v>2419349262</v>
      </c>
      <c r="B141" s="51" t="s">
        <v>9</v>
      </c>
      <c r="C141" s="51" t="s">
        <v>366</v>
      </c>
      <c r="D141" s="52">
        <v>0</v>
      </c>
      <c r="E141" s="54" t="s">
        <v>357</v>
      </c>
      <c r="F141" s="51" t="s">
        <v>438</v>
      </c>
      <c r="G141" s="51" t="s">
        <v>344</v>
      </c>
      <c r="H141" s="52" t="s">
        <v>58</v>
      </c>
      <c r="I141" s="52" t="s">
        <v>58</v>
      </c>
      <c r="J141" s="52">
        <v>0</v>
      </c>
      <c r="K141" s="51" t="s">
        <v>143</v>
      </c>
      <c r="L141" s="52">
        <v>0</v>
      </c>
      <c r="M141" s="52">
        <v>0</v>
      </c>
      <c r="N141" s="52">
        <v>1</v>
      </c>
      <c r="O141" s="52">
        <v>0</v>
      </c>
      <c r="P141" s="52">
        <v>0</v>
      </c>
      <c r="Q141" s="52">
        <v>0</v>
      </c>
    </row>
    <row r="142" spans="1:17" ht="45.75">
      <c r="A142" s="51">
        <v>2419349262</v>
      </c>
      <c r="B142" s="51" t="s">
        <v>9</v>
      </c>
      <c r="C142" s="51" t="s">
        <v>366</v>
      </c>
      <c r="D142" s="52">
        <v>0</v>
      </c>
      <c r="E142" s="54" t="s">
        <v>357</v>
      </c>
      <c r="F142" s="51" t="s">
        <v>60</v>
      </c>
      <c r="G142" s="51" t="s">
        <v>344</v>
      </c>
      <c r="H142" s="52" t="s">
        <v>58</v>
      </c>
      <c r="I142" s="52" t="s">
        <v>58</v>
      </c>
      <c r="J142" s="52">
        <v>0</v>
      </c>
      <c r="K142" s="51" t="s">
        <v>143</v>
      </c>
      <c r="L142" s="52">
        <v>0</v>
      </c>
      <c r="M142" s="52">
        <v>0</v>
      </c>
      <c r="N142" s="52">
        <v>1</v>
      </c>
      <c r="O142" s="52">
        <v>0</v>
      </c>
      <c r="P142" s="52">
        <v>0</v>
      </c>
      <c r="Q142" s="52">
        <v>0</v>
      </c>
    </row>
    <row r="143" spans="1:17" ht="45.75">
      <c r="A143" s="51">
        <v>2419349262</v>
      </c>
      <c r="B143" s="51" t="s">
        <v>9</v>
      </c>
      <c r="C143" s="51" t="s">
        <v>366</v>
      </c>
      <c r="D143" s="52">
        <v>0</v>
      </c>
      <c r="E143" s="54" t="s">
        <v>357</v>
      </c>
      <c r="F143" s="51" t="s">
        <v>437</v>
      </c>
      <c r="G143" s="51" t="s">
        <v>344</v>
      </c>
      <c r="H143" s="52" t="s">
        <v>58</v>
      </c>
      <c r="I143" s="52" t="s">
        <v>58</v>
      </c>
      <c r="J143" s="52">
        <v>0</v>
      </c>
      <c r="K143" s="51" t="s">
        <v>143</v>
      </c>
      <c r="L143" s="52">
        <v>0</v>
      </c>
      <c r="M143" s="52">
        <v>0</v>
      </c>
      <c r="N143" s="52">
        <v>1</v>
      </c>
      <c r="O143" s="52">
        <v>0</v>
      </c>
      <c r="P143" s="52">
        <v>0</v>
      </c>
      <c r="Q143" s="52">
        <v>0</v>
      </c>
    </row>
    <row r="144" spans="1:17" ht="45.75">
      <c r="A144" s="51">
        <v>2419349501</v>
      </c>
      <c r="B144" s="51" t="s">
        <v>12</v>
      </c>
      <c r="C144" s="51" t="s">
        <v>370</v>
      </c>
      <c r="D144" s="52">
        <v>2</v>
      </c>
      <c r="E144" s="53" t="s">
        <v>343</v>
      </c>
      <c r="F144" s="51" t="s">
        <v>355</v>
      </c>
      <c r="G144" s="51" t="s">
        <v>344</v>
      </c>
      <c r="H144" s="52" t="s">
        <v>388</v>
      </c>
      <c r="I144" s="52" t="s">
        <v>58</v>
      </c>
      <c r="J144" s="52">
        <v>46.99</v>
      </c>
      <c r="K144" s="51" t="s">
        <v>143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  <c r="Q144" s="52">
        <v>7.0000000000000007E-2</v>
      </c>
    </row>
    <row r="145" spans="1:17" ht="45.75">
      <c r="A145" s="51">
        <v>2419349501</v>
      </c>
      <c r="B145" s="51" t="s">
        <v>12</v>
      </c>
      <c r="C145" s="51" t="s">
        <v>370</v>
      </c>
      <c r="D145" s="52">
        <v>1</v>
      </c>
      <c r="E145" s="53" t="s">
        <v>343</v>
      </c>
      <c r="F145" s="51" t="s">
        <v>360</v>
      </c>
      <c r="G145" s="51" t="s">
        <v>344</v>
      </c>
      <c r="H145" s="52" t="s">
        <v>345</v>
      </c>
      <c r="I145" s="52" t="s">
        <v>58</v>
      </c>
      <c r="J145" s="52">
        <v>13.3</v>
      </c>
      <c r="K145" s="51" t="s">
        <v>143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0.04</v>
      </c>
    </row>
    <row r="146" spans="1:17" ht="45.75">
      <c r="A146" s="51">
        <v>2419349501</v>
      </c>
      <c r="B146" s="51" t="s">
        <v>12</v>
      </c>
      <c r="C146" s="51" t="s">
        <v>370</v>
      </c>
      <c r="D146" s="52">
        <v>0</v>
      </c>
      <c r="E146" s="54" t="s">
        <v>357</v>
      </c>
      <c r="F146" s="51" t="s">
        <v>438</v>
      </c>
      <c r="G146" s="51" t="s">
        <v>344</v>
      </c>
      <c r="H146" s="52" t="s">
        <v>58</v>
      </c>
      <c r="I146" s="52" t="s">
        <v>58</v>
      </c>
      <c r="J146" s="52">
        <v>0</v>
      </c>
      <c r="K146" s="51" t="s">
        <v>143</v>
      </c>
      <c r="L146" s="52">
        <v>0</v>
      </c>
      <c r="M146" s="52">
        <v>0</v>
      </c>
      <c r="N146" s="52">
        <v>1</v>
      </c>
      <c r="O146" s="52">
        <v>0</v>
      </c>
      <c r="P146" s="52">
        <v>0</v>
      </c>
      <c r="Q146" s="52">
        <v>0</v>
      </c>
    </row>
    <row r="147" spans="1:17" ht="45.75">
      <c r="A147" s="51">
        <v>2419349501</v>
      </c>
      <c r="B147" s="51" t="s">
        <v>12</v>
      </c>
      <c r="C147" s="51" t="s">
        <v>370</v>
      </c>
      <c r="D147" s="52">
        <v>0</v>
      </c>
      <c r="E147" s="54" t="s">
        <v>357</v>
      </c>
      <c r="F147" s="51" t="s">
        <v>351</v>
      </c>
      <c r="G147" s="51" t="s">
        <v>344</v>
      </c>
      <c r="H147" s="52" t="s">
        <v>58</v>
      </c>
      <c r="I147" s="52" t="s">
        <v>58</v>
      </c>
      <c r="J147" s="52">
        <v>0</v>
      </c>
      <c r="K147" s="51" t="s">
        <v>143</v>
      </c>
      <c r="L147" s="52">
        <v>0</v>
      </c>
      <c r="M147" s="52">
        <v>0</v>
      </c>
      <c r="N147" s="52">
        <v>1</v>
      </c>
      <c r="O147" s="52">
        <v>0</v>
      </c>
      <c r="P147" s="52">
        <v>0</v>
      </c>
      <c r="Q147" s="52">
        <v>0</v>
      </c>
    </row>
    <row r="148" spans="1:17" ht="45.75">
      <c r="A148" s="51">
        <v>2419349501</v>
      </c>
      <c r="B148" s="51" t="s">
        <v>12</v>
      </c>
      <c r="C148" s="51" t="s">
        <v>370</v>
      </c>
      <c r="D148" s="52">
        <v>0</v>
      </c>
      <c r="E148" s="54" t="s">
        <v>357</v>
      </c>
      <c r="F148" s="51" t="s">
        <v>361</v>
      </c>
      <c r="G148" s="51" t="s">
        <v>344</v>
      </c>
      <c r="H148" s="52" t="s">
        <v>58</v>
      </c>
      <c r="I148" s="52" t="s">
        <v>58</v>
      </c>
      <c r="J148" s="52">
        <v>0</v>
      </c>
      <c r="K148" s="51" t="s">
        <v>143</v>
      </c>
      <c r="L148" s="52">
        <v>0</v>
      </c>
      <c r="M148" s="52">
        <v>0</v>
      </c>
      <c r="N148" s="52">
        <v>5</v>
      </c>
      <c r="O148" s="52">
        <v>0</v>
      </c>
      <c r="P148" s="52">
        <v>0</v>
      </c>
      <c r="Q148" s="52">
        <v>0</v>
      </c>
    </row>
    <row r="149" spans="1:17" ht="45.75">
      <c r="A149" s="51">
        <v>2419349501</v>
      </c>
      <c r="B149" s="51" t="s">
        <v>12</v>
      </c>
      <c r="C149" s="51" t="s">
        <v>370</v>
      </c>
      <c r="D149" s="52">
        <v>0</v>
      </c>
      <c r="E149" s="54" t="s">
        <v>357</v>
      </c>
      <c r="F149" s="51" t="s">
        <v>356</v>
      </c>
      <c r="G149" s="51" t="s">
        <v>344</v>
      </c>
      <c r="H149" s="52" t="s">
        <v>58</v>
      </c>
      <c r="I149" s="52" t="s">
        <v>58</v>
      </c>
      <c r="J149" s="52">
        <v>0</v>
      </c>
      <c r="K149" s="51" t="s">
        <v>143</v>
      </c>
      <c r="L149" s="52">
        <v>0</v>
      </c>
      <c r="M149" s="52">
        <v>0</v>
      </c>
      <c r="N149" s="52">
        <v>1</v>
      </c>
      <c r="O149" s="52">
        <v>0</v>
      </c>
      <c r="P149" s="52">
        <v>0</v>
      </c>
      <c r="Q149" s="52">
        <v>0</v>
      </c>
    </row>
    <row r="150" spans="1:17" ht="45.75">
      <c r="A150" s="51">
        <v>2415742693</v>
      </c>
      <c r="B150" s="51" t="s">
        <v>214</v>
      </c>
      <c r="C150" s="51" t="s">
        <v>362</v>
      </c>
      <c r="D150" s="52">
        <v>2</v>
      </c>
      <c r="E150" s="53" t="s">
        <v>343</v>
      </c>
      <c r="F150" s="51" t="s">
        <v>355</v>
      </c>
      <c r="G150" s="51" t="s">
        <v>344</v>
      </c>
      <c r="H150" s="52" t="s">
        <v>345</v>
      </c>
      <c r="I150" s="52" t="s">
        <v>347</v>
      </c>
      <c r="J150" s="52">
        <v>8.1300000000000008</v>
      </c>
      <c r="K150" s="51" t="s">
        <v>143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0.04</v>
      </c>
    </row>
    <row r="151" spans="1:17" ht="45.75">
      <c r="A151" s="51">
        <v>2415742693</v>
      </c>
      <c r="B151" s="51" t="s">
        <v>214</v>
      </c>
      <c r="C151" s="51" t="s">
        <v>362</v>
      </c>
      <c r="D151" s="52">
        <v>1</v>
      </c>
      <c r="E151" s="53" t="s">
        <v>343</v>
      </c>
      <c r="F151" s="51" t="s">
        <v>356</v>
      </c>
      <c r="G151" s="51" t="s">
        <v>344</v>
      </c>
      <c r="H151" s="52" t="s">
        <v>470</v>
      </c>
      <c r="I151" s="52" t="s">
        <v>58</v>
      </c>
      <c r="J151" s="52">
        <v>8.9499999999999993</v>
      </c>
      <c r="K151" s="51" t="s">
        <v>143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  <c r="Q151" s="52">
        <v>0.04</v>
      </c>
    </row>
    <row r="152" spans="1:17" ht="45.75">
      <c r="A152" s="51">
        <v>2415742693</v>
      </c>
      <c r="B152" s="51" t="s">
        <v>214</v>
      </c>
      <c r="C152" s="51" t="s">
        <v>362</v>
      </c>
      <c r="D152" s="52">
        <v>1</v>
      </c>
      <c r="E152" s="53" t="s">
        <v>343</v>
      </c>
      <c r="F152" s="51" t="s">
        <v>353</v>
      </c>
      <c r="G152" s="51" t="s">
        <v>344</v>
      </c>
      <c r="H152" s="52" t="s">
        <v>345</v>
      </c>
      <c r="I152" s="52" t="s">
        <v>58</v>
      </c>
      <c r="J152" s="52">
        <v>7.58</v>
      </c>
      <c r="K152" s="51" t="s">
        <v>143</v>
      </c>
      <c r="L152" s="52">
        <v>0</v>
      </c>
      <c r="M152" s="52">
        <v>0</v>
      </c>
      <c r="N152" s="52">
        <v>0</v>
      </c>
      <c r="O152" s="52">
        <v>0</v>
      </c>
      <c r="P152" s="52">
        <v>0</v>
      </c>
      <c r="Q152" s="52">
        <v>0.04</v>
      </c>
    </row>
    <row r="153" spans="1:17" ht="45.75">
      <c r="A153" s="51">
        <v>2415742693</v>
      </c>
      <c r="B153" s="51" t="s">
        <v>214</v>
      </c>
      <c r="C153" s="51" t="s">
        <v>362</v>
      </c>
      <c r="D153" s="52">
        <v>0</v>
      </c>
      <c r="E153" s="54" t="s">
        <v>357</v>
      </c>
      <c r="F153" s="51" t="s">
        <v>436</v>
      </c>
      <c r="G153" s="51" t="s">
        <v>344</v>
      </c>
      <c r="H153" s="52" t="s">
        <v>58</v>
      </c>
      <c r="I153" s="52" t="s">
        <v>345</v>
      </c>
      <c r="J153" s="52">
        <v>8.61</v>
      </c>
      <c r="K153" s="51" t="s">
        <v>143</v>
      </c>
      <c r="L153" s="52">
        <v>28</v>
      </c>
      <c r="M153" s="52">
        <v>0</v>
      </c>
      <c r="N153" s="52">
        <v>1</v>
      </c>
      <c r="O153" s="52">
        <v>0</v>
      </c>
      <c r="P153" s="52">
        <v>0</v>
      </c>
      <c r="Q153" s="52">
        <v>0.04</v>
      </c>
    </row>
    <row r="154" spans="1:17" ht="45.75">
      <c r="A154" s="51">
        <v>2415742693</v>
      </c>
      <c r="B154" s="51" t="s">
        <v>214</v>
      </c>
      <c r="C154" s="51" t="s">
        <v>362</v>
      </c>
      <c r="D154" s="52">
        <v>0</v>
      </c>
      <c r="E154" s="54" t="s">
        <v>357</v>
      </c>
      <c r="F154" s="51" t="s">
        <v>438</v>
      </c>
      <c r="G154" s="51" t="s">
        <v>344</v>
      </c>
      <c r="H154" s="52" t="s">
        <v>58</v>
      </c>
      <c r="I154" s="52" t="s">
        <v>58</v>
      </c>
      <c r="J154" s="52">
        <v>0</v>
      </c>
      <c r="K154" s="51" t="s">
        <v>143</v>
      </c>
      <c r="L154" s="52">
        <v>0</v>
      </c>
      <c r="M154" s="52">
        <v>0</v>
      </c>
      <c r="N154" s="52">
        <v>4</v>
      </c>
      <c r="O154" s="52">
        <v>0</v>
      </c>
      <c r="P154" s="52">
        <v>0</v>
      </c>
      <c r="Q154" s="52">
        <v>0</v>
      </c>
    </row>
    <row r="155" spans="1:17" ht="45.75">
      <c r="A155" s="51">
        <v>2415742693</v>
      </c>
      <c r="B155" s="51" t="s">
        <v>214</v>
      </c>
      <c r="C155" s="51" t="s">
        <v>362</v>
      </c>
      <c r="D155" s="52">
        <v>0</v>
      </c>
      <c r="E155" s="54" t="s">
        <v>357</v>
      </c>
      <c r="F155" s="51" t="s">
        <v>349</v>
      </c>
      <c r="G155" s="51" t="s">
        <v>344</v>
      </c>
      <c r="H155" s="52" t="s">
        <v>58</v>
      </c>
      <c r="I155" s="52" t="s">
        <v>58</v>
      </c>
      <c r="J155" s="52">
        <v>0</v>
      </c>
      <c r="K155" s="51" t="s">
        <v>143</v>
      </c>
      <c r="L155" s="52">
        <v>0</v>
      </c>
      <c r="M155" s="52">
        <v>0</v>
      </c>
      <c r="N155" s="52">
        <v>3</v>
      </c>
      <c r="O155" s="52">
        <v>0</v>
      </c>
      <c r="P155" s="52">
        <v>0</v>
      </c>
      <c r="Q155" s="52">
        <v>0</v>
      </c>
    </row>
    <row r="156" spans="1:17" ht="45.75">
      <c r="A156" s="51">
        <v>2415742693</v>
      </c>
      <c r="B156" s="51" t="s">
        <v>214</v>
      </c>
      <c r="C156" s="51" t="s">
        <v>362</v>
      </c>
      <c r="D156" s="52">
        <v>0</v>
      </c>
      <c r="E156" s="54" t="s">
        <v>357</v>
      </c>
      <c r="F156" s="51" t="s">
        <v>64</v>
      </c>
      <c r="G156" s="51" t="s">
        <v>344</v>
      </c>
      <c r="H156" s="52" t="s">
        <v>58</v>
      </c>
      <c r="I156" s="52" t="s">
        <v>58</v>
      </c>
      <c r="J156" s="52">
        <v>0</v>
      </c>
      <c r="K156" s="51" t="s">
        <v>143</v>
      </c>
      <c r="L156" s="52">
        <v>0</v>
      </c>
      <c r="M156" s="52">
        <v>0</v>
      </c>
      <c r="N156" s="52">
        <v>1</v>
      </c>
      <c r="O156" s="52">
        <v>0</v>
      </c>
      <c r="P156" s="52">
        <v>0</v>
      </c>
      <c r="Q156" s="52">
        <v>0</v>
      </c>
    </row>
    <row r="157" spans="1:17" ht="45.75">
      <c r="A157" s="51">
        <v>2415742693</v>
      </c>
      <c r="B157" s="51" t="s">
        <v>214</v>
      </c>
      <c r="C157" s="51" t="s">
        <v>362</v>
      </c>
      <c r="D157" s="52">
        <v>0</v>
      </c>
      <c r="E157" s="54" t="s">
        <v>357</v>
      </c>
      <c r="F157" s="51" t="s">
        <v>59</v>
      </c>
      <c r="G157" s="51" t="s">
        <v>344</v>
      </c>
      <c r="H157" s="52" t="s">
        <v>58</v>
      </c>
      <c r="I157" s="52" t="s">
        <v>58</v>
      </c>
      <c r="J157" s="52">
        <v>0</v>
      </c>
      <c r="K157" s="51" t="s">
        <v>143</v>
      </c>
      <c r="L157" s="52">
        <v>0</v>
      </c>
      <c r="M157" s="52">
        <v>0</v>
      </c>
      <c r="N157" s="52">
        <v>1</v>
      </c>
      <c r="O157" s="52">
        <v>0</v>
      </c>
      <c r="P157" s="52">
        <v>0</v>
      </c>
      <c r="Q157" s="52">
        <v>0</v>
      </c>
    </row>
    <row r="158" spans="1:17" ht="45.75">
      <c r="A158" s="51">
        <v>1980946313</v>
      </c>
      <c r="B158" s="51" t="s">
        <v>21</v>
      </c>
      <c r="C158" s="51" t="s">
        <v>219</v>
      </c>
      <c r="D158" s="52">
        <v>4</v>
      </c>
      <c r="E158" s="53" t="s">
        <v>343</v>
      </c>
      <c r="F158" s="51" t="s">
        <v>351</v>
      </c>
      <c r="G158" s="51" t="s">
        <v>344</v>
      </c>
      <c r="H158" s="52" t="s">
        <v>471</v>
      </c>
      <c r="I158" s="52" t="s">
        <v>345</v>
      </c>
      <c r="J158" s="52">
        <v>163.72</v>
      </c>
      <c r="K158" s="51" t="s">
        <v>143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0.28999999999999998</v>
      </c>
    </row>
    <row r="159" spans="1:17" ht="45.75">
      <c r="A159" s="51">
        <v>1980946313</v>
      </c>
      <c r="B159" s="51" t="s">
        <v>21</v>
      </c>
      <c r="C159" s="51" t="s">
        <v>219</v>
      </c>
      <c r="D159" s="52">
        <v>1</v>
      </c>
      <c r="E159" s="53" t="s">
        <v>343</v>
      </c>
      <c r="F159" s="51" t="s">
        <v>359</v>
      </c>
      <c r="G159" s="51" t="s">
        <v>344</v>
      </c>
      <c r="H159" s="52" t="s">
        <v>345</v>
      </c>
      <c r="I159" s="52" t="s">
        <v>58</v>
      </c>
      <c r="J159" s="52">
        <v>20.13</v>
      </c>
      <c r="K159" s="51" t="s">
        <v>143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  <c r="Q159" s="52">
        <v>0.04</v>
      </c>
    </row>
    <row r="160" spans="1:17" ht="45.75">
      <c r="A160" s="51">
        <v>1980946313</v>
      </c>
      <c r="B160" s="51" t="s">
        <v>21</v>
      </c>
      <c r="C160" s="51" t="s">
        <v>219</v>
      </c>
      <c r="D160" s="52">
        <v>1</v>
      </c>
      <c r="E160" s="53" t="s">
        <v>343</v>
      </c>
      <c r="F160" s="51" t="s">
        <v>353</v>
      </c>
      <c r="G160" s="51" t="s">
        <v>344</v>
      </c>
      <c r="H160" s="52" t="s">
        <v>345</v>
      </c>
      <c r="I160" s="52" t="s">
        <v>58</v>
      </c>
      <c r="J160" s="52">
        <v>19.399999999999999</v>
      </c>
      <c r="K160" s="51" t="s">
        <v>143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  <c r="Q160" s="52">
        <v>0.04</v>
      </c>
    </row>
    <row r="161" spans="1:17" ht="45.75">
      <c r="A161" s="51">
        <v>1980946313</v>
      </c>
      <c r="B161" s="51" t="s">
        <v>21</v>
      </c>
      <c r="C161" s="51" t="s">
        <v>219</v>
      </c>
      <c r="D161" s="52">
        <v>1</v>
      </c>
      <c r="E161" s="53" t="s">
        <v>343</v>
      </c>
      <c r="F161" s="51" t="s">
        <v>436</v>
      </c>
      <c r="G161" s="51" t="s">
        <v>344</v>
      </c>
      <c r="H161" s="52" t="s">
        <v>377</v>
      </c>
      <c r="I161" s="52" t="s">
        <v>58</v>
      </c>
      <c r="J161" s="52">
        <v>41.87</v>
      </c>
      <c r="K161" s="51" t="s">
        <v>143</v>
      </c>
      <c r="L161" s="52">
        <v>14</v>
      </c>
      <c r="M161" s="52">
        <v>0</v>
      </c>
      <c r="N161" s="52">
        <v>1</v>
      </c>
      <c r="O161" s="52">
        <v>0</v>
      </c>
      <c r="P161" s="52">
        <v>0</v>
      </c>
      <c r="Q161" s="52">
        <v>7.0000000000000007E-2</v>
      </c>
    </row>
    <row r="162" spans="1:17" ht="45.75">
      <c r="A162" s="51">
        <v>1980946313</v>
      </c>
      <c r="B162" s="51" t="s">
        <v>21</v>
      </c>
      <c r="C162" s="51" t="s">
        <v>219</v>
      </c>
      <c r="D162" s="52">
        <v>0</v>
      </c>
      <c r="E162" s="54" t="s">
        <v>357</v>
      </c>
      <c r="F162" s="51" t="s">
        <v>354</v>
      </c>
      <c r="G162" s="51" t="s">
        <v>344</v>
      </c>
      <c r="H162" s="52" t="s">
        <v>58</v>
      </c>
      <c r="I162" s="52" t="s">
        <v>58</v>
      </c>
      <c r="J162" s="52">
        <v>0</v>
      </c>
      <c r="K162" s="51" t="s">
        <v>143</v>
      </c>
      <c r="L162" s="52">
        <v>0</v>
      </c>
      <c r="M162" s="52">
        <v>0</v>
      </c>
      <c r="N162" s="52">
        <v>14</v>
      </c>
      <c r="O162" s="52">
        <v>0</v>
      </c>
      <c r="P162" s="52">
        <v>0</v>
      </c>
      <c r="Q162" s="52">
        <v>0</v>
      </c>
    </row>
    <row r="163" spans="1:17" ht="60.75">
      <c r="A163" s="51">
        <v>2138709303</v>
      </c>
      <c r="B163" s="51" t="s">
        <v>8</v>
      </c>
      <c r="C163" s="51" t="s">
        <v>442</v>
      </c>
      <c r="D163" s="52">
        <v>1</v>
      </c>
      <c r="E163" s="53" t="s">
        <v>343</v>
      </c>
      <c r="F163" s="51" t="s">
        <v>436</v>
      </c>
      <c r="G163" s="51" t="s">
        <v>344</v>
      </c>
      <c r="H163" s="52" t="s">
        <v>486</v>
      </c>
      <c r="I163" s="52" t="s">
        <v>345</v>
      </c>
      <c r="J163" s="52">
        <v>7.25</v>
      </c>
      <c r="K163" s="51" t="s">
        <v>143</v>
      </c>
      <c r="L163" s="52">
        <v>0</v>
      </c>
      <c r="M163" s="52">
        <v>0</v>
      </c>
      <c r="N163" s="52">
        <v>0</v>
      </c>
      <c r="O163" s="52">
        <v>0</v>
      </c>
      <c r="P163" s="52">
        <v>0</v>
      </c>
      <c r="Q163" s="52">
        <v>0.04</v>
      </c>
    </row>
    <row r="164" spans="1:17" ht="60.75">
      <c r="A164" s="51">
        <v>2138709303</v>
      </c>
      <c r="B164" s="51" t="s">
        <v>8</v>
      </c>
      <c r="C164" s="51" t="s">
        <v>442</v>
      </c>
      <c r="D164" s="52">
        <v>1</v>
      </c>
      <c r="E164" s="53" t="s">
        <v>343</v>
      </c>
      <c r="F164" s="51" t="s">
        <v>59</v>
      </c>
      <c r="G164" s="51" t="s">
        <v>344</v>
      </c>
      <c r="H164" s="52" t="s">
        <v>345</v>
      </c>
      <c r="I164" s="52" t="s">
        <v>58</v>
      </c>
      <c r="J164" s="52">
        <v>8.61</v>
      </c>
      <c r="K164" s="51" t="s">
        <v>143</v>
      </c>
      <c r="L164" s="52">
        <v>0</v>
      </c>
      <c r="M164" s="52">
        <v>0</v>
      </c>
      <c r="N164" s="52">
        <v>0</v>
      </c>
      <c r="O164" s="52">
        <v>0</v>
      </c>
      <c r="P164" s="52">
        <v>0</v>
      </c>
      <c r="Q164" s="52">
        <v>0.04</v>
      </c>
    </row>
    <row r="165" spans="1:17" ht="60.75">
      <c r="A165" s="51">
        <v>2138709303</v>
      </c>
      <c r="B165" s="51" t="s">
        <v>8</v>
      </c>
      <c r="C165" s="51" t="s">
        <v>442</v>
      </c>
      <c r="D165" s="52">
        <v>1</v>
      </c>
      <c r="E165" s="53" t="s">
        <v>343</v>
      </c>
      <c r="F165" s="51" t="s">
        <v>354</v>
      </c>
      <c r="G165" s="51" t="s">
        <v>344</v>
      </c>
      <c r="H165" s="52" t="s">
        <v>345</v>
      </c>
      <c r="I165" s="52" t="s">
        <v>58</v>
      </c>
      <c r="J165" s="52">
        <v>8.5</v>
      </c>
      <c r="K165" s="51" t="s">
        <v>143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0.04</v>
      </c>
    </row>
    <row r="166" spans="1:17" ht="60.75">
      <c r="A166" s="51">
        <v>2138709303</v>
      </c>
      <c r="B166" s="51" t="s">
        <v>8</v>
      </c>
      <c r="C166" s="51" t="s">
        <v>442</v>
      </c>
      <c r="D166" s="52">
        <v>1</v>
      </c>
      <c r="E166" s="53" t="s">
        <v>343</v>
      </c>
      <c r="F166" s="51" t="s">
        <v>435</v>
      </c>
      <c r="G166" s="51" t="s">
        <v>344</v>
      </c>
      <c r="H166" s="52" t="s">
        <v>345</v>
      </c>
      <c r="I166" s="52" t="s">
        <v>58</v>
      </c>
      <c r="J166" s="52">
        <v>8.1300000000000008</v>
      </c>
      <c r="K166" s="51" t="s">
        <v>143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  <c r="Q166" s="52">
        <v>0.04</v>
      </c>
    </row>
    <row r="167" spans="1:17" ht="60.75">
      <c r="A167" s="51">
        <v>2138709303</v>
      </c>
      <c r="B167" s="51" t="s">
        <v>8</v>
      </c>
      <c r="C167" s="51" t="s">
        <v>442</v>
      </c>
      <c r="D167" s="52">
        <v>0</v>
      </c>
      <c r="E167" s="54" t="s">
        <v>357</v>
      </c>
      <c r="F167" s="51" t="s">
        <v>348</v>
      </c>
      <c r="G167" s="51" t="s">
        <v>344</v>
      </c>
      <c r="H167" s="52" t="s">
        <v>58</v>
      </c>
      <c r="I167" s="52" t="s">
        <v>58</v>
      </c>
      <c r="J167" s="52">
        <v>0</v>
      </c>
      <c r="K167" s="51" t="s">
        <v>143</v>
      </c>
      <c r="L167" s="52">
        <v>0</v>
      </c>
      <c r="M167" s="52">
        <v>0</v>
      </c>
      <c r="N167" s="52">
        <v>1</v>
      </c>
      <c r="O167" s="52">
        <v>0</v>
      </c>
      <c r="P167" s="52">
        <v>0</v>
      </c>
      <c r="Q167" s="52">
        <v>0</v>
      </c>
    </row>
    <row r="168" spans="1:17" ht="60.75">
      <c r="A168" s="51">
        <v>2138709303</v>
      </c>
      <c r="B168" s="51" t="s">
        <v>8</v>
      </c>
      <c r="C168" s="51" t="s">
        <v>442</v>
      </c>
      <c r="D168" s="52">
        <v>0</v>
      </c>
      <c r="E168" s="54" t="s">
        <v>357</v>
      </c>
      <c r="F168" s="51" t="s">
        <v>438</v>
      </c>
      <c r="G168" s="51" t="s">
        <v>344</v>
      </c>
      <c r="H168" s="52" t="s">
        <v>58</v>
      </c>
      <c r="I168" s="52" t="s">
        <v>58</v>
      </c>
      <c r="J168" s="52">
        <v>0</v>
      </c>
      <c r="K168" s="51" t="s">
        <v>143</v>
      </c>
      <c r="L168" s="52">
        <v>0</v>
      </c>
      <c r="M168" s="52">
        <v>0</v>
      </c>
      <c r="N168" s="52">
        <v>2</v>
      </c>
      <c r="O168" s="52">
        <v>0</v>
      </c>
      <c r="P168" s="52">
        <v>0</v>
      </c>
      <c r="Q168" s="52">
        <v>0</v>
      </c>
    </row>
    <row r="169" spans="1:17" ht="60.75">
      <c r="A169" s="51">
        <v>2419349210</v>
      </c>
      <c r="B169" s="51" t="s">
        <v>6</v>
      </c>
      <c r="C169" s="51" t="s">
        <v>280</v>
      </c>
      <c r="D169" s="52">
        <v>2</v>
      </c>
      <c r="E169" s="53" t="s">
        <v>343</v>
      </c>
      <c r="F169" s="51" t="s">
        <v>355</v>
      </c>
      <c r="G169" s="51" t="s">
        <v>344</v>
      </c>
      <c r="H169" s="52" t="s">
        <v>376</v>
      </c>
      <c r="I169" s="52" t="s">
        <v>58</v>
      </c>
      <c r="J169" s="52">
        <v>720.38</v>
      </c>
      <c r="K169" s="51" t="s">
        <v>143</v>
      </c>
      <c r="L169" s="52">
        <v>0</v>
      </c>
      <c r="M169" s="52">
        <v>0</v>
      </c>
      <c r="N169" s="52">
        <v>0</v>
      </c>
      <c r="O169" s="52">
        <v>0</v>
      </c>
      <c r="P169" s="52">
        <v>0</v>
      </c>
      <c r="Q169" s="52">
        <v>1</v>
      </c>
    </row>
    <row r="170" spans="1:17" ht="45.75">
      <c r="A170" s="51">
        <v>1980924996</v>
      </c>
      <c r="B170" s="51" t="s">
        <v>185</v>
      </c>
      <c r="C170" s="51" t="s">
        <v>362</v>
      </c>
      <c r="D170" s="52">
        <v>1</v>
      </c>
      <c r="E170" s="53" t="s">
        <v>343</v>
      </c>
      <c r="F170" s="51" t="s">
        <v>355</v>
      </c>
      <c r="G170" s="51" t="s">
        <v>344</v>
      </c>
      <c r="H170" s="52" t="s">
        <v>388</v>
      </c>
      <c r="I170" s="52" t="s">
        <v>347</v>
      </c>
      <c r="J170" s="52">
        <v>71.19</v>
      </c>
      <c r="K170" s="51" t="s">
        <v>143</v>
      </c>
      <c r="L170" s="52">
        <v>3</v>
      </c>
      <c r="M170" s="52">
        <v>0</v>
      </c>
      <c r="N170" s="52">
        <v>1</v>
      </c>
      <c r="O170" s="52">
        <v>0</v>
      </c>
      <c r="P170" s="52">
        <v>0</v>
      </c>
      <c r="Q170" s="52">
        <v>0.3</v>
      </c>
    </row>
    <row r="171" spans="1:17" ht="30.75">
      <c r="A171" s="51">
        <v>2409846808</v>
      </c>
      <c r="B171" s="51" t="s">
        <v>298</v>
      </c>
      <c r="C171" s="51" t="s">
        <v>172</v>
      </c>
      <c r="D171" s="52">
        <v>1</v>
      </c>
      <c r="E171" s="53" t="s">
        <v>343</v>
      </c>
      <c r="F171" s="51" t="s">
        <v>355</v>
      </c>
      <c r="G171" s="51" t="s">
        <v>344</v>
      </c>
      <c r="H171" s="52" t="s">
        <v>389</v>
      </c>
      <c r="I171" s="52" t="s">
        <v>58</v>
      </c>
      <c r="J171" s="52">
        <v>72.47</v>
      </c>
      <c r="K171" s="51" t="s">
        <v>143</v>
      </c>
      <c r="L171" s="52">
        <v>7</v>
      </c>
      <c r="M171" s="52">
        <v>0</v>
      </c>
      <c r="N171" s="52">
        <v>1</v>
      </c>
      <c r="O171" s="52">
        <v>0</v>
      </c>
      <c r="P171" s="52">
        <v>0</v>
      </c>
      <c r="Q171" s="52">
        <v>0.14000000000000001</v>
      </c>
    </row>
    <row r="172" spans="1:17" ht="30.75">
      <c r="A172" s="51">
        <v>2409846808</v>
      </c>
      <c r="B172" s="51" t="s">
        <v>298</v>
      </c>
      <c r="C172" s="51" t="s">
        <v>172</v>
      </c>
      <c r="D172" s="52">
        <v>0</v>
      </c>
      <c r="E172" s="54" t="s">
        <v>357</v>
      </c>
      <c r="F172" s="51" t="s">
        <v>354</v>
      </c>
      <c r="G172" s="51" t="s">
        <v>344</v>
      </c>
      <c r="H172" s="52" t="s">
        <v>58</v>
      </c>
      <c r="I172" s="52" t="s">
        <v>345</v>
      </c>
      <c r="J172" s="52">
        <v>17.52</v>
      </c>
      <c r="K172" s="51" t="s">
        <v>143</v>
      </c>
      <c r="L172" s="52">
        <v>56</v>
      </c>
      <c r="M172" s="52">
        <v>0</v>
      </c>
      <c r="N172" s="52">
        <v>2</v>
      </c>
      <c r="O172" s="52">
        <v>0</v>
      </c>
      <c r="P172" s="52">
        <v>0</v>
      </c>
      <c r="Q172" s="52">
        <v>0.04</v>
      </c>
    </row>
    <row r="173" spans="1:17" ht="30.75">
      <c r="A173" s="51">
        <v>2409846808</v>
      </c>
      <c r="B173" s="51" t="s">
        <v>298</v>
      </c>
      <c r="C173" s="51" t="s">
        <v>172</v>
      </c>
      <c r="D173" s="52">
        <v>0</v>
      </c>
      <c r="E173" s="54" t="s">
        <v>357</v>
      </c>
      <c r="F173" s="51" t="s">
        <v>94</v>
      </c>
      <c r="G173" s="51" t="s">
        <v>344</v>
      </c>
      <c r="H173" s="52" t="s">
        <v>58</v>
      </c>
      <c r="I173" s="52" t="s">
        <v>58</v>
      </c>
      <c r="J173" s="52">
        <v>0</v>
      </c>
      <c r="K173" s="51" t="s">
        <v>143</v>
      </c>
      <c r="L173" s="52">
        <v>0</v>
      </c>
      <c r="M173" s="52">
        <v>0</v>
      </c>
      <c r="N173" s="52">
        <v>1</v>
      </c>
      <c r="O173" s="52">
        <v>0</v>
      </c>
      <c r="P173" s="52">
        <v>0</v>
      </c>
      <c r="Q173" s="52">
        <v>0</v>
      </c>
    </row>
    <row r="174" spans="1:17" ht="30.75">
      <c r="A174" s="51">
        <v>2409846808</v>
      </c>
      <c r="B174" s="51" t="s">
        <v>298</v>
      </c>
      <c r="C174" s="51" t="s">
        <v>172</v>
      </c>
      <c r="D174" s="52">
        <v>0</v>
      </c>
      <c r="E174" s="54" t="s">
        <v>357</v>
      </c>
      <c r="F174" s="51" t="s">
        <v>438</v>
      </c>
      <c r="G174" s="51" t="s">
        <v>344</v>
      </c>
      <c r="H174" s="52" t="s">
        <v>58</v>
      </c>
      <c r="I174" s="52" t="s">
        <v>58</v>
      </c>
      <c r="J174" s="52">
        <v>0</v>
      </c>
      <c r="K174" s="51" t="s">
        <v>143</v>
      </c>
      <c r="L174" s="52">
        <v>0</v>
      </c>
      <c r="M174" s="52">
        <v>0</v>
      </c>
      <c r="N174" s="52">
        <v>2</v>
      </c>
      <c r="O174" s="52">
        <v>0</v>
      </c>
      <c r="P174" s="52">
        <v>0</v>
      </c>
      <c r="Q174" s="52">
        <v>0</v>
      </c>
    </row>
    <row r="175" spans="1:17" ht="30.75">
      <c r="A175" s="51">
        <v>2409846808</v>
      </c>
      <c r="B175" s="51" t="s">
        <v>298</v>
      </c>
      <c r="C175" s="51" t="s">
        <v>172</v>
      </c>
      <c r="D175" s="52">
        <v>0</v>
      </c>
      <c r="E175" s="54" t="s">
        <v>357</v>
      </c>
      <c r="F175" s="51" t="s">
        <v>356</v>
      </c>
      <c r="G175" s="51" t="s">
        <v>344</v>
      </c>
      <c r="H175" s="52" t="s">
        <v>58</v>
      </c>
      <c r="I175" s="52" t="s">
        <v>58</v>
      </c>
      <c r="J175" s="52">
        <v>0</v>
      </c>
      <c r="K175" s="51" t="s">
        <v>143</v>
      </c>
      <c r="L175" s="52">
        <v>0</v>
      </c>
      <c r="M175" s="52">
        <v>0</v>
      </c>
      <c r="N175" s="52">
        <v>1</v>
      </c>
      <c r="O175" s="52">
        <v>0</v>
      </c>
      <c r="P175" s="52">
        <v>0</v>
      </c>
      <c r="Q175" s="52">
        <v>0</v>
      </c>
    </row>
    <row r="176" spans="1:17" ht="30.75">
      <c r="A176" s="51">
        <v>2409846808</v>
      </c>
      <c r="B176" s="51" t="s">
        <v>298</v>
      </c>
      <c r="C176" s="51" t="s">
        <v>172</v>
      </c>
      <c r="D176" s="52">
        <v>0</v>
      </c>
      <c r="E176" s="54" t="s">
        <v>357</v>
      </c>
      <c r="F176" s="51" t="s">
        <v>439</v>
      </c>
      <c r="G176" s="51" t="s">
        <v>344</v>
      </c>
      <c r="H176" s="52" t="s">
        <v>58</v>
      </c>
      <c r="I176" s="52" t="s">
        <v>58</v>
      </c>
      <c r="J176" s="52">
        <v>0</v>
      </c>
      <c r="K176" s="51" t="s">
        <v>143</v>
      </c>
      <c r="L176" s="52">
        <v>0</v>
      </c>
      <c r="M176" s="52">
        <v>0</v>
      </c>
      <c r="N176" s="52">
        <v>4</v>
      </c>
      <c r="O176" s="52">
        <v>0</v>
      </c>
      <c r="P176" s="52">
        <v>0</v>
      </c>
      <c r="Q176" s="52">
        <v>0</v>
      </c>
    </row>
    <row r="177" spans="1:17" ht="30.75">
      <c r="A177" s="51">
        <v>2409846808</v>
      </c>
      <c r="B177" s="51" t="s">
        <v>298</v>
      </c>
      <c r="C177" s="51" t="s">
        <v>172</v>
      </c>
      <c r="D177" s="52">
        <v>0</v>
      </c>
      <c r="E177" s="54" t="s">
        <v>357</v>
      </c>
      <c r="F177" s="51" t="s">
        <v>358</v>
      </c>
      <c r="G177" s="51" t="s">
        <v>344</v>
      </c>
      <c r="H177" s="52" t="s">
        <v>58</v>
      </c>
      <c r="I177" s="52" t="s">
        <v>58</v>
      </c>
      <c r="J177" s="52">
        <v>0</v>
      </c>
      <c r="K177" s="51" t="s">
        <v>143</v>
      </c>
      <c r="L177" s="52">
        <v>0</v>
      </c>
      <c r="M177" s="52">
        <v>0</v>
      </c>
      <c r="N177" s="52">
        <v>8</v>
      </c>
      <c r="O177" s="52">
        <v>0</v>
      </c>
      <c r="P177" s="52">
        <v>0</v>
      </c>
      <c r="Q177" s="52">
        <v>0</v>
      </c>
    </row>
    <row r="178" spans="1:17" ht="30.75">
      <c r="A178" s="51">
        <v>2409846808</v>
      </c>
      <c r="B178" s="51" t="s">
        <v>298</v>
      </c>
      <c r="C178" s="51" t="s">
        <v>172</v>
      </c>
      <c r="D178" s="52">
        <v>0</v>
      </c>
      <c r="E178" s="54" t="s">
        <v>357</v>
      </c>
      <c r="F178" s="51" t="s">
        <v>64</v>
      </c>
      <c r="G178" s="51" t="s">
        <v>344</v>
      </c>
      <c r="H178" s="52" t="s">
        <v>58</v>
      </c>
      <c r="I178" s="52" t="s">
        <v>58</v>
      </c>
      <c r="J178" s="52">
        <v>0</v>
      </c>
      <c r="K178" s="51" t="s">
        <v>143</v>
      </c>
      <c r="L178" s="52">
        <v>0</v>
      </c>
      <c r="M178" s="52">
        <v>0</v>
      </c>
      <c r="N178" s="52">
        <v>2</v>
      </c>
      <c r="O178" s="52">
        <v>0</v>
      </c>
      <c r="P178" s="52">
        <v>0</v>
      </c>
      <c r="Q178" s="52">
        <v>0</v>
      </c>
    </row>
    <row r="179" spans="1:17" ht="45.75">
      <c r="A179" s="51">
        <v>1980924906</v>
      </c>
      <c r="B179" s="51" t="s">
        <v>178</v>
      </c>
      <c r="C179" s="51" t="s">
        <v>362</v>
      </c>
      <c r="D179" s="52">
        <v>0</v>
      </c>
      <c r="E179" s="54" t="s">
        <v>357</v>
      </c>
      <c r="F179" s="51" t="s">
        <v>355</v>
      </c>
      <c r="G179" s="51" t="s">
        <v>344</v>
      </c>
      <c r="H179" s="52" t="s">
        <v>58</v>
      </c>
      <c r="I179" s="52" t="s">
        <v>58</v>
      </c>
      <c r="J179" s="52">
        <v>0</v>
      </c>
      <c r="K179" s="51" t="s">
        <v>143</v>
      </c>
      <c r="L179" s="52">
        <v>0</v>
      </c>
      <c r="M179" s="52">
        <v>0</v>
      </c>
      <c r="N179" s="52">
        <v>1</v>
      </c>
      <c r="O179" s="52">
        <v>0</v>
      </c>
      <c r="P179" s="52">
        <v>0</v>
      </c>
      <c r="Q179" s="52">
        <v>0</v>
      </c>
    </row>
    <row r="180" spans="1:17" ht="60.75">
      <c r="A180" s="51">
        <v>2419349360</v>
      </c>
      <c r="B180" s="51" t="s">
        <v>15</v>
      </c>
      <c r="C180" s="51" t="s">
        <v>367</v>
      </c>
      <c r="D180" s="52">
        <v>0</v>
      </c>
      <c r="E180" s="54" t="s">
        <v>357</v>
      </c>
      <c r="F180" s="51" t="s">
        <v>356</v>
      </c>
      <c r="G180" s="51" t="s">
        <v>344</v>
      </c>
      <c r="H180" s="52" t="s">
        <v>58</v>
      </c>
      <c r="I180" s="52" t="s">
        <v>58</v>
      </c>
      <c r="J180" s="52">
        <v>0</v>
      </c>
      <c r="K180" s="51" t="s">
        <v>143</v>
      </c>
      <c r="L180" s="52">
        <v>0</v>
      </c>
      <c r="M180" s="52">
        <v>0</v>
      </c>
      <c r="N180" s="52">
        <v>3</v>
      </c>
      <c r="O180" s="52">
        <v>0</v>
      </c>
      <c r="P180" s="52">
        <v>0</v>
      </c>
      <c r="Q180" s="52">
        <v>0</v>
      </c>
    </row>
    <row r="181" spans="1:17" ht="60.75">
      <c r="A181" s="51">
        <v>2419349360</v>
      </c>
      <c r="B181" s="51" t="s">
        <v>15</v>
      </c>
      <c r="C181" s="51" t="s">
        <v>367</v>
      </c>
      <c r="D181" s="52">
        <v>0</v>
      </c>
      <c r="E181" s="54" t="s">
        <v>357</v>
      </c>
      <c r="F181" s="51" t="s">
        <v>354</v>
      </c>
      <c r="G181" s="51" t="s">
        <v>344</v>
      </c>
      <c r="H181" s="52" t="s">
        <v>58</v>
      </c>
      <c r="I181" s="52" t="s">
        <v>58</v>
      </c>
      <c r="J181" s="52">
        <v>0</v>
      </c>
      <c r="K181" s="51" t="s">
        <v>143</v>
      </c>
      <c r="L181" s="52">
        <v>0</v>
      </c>
      <c r="M181" s="52">
        <v>0</v>
      </c>
      <c r="N181" s="52">
        <v>1</v>
      </c>
      <c r="O181" s="52">
        <v>0</v>
      </c>
      <c r="P181" s="52">
        <v>0</v>
      </c>
      <c r="Q181" s="52">
        <v>0</v>
      </c>
    </row>
    <row r="182" spans="1:17" ht="60.75">
      <c r="A182" s="51">
        <v>2419349360</v>
      </c>
      <c r="B182" s="51" t="s">
        <v>15</v>
      </c>
      <c r="C182" s="51" t="s">
        <v>367</v>
      </c>
      <c r="D182" s="52">
        <v>0</v>
      </c>
      <c r="E182" s="54" t="s">
        <v>357</v>
      </c>
      <c r="F182" s="51" t="s">
        <v>351</v>
      </c>
      <c r="G182" s="51" t="s">
        <v>344</v>
      </c>
      <c r="H182" s="52" t="s">
        <v>58</v>
      </c>
      <c r="I182" s="52" t="s">
        <v>58</v>
      </c>
      <c r="J182" s="52">
        <v>0</v>
      </c>
      <c r="K182" s="51" t="s">
        <v>143</v>
      </c>
      <c r="L182" s="52">
        <v>0</v>
      </c>
      <c r="M182" s="52">
        <v>0</v>
      </c>
      <c r="N182" s="52">
        <v>4</v>
      </c>
      <c r="O182" s="52">
        <v>0</v>
      </c>
      <c r="P182" s="52">
        <v>0</v>
      </c>
      <c r="Q182" s="52">
        <v>0</v>
      </c>
    </row>
    <row r="183" spans="1:17" ht="60.75">
      <c r="A183" s="51">
        <v>2419349360</v>
      </c>
      <c r="B183" s="51" t="s">
        <v>15</v>
      </c>
      <c r="C183" s="51" t="s">
        <v>367</v>
      </c>
      <c r="D183" s="52">
        <v>0</v>
      </c>
      <c r="E183" s="54" t="s">
        <v>357</v>
      </c>
      <c r="F183" s="51" t="s">
        <v>348</v>
      </c>
      <c r="G183" s="51" t="s">
        <v>344</v>
      </c>
      <c r="H183" s="52" t="s">
        <v>58</v>
      </c>
      <c r="I183" s="52" t="s">
        <v>58</v>
      </c>
      <c r="J183" s="52">
        <v>0</v>
      </c>
      <c r="K183" s="51" t="s">
        <v>143</v>
      </c>
      <c r="L183" s="52">
        <v>0</v>
      </c>
      <c r="M183" s="52">
        <v>0</v>
      </c>
      <c r="N183" s="52">
        <v>1</v>
      </c>
      <c r="O183" s="52">
        <v>0</v>
      </c>
      <c r="P183" s="52">
        <v>0</v>
      </c>
      <c r="Q183" s="52">
        <v>0</v>
      </c>
    </row>
    <row r="184" spans="1:17" ht="60.75">
      <c r="A184" s="51">
        <v>2419349360</v>
      </c>
      <c r="B184" s="51" t="s">
        <v>15</v>
      </c>
      <c r="C184" s="51" t="s">
        <v>367</v>
      </c>
      <c r="D184" s="52">
        <v>0</v>
      </c>
      <c r="E184" s="54" t="s">
        <v>357</v>
      </c>
      <c r="F184" s="51" t="s">
        <v>349</v>
      </c>
      <c r="G184" s="51" t="s">
        <v>344</v>
      </c>
      <c r="H184" s="52" t="s">
        <v>58</v>
      </c>
      <c r="I184" s="52" t="s">
        <v>58</v>
      </c>
      <c r="J184" s="52">
        <v>0</v>
      </c>
      <c r="K184" s="51" t="s">
        <v>143</v>
      </c>
      <c r="L184" s="52">
        <v>0</v>
      </c>
      <c r="M184" s="52">
        <v>0</v>
      </c>
      <c r="N184" s="52">
        <v>1</v>
      </c>
      <c r="O184" s="52">
        <v>0</v>
      </c>
      <c r="P184" s="52">
        <v>0</v>
      </c>
      <c r="Q184" s="52">
        <v>0</v>
      </c>
    </row>
    <row r="185" spans="1:17" ht="60.75">
      <c r="A185" s="51">
        <v>2419349360</v>
      </c>
      <c r="B185" s="51" t="s">
        <v>15</v>
      </c>
      <c r="C185" s="51" t="s">
        <v>367</v>
      </c>
      <c r="D185" s="52">
        <v>0</v>
      </c>
      <c r="E185" s="54" t="s">
        <v>357</v>
      </c>
      <c r="F185" s="51" t="s">
        <v>355</v>
      </c>
      <c r="G185" s="51" t="s">
        <v>344</v>
      </c>
      <c r="H185" s="52" t="s">
        <v>345</v>
      </c>
      <c r="I185" s="52" t="s">
        <v>58</v>
      </c>
      <c r="J185" s="52">
        <v>15.48</v>
      </c>
      <c r="K185" s="51" t="s">
        <v>143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  <c r="Q185" s="52">
        <v>0.04</v>
      </c>
    </row>
    <row r="186" spans="1:17" ht="60.75">
      <c r="A186" s="51">
        <v>2419349360</v>
      </c>
      <c r="B186" s="51" t="s">
        <v>15</v>
      </c>
      <c r="C186" s="51" t="s">
        <v>367</v>
      </c>
      <c r="D186" s="52">
        <v>0</v>
      </c>
      <c r="E186" s="54" t="s">
        <v>357</v>
      </c>
      <c r="F186" s="51" t="s">
        <v>359</v>
      </c>
      <c r="G186" s="51" t="s">
        <v>344</v>
      </c>
      <c r="H186" s="52" t="s">
        <v>58</v>
      </c>
      <c r="I186" s="52" t="s">
        <v>58</v>
      </c>
      <c r="J186" s="52">
        <v>0</v>
      </c>
      <c r="K186" s="51" t="s">
        <v>143</v>
      </c>
      <c r="L186" s="52">
        <v>0</v>
      </c>
      <c r="M186" s="52">
        <v>0</v>
      </c>
      <c r="N186" s="52">
        <v>2</v>
      </c>
      <c r="O186" s="52">
        <v>0</v>
      </c>
      <c r="P186" s="52">
        <v>0</v>
      </c>
      <c r="Q186" s="52">
        <v>0</v>
      </c>
    </row>
    <row r="187" spans="1:17" ht="60.75">
      <c r="A187" s="51">
        <v>2419349360</v>
      </c>
      <c r="B187" s="51" t="s">
        <v>15</v>
      </c>
      <c r="C187" s="51" t="s">
        <v>367</v>
      </c>
      <c r="D187" s="52">
        <v>0</v>
      </c>
      <c r="E187" s="54" t="s">
        <v>357</v>
      </c>
      <c r="F187" s="51" t="s">
        <v>438</v>
      </c>
      <c r="G187" s="51" t="s">
        <v>344</v>
      </c>
      <c r="H187" s="52" t="s">
        <v>58</v>
      </c>
      <c r="I187" s="52" t="s">
        <v>58</v>
      </c>
      <c r="J187" s="52">
        <v>0</v>
      </c>
      <c r="K187" s="51" t="s">
        <v>143</v>
      </c>
      <c r="L187" s="52">
        <v>0</v>
      </c>
      <c r="M187" s="52">
        <v>0</v>
      </c>
      <c r="N187" s="52">
        <v>1</v>
      </c>
      <c r="O187" s="52">
        <v>0</v>
      </c>
      <c r="P187" s="52">
        <v>0</v>
      </c>
      <c r="Q187" s="52">
        <v>0</v>
      </c>
    </row>
    <row r="188" spans="1:17" ht="60.75">
      <c r="A188" s="51">
        <v>2419349360</v>
      </c>
      <c r="B188" s="51" t="s">
        <v>15</v>
      </c>
      <c r="C188" s="51" t="s">
        <v>367</v>
      </c>
      <c r="D188" s="52">
        <v>0</v>
      </c>
      <c r="E188" s="54" t="s">
        <v>357</v>
      </c>
      <c r="F188" s="51" t="s">
        <v>60</v>
      </c>
      <c r="G188" s="51" t="s">
        <v>344</v>
      </c>
      <c r="H188" s="52" t="s">
        <v>58</v>
      </c>
      <c r="I188" s="52" t="s">
        <v>58</v>
      </c>
      <c r="J188" s="52">
        <v>0</v>
      </c>
      <c r="K188" s="51" t="s">
        <v>143</v>
      </c>
      <c r="L188" s="52">
        <v>0</v>
      </c>
      <c r="M188" s="52">
        <v>0</v>
      </c>
      <c r="N188" s="52">
        <v>3</v>
      </c>
      <c r="O188" s="52">
        <v>0</v>
      </c>
      <c r="P188" s="52">
        <v>0</v>
      </c>
      <c r="Q188" s="52">
        <v>0</v>
      </c>
    </row>
    <row r="189" spans="1:17" ht="60.75">
      <c r="A189" s="51">
        <v>2419349360</v>
      </c>
      <c r="B189" s="51" t="s">
        <v>15</v>
      </c>
      <c r="C189" s="51" t="s">
        <v>367</v>
      </c>
      <c r="D189" s="52">
        <v>0</v>
      </c>
      <c r="E189" s="54" t="s">
        <v>357</v>
      </c>
      <c r="F189" s="51" t="s">
        <v>361</v>
      </c>
      <c r="G189" s="51" t="s">
        <v>344</v>
      </c>
      <c r="H189" s="52" t="s">
        <v>58</v>
      </c>
      <c r="I189" s="52" t="s">
        <v>58</v>
      </c>
      <c r="J189" s="52">
        <v>0</v>
      </c>
      <c r="K189" s="51" t="s">
        <v>143</v>
      </c>
      <c r="L189" s="52">
        <v>0</v>
      </c>
      <c r="M189" s="52">
        <v>0</v>
      </c>
      <c r="N189" s="52">
        <v>5</v>
      </c>
      <c r="O189" s="52">
        <v>0</v>
      </c>
      <c r="P189" s="52">
        <v>0</v>
      </c>
      <c r="Q189" s="52">
        <v>0</v>
      </c>
    </row>
    <row r="190" spans="1:17" ht="45.75">
      <c r="A190" s="51">
        <v>2415742565</v>
      </c>
      <c r="B190" s="51" t="s">
        <v>216</v>
      </c>
      <c r="C190" s="51" t="s">
        <v>362</v>
      </c>
      <c r="D190" s="52">
        <v>0</v>
      </c>
      <c r="E190" s="54" t="s">
        <v>357</v>
      </c>
      <c r="F190" s="51" t="s">
        <v>60</v>
      </c>
      <c r="G190" s="51" t="s">
        <v>344</v>
      </c>
      <c r="H190" s="52" t="s">
        <v>58</v>
      </c>
      <c r="I190" s="52" t="s">
        <v>58</v>
      </c>
      <c r="J190" s="52">
        <v>0</v>
      </c>
      <c r="K190" s="51" t="s">
        <v>143</v>
      </c>
      <c r="L190" s="52">
        <v>0</v>
      </c>
      <c r="M190" s="52">
        <v>0</v>
      </c>
      <c r="N190" s="52">
        <v>1</v>
      </c>
      <c r="O190" s="52">
        <v>0</v>
      </c>
      <c r="P190" s="52">
        <v>0</v>
      </c>
      <c r="Q190" s="52">
        <v>0</v>
      </c>
    </row>
    <row r="191" spans="1:17" ht="45.75">
      <c r="A191" s="51">
        <v>2415742565</v>
      </c>
      <c r="B191" s="51" t="s">
        <v>216</v>
      </c>
      <c r="C191" s="51" t="s">
        <v>362</v>
      </c>
      <c r="D191" s="52">
        <v>0</v>
      </c>
      <c r="E191" s="54" t="s">
        <v>357</v>
      </c>
      <c r="F191" s="51" t="s">
        <v>348</v>
      </c>
      <c r="G191" s="51" t="s">
        <v>344</v>
      </c>
      <c r="H191" s="52" t="s">
        <v>58</v>
      </c>
      <c r="I191" s="52" t="s">
        <v>58</v>
      </c>
      <c r="J191" s="52">
        <v>0</v>
      </c>
      <c r="K191" s="51" t="s">
        <v>143</v>
      </c>
      <c r="L191" s="52">
        <v>0</v>
      </c>
      <c r="M191" s="52">
        <v>0</v>
      </c>
      <c r="N191" s="52">
        <v>2</v>
      </c>
      <c r="O191" s="52">
        <v>0</v>
      </c>
      <c r="P191" s="52">
        <v>0</v>
      </c>
      <c r="Q191" s="52">
        <v>0</v>
      </c>
    </row>
    <row r="192" spans="1:17" ht="45.75">
      <c r="A192" s="51">
        <v>2415742565</v>
      </c>
      <c r="B192" s="51" t="s">
        <v>216</v>
      </c>
      <c r="C192" s="51" t="s">
        <v>362</v>
      </c>
      <c r="D192" s="52">
        <v>0</v>
      </c>
      <c r="E192" s="54" t="s">
        <v>357</v>
      </c>
      <c r="F192" s="51" t="s">
        <v>438</v>
      </c>
      <c r="G192" s="51" t="s">
        <v>344</v>
      </c>
      <c r="H192" s="52" t="s">
        <v>58</v>
      </c>
      <c r="I192" s="52" t="s">
        <v>58</v>
      </c>
      <c r="J192" s="52">
        <v>0</v>
      </c>
      <c r="K192" s="51" t="s">
        <v>143</v>
      </c>
      <c r="L192" s="52">
        <v>0</v>
      </c>
      <c r="M192" s="52">
        <v>0</v>
      </c>
      <c r="N192" s="52">
        <v>1</v>
      </c>
      <c r="O192" s="52">
        <v>0</v>
      </c>
      <c r="P192" s="52">
        <v>0</v>
      </c>
      <c r="Q192" s="52">
        <v>0</v>
      </c>
    </row>
    <row r="193" spans="1:17" ht="45.75">
      <c r="A193" s="51">
        <v>2415742565</v>
      </c>
      <c r="B193" s="51" t="s">
        <v>216</v>
      </c>
      <c r="C193" s="51" t="s">
        <v>362</v>
      </c>
      <c r="D193" s="52">
        <v>0</v>
      </c>
      <c r="E193" s="54" t="s">
        <v>357</v>
      </c>
      <c r="F193" s="51" t="s">
        <v>361</v>
      </c>
      <c r="G193" s="51" t="s">
        <v>344</v>
      </c>
      <c r="H193" s="52" t="s">
        <v>58</v>
      </c>
      <c r="I193" s="52" t="s">
        <v>58</v>
      </c>
      <c r="J193" s="52">
        <v>0</v>
      </c>
      <c r="K193" s="51" t="s">
        <v>143</v>
      </c>
      <c r="L193" s="52">
        <v>0</v>
      </c>
      <c r="M193" s="52">
        <v>0</v>
      </c>
      <c r="N193" s="52">
        <v>2</v>
      </c>
      <c r="O193" s="52">
        <v>0</v>
      </c>
      <c r="P193" s="52">
        <v>0</v>
      </c>
      <c r="Q193" s="52">
        <v>0</v>
      </c>
    </row>
    <row r="194" spans="1:17" ht="45.75">
      <c r="A194" s="51">
        <v>2415742565</v>
      </c>
      <c r="B194" s="51" t="s">
        <v>216</v>
      </c>
      <c r="C194" s="51" t="s">
        <v>362</v>
      </c>
      <c r="D194" s="52">
        <v>0</v>
      </c>
      <c r="E194" s="54" t="s">
        <v>357</v>
      </c>
      <c r="F194" s="51" t="s">
        <v>436</v>
      </c>
      <c r="G194" s="51" t="s">
        <v>344</v>
      </c>
      <c r="H194" s="52" t="s">
        <v>58</v>
      </c>
      <c r="I194" s="52" t="s">
        <v>58</v>
      </c>
      <c r="J194" s="52">
        <v>0</v>
      </c>
      <c r="K194" s="51" t="s">
        <v>143</v>
      </c>
      <c r="L194" s="52">
        <v>0</v>
      </c>
      <c r="M194" s="52">
        <v>0</v>
      </c>
      <c r="N194" s="52">
        <v>1</v>
      </c>
      <c r="O194" s="52">
        <v>0</v>
      </c>
      <c r="P194" s="52">
        <v>0</v>
      </c>
      <c r="Q194" s="52">
        <v>0</v>
      </c>
    </row>
    <row r="195" spans="1:17" ht="45.75">
      <c r="A195" s="51">
        <v>2415742565</v>
      </c>
      <c r="B195" s="51" t="s">
        <v>216</v>
      </c>
      <c r="C195" s="51" t="s">
        <v>362</v>
      </c>
      <c r="D195" s="52">
        <v>0</v>
      </c>
      <c r="E195" s="54" t="s">
        <v>357</v>
      </c>
      <c r="F195" s="51" t="s">
        <v>352</v>
      </c>
      <c r="G195" s="51" t="s">
        <v>344</v>
      </c>
      <c r="H195" s="52" t="s">
        <v>58</v>
      </c>
      <c r="I195" s="52" t="s">
        <v>58</v>
      </c>
      <c r="J195" s="52">
        <v>0</v>
      </c>
      <c r="K195" s="51" t="s">
        <v>143</v>
      </c>
      <c r="L195" s="52">
        <v>0</v>
      </c>
      <c r="M195" s="52">
        <v>0</v>
      </c>
      <c r="N195" s="52">
        <v>2</v>
      </c>
      <c r="O195" s="52">
        <v>0</v>
      </c>
      <c r="P195" s="52">
        <v>0</v>
      </c>
      <c r="Q195" s="52">
        <v>0</v>
      </c>
    </row>
    <row r="196" spans="1:17" ht="60.75">
      <c r="A196" s="51">
        <v>1980958902</v>
      </c>
      <c r="B196" s="51" t="s">
        <v>32</v>
      </c>
      <c r="C196" s="51" t="s">
        <v>110</v>
      </c>
      <c r="D196" s="52">
        <v>0</v>
      </c>
      <c r="E196" s="54" t="s">
        <v>357</v>
      </c>
      <c r="F196" s="51" t="s">
        <v>439</v>
      </c>
      <c r="G196" s="51" t="s">
        <v>344</v>
      </c>
      <c r="H196" s="52" t="s">
        <v>345</v>
      </c>
      <c r="I196" s="52" t="s">
        <v>58</v>
      </c>
      <c r="J196" s="52">
        <v>18.37</v>
      </c>
      <c r="K196" s="51" t="s">
        <v>143</v>
      </c>
      <c r="L196" s="52">
        <v>0</v>
      </c>
      <c r="M196" s="52">
        <v>0</v>
      </c>
      <c r="N196" s="52">
        <v>0</v>
      </c>
      <c r="O196" s="52">
        <v>0</v>
      </c>
      <c r="P196" s="52">
        <v>0</v>
      </c>
      <c r="Q196" s="52">
        <v>0.04</v>
      </c>
    </row>
    <row r="197" spans="1:17" ht="60.75">
      <c r="A197" s="51">
        <v>1980958902</v>
      </c>
      <c r="B197" s="51" t="s">
        <v>32</v>
      </c>
      <c r="C197" s="51" t="s">
        <v>110</v>
      </c>
      <c r="D197" s="52">
        <v>0</v>
      </c>
      <c r="E197" s="54" t="s">
        <v>357</v>
      </c>
      <c r="F197" s="51" t="s">
        <v>438</v>
      </c>
      <c r="G197" s="51" t="s">
        <v>344</v>
      </c>
      <c r="H197" s="52" t="s">
        <v>58</v>
      </c>
      <c r="I197" s="52" t="s">
        <v>58</v>
      </c>
      <c r="J197" s="52">
        <v>0</v>
      </c>
      <c r="K197" s="51" t="s">
        <v>143</v>
      </c>
      <c r="L197" s="52">
        <v>0</v>
      </c>
      <c r="M197" s="52">
        <v>0</v>
      </c>
      <c r="N197" s="52">
        <v>3</v>
      </c>
      <c r="O197" s="52">
        <v>0</v>
      </c>
      <c r="P197" s="52">
        <v>0</v>
      </c>
      <c r="Q197" s="52">
        <v>0</v>
      </c>
    </row>
    <row r="198" spans="1:17" ht="60.75">
      <c r="A198" s="51">
        <v>1980958902</v>
      </c>
      <c r="B198" s="51" t="s">
        <v>32</v>
      </c>
      <c r="C198" s="51" t="s">
        <v>110</v>
      </c>
      <c r="D198" s="52">
        <v>0</v>
      </c>
      <c r="E198" s="54" t="s">
        <v>357</v>
      </c>
      <c r="F198" s="51" t="s">
        <v>352</v>
      </c>
      <c r="G198" s="51" t="s">
        <v>344</v>
      </c>
      <c r="H198" s="52" t="s">
        <v>58</v>
      </c>
      <c r="I198" s="52" t="s">
        <v>58</v>
      </c>
      <c r="J198" s="52">
        <v>0</v>
      </c>
      <c r="K198" s="51" t="s">
        <v>143</v>
      </c>
      <c r="L198" s="52">
        <v>0</v>
      </c>
      <c r="M198" s="52">
        <v>0</v>
      </c>
      <c r="N198" s="52">
        <v>2</v>
      </c>
      <c r="O198" s="52">
        <v>0</v>
      </c>
      <c r="P198" s="52">
        <v>0</v>
      </c>
      <c r="Q198" s="52">
        <v>0</v>
      </c>
    </row>
    <row r="199" spans="1:17" ht="60.75">
      <c r="A199" s="51">
        <v>1980958902</v>
      </c>
      <c r="B199" s="51" t="s">
        <v>32</v>
      </c>
      <c r="C199" s="51" t="s">
        <v>110</v>
      </c>
      <c r="D199" s="52">
        <v>0</v>
      </c>
      <c r="E199" s="54" t="s">
        <v>357</v>
      </c>
      <c r="F199" s="51" t="s">
        <v>435</v>
      </c>
      <c r="G199" s="51" t="s">
        <v>344</v>
      </c>
      <c r="H199" s="52" t="s">
        <v>345</v>
      </c>
      <c r="I199" s="52" t="s">
        <v>58</v>
      </c>
      <c r="J199" s="52">
        <v>20.71</v>
      </c>
      <c r="K199" s="51" t="s">
        <v>143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0.04</v>
      </c>
    </row>
    <row r="200" spans="1:17" ht="60.75">
      <c r="A200" s="51">
        <v>1980958902</v>
      </c>
      <c r="B200" s="51" t="s">
        <v>32</v>
      </c>
      <c r="C200" s="51" t="s">
        <v>110</v>
      </c>
      <c r="D200" s="52">
        <v>0</v>
      </c>
      <c r="E200" s="54" t="s">
        <v>357</v>
      </c>
      <c r="F200" s="51" t="s">
        <v>348</v>
      </c>
      <c r="G200" s="51" t="s">
        <v>344</v>
      </c>
      <c r="H200" s="52" t="s">
        <v>58</v>
      </c>
      <c r="I200" s="52" t="s">
        <v>58</v>
      </c>
      <c r="J200" s="52">
        <v>0</v>
      </c>
      <c r="K200" s="51" t="s">
        <v>143</v>
      </c>
      <c r="L200" s="52">
        <v>0</v>
      </c>
      <c r="M200" s="52">
        <v>0</v>
      </c>
      <c r="N200" s="52">
        <v>2</v>
      </c>
      <c r="O200" s="52">
        <v>0</v>
      </c>
      <c r="P200" s="52">
        <v>0</v>
      </c>
      <c r="Q200" s="52">
        <v>0</v>
      </c>
    </row>
    <row r="201" spans="1:17" ht="60.75">
      <c r="A201" s="51">
        <v>1980958902</v>
      </c>
      <c r="B201" s="51" t="s">
        <v>32</v>
      </c>
      <c r="C201" s="51" t="s">
        <v>110</v>
      </c>
      <c r="D201" s="52">
        <v>0</v>
      </c>
      <c r="E201" s="54" t="s">
        <v>357</v>
      </c>
      <c r="F201" s="51" t="s">
        <v>349</v>
      </c>
      <c r="G201" s="51" t="s">
        <v>344</v>
      </c>
      <c r="H201" s="52" t="s">
        <v>58</v>
      </c>
      <c r="I201" s="52" t="s">
        <v>58</v>
      </c>
      <c r="J201" s="52">
        <v>0</v>
      </c>
      <c r="K201" s="51" t="s">
        <v>143</v>
      </c>
      <c r="L201" s="52">
        <v>0</v>
      </c>
      <c r="M201" s="52">
        <v>0</v>
      </c>
      <c r="N201" s="52">
        <v>1</v>
      </c>
      <c r="O201" s="52">
        <v>0</v>
      </c>
      <c r="P201" s="52">
        <v>0</v>
      </c>
      <c r="Q201" s="52">
        <v>0</v>
      </c>
    </row>
    <row r="202" spans="1:17" ht="60.75">
      <c r="A202" s="51">
        <v>1980958902</v>
      </c>
      <c r="B202" s="51" t="s">
        <v>32</v>
      </c>
      <c r="C202" s="51" t="s">
        <v>110</v>
      </c>
      <c r="D202" s="52">
        <v>0</v>
      </c>
      <c r="E202" s="54" t="s">
        <v>357</v>
      </c>
      <c r="F202" s="51" t="s">
        <v>361</v>
      </c>
      <c r="G202" s="51" t="s">
        <v>344</v>
      </c>
      <c r="H202" s="52" t="s">
        <v>58</v>
      </c>
      <c r="I202" s="52" t="s">
        <v>58</v>
      </c>
      <c r="J202" s="52">
        <v>0</v>
      </c>
      <c r="K202" s="51" t="s">
        <v>143</v>
      </c>
      <c r="L202" s="52">
        <v>0</v>
      </c>
      <c r="M202" s="52">
        <v>0</v>
      </c>
      <c r="N202" s="52">
        <v>2</v>
      </c>
      <c r="O202" s="52">
        <v>0</v>
      </c>
      <c r="P202" s="52">
        <v>0</v>
      </c>
      <c r="Q202" s="52">
        <v>0</v>
      </c>
    </row>
    <row r="203" spans="1:17" ht="60.75">
      <c r="A203" s="51">
        <v>1980958902</v>
      </c>
      <c r="B203" s="51" t="s">
        <v>32</v>
      </c>
      <c r="C203" s="51" t="s">
        <v>110</v>
      </c>
      <c r="D203" s="52">
        <v>0</v>
      </c>
      <c r="E203" s="54" t="s">
        <v>357</v>
      </c>
      <c r="F203" s="51" t="s">
        <v>64</v>
      </c>
      <c r="G203" s="51" t="s">
        <v>344</v>
      </c>
      <c r="H203" s="52" t="s">
        <v>58</v>
      </c>
      <c r="I203" s="52" t="s">
        <v>58</v>
      </c>
      <c r="J203" s="52">
        <v>0</v>
      </c>
      <c r="K203" s="51" t="s">
        <v>143</v>
      </c>
      <c r="L203" s="52">
        <v>0</v>
      </c>
      <c r="M203" s="52">
        <v>0</v>
      </c>
      <c r="N203" s="52">
        <v>1</v>
      </c>
      <c r="O203" s="52">
        <v>0</v>
      </c>
      <c r="P203" s="52">
        <v>0</v>
      </c>
      <c r="Q203" s="52">
        <v>0</v>
      </c>
    </row>
    <row r="204" spans="1:17" ht="60.75">
      <c r="A204" s="51">
        <v>1980958902</v>
      </c>
      <c r="B204" s="51" t="s">
        <v>32</v>
      </c>
      <c r="C204" s="51" t="s">
        <v>110</v>
      </c>
      <c r="D204" s="52">
        <v>0</v>
      </c>
      <c r="E204" s="54" t="s">
        <v>357</v>
      </c>
      <c r="F204" s="51" t="s">
        <v>354</v>
      </c>
      <c r="G204" s="51" t="s">
        <v>344</v>
      </c>
      <c r="H204" s="52" t="s">
        <v>58</v>
      </c>
      <c r="I204" s="52" t="s">
        <v>58</v>
      </c>
      <c r="J204" s="52">
        <v>0</v>
      </c>
      <c r="K204" s="51" t="s">
        <v>143</v>
      </c>
      <c r="L204" s="52">
        <v>0</v>
      </c>
      <c r="M204" s="52">
        <v>0</v>
      </c>
      <c r="N204" s="52">
        <v>4</v>
      </c>
      <c r="O204" s="52">
        <v>0</v>
      </c>
      <c r="P204" s="52">
        <v>0</v>
      </c>
      <c r="Q204" s="52">
        <v>0</v>
      </c>
    </row>
    <row r="205" spans="1:17" ht="60.75">
      <c r="A205" s="51">
        <v>1980958902</v>
      </c>
      <c r="B205" s="51" t="s">
        <v>32</v>
      </c>
      <c r="C205" s="51" t="s">
        <v>110</v>
      </c>
      <c r="D205" s="52">
        <v>0</v>
      </c>
      <c r="E205" s="54" t="s">
        <v>357</v>
      </c>
      <c r="F205" s="51" t="s">
        <v>436</v>
      </c>
      <c r="G205" s="51" t="s">
        <v>344</v>
      </c>
      <c r="H205" s="52" t="s">
        <v>58</v>
      </c>
      <c r="I205" s="52" t="s">
        <v>58</v>
      </c>
      <c r="J205" s="52">
        <v>0</v>
      </c>
      <c r="K205" s="51" t="s">
        <v>143</v>
      </c>
      <c r="L205" s="52">
        <v>0</v>
      </c>
      <c r="M205" s="52">
        <v>0</v>
      </c>
      <c r="N205" s="52">
        <v>2</v>
      </c>
      <c r="O205" s="52">
        <v>0</v>
      </c>
      <c r="P205" s="52">
        <v>0</v>
      </c>
      <c r="Q205" s="52">
        <v>0</v>
      </c>
    </row>
    <row r="206" spans="1:17" ht="45.75">
      <c r="A206" s="51">
        <v>2419349585</v>
      </c>
      <c r="B206" s="51" t="s">
        <v>11</v>
      </c>
      <c r="C206" s="51" t="s">
        <v>365</v>
      </c>
      <c r="D206" s="52">
        <v>0</v>
      </c>
      <c r="E206" s="54" t="s">
        <v>357</v>
      </c>
      <c r="F206" s="51" t="s">
        <v>94</v>
      </c>
      <c r="G206" s="51" t="s">
        <v>344</v>
      </c>
      <c r="H206" s="52" t="s">
        <v>345</v>
      </c>
      <c r="I206" s="52" t="s">
        <v>347</v>
      </c>
      <c r="J206" s="52">
        <v>13</v>
      </c>
      <c r="K206" s="51" t="s">
        <v>143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  <c r="Q206" s="52">
        <v>0.04</v>
      </c>
    </row>
    <row r="207" spans="1:17" ht="45.75">
      <c r="A207" s="51">
        <v>2419349585</v>
      </c>
      <c r="B207" s="51" t="s">
        <v>11</v>
      </c>
      <c r="C207" s="51" t="s">
        <v>365</v>
      </c>
      <c r="D207" s="52">
        <v>0</v>
      </c>
      <c r="E207" s="54" t="s">
        <v>357</v>
      </c>
      <c r="F207" s="51" t="s">
        <v>438</v>
      </c>
      <c r="G207" s="51" t="s">
        <v>344</v>
      </c>
      <c r="H207" s="52" t="s">
        <v>58</v>
      </c>
      <c r="I207" s="52" t="s">
        <v>58</v>
      </c>
      <c r="J207" s="52">
        <v>0</v>
      </c>
      <c r="K207" s="51" t="s">
        <v>143</v>
      </c>
      <c r="L207" s="52">
        <v>0</v>
      </c>
      <c r="M207" s="52">
        <v>0</v>
      </c>
      <c r="N207" s="52">
        <v>1</v>
      </c>
      <c r="O207" s="52">
        <v>0</v>
      </c>
      <c r="P207" s="52">
        <v>0</v>
      </c>
      <c r="Q207" s="52">
        <v>0</v>
      </c>
    </row>
    <row r="208" spans="1:17" ht="45.75">
      <c r="A208" s="51">
        <v>2419349585</v>
      </c>
      <c r="B208" s="51" t="s">
        <v>11</v>
      </c>
      <c r="C208" s="51" t="s">
        <v>365</v>
      </c>
      <c r="D208" s="52">
        <v>0</v>
      </c>
      <c r="E208" s="54" t="s">
        <v>357</v>
      </c>
      <c r="F208" s="51" t="s">
        <v>60</v>
      </c>
      <c r="G208" s="51" t="s">
        <v>344</v>
      </c>
      <c r="H208" s="52" t="s">
        <v>58</v>
      </c>
      <c r="I208" s="52" t="s">
        <v>58</v>
      </c>
      <c r="J208" s="52">
        <v>0</v>
      </c>
      <c r="K208" s="51" t="s">
        <v>143</v>
      </c>
      <c r="L208" s="52">
        <v>0</v>
      </c>
      <c r="M208" s="52">
        <v>0</v>
      </c>
      <c r="N208" s="52">
        <v>3</v>
      </c>
      <c r="O208" s="52">
        <v>0</v>
      </c>
      <c r="P208" s="52">
        <v>0</v>
      </c>
      <c r="Q208" s="52">
        <v>0</v>
      </c>
    </row>
    <row r="209" spans="1:17" ht="45.75">
      <c r="A209" s="51">
        <v>2419349585</v>
      </c>
      <c r="B209" s="51" t="s">
        <v>11</v>
      </c>
      <c r="C209" s="51" t="s">
        <v>365</v>
      </c>
      <c r="D209" s="52">
        <v>0</v>
      </c>
      <c r="E209" s="54" t="s">
        <v>357</v>
      </c>
      <c r="F209" s="51" t="s">
        <v>356</v>
      </c>
      <c r="G209" s="51" t="s">
        <v>344</v>
      </c>
      <c r="H209" s="52" t="s">
        <v>58</v>
      </c>
      <c r="I209" s="52" t="s">
        <v>58</v>
      </c>
      <c r="J209" s="52">
        <v>0</v>
      </c>
      <c r="K209" s="51" t="s">
        <v>143</v>
      </c>
      <c r="L209" s="52">
        <v>0</v>
      </c>
      <c r="M209" s="52">
        <v>0</v>
      </c>
      <c r="N209" s="52">
        <v>2</v>
      </c>
      <c r="O209" s="52">
        <v>0</v>
      </c>
      <c r="P209" s="52">
        <v>0</v>
      </c>
      <c r="Q209" s="52">
        <v>0</v>
      </c>
    </row>
    <row r="210" spans="1:17" ht="45.75">
      <c r="A210" s="51">
        <v>2419349585</v>
      </c>
      <c r="B210" s="51" t="s">
        <v>11</v>
      </c>
      <c r="C210" s="51" t="s">
        <v>365</v>
      </c>
      <c r="D210" s="52">
        <v>0</v>
      </c>
      <c r="E210" s="54" t="s">
        <v>357</v>
      </c>
      <c r="F210" s="51" t="s">
        <v>437</v>
      </c>
      <c r="G210" s="51" t="s">
        <v>344</v>
      </c>
      <c r="H210" s="52" t="s">
        <v>58</v>
      </c>
      <c r="I210" s="52" t="s">
        <v>58</v>
      </c>
      <c r="J210" s="52">
        <v>0</v>
      </c>
      <c r="K210" s="51" t="s">
        <v>143</v>
      </c>
      <c r="L210" s="52">
        <v>0</v>
      </c>
      <c r="M210" s="52">
        <v>0</v>
      </c>
      <c r="N210" s="52">
        <v>1</v>
      </c>
      <c r="O210" s="52">
        <v>0</v>
      </c>
      <c r="P210" s="52">
        <v>0</v>
      </c>
      <c r="Q210" s="52">
        <v>0</v>
      </c>
    </row>
    <row r="211" spans="1:17" ht="45.75">
      <c r="A211" s="51">
        <v>2419349585</v>
      </c>
      <c r="B211" s="51" t="s">
        <v>11</v>
      </c>
      <c r="C211" s="51" t="s">
        <v>365</v>
      </c>
      <c r="D211" s="52">
        <v>0</v>
      </c>
      <c r="E211" s="54" t="s">
        <v>357</v>
      </c>
      <c r="F211" s="51" t="s">
        <v>435</v>
      </c>
      <c r="G211" s="51" t="s">
        <v>344</v>
      </c>
      <c r="H211" s="52" t="s">
        <v>345</v>
      </c>
      <c r="I211" s="52" t="s">
        <v>58</v>
      </c>
      <c r="J211" s="52">
        <v>16.43</v>
      </c>
      <c r="K211" s="51" t="s">
        <v>143</v>
      </c>
      <c r="L211" s="52">
        <v>0</v>
      </c>
      <c r="M211" s="52">
        <v>0</v>
      </c>
      <c r="N211" s="52">
        <v>0</v>
      </c>
      <c r="O211" s="52">
        <v>0</v>
      </c>
      <c r="P211" s="52">
        <v>0</v>
      </c>
      <c r="Q211" s="52">
        <v>0.04</v>
      </c>
    </row>
    <row r="212" spans="1:17" ht="45.75">
      <c r="A212" s="51">
        <v>2419349585</v>
      </c>
      <c r="B212" s="51" t="s">
        <v>11</v>
      </c>
      <c r="C212" s="51" t="s">
        <v>365</v>
      </c>
      <c r="D212" s="52">
        <v>0</v>
      </c>
      <c r="E212" s="54" t="s">
        <v>357</v>
      </c>
      <c r="F212" s="51" t="s">
        <v>361</v>
      </c>
      <c r="G212" s="51" t="s">
        <v>344</v>
      </c>
      <c r="H212" s="52" t="s">
        <v>58</v>
      </c>
      <c r="I212" s="52" t="s">
        <v>58</v>
      </c>
      <c r="J212" s="52">
        <v>0</v>
      </c>
      <c r="K212" s="51" t="s">
        <v>143</v>
      </c>
      <c r="L212" s="52">
        <v>0</v>
      </c>
      <c r="M212" s="52">
        <v>0</v>
      </c>
      <c r="N212" s="52">
        <v>5</v>
      </c>
      <c r="O212" s="52">
        <v>0</v>
      </c>
      <c r="P212" s="52">
        <v>0</v>
      </c>
      <c r="Q212" s="52">
        <v>0</v>
      </c>
    </row>
    <row r="213" spans="1:17" ht="45.75">
      <c r="A213" s="51">
        <v>2419349585</v>
      </c>
      <c r="B213" s="51" t="s">
        <v>11</v>
      </c>
      <c r="C213" s="51" t="s">
        <v>365</v>
      </c>
      <c r="D213" s="52">
        <v>0</v>
      </c>
      <c r="E213" s="54" t="s">
        <v>357</v>
      </c>
      <c r="F213" s="51" t="s">
        <v>436</v>
      </c>
      <c r="G213" s="51" t="s">
        <v>344</v>
      </c>
      <c r="H213" s="52" t="s">
        <v>58</v>
      </c>
      <c r="I213" s="52" t="s">
        <v>58</v>
      </c>
      <c r="J213" s="52">
        <v>0</v>
      </c>
      <c r="K213" s="51" t="s">
        <v>143</v>
      </c>
      <c r="L213" s="52">
        <v>0</v>
      </c>
      <c r="M213" s="52">
        <v>0</v>
      </c>
      <c r="N213" s="52">
        <v>1</v>
      </c>
      <c r="O213" s="52">
        <v>0</v>
      </c>
      <c r="P213" s="52">
        <v>0</v>
      </c>
      <c r="Q213" s="52">
        <v>0</v>
      </c>
    </row>
    <row r="214" spans="1:17" ht="45.75">
      <c r="A214" s="51">
        <v>2419349585</v>
      </c>
      <c r="B214" s="51" t="s">
        <v>11</v>
      </c>
      <c r="C214" s="51" t="s">
        <v>365</v>
      </c>
      <c r="D214" s="52">
        <v>0</v>
      </c>
      <c r="E214" s="54" t="s">
        <v>357</v>
      </c>
      <c r="F214" s="51" t="s">
        <v>351</v>
      </c>
      <c r="G214" s="51" t="s">
        <v>344</v>
      </c>
      <c r="H214" s="52" t="s">
        <v>58</v>
      </c>
      <c r="I214" s="52" t="s">
        <v>58</v>
      </c>
      <c r="J214" s="52">
        <v>0</v>
      </c>
      <c r="K214" s="51" t="s">
        <v>143</v>
      </c>
      <c r="L214" s="52">
        <v>0</v>
      </c>
      <c r="M214" s="52">
        <v>0</v>
      </c>
      <c r="N214" s="52">
        <v>4</v>
      </c>
      <c r="O214" s="52">
        <v>0</v>
      </c>
      <c r="P214" s="52">
        <v>0</v>
      </c>
      <c r="Q214" s="52">
        <v>0</v>
      </c>
    </row>
    <row r="215" spans="1:17" ht="45.75">
      <c r="A215" s="51">
        <v>2419349585</v>
      </c>
      <c r="B215" s="51" t="s">
        <v>11</v>
      </c>
      <c r="C215" s="51" t="s">
        <v>365</v>
      </c>
      <c r="D215" s="52">
        <v>0</v>
      </c>
      <c r="E215" s="54" t="s">
        <v>357</v>
      </c>
      <c r="F215" s="51" t="s">
        <v>352</v>
      </c>
      <c r="G215" s="51" t="s">
        <v>344</v>
      </c>
      <c r="H215" s="52" t="s">
        <v>58</v>
      </c>
      <c r="I215" s="52" t="s">
        <v>58</v>
      </c>
      <c r="J215" s="52">
        <v>0</v>
      </c>
      <c r="K215" s="51" t="s">
        <v>143</v>
      </c>
      <c r="L215" s="52">
        <v>0</v>
      </c>
      <c r="M215" s="52">
        <v>0</v>
      </c>
      <c r="N215" s="52">
        <v>1</v>
      </c>
      <c r="O215" s="52">
        <v>0</v>
      </c>
      <c r="P215" s="52">
        <v>0</v>
      </c>
      <c r="Q215" s="52">
        <v>0</v>
      </c>
    </row>
    <row r="216" spans="1:17" ht="60.75">
      <c r="A216" s="51">
        <v>1980956952</v>
      </c>
      <c r="B216" s="51" t="s">
        <v>31</v>
      </c>
      <c r="C216" s="51" t="s">
        <v>110</v>
      </c>
      <c r="D216" s="52">
        <v>0</v>
      </c>
      <c r="E216" s="54" t="s">
        <v>357</v>
      </c>
      <c r="F216" s="51" t="s">
        <v>354</v>
      </c>
      <c r="G216" s="51" t="s">
        <v>344</v>
      </c>
      <c r="H216" s="52" t="s">
        <v>58</v>
      </c>
      <c r="I216" s="52" t="s">
        <v>345</v>
      </c>
      <c r="J216" s="52">
        <v>39.07</v>
      </c>
      <c r="K216" s="51" t="s">
        <v>143</v>
      </c>
      <c r="L216" s="52">
        <v>28</v>
      </c>
      <c r="M216" s="52">
        <v>0</v>
      </c>
      <c r="N216" s="52">
        <v>2</v>
      </c>
      <c r="O216" s="52">
        <v>0</v>
      </c>
      <c r="P216" s="52">
        <v>0</v>
      </c>
      <c r="Q216" s="52">
        <v>7.0000000000000007E-2</v>
      </c>
    </row>
    <row r="217" spans="1:17" ht="75.75">
      <c r="A217" s="51">
        <v>2087000111</v>
      </c>
      <c r="B217" s="51" t="s">
        <v>141</v>
      </c>
      <c r="C217" s="51" t="s">
        <v>491</v>
      </c>
      <c r="D217" s="52">
        <v>0</v>
      </c>
      <c r="E217" s="54" t="s">
        <v>357</v>
      </c>
      <c r="F217" s="51" t="s">
        <v>60</v>
      </c>
      <c r="G217" s="51" t="s">
        <v>344</v>
      </c>
      <c r="H217" s="52" t="s">
        <v>58</v>
      </c>
      <c r="I217" s="52" t="s">
        <v>58</v>
      </c>
      <c r="J217" s="52">
        <v>0</v>
      </c>
      <c r="K217" s="51" t="s">
        <v>143</v>
      </c>
      <c r="L217" s="52">
        <v>0</v>
      </c>
      <c r="M217" s="52">
        <v>0</v>
      </c>
      <c r="N217" s="52">
        <v>1</v>
      </c>
      <c r="O217" s="52">
        <v>0</v>
      </c>
      <c r="P217" s="52">
        <v>0</v>
      </c>
      <c r="Q217" s="52">
        <v>0</v>
      </c>
    </row>
  </sheetData>
  <autoFilter ref="A6:Q410" xr:uid="{6CEA9763-84C1-4301-B01E-A55C1FEBE296}"/>
  <mergeCells count="4">
    <mergeCell ref="A1:D1"/>
    <mergeCell ref="A2:D2"/>
    <mergeCell ref="A3:J3"/>
    <mergeCell ref="A4:D4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CEFC-93EB-4C10-BA75-66BCFEB64E07}">
  <sheetPr>
    <tabColor rgb="FFFF0000"/>
  </sheetPr>
  <dimension ref="A1:E81"/>
  <sheetViews>
    <sheetView topLeftCell="A64" workbookViewId="0">
      <selection activeCell="E81" sqref="A1:E81"/>
    </sheetView>
  </sheetViews>
  <sheetFormatPr defaultRowHeight="15"/>
  <cols>
    <col min="1" max="1" width="18.7109375" style="42" bestFit="1" customWidth="1"/>
    <col min="2" max="2" width="26" style="42" customWidth="1"/>
    <col min="3" max="3" width="34.140625" style="42" customWidth="1"/>
    <col min="4" max="4" width="14.140625" style="42" bestFit="1" customWidth="1"/>
    <col min="5" max="5" width="18.28515625" bestFit="1" customWidth="1"/>
  </cols>
  <sheetData>
    <row r="1" spans="1:5">
      <c r="A1" s="40" t="s">
        <v>307</v>
      </c>
      <c r="B1" s="40" t="s">
        <v>308</v>
      </c>
      <c r="C1" s="40" t="s">
        <v>309</v>
      </c>
      <c r="D1" s="40" t="s">
        <v>310</v>
      </c>
      <c r="E1" s="164" t="s">
        <v>429</v>
      </c>
    </row>
    <row r="2" spans="1:5">
      <c r="A2" s="41">
        <f>[1]Юнит!$E5</f>
        <v>2038161736993</v>
      </c>
      <c r="B2" s="42">
        <f>_xlfn.XLOOKUP(A2,Сводный!E:E,Сводный!CF:CF)</f>
        <v>0</v>
      </c>
      <c r="C2" s="42" t="str">
        <f>_xlfn.XLOOKUP(A2,[1]Юнит!$E:$E,[1]Юнит!$D:$D,0)</f>
        <v>Бандаж для лица розовый</v>
      </c>
      <c r="E2" s="42"/>
    </row>
    <row r="3" spans="1:5">
      <c r="A3" s="41">
        <f>[1]Юнит!$E6</f>
        <v>2038162681926</v>
      </c>
      <c r="B3" s="42">
        <f>_xlfn.XLOOKUP(A3,Сводный!E:E,Сводный!CF:CF)</f>
        <v>40</v>
      </c>
      <c r="C3" s="42" t="str">
        <f>_xlfn.XLOOKUP(A3,[1]Юнит!$E:$E,[1]Юнит!$D:$D,0)</f>
        <v>Бандаж для лица черный</v>
      </c>
    </row>
    <row r="4" spans="1:5">
      <c r="A4" s="41">
        <f>[1]Юнит!$E7</f>
        <v>2038172050200</v>
      </c>
      <c r="B4" s="42">
        <f>_xlfn.XLOOKUP(A4,Сводный!E:E,Сводный!CF:CF)</f>
        <v>40</v>
      </c>
      <c r="C4" s="42" t="str">
        <f>_xlfn.XLOOKUP(A4,[1]Юнит!$E:$E,[1]Юнит!$D:$D,0)</f>
        <v>Бандаж для лица серый</v>
      </c>
    </row>
    <row r="5" spans="1:5">
      <c r="A5" s="41">
        <f>[1]Юнит!$E8</f>
        <v>2038337652454</v>
      </c>
      <c r="B5" s="42">
        <f>_xlfn.XLOOKUP(A5,Сводный!E:E,Сводный!CF:CF)</f>
        <v>20</v>
      </c>
      <c r="C5" s="42" t="str">
        <f>_xlfn.XLOOKUP(A5,[1]Юнит!$E:$E,[1]Юнит!$D:$D,0)</f>
        <v>Мешки 7 шт.</v>
      </c>
    </row>
    <row r="6" spans="1:5">
      <c r="A6" s="41">
        <f>[1]Юнит!$E9</f>
        <v>2038597850744</v>
      </c>
      <c r="B6" s="42">
        <f>_xlfn.XLOOKUP(A6,Сводный!E:E,Сводный!CF:CF)</f>
        <v>20</v>
      </c>
      <c r="C6" s="42" t="str">
        <f>_xlfn.XLOOKUP(A6,[1]Юнит!$E:$E,[1]Юнит!$D:$D,0)</f>
        <v>Мешок для бюстгалтеров</v>
      </c>
    </row>
    <row r="7" spans="1:5">
      <c r="A7" s="41">
        <f>[1]Юнит!$E10</f>
        <v>2038627692689</v>
      </c>
      <c r="B7" s="42">
        <f>_xlfn.XLOOKUP(A7,Сводный!E:E,Сводный!CF:CF)</f>
        <v>0</v>
      </c>
      <c r="C7" s="42" t="str">
        <f>_xlfn.XLOOKUP(A7,[1]Юнит!$E:$E,[1]Юнит!$D:$D,0)</f>
        <v>Мешки 3 шт.</v>
      </c>
    </row>
    <row r="8" spans="1:5">
      <c r="A8" s="41">
        <f>[1]Юнит!$E11</f>
        <v>2038627713902</v>
      </c>
      <c r="B8" s="42">
        <f>_xlfn.XLOOKUP(A8,Сводный!E:E,Сводный!CF:CF)</f>
        <v>40</v>
      </c>
      <c r="C8" s="42" t="str">
        <f>_xlfn.XLOOKUP(A8,[1]Юнит!$E:$E,[1]Юнит!$D:$D,0)</f>
        <v>Мешки/деликат 3 шт.</v>
      </c>
    </row>
    <row r="9" spans="1:5">
      <c r="A9" s="41">
        <f>[1]Юнит!$E12</f>
        <v>2038606201642</v>
      </c>
      <c r="B9" s="42">
        <f>_xlfn.XLOOKUP(A9,Сводный!E:E,Сводный!CF:CF)</f>
        <v>40</v>
      </c>
      <c r="C9" s="42" t="str">
        <f>_xlfn.XLOOKUP(A9,[1]Юнит!$E:$E,[1]Юнит!$D:$D,0)</f>
        <v>Мешки/шнурок мелк 3 шт.</v>
      </c>
    </row>
    <row r="10" spans="1:5">
      <c r="A10" s="41">
        <f>[1]Юнит!$E13</f>
        <v>2038606256161</v>
      </c>
      <c r="B10" s="42">
        <f>_xlfn.XLOOKUP(A10,Сводный!E:E,Сводный!CF:CF)</f>
        <v>80</v>
      </c>
      <c r="C10" s="42" t="str">
        <f>_xlfn.XLOOKUP(A10,[1]Юнит!$E:$E,[1]Юнит!$D:$D,0)</f>
        <v>Мешки/шнурок крупн 3 шт.</v>
      </c>
    </row>
    <row r="11" spans="1:5">
      <c r="A11" s="41">
        <f>[1]Юнит!$E14</f>
        <v>2039404446068</v>
      </c>
      <c r="B11" s="42">
        <f>_xlfn.XLOOKUP(A11,Сводный!E:E,Сводный!CF:CF)</f>
        <v>40</v>
      </c>
      <c r="C11" s="42" t="str">
        <f>_xlfn.XLOOKUP(A11,[1]Юнит!$E:$E,[1]Юнит!$D:$D,0)</f>
        <v>Мешки 2 шт. серый</v>
      </c>
    </row>
    <row r="12" spans="1:5">
      <c r="A12" s="41">
        <f>[1]Юнит!$E15</f>
        <v>2040278862540</v>
      </c>
      <c r="B12" s="42">
        <f>_xlfn.XLOOKUP(A12,Сводный!E:E,Сводный!CF:CF)</f>
        <v>0</v>
      </c>
      <c r="C12" s="42" t="str">
        <f>_xlfn.XLOOKUP(A12,[1]Юнит!$E:$E,[1]Юнит!$D:$D,0)</f>
        <v>Мешки 2 шт. розовый</v>
      </c>
    </row>
    <row r="13" spans="1:5">
      <c r="A13" s="41">
        <f>[1]Юнит!$E16</f>
        <v>2040335626849</v>
      </c>
      <c r="B13" s="42">
        <f>_xlfn.XLOOKUP(A13,Сводный!E:E,Сводный!CF:CF)</f>
        <v>100</v>
      </c>
      <c r="C13" s="42" t="str">
        <f>_xlfn.XLOOKUP(A13,[1]Юнит!$E:$E,[1]Юнит!$D:$D,0)</f>
        <v>Мешок 60*80 крупн</v>
      </c>
    </row>
    <row r="14" spans="1:5">
      <c r="A14" s="41">
        <f>[1]Юнит!$E17</f>
        <v>2040335648124</v>
      </c>
      <c r="B14" s="42">
        <f>_xlfn.XLOOKUP(A14,Сводный!E:E,Сводный!CF:CF)</f>
        <v>130</v>
      </c>
      <c r="C14" s="42" t="str">
        <f>_xlfn.XLOOKUP(A14,[1]Юнит!$E:$E,[1]Юнит!$D:$D,0)</f>
        <v>Мешок 60*80 мелк</v>
      </c>
    </row>
    <row r="15" spans="1:5">
      <c r="A15" s="41">
        <f>[1]Юнит!$E18</f>
        <v>2040478720961</v>
      </c>
      <c r="B15" s="42">
        <f>_xlfn.XLOOKUP(A15,Сводный!E:E,Сводный!CF:CF)</f>
        <v>0</v>
      </c>
      <c r="C15" s="42" t="str">
        <f>_xlfn.XLOOKUP(A15,[1]Юнит!$E:$E,[1]Юнит!$D:$D,0)</f>
        <v>Мешок для обуви L - 30 см</v>
      </c>
    </row>
    <row r="16" spans="1:5">
      <c r="A16" s="41">
        <f>[1]Юнит!$E19</f>
        <v>2040478696884</v>
      </c>
      <c r="B16" s="42">
        <f>_xlfn.XLOOKUP(A16,Сводный!E:E,Сводный!CF:CF)</f>
        <v>0</v>
      </c>
      <c r="C16" s="42" t="str">
        <f>_xlfn.XLOOKUP(A16,[1]Юнит!$E:$E,[1]Юнит!$D:$D,0)</f>
        <v>Мешок для обуви XL - 35 см</v>
      </c>
    </row>
    <row r="17" spans="1:3">
      <c r="A17" s="41">
        <f>[1]Юнит!$E20</f>
        <v>2038430289250</v>
      </c>
      <c r="B17" s="42">
        <f>_xlfn.XLOOKUP(A17,Сводный!E:E,Сводный!CF:CF)</f>
        <v>0</v>
      </c>
      <c r="C17" s="42" t="str">
        <f>_xlfn.XLOOKUP(A17,[1]Юнит!$E:$E,[1]Юнит!$D:$D,0)</f>
        <v>Массажер для пальцев</v>
      </c>
    </row>
    <row r="18" spans="1:3">
      <c r="A18" s="41">
        <f>[1]Юнит!$E21</f>
        <v>2039813223373</v>
      </c>
      <c r="B18" s="42">
        <f>_xlfn.XLOOKUP(A18,Сводный!E:E,Сводный!CF:CF)</f>
        <v>50</v>
      </c>
      <c r="C18" s="42" t="str">
        <f>_xlfn.XLOOKUP(A18,[1]Юнит!$E:$E,[1]Юнит!$D:$D,0)</f>
        <v>Массажер для тела оранжевый</v>
      </c>
    </row>
    <row r="19" spans="1:3">
      <c r="A19" s="41">
        <f>[1]Юнит!$E22</f>
        <v>2041591042329</v>
      </c>
      <c r="B19" s="42">
        <f>_xlfn.XLOOKUP(A19,Сводный!E:E,Сводный!CF:CF)</f>
        <v>10</v>
      </c>
      <c r="C19" s="42" t="str">
        <f>_xlfn.XLOOKUP(A19,[1]Юнит!$E:$E,[1]Юнит!$D:$D,0)</f>
        <v>Массажер для тела розовый</v>
      </c>
    </row>
    <row r="20" spans="1:3">
      <c r="A20" s="41">
        <f>[1]Юнит!$E23</f>
        <v>2041591055954</v>
      </c>
      <c r="B20" s="42">
        <f>_xlfn.XLOOKUP(A20,Сводный!E:E,Сводный!CF:CF)</f>
        <v>60</v>
      </c>
      <c r="C20" s="42" t="str">
        <f>_xlfn.XLOOKUP(A20,[1]Юнит!$E:$E,[1]Юнит!$D:$D,0)</f>
        <v>Массажер для тела голубой</v>
      </c>
    </row>
    <row r="21" spans="1:3">
      <c r="A21" s="41">
        <f>[1]Юнит!$E24</f>
        <v>2040278804496</v>
      </c>
      <c r="B21" s="42">
        <f>_xlfn.XLOOKUP(A21,Сводный!E:E,Сводный!CF:CF)</f>
        <v>125</v>
      </c>
      <c r="C21" s="42" t="str">
        <f>_xlfn.XLOOKUP(A21,[1]Юнит!$E:$E,[1]Юнит!$D:$D,0)</f>
        <v>Мяч с шипами белый 6 см</v>
      </c>
    </row>
    <row r="22" spans="1:3">
      <c r="A22" s="41">
        <f>[1]Юнит!$E25</f>
        <v>2040278810534</v>
      </c>
      <c r="B22" s="42">
        <f>_xlfn.XLOOKUP(A22,Сводный!E:E,Сводный!CF:CF)</f>
        <v>300</v>
      </c>
      <c r="C22" s="42" t="str">
        <f>_xlfn.XLOOKUP(A22,[1]Юнит!$E:$E,[1]Юнит!$D:$D,0)</f>
        <v>Мяч с шипами розовый 6 см</v>
      </c>
    </row>
    <row r="23" spans="1:3">
      <c r="A23" s="41">
        <f>[1]Юнит!$E26</f>
        <v>2040278804649</v>
      </c>
      <c r="B23" s="42">
        <f>_xlfn.XLOOKUP(A23,Сводный!E:E,Сводный!CF:CF)</f>
        <v>120</v>
      </c>
      <c r="C23" s="42" t="str">
        <f>_xlfn.XLOOKUP(A23,[1]Юнит!$E:$E,[1]Юнит!$D:$D,0)</f>
        <v>Мяч с шипами голубой 6 см</v>
      </c>
    </row>
    <row r="24" spans="1:3">
      <c r="A24" s="41">
        <f>[1]Юнит!$E27</f>
        <v>2039818580389</v>
      </c>
      <c r="B24" s="42">
        <f>_xlfn.XLOOKUP(A24,Сводный!E:E,Сводный!CF:CF)</f>
        <v>20</v>
      </c>
      <c r="C24" s="42" t="str">
        <f>_xlfn.XLOOKUP(A24,[1]Юнит!$E:$E,[1]Юнит!$D:$D,0)</f>
        <v>Мяч с шипами оранжевый 6 см</v>
      </c>
    </row>
    <row r="25" spans="1:3">
      <c r="A25" s="41">
        <f>[1]Юнит!$E28</f>
        <v>2043369663040</v>
      </c>
      <c r="B25" s="42">
        <f>_xlfn.XLOOKUP(A25,Сводный!E:E,Сводный!CF:CF)</f>
        <v>250</v>
      </c>
      <c r="C25" s="42" t="str">
        <f>_xlfn.XLOOKUP(A25,[1]Юнит!$E:$E,[1]Юнит!$D:$D,0)</f>
        <v>Мяч с шипами черный 6 см</v>
      </c>
    </row>
    <row r="26" spans="1:3">
      <c r="A26" s="41">
        <f>[1]Юнит!$E29</f>
        <v>2044025326637</v>
      </c>
      <c r="B26" s="42">
        <f>_xlfn.XLOOKUP(A26,Сводный!E:E,Сводный!CF:CF)</f>
        <v>300</v>
      </c>
      <c r="C26" s="42" t="str">
        <f>_xlfn.XLOOKUP(A26,[1]Юнит!$E:$E,[1]Юнит!$D:$D,0)</f>
        <v>Мяч с шипами белый 7 см</v>
      </c>
    </row>
    <row r="27" spans="1:3">
      <c r="A27" s="41">
        <f>[1]Юнит!$E30</f>
        <v>2044025316447</v>
      </c>
      <c r="B27" s="42">
        <f>_xlfn.XLOOKUP(A27,Сводный!E:E,Сводный!CF:CF)</f>
        <v>60</v>
      </c>
      <c r="C27" s="42" t="str">
        <f>_xlfn.XLOOKUP(A27,[1]Юнит!$E:$E,[1]Юнит!$D:$D,0)</f>
        <v>Мяч с шипами розовый 7 см</v>
      </c>
    </row>
    <row r="28" spans="1:3">
      <c r="A28" s="41">
        <f>[1]Юнит!$E31</f>
        <v>2044025338661</v>
      </c>
      <c r="B28" s="42">
        <f>_xlfn.XLOOKUP(A28,Сводный!E:E,Сводный!CF:CF)</f>
        <v>40</v>
      </c>
      <c r="C28" s="42" t="str">
        <f>_xlfn.XLOOKUP(A28,[1]Юнит!$E:$E,[1]Юнит!$D:$D,0)</f>
        <v>Мяч с шипами голубой 7 см</v>
      </c>
    </row>
    <row r="29" spans="1:3">
      <c r="A29" s="41">
        <f>[1]Юнит!$E32</f>
        <v>2044025288003</v>
      </c>
      <c r="B29" s="42">
        <f>_xlfn.XLOOKUP(A29,Сводный!E:E,Сводный!CF:CF)</f>
        <v>30</v>
      </c>
      <c r="C29" s="42" t="str">
        <f>_xlfn.XLOOKUP(A29,[1]Юнит!$E:$E,[1]Юнит!$D:$D,0)</f>
        <v>Мяч с шипами оранжевый 7 см</v>
      </c>
    </row>
    <row r="30" spans="1:3">
      <c r="A30" s="41">
        <f>[1]Юнит!$E33</f>
        <v>2044025344532</v>
      </c>
      <c r="B30" s="42">
        <f>_xlfn.XLOOKUP(A30,Сводный!E:E,Сводный!CF:CF)</f>
        <v>30</v>
      </c>
      <c r="C30" s="42" t="str">
        <f>_xlfn.XLOOKUP(A30,[1]Юнит!$E:$E,[1]Юнит!$D:$D,0)</f>
        <v>Мяч с шипами черный 7 см</v>
      </c>
    </row>
    <row r="31" spans="1:3">
      <c r="A31" s="41">
        <f>[1]Юнит!$E34</f>
        <v>2044025321588</v>
      </c>
      <c r="B31" s="42">
        <f>_xlfn.XLOOKUP(A31,Сводный!E:E,Сводный!CF:CF)</f>
        <v>150</v>
      </c>
      <c r="C31" s="42" t="str">
        <f>_xlfn.XLOOKUP(A31,[1]Юнит!$E:$E,[1]Юнит!$D:$D,0)</f>
        <v>Мяч с шипами розовый 9 см</v>
      </c>
    </row>
    <row r="32" spans="1:3">
      <c r="A32" s="41">
        <f>[1]Юнит!$E35</f>
        <v>2044025342057</v>
      </c>
      <c r="B32" s="42">
        <f>_xlfn.XLOOKUP(A32,Сводный!E:E,Сводный!CF:CF)</f>
        <v>40</v>
      </c>
      <c r="C32" s="42" t="str">
        <f>_xlfn.XLOOKUP(A32,[1]Юнит!$E:$E,[1]Юнит!$D:$D,0)</f>
        <v>Мяч с шипами голубой 9 см</v>
      </c>
    </row>
    <row r="33" spans="1:3">
      <c r="A33" s="41">
        <f>[1]Юнит!$E36</f>
        <v>2044025291485</v>
      </c>
      <c r="B33" s="42">
        <f>_xlfn.XLOOKUP(A33,Сводный!E:E,Сводный!CF:CF)</f>
        <v>100</v>
      </c>
      <c r="C33" s="42" t="str">
        <f>_xlfn.XLOOKUP(A33,[1]Юнит!$E:$E,[1]Юнит!$D:$D,0)</f>
        <v>Мяч с шипами оранжевый 9 см</v>
      </c>
    </row>
    <row r="34" spans="1:3">
      <c r="A34" s="41">
        <f>[1]Юнит!$E37</f>
        <v>2044025347953</v>
      </c>
      <c r="B34" s="42">
        <f>_xlfn.XLOOKUP(A34,Сводный!E:E,Сводный!CF:CF)</f>
        <v>30</v>
      </c>
      <c r="C34" s="42" t="str">
        <f>_xlfn.XLOOKUP(A34,[1]Юнит!$E:$E,[1]Юнит!$D:$D,0)</f>
        <v>Мяч с шипами черный 9 см</v>
      </c>
    </row>
    <row r="35" spans="1:3">
      <c r="A35" s="41">
        <f>[1]Юнит!$E38</f>
        <v>2044025354937</v>
      </c>
      <c r="B35" s="42">
        <f>_xlfn.XLOOKUP(A35,Сводный!E:E,Сводный!CF:CF)</f>
        <v>80</v>
      </c>
      <c r="C35" s="42" t="str">
        <f>_xlfn.XLOOKUP(A35,[1]Юнит!$E:$E,[1]Юнит!$D:$D,0)</f>
        <v>Мяч с шипами фиолетовый 9 см</v>
      </c>
    </row>
    <row r="36" spans="1:3">
      <c r="A36" s="41">
        <f>[1]Юнит!$E39</f>
        <v>2042985583893</v>
      </c>
      <c r="B36" s="42">
        <f>_xlfn.XLOOKUP(A36,Сводный!E:E,Сводный!CF:CF)</f>
        <v>0</v>
      </c>
      <c r="C36" s="42" t="str">
        <f>_xlfn.XLOOKUP(A36,[1]Юнит!$E:$E,[1]Юнит!$D:$D,0)</f>
        <v>Мяч гладкий розовый</v>
      </c>
    </row>
    <row r="37" spans="1:3">
      <c r="A37" s="41">
        <f>[1]Юнит!$E40</f>
        <v>2042986356632</v>
      </c>
      <c r="B37" s="42">
        <f>_xlfn.XLOOKUP(A37,Сводный!E:E,Сводный!CF:CF)</f>
        <v>0</v>
      </c>
      <c r="C37" s="42" t="str">
        <f>_xlfn.XLOOKUP(A37,[1]Юнит!$E:$E,[1]Юнит!$D:$D,0)</f>
        <v>Мяч гладкий голубой</v>
      </c>
    </row>
    <row r="38" spans="1:3">
      <c r="A38" s="41">
        <f>[1]Юнит!$E41</f>
        <v>2042986372359</v>
      </c>
      <c r="B38" s="42">
        <f>_xlfn.XLOOKUP(A38,Сводный!E:E,Сводный!CF:CF)</f>
        <v>0</v>
      </c>
      <c r="C38" s="42" t="str">
        <f>_xlfn.XLOOKUP(A38,[1]Юнит!$E:$E,[1]Юнит!$D:$D,0)</f>
        <v>Мяч гладкий сиреневый</v>
      </c>
    </row>
    <row r="39" spans="1:3">
      <c r="A39" s="41">
        <f>[1]Юнит!$E42</f>
        <v>2042986377583</v>
      </c>
      <c r="B39" s="42">
        <f>_xlfn.XLOOKUP(A39,Сводный!E:E,Сводный!CF:CF)</f>
        <v>0</v>
      </c>
      <c r="C39" s="42" t="str">
        <f>_xlfn.XLOOKUP(A39,[1]Юнит!$E:$E,[1]Юнит!$D:$D,0)</f>
        <v>Мяч гладкий оранжевый</v>
      </c>
    </row>
    <row r="40" spans="1:3">
      <c r="A40" s="41">
        <f>[1]Юнит!$E43</f>
        <v>2048933027488</v>
      </c>
      <c r="B40" s="42">
        <f>_xlfn.XLOOKUP(A40,Сводный!E:E,Сводный!CF:CF)</f>
        <v>60</v>
      </c>
      <c r="C40" s="42" t="str">
        <f>_xlfn.XLOOKUP(A40,[1]Юнит!$E:$E,[1]Юнит!$D:$D,0)</f>
        <v>Набор эластичных лент 3 шт. в мешке</v>
      </c>
    </row>
    <row r="41" spans="1:3">
      <c r="A41" s="41">
        <f>[1]Юнит!$E44</f>
        <v>2046392546618</v>
      </c>
      <c r="B41" s="42">
        <f>_xlfn.XLOOKUP(A41,Сводный!E:E,Сводный!CF:CF)</f>
        <v>30</v>
      </c>
      <c r="C41" s="42" t="str">
        <f>_xlfn.XLOOKUP(A41,[1]Юнит!$E:$E,[1]Юнит!$D:$D,0)</f>
        <v>Набор эластичных лент 5 шт. в мешке</v>
      </c>
    </row>
    <row r="42" spans="1:3">
      <c r="A42" s="41">
        <f>[1]Юнит!$E45</f>
        <v>2046392546632</v>
      </c>
      <c r="B42" s="42">
        <f>_xlfn.XLOOKUP(A42,Сводный!E:E,Сводный!CF:CF)</f>
        <v>0</v>
      </c>
      <c r="C42" s="42" t="str">
        <f>_xlfn.XLOOKUP(A42,[1]Юнит!$E:$E,[1]Юнит!$D:$D,0)</f>
        <v>Набор эластичных лент 4 шт.</v>
      </c>
    </row>
    <row r="43" spans="1:3">
      <c r="A43" s="41">
        <f>[1]Юнит!$E46</f>
        <v>2046392546656</v>
      </c>
      <c r="B43" s="42">
        <f>_xlfn.XLOOKUP(A43,Сводный!E:E,Сводный!CF:CF)</f>
        <v>0</v>
      </c>
      <c r="C43" s="42" t="str">
        <f>_xlfn.XLOOKUP(A43,[1]Юнит!$E:$E,[1]Юнит!$D:$D,0)</f>
        <v>Набор эластичных лент 5 шт.</v>
      </c>
    </row>
    <row r="44" spans="1:3">
      <c r="A44" s="41">
        <f>[1]Юнит!$E47</f>
        <v>2041473034138</v>
      </c>
      <c r="B44" s="42">
        <f>_xlfn.XLOOKUP(A44,Сводный!E:E,Сводный!CF:CF)</f>
        <v>0</v>
      </c>
      <c r="C44" s="42" t="str">
        <f>_xlfn.XLOOKUP(A44,[1]Юнит!$E:$E,[1]Юнит!$D:$D,0)</f>
        <v>Скакалка черная</v>
      </c>
    </row>
    <row r="45" spans="1:3">
      <c r="A45" s="41">
        <f>[1]Юнит!$E48</f>
        <v>2041473034145</v>
      </c>
      <c r="B45" s="42">
        <f>_xlfn.XLOOKUP(A45,Сводный!E:E,Сводный!CF:CF)</f>
        <v>0</v>
      </c>
      <c r="C45" s="42" t="str">
        <f>_xlfn.XLOOKUP(A45,[1]Юнит!$E:$E,[1]Юнит!$D:$D,0)</f>
        <v>Скакалка красная</v>
      </c>
    </row>
    <row r="46" spans="1:3">
      <c r="A46" s="41">
        <f>[1]Юнит!$E49</f>
        <v>2041473034169</v>
      </c>
      <c r="B46" s="42">
        <f>_xlfn.XLOOKUP(A46,Сводный!E:E,Сводный!CF:CF)</f>
        <v>0</v>
      </c>
      <c r="C46" s="42" t="str">
        <f>_xlfn.XLOOKUP(A46,[1]Юнит!$E:$E,[1]Юнит!$D:$D,0)</f>
        <v>Скакалка синяя</v>
      </c>
    </row>
    <row r="47" spans="1:3">
      <c r="A47" s="41">
        <f>[1]Юнит!$E50</f>
        <v>2046391283330</v>
      </c>
      <c r="B47" s="42">
        <f>_xlfn.XLOOKUP(A47,Сводный!E:E,Сводный!CF:CF)</f>
        <v>0</v>
      </c>
      <c r="C47" s="42" t="str">
        <f>_xlfn.XLOOKUP(A47,[1]Юнит!$E:$E,[1]Юнит!$D:$D,0)</f>
        <v>Капа черный/красный - черная коробка</v>
      </c>
    </row>
    <row r="48" spans="1:3">
      <c r="A48" s="41">
        <f>[1]Юнит!$E51</f>
        <v>2046391283385</v>
      </c>
      <c r="B48" s="42">
        <f>_xlfn.XLOOKUP(A48,Сводный!E:E,Сводный!CF:CF)</f>
        <v>0</v>
      </c>
      <c r="C48" s="42" t="str">
        <f>_xlfn.XLOOKUP(A48,[1]Юнит!$E:$E,[1]Юнит!$D:$D,0)</f>
        <v>Капа черный/белый-черная коробка</v>
      </c>
    </row>
    <row r="49" spans="1:3">
      <c r="A49" s="41">
        <f>[1]Юнит!$E52</f>
        <v>2046391283415</v>
      </c>
      <c r="B49" s="42">
        <f>_xlfn.XLOOKUP(A49,Сводный!E:E,Сводный!CF:CF)</f>
        <v>0</v>
      </c>
      <c r="C49" s="42" t="str">
        <f>_xlfn.XLOOKUP(A49,[1]Юнит!$E:$E,[1]Юнит!$D:$D,0)</f>
        <v>Капа белый/черный</v>
      </c>
    </row>
    <row r="50" spans="1:3">
      <c r="A50" s="41">
        <f>[1]Юнит!$E53</f>
        <v>2046391283446</v>
      </c>
      <c r="B50" s="42">
        <f>_xlfn.XLOOKUP(A50,Сводный!E:E,Сводный!CF:CF)</f>
        <v>0</v>
      </c>
      <c r="C50" s="42" t="str">
        <f>_xlfn.XLOOKUP(A50,[1]Юнит!$E:$E,[1]Юнит!$D:$D,0)</f>
        <v>Капа белый/красный</v>
      </c>
    </row>
    <row r="51" spans="1:3">
      <c r="A51" s="41">
        <f>[1]Юнит!$E54</f>
        <v>2046391283507</v>
      </c>
      <c r="B51" s="42">
        <f>_xlfn.XLOOKUP(A51,Сводный!E:E,Сводный!CF:CF)</f>
        <v>0</v>
      </c>
      <c r="C51" s="42" t="str">
        <f>_xlfn.XLOOKUP(A51,[1]Юнит!$E:$E,[1]Юнит!$D:$D,0)</f>
        <v>Капа красный/белый</v>
      </c>
    </row>
    <row r="52" spans="1:3">
      <c r="A52" s="41">
        <f>[1]Юнит!$E55</f>
        <v>2046391283545</v>
      </c>
      <c r="B52" s="42">
        <f>_xlfn.XLOOKUP(A52,Сводный!E:E,Сводный!CF:CF)</f>
        <v>0</v>
      </c>
      <c r="C52" s="42" t="str">
        <f>_xlfn.XLOOKUP(A52,[1]Юнит!$E:$E,[1]Юнит!$D:$D,0)</f>
        <v>Капа синий/белый</v>
      </c>
    </row>
    <row r="53" spans="1:3">
      <c r="A53" s="41">
        <f>[1]Юнит!$E56</f>
        <v>2046391283569</v>
      </c>
      <c r="B53" s="42">
        <f>_xlfn.XLOOKUP(A53,Сводный!E:E,Сводный!CF:CF)</f>
        <v>0</v>
      </c>
      <c r="C53" s="42" t="str">
        <f>_xlfn.XLOOKUP(A53,[1]Юнит!$E:$E,[1]Юнит!$D:$D,0)</f>
        <v>Капа зеленый/белый</v>
      </c>
    </row>
    <row r="54" spans="1:3">
      <c r="A54" s="41">
        <f>[1]Юнит!$E57</f>
        <v>2046391283613</v>
      </c>
      <c r="B54" s="42">
        <f>_xlfn.XLOOKUP(A54,Сводный!E:E,Сводный!CF:CF)</f>
        <v>0</v>
      </c>
      <c r="C54" s="42" t="str">
        <f>_xlfn.XLOOKUP(A54,[1]Юнит!$E:$E,[1]Юнит!$D:$D,0)</f>
        <v>Капа зеленый/черный</v>
      </c>
    </row>
    <row r="55" spans="1:3">
      <c r="A55" s="41">
        <f>[1]Юнит!$E58</f>
        <v>2038891723249</v>
      </c>
      <c r="B55" s="42">
        <f>_xlfn.XLOOKUP(A55,Сводный!E:E,Сводный!CF:CF)</f>
        <v>72</v>
      </c>
      <c r="C55" s="42" t="str">
        <f>_xlfn.XLOOKUP(A55,[1]Юнит!$E:$E,[1]Юнит!$D:$D,0)</f>
        <v>Таблетница прям 7*2 черн</v>
      </c>
    </row>
    <row r="56" spans="1:3">
      <c r="A56" s="41">
        <f>[1]Юнит!$E59</f>
        <v>2044025155923</v>
      </c>
      <c r="B56" s="42">
        <f>_xlfn.XLOOKUP(A56,Сводный!E:E,Сводный!CF:CF)</f>
        <v>72</v>
      </c>
      <c r="C56" s="42" t="str">
        <f>_xlfn.XLOOKUP(A56,[1]Юнит!$E:$E,[1]Юнит!$D:$D,0)</f>
        <v>Таблетница прям 7*2 черн/цветн</v>
      </c>
    </row>
    <row r="57" spans="1:3">
      <c r="A57" s="41">
        <f>[1]Юнит!$E60</f>
        <v>2044516485386</v>
      </c>
      <c r="B57" s="42">
        <f>_xlfn.XLOOKUP(A57,Сводный!E:E,Сводный!CF:CF)</f>
        <v>72</v>
      </c>
      <c r="C57" s="42" t="str">
        <f>_xlfn.XLOOKUP(A57,[1]Юнит!$E:$E,[1]Юнит!$D:$D,0)</f>
        <v>Таблетница прям 7*2 бел/цветн</v>
      </c>
    </row>
    <row r="58" spans="1:3">
      <c r="A58" s="41">
        <f>[1]Юнит!$E61</f>
        <v>2044516498812</v>
      </c>
      <c r="B58" s="42">
        <f>_xlfn.XLOOKUP(A58,Сводный!E:E,Сводный!CF:CF)</f>
        <v>36</v>
      </c>
      <c r="C58" s="42" t="str">
        <f>_xlfn.XLOOKUP(A58,[1]Юнит!$E:$E,[1]Юнит!$D:$D,0)</f>
        <v>Таблетница прям 7*2 сирен/цветн</v>
      </c>
    </row>
    <row r="59" spans="1:3">
      <c r="A59" s="41">
        <f>[1]Юнит!$E62</f>
        <v>2038890789598</v>
      </c>
      <c r="B59" s="42">
        <f>_xlfn.XLOOKUP(A59,Сводный!E:E,Сводный!CF:CF)</f>
        <v>0</v>
      </c>
      <c r="C59" s="42" t="str">
        <f>_xlfn.XLOOKUP(A59,[1]Юнит!$E:$E,[1]Юнит!$D:$D,0)</f>
        <v>Таблетница круглая 7*2 черн</v>
      </c>
    </row>
    <row r="60" spans="1:3">
      <c r="A60" s="41">
        <f>[1]Юнит!$E63</f>
        <v>2042160422832</v>
      </c>
      <c r="B60" s="42">
        <f>_xlfn.XLOOKUP(A60,Сводный!E:E,Сводный!CF:CF)</f>
        <v>0</v>
      </c>
      <c r="C60" s="42" t="str">
        <f>_xlfn.XLOOKUP(A60,[1]Юнит!$E:$E,[1]Юнит!$D:$D,0)</f>
        <v>Таблетница круглая 7*2 черн/цвет</v>
      </c>
    </row>
    <row r="61" spans="1:3">
      <c r="A61" s="41">
        <f>[1]Юнит!$E64</f>
        <v>2041680530447</v>
      </c>
      <c r="B61" s="42">
        <f>_xlfn.XLOOKUP(A61,Сводный!E:E,Сводный!CF:CF)</f>
        <v>320</v>
      </c>
      <c r="C61" s="42" t="str">
        <f>_xlfn.XLOOKUP(A61,[1]Юнит!$E:$E,[1]Юнит!$D:$D,0)</f>
        <v>Таблетница круглая 7*2 сер</v>
      </c>
    </row>
    <row r="62" spans="1:3">
      <c r="A62" s="41">
        <f>[1]Юнит!$E65</f>
        <v>2043048226719</v>
      </c>
      <c r="B62" s="42">
        <f>_xlfn.XLOOKUP(A62,Сводный!E:E,Сводный!CF:CF)</f>
        <v>40</v>
      </c>
      <c r="C62" s="42" t="str">
        <f>_xlfn.XLOOKUP(A62,[1]Юнит!$E:$E,[1]Юнит!$D:$D,0)</f>
        <v>Таблетница круглая 7*2 сер /цвет</v>
      </c>
    </row>
    <row r="63" spans="1:3">
      <c r="A63" s="41">
        <f>[1]Юнит!$E66</f>
        <v>2041532808502</v>
      </c>
      <c r="B63" s="42">
        <f>_xlfn.XLOOKUP(A63,Сводный!E:E,Сводный!CF:CF)</f>
        <v>40</v>
      </c>
      <c r="C63" s="42" t="str">
        <f>_xlfn.XLOOKUP(A63,[1]Юнит!$E:$E,[1]Юнит!$D:$D,0)</f>
        <v>Таблетница круглая 7*2 бел</v>
      </c>
    </row>
    <row r="64" spans="1:3">
      <c r="A64" s="41">
        <f>[1]Юнит!$E67</f>
        <v>2042676873814</v>
      </c>
      <c r="B64" s="42">
        <f>_xlfn.XLOOKUP(A64,Сводный!E:E,Сводный!CF:CF)</f>
        <v>0</v>
      </c>
      <c r="C64" s="42" t="str">
        <f>_xlfn.XLOOKUP(A64,[1]Юнит!$E:$E,[1]Юнит!$D:$D,0)</f>
        <v>Таблетница автомат 7*2 черн</v>
      </c>
    </row>
    <row r="65" spans="1:3">
      <c r="A65" s="41">
        <f>[1]Юнит!$E68</f>
        <v>2041473042966</v>
      </c>
      <c r="B65" s="42">
        <f>_xlfn.XLOOKUP(A65,Сводный!E:E,Сводный!CF:CF)</f>
        <v>0</v>
      </c>
      <c r="C65" s="42" t="str">
        <f>_xlfn.XLOOKUP(A65,[1]Юнит!$E:$E,[1]Юнит!$D:$D,0)</f>
        <v>Скакалка со счетчиком</v>
      </c>
    </row>
    <row r="66" spans="1:3">
      <c r="A66" s="41">
        <f>[1]Юнит!$E69</f>
        <v>2040903539366</v>
      </c>
      <c r="B66" s="42">
        <f>_xlfn.XLOOKUP(A66,Сводный!E:E,Сводный!CF:CF)</f>
        <v>100</v>
      </c>
      <c r="C66" s="42" t="str">
        <f>_xlfn.XLOOKUP(A66,[1]Юнит!$E:$E,[1]Юнит!$D:$D,0)</f>
        <v>Мяч регби красный</v>
      </c>
    </row>
    <row r="67" spans="1:3">
      <c r="A67" s="41">
        <f>[1]Юнит!$E70</f>
        <v>2040903547941</v>
      </c>
      <c r="B67" s="42">
        <f>_xlfn.XLOOKUP(A67,Сводный!E:E,Сводный!CF:CF)</f>
        <v>60</v>
      </c>
      <c r="C67" s="42" t="str">
        <f>_xlfn.XLOOKUP(A67,[1]Юнит!$E:$E,[1]Юнит!$D:$D,0)</f>
        <v>Мяч регби синий</v>
      </c>
    </row>
    <row r="68" spans="1:3">
      <c r="A68" s="41">
        <f>[1]Юнит!$E71</f>
        <v>2040902555480</v>
      </c>
      <c r="B68" s="42">
        <f>_xlfn.XLOOKUP(A68,Сводный!E:E,Сводный!CF:CF)</f>
        <v>140</v>
      </c>
      <c r="C68" s="42" t="str">
        <f>_xlfn.XLOOKUP(A68,[1]Юнит!$E:$E,[1]Юнит!$D:$D,0)</f>
        <v>Мяч шина красный</v>
      </c>
    </row>
    <row r="69" spans="1:3">
      <c r="A69" s="41">
        <f>[1]Юнит!$E72</f>
        <v>2040900511679</v>
      </c>
      <c r="B69" s="42">
        <f>_xlfn.XLOOKUP(A69,Сводный!E:E,Сводный!CF:CF)</f>
        <v>140</v>
      </c>
      <c r="C69" s="42" t="str">
        <f>_xlfn.XLOOKUP(A69,[1]Юнит!$E:$E,[1]Юнит!$D:$D,0)</f>
        <v>Мяч шина синий</v>
      </c>
    </row>
    <row r="70" spans="1:3">
      <c r="A70" s="41">
        <f>[1]Юнит!$E73</f>
        <v>2042253544953</v>
      </c>
      <c r="B70" s="42">
        <f>_xlfn.XLOOKUP(A70,Сводный!E:E,Сводный!CF:CF)</f>
        <v>0</v>
      </c>
      <c r="C70" s="42" t="str">
        <f>_xlfn.XLOOKUP(A70,[1]Юнит!$E:$E,[1]Юнит!$D:$D,0)</f>
        <v>Палочка для жевания</v>
      </c>
    </row>
    <row r="71" spans="1:3">
      <c r="A71" s="41">
        <f>[1]Юнит!$E74</f>
        <v>2041534216404</v>
      </c>
      <c r="B71" s="42">
        <f>_xlfn.XLOOKUP(A71,Сводный!E:E,Сводный!CF:CF)</f>
        <v>0</v>
      </c>
      <c r="C71" s="42" t="str">
        <f>_xlfn.XLOOKUP(A71,[1]Юнит!$E:$E,[1]Юнит!$D:$D,0)</f>
        <v>Канат бол бежевый 55см/520гр</v>
      </c>
    </row>
    <row r="72" spans="1:3">
      <c r="A72" s="41">
        <f>[1]Юнит!$E75</f>
        <v>2041534288661</v>
      </c>
      <c r="B72" s="42">
        <f>_xlfn.XLOOKUP(A72,Сводный!E:E,Сводный!CF:CF)</f>
        <v>0</v>
      </c>
      <c r="C72" s="42" t="str">
        <f>_xlfn.XLOOKUP(A72,[1]Юнит!$E:$E,[1]Юнит!$D:$D,0)</f>
        <v>Канат мал желтый 55см/330гр</v>
      </c>
    </row>
    <row r="73" spans="1:3">
      <c r="A73" s="41">
        <f>[1]Юнит!$E76</f>
        <v>2041533648312</v>
      </c>
      <c r="B73" s="42">
        <f>_xlfn.XLOOKUP(A73,Сводный!E:E,Сводный!CF:CF)</f>
        <v>90</v>
      </c>
      <c r="C73" s="42" t="str">
        <f>_xlfn.XLOOKUP(A73,[1]Юнит!$E:$E,[1]Юнит!$D:$D,0)</f>
        <v>Набор пробок 4 шт. в коробке нежн</v>
      </c>
    </row>
    <row r="74" spans="1:3">
      <c r="A74" s="41">
        <f>[1]Юнит!$E77</f>
        <v>2043369755509</v>
      </c>
      <c r="B74" s="42">
        <f>_xlfn.XLOOKUP(A74,Сводный!E:E,Сводный!CF:CF)</f>
        <v>90</v>
      </c>
      <c r="C74" s="42" t="str">
        <f>_xlfn.XLOOKUP(A74,[1]Юнит!$E:$E,[1]Юнит!$D:$D,0)</f>
        <v>Набор пробок 4 шт. в коробке ярк</v>
      </c>
    </row>
    <row r="75" spans="1:3">
      <c r="A75" s="41">
        <f>[1]Юнит!$E78</f>
        <v>2042678197468</v>
      </c>
      <c r="B75" s="42">
        <f>_xlfn.XLOOKUP(A75,Сводный!E:E,Сводный!CF:CF)</f>
        <v>0</v>
      </c>
      <c r="C75" s="42" t="str">
        <f>_xlfn.XLOOKUP(A75,[1]Юнит!$E:$E,[1]Юнит!$D:$D,0)</f>
        <v>Набор пробок 4 шт.</v>
      </c>
    </row>
    <row r="76" spans="1:3">
      <c r="A76" s="41">
        <f>[1]Юнит!$E79</f>
        <v>2041533399818</v>
      </c>
      <c r="B76" s="42">
        <f>_xlfn.XLOOKUP(A76,Сводный!E:E,Сводный!CF:CF)</f>
        <v>0</v>
      </c>
      <c r="C76" s="42" t="str">
        <f>_xlfn.XLOOKUP(A76,[1]Юнит!$E:$E,[1]Юнит!$D:$D,0)</f>
        <v>Шпатель желтый</v>
      </c>
    </row>
    <row r="77" spans="1:3">
      <c r="A77" s="41">
        <f>[1]Юнит!$E80</f>
        <v>2041533587000</v>
      </c>
      <c r="B77" s="42">
        <f>_xlfn.XLOOKUP(A77,Сводный!E:E,Сводный!CF:CF)</f>
        <v>0</v>
      </c>
      <c r="C77" s="42" t="str">
        <f>_xlfn.XLOOKUP(A77,[1]Юнит!$E:$E,[1]Юнит!$D:$D,0)</f>
        <v>Шпатель голубой</v>
      </c>
    </row>
    <row r="78" spans="1:3">
      <c r="A78" s="41">
        <f>[1]Юнит!$E81</f>
        <v>2041533038113</v>
      </c>
      <c r="B78" s="42">
        <f>_xlfn.XLOOKUP(A78,Сводный!E:E,Сводный!CF:CF)</f>
        <v>0</v>
      </c>
      <c r="C78" s="42" t="str">
        <f>_xlfn.XLOOKUP(A78,[1]Юнит!$E:$E,[1]Юнит!$D:$D,0)</f>
        <v>Нож для пиццы желтый</v>
      </c>
    </row>
    <row r="79" spans="1:3">
      <c r="A79" s="41">
        <f>[1]Юнит!$E82</f>
        <v>2042777181566</v>
      </c>
      <c r="B79" s="42">
        <f>_xlfn.XLOOKUP(A79,Сводный!E:E,Сводный!CF:CF)</f>
        <v>0</v>
      </c>
      <c r="C79" s="42" t="str">
        <f>_xlfn.XLOOKUP(A79,[1]Юнит!$E:$E,[1]Юнит!$D:$D,0)</f>
        <v>Нож для пиццы зеленый</v>
      </c>
    </row>
    <row r="80" spans="1:3">
      <c r="A80" s="41">
        <f>[1]Юнит!$E83</f>
        <v>2042988749289</v>
      </c>
      <c r="B80" s="42">
        <f>_xlfn.XLOOKUP(A80,Сводный!E:E,Сводный!CF:CF)</f>
        <v>0</v>
      </c>
      <c r="C80" s="42" t="str">
        <f>_xlfn.XLOOKUP(A80,[1]Юнит!$E:$E,[1]Юнит!$D:$D,0)</f>
        <v>Консервный нож</v>
      </c>
    </row>
    <row r="81" spans="1:3">
      <c r="A81" s="41">
        <f>[1]Юнит!$E84</f>
        <v>2042987041841</v>
      </c>
      <c r="B81" s="42">
        <f>_xlfn.XLOOKUP(A81,Сводный!E:E,Сводный!CF:CF)</f>
        <v>0</v>
      </c>
      <c r="C81" s="42" t="str">
        <f>_xlfn.XLOOKUP(A81,[1]Юнит!$E:$E,[1]Юнит!$D:$D,0)</f>
        <v>Чеснокодавка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518D-567F-4B42-B41B-9B07632FB732}">
  <sheetPr>
    <tabColor rgb="FFFF9999"/>
  </sheetPr>
  <dimension ref="A1:E44"/>
  <sheetViews>
    <sheetView workbookViewId="0">
      <selection activeCell="A28" sqref="A28"/>
    </sheetView>
  </sheetViews>
  <sheetFormatPr defaultRowHeight="15"/>
  <cols>
    <col min="1" max="1" width="18.7109375" style="41" bestFit="1" customWidth="1"/>
    <col min="2" max="2" width="26" style="42" customWidth="1"/>
    <col min="3" max="3" width="36.28515625" style="285" bestFit="1" customWidth="1"/>
    <col min="4" max="4" width="14.140625" style="42" bestFit="1" customWidth="1"/>
    <col min="5" max="5" width="18.28515625" bestFit="1" customWidth="1"/>
  </cols>
  <sheetData>
    <row r="1" spans="1:5">
      <c r="A1" s="286" t="s">
        <v>307</v>
      </c>
      <c r="B1" s="287" t="s">
        <v>308</v>
      </c>
      <c r="C1" s="288" t="s">
        <v>309</v>
      </c>
      <c r="D1" s="287" t="s">
        <v>310</v>
      </c>
      <c r="E1" s="289" t="s">
        <v>429</v>
      </c>
    </row>
    <row r="2" spans="1:5">
      <c r="A2" s="290">
        <v>2038162681926</v>
      </c>
      <c r="B2" s="291">
        <v>40</v>
      </c>
      <c r="C2" s="292" t="s">
        <v>399</v>
      </c>
      <c r="D2" s="291"/>
      <c r="E2" s="293"/>
    </row>
    <row r="3" spans="1:5">
      <c r="A3" s="290">
        <v>2038172050200</v>
      </c>
      <c r="B3" s="291">
        <v>40</v>
      </c>
      <c r="C3" s="292" t="s">
        <v>400</v>
      </c>
      <c r="D3" s="291"/>
      <c r="E3" s="293"/>
    </row>
    <row r="4" spans="1:5">
      <c r="A4" s="290">
        <v>2038337652454</v>
      </c>
      <c r="B4" s="291">
        <v>20</v>
      </c>
      <c r="C4" s="292" t="s">
        <v>401</v>
      </c>
      <c r="D4" s="291"/>
      <c r="E4" s="293"/>
    </row>
    <row r="5" spans="1:5">
      <c r="A5" s="290">
        <v>2038597850744</v>
      </c>
      <c r="B5" s="291">
        <v>20</v>
      </c>
      <c r="C5" s="292" t="s">
        <v>402</v>
      </c>
      <c r="D5" s="291"/>
      <c r="E5" s="293"/>
    </row>
    <row r="6" spans="1:5">
      <c r="A6" s="290">
        <v>2038627713902</v>
      </c>
      <c r="B6" s="291">
        <v>40</v>
      </c>
      <c r="C6" s="292" t="s">
        <v>403</v>
      </c>
      <c r="D6" s="291"/>
      <c r="E6" s="293"/>
    </row>
    <row r="7" spans="1:5">
      <c r="A7" s="290">
        <v>2038606201642</v>
      </c>
      <c r="B7" s="291">
        <v>40</v>
      </c>
      <c r="C7" s="292" t="s">
        <v>404</v>
      </c>
      <c r="D7" s="291"/>
      <c r="E7" s="293"/>
    </row>
    <row r="8" spans="1:5">
      <c r="A8" s="290">
        <v>2038606256161</v>
      </c>
      <c r="B8" s="291">
        <v>80</v>
      </c>
      <c r="C8" s="292" t="s">
        <v>405</v>
      </c>
      <c r="D8" s="291"/>
      <c r="E8" s="293"/>
    </row>
    <row r="9" spans="1:5">
      <c r="A9" s="290">
        <v>2039404446068</v>
      </c>
      <c r="B9" s="291">
        <v>40</v>
      </c>
      <c r="C9" s="292" t="s">
        <v>406</v>
      </c>
      <c r="D9" s="291"/>
      <c r="E9" s="293"/>
    </row>
    <row r="10" spans="1:5">
      <c r="A10" s="290">
        <v>2040335626849</v>
      </c>
      <c r="B10" s="291">
        <v>100</v>
      </c>
      <c r="C10" s="292" t="s">
        <v>407</v>
      </c>
      <c r="D10" s="291"/>
      <c r="E10" s="293"/>
    </row>
    <row r="11" spans="1:5">
      <c r="A11" s="290">
        <v>2040335648124</v>
      </c>
      <c r="B11" s="291">
        <v>130</v>
      </c>
      <c r="C11" s="292" t="s">
        <v>408</v>
      </c>
      <c r="D11" s="291"/>
      <c r="E11" s="293"/>
    </row>
    <row r="12" spans="1:5">
      <c r="A12" s="290">
        <v>2039813223373</v>
      </c>
      <c r="B12" s="291">
        <v>50</v>
      </c>
      <c r="C12" s="292" t="s">
        <v>409</v>
      </c>
      <c r="D12" s="291"/>
      <c r="E12" s="293"/>
    </row>
    <row r="13" spans="1:5">
      <c r="A13" s="290">
        <v>2041591042329</v>
      </c>
      <c r="B13" s="291">
        <v>10</v>
      </c>
      <c r="C13" s="292" t="s">
        <v>410</v>
      </c>
      <c r="D13" s="291"/>
      <c r="E13" s="293"/>
    </row>
    <row r="14" spans="1:5">
      <c r="A14" s="290">
        <v>2041591055954</v>
      </c>
      <c r="B14" s="291">
        <v>60</v>
      </c>
      <c r="C14" s="292" t="s">
        <v>411</v>
      </c>
      <c r="D14" s="291"/>
      <c r="E14" s="293"/>
    </row>
    <row r="15" spans="1:5">
      <c r="A15" s="290">
        <v>2040278804496</v>
      </c>
      <c r="B15" s="291">
        <v>125</v>
      </c>
      <c r="C15" s="292" t="s">
        <v>412</v>
      </c>
      <c r="D15" s="291"/>
      <c r="E15" s="293"/>
    </row>
    <row r="16" spans="1:5">
      <c r="A16" s="290">
        <v>2040278810534</v>
      </c>
      <c r="B16" s="291">
        <v>300</v>
      </c>
      <c r="C16" s="292" t="s">
        <v>494</v>
      </c>
      <c r="D16" s="291"/>
      <c r="E16" s="293"/>
    </row>
    <row r="17" spans="1:5">
      <c r="A17" s="290">
        <v>2040278804649</v>
      </c>
      <c r="B17" s="291">
        <v>120</v>
      </c>
      <c r="C17" s="292" t="s">
        <v>495</v>
      </c>
      <c r="D17" s="291"/>
      <c r="E17" s="293"/>
    </row>
    <row r="18" spans="1:5">
      <c r="A18" s="290">
        <v>2039818580389</v>
      </c>
      <c r="B18" s="291">
        <v>20</v>
      </c>
      <c r="C18" s="292" t="s">
        <v>496</v>
      </c>
      <c r="D18" s="291"/>
      <c r="E18" s="293"/>
    </row>
    <row r="19" spans="1:5">
      <c r="A19" s="290">
        <v>2043369663040</v>
      </c>
      <c r="B19" s="291">
        <v>250</v>
      </c>
      <c r="C19" s="292" t="s">
        <v>497</v>
      </c>
      <c r="D19" s="291"/>
      <c r="E19" s="293"/>
    </row>
    <row r="20" spans="1:5">
      <c r="A20" s="290">
        <v>2044025326637</v>
      </c>
      <c r="B20" s="291">
        <v>300</v>
      </c>
      <c r="C20" s="292" t="s">
        <v>498</v>
      </c>
      <c r="D20" s="291"/>
      <c r="E20" s="293"/>
    </row>
    <row r="21" spans="1:5">
      <c r="A21" s="290">
        <v>2044025316447</v>
      </c>
      <c r="B21" s="291">
        <v>60</v>
      </c>
      <c r="C21" s="292" t="s">
        <v>499</v>
      </c>
      <c r="D21" s="291"/>
      <c r="E21" s="293"/>
    </row>
    <row r="22" spans="1:5">
      <c r="A22" s="290">
        <v>2044025338661</v>
      </c>
      <c r="B22" s="291">
        <v>40</v>
      </c>
      <c r="C22" s="292" t="s">
        <v>500</v>
      </c>
      <c r="D22" s="291"/>
      <c r="E22" s="293"/>
    </row>
    <row r="23" spans="1:5">
      <c r="A23" s="290">
        <v>2044025288003</v>
      </c>
      <c r="B23" s="291">
        <v>30</v>
      </c>
      <c r="C23" s="292" t="s">
        <v>501</v>
      </c>
      <c r="D23" s="291"/>
      <c r="E23" s="293"/>
    </row>
    <row r="24" spans="1:5">
      <c r="A24" s="290">
        <v>2044025344532</v>
      </c>
      <c r="B24" s="291">
        <v>30</v>
      </c>
      <c r="C24" s="292" t="s">
        <v>502</v>
      </c>
      <c r="D24" s="291"/>
      <c r="E24" s="293"/>
    </row>
    <row r="25" spans="1:5">
      <c r="A25" s="290">
        <v>2044025321588</v>
      </c>
      <c r="B25" s="291">
        <v>150</v>
      </c>
      <c r="C25" s="292" t="s">
        <v>413</v>
      </c>
      <c r="D25" s="291"/>
      <c r="E25" s="293"/>
    </row>
    <row r="26" spans="1:5">
      <c r="A26" s="290">
        <v>2044025342057</v>
      </c>
      <c r="B26" s="291">
        <v>40</v>
      </c>
      <c r="C26" s="292" t="s">
        <v>414</v>
      </c>
      <c r="D26" s="291"/>
      <c r="E26" s="293"/>
    </row>
    <row r="27" spans="1:5">
      <c r="A27" s="290">
        <v>2044025291485</v>
      </c>
      <c r="B27" s="291">
        <v>100</v>
      </c>
      <c r="C27" s="292" t="s">
        <v>415</v>
      </c>
      <c r="D27" s="291"/>
      <c r="E27" s="293"/>
    </row>
    <row r="28" spans="1:5">
      <c r="A28" s="290">
        <v>2044025347953</v>
      </c>
      <c r="B28" s="291">
        <v>30</v>
      </c>
      <c r="C28" s="292" t="s">
        <v>416</v>
      </c>
      <c r="D28" s="291"/>
      <c r="E28" s="293"/>
    </row>
    <row r="29" spans="1:5">
      <c r="A29" s="290">
        <v>2044025354937</v>
      </c>
      <c r="B29" s="291">
        <v>80</v>
      </c>
      <c r="C29" s="292" t="s">
        <v>417</v>
      </c>
      <c r="D29" s="291"/>
      <c r="E29" s="293"/>
    </row>
    <row r="30" spans="1:5">
      <c r="A30" s="290">
        <v>2048933027488</v>
      </c>
      <c r="B30" s="291">
        <v>60</v>
      </c>
      <c r="C30" s="292" t="s">
        <v>418</v>
      </c>
      <c r="D30" s="291"/>
      <c r="E30" s="293"/>
    </row>
    <row r="31" spans="1:5">
      <c r="A31" s="290">
        <v>2046392546618</v>
      </c>
      <c r="B31" s="291">
        <v>30</v>
      </c>
      <c r="C31" s="292" t="s">
        <v>419</v>
      </c>
      <c r="D31" s="291"/>
      <c r="E31" s="293"/>
    </row>
    <row r="32" spans="1:5">
      <c r="A32" s="290">
        <v>2038891723249</v>
      </c>
      <c r="B32" s="291">
        <v>72</v>
      </c>
      <c r="C32" s="292" t="s">
        <v>420</v>
      </c>
      <c r="D32" s="291"/>
      <c r="E32" s="293"/>
    </row>
    <row r="33" spans="1:5">
      <c r="A33" s="290">
        <v>2044025155923</v>
      </c>
      <c r="B33" s="291">
        <v>72</v>
      </c>
      <c r="C33" s="292" t="s">
        <v>421</v>
      </c>
      <c r="D33" s="291"/>
      <c r="E33" s="293"/>
    </row>
    <row r="34" spans="1:5">
      <c r="A34" s="290">
        <v>2044516485386</v>
      </c>
      <c r="B34" s="291">
        <v>72</v>
      </c>
      <c r="C34" s="292" t="s">
        <v>422</v>
      </c>
      <c r="D34" s="291"/>
      <c r="E34" s="293"/>
    </row>
    <row r="35" spans="1:5">
      <c r="A35" s="290">
        <v>2044516498812</v>
      </c>
      <c r="B35" s="291">
        <v>36</v>
      </c>
      <c r="C35" s="292" t="s">
        <v>423</v>
      </c>
      <c r="D35" s="291"/>
      <c r="E35" s="293"/>
    </row>
    <row r="36" spans="1:5">
      <c r="A36" s="290">
        <v>2041680530447</v>
      </c>
      <c r="B36" s="291">
        <v>320</v>
      </c>
      <c r="C36" s="292" t="s">
        <v>424</v>
      </c>
      <c r="D36" s="291"/>
      <c r="E36" s="293"/>
    </row>
    <row r="37" spans="1:5">
      <c r="A37" s="290">
        <v>2043048226719</v>
      </c>
      <c r="B37" s="291">
        <v>40</v>
      </c>
      <c r="C37" s="292" t="s">
        <v>425</v>
      </c>
      <c r="D37" s="291"/>
      <c r="E37" s="293"/>
    </row>
    <row r="38" spans="1:5">
      <c r="A38" s="290">
        <v>2041532808502</v>
      </c>
      <c r="B38" s="291">
        <v>40</v>
      </c>
      <c r="C38" s="292" t="s">
        <v>426</v>
      </c>
      <c r="D38" s="291"/>
      <c r="E38" s="293"/>
    </row>
    <row r="39" spans="1:5">
      <c r="A39" s="290">
        <v>2040903539366</v>
      </c>
      <c r="B39" s="291">
        <v>100</v>
      </c>
      <c r="C39" s="292" t="s">
        <v>503</v>
      </c>
      <c r="D39" s="291"/>
      <c r="E39" s="293"/>
    </row>
    <row r="40" spans="1:5">
      <c r="A40" s="290">
        <v>2040903547941</v>
      </c>
      <c r="B40" s="291">
        <v>60</v>
      </c>
      <c r="C40" s="292" t="s">
        <v>504</v>
      </c>
      <c r="D40" s="291"/>
      <c r="E40" s="293"/>
    </row>
    <row r="41" spans="1:5">
      <c r="A41" s="290">
        <v>2040902555480</v>
      </c>
      <c r="B41" s="291">
        <v>140</v>
      </c>
      <c r="C41" s="292" t="s">
        <v>427</v>
      </c>
      <c r="D41" s="291"/>
      <c r="E41" s="293"/>
    </row>
    <row r="42" spans="1:5">
      <c r="A42" s="290">
        <v>2040900511679</v>
      </c>
      <c r="B42" s="291">
        <v>140</v>
      </c>
      <c r="C42" s="292" t="s">
        <v>428</v>
      </c>
      <c r="D42" s="291"/>
      <c r="E42" s="293"/>
    </row>
    <row r="43" spans="1:5">
      <c r="A43" s="290">
        <v>2041533648312</v>
      </c>
      <c r="B43" s="291">
        <v>90</v>
      </c>
      <c r="C43" s="292" t="s">
        <v>505</v>
      </c>
      <c r="D43" s="291"/>
      <c r="E43" s="293"/>
    </row>
    <row r="44" spans="1:5">
      <c r="A44" s="290">
        <v>2043369755509</v>
      </c>
      <c r="B44" s="291">
        <v>90</v>
      </c>
      <c r="C44" s="292" t="s">
        <v>506</v>
      </c>
      <c r="D44" s="291"/>
      <c r="E44" s="293"/>
    </row>
  </sheetData>
  <autoFilter ref="A1:E44" xr:uid="{C104518D-567F-4B42-B41B-9B07632FB732}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4ADF-DA65-4B4D-A861-839F28E4245F}">
  <dimension ref="C1:H18"/>
  <sheetViews>
    <sheetView workbookViewId="0">
      <selection activeCell="G24" sqref="G24"/>
    </sheetView>
  </sheetViews>
  <sheetFormatPr defaultRowHeight="15.75"/>
  <cols>
    <col min="1" max="2" width="9.140625" style="74"/>
    <col min="3" max="3" width="38" style="74" bestFit="1" customWidth="1"/>
    <col min="4" max="4" width="12.28515625" style="75" bestFit="1" customWidth="1"/>
    <col min="5" max="6" width="9.140625" style="74"/>
    <col min="7" max="7" width="70.28515625" style="74" bestFit="1" customWidth="1"/>
    <col min="8" max="8" width="12.140625" style="75" customWidth="1"/>
    <col min="9" max="16384" width="9.140625" style="74"/>
  </cols>
  <sheetData>
    <row r="1" spans="3:8" ht="30" customHeight="1">
      <c r="C1" s="75" t="s">
        <v>383</v>
      </c>
      <c r="E1" s="75"/>
      <c r="F1" s="75"/>
      <c r="G1" s="75" t="s">
        <v>384</v>
      </c>
      <c r="H1" s="81"/>
    </row>
    <row r="2" spans="3:8" s="89" customFormat="1" ht="15.75" customHeight="1">
      <c r="C2" s="86" t="s">
        <v>385</v>
      </c>
      <c r="D2" s="85" t="s">
        <v>308</v>
      </c>
      <c r="E2" s="87"/>
      <c r="F2" s="88"/>
      <c r="G2" s="86" t="s">
        <v>385</v>
      </c>
      <c r="H2" s="85" t="s">
        <v>308</v>
      </c>
    </row>
    <row r="3" spans="3:8" s="80" customFormat="1" ht="15.75" customHeight="1">
      <c r="C3" s="76" t="s">
        <v>189</v>
      </c>
      <c r="D3" s="82">
        <v>18</v>
      </c>
      <c r="E3" s="77"/>
      <c r="F3" s="78"/>
      <c r="G3" s="79"/>
      <c r="H3" s="83"/>
    </row>
    <row r="4" spans="3:8" s="80" customFormat="1" ht="15.75" customHeight="1">
      <c r="C4" s="76" t="s">
        <v>190</v>
      </c>
      <c r="D4" s="82">
        <v>23</v>
      </c>
      <c r="E4" s="77"/>
      <c r="F4" s="78"/>
      <c r="G4" s="79"/>
      <c r="H4" s="83"/>
    </row>
    <row r="5" spans="3:8" s="80" customFormat="1" ht="15.75" customHeight="1">
      <c r="C5" s="76" t="s">
        <v>191</v>
      </c>
      <c r="D5" s="82">
        <v>1</v>
      </c>
      <c r="E5" s="77"/>
      <c r="F5" s="78"/>
      <c r="G5" s="79"/>
      <c r="H5" s="83"/>
    </row>
    <row r="6" spans="3:8" s="80" customFormat="1" ht="15.75" customHeight="1">
      <c r="C6" s="76"/>
      <c r="D6" s="82"/>
      <c r="E6" s="77"/>
      <c r="F6" s="78"/>
      <c r="G6" s="79"/>
      <c r="H6" s="84"/>
    </row>
    <row r="7" spans="3:8" s="80" customFormat="1" ht="15.75" customHeight="1">
      <c r="C7" s="76" t="s">
        <v>186</v>
      </c>
      <c r="D7" s="82"/>
      <c r="E7" s="77"/>
      <c r="F7" s="78"/>
      <c r="G7" s="79"/>
      <c r="H7" s="83"/>
    </row>
    <row r="8" spans="3:8" s="80" customFormat="1" ht="15.75" customHeight="1">
      <c r="C8" s="76" t="s">
        <v>187</v>
      </c>
      <c r="D8" s="82">
        <v>3</v>
      </c>
      <c r="E8" s="77"/>
      <c r="F8" s="78"/>
      <c r="G8" s="79"/>
      <c r="H8" s="83"/>
    </row>
    <row r="9" spans="3:8" s="80" customFormat="1" ht="15.75" customHeight="1">
      <c r="C9" s="76" t="s">
        <v>188</v>
      </c>
      <c r="D9" s="82"/>
      <c r="E9" s="77"/>
      <c r="F9" s="78"/>
      <c r="G9" s="79"/>
      <c r="H9" s="83"/>
    </row>
    <row r="10" spans="3:8" s="80" customFormat="1" ht="15.75" customHeight="1">
      <c r="C10" s="76"/>
      <c r="D10" s="82"/>
      <c r="E10" s="77"/>
      <c r="F10" s="78"/>
      <c r="G10" s="79"/>
      <c r="H10" s="83"/>
    </row>
    <row r="11" spans="3:8" s="80" customFormat="1" ht="15.75" customHeight="1">
      <c r="C11" s="76" t="s">
        <v>192</v>
      </c>
      <c r="D11" s="82">
        <v>3</v>
      </c>
      <c r="E11" s="77"/>
      <c r="F11" s="78"/>
      <c r="G11" s="79"/>
      <c r="H11" s="83"/>
    </row>
    <row r="12" spans="3:8" s="80" customFormat="1" ht="15.75" customHeight="1">
      <c r="C12" s="76"/>
      <c r="D12" s="82"/>
      <c r="E12" s="77"/>
      <c r="F12" s="78"/>
      <c r="G12" s="79"/>
      <c r="H12" s="83"/>
    </row>
    <row r="13" spans="3:8" s="80" customFormat="1" ht="15.75" customHeight="1">
      <c r="C13" s="76" t="s">
        <v>193</v>
      </c>
      <c r="D13" s="82">
        <v>6</v>
      </c>
      <c r="E13" s="77"/>
      <c r="F13" s="78"/>
      <c r="G13" s="79"/>
      <c r="H13" s="83"/>
    </row>
    <row r="14" spans="3:8" s="80" customFormat="1" ht="15.75" customHeight="1">
      <c r="C14" s="76" t="s">
        <v>194</v>
      </c>
      <c r="D14" s="82">
        <v>1</v>
      </c>
      <c r="E14" s="77"/>
      <c r="F14" s="78"/>
      <c r="G14" s="79"/>
      <c r="H14" s="83"/>
    </row>
    <row r="15" spans="3:8" s="80" customFormat="1" ht="15.75" customHeight="1">
      <c r="C15" s="76"/>
      <c r="D15" s="82"/>
      <c r="E15" s="77"/>
      <c r="F15" s="78"/>
      <c r="G15" s="79"/>
      <c r="H15" s="83"/>
    </row>
    <row r="16" spans="3:8" s="80" customFormat="1" ht="15.75" customHeight="1">
      <c r="C16" s="76" t="s">
        <v>195</v>
      </c>
      <c r="D16" s="82">
        <v>2</v>
      </c>
      <c r="E16" s="77"/>
      <c r="F16" s="78"/>
      <c r="G16" s="79"/>
      <c r="H16" s="83"/>
    </row>
    <row r="18" spans="3:4" s="80" customFormat="1" ht="15.75" customHeight="1">
      <c r="C18" s="76" t="s">
        <v>196</v>
      </c>
      <c r="D18" s="82">
        <v>17</v>
      </c>
    </row>
  </sheetData>
  <conditionalFormatting sqref="BZ2:BZ19">
    <cfRule type="cellIs" dxfId="0" priority="1" stopIfTrue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Сводный</vt:lpstr>
      <vt:lpstr>ВБ Отчет Продажи (за 60 дней)</vt:lpstr>
      <vt:lpstr>ОЗОН Оборот ведом (за 60 дней)</vt:lpstr>
      <vt:lpstr>ОЗОН Доступн товара</vt:lpstr>
      <vt:lpstr>Шаблон_для_ФФ</vt:lpstr>
      <vt:lpstr>Шаблон_для_ФФ (значения)</vt:lpstr>
      <vt:lpstr>Остатки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</dc:creator>
  <cp:lastModifiedBy>A S</cp:lastModifiedBy>
  <cp:lastPrinted>2025-09-22T16:08:28Z</cp:lastPrinted>
  <dcterms:created xsi:type="dcterms:W3CDTF">2024-12-07T22:13:10Z</dcterms:created>
  <dcterms:modified xsi:type="dcterms:W3CDTF">2026-06-06T13:31:01Z</dcterms:modified>
</cp:coreProperties>
</file>