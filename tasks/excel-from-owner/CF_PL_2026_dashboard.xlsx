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WORK\ИП Сидоренко АЕ\МАРКЕТПЛЕЙСЫ\"/>
    </mc:Choice>
  </mc:AlternateContent>
  <xr:revisionPtr revIDLastSave="0" documentId="13_ncr:1_{D8C1B4BF-3F32-4907-A938-4BCCEAE09B95}" xr6:coauthVersionLast="47" xr6:coauthVersionMax="47" xr10:uidLastSave="{00000000-0000-0000-0000-000000000000}"/>
  <bookViews>
    <workbookView xWindow="-120" yWindow="-120" windowWidth="29040" windowHeight="15720" tabRatio="626" activeTab="5" xr2:uid="{00000000-000D-0000-FFFF-FFFF00000000}"/>
  </bookViews>
  <sheets>
    <sheet name="Дашборд" sheetId="14" r:id="rId1"/>
    <sheet name="PL общ" sheetId="13" r:id="rId2"/>
    <sheet name="PL WB (нед)" sheetId="5" r:id="rId3"/>
    <sheet name="PL WB" sheetId="4" r:id="rId4"/>
    <sheet name="PL OZON (нед)" sheetId="10" r:id="rId5"/>
    <sheet name="PL OZON" sheetId="11" r:id="rId6"/>
    <sheet name="CF (нед)" sheetId="7" r:id="rId7"/>
    <sheet name="CF" sheetId="6" r:id="rId8"/>
    <sheet name="проверка" sheetId="9" r:id="rId9"/>
    <sheet name="Оригинал" sheetId="1" r:id="rId10"/>
    <sheet name="Аудит" sheetId="15" r:id="rId11"/>
  </sheets>
  <definedNames>
    <definedName name="AP" localSheetId="0">#REF!</definedName>
    <definedName name="AP">#REF!</definedName>
    <definedName name="AR" localSheetId="0">#REF!</definedName>
    <definedName name="AR">#REF!</definedName>
    <definedName name="capex" localSheetId="0">#REF!</definedName>
    <definedName name="capex">#REF!</definedName>
    <definedName name="cash">#REF!</definedName>
    <definedName name="CFF">#REF!</definedName>
    <definedName name="CFI">#REF!</definedName>
    <definedName name="CFO">#REF!</definedName>
    <definedName name="cogs">#REF!</definedName>
    <definedName name="cpi_rus_cumul">#REF!</definedName>
    <definedName name="cpi_rus_month">#REF!</definedName>
    <definedName name="cpi_us_month">#REF!</definedName>
    <definedName name="days_month">#REF!</definedName>
    <definedName name="depr">#REF!</definedName>
    <definedName name="first_month">#REF!</definedName>
    <definedName name="fixed_asset">#REF!</definedName>
    <definedName name="inventory">#REF!</definedName>
    <definedName name="ltgr">#REF!</definedName>
    <definedName name="min_cash">#REF!</definedName>
    <definedName name="min_cash_div">#REF!</definedName>
    <definedName name="month_year">#REF!</definedName>
    <definedName name="ndfl">#REF!</definedName>
    <definedName name="ndfl_rate">#REF!</definedName>
    <definedName name="nds">#REF!</definedName>
    <definedName name="opex">#REF!</definedName>
    <definedName name="prof_tax">#REF!</definedName>
    <definedName name="prof_tax_rate">#REF!</definedName>
    <definedName name="re">#REF!</definedName>
    <definedName name="revenue">#REF!</definedName>
    <definedName name="social_tax_rate">#REF!</definedName>
    <definedName name="TV">#REF!</definedName>
    <definedName name="work_cap_c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0" i="10" l="1"/>
  <c r="T20" i="10"/>
  <c r="U20" i="10"/>
  <c r="V20" i="10"/>
  <c r="W20" i="10"/>
  <c r="X20" i="10"/>
  <c r="X30" i="10" s="1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AX20" i="10"/>
  <c r="AY20" i="10"/>
  <c r="AZ20" i="10"/>
  <c r="BA20" i="10"/>
  <c r="BB20" i="10"/>
  <c r="BC20" i="10"/>
  <c r="E20" i="10"/>
  <c r="R8" i="10"/>
  <c r="R53" i="5" l="1"/>
  <c r="R36" i="5"/>
  <c r="R30" i="5"/>
  <c r="R13" i="5"/>
  <c r="R12" i="5"/>
  <c r="P3" i="10"/>
  <c r="Q3" i="10"/>
  <c r="R3" i="10"/>
  <c r="S3" i="10"/>
  <c r="T3" i="10"/>
  <c r="U3" i="10"/>
  <c r="V3" i="10"/>
  <c r="W3" i="10"/>
  <c r="X3" i="10"/>
  <c r="Y3" i="10"/>
  <c r="Z3" i="10"/>
  <c r="AA3" i="10"/>
  <c r="S3" i="7"/>
  <c r="T3" i="7"/>
  <c r="U3" i="7"/>
  <c r="V3" i="7"/>
  <c r="W3" i="7"/>
  <c r="X3" i="7"/>
  <c r="Y3" i="7"/>
  <c r="Z3" i="7"/>
  <c r="AA3" i="7"/>
  <c r="AB3" i="7"/>
  <c r="Q3" i="7"/>
  <c r="R3" i="7"/>
  <c r="P3" i="7"/>
  <c r="Q34" i="5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M24" i="10"/>
  <c r="N24" i="10"/>
  <c r="O24" i="10"/>
  <c r="D53" i="10"/>
  <c r="D36" i="10"/>
  <c r="C53" i="5"/>
  <c r="C36" i="5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J55" i="10"/>
  <c r="AK55" i="10"/>
  <c r="AL55" i="10"/>
  <c r="AM55" i="10"/>
  <c r="AN55" i="10"/>
  <c r="AO55" i="10"/>
  <c r="AP55" i="10"/>
  <c r="AQ55" i="10"/>
  <c r="AR55" i="10"/>
  <c r="AS55" i="10"/>
  <c r="AT55" i="10"/>
  <c r="AU55" i="10"/>
  <c r="AV55" i="10"/>
  <c r="AW55" i="10"/>
  <c r="AX55" i="10"/>
  <c r="AY55" i="10"/>
  <c r="AZ55" i="10"/>
  <c r="BA55" i="10"/>
  <c r="BB55" i="10"/>
  <c r="BC55" i="10"/>
  <c r="C55" i="10"/>
  <c r="T30" i="10"/>
  <c r="U30" i="10"/>
  <c r="V30" i="10"/>
  <c r="W30" i="10"/>
  <c r="Y30" i="10"/>
  <c r="Z30" i="10"/>
  <c r="AA30" i="10"/>
  <c r="AB30" i="10"/>
  <c r="AC30" i="10"/>
  <c r="AD30" i="10"/>
  <c r="AE30" i="10"/>
  <c r="AF30" i="10"/>
  <c r="AG30" i="10"/>
  <c r="AH30" i="10"/>
  <c r="AI30" i="10"/>
  <c r="AJ30" i="10"/>
  <c r="AK30" i="10"/>
  <c r="AL30" i="10"/>
  <c r="AM30" i="10"/>
  <c r="AN30" i="10"/>
  <c r="AO30" i="10"/>
  <c r="AP30" i="10"/>
  <c r="AQ30" i="10"/>
  <c r="AR30" i="10"/>
  <c r="AS30" i="10"/>
  <c r="AT30" i="10"/>
  <c r="AU30" i="10"/>
  <c r="AV30" i="10"/>
  <c r="AW30" i="10"/>
  <c r="AX30" i="10"/>
  <c r="AY30" i="10"/>
  <c r="AZ30" i="10"/>
  <c r="BA30" i="10"/>
  <c r="BB30" i="10"/>
  <c r="BC30" i="10"/>
  <c r="D30" i="10"/>
  <c r="E30" i="10"/>
  <c r="F30" i="10"/>
  <c r="C30" i="5"/>
  <c r="C30" i="10"/>
  <c r="C13" i="10" l="1"/>
  <c r="C13" i="5"/>
  <c r="O52" i="13"/>
  <c r="O37" i="13"/>
  <c r="O21" i="13"/>
  <c r="O16" i="13"/>
  <c r="O32" i="13"/>
  <c r="O15" i="11"/>
  <c r="O16" i="11"/>
  <c r="O21" i="11"/>
  <c r="O33" i="11"/>
  <c r="A2" i="14"/>
  <c r="BC4" i="7"/>
  <c r="BC14" i="7"/>
  <c r="BC15" i="7"/>
  <c r="BC16" i="7"/>
  <c r="BC17" i="7"/>
  <c r="BC18" i="7"/>
  <c r="BC19" i="7"/>
  <c r="BC38" i="7"/>
  <c r="BC60" i="10" s="1"/>
  <c r="BC8" i="10"/>
  <c r="D1" i="10"/>
  <c r="E1" i="10"/>
  <c r="F1" i="10"/>
  <c r="G1" i="10"/>
  <c r="H1" i="10"/>
  <c r="I1" i="10"/>
  <c r="J1" i="10"/>
  <c r="K1" i="10"/>
  <c r="L1" i="10"/>
  <c r="M1" i="10"/>
  <c r="N1" i="10"/>
  <c r="O1" i="10"/>
  <c r="P1" i="10"/>
  <c r="Q1" i="10"/>
  <c r="R1" i="10"/>
  <c r="S1" i="10"/>
  <c r="T1" i="10"/>
  <c r="U1" i="10"/>
  <c r="V1" i="10"/>
  <c r="W1" i="10"/>
  <c r="X1" i="10"/>
  <c r="Y1" i="10"/>
  <c r="Z1" i="10"/>
  <c r="AA1" i="10"/>
  <c r="AB1" i="10"/>
  <c r="AC1" i="10"/>
  <c r="AD1" i="10"/>
  <c r="AE1" i="10"/>
  <c r="AF1" i="10"/>
  <c r="AG1" i="10"/>
  <c r="AH1" i="10"/>
  <c r="AI1" i="10"/>
  <c r="AJ1" i="10"/>
  <c r="AK1" i="10"/>
  <c r="AL1" i="10"/>
  <c r="AM1" i="10"/>
  <c r="AN1" i="10"/>
  <c r="AO1" i="10"/>
  <c r="AP1" i="10"/>
  <c r="AQ1" i="10"/>
  <c r="AR1" i="10"/>
  <c r="AS1" i="10"/>
  <c r="AT1" i="10"/>
  <c r="AU1" i="10"/>
  <c r="AV1" i="10"/>
  <c r="AW1" i="10"/>
  <c r="AX1" i="10"/>
  <c r="AY1" i="10"/>
  <c r="AZ1" i="10"/>
  <c r="BA1" i="10"/>
  <c r="BB1" i="10"/>
  <c r="BC1" i="10"/>
  <c r="C1" i="10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AZ1" i="7"/>
  <c r="BA1" i="7"/>
  <c r="BB1" i="7"/>
  <c r="BC1" i="7"/>
  <c r="C1" i="7"/>
  <c r="BD33" i="10"/>
  <c r="BD6" i="10"/>
  <c r="BD9" i="10"/>
  <c r="BD10" i="10"/>
  <c r="BD11" i="10"/>
  <c r="BD14" i="10"/>
  <c r="BD15" i="10"/>
  <c r="BD16" i="10"/>
  <c r="BD19" i="10"/>
  <c r="BD21" i="10"/>
  <c r="BD22" i="10"/>
  <c r="BD23" i="10"/>
  <c r="BD25" i="10"/>
  <c r="BD26" i="10"/>
  <c r="BD27" i="10"/>
  <c r="BD29" i="10"/>
  <c r="BD31" i="10"/>
  <c r="BD32" i="10"/>
  <c r="BD35" i="10"/>
  <c r="BD37" i="10"/>
  <c r="BD40" i="10"/>
  <c r="BD41" i="10"/>
  <c r="BD42" i="10"/>
  <c r="BD43" i="10"/>
  <c r="BD44" i="10"/>
  <c r="BD45" i="10"/>
  <c r="BD46" i="10"/>
  <c r="BD47" i="10"/>
  <c r="BD48" i="10"/>
  <c r="BD49" i="10"/>
  <c r="BD50" i="10"/>
  <c r="BD51" i="10"/>
  <c r="BD52" i="10"/>
  <c r="BD54" i="10"/>
  <c r="BD56" i="10"/>
  <c r="BD61" i="10"/>
  <c r="BD66" i="10"/>
  <c r="BD74" i="10"/>
  <c r="BD7" i="10"/>
  <c r="BD28" i="10" s="1"/>
  <c r="BB60" i="10"/>
  <c r="BB68" i="10"/>
  <c r="BC68" i="10"/>
  <c r="BB69" i="10"/>
  <c r="BB72" i="10" s="1"/>
  <c r="BB73" i="10" s="1"/>
  <c r="BC69" i="10"/>
  <c r="BB34" i="10"/>
  <c r="BC34" i="10"/>
  <c r="BC36" i="10"/>
  <c r="BB38" i="10"/>
  <c r="BB39" i="10" s="1"/>
  <c r="BC38" i="10"/>
  <c r="BC39" i="10" s="1"/>
  <c r="BB28" i="10"/>
  <c r="BC28" i="10"/>
  <c r="BB18" i="10"/>
  <c r="BC18" i="10"/>
  <c r="BC72" i="10" l="1"/>
  <c r="BC73" i="10" s="1"/>
  <c r="BC13" i="7"/>
  <c r="BC53" i="10"/>
  <c r="BC57" i="10" s="1"/>
  <c r="BD34" i="10"/>
  <c r="BD24" i="10"/>
  <c r="BC59" i="10" l="1"/>
  <c r="BC58" i="10"/>
  <c r="N46" i="4"/>
  <c r="N47" i="4"/>
  <c r="N48" i="4"/>
  <c r="N49" i="4"/>
  <c r="N50" i="4"/>
  <c r="N51" i="4"/>
  <c r="N45" i="4"/>
  <c r="N44" i="4"/>
  <c r="N43" i="4"/>
  <c r="N42" i="4"/>
  <c r="N41" i="4"/>
  <c r="N40" i="4"/>
  <c r="N33" i="4"/>
  <c r="N8" i="4" s="1"/>
  <c r="N23" i="4"/>
  <c r="N22" i="4"/>
  <c r="N20" i="4"/>
  <c r="N15" i="4"/>
  <c r="N14" i="4"/>
  <c r="O4" i="4"/>
  <c r="O6" i="4"/>
  <c r="O9" i="4"/>
  <c r="O16" i="4"/>
  <c r="O19" i="4"/>
  <c r="O21" i="4"/>
  <c r="N11" i="4"/>
  <c r="N10" i="4"/>
  <c r="N7" i="4"/>
  <c r="BD46" i="5"/>
  <c r="BD47" i="5"/>
  <c r="BD48" i="5"/>
  <c r="BD49" i="5"/>
  <c r="BD50" i="5"/>
  <c r="BD51" i="5"/>
  <c r="BD52" i="5"/>
  <c r="BD54" i="5"/>
  <c r="BD56" i="5"/>
  <c r="BD40" i="5"/>
  <c r="BD41" i="5"/>
  <c r="BD42" i="5"/>
  <c r="BD43" i="5"/>
  <c r="BD44" i="5"/>
  <c r="BD45" i="5"/>
  <c r="BD35" i="5"/>
  <c r="BD37" i="5"/>
  <c r="BD31" i="5"/>
  <c r="BD32" i="5"/>
  <c r="BD33" i="5"/>
  <c r="O33" i="4" s="1"/>
  <c r="BD27" i="5"/>
  <c r="BD29" i="5"/>
  <c r="BD19" i="5"/>
  <c r="BD20" i="5"/>
  <c r="BD21" i="5"/>
  <c r="BD22" i="5"/>
  <c r="BD23" i="5"/>
  <c r="BD11" i="5"/>
  <c r="BD14" i="5"/>
  <c r="BD15" i="5"/>
  <c r="BD16" i="5"/>
  <c r="BD10" i="5"/>
  <c r="BD9" i="5"/>
  <c r="BD7" i="5"/>
  <c r="BC30" i="5"/>
  <c r="BC9" i="7" s="1"/>
  <c r="BC55" i="5"/>
  <c r="BC21" i="7" s="1"/>
  <c r="BC60" i="5"/>
  <c r="BC68" i="5"/>
  <c r="BC69" i="5"/>
  <c r="BC34" i="5"/>
  <c r="BC36" i="5"/>
  <c r="BC38" i="5"/>
  <c r="BC39" i="5"/>
  <c r="BC28" i="5"/>
  <c r="BC24" i="5"/>
  <c r="BC17" i="5"/>
  <c r="BC18" i="5"/>
  <c r="BC8" i="5"/>
  <c r="BD24" i="5" l="1"/>
  <c r="BC53" i="5"/>
  <c r="BC57" i="5" s="1"/>
  <c r="BC58" i="5" s="1"/>
  <c r="BD34" i="5"/>
  <c r="BC72" i="5"/>
  <c r="BC73" i="5" s="1"/>
  <c r="BC59" i="5" l="1"/>
  <c r="AX8" i="5"/>
  <c r="AX36" i="10"/>
  <c r="AX38" i="10"/>
  <c r="AX53" i="10" l="1"/>
  <c r="AR3" i="10"/>
  <c r="AS3" i="10"/>
  <c r="N41" i="11"/>
  <c r="N42" i="11"/>
  <c r="N43" i="11"/>
  <c r="N44" i="11"/>
  <c r="N45" i="11"/>
  <c r="N46" i="11"/>
  <c r="N47" i="11"/>
  <c r="N48" i="11"/>
  <c r="N49" i="11"/>
  <c r="N50" i="11"/>
  <c r="N51" i="11"/>
  <c r="N40" i="11"/>
  <c r="M41" i="11"/>
  <c r="M42" i="11"/>
  <c r="M43" i="11"/>
  <c r="M44" i="11"/>
  <c r="M45" i="11"/>
  <c r="M46" i="11"/>
  <c r="M47" i="11"/>
  <c r="M48" i="11"/>
  <c r="M49" i="11"/>
  <c r="M50" i="11"/>
  <c r="M51" i="11"/>
  <c r="L41" i="11"/>
  <c r="L42" i="11"/>
  <c r="L43" i="11"/>
  <c r="L44" i="11"/>
  <c r="L45" i="11"/>
  <c r="L46" i="11"/>
  <c r="L47" i="11"/>
  <c r="L48" i="11"/>
  <c r="L49" i="11"/>
  <c r="L50" i="11"/>
  <c r="L51" i="11"/>
  <c r="M40" i="11"/>
  <c r="L40" i="11"/>
  <c r="D19" i="7" l="1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C19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I18" i="7"/>
  <c r="C17" i="7"/>
  <c r="D52" i="13" l="1"/>
  <c r="E52" i="13"/>
  <c r="F52" i="13"/>
  <c r="G52" i="13"/>
  <c r="H52" i="13"/>
  <c r="I52" i="13"/>
  <c r="J52" i="13"/>
  <c r="K52" i="13"/>
  <c r="L52" i="13"/>
  <c r="M52" i="13"/>
  <c r="N52" i="13"/>
  <c r="C52" i="13"/>
  <c r="C45" i="11"/>
  <c r="D45" i="11"/>
  <c r="E45" i="11"/>
  <c r="F45" i="11"/>
  <c r="C46" i="11"/>
  <c r="D46" i="11"/>
  <c r="E46" i="11"/>
  <c r="F46" i="11"/>
  <c r="C41" i="11"/>
  <c r="D41" i="11"/>
  <c r="E41" i="11"/>
  <c r="F41" i="11"/>
  <c r="C42" i="11"/>
  <c r="D42" i="11"/>
  <c r="E42" i="11"/>
  <c r="F42" i="11"/>
  <c r="C43" i="11"/>
  <c r="D43" i="11"/>
  <c r="E43" i="11"/>
  <c r="F43" i="11"/>
  <c r="C44" i="11"/>
  <c r="D44" i="11"/>
  <c r="E44" i="11"/>
  <c r="F44" i="11"/>
  <c r="K41" i="11"/>
  <c r="K42" i="11"/>
  <c r="K43" i="11"/>
  <c r="K44" i="11"/>
  <c r="K45" i="11"/>
  <c r="K46" i="11"/>
  <c r="J41" i="11"/>
  <c r="J42" i="11"/>
  <c r="J43" i="11"/>
  <c r="J44" i="11"/>
  <c r="J45" i="11"/>
  <c r="J46" i="11"/>
  <c r="I41" i="11"/>
  <c r="I42" i="11"/>
  <c r="I43" i="11"/>
  <c r="I44" i="11"/>
  <c r="I45" i="11"/>
  <c r="I46" i="11"/>
  <c r="H41" i="11"/>
  <c r="H42" i="11"/>
  <c r="H43" i="11"/>
  <c r="H44" i="11"/>
  <c r="H45" i="11"/>
  <c r="H46" i="11"/>
  <c r="G44" i="11"/>
  <c r="C40" i="11"/>
  <c r="D40" i="11"/>
  <c r="E40" i="11"/>
  <c r="F40" i="11"/>
  <c r="H40" i="11"/>
  <c r="I40" i="11"/>
  <c r="J40" i="11"/>
  <c r="K40" i="11"/>
  <c r="G43" i="11"/>
  <c r="G42" i="11"/>
  <c r="G41" i="11"/>
  <c r="C25" i="13"/>
  <c r="C26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N27" i="13"/>
  <c r="M27" i="13"/>
  <c r="L27" i="13"/>
  <c r="K27" i="13"/>
  <c r="J27" i="13"/>
  <c r="I27" i="13"/>
  <c r="H27" i="13"/>
  <c r="G27" i="13"/>
  <c r="F27" i="13"/>
  <c r="E27" i="13"/>
  <c r="D27" i="13"/>
  <c r="AL3" i="7"/>
  <c r="AM3" i="7"/>
  <c r="AL3" i="10"/>
  <c r="AM3" i="10"/>
  <c r="O31" i="13" l="1"/>
  <c r="AG3" i="10"/>
  <c r="AF55" i="5" l="1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AX28" i="10"/>
  <c r="AY28" i="10"/>
  <c r="AZ28" i="10"/>
  <c r="BA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C55" i="5"/>
  <c r="BD55" i="5" l="1"/>
  <c r="AC3" i="10"/>
  <c r="AD3" i="10"/>
  <c r="H41" i="4" l="1"/>
  <c r="H41" i="13" s="1"/>
  <c r="K51" i="11" l="1"/>
  <c r="J51" i="11"/>
  <c r="I51" i="11"/>
  <c r="H51" i="11"/>
  <c r="G51" i="11"/>
  <c r="F51" i="11"/>
  <c r="E51" i="11"/>
  <c r="D51" i="11"/>
  <c r="C51" i="11"/>
  <c r="K50" i="11"/>
  <c r="J50" i="11"/>
  <c r="I50" i="11"/>
  <c r="H50" i="11"/>
  <c r="G50" i="11"/>
  <c r="F50" i="11"/>
  <c r="E50" i="11"/>
  <c r="D50" i="11"/>
  <c r="C50" i="11"/>
  <c r="K49" i="11"/>
  <c r="J49" i="11"/>
  <c r="I49" i="11"/>
  <c r="H49" i="11"/>
  <c r="G49" i="11"/>
  <c r="F49" i="11"/>
  <c r="E49" i="11"/>
  <c r="D49" i="11"/>
  <c r="C49" i="11"/>
  <c r="K48" i="11"/>
  <c r="J48" i="11"/>
  <c r="I48" i="11"/>
  <c r="H48" i="11"/>
  <c r="G48" i="11"/>
  <c r="F48" i="11"/>
  <c r="E48" i="11"/>
  <c r="D48" i="11"/>
  <c r="C48" i="11"/>
  <c r="K47" i="11"/>
  <c r="J47" i="11"/>
  <c r="I47" i="11"/>
  <c r="H47" i="11"/>
  <c r="G47" i="11"/>
  <c r="F47" i="11"/>
  <c r="E47" i="11"/>
  <c r="D47" i="11"/>
  <c r="C47" i="11"/>
  <c r="G46" i="11"/>
  <c r="G45" i="11"/>
  <c r="M67" i="11"/>
  <c r="I67" i="11"/>
  <c r="H67" i="11"/>
  <c r="E67" i="11"/>
  <c r="D67" i="11"/>
  <c r="N33" i="11"/>
  <c r="M33" i="11"/>
  <c r="L33" i="11"/>
  <c r="K33" i="11"/>
  <c r="J33" i="11"/>
  <c r="I33" i="11"/>
  <c r="I34" i="11" s="1"/>
  <c r="H33" i="11"/>
  <c r="N31" i="11"/>
  <c r="M31" i="11"/>
  <c r="L31" i="11"/>
  <c r="K31" i="11"/>
  <c r="J31" i="11"/>
  <c r="I31" i="11"/>
  <c r="H31" i="11"/>
  <c r="N27" i="11"/>
  <c r="M27" i="11"/>
  <c r="L27" i="11"/>
  <c r="K27" i="11"/>
  <c r="J27" i="11"/>
  <c r="I27" i="11"/>
  <c r="H27" i="11"/>
  <c r="N23" i="11"/>
  <c r="M23" i="11"/>
  <c r="L23" i="11"/>
  <c r="K23" i="11"/>
  <c r="J22" i="11"/>
  <c r="I22" i="11"/>
  <c r="H22" i="11"/>
  <c r="N14" i="11"/>
  <c r="N55" i="11" s="1"/>
  <c r="M14" i="11"/>
  <c r="L14" i="11"/>
  <c r="L55" i="11" s="1"/>
  <c r="K14" i="11"/>
  <c r="K55" i="11" s="1"/>
  <c r="J14" i="11"/>
  <c r="J55" i="11" s="1"/>
  <c r="I14" i="11"/>
  <c r="I55" i="11" s="1"/>
  <c r="H14" i="11"/>
  <c r="H55" i="11" s="1"/>
  <c r="BD55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U38" i="10"/>
  <c r="BD20" i="10" l="1"/>
  <c r="BB36" i="10"/>
  <c r="H20" i="11"/>
  <c r="H17" i="11" s="1"/>
  <c r="H18" i="11" s="1"/>
  <c r="N20" i="11"/>
  <c r="N34" i="11"/>
  <c r="M20" i="11"/>
  <c r="M17" i="11" s="1"/>
  <c r="M18" i="11" s="1"/>
  <c r="M34" i="11"/>
  <c r="L20" i="11"/>
  <c r="L17" i="11" s="1"/>
  <c r="L18" i="11" s="1"/>
  <c r="H24" i="11"/>
  <c r="I24" i="11"/>
  <c r="H34" i="11"/>
  <c r="J34" i="11"/>
  <c r="K34" i="11"/>
  <c r="J24" i="11"/>
  <c r="L34" i="11"/>
  <c r="H17" i="6"/>
  <c r="K20" i="11"/>
  <c r="K36" i="11" s="1"/>
  <c r="L67" i="11"/>
  <c r="K38" i="11"/>
  <c r="J20" i="11"/>
  <c r="J17" i="11" s="1"/>
  <c r="J18" i="11" s="1"/>
  <c r="J38" i="11"/>
  <c r="O44" i="11"/>
  <c r="O48" i="11"/>
  <c r="I38" i="11"/>
  <c r="I20" i="11"/>
  <c r="I17" i="11" s="1"/>
  <c r="I18" i="11" s="1"/>
  <c r="H36" i="11"/>
  <c r="N36" i="11"/>
  <c r="J67" i="11"/>
  <c r="O42" i="11"/>
  <c r="O43" i="11"/>
  <c r="O45" i="11"/>
  <c r="O46" i="11"/>
  <c r="O47" i="11"/>
  <c r="O49" i="11"/>
  <c r="O50" i="11"/>
  <c r="O51" i="11"/>
  <c r="M55" i="11"/>
  <c r="F67" i="11"/>
  <c r="N67" i="11"/>
  <c r="U36" i="10"/>
  <c r="N17" i="11"/>
  <c r="N18" i="11" s="1"/>
  <c r="C67" i="11"/>
  <c r="K67" i="11"/>
  <c r="G67" i="11"/>
  <c r="O41" i="11"/>
  <c r="H38" i="11"/>
  <c r="H30" i="11"/>
  <c r="BB53" i="10" l="1"/>
  <c r="M36" i="11"/>
  <c r="L36" i="11"/>
  <c r="K30" i="11"/>
  <c r="K17" i="11"/>
  <c r="K18" i="11" s="1"/>
  <c r="I58" i="11"/>
  <c r="I39" i="11"/>
  <c r="H53" i="11"/>
  <c r="H57" i="11" s="1"/>
  <c r="H59" i="11" s="1"/>
  <c r="H58" i="11"/>
  <c r="H39" i="11"/>
  <c r="J58" i="11"/>
  <c r="J39" i="11"/>
  <c r="K39" i="11"/>
  <c r="K58" i="11"/>
  <c r="K53" i="11"/>
  <c r="K57" i="11" s="1"/>
  <c r="K59" i="11" s="1"/>
  <c r="J30" i="11"/>
  <c r="J36" i="11"/>
  <c r="J53" i="11" s="1"/>
  <c r="J57" i="11" s="1"/>
  <c r="J59" i="11" s="1"/>
  <c r="I36" i="11"/>
  <c r="I53" i="11" s="1"/>
  <c r="I57" i="11" s="1"/>
  <c r="I59" i="11" s="1"/>
  <c r="I30" i="11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D18" i="7"/>
  <c r="E18" i="7"/>
  <c r="F18" i="7"/>
  <c r="G18" i="7"/>
  <c r="H18" i="7"/>
  <c r="C18" i="7"/>
  <c r="C16" i="7"/>
  <c r="C15" i="7"/>
  <c r="C14" i="7"/>
  <c r="C9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C4" i="7"/>
  <c r="C35" i="7" s="1"/>
  <c r="D3" i="7"/>
  <c r="E3" i="7"/>
  <c r="F3" i="7"/>
  <c r="G3" i="7"/>
  <c r="H3" i="7"/>
  <c r="I3" i="7"/>
  <c r="J3" i="7"/>
  <c r="K3" i="7"/>
  <c r="L3" i="7"/>
  <c r="M3" i="7"/>
  <c r="N3" i="7"/>
  <c r="O3" i="7"/>
  <c r="AC3" i="7"/>
  <c r="AD3" i="7"/>
  <c r="AE3" i="7"/>
  <c r="AF3" i="7"/>
  <c r="AG3" i="7"/>
  <c r="AH3" i="7"/>
  <c r="AI3" i="7"/>
  <c r="AJ3" i="7"/>
  <c r="AK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C3" i="7"/>
  <c r="G40" i="11"/>
  <c r="G38" i="11" s="1"/>
  <c r="G33" i="11"/>
  <c r="G31" i="11"/>
  <c r="G27" i="11"/>
  <c r="G23" i="11"/>
  <c r="G22" i="11"/>
  <c r="G20" i="11"/>
  <c r="G14" i="11"/>
  <c r="F38" i="11"/>
  <c r="F33" i="11"/>
  <c r="F31" i="11"/>
  <c r="F27" i="11"/>
  <c r="F23" i="11"/>
  <c r="F22" i="11"/>
  <c r="F20" i="11"/>
  <c r="F14" i="11"/>
  <c r="E38" i="11"/>
  <c r="E33" i="11"/>
  <c r="E34" i="11" s="1"/>
  <c r="E31" i="11"/>
  <c r="E27" i="11"/>
  <c r="E28" i="11" s="1"/>
  <c r="E23" i="11"/>
  <c r="E22" i="11"/>
  <c r="E24" i="11" s="1"/>
  <c r="E20" i="11"/>
  <c r="E14" i="11"/>
  <c r="D38" i="11"/>
  <c r="D33" i="11"/>
  <c r="D31" i="11"/>
  <c r="D27" i="11"/>
  <c r="D23" i="11"/>
  <c r="D22" i="11"/>
  <c r="D20" i="11"/>
  <c r="C33" i="11"/>
  <c r="C38" i="11"/>
  <c r="C31" i="11"/>
  <c r="C27" i="11"/>
  <c r="C28" i="11" s="1"/>
  <c r="C23" i="11"/>
  <c r="C22" i="11"/>
  <c r="C20" i="11"/>
  <c r="D14" i="11"/>
  <c r="C14" i="11"/>
  <c r="C55" i="11" s="1"/>
  <c r="N11" i="11"/>
  <c r="M11" i="11"/>
  <c r="L11" i="11"/>
  <c r="K11" i="11"/>
  <c r="E11" i="11"/>
  <c r="D11" i="11"/>
  <c r="C11" i="11"/>
  <c r="N7" i="11"/>
  <c r="N28" i="11" s="1"/>
  <c r="M7" i="11"/>
  <c r="L7" i="11"/>
  <c r="L28" i="11" s="1"/>
  <c r="K7" i="11"/>
  <c r="K28" i="11" s="1"/>
  <c r="J7" i="11"/>
  <c r="J28" i="11" s="1"/>
  <c r="I7" i="11"/>
  <c r="I28" i="11" s="1"/>
  <c r="H7" i="11"/>
  <c r="H28" i="11" s="1"/>
  <c r="G7" i="11"/>
  <c r="G66" i="11" s="1"/>
  <c r="F7" i="11"/>
  <c r="F66" i="11" s="1"/>
  <c r="E7" i="11"/>
  <c r="E66" i="11" s="1"/>
  <c r="D7" i="11"/>
  <c r="D66" i="11" s="1"/>
  <c r="C7" i="11"/>
  <c r="C66" i="11" s="1"/>
  <c r="N10" i="11"/>
  <c r="M10" i="11"/>
  <c r="L10" i="11"/>
  <c r="K10" i="11"/>
  <c r="J10" i="11"/>
  <c r="I10" i="11"/>
  <c r="H10" i="11"/>
  <c r="G10" i="11"/>
  <c r="F10" i="11"/>
  <c r="J11" i="11"/>
  <c r="I11" i="11"/>
  <c r="H11" i="11"/>
  <c r="G11" i="11"/>
  <c r="F11" i="11"/>
  <c r="E10" i="11"/>
  <c r="D10" i="11"/>
  <c r="C10" i="11"/>
  <c r="C5" i="11"/>
  <c r="D3" i="10"/>
  <c r="E3" i="10"/>
  <c r="F3" i="10"/>
  <c r="G3" i="10"/>
  <c r="H3" i="10"/>
  <c r="I3" i="10"/>
  <c r="J3" i="10"/>
  <c r="K3" i="10"/>
  <c r="L3" i="10"/>
  <c r="M3" i="10"/>
  <c r="N3" i="10"/>
  <c r="O3" i="10"/>
  <c r="AB3" i="10"/>
  <c r="AE3" i="10"/>
  <c r="AF3" i="10"/>
  <c r="AH3" i="10"/>
  <c r="AI3" i="10"/>
  <c r="AJ3" i="10"/>
  <c r="AK3" i="10"/>
  <c r="AN3" i="10"/>
  <c r="AO3" i="10"/>
  <c r="AP3" i="10"/>
  <c r="AQ3" i="10"/>
  <c r="AT3" i="10"/>
  <c r="AU3" i="10"/>
  <c r="AV3" i="10"/>
  <c r="AW3" i="10"/>
  <c r="AX3" i="10"/>
  <c r="AY3" i="10"/>
  <c r="AZ3" i="10"/>
  <c r="BA3" i="10"/>
  <c r="BB3" i="10"/>
  <c r="C3" i="10"/>
  <c r="D13" i="10"/>
  <c r="E13" i="10" s="1"/>
  <c r="F13" i="10" s="1"/>
  <c r="G13" i="10" s="1"/>
  <c r="H13" i="10" s="1"/>
  <c r="I13" i="10" s="1"/>
  <c r="J13" i="10" s="1"/>
  <c r="K13" i="10" s="1"/>
  <c r="L13" i="10" s="1"/>
  <c r="M13" i="10" s="1"/>
  <c r="N13" i="10" s="1"/>
  <c r="O13" i="10" s="1"/>
  <c r="P13" i="10" s="1"/>
  <c r="Q13" i="10" s="1"/>
  <c r="R13" i="10" s="1"/>
  <c r="S13" i="10" s="1"/>
  <c r="T13" i="10" s="1"/>
  <c r="N8" i="11"/>
  <c r="J8" i="11"/>
  <c r="I8" i="11"/>
  <c r="H8" i="11"/>
  <c r="F8" i="11"/>
  <c r="J23" i="11"/>
  <c r="I23" i="11"/>
  <c r="H23" i="11"/>
  <c r="N22" i="11"/>
  <c r="N24" i="11" s="1"/>
  <c r="M22" i="11"/>
  <c r="M24" i="11" s="1"/>
  <c r="L22" i="11"/>
  <c r="L24" i="11" s="1"/>
  <c r="K22" i="11"/>
  <c r="L8" i="11"/>
  <c r="K8" i="11"/>
  <c r="BA69" i="10"/>
  <c r="AZ69" i="10"/>
  <c r="AY69" i="10"/>
  <c r="AX69" i="10"/>
  <c r="AW69" i="10"/>
  <c r="AV69" i="10"/>
  <c r="AU69" i="10"/>
  <c r="AT69" i="10"/>
  <c r="AS69" i="10"/>
  <c r="AR69" i="10"/>
  <c r="AQ69" i="10"/>
  <c r="AP69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A68" i="10"/>
  <c r="AZ68" i="10"/>
  <c r="AY68" i="10"/>
  <c r="AX68" i="10"/>
  <c r="AW68" i="10"/>
  <c r="AV68" i="10"/>
  <c r="AU68" i="10"/>
  <c r="AT68" i="10"/>
  <c r="AS68" i="10"/>
  <c r="AR68" i="10"/>
  <c r="AQ68" i="10"/>
  <c r="AP68" i="10"/>
  <c r="AO68" i="10"/>
  <c r="AN68" i="10"/>
  <c r="AM68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62" i="10"/>
  <c r="BA38" i="10"/>
  <c r="BA39" i="10" s="1"/>
  <c r="AZ38" i="10"/>
  <c r="AZ39" i="10" s="1"/>
  <c r="AY38" i="10"/>
  <c r="AY39" i="10" s="1"/>
  <c r="AX39" i="10"/>
  <c r="AW38" i="10"/>
  <c r="AW39" i="10" s="1"/>
  <c r="AV38" i="10"/>
  <c r="AV39" i="10" s="1"/>
  <c r="AU38" i="10"/>
  <c r="AU39" i="10" s="1"/>
  <c r="AT38" i="10"/>
  <c r="AT39" i="10" s="1"/>
  <c r="AS38" i="10"/>
  <c r="AS39" i="10" s="1"/>
  <c r="AR38" i="10"/>
  <c r="AR39" i="10" s="1"/>
  <c r="AQ38" i="10"/>
  <c r="AQ39" i="10" s="1"/>
  <c r="AP38" i="10"/>
  <c r="AP39" i="10" s="1"/>
  <c r="AO38" i="10"/>
  <c r="AO39" i="10" s="1"/>
  <c r="AN38" i="10"/>
  <c r="AN39" i="10" s="1"/>
  <c r="AM38" i="10"/>
  <c r="AM39" i="10" s="1"/>
  <c r="AL38" i="10"/>
  <c r="AL39" i="10" s="1"/>
  <c r="AK38" i="10"/>
  <c r="AK39" i="10" s="1"/>
  <c r="AJ38" i="10"/>
  <c r="AJ39" i="10" s="1"/>
  <c r="AI38" i="10"/>
  <c r="AI39" i="10" s="1"/>
  <c r="AH38" i="10"/>
  <c r="AH39" i="10" s="1"/>
  <c r="AG38" i="10"/>
  <c r="AG39" i="10" s="1"/>
  <c r="AF38" i="10"/>
  <c r="AF39" i="10" s="1"/>
  <c r="AE38" i="10"/>
  <c r="AE39" i="10" s="1"/>
  <c r="AD38" i="10"/>
  <c r="AD39" i="10" s="1"/>
  <c r="AC38" i="10"/>
  <c r="AC39" i="10" s="1"/>
  <c r="AB38" i="10"/>
  <c r="AB39" i="10" s="1"/>
  <c r="AA38" i="10"/>
  <c r="AA39" i="10" s="1"/>
  <c r="Z38" i="10"/>
  <c r="Z39" i="10" s="1"/>
  <c r="Y38" i="10"/>
  <c r="Y39" i="10" s="1"/>
  <c r="X38" i="10"/>
  <c r="W38" i="10"/>
  <c r="W39" i="10" s="1"/>
  <c r="V38" i="10"/>
  <c r="U39" i="10"/>
  <c r="T38" i="10"/>
  <c r="T39" i="10" s="1"/>
  <c r="S38" i="10"/>
  <c r="R38" i="10"/>
  <c r="Q38" i="10"/>
  <c r="P38" i="10"/>
  <c r="O38" i="10"/>
  <c r="N38" i="10"/>
  <c r="M38" i="10"/>
  <c r="L38" i="10"/>
  <c r="K38" i="10"/>
  <c r="J38" i="10"/>
  <c r="J30" i="10" s="1"/>
  <c r="I38" i="10"/>
  <c r="H38" i="10"/>
  <c r="G38" i="10"/>
  <c r="F38" i="10"/>
  <c r="E38" i="10"/>
  <c r="E39" i="10" s="1"/>
  <c r="D38" i="10"/>
  <c r="D39" i="10" s="1"/>
  <c r="C38" i="10"/>
  <c r="BA36" i="10"/>
  <c r="AZ36" i="10"/>
  <c r="AY36" i="10"/>
  <c r="AW36" i="10"/>
  <c r="AV36" i="10"/>
  <c r="AU36" i="10"/>
  <c r="AT36" i="10"/>
  <c r="AS36" i="10"/>
  <c r="AR36" i="10"/>
  <c r="AR53" i="10" s="1"/>
  <c r="AR57" i="10" s="1"/>
  <c r="AQ36" i="10"/>
  <c r="AP36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B53" i="10" s="1"/>
  <c r="AB57" i="10" s="1"/>
  <c r="AA36" i="10"/>
  <c r="Z36" i="10"/>
  <c r="Y36" i="10"/>
  <c r="X36" i="10"/>
  <c r="W36" i="10"/>
  <c r="V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C36" i="10"/>
  <c r="BA34" i="10"/>
  <c r="AZ34" i="10"/>
  <c r="AY34" i="10"/>
  <c r="AX34" i="10"/>
  <c r="AW34" i="10"/>
  <c r="AV34" i="10"/>
  <c r="AU34" i="10"/>
  <c r="AT34" i="10"/>
  <c r="AS34" i="10"/>
  <c r="AR34" i="10"/>
  <c r="AQ34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L24" i="10"/>
  <c r="K24" i="10"/>
  <c r="J24" i="10"/>
  <c r="I24" i="10"/>
  <c r="H24" i="10"/>
  <c r="G24" i="10"/>
  <c r="F24" i="10"/>
  <c r="E24" i="10"/>
  <c r="D24" i="10"/>
  <c r="C24" i="10"/>
  <c r="AZ18" i="10"/>
  <c r="AW18" i="10"/>
  <c r="AV18" i="10"/>
  <c r="AS18" i="10"/>
  <c r="AR18" i="10"/>
  <c r="AN18" i="10"/>
  <c r="AJ18" i="10"/>
  <c r="AG18" i="10"/>
  <c r="AF18" i="10"/>
  <c r="AC18" i="10"/>
  <c r="AB18" i="10"/>
  <c r="X18" i="10"/>
  <c r="BA18" i="10"/>
  <c r="AY18" i="10"/>
  <c r="AX18" i="10"/>
  <c r="AU18" i="10"/>
  <c r="AT18" i="10"/>
  <c r="AQ18" i="10"/>
  <c r="AP18" i="10"/>
  <c r="AO18" i="10"/>
  <c r="AM18" i="10"/>
  <c r="AL18" i="10"/>
  <c r="AK18" i="10"/>
  <c r="AI18" i="10"/>
  <c r="AH18" i="10"/>
  <c r="AE18" i="10"/>
  <c r="AD18" i="10"/>
  <c r="AA18" i="10"/>
  <c r="Z18" i="10"/>
  <c r="Y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B8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C12" i="10" s="1"/>
  <c r="L8" i="5"/>
  <c r="S39" i="10" l="1"/>
  <c r="S30" i="10"/>
  <c r="X39" i="10"/>
  <c r="G34" i="11"/>
  <c r="R39" i="10"/>
  <c r="R30" i="10"/>
  <c r="Q39" i="10"/>
  <c r="Q30" i="10"/>
  <c r="P39" i="10"/>
  <c r="P30" i="10"/>
  <c r="O53" i="10"/>
  <c r="O57" i="10" s="1"/>
  <c r="O39" i="10"/>
  <c r="O30" i="10"/>
  <c r="N39" i="10"/>
  <c r="N30" i="10"/>
  <c r="M39" i="10"/>
  <c r="M30" i="10"/>
  <c r="L39" i="10"/>
  <c r="L30" i="10"/>
  <c r="K39" i="10"/>
  <c r="K30" i="10"/>
  <c r="I39" i="10"/>
  <c r="I30" i="10"/>
  <c r="H39" i="10"/>
  <c r="H30" i="10"/>
  <c r="G39" i="10"/>
  <c r="G30" i="10"/>
  <c r="BD8" i="10"/>
  <c r="C24" i="11"/>
  <c r="C17" i="11"/>
  <c r="C18" i="11" s="1"/>
  <c r="BD68" i="10"/>
  <c r="AV53" i="10"/>
  <c r="AV57" i="10" s="1"/>
  <c r="AV59" i="10" s="1"/>
  <c r="AF53" i="10"/>
  <c r="AF57" i="10" s="1"/>
  <c r="AF58" i="10" s="1"/>
  <c r="V39" i="10"/>
  <c r="BD38" i="10"/>
  <c r="BD39" i="10" s="1"/>
  <c r="BD36" i="10"/>
  <c r="BD69" i="10"/>
  <c r="G24" i="11"/>
  <c r="O23" i="11"/>
  <c r="K24" i="11"/>
  <c r="O22" i="11"/>
  <c r="AU53" i="10"/>
  <c r="AU57" i="10" s="1"/>
  <c r="AU59" i="10" s="1"/>
  <c r="D24" i="11"/>
  <c r="U13" i="10"/>
  <c r="V13" i="10" s="1"/>
  <c r="W13" i="10" s="1"/>
  <c r="X13" i="10" s="1"/>
  <c r="D34" i="11"/>
  <c r="G28" i="11"/>
  <c r="M28" i="11"/>
  <c r="U13" i="7"/>
  <c r="D8" i="11"/>
  <c r="AZ53" i="10"/>
  <c r="AZ57" i="10" s="1"/>
  <c r="AZ59" i="10" s="1"/>
  <c r="F28" i="11"/>
  <c r="X53" i="10"/>
  <c r="X57" i="10" s="1"/>
  <c r="X58" i="10" s="1"/>
  <c r="F24" i="11"/>
  <c r="C36" i="11"/>
  <c r="D28" i="11"/>
  <c r="F34" i="11"/>
  <c r="F39" i="11"/>
  <c r="F58" i="11"/>
  <c r="C39" i="11"/>
  <c r="C58" i="11"/>
  <c r="E39" i="11"/>
  <c r="E58" i="11"/>
  <c r="G39" i="11"/>
  <c r="G58" i="11"/>
  <c r="C8" i="11"/>
  <c r="C12" i="11" s="1"/>
  <c r="D5" i="11" s="1"/>
  <c r="C34" i="11"/>
  <c r="D39" i="11"/>
  <c r="D58" i="11"/>
  <c r="AN53" i="10"/>
  <c r="AN57" i="10" s="1"/>
  <c r="AN58" i="10" s="1"/>
  <c r="AM53" i="10"/>
  <c r="AM57" i="10" s="1"/>
  <c r="AM58" i="10" s="1"/>
  <c r="AJ53" i="10"/>
  <c r="AJ57" i="10" s="1"/>
  <c r="AJ59" i="10" s="1"/>
  <c r="H68" i="11"/>
  <c r="I72" i="10"/>
  <c r="I73" i="10" s="1"/>
  <c r="F72" i="10"/>
  <c r="F73" i="10" s="1"/>
  <c r="J72" i="10"/>
  <c r="J73" i="10" s="1"/>
  <c r="N72" i="10"/>
  <c r="N73" i="10" s="1"/>
  <c r="R72" i="10"/>
  <c r="R73" i="10" s="1"/>
  <c r="V72" i="10"/>
  <c r="V73" i="10" s="1"/>
  <c r="Z72" i="10"/>
  <c r="Z73" i="10" s="1"/>
  <c r="AD72" i="10"/>
  <c r="AD73" i="10" s="1"/>
  <c r="AH72" i="10"/>
  <c r="AH73" i="10" s="1"/>
  <c r="AL72" i="10"/>
  <c r="AL73" i="10" s="1"/>
  <c r="AP72" i="10"/>
  <c r="AP73" i="10" s="1"/>
  <c r="AT72" i="10"/>
  <c r="AT73" i="10" s="1"/>
  <c r="AX72" i="10"/>
  <c r="AX73" i="10" s="1"/>
  <c r="J66" i="11"/>
  <c r="J68" i="11"/>
  <c r="N66" i="11"/>
  <c r="C13" i="11"/>
  <c r="D13" i="11" s="1"/>
  <c r="C72" i="10"/>
  <c r="G72" i="10"/>
  <c r="G73" i="10" s="1"/>
  <c r="K72" i="10"/>
  <c r="K73" i="10" s="1"/>
  <c r="O72" i="10"/>
  <c r="O73" i="10" s="1"/>
  <c r="AY72" i="10"/>
  <c r="AY73" i="10" s="1"/>
  <c r="BA13" i="7"/>
  <c r="AW13" i="7"/>
  <c r="AS13" i="7"/>
  <c r="AO13" i="7"/>
  <c r="AK13" i="7"/>
  <c r="AG13" i="7"/>
  <c r="AC13" i="7"/>
  <c r="Q13" i="7"/>
  <c r="M13" i="7"/>
  <c r="I13" i="7"/>
  <c r="E13" i="7"/>
  <c r="E72" i="10"/>
  <c r="E73" i="10" s="1"/>
  <c r="M72" i="10"/>
  <c r="M73" i="10" s="1"/>
  <c r="N38" i="11"/>
  <c r="N30" i="11"/>
  <c r="E8" i="11"/>
  <c r="G8" i="11"/>
  <c r="D72" i="10"/>
  <c r="D73" i="10" s="1"/>
  <c r="H72" i="10"/>
  <c r="H73" i="10" s="1"/>
  <c r="L72" i="10"/>
  <c r="L73" i="10" s="1"/>
  <c r="S72" i="10"/>
  <c r="S73" i="10" s="1"/>
  <c r="W72" i="10"/>
  <c r="W73" i="10" s="1"/>
  <c r="AA72" i="10"/>
  <c r="AA73" i="10" s="1"/>
  <c r="AE72" i="10"/>
  <c r="AE73" i="10" s="1"/>
  <c r="AI72" i="10"/>
  <c r="AI73" i="10" s="1"/>
  <c r="AM72" i="10"/>
  <c r="AM73" i="10" s="1"/>
  <c r="AQ72" i="10"/>
  <c r="AQ73" i="10" s="1"/>
  <c r="AU72" i="10"/>
  <c r="AU73" i="10" s="1"/>
  <c r="K66" i="11"/>
  <c r="E17" i="11"/>
  <c r="E18" i="11" s="1"/>
  <c r="E55" i="11"/>
  <c r="D35" i="7"/>
  <c r="E35" i="7" s="1"/>
  <c r="F35" i="7" s="1"/>
  <c r="G35" i="7" s="1"/>
  <c r="H35" i="7" s="1"/>
  <c r="AY13" i="7"/>
  <c r="AU13" i="7"/>
  <c r="AQ13" i="7"/>
  <c r="AM13" i="7"/>
  <c r="AI13" i="7"/>
  <c r="AE13" i="7"/>
  <c r="AA13" i="7"/>
  <c r="W13" i="7"/>
  <c r="S13" i="7"/>
  <c r="O13" i="7"/>
  <c r="K13" i="7"/>
  <c r="G13" i="7"/>
  <c r="AZ13" i="7"/>
  <c r="AV13" i="7"/>
  <c r="AR13" i="7"/>
  <c r="AN13" i="7"/>
  <c r="AJ13" i="7"/>
  <c r="AF13" i="7"/>
  <c r="AB13" i="7"/>
  <c r="T13" i="7"/>
  <c r="P13" i="7"/>
  <c r="L13" i="7"/>
  <c r="H13" i="7"/>
  <c r="D13" i="7"/>
  <c r="P72" i="10"/>
  <c r="P73" i="10" s="1"/>
  <c r="T72" i="10"/>
  <c r="T73" i="10" s="1"/>
  <c r="X72" i="10"/>
  <c r="X73" i="10" s="1"/>
  <c r="AB72" i="10"/>
  <c r="AB73" i="10" s="1"/>
  <c r="AF72" i="10"/>
  <c r="AF73" i="10" s="1"/>
  <c r="AJ72" i="10"/>
  <c r="AJ73" i="10" s="1"/>
  <c r="AN72" i="10"/>
  <c r="AN73" i="10" s="1"/>
  <c r="AR72" i="10"/>
  <c r="AR73" i="10" s="1"/>
  <c r="AV72" i="10"/>
  <c r="AV73" i="10" s="1"/>
  <c r="AZ72" i="10"/>
  <c r="AZ73" i="10" s="1"/>
  <c r="L38" i="11"/>
  <c r="L30" i="11"/>
  <c r="H66" i="11"/>
  <c r="L66" i="11"/>
  <c r="D55" i="11"/>
  <c r="D17" i="11"/>
  <c r="D18" i="11" s="1"/>
  <c r="D30" i="11"/>
  <c r="D36" i="11"/>
  <c r="D53" i="11" s="1"/>
  <c r="F55" i="11"/>
  <c r="F17" i="11"/>
  <c r="F18" i="11" s="1"/>
  <c r="G55" i="11"/>
  <c r="G17" i="11"/>
  <c r="X13" i="7"/>
  <c r="K68" i="11"/>
  <c r="Q72" i="10"/>
  <c r="Q73" i="10" s="1"/>
  <c r="U72" i="10"/>
  <c r="U73" i="10" s="1"/>
  <c r="Y72" i="10"/>
  <c r="Y73" i="10" s="1"/>
  <c r="AC72" i="10"/>
  <c r="AC73" i="10" s="1"/>
  <c r="AG72" i="10"/>
  <c r="AG73" i="10" s="1"/>
  <c r="AK72" i="10"/>
  <c r="AK73" i="10" s="1"/>
  <c r="AO72" i="10"/>
  <c r="AO73" i="10" s="1"/>
  <c r="AS72" i="10"/>
  <c r="AS73" i="10" s="1"/>
  <c r="AW72" i="10"/>
  <c r="AW73" i="10" s="1"/>
  <c r="BA72" i="10"/>
  <c r="BA73" i="10" s="1"/>
  <c r="M38" i="11"/>
  <c r="M30" i="11"/>
  <c r="I66" i="11"/>
  <c r="M66" i="11"/>
  <c r="E30" i="11"/>
  <c r="E36" i="11"/>
  <c r="E53" i="11" s="1"/>
  <c r="F36" i="11"/>
  <c r="F53" i="11" s="1"/>
  <c r="F30" i="11"/>
  <c r="G36" i="11"/>
  <c r="G53" i="11" s="1"/>
  <c r="G30" i="11"/>
  <c r="BB13" i="7"/>
  <c r="AX13" i="7"/>
  <c r="AT13" i="7"/>
  <c r="AP13" i="7"/>
  <c r="AL13" i="7"/>
  <c r="AH13" i="7"/>
  <c r="AD13" i="7"/>
  <c r="V13" i="7"/>
  <c r="R13" i="7"/>
  <c r="N13" i="7"/>
  <c r="J13" i="7"/>
  <c r="F13" i="7"/>
  <c r="I68" i="11"/>
  <c r="H53" i="10"/>
  <c r="H57" i="10" s="1"/>
  <c r="H59" i="10" s="1"/>
  <c r="T53" i="10"/>
  <c r="T57" i="10" s="1"/>
  <c r="T59" i="10" s="1"/>
  <c r="E53" i="10"/>
  <c r="E57" i="10" s="1"/>
  <c r="D57" i="10"/>
  <c r="D59" i="10" s="1"/>
  <c r="L53" i="10"/>
  <c r="L57" i="10" s="1"/>
  <c r="L59" i="10" s="1"/>
  <c r="P53" i="10"/>
  <c r="P57" i="10" s="1"/>
  <c r="P59" i="10" s="1"/>
  <c r="Z13" i="7"/>
  <c r="Y13" i="7"/>
  <c r="O11" i="11"/>
  <c r="C75" i="10"/>
  <c r="I53" i="10"/>
  <c r="I57" i="10" s="1"/>
  <c r="D5" i="10"/>
  <c r="D12" i="10" s="1"/>
  <c r="D75" i="10" s="1"/>
  <c r="D76" i="10" s="1"/>
  <c r="O7" i="11"/>
  <c r="F17" i="14" s="1"/>
  <c r="M8" i="11"/>
  <c r="O14" i="11"/>
  <c r="O20" i="11"/>
  <c r="O36" i="11" s="1"/>
  <c r="O40" i="11"/>
  <c r="O10" i="11"/>
  <c r="C30" i="11"/>
  <c r="O58" i="10"/>
  <c r="O59" i="10"/>
  <c r="AR59" i="10"/>
  <c r="AR58" i="10"/>
  <c r="C39" i="10"/>
  <c r="W53" i="10"/>
  <c r="W57" i="10" s="1"/>
  <c r="AE53" i="10"/>
  <c r="AE57" i="10" s="1"/>
  <c r="AB59" i="10"/>
  <c r="AB58" i="10"/>
  <c r="C53" i="10"/>
  <c r="G53" i="10"/>
  <c r="G57" i="10" s="1"/>
  <c r="K53" i="10"/>
  <c r="K57" i="10" s="1"/>
  <c r="S53" i="10"/>
  <c r="S57" i="10" s="1"/>
  <c r="AA53" i="10"/>
  <c r="AA57" i="10" s="1"/>
  <c r="AI53" i="10"/>
  <c r="AI57" i="10" s="1"/>
  <c r="AQ53" i="10"/>
  <c r="AQ57" i="10" s="1"/>
  <c r="AY53" i="10"/>
  <c r="AY57" i="10" s="1"/>
  <c r="F53" i="10"/>
  <c r="F57" i="10" s="1"/>
  <c r="F39" i="10"/>
  <c r="J53" i="10"/>
  <c r="J57" i="10" s="1"/>
  <c r="J39" i="10"/>
  <c r="M53" i="10"/>
  <c r="M57" i="10" s="1"/>
  <c r="Q53" i="10"/>
  <c r="Q57" i="10" s="1"/>
  <c r="U53" i="10"/>
  <c r="U57" i="10" s="1"/>
  <c r="U58" i="10" s="1"/>
  <c r="Y53" i="10"/>
  <c r="Y57" i="10" s="1"/>
  <c r="AC53" i="10"/>
  <c r="AC57" i="10" s="1"/>
  <c r="AG53" i="10"/>
  <c r="AG57" i="10" s="1"/>
  <c r="AK53" i="10"/>
  <c r="AK57" i="10" s="1"/>
  <c r="AO53" i="10"/>
  <c r="AO57" i="10" s="1"/>
  <c r="AS53" i="10"/>
  <c r="AS57" i="10" s="1"/>
  <c r="AW53" i="10"/>
  <c r="AW57" i="10" s="1"/>
  <c r="BA53" i="10"/>
  <c r="BA57" i="10" s="1"/>
  <c r="N53" i="10"/>
  <c r="N57" i="10" s="1"/>
  <c r="R53" i="10"/>
  <c r="R57" i="10" s="1"/>
  <c r="V53" i="10"/>
  <c r="V57" i="10" s="1"/>
  <c r="Z53" i="10"/>
  <c r="Z57" i="10" s="1"/>
  <c r="AD53" i="10"/>
  <c r="AD57" i="10" s="1"/>
  <c r="AH53" i="10"/>
  <c r="AH57" i="10" s="1"/>
  <c r="AL53" i="10"/>
  <c r="AL57" i="10" s="1"/>
  <c r="AP53" i="10"/>
  <c r="AP57" i="10" s="1"/>
  <c r="AT53" i="10"/>
  <c r="AT57" i="10" s="1"/>
  <c r="AX57" i="10"/>
  <c r="BB57" i="10"/>
  <c r="H17" i="5"/>
  <c r="AV58" i="10" l="1"/>
  <c r="AF59" i="10"/>
  <c r="E57" i="11"/>
  <c r="E59" i="11" s="1"/>
  <c r="BD30" i="10"/>
  <c r="C73" i="10"/>
  <c r="BD73" i="10" s="1"/>
  <c r="BD72" i="10"/>
  <c r="AU58" i="10"/>
  <c r="F18" i="14"/>
  <c r="F20" i="14" s="1"/>
  <c r="O34" i="11"/>
  <c r="O24" i="11"/>
  <c r="G18" i="11"/>
  <c r="O17" i="11"/>
  <c r="O18" i="11" s="1"/>
  <c r="BD53" i="10"/>
  <c r="C76" i="10"/>
  <c r="BB70" i="10"/>
  <c r="BC70" i="10"/>
  <c r="BC71" i="10" s="1"/>
  <c r="BB58" i="10"/>
  <c r="BB59" i="10"/>
  <c r="P58" i="10"/>
  <c r="Y13" i="10"/>
  <c r="Z13" i="10" s="1"/>
  <c r="AA13" i="10" s="1"/>
  <c r="X59" i="10"/>
  <c r="AZ58" i="10"/>
  <c r="D58" i="10"/>
  <c r="AM59" i="10"/>
  <c r="F57" i="11"/>
  <c r="F59" i="11" s="1"/>
  <c r="AN59" i="10"/>
  <c r="H58" i="10"/>
  <c r="T58" i="10"/>
  <c r="M53" i="11"/>
  <c r="M39" i="11"/>
  <c r="M58" i="11"/>
  <c r="N39" i="11"/>
  <c r="N58" i="11"/>
  <c r="L53" i="11"/>
  <c r="L57" i="11" s="1"/>
  <c r="L39" i="11"/>
  <c r="L58" i="11"/>
  <c r="O55" i="11"/>
  <c r="E13" i="11"/>
  <c r="AJ58" i="10"/>
  <c r="N53" i="11"/>
  <c r="L58" i="10"/>
  <c r="G57" i="11"/>
  <c r="G59" i="11" s="1"/>
  <c r="E68" i="11"/>
  <c r="D57" i="11"/>
  <c r="D59" i="11" s="1"/>
  <c r="I35" i="7"/>
  <c r="J35" i="7" s="1"/>
  <c r="K35" i="7" s="1"/>
  <c r="L35" i="7" s="1"/>
  <c r="M35" i="7" s="1"/>
  <c r="N35" i="7" s="1"/>
  <c r="O35" i="7" s="1"/>
  <c r="D12" i="11"/>
  <c r="E5" i="11" s="1"/>
  <c r="E12" i="11" s="1"/>
  <c r="AQ70" i="10"/>
  <c r="AQ71" i="10" s="1"/>
  <c r="O30" i="11"/>
  <c r="W70" i="10"/>
  <c r="W71" i="10" s="1"/>
  <c r="AI70" i="10"/>
  <c r="AI71" i="10" s="1"/>
  <c r="E5" i="10"/>
  <c r="E12" i="10" s="1"/>
  <c r="E75" i="10" s="1"/>
  <c r="E76" i="10" s="1"/>
  <c r="O38" i="11"/>
  <c r="O58" i="11" s="1"/>
  <c r="C53" i="11"/>
  <c r="O8" i="11"/>
  <c r="AW70" i="10"/>
  <c r="AW71" i="10" s="1"/>
  <c r="AH59" i="10"/>
  <c r="AH58" i="10"/>
  <c r="AW59" i="10"/>
  <c r="AW58" i="10"/>
  <c r="AF70" i="10"/>
  <c r="AF71" i="10" s="1"/>
  <c r="Q59" i="10"/>
  <c r="Q58" i="10"/>
  <c r="Z70" i="10"/>
  <c r="Z71" i="10" s="1"/>
  <c r="K59" i="10"/>
  <c r="K58" i="10"/>
  <c r="AS70" i="10"/>
  <c r="AS71" i="10" s="1"/>
  <c r="AD59" i="10"/>
  <c r="AD58" i="10"/>
  <c r="AS59" i="10"/>
  <c r="AS58" i="10"/>
  <c r="AB70" i="10"/>
  <c r="AB71" i="10" s="1"/>
  <c r="M59" i="10"/>
  <c r="M58" i="10"/>
  <c r="AX70" i="10"/>
  <c r="AX71" i="10" s="1"/>
  <c r="AI59" i="10"/>
  <c r="AI58" i="10"/>
  <c r="AN70" i="10"/>
  <c r="AN71" i="10" s="1"/>
  <c r="Y59" i="10"/>
  <c r="Y58" i="10"/>
  <c r="AP70" i="10"/>
  <c r="AP71" i="10" s="1"/>
  <c r="AA59" i="10"/>
  <c r="AA58" i="10"/>
  <c r="AA70" i="10"/>
  <c r="AA71" i="10" s="1"/>
  <c r="AD70" i="10"/>
  <c r="AD71" i="10" s="1"/>
  <c r="AX59" i="10"/>
  <c r="AX58" i="10"/>
  <c r="AG70" i="10"/>
  <c r="AG71" i="10" s="1"/>
  <c r="R59" i="10"/>
  <c r="R58" i="10"/>
  <c r="AV70" i="10"/>
  <c r="AV71" i="10" s="1"/>
  <c r="AG59" i="10"/>
  <c r="AG58" i="10"/>
  <c r="AQ59" i="10"/>
  <c r="AQ58" i="10"/>
  <c r="AL70" i="10"/>
  <c r="AL71" i="10" s="1"/>
  <c r="W58" i="10"/>
  <c r="W59" i="10"/>
  <c r="AY70" i="10"/>
  <c r="AY71" i="10" s="1"/>
  <c r="S70" i="10"/>
  <c r="S71" i="10" s="1"/>
  <c r="AU70" i="10"/>
  <c r="AU71" i="10" s="1"/>
  <c r="AT59" i="10"/>
  <c r="AT58" i="10"/>
  <c r="AC70" i="10"/>
  <c r="AC71" i="10" s="1"/>
  <c r="N59" i="10"/>
  <c r="N58" i="10"/>
  <c r="AR70" i="10"/>
  <c r="AR71" i="10" s="1"/>
  <c r="AC59" i="10"/>
  <c r="AC58" i="10"/>
  <c r="U70" i="10"/>
  <c r="U71" i="10" s="1"/>
  <c r="F59" i="10"/>
  <c r="F58" i="10"/>
  <c r="V70" i="10"/>
  <c r="V71" i="10" s="1"/>
  <c r="G58" i="10"/>
  <c r="G59" i="10"/>
  <c r="X70" i="10"/>
  <c r="X71" i="10" s="1"/>
  <c r="I59" i="10"/>
  <c r="I58" i="10"/>
  <c r="AM70" i="10"/>
  <c r="AM71" i="10" s="1"/>
  <c r="AP59" i="10"/>
  <c r="AP58" i="10"/>
  <c r="AO70" i="10"/>
  <c r="AO71" i="10" s="1"/>
  <c r="Z59" i="10"/>
  <c r="Z58" i="10"/>
  <c r="AO59" i="10"/>
  <c r="AO58" i="10"/>
  <c r="C57" i="10"/>
  <c r="BD57" i="10" s="1"/>
  <c r="AT70" i="10"/>
  <c r="AT71" i="10" s="1"/>
  <c r="AE58" i="10"/>
  <c r="AE59" i="10"/>
  <c r="BA70" i="10"/>
  <c r="BA71" i="10" s="1"/>
  <c r="AL59" i="10"/>
  <c r="AL58" i="10"/>
  <c r="AK70" i="10"/>
  <c r="AK71" i="10" s="1"/>
  <c r="V59" i="10"/>
  <c r="V58" i="10"/>
  <c r="BA59" i="10"/>
  <c r="BA58" i="10"/>
  <c r="AZ70" i="10"/>
  <c r="AZ71" i="10" s="1"/>
  <c r="AK59" i="10"/>
  <c r="AK58" i="10"/>
  <c r="AJ70" i="10"/>
  <c r="AJ71" i="10" s="1"/>
  <c r="U59" i="10"/>
  <c r="Y70" i="10"/>
  <c r="Y71" i="10" s="1"/>
  <c r="J59" i="10"/>
  <c r="J58" i="10"/>
  <c r="AY59" i="10"/>
  <c r="AY58" i="10"/>
  <c r="AH70" i="10"/>
  <c r="AH71" i="10" s="1"/>
  <c r="S59" i="10"/>
  <c r="S58" i="10"/>
  <c r="T70" i="10"/>
  <c r="T71" i="10" s="1"/>
  <c r="E59" i="10"/>
  <c r="E58" i="10"/>
  <c r="AE70" i="10"/>
  <c r="AE71" i="10" s="1"/>
  <c r="E17" i="5"/>
  <c r="E18" i="5" s="1"/>
  <c r="F17" i="5"/>
  <c r="F18" i="5" s="1"/>
  <c r="G17" i="5"/>
  <c r="H18" i="5"/>
  <c r="I17" i="5"/>
  <c r="I18" i="5" s="1"/>
  <c r="J17" i="5"/>
  <c r="J18" i="5" s="1"/>
  <c r="K17" i="5"/>
  <c r="K18" i="5" s="1"/>
  <c r="L17" i="5"/>
  <c r="L18" i="5" s="1"/>
  <c r="M17" i="5"/>
  <c r="M18" i="5" s="1"/>
  <c r="N17" i="5"/>
  <c r="N18" i="5" s="1"/>
  <c r="O17" i="5"/>
  <c r="O18" i="5" s="1"/>
  <c r="P17" i="5"/>
  <c r="P18" i="5" s="1"/>
  <c r="Q17" i="5"/>
  <c r="Q18" i="5" s="1"/>
  <c r="R17" i="5"/>
  <c r="R18" i="5" s="1"/>
  <c r="S17" i="5"/>
  <c r="S18" i="5" s="1"/>
  <c r="T17" i="5"/>
  <c r="T18" i="5" s="1"/>
  <c r="U17" i="5"/>
  <c r="U18" i="5" s="1"/>
  <c r="V17" i="5"/>
  <c r="V18" i="5" s="1"/>
  <c r="W17" i="5"/>
  <c r="W18" i="5" s="1"/>
  <c r="X17" i="5"/>
  <c r="X18" i="5" s="1"/>
  <c r="Y17" i="5"/>
  <c r="Y18" i="5" s="1"/>
  <c r="Z17" i="5"/>
  <c r="Z18" i="5" s="1"/>
  <c r="AA17" i="5"/>
  <c r="AA18" i="5" s="1"/>
  <c r="AB17" i="5"/>
  <c r="AB18" i="5" s="1"/>
  <c r="AC17" i="5"/>
  <c r="AC18" i="5" s="1"/>
  <c r="AD17" i="5"/>
  <c r="AD18" i="5" s="1"/>
  <c r="AE17" i="5"/>
  <c r="AE18" i="5" s="1"/>
  <c r="AF17" i="5"/>
  <c r="AF18" i="5" s="1"/>
  <c r="AG17" i="5"/>
  <c r="AG18" i="5" s="1"/>
  <c r="AH17" i="5"/>
  <c r="AH18" i="5" s="1"/>
  <c r="AI17" i="5"/>
  <c r="AI18" i="5" s="1"/>
  <c r="AJ17" i="5"/>
  <c r="AJ18" i="5" s="1"/>
  <c r="AK17" i="5"/>
  <c r="AK18" i="5" s="1"/>
  <c r="AL17" i="5"/>
  <c r="AL18" i="5" s="1"/>
  <c r="AM17" i="5"/>
  <c r="AM18" i="5" s="1"/>
  <c r="AN17" i="5"/>
  <c r="AN18" i="5" s="1"/>
  <c r="AO17" i="5"/>
  <c r="AO18" i="5" s="1"/>
  <c r="AP17" i="5"/>
  <c r="AP18" i="5" s="1"/>
  <c r="AQ17" i="5"/>
  <c r="AQ18" i="5" s="1"/>
  <c r="AR17" i="5"/>
  <c r="AR18" i="5" s="1"/>
  <c r="AS17" i="5"/>
  <c r="AS18" i="5" s="1"/>
  <c r="AT17" i="5"/>
  <c r="AT18" i="5" s="1"/>
  <c r="AU17" i="5"/>
  <c r="AU18" i="5" s="1"/>
  <c r="AV17" i="5"/>
  <c r="AV18" i="5" s="1"/>
  <c r="AW17" i="5"/>
  <c r="AW18" i="5" s="1"/>
  <c r="AX17" i="5"/>
  <c r="AX18" i="5" s="1"/>
  <c r="AY17" i="5"/>
  <c r="AY18" i="5" s="1"/>
  <c r="AZ17" i="5"/>
  <c r="AZ18" i="5" s="1"/>
  <c r="BA17" i="5"/>
  <c r="BA18" i="5" s="1"/>
  <c r="BB17" i="5"/>
  <c r="BB18" i="5" s="1"/>
  <c r="G18" i="5"/>
  <c r="F68" i="11" l="1"/>
  <c r="BD58" i="10"/>
  <c r="BD59" i="10"/>
  <c r="BB71" i="10"/>
  <c r="AB13" i="10"/>
  <c r="AC13" i="10" s="1"/>
  <c r="AD13" i="10" s="1"/>
  <c r="AE13" i="10" s="1"/>
  <c r="AF13" i="10" s="1"/>
  <c r="AG13" i="10" s="1"/>
  <c r="AH13" i="10" s="1"/>
  <c r="AI13" i="10" s="1"/>
  <c r="AJ13" i="10" s="1"/>
  <c r="AK13" i="10" s="1"/>
  <c r="AL13" i="10" s="1"/>
  <c r="AM13" i="10" s="1"/>
  <c r="AN13" i="10" s="1"/>
  <c r="AO13" i="10" s="1"/>
  <c r="AP13" i="10" s="1"/>
  <c r="AQ13" i="10" s="1"/>
  <c r="AR13" i="10" s="1"/>
  <c r="AS13" i="10" s="1"/>
  <c r="AT13" i="10" s="1"/>
  <c r="AU13" i="10" s="1"/>
  <c r="AV13" i="10" s="1"/>
  <c r="AW13" i="10" s="1"/>
  <c r="AX13" i="10" s="1"/>
  <c r="AY13" i="10" s="1"/>
  <c r="AZ13" i="10" s="1"/>
  <c r="BA13" i="10" s="1"/>
  <c r="BB13" i="10" s="1"/>
  <c r="BC13" i="10" s="1"/>
  <c r="F5" i="10"/>
  <c r="F12" i="10" s="1"/>
  <c r="F75" i="10" s="1"/>
  <c r="N57" i="11"/>
  <c r="N68" i="11" s="1"/>
  <c r="M57" i="11"/>
  <c r="M68" i="11" s="1"/>
  <c r="L59" i="11"/>
  <c r="L68" i="11"/>
  <c r="F13" i="11"/>
  <c r="D68" i="11"/>
  <c r="G68" i="11"/>
  <c r="F5" i="11"/>
  <c r="C57" i="11"/>
  <c r="O53" i="11"/>
  <c r="R70" i="10"/>
  <c r="R71" i="10" s="1"/>
  <c r="N70" i="10"/>
  <c r="N71" i="10" s="1"/>
  <c r="J70" i="10"/>
  <c r="J71" i="10" s="1"/>
  <c r="F70" i="10"/>
  <c r="F71" i="10" s="1"/>
  <c r="Q70" i="10"/>
  <c r="Q71" i="10" s="1"/>
  <c r="M70" i="10"/>
  <c r="M71" i="10" s="1"/>
  <c r="I70" i="10"/>
  <c r="I71" i="10" s="1"/>
  <c r="E70" i="10"/>
  <c r="E71" i="10" s="1"/>
  <c r="P70" i="10"/>
  <c r="P71" i="10" s="1"/>
  <c r="L70" i="10"/>
  <c r="L71" i="10" s="1"/>
  <c r="H70" i="10"/>
  <c r="H71" i="10" s="1"/>
  <c r="D70" i="10"/>
  <c r="D71" i="10" s="1"/>
  <c r="G70" i="10"/>
  <c r="G71" i="10" s="1"/>
  <c r="C70" i="10"/>
  <c r="C71" i="10" s="1"/>
  <c r="O70" i="10"/>
  <c r="O71" i="10" s="1"/>
  <c r="K70" i="10"/>
  <c r="K71" i="10" s="1"/>
  <c r="C59" i="10"/>
  <c r="C58" i="10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D38" i="5"/>
  <c r="D39" i="5" s="1"/>
  <c r="E38" i="5"/>
  <c r="E39" i="5" s="1"/>
  <c r="F38" i="5"/>
  <c r="F39" i="5" s="1"/>
  <c r="G38" i="5"/>
  <c r="G53" i="5" s="1"/>
  <c r="H38" i="5"/>
  <c r="H39" i="5" s="1"/>
  <c r="I38" i="5"/>
  <c r="I39" i="5" s="1"/>
  <c r="J38" i="5"/>
  <c r="J39" i="5" s="1"/>
  <c r="K38" i="5"/>
  <c r="L38" i="5"/>
  <c r="L39" i="5" s="1"/>
  <c r="M38" i="5"/>
  <c r="M39" i="5" s="1"/>
  <c r="N38" i="5"/>
  <c r="N39" i="5" s="1"/>
  <c r="O38" i="5"/>
  <c r="P38" i="5"/>
  <c r="P39" i="5" s="1"/>
  <c r="Q38" i="5"/>
  <c r="Q39" i="5" s="1"/>
  <c r="R38" i="5"/>
  <c r="R39" i="5" s="1"/>
  <c r="S38" i="5"/>
  <c r="T38" i="5"/>
  <c r="T39" i="5" s="1"/>
  <c r="U38" i="5"/>
  <c r="U39" i="5" s="1"/>
  <c r="V38" i="5"/>
  <c r="V39" i="5" s="1"/>
  <c r="W38" i="5"/>
  <c r="X38" i="5"/>
  <c r="X39" i="5" s="1"/>
  <c r="Y38" i="5"/>
  <c r="Y39" i="5" s="1"/>
  <c r="Z38" i="5"/>
  <c r="Z39" i="5" s="1"/>
  <c r="AA38" i="5"/>
  <c r="AB38" i="5"/>
  <c r="AB39" i="5" s="1"/>
  <c r="AC38" i="5"/>
  <c r="AC39" i="5" s="1"/>
  <c r="AD38" i="5"/>
  <c r="AD39" i="5" s="1"/>
  <c r="AE38" i="5"/>
  <c r="AF38" i="5"/>
  <c r="AF39" i="5" s="1"/>
  <c r="AG38" i="5"/>
  <c r="AG39" i="5" s="1"/>
  <c r="AH38" i="5"/>
  <c r="AH39" i="5" s="1"/>
  <c r="AI38" i="5"/>
  <c r="AJ38" i="5"/>
  <c r="AJ39" i="5" s="1"/>
  <c r="AK38" i="5"/>
  <c r="AK39" i="5" s="1"/>
  <c r="AL38" i="5"/>
  <c r="AL39" i="5" s="1"/>
  <c r="AM38" i="5"/>
  <c r="AM53" i="5" s="1"/>
  <c r="AN38" i="5"/>
  <c r="AN39" i="5" s="1"/>
  <c r="AO38" i="5"/>
  <c r="AO39" i="5" s="1"/>
  <c r="AP38" i="5"/>
  <c r="AP39" i="5" s="1"/>
  <c r="AQ38" i="5"/>
  <c r="AR38" i="5"/>
  <c r="AR39" i="5" s="1"/>
  <c r="AS38" i="5"/>
  <c r="AS39" i="5" s="1"/>
  <c r="AT38" i="5"/>
  <c r="AT39" i="5" s="1"/>
  <c r="AU38" i="5"/>
  <c r="AU53" i="5" s="1"/>
  <c r="AV38" i="5"/>
  <c r="AV39" i="5" s="1"/>
  <c r="AW38" i="5"/>
  <c r="AW39" i="5" s="1"/>
  <c r="AX38" i="5"/>
  <c r="AX39" i="5" s="1"/>
  <c r="AY38" i="5"/>
  <c r="AY53" i="5" s="1"/>
  <c r="AZ38" i="5"/>
  <c r="AZ39" i="5" s="1"/>
  <c r="BA38" i="5"/>
  <c r="BA39" i="5" s="1"/>
  <c r="BB38" i="5"/>
  <c r="BB39" i="5" s="1"/>
  <c r="C28" i="5"/>
  <c r="BB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C17" i="5"/>
  <c r="C24" i="5"/>
  <c r="D17" i="5"/>
  <c r="D18" i="5" s="1"/>
  <c r="D8" i="5"/>
  <c r="E8" i="5"/>
  <c r="F8" i="5"/>
  <c r="G8" i="5"/>
  <c r="H8" i="5"/>
  <c r="I8" i="5"/>
  <c r="J8" i="5"/>
  <c r="K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Y8" i="5"/>
  <c r="AZ8" i="5"/>
  <c r="BA8" i="5"/>
  <c r="BB8" i="5"/>
  <c r="C8" i="5"/>
  <c r="C21" i="7"/>
  <c r="C34" i="5"/>
  <c r="BD71" i="10" l="1"/>
  <c r="F76" i="10"/>
  <c r="BD70" i="10"/>
  <c r="C12" i="5"/>
  <c r="C5" i="7" s="1"/>
  <c r="BD8" i="5"/>
  <c r="AQ53" i="5"/>
  <c r="BD36" i="5"/>
  <c r="BD17" i="5"/>
  <c r="G5" i="10"/>
  <c r="G12" i="10" s="1"/>
  <c r="H5" i="10" s="1"/>
  <c r="H12" i="10" s="1"/>
  <c r="AP53" i="5"/>
  <c r="AP57" i="5" s="1"/>
  <c r="AP58" i="5" s="1"/>
  <c r="N59" i="11"/>
  <c r="M59" i="11"/>
  <c r="C68" i="11"/>
  <c r="C59" i="11"/>
  <c r="G13" i="11"/>
  <c r="AI53" i="5"/>
  <c r="AI57" i="5" s="1"/>
  <c r="AI58" i="5" s="1"/>
  <c r="AX53" i="5"/>
  <c r="AX57" i="5" s="1"/>
  <c r="AX58" i="5" s="1"/>
  <c r="AH53" i="5"/>
  <c r="AH57" i="5" s="1"/>
  <c r="AH59" i="5" s="1"/>
  <c r="R57" i="5"/>
  <c r="R58" i="5" s="1"/>
  <c r="AE53" i="5"/>
  <c r="AE57" i="5" s="1"/>
  <c r="AE58" i="5" s="1"/>
  <c r="F12" i="11"/>
  <c r="AA53" i="5"/>
  <c r="AA57" i="5" s="1"/>
  <c r="AA58" i="5" s="1"/>
  <c r="Z53" i="5"/>
  <c r="Z57" i="5" s="1"/>
  <c r="Z59" i="5" s="1"/>
  <c r="W53" i="5"/>
  <c r="W57" i="5" s="1"/>
  <c r="W58" i="5" s="1"/>
  <c r="O57" i="11"/>
  <c r="S53" i="5"/>
  <c r="S57" i="5" s="1"/>
  <c r="S58" i="5" s="1"/>
  <c r="O53" i="5"/>
  <c r="O57" i="5" s="1"/>
  <c r="BB53" i="5"/>
  <c r="BB57" i="5" s="1"/>
  <c r="BB59" i="5" s="1"/>
  <c r="AD53" i="5"/>
  <c r="AD57" i="5" s="1"/>
  <c r="AD58" i="5" s="1"/>
  <c r="V53" i="5"/>
  <c r="V57" i="5" s="1"/>
  <c r="V58" i="5" s="1"/>
  <c r="BA53" i="5"/>
  <c r="BA57" i="5" s="1"/>
  <c r="BA59" i="5" s="1"/>
  <c r="AW53" i="5"/>
  <c r="AW57" i="5" s="1"/>
  <c r="AW59" i="5" s="1"/>
  <c r="AS53" i="5"/>
  <c r="AS57" i="5" s="1"/>
  <c r="AS58" i="5" s="1"/>
  <c r="AO53" i="5"/>
  <c r="AO57" i="5" s="1"/>
  <c r="AO59" i="5" s="1"/>
  <c r="AK53" i="5"/>
  <c r="AK57" i="5" s="1"/>
  <c r="AK59" i="5" s="1"/>
  <c r="AG53" i="5"/>
  <c r="AG57" i="5" s="1"/>
  <c r="AG58" i="5" s="1"/>
  <c r="AC53" i="5"/>
  <c r="AC57" i="5" s="1"/>
  <c r="AC59" i="5" s="1"/>
  <c r="Y53" i="5"/>
  <c r="Y57" i="5" s="1"/>
  <c r="Y59" i="5" s="1"/>
  <c r="U53" i="5"/>
  <c r="U57" i="5" s="1"/>
  <c r="U59" i="5" s="1"/>
  <c r="Q53" i="5"/>
  <c r="Q57" i="5" s="1"/>
  <c r="Q59" i="5" s="1"/>
  <c r="M53" i="5"/>
  <c r="M57" i="5" s="1"/>
  <c r="M58" i="5" s="1"/>
  <c r="K53" i="5"/>
  <c r="K57" i="5" s="1"/>
  <c r="J53" i="5"/>
  <c r="J57" i="5" s="1"/>
  <c r="J59" i="5" s="1"/>
  <c r="I53" i="5"/>
  <c r="I57" i="5" s="1"/>
  <c r="I58" i="5" s="1"/>
  <c r="AT53" i="5"/>
  <c r="AT57" i="5" s="1"/>
  <c r="AT59" i="5" s="1"/>
  <c r="AL53" i="5"/>
  <c r="AL57" i="5" s="1"/>
  <c r="AL58" i="5" s="1"/>
  <c r="N53" i="5"/>
  <c r="N57" i="5" s="1"/>
  <c r="N59" i="5" s="1"/>
  <c r="AY57" i="5"/>
  <c r="AY58" i="5" s="1"/>
  <c r="AU57" i="5"/>
  <c r="AU58" i="5" s="1"/>
  <c r="AQ57" i="5"/>
  <c r="AQ58" i="5" s="1"/>
  <c r="AM57" i="5"/>
  <c r="AM58" i="5" s="1"/>
  <c r="G57" i="5"/>
  <c r="G58" i="5" s="1"/>
  <c r="F53" i="5"/>
  <c r="F57" i="5" s="1"/>
  <c r="F59" i="5" s="1"/>
  <c r="E53" i="5"/>
  <c r="E57" i="5" s="1"/>
  <c r="E59" i="5" s="1"/>
  <c r="AY39" i="5"/>
  <c r="AI39" i="5"/>
  <c r="S39" i="5"/>
  <c r="AZ53" i="5"/>
  <c r="AZ57" i="5" s="1"/>
  <c r="AV53" i="5"/>
  <c r="AV57" i="5" s="1"/>
  <c r="AV59" i="5" s="1"/>
  <c r="AR53" i="5"/>
  <c r="AN53" i="5"/>
  <c r="AN57" i="5" s="1"/>
  <c r="AJ53" i="5"/>
  <c r="AJ57" i="5" s="1"/>
  <c r="AF53" i="5"/>
  <c r="AF57" i="5" s="1"/>
  <c r="AB53" i="5"/>
  <c r="AB57" i="5" s="1"/>
  <c r="AB59" i="5" s="1"/>
  <c r="X53" i="5"/>
  <c r="X57" i="5" s="1"/>
  <c r="T53" i="5"/>
  <c r="T57" i="5" s="1"/>
  <c r="P53" i="5"/>
  <c r="P57" i="5" s="1"/>
  <c r="L53" i="5"/>
  <c r="L57" i="5" s="1"/>
  <c r="L59" i="5" s="1"/>
  <c r="H53" i="5"/>
  <c r="H57" i="5" s="1"/>
  <c r="H59" i="5" s="1"/>
  <c r="AQ39" i="5"/>
  <c r="AA39" i="5"/>
  <c r="K39" i="5"/>
  <c r="AU39" i="5"/>
  <c r="AM39" i="5"/>
  <c r="AE39" i="5"/>
  <c r="W39" i="5"/>
  <c r="O39" i="5"/>
  <c r="G39" i="5"/>
  <c r="AR57" i="5"/>
  <c r="AR59" i="5" s="1"/>
  <c r="D53" i="5"/>
  <c r="D57" i="5" s="1"/>
  <c r="G75" i="10" l="1"/>
  <c r="G76" i="10" s="1"/>
  <c r="D5" i="5"/>
  <c r="D12" i="5" s="1"/>
  <c r="D5" i="7" s="1"/>
  <c r="F19" i="14"/>
  <c r="O59" i="11"/>
  <c r="F21" i="14" s="1"/>
  <c r="AP59" i="5"/>
  <c r="AN59" i="5"/>
  <c r="BC70" i="5"/>
  <c r="BC71" i="5" s="1"/>
  <c r="AU59" i="5"/>
  <c r="AT58" i="5"/>
  <c r="AS59" i="5"/>
  <c r="H13" i="11"/>
  <c r="AH58" i="5"/>
  <c r="AG59" i="5"/>
  <c r="AX59" i="5"/>
  <c r="BB58" i="5"/>
  <c r="AO58" i="5"/>
  <c r="R59" i="5"/>
  <c r="AK58" i="5"/>
  <c r="AM59" i="5"/>
  <c r="J58" i="5"/>
  <c r="BA58" i="5"/>
  <c r="AL59" i="5"/>
  <c r="AC58" i="5"/>
  <c r="AY59" i="5"/>
  <c r="G5" i="11"/>
  <c r="G12" i="11" s="1"/>
  <c r="H5" i="11" s="1"/>
  <c r="H12" i="11" s="1"/>
  <c r="I5" i="11" s="1"/>
  <c r="I12" i="11" s="1"/>
  <c r="J5" i="11" s="1"/>
  <c r="J12" i="11" s="1"/>
  <c r="K5" i="11" s="1"/>
  <c r="K12" i="11" s="1"/>
  <c r="Z58" i="5"/>
  <c r="Y58" i="5"/>
  <c r="V59" i="5"/>
  <c r="H75" i="10"/>
  <c r="H76" i="10" s="1"/>
  <c r="I5" i="10"/>
  <c r="I12" i="10" s="1"/>
  <c r="U58" i="5"/>
  <c r="O58" i="5"/>
  <c r="O59" i="5"/>
  <c r="N58" i="5"/>
  <c r="G59" i="5"/>
  <c r="M59" i="5"/>
  <c r="AB58" i="5"/>
  <c r="AD59" i="5"/>
  <c r="Q58" i="5"/>
  <c r="AW58" i="5"/>
  <c r="D59" i="5"/>
  <c r="AV58" i="5"/>
  <c r="S59" i="5"/>
  <c r="AR58" i="5"/>
  <c r="W59" i="5"/>
  <c r="I59" i="5"/>
  <c r="AQ59" i="5"/>
  <c r="K58" i="5"/>
  <c r="K59" i="5"/>
  <c r="F58" i="5"/>
  <c r="X59" i="5"/>
  <c r="X58" i="5"/>
  <c r="P59" i="5"/>
  <c r="P58" i="5"/>
  <c r="AF59" i="5"/>
  <c r="AF58" i="5"/>
  <c r="H58" i="5"/>
  <c r="AE59" i="5"/>
  <c r="E58" i="5"/>
  <c r="AA59" i="5"/>
  <c r="L58" i="5"/>
  <c r="AN58" i="5"/>
  <c r="AI59" i="5"/>
  <c r="T59" i="5"/>
  <c r="T58" i="5"/>
  <c r="AJ59" i="5"/>
  <c r="AJ58" i="5"/>
  <c r="AZ59" i="5"/>
  <c r="AZ58" i="5"/>
  <c r="D58" i="5"/>
  <c r="C11" i="7"/>
  <c r="C18" i="5"/>
  <c r="BD18" i="5" s="1"/>
  <c r="I13" i="11" l="1"/>
  <c r="L5" i="11"/>
  <c r="L12" i="11" s="1"/>
  <c r="I75" i="10"/>
  <c r="I76" i="10" s="1"/>
  <c r="J5" i="10"/>
  <c r="J12" i="10" s="1"/>
  <c r="D13" i="5"/>
  <c r="J13" i="11" l="1"/>
  <c r="M5" i="11"/>
  <c r="M12" i="11" s="1"/>
  <c r="J75" i="10"/>
  <c r="K5" i="10"/>
  <c r="K12" i="10" s="1"/>
  <c r="BB30" i="5"/>
  <c r="BB9" i="7" s="1"/>
  <c r="J76" i="10" l="1"/>
  <c r="K13" i="11"/>
  <c r="N5" i="11"/>
  <c r="N12" i="11" s="1"/>
  <c r="L5" i="10"/>
  <c r="L12" i="10" s="1"/>
  <c r="K75" i="10"/>
  <c r="K76" i="10" s="1"/>
  <c r="D14" i="4"/>
  <c r="D14" i="13" s="1"/>
  <c r="E14" i="4"/>
  <c r="E14" i="13" s="1"/>
  <c r="F14" i="4"/>
  <c r="F14" i="13" s="1"/>
  <c r="G14" i="4"/>
  <c r="G14" i="13" s="1"/>
  <c r="H14" i="4"/>
  <c r="H14" i="13" s="1"/>
  <c r="H67" i="13" s="1"/>
  <c r="I14" i="4"/>
  <c r="I14" i="13" s="1"/>
  <c r="J14" i="4"/>
  <c r="J14" i="13" s="1"/>
  <c r="K14" i="4"/>
  <c r="K14" i="13" s="1"/>
  <c r="L14" i="4"/>
  <c r="L14" i="13" s="1"/>
  <c r="M14" i="4"/>
  <c r="M14" i="13" s="1"/>
  <c r="N14" i="13"/>
  <c r="C14" i="4"/>
  <c r="C14" i="13" l="1"/>
  <c r="O14" i="4"/>
  <c r="C18" i="14" s="1"/>
  <c r="O14" i="13"/>
  <c r="C8" i="14" s="1"/>
  <c r="L13" i="11"/>
  <c r="L75" i="10"/>
  <c r="L76" i="10" s="1"/>
  <c r="M5" i="10"/>
  <c r="M12" i="10" s="1"/>
  <c r="AP30" i="5"/>
  <c r="AP9" i="7" s="1"/>
  <c r="BD26" i="5"/>
  <c r="M13" i="11" l="1"/>
  <c r="M75" i="10"/>
  <c r="M76" i="10" s="1"/>
  <c r="N5" i="10"/>
  <c r="N12" i="10" s="1"/>
  <c r="N13" i="11" l="1"/>
  <c r="N75" i="10"/>
  <c r="N76" i="10" s="1"/>
  <c r="O5" i="10"/>
  <c r="O12" i="10" s="1"/>
  <c r="G30" i="5"/>
  <c r="G9" i="7" s="1"/>
  <c r="BB38" i="7"/>
  <c r="BA38" i="7"/>
  <c r="AZ38" i="7"/>
  <c r="AY38" i="7"/>
  <c r="N38" i="6" s="1"/>
  <c r="N60" i="13" s="1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K38" i="6" s="1"/>
  <c r="K60" i="13" s="1"/>
  <c r="AK38" i="7"/>
  <c r="AJ38" i="7"/>
  <c r="AI38" i="7"/>
  <c r="AH38" i="7"/>
  <c r="AG38" i="7"/>
  <c r="J38" i="6" s="1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F38" i="6" s="1"/>
  <c r="F60" i="13" s="1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C60" i="10" s="1"/>
  <c r="C64" i="10" s="1"/>
  <c r="N40" i="6"/>
  <c r="M40" i="6"/>
  <c r="L40" i="6"/>
  <c r="K40" i="6"/>
  <c r="J40" i="6"/>
  <c r="I40" i="6"/>
  <c r="H40" i="6"/>
  <c r="G40" i="6"/>
  <c r="F40" i="6"/>
  <c r="E40" i="6"/>
  <c r="D40" i="6"/>
  <c r="C40" i="6"/>
  <c r="N39" i="6"/>
  <c r="M39" i="6"/>
  <c r="L39" i="6"/>
  <c r="K39" i="6"/>
  <c r="J39" i="6"/>
  <c r="I39" i="6"/>
  <c r="H39" i="6"/>
  <c r="G39" i="6"/>
  <c r="F39" i="6"/>
  <c r="E39" i="6"/>
  <c r="D39" i="6"/>
  <c r="C39" i="6"/>
  <c r="N31" i="6"/>
  <c r="M31" i="6"/>
  <c r="L31" i="6"/>
  <c r="K31" i="6"/>
  <c r="J31" i="6"/>
  <c r="I31" i="6"/>
  <c r="H31" i="6"/>
  <c r="G31" i="6"/>
  <c r="F31" i="6"/>
  <c r="E31" i="6"/>
  <c r="D31" i="6"/>
  <c r="C31" i="6"/>
  <c r="N29" i="6"/>
  <c r="M29" i="6"/>
  <c r="L29" i="6"/>
  <c r="K29" i="6"/>
  <c r="J29" i="6"/>
  <c r="I29" i="6"/>
  <c r="H29" i="6"/>
  <c r="G29" i="6"/>
  <c r="F29" i="6"/>
  <c r="E29" i="6"/>
  <c r="D29" i="6"/>
  <c r="C29" i="6"/>
  <c r="N27" i="6"/>
  <c r="M27" i="6"/>
  <c r="L27" i="6"/>
  <c r="K27" i="6"/>
  <c r="J27" i="6"/>
  <c r="I27" i="6"/>
  <c r="H27" i="6"/>
  <c r="G27" i="6"/>
  <c r="F27" i="6"/>
  <c r="E27" i="6"/>
  <c r="D27" i="6"/>
  <c r="C27" i="6"/>
  <c r="N26" i="6"/>
  <c r="M26" i="6"/>
  <c r="L26" i="6"/>
  <c r="K26" i="6"/>
  <c r="J26" i="6"/>
  <c r="I26" i="6"/>
  <c r="H26" i="6"/>
  <c r="G26" i="6"/>
  <c r="F26" i="6"/>
  <c r="E26" i="6"/>
  <c r="D26" i="6"/>
  <c r="C26" i="6"/>
  <c r="N25" i="6"/>
  <c r="M25" i="6"/>
  <c r="L25" i="6"/>
  <c r="K25" i="6"/>
  <c r="J25" i="6"/>
  <c r="I25" i="6"/>
  <c r="H25" i="6"/>
  <c r="G25" i="6"/>
  <c r="F25" i="6"/>
  <c r="E25" i="6"/>
  <c r="D25" i="6"/>
  <c r="C25" i="6"/>
  <c r="N24" i="6"/>
  <c r="M24" i="6"/>
  <c r="L24" i="6"/>
  <c r="K24" i="6"/>
  <c r="J24" i="6"/>
  <c r="I24" i="6"/>
  <c r="H24" i="6"/>
  <c r="G24" i="6"/>
  <c r="F24" i="6"/>
  <c r="E24" i="6"/>
  <c r="D24" i="6"/>
  <c r="C24" i="6"/>
  <c r="N23" i="6"/>
  <c r="M23" i="6"/>
  <c r="L23" i="6"/>
  <c r="K23" i="6"/>
  <c r="J23" i="6"/>
  <c r="I23" i="6"/>
  <c r="H23" i="6"/>
  <c r="G23" i="6"/>
  <c r="F23" i="6"/>
  <c r="E23" i="6"/>
  <c r="D23" i="6"/>
  <c r="C23" i="6"/>
  <c r="C7" i="6"/>
  <c r="BB69" i="5"/>
  <c r="BA69" i="5"/>
  <c r="AZ69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B68" i="5"/>
  <c r="BA68" i="5"/>
  <c r="AZ68" i="5"/>
  <c r="AY68" i="5"/>
  <c r="AX68" i="5"/>
  <c r="AW68" i="5"/>
  <c r="AV68" i="5"/>
  <c r="AU68" i="5"/>
  <c r="AT68" i="5"/>
  <c r="AS68" i="5"/>
  <c r="AR68" i="5"/>
  <c r="AQ68" i="5"/>
  <c r="AP68" i="5"/>
  <c r="AO68" i="5"/>
  <c r="AO72" i="5" s="1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A62" i="5"/>
  <c r="C38" i="5"/>
  <c r="BD38" i="5" s="1"/>
  <c r="BA30" i="5"/>
  <c r="BA9" i="7" s="1"/>
  <c r="AZ30" i="5"/>
  <c r="AZ9" i="7" s="1"/>
  <c r="AY30" i="5"/>
  <c r="AY9" i="7" s="1"/>
  <c r="AX30" i="5"/>
  <c r="AX9" i="7" s="1"/>
  <c r="AW30" i="5"/>
  <c r="AW9" i="7" s="1"/>
  <c r="AV30" i="5"/>
  <c r="AV9" i="7" s="1"/>
  <c r="AU30" i="5"/>
  <c r="AU9" i="7" s="1"/>
  <c r="AT30" i="5"/>
  <c r="AT9" i="7" s="1"/>
  <c r="AS30" i="5"/>
  <c r="AS9" i="7" s="1"/>
  <c r="AR30" i="5"/>
  <c r="AR9" i="7" s="1"/>
  <c r="AQ30" i="5"/>
  <c r="AQ9" i="7" s="1"/>
  <c r="AO30" i="5"/>
  <c r="AO9" i="7" s="1"/>
  <c r="AN30" i="5"/>
  <c r="AN9" i="7" s="1"/>
  <c r="AM30" i="5"/>
  <c r="AM9" i="7" s="1"/>
  <c r="AL30" i="5"/>
  <c r="AL9" i="7" s="1"/>
  <c r="AK30" i="5"/>
  <c r="AK9" i="7" s="1"/>
  <c r="AJ30" i="5"/>
  <c r="AJ9" i="7" s="1"/>
  <c r="AI30" i="5"/>
  <c r="AI9" i="7" s="1"/>
  <c r="AH30" i="5"/>
  <c r="AH9" i="7" s="1"/>
  <c r="AG30" i="5"/>
  <c r="AG9" i="7" s="1"/>
  <c r="AF30" i="5"/>
  <c r="AF9" i="7" s="1"/>
  <c r="AE30" i="5"/>
  <c r="AE9" i="7" s="1"/>
  <c r="AD30" i="5"/>
  <c r="AD9" i="7" s="1"/>
  <c r="AC30" i="5"/>
  <c r="AC9" i="7" s="1"/>
  <c r="AB30" i="5"/>
  <c r="AB9" i="7" s="1"/>
  <c r="AA30" i="5"/>
  <c r="AA9" i="7" s="1"/>
  <c r="Z30" i="5"/>
  <c r="Z9" i="7" s="1"/>
  <c r="Y30" i="5"/>
  <c r="Y9" i="7" s="1"/>
  <c r="X30" i="5"/>
  <c r="X9" i="7" s="1"/>
  <c r="W30" i="5"/>
  <c r="W9" i="7" s="1"/>
  <c r="V30" i="5"/>
  <c r="V9" i="7" s="1"/>
  <c r="U30" i="5"/>
  <c r="U9" i="7" s="1"/>
  <c r="T30" i="5"/>
  <c r="T9" i="7" s="1"/>
  <c r="S30" i="5"/>
  <c r="S9" i="7" s="1"/>
  <c r="R9" i="7"/>
  <c r="Q30" i="5"/>
  <c r="Q9" i="7" s="1"/>
  <c r="P30" i="5"/>
  <c r="P9" i="7" s="1"/>
  <c r="O30" i="5"/>
  <c r="O9" i="7" s="1"/>
  <c r="N30" i="5"/>
  <c r="N9" i="7" s="1"/>
  <c r="M30" i="5"/>
  <c r="M9" i="7" s="1"/>
  <c r="L30" i="5"/>
  <c r="L9" i="7" s="1"/>
  <c r="K30" i="5"/>
  <c r="K9" i="7" s="1"/>
  <c r="J30" i="5"/>
  <c r="J9" i="7" s="1"/>
  <c r="I30" i="5"/>
  <c r="I9" i="7" s="1"/>
  <c r="H30" i="5"/>
  <c r="H9" i="7" s="1"/>
  <c r="F30" i="5"/>
  <c r="F9" i="7" s="1"/>
  <c r="E30" i="5"/>
  <c r="E9" i="7" s="1"/>
  <c r="D30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E13" i="5"/>
  <c r="F13" i="5" s="1"/>
  <c r="G13" i="5" s="1"/>
  <c r="H13" i="5" s="1"/>
  <c r="I13" i="5" s="1"/>
  <c r="J13" i="5" s="1"/>
  <c r="K13" i="5" s="1"/>
  <c r="L13" i="5" s="1"/>
  <c r="M13" i="5" s="1"/>
  <c r="N13" i="5" s="1"/>
  <c r="O13" i="5" s="1"/>
  <c r="P13" i="5" s="1"/>
  <c r="Q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M51" i="4"/>
  <c r="L51" i="4"/>
  <c r="K51" i="4"/>
  <c r="J51" i="4"/>
  <c r="I51" i="4"/>
  <c r="H51" i="4"/>
  <c r="G51" i="4"/>
  <c r="F51" i="4"/>
  <c r="E51" i="4"/>
  <c r="D51" i="4"/>
  <c r="C51" i="4"/>
  <c r="M50" i="4"/>
  <c r="L50" i="4"/>
  <c r="K50" i="4"/>
  <c r="J50" i="4"/>
  <c r="I50" i="4"/>
  <c r="H50" i="4"/>
  <c r="G50" i="4"/>
  <c r="F50" i="4"/>
  <c r="E50" i="4"/>
  <c r="D50" i="4"/>
  <c r="C50" i="4"/>
  <c r="M49" i="4"/>
  <c r="L49" i="4"/>
  <c r="K49" i="4"/>
  <c r="J49" i="4"/>
  <c r="I49" i="4"/>
  <c r="H49" i="4"/>
  <c r="G49" i="4"/>
  <c r="F49" i="4"/>
  <c r="E49" i="4"/>
  <c r="D49" i="4"/>
  <c r="C49" i="4"/>
  <c r="M48" i="4"/>
  <c r="L48" i="4"/>
  <c r="K48" i="4"/>
  <c r="J48" i="4"/>
  <c r="I48" i="4"/>
  <c r="H48" i="4"/>
  <c r="G48" i="4"/>
  <c r="F48" i="4"/>
  <c r="E48" i="4"/>
  <c r="D48" i="4"/>
  <c r="C48" i="4"/>
  <c r="M47" i="4"/>
  <c r="L47" i="4"/>
  <c r="K47" i="4"/>
  <c r="J47" i="4"/>
  <c r="I47" i="4"/>
  <c r="H47" i="4"/>
  <c r="G47" i="4"/>
  <c r="F47" i="4"/>
  <c r="E47" i="4"/>
  <c r="D47" i="4"/>
  <c r="C47" i="4"/>
  <c r="N46" i="13"/>
  <c r="M46" i="4"/>
  <c r="M46" i="13" s="1"/>
  <c r="L46" i="4"/>
  <c r="L46" i="13" s="1"/>
  <c r="K46" i="4"/>
  <c r="K46" i="13" s="1"/>
  <c r="J46" i="4"/>
  <c r="J46" i="13" s="1"/>
  <c r="I46" i="4"/>
  <c r="I46" i="13" s="1"/>
  <c r="H46" i="4"/>
  <c r="H46" i="13" s="1"/>
  <c r="G46" i="4"/>
  <c r="G46" i="13" s="1"/>
  <c r="F46" i="4"/>
  <c r="F46" i="13" s="1"/>
  <c r="E46" i="4"/>
  <c r="E46" i="13" s="1"/>
  <c r="D46" i="4"/>
  <c r="D46" i="13" s="1"/>
  <c r="C46" i="4"/>
  <c r="C46" i="13" s="1"/>
  <c r="N45" i="13"/>
  <c r="M45" i="4"/>
  <c r="M45" i="13" s="1"/>
  <c r="L45" i="4"/>
  <c r="L45" i="13" s="1"/>
  <c r="K45" i="4"/>
  <c r="K45" i="13" s="1"/>
  <c r="J45" i="4"/>
  <c r="J45" i="13" s="1"/>
  <c r="I45" i="4"/>
  <c r="I45" i="13" s="1"/>
  <c r="H45" i="4"/>
  <c r="H45" i="13" s="1"/>
  <c r="G45" i="4"/>
  <c r="G45" i="13" s="1"/>
  <c r="F45" i="4"/>
  <c r="F45" i="13" s="1"/>
  <c r="E45" i="4"/>
  <c r="E45" i="13" s="1"/>
  <c r="D45" i="4"/>
  <c r="D45" i="13" s="1"/>
  <c r="C45" i="4"/>
  <c r="C45" i="13" s="1"/>
  <c r="N44" i="13"/>
  <c r="M44" i="4"/>
  <c r="M44" i="13" s="1"/>
  <c r="L44" i="4"/>
  <c r="L44" i="13" s="1"/>
  <c r="K44" i="4"/>
  <c r="K44" i="13" s="1"/>
  <c r="J44" i="4"/>
  <c r="J44" i="13" s="1"/>
  <c r="I44" i="4"/>
  <c r="I44" i="13" s="1"/>
  <c r="H44" i="4"/>
  <c r="H44" i="13" s="1"/>
  <c r="G44" i="4"/>
  <c r="G44" i="13" s="1"/>
  <c r="F44" i="4"/>
  <c r="F44" i="13" s="1"/>
  <c r="E44" i="4"/>
  <c r="E44" i="13" s="1"/>
  <c r="D44" i="4"/>
  <c r="D44" i="13" s="1"/>
  <c r="C44" i="4"/>
  <c r="C44" i="13" s="1"/>
  <c r="N43" i="13"/>
  <c r="M43" i="4"/>
  <c r="M43" i="13" s="1"/>
  <c r="L43" i="4"/>
  <c r="L43" i="13" s="1"/>
  <c r="K43" i="4"/>
  <c r="K43" i="13" s="1"/>
  <c r="J43" i="4"/>
  <c r="J43" i="13" s="1"/>
  <c r="I43" i="4"/>
  <c r="I43" i="13" s="1"/>
  <c r="H43" i="4"/>
  <c r="H43" i="13" s="1"/>
  <c r="G43" i="4"/>
  <c r="G43" i="13" s="1"/>
  <c r="F43" i="4"/>
  <c r="F43" i="13" s="1"/>
  <c r="E43" i="4"/>
  <c r="E43" i="13" s="1"/>
  <c r="D43" i="4"/>
  <c r="D43" i="13" s="1"/>
  <c r="C43" i="4"/>
  <c r="C43" i="13" s="1"/>
  <c r="N42" i="13"/>
  <c r="M42" i="4"/>
  <c r="M42" i="13" s="1"/>
  <c r="L42" i="4"/>
  <c r="L42" i="13" s="1"/>
  <c r="K42" i="4"/>
  <c r="K42" i="13" s="1"/>
  <c r="J42" i="4"/>
  <c r="J42" i="13" s="1"/>
  <c r="I42" i="4"/>
  <c r="I42" i="13" s="1"/>
  <c r="H42" i="4"/>
  <c r="H42" i="13" s="1"/>
  <c r="G42" i="4"/>
  <c r="G42" i="13" s="1"/>
  <c r="F42" i="4"/>
  <c r="F42" i="13" s="1"/>
  <c r="E42" i="4"/>
  <c r="E42" i="13" s="1"/>
  <c r="D42" i="4"/>
  <c r="D42" i="13" s="1"/>
  <c r="C42" i="4"/>
  <c r="C42" i="13" s="1"/>
  <c r="N41" i="13"/>
  <c r="N67" i="13" s="1"/>
  <c r="M41" i="4"/>
  <c r="M41" i="13" s="1"/>
  <c r="M67" i="13" s="1"/>
  <c r="L41" i="4"/>
  <c r="L41" i="13" s="1"/>
  <c r="L67" i="13" s="1"/>
  <c r="K41" i="4"/>
  <c r="K41" i="13" s="1"/>
  <c r="K67" i="13" s="1"/>
  <c r="J41" i="4"/>
  <c r="J41" i="13" s="1"/>
  <c r="J67" i="13" s="1"/>
  <c r="I41" i="4"/>
  <c r="I41" i="13" s="1"/>
  <c r="I67" i="13" s="1"/>
  <c r="G41" i="4"/>
  <c r="G41" i="13" s="1"/>
  <c r="G67" i="13" s="1"/>
  <c r="F41" i="4"/>
  <c r="F41" i="13" s="1"/>
  <c r="F67" i="13" s="1"/>
  <c r="E41" i="4"/>
  <c r="E41" i="13" s="1"/>
  <c r="E67" i="13" s="1"/>
  <c r="D41" i="4"/>
  <c r="D41" i="13" s="1"/>
  <c r="D67" i="13" s="1"/>
  <c r="C41" i="4"/>
  <c r="C41" i="13" s="1"/>
  <c r="N40" i="13"/>
  <c r="M40" i="4"/>
  <c r="M40" i="13" s="1"/>
  <c r="L40" i="4"/>
  <c r="L40" i="13" s="1"/>
  <c r="K40" i="4"/>
  <c r="K40" i="13" s="1"/>
  <c r="J40" i="4"/>
  <c r="J40" i="13" s="1"/>
  <c r="I40" i="4"/>
  <c r="I40" i="13" s="1"/>
  <c r="H40" i="4"/>
  <c r="H40" i="13" s="1"/>
  <c r="G40" i="4"/>
  <c r="G40" i="13" s="1"/>
  <c r="F40" i="4"/>
  <c r="F40" i="13" s="1"/>
  <c r="E40" i="4"/>
  <c r="E40" i="13" s="1"/>
  <c r="D40" i="4"/>
  <c r="D40" i="13" s="1"/>
  <c r="C40" i="4"/>
  <c r="C40" i="13" s="1"/>
  <c r="M33" i="4"/>
  <c r="M33" i="13" s="1"/>
  <c r="L33" i="4"/>
  <c r="L33" i="13" s="1"/>
  <c r="K33" i="4"/>
  <c r="K33" i="13" s="1"/>
  <c r="J33" i="4"/>
  <c r="J33" i="13" s="1"/>
  <c r="I33" i="4"/>
  <c r="I33" i="13" s="1"/>
  <c r="H33" i="4"/>
  <c r="H33" i="13" s="1"/>
  <c r="G33" i="4"/>
  <c r="G33" i="13" s="1"/>
  <c r="F33" i="4"/>
  <c r="F33" i="13" s="1"/>
  <c r="E33" i="4"/>
  <c r="E33" i="13" s="1"/>
  <c r="D33" i="4"/>
  <c r="D33" i="13" s="1"/>
  <c r="C33" i="4"/>
  <c r="C33" i="13" s="1"/>
  <c r="N31" i="4"/>
  <c r="M31" i="4"/>
  <c r="L31" i="4"/>
  <c r="K31" i="4"/>
  <c r="J31" i="4"/>
  <c r="I31" i="4"/>
  <c r="H31" i="4"/>
  <c r="G31" i="4"/>
  <c r="F31" i="4"/>
  <c r="E31" i="4"/>
  <c r="D31" i="4"/>
  <c r="C31" i="4"/>
  <c r="N27" i="4"/>
  <c r="M27" i="4"/>
  <c r="L27" i="4"/>
  <c r="K27" i="4"/>
  <c r="J27" i="4"/>
  <c r="I27" i="4"/>
  <c r="H27" i="4"/>
  <c r="G27" i="4"/>
  <c r="F27" i="4"/>
  <c r="E27" i="4"/>
  <c r="D27" i="4"/>
  <c r="C27" i="4"/>
  <c r="C27" i="13" s="1"/>
  <c r="N23" i="13"/>
  <c r="M23" i="4"/>
  <c r="M23" i="13" s="1"/>
  <c r="L23" i="4"/>
  <c r="L23" i="13" s="1"/>
  <c r="K23" i="4"/>
  <c r="K23" i="13" s="1"/>
  <c r="J23" i="4"/>
  <c r="J23" i="13" s="1"/>
  <c r="I23" i="4"/>
  <c r="I23" i="13" s="1"/>
  <c r="H23" i="4"/>
  <c r="H23" i="13" s="1"/>
  <c r="G23" i="4"/>
  <c r="G23" i="13" s="1"/>
  <c r="F23" i="4"/>
  <c r="F23" i="13" s="1"/>
  <c r="E23" i="4"/>
  <c r="E23" i="13" s="1"/>
  <c r="D23" i="4"/>
  <c r="D23" i="13" s="1"/>
  <c r="C23" i="4"/>
  <c r="N22" i="13"/>
  <c r="M22" i="4"/>
  <c r="M22" i="13" s="1"/>
  <c r="L22" i="4"/>
  <c r="L22" i="13" s="1"/>
  <c r="K22" i="4"/>
  <c r="K22" i="13" s="1"/>
  <c r="J22" i="4"/>
  <c r="J22" i="13" s="1"/>
  <c r="I22" i="4"/>
  <c r="I22" i="13" s="1"/>
  <c r="H22" i="4"/>
  <c r="H22" i="13" s="1"/>
  <c r="G22" i="4"/>
  <c r="G22" i="13" s="1"/>
  <c r="F22" i="4"/>
  <c r="F22" i="13" s="1"/>
  <c r="E22" i="4"/>
  <c r="E22" i="13" s="1"/>
  <c r="D22" i="4"/>
  <c r="D22" i="13" s="1"/>
  <c r="C22" i="4"/>
  <c r="N20" i="13"/>
  <c r="M20" i="4"/>
  <c r="L20" i="4"/>
  <c r="K20" i="4"/>
  <c r="J20" i="4"/>
  <c r="I20" i="4"/>
  <c r="H20" i="4"/>
  <c r="G20" i="4"/>
  <c r="G20" i="13" s="1"/>
  <c r="F20" i="4"/>
  <c r="E20" i="4"/>
  <c r="D20" i="4"/>
  <c r="C20" i="4"/>
  <c r="C20" i="13" s="1"/>
  <c r="C17" i="13" s="1"/>
  <c r="M15" i="4"/>
  <c r="L15" i="4"/>
  <c r="K15" i="4"/>
  <c r="J15" i="4"/>
  <c r="I15" i="4"/>
  <c r="H15" i="4"/>
  <c r="G15" i="4"/>
  <c r="F15" i="4"/>
  <c r="E15" i="4"/>
  <c r="D15" i="4"/>
  <c r="C15" i="4"/>
  <c r="N11" i="13"/>
  <c r="M11" i="4"/>
  <c r="M11" i="13" s="1"/>
  <c r="L11" i="4"/>
  <c r="L11" i="13" s="1"/>
  <c r="K11" i="4"/>
  <c r="K11" i="13" s="1"/>
  <c r="J11" i="4"/>
  <c r="J11" i="13" s="1"/>
  <c r="I11" i="4"/>
  <c r="I11" i="13" s="1"/>
  <c r="H11" i="4"/>
  <c r="H11" i="13" s="1"/>
  <c r="G11" i="4"/>
  <c r="G11" i="13" s="1"/>
  <c r="F11" i="4"/>
  <c r="F11" i="13" s="1"/>
  <c r="E11" i="4"/>
  <c r="E11" i="13" s="1"/>
  <c r="D11" i="4"/>
  <c r="D11" i="13" s="1"/>
  <c r="C11" i="4"/>
  <c r="M10" i="4"/>
  <c r="L10" i="4"/>
  <c r="K10" i="4"/>
  <c r="J10" i="4"/>
  <c r="I10" i="4"/>
  <c r="H10" i="4"/>
  <c r="G10" i="4"/>
  <c r="F10" i="4"/>
  <c r="E10" i="4"/>
  <c r="D10" i="4"/>
  <c r="C10" i="4"/>
  <c r="N7" i="13"/>
  <c r="N28" i="13" s="1"/>
  <c r="M7" i="4"/>
  <c r="L7" i="4"/>
  <c r="L7" i="13" s="1"/>
  <c r="L28" i="13" s="1"/>
  <c r="K7" i="4"/>
  <c r="K7" i="13" s="1"/>
  <c r="K28" i="13" s="1"/>
  <c r="J7" i="4"/>
  <c r="J7" i="13" s="1"/>
  <c r="I7" i="4"/>
  <c r="I7" i="13" s="1"/>
  <c r="H7" i="4"/>
  <c r="H7" i="13" s="1"/>
  <c r="G7" i="4"/>
  <c r="G7" i="13" s="1"/>
  <c r="G28" i="13" s="1"/>
  <c r="F7" i="4"/>
  <c r="F7" i="13" s="1"/>
  <c r="F28" i="13" s="1"/>
  <c r="E7" i="4"/>
  <c r="E7" i="13" s="1"/>
  <c r="E28" i="13" s="1"/>
  <c r="D7" i="4"/>
  <c r="D7" i="13" s="1"/>
  <c r="D28" i="13" s="1"/>
  <c r="C7" i="4"/>
  <c r="C5" i="4"/>
  <c r="O15" i="4" l="1"/>
  <c r="O34" i="4" s="1"/>
  <c r="O46" i="13"/>
  <c r="C8" i="13"/>
  <c r="C23" i="13"/>
  <c r="O23" i="13" s="1"/>
  <c r="O23" i="4"/>
  <c r="O22" i="4"/>
  <c r="O20" i="4"/>
  <c r="D9" i="7"/>
  <c r="BD30" i="5"/>
  <c r="D18" i="14"/>
  <c r="G18" i="14" s="1"/>
  <c r="C10" i="13"/>
  <c r="O10" i="4"/>
  <c r="C11" i="13"/>
  <c r="O11" i="4"/>
  <c r="O7" i="4"/>
  <c r="C17" i="14" s="1"/>
  <c r="C20" i="14" s="1"/>
  <c r="C5" i="13"/>
  <c r="G24" i="13"/>
  <c r="F15" i="6"/>
  <c r="F48" i="13"/>
  <c r="J16" i="6"/>
  <c r="J49" i="13"/>
  <c r="N18" i="6"/>
  <c r="N50" i="13"/>
  <c r="I55" i="4"/>
  <c r="I21" i="6" s="1"/>
  <c r="I15" i="13"/>
  <c r="J55" i="4"/>
  <c r="J21" i="6" s="1"/>
  <c r="J15" i="13"/>
  <c r="C14" i="6"/>
  <c r="C47" i="13"/>
  <c r="G15" i="6"/>
  <c r="G48" i="13"/>
  <c r="K16" i="6"/>
  <c r="K49" i="13"/>
  <c r="C19" i="6"/>
  <c r="C51" i="13"/>
  <c r="O42" i="13"/>
  <c r="H14" i="6"/>
  <c r="H47" i="13"/>
  <c r="L15" i="6"/>
  <c r="L48" i="13"/>
  <c r="D18" i="6"/>
  <c r="D50" i="13"/>
  <c r="H19" i="6"/>
  <c r="H51" i="13"/>
  <c r="L16" i="6"/>
  <c r="L49" i="13"/>
  <c r="E14" i="6"/>
  <c r="E47" i="13"/>
  <c r="N16" i="6"/>
  <c r="N49" i="13"/>
  <c r="I14" i="6"/>
  <c r="I47" i="13"/>
  <c r="I19" i="6"/>
  <c r="I51" i="13"/>
  <c r="J14" i="6"/>
  <c r="J47" i="13"/>
  <c r="K14" i="6"/>
  <c r="K47" i="13"/>
  <c r="C16" i="6"/>
  <c r="C49" i="13"/>
  <c r="G18" i="6"/>
  <c r="G50" i="13"/>
  <c r="K19" i="6"/>
  <c r="K51" i="13"/>
  <c r="I15" i="6"/>
  <c r="I48" i="13"/>
  <c r="D16" i="6"/>
  <c r="D49" i="13"/>
  <c r="H18" i="6"/>
  <c r="H50" i="13"/>
  <c r="L19" i="6"/>
  <c r="L51" i="13"/>
  <c r="D19" i="6"/>
  <c r="D51" i="13"/>
  <c r="F19" i="6"/>
  <c r="F51" i="13"/>
  <c r="K15" i="6"/>
  <c r="K48" i="13"/>
  <c r="N15" i="6"/>
  <c r="N48" i="13"/>
  <c r="D55" i="4"/>
  <c r="D21" i="6" s="1"/>
  <c r="D15" i="13"/>
  <c r="I18" i="6"/>
  <c r="I50" i="13"/>
  <c r="M19" i="6"/>
  <c r="M51" i="13"/>
  <c r="H15" i="6"/>
  <c r="H48" i="13"/>
  <c r="J15" i="6"/>
  <c r="J48" i="13"/>
  <c r="G14" i="6"/>
  <c r="G47" i="13"/>
  <c r="C55" i="4"/>
  <c r="C21" i="6" s="1"/>
  <c r="C15" i="13"/>
  <c r="C55" i="13" s="1"/>
  <c r="F16" i="6"/>
  <c r="F49" i="13"/>
  <c r="D14" i="6"/>
  <c r="D47" i="13"/>
  <c r="M16" i="6"/>
  <c r="M49" i="13"/>
  <c r="C18" i="6"/>
  <c r="C50" i="13"/>
  <c r="M15" i="6"/>
  <c r="M48" i="13"/>
  <c r="J19" i="6"/>
  <c r="J51" i="13"/>
  <c r="E16" i="6"/>
  <c r="E49" i="13"/>
  <c r="E55" i="4"/>
  <c r="E21" i="6" s="1"/>
  <c r="E15" i="13"/>
  <c r="N14" i="6"/>
  <c r="N47" i="13"/>
  <c r="N19" i="6"/>
  <c r="N51" i="13"/>
  <c r="F55" i="4"/>
  <c r="F21" i="6" s="1"/>
  <c r="F15" i="13"/>
  <c r="F34" i="13" s="1"/>
  <c r="K55" i="4"/>
  <c r="K21" i="6" s="1"/>
  <c r="K15" i="13"/>
  <c r="E19" i="6"/>
  <c r="E51" i="13"/>
  <c r="M14" i="6"/>
  <c r="M47" i="13"/>
  <c r="G16" i="6"/>
  <c r="G49" i="13"/>
  <c r="G55" i="4"/>
  <c r="G21" i="6" s="1"/>
  <c r="G15" i="13"/>
  <c r="D15" i="6"/>
  <c r="D48" i="13"/>
  <c r="H16" i="6"/>
  <c r="H49" i="13"/>
  <c r="L18" i="6"/>
  <c r="L50" i="13"/>
  <c r="F14" i="6"/>
  <c r="F47" i="13"/>
  <c r="G19" i="6"/>
  <c r="G51" i="13"/>
  <c r="E18" i="6"/>
  <c r="E50" i="13"/>
  <c r="F18" i="6"/>
  <c r="F50" i="13"/>
  <c r="C67" i="13"/>
  <c r="L14" i="6"/>
  <c r="L47" i="13"/>
  <c r="J18" i="6"/>
  <c r="J50" i="13"/>
  <c r="C15" i="6"/>
  <c r="C48" i="13"/>
  <c r="K18" i="6"/>
  <c r="K50" i="13"/>
  <c r="H55" i="4"/>
  <c r="H21" i="6" s="1"/>
  <c r="H15" i="13"/>
  <c r="E15" i="6"/>
  <c r="E48" i="13"/>
  <c r="I16" i="6"/>
  <c r="I49" i="13"/>
  <c r="M18" i="6"/>
  <c r="M50" i="13"/>
  <c r="N55" i="4"/>
  <c r="N21" i="6" s="1"/>
  <c r="N15" i="13"/>
  <c r="M7" i="13"/>
  <c r="M55" i="4"/>
  <c r="M21" i="6" s="1"/>
  <c r="M15" i="13"/>
  <c r="J60" i="11"/>
  <c r="J60" i="13"/>
  <c r="C38" i="6"/>
  <c r="C60" i="13" s="1"/>
  <c r="G38" i="6"/>
  <c r="G60" i="13" s="1"/>
  <c r="O23" i="6"/>
  <c r="O26" i="6"/>
  <c r="C60" i="5"/>
  <c r="L55" i="4"/>
  <c r="L15" i="13"/>
  <c r="N24" i="13"/>
  <c r="O45" i="13"/>
  <c r="C28" i="4"/>
  <c r="C28" i="13" s="1"/>
  <c r="C7" i="13"/>
  <c r="C66" i="13" s="1"/>
  <c r="H4" i="6"/>
  <c r="H10" i="13"/>
  <c r="D17" i="4"/>
  <c r="D18" i="4" s="1"/>
  <c r="D20" i="13"/>
  <c r="E17" i="4"/>
  <c r="E18" i="4" s="1"/>
  <c r="E20" i="13"/>
  <c r="E24" i="13" s="1"/>
  <c r="I8" i="13"/>
  <c r="G17" i="13"/>
  <c r="K8" i="13"/>
  <c r="C17" i="6"/>
  <c r="L4" i="6"/>
  <c r="L10" i="13"/>
  <c r="H17" i="4"/>
  <c r="H18" i="4" s="1"/>
  <c r="H20" i="13"/>
  <c r="L8" i="13"/>
  <c r="E17" i="6"/>
  <c r="F17" i="6"/>
  <c r="O44" i="13"/>
  <c r="G17" i="6"/>
  <c r="L17" i="4"/>
  <c r="L18" i="4" s="1"/>
  <c r="L20" i="13"/>
  <c r="L24" i="13" s="1"/>
  <c r="M17" i="4"/>
  <c r="M18" i="4" s="1"/>
  <c r="M20" i="13"/>
  <c r="M24" i="13" s="1"/>
  <c r="J17" i="6"/>
  <c r="O43" i="13"/>
  <c r="C30" i="14" s="1"/>
  <c r="E30" i="14" s="1"/>
  <c r="C24" i="4"/>
  <c r="C24" i="13" s="1"/>
  <c r="C22" i="13"/>
  <c r="O22" i="13" s="1"/>
  <c r="C34" i="13"/>
  <c r="L17" i="6"/>
  <c r="D8" i="13"/>
  <c r="M17" i="6"/>
  <c r="F4" i="6"/>
  <c r="F10" i="13"/>
  <c r="F8" i="13"/>
  <c r="G4" i="6"/>
  <c r="G10" i="13"/>
  <c r="C17" i="4"/>
  <c r="C18" i="4" s="1"/>
  <c r="G8" i="13"/>
  <c r="H8" i="13"/>
  <c r="I4" i="6"/>
  <c r="I10" i="13"/>
  <c r="J4" i="6"/>
  <c r="J10" i="13"/>
  <c r="O11" i="13"/>
  <c r="F17" i="4"/>
  <c r="F18" i="4" s="1"/>
  <c r="F20" i="13"/>
  <c r="J8" i="13"/>
  <c r="K4" i="6"/>
  <c r="K10" i="13"/>
  <c r="H28" i="13"/>
  <c r="H66" i="13"/>
  <c r="D17" i="6"/>
  <c r="I28" i="13"/>
  <c r="M4" i="6"/>
  <c r="M10" i="13"/>
  <c r="I17" i="4"/>
  <c r="I18" i="4" s="1"/>
  <c r="I20" i="13"/>
  <c r="I24" i="13" s="1"/>
  <c r="M8" i="13"/>
  <c r="J28" i="13"/>
  <c r="N4" i="6"/>
  <c r="N10" i="13"/>
  <c r="J17" i="4"/>
  <c r="J18" i="4" s="1"/>
  <c r="J20" i="13"/>
  <c r="J24" i="13" s="1"/>
  <c r="N33" i="13"/>
  <c r="O33" i="13" s="1"/>
  <c r="C29" i="14" s="1"/>
  <c r="E29" i="14" s="1"/>
  <c r="K17" i="4"/>
  <c r="K18" i="4" s="1"/>
  <c r="K20" i="13"/>
  <c r="O40" i="13"/>
  <c r="C27" i="14" s="1"/>
  <c r="E27" i="14" s="1"/>
  <c r="I17" i="6"/>
  <c r="D4" i="6"/>
  <c r="D10" i="13"/>
  <c r="E4" i="6"/>
  <c r="E10" i="13"/>
  <c r="E8" i="13"/>
  <c r="N17" i="6"/>
  <c r="K17" i="6"/>
  <c r="G60" i="11"/>
  <c r="G60" i="4"/>
  <c r="K60" i="11"/>
  <c r="K60" i="4"/>
  <c r="C60" i="11"/>
  <c r="C60" i="4"/>
  <c r="F60" i="4"/>
  <c r="F60" i="11"/>
  <c r="J60" i="10"/>
  <c r="J60" i="5"/>
  <c r="AX60" i="10"/>
  <c r="AX60" i="5"/>
  <c r="J60" i="4"/>
  <c r="O27" i="6"/>
  <c r="O29" i="6"/>
  <c r="O31" i="6"/>
  <c r="O39" i="6"/>
  <c r="O40" i="6"/>
  <c r="G60" i="10"/>
  <c r="G60" i="5"/>
  <c r="K60" i="10"/>
  <c r="K60" i="5"/>
  <c r="O60" i="10"/>
  <c r="O60" i="5"/>
  <c r="S60" i="10"/>
  <c r="S60" i="5"/>
  <c r="W60" i="10"/>
  <c r="W60" i="5"/>
  <c r="AA60" i="10"/>
  <c r="AA60" i="5"/>
  <c r="AE60" i="10"/>
  <c r="AE60" i="5"/>
  <c r="AI60" i="10"/>
  <c r="AI60" i="5"/>
  <c r="AM60" i="10"/>
  <c r="AM60" i="5"/>
  <c r="AQ60" i="10"/>
  <c r="AQ60" i="5"/>
  <c r="AU60" i="10"/>
  <c r="AU60" i="5"/>
  <c r="AY60" i="10"/>
  <c r="AY60" i="5"/>
  <c r="N60" i="4"/>
  <c r="N60" i="11"/>
  <c r="F60" i="10"/>
  <c r="F60" i="5"/>
  <c r="N60" i="10"/>
  <c r="N60" i="5"/>
  <c r="R60" i="10"/>
  <c r="R60" i="5"/>
  <c r="V60" i="10"/>
  <c r="V60" i="5"/>
  <c r="Z60" i="10"/>
  <c r="Z60" i="5"/>
  <c r="AD60" i="10"/>
  <c r="AD60" i="5"/>
  <c r="AH60" i="10"/>
  <c r="AH60" i="5"/>
  <c r="AL60" i="10"/>
  <c r="AL60" i="5"/>
  <c r="AP60" i="10"/>
  <c r="AP60" i="5"/>
  <c r="BB60" i="5"/>
  <c r="G17" i="4"/>
  <c r="G18" i="4" s="1"/>
  <c r="G30" i="4"/>
  <c r="O24" i="6"/>
  <c r="O25" i="6"/>
  <c r="D38" i="6"/>
  <c r="D60" i="13" s="1"/>
  <c r="H38" i="6"/>
  <c r="H60" i="13" s="1"/>
  <c r="L38" i="6"/>
  <c r="L60" i="13" s="1"/>
  <c r="D60" i="10"/>
  <c r="D60" i="5"/>
  <c r="H60" i="10"/>
  <c r="H60" i="5"/>
  <c r="L60" i="10"/>
  <c r="L60" i="5"/>
  <c r="P60" i="10"/>
  <c r="P60" i="5"/>
  <c r="T60" i="10"/>
  <c r="T60" i="5"/>
  <c r="X60" i="10"/>
  <c r="X60" i="5"/>
  <c r="AB60" i="10"/>
  <c r="AB60" i="5"/>
  <c r="AF60" i="10"/>
  <c r="AF60" i="5"/>
  <c r="AJ60" i="10"/>
  <c r="AJ60" i="5"/>
  <c r="AN60" i="10"/>
  <c r="AN60" i="5"/>
  <c r="AR60" i="10"/>
  <c r="AR60" i="5"/>
  <c r="AV60" i="10"/>
  <c r="AV60" i="5"/>
  <c r="AZ60" i="10"/>
  <c r="AZ60" i="5"/>
  <c r="AT60" i="10"/>
  <c r="AT60" i="5"/>
  <c r="E38" i="6"/>
  <c r="E60" i="13" s="1"/>
  <c r="I38" i="6"/>
  <c r="I60" i="13" s="1"/>
  <c r="M38" i="6"/>
  <c r="M60" i="13" s="1"/>
  <c r="E60" i="10"/>
  <c r="E60" i="5"/>
  <c r="I60" i="10"/>
  <c r="I60" i="5"/>
  <c r="M60" i="10"/>
  <c r="M60" i="5"/>
  <c r="Q60" i="10"/>
  <c r="Q60" i="5"/>
  <c r="U60" i="10"/>
  <c r="U60" i="5"/>
  <c r="Y60" i="10"/>
  <c r="Y60" i="5"/>
  <c r="AC60" i="10"/>
  <c r="AC60" i="5"/>
  <c r="AG60" i="10"/>
  <c r="AG60" i="5"/>
  <c r="AK60" i="10"/>
  <c r="AK60" i="5"/>
  <c r="AO60" i="10"/>
  <c r="AO60" i="5"/>
  <c r="AS60" i="10"/>
  <c r="AS60" i="5"/>
  <c r="AW60" i="10"/>
  <c r="AW60" i="5"/>
  <c r="BA60" i="10"/>
  <c r="BA60" i="5"/>
  <c r="C4" i="6"/>
  <c r="C35" i="6" s="1"/>
  <c r="H38" i="4"/>
  <c r="O75" i="10"/>
  <c r="O76" i="10" s="1"/>
  <c r="P5" i="10"/>
  <c r="P12" i="10" s="1"/>
  <c r="F38" i="4"/>
  <c r="D38" i="4"/>
  <c r="O40" i="4"/>
  <c r="O41" i="4"/>
  <c r="O42" i="4"/>
  <c r="O43" i="4"/>
  <c r="O45" i="4"/>
  <c r="O44" i="4"/>
  <c r="C36" i="4"/>
  <c r="C36" i="13" s="1"/>
  <c r="C34" i="4"/>
  <c r="J34" i="4"/>
  <c r="N34" i="4"/>
  <c r="G34" i="4"/>
  <c r="K34" i="4"/>
  <c r="F34" i="4"/>
  <c r="D34" i="4"/>
  <c r="H34" i="4"/>
  <c r="L34" i="4"/>
  <c r="C39" i="5"/>
  <c r="E34" i="4"/>
  <c r="I34" i="4"/>
  <c r="M34" i="4"/>
  <c r="H8" i="4"/>
  <c r="D8" i="4"/>
  <c r="L8" i="4"/>
  <c r="F8" i="4"/>
  <c r="J8" i="4"/>
  <c r="C8" i="4"/>
  <c r="G8" i="4"/>
  <c r="K8" i="4"/>
  <c r="K38" i="4"/>
  <c r="J38" i="4"/>
  <c r="I38" i="4"/>
  <c r="G38" i="4"/>
  <c r="C13" i="7"/>
  <c r="C72" i="5"/>
  <c r="C73" i="5" s="1"/>
  <c r="E38" i="4"/>
  <c r="BB72" i="5"/>
  <c r="BB73" i="5" s="1"/>
  <c r="E28" i="4"/>
  <c r="I28" i="4"/>
  <c r="C38" i="4"/>
  <c r="AQ13" i="5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P35" i="7"/>
  <c r="Q35" i="7" s="1"/>
  <c r="R35" i="7" s="1"/>
  <c r="S35" i="7" s="1"/>
  <c r="T35" i="7" s="1"/>
  <c r="E8" i="4"/>
  <c r="I8" i="4"/>
  <c r="F24" i="4"/>
  <c r="N38" i="4"/>
  <c r="N38" i="13" s="1"/>
  <c r="J24" i="4"/>
  <c r="E67" i="4"/>
  <c r="I67" i="4"/>
  <c r="M38" i="4"/>
  <c r="M38" i="13" s="1"/>
  <c r="L38" i="4"/>
  <c r="M67" i="4"/>
  <c r="M28" i="4"/>
  <c r="M8" i="4"/>
  <c r="C13" i="4"/>
  <c r="C13" i="13" s="1"/>
  <c r="D72" i="5"/>
  <c r="D73" i="5" s="1"/>
  <c r="P72" i="5"/>
  <c r="P73" i="5" s="1"/>
  <c r="X72" i="5"/>
  <c r="X73" i="5" s="1"/>
  <c r="AF72" i="5"/>
  <c r="AF73" i="5" s="1"/>
  <c r="AJ72" i="5"/>
  <c r="AJ73" i="5" s="1"/>
  <c r="AN72" i="5"/>
  <c r="AN73" i="5" s="1"/>
  <c r="AZ72" i="5"/>
  <c r="AZ73" i="5" s="1"/>
  <c r="E72" i="5"/>
  <c r="E73" i="5" s="1"/>
  <c r="I72" i="5"/>
  <c r="I73" i="5" s="1"/>
  <c r="M72" i="5"/>
  <c r="M73" i="5" s="1"/>
  <c r="Q72" i="5"/>
  <c r="Q73" i="5" s="1"/>
  <c r="U72" i="5"/>
  <c r="U73" i="5" s="1"/>
  <c r="Y72" i="5"/>
  <c r="Y73" i="5" s="1"/>
  <c r="AC72" i="5"/>
  <c r="AC73" i="5" s="1"/>
  <c r="AG72" i="5"/>
  <c r="AG73" i="5" s="1"/>
  <c r="AK72" i="5"/>
  <c r="AK73" i="5" s="1"/>
  <c r="AO73" i="5"/>
  <c r="AS72" i="5"/>
  <c r="AS73" i="5" s="1"/>
  <c r="AW72" i="5"/>
  <c r="AW73" i="5" s="1"/>
  <c r="BA72" i="5"/>
  <c r="BA73" i="5" s="1"/>
  <c r="H72" i="5"/>
  <c r="H73" i="5" s="1"/>
  <c r="L72" i="5"/>
  <c r="L73" i="5" s="1"/>
  <c r="AB72" i="5"/>
  <c r="AB73" i="5" s="1"/>
  <c r="AR72" i="5"/>
  <c r="AR73" i="5" s="1"/>
  <c r="F72" i="5"/>
  <c r="F73" i="5" s="1"/>
  <c r="J72" i="5"/>
  <c r="J73" i="5" s="1"/>
  <c r="N72" i="5"/>
  <c r="N73" i="5" s="1"/>
  <c r="R72" i="5"/>
  <c r="R73" i="5" s="1"/>
  <c r="V72" i="5"/>
  <c r="V73" i="5" s="1"/>
  <c r="Z72" i="5"/>
  <c r="Z73" i="5" s="1"/>
  <c r="AD72" i="5"/>
  <c r="AD73" i="5" s="1"/>
  <c r="AH72" i="5"/>
  <c r="AH73" i="5" s="1"/>
  <c r="AL72" i="5"/>
  <c r="AL73" i="5" s="1"/>
  <c r="AP72" i="5"/>
  <c r="AP73" i="5" s="1"/>
  <c r="AT72" i="5"/>
  <c r="AT73" i="5" s="1"/>
  <c r="AX72" i="5"/>
  <c r="AX73" i="5" s="1"/>
  <c r="T72" i="5"/>
  <c r="T73" i="5" s="1"/>
  <c r="AV72" i="5"/>
  <c r="AV73" i="5" s="1"/>
  <c r="E36" i="4"/>
  <c r="E36" i="13" s="1"/>
  <c r="E30" i="4"/>
  <c r="I36" i="4"/>
  <c r="I36" i="13" s="1"/>
  <c r="I30" i="4"/>
  <c r="M36" i="4"/>
  <c r="M30" i="4"/>
  <c r="E24" i="4"/>
  <c r="I24" i="4"/>
  <c r="M24" i="4"/>
  <c r="G28" i="4"/>
  <c r="K28" i="4"/>
  <c r="C67" i="4"/>
  <c r="G67" i="4"/>
  <c r="K67" i="4"/>
  <c r="C75" i="5"/>
  <c r="C76" i="5" s="1"/>
  <c r="N17" i="4"/>
  <c r="F36" i="4"/>
  <c r="F36" i="13" s="1"/>
  <c r="F30" i="4"/>
  <c r="J36" i="4"/>
  <c r="J36" i="13" s="1"/>
  <c r="J30" i="4"/>
  <c r="N36" i="4"/>
  <c r="N30" i="4"/>
  <c r="N24" i="4"/>
  <c r="D28" i="4"/>
  <c r="H28" i="4"/>
  <c r="L28" i="4"/>
  <c r="D67" i="4"/>
  <c r="H67" i="4"/>
  <c r="L67" i="4"/>
  <c r="C30" i="4"/>
  <c r="G36" i="4"/>
  <c r="G36" i="13" s="1"/>
  <c r="K36" i="4"/>
  <c r="K36" i="13" s="1"/>
  <c r="K30" i="4"/>
  <c r="G24" i="4"/>
  <c r="K24" i="4"/>
  <c r="D36" i="4"/>
  <c r="D36" i="13" s="1"/>
  <c r="D30" i="4"/>
  <c r="H36" i="4"/>
  <c r="H36" i="13" s="1"/>
  <c r="H30" i="4"/>
  <c r="L36" i="4"/>
  <c r="L30" i="4"/>
  <c r="D24" i="4"/>
  <c r="H24" i="4"/>
  <c r="L24" i="4"/>
  <c r="F28" i="4"/>
  <c r="J28" i="4"/>
  <c r="N28" i="4"/>
  <c r="F67" i="4"/>
  <c r="J67" i="4"/>
  <c r="N67" i="4"/>
  <c r="C66" i="4"/>
  <c r="G66" i="4"/>
  <c r="K66" i="4"/>
  <c r="D66" i="4"/>
  <c r="H66" i="4"/>
  <c r="L66" i="4"/>
  <c r="E66" i="4"/>
  <c r="I66" i="4"/>
  <c r="M66" i="4"/>
  <c r="F66" i="4"/>
  <c r="J66" i="4"/>
  <c r="N66" i="4"/>
  <c r="G72" i="5"/>
  <c r="G73" i="5" s="1"/>
  <c r="K72" i="5"/>
  <c r="K73" i="5" s="1"/>
  <c r="O72" i="5"/>
  <c r="O73" i="5" s="1"/>
  <c r="S72" i="5"/>
  <c r="S73" i="5" s="1"/>
  <c r="W72" i="5"/>
  <c r="W73" i="5" s="1"/>
  <c r="AA72" i="5"/>
  <c r="AA73" i="5" s="1"/>
  <c r="AE72" i="5"/>
  <c r="AE73" i="5" s="1"/>
  <c r="AI72" i="5"/>
  <c r="AI73" i="5" s="1"/>
  <c r="AM72" i="5"/>
  <c r="AM73" i="5" s="1"/>
  <c r="AQ72" i="5"/>
  <c r="AQ73" i="5" s="1"/>
  <c r="AU72" i="5"/>
  <c r="AU73" i="5" s="1"/>
  <c r="AY72" i="5"/>
  <c r="AY73" i="5" s="1"/>
  <c r="O15" i="13" l="1"/>
  <c r="O47" i="13"/>
  <c r="O50" i="13"/>
  <c r="O49" i="13"/>
  <c r="O48" i="13"/>
  <c r="O51" i="13"/>
  <c r="C12" i="4"/>
  <c r="C12" i="13" s="1"/>
  <c r="O8" i="4"/>
  <c r="C57" i="5"/>
  <c r="BD57" i="5" s="1"/>
  <c r="BD58" i="5" s="1"/>
  <c r="BD53" i="5"/>
  <c r="O24" i="4"/>
  <c r="O36" i="4"/>
  <c r="H55" i="13"/>
  <c r="G37" i="14"/>
  <c r="F55" i="13"/>
  <c r="E37" i="14"/>
  <c r="M55" i="13"/>
  <c r="L37" i="14"/>
  <c r="B37" i="14"/>
  <c r="C18" i="13"/>
  <c r="K55" i="13"/>
  <c r="J37" i="14"/>
  <c r="D55" i="13"/>
  <c r="C37" i="14"/>
  <c r="M34" i="13"/>
  <c r="N55" i="13"/>
  <c r="M37" i="14"/>
  <c r="D34" i="13"/>
  <c r="G55" i="13"/>
  <c r="F37" i="14"/>
  <c r="E55" i="13"/>
  <c r="D37" i="14"/>
  <c r="H34" i="13"/>
  <c r="L34" i="13"/>
  <c r="K37" i="14"/>
  <c r="J55" i="13"/>
  <c r="I37" i="14"/>
  <c r="K34" i="13"/>
  <c r="C64" i="5"/>
  <c r="C43" i="7" s="1"/>
  <c r="I55" i="13"/>
  <c r="H37" i="14"/>
  <c r="BD60" i="10"/>
  <c r="BD67" i="10" s="1"/>
  <c r="D17" i="14"/>
  <c r="G17" i="14" s="1"/>
  <c r="BD13" i="5"/>
  <c r="H13" i="6"/>
  <c r="N18" i="4"/>
  <c r="O18" i="4" s="1"/>
  <c r="O17" i="4"/>
  <c r="E13" i="6"/>
  <c r="I13" i="6"/>
  <c r="O14" i="6"/>
  <c r="O18" i="6"/>
  <c r="I34" i="13"/>
  <c r="J34" i="13"/>
  <c r="O15" i="6"/>
  <c r="N17" i="13"/>
  <c r="N18" i="13" s="1"/>
  <c r="O19" i="6"/>
  <c r="G34" i="13"/>
  <c r="O16" i="6"/>
  <c r="F9" i="6"/>
  <c r="F30" i="13"/>
  <c r="E9" i="6"/>
  <c r="E30" i="13"/>
  <c r="G39" i="4"/>
  <c r="G38" i="13"/>
  <c r="G39" i="13" s="1"/>
  <c r="C9" i="6"/>
  <c r="C11" i="6" s="1"/>
  <c r="C30" i="13"/>
  <c r="C39" i="4"/>
  <c r="C38" i="13"/>
  <c r="K13" i="6"/>
  <c r="G18" i="13"/>
  <c r="N13" i="6"/>
  <c r="F39" i="4"/>
  <c r="F38" i="13"/>
  <c r="F39" i="13" s="1"/>
  <c r="J39" i="4"/>
  <c r="J38" i="13"/>
  <c r="J39" i="13" s="1"/>
  <c r="D39" i="4"/>
  <c r="D38" i="13"/>
  <c r="D39" i="13" s="1"/>
  <c r="G13" i="6"/>
  <c r="G9" i="6"/>
  <c r="G30" i="13"/>
  <c r="E34" i="13"/>
  <c r="H39" i="4"/>
  <c r="H38" i="13"/>
  <c r="H39" i="13" s="1"/>
  <c r="E39" i="4"/>
  <c r="E38" i="13"/>
  <c r="E39" i="13" s="1"/>
  <c r="M13" i="6"/>
  <c r="F13" i="6"/>
  <c r="K9" i="6"/>
  <c r="K30" i="13"/>
  <c r="I39" i="4"/>
  <c r="I38" i="13"/>
  <c r="I39" i="13" s="1"/>
  <c r="K39" i="4"/>
  <c r="K38" i="13"/>
  <c r="K39" i="13" s="1"/>
  <c r="J13" i="6"/>
  <c r="H9" i="6"/>
  <c r="H30" i="13"/>
  <c r="D9" i="6"/>
  <c r="D30" i="13"/>
  <c r="O55" i="4"/>
  <c r="J9" i="6"/>
  <c r="J30" i="13"/>
  <c r="I9" i="6"/>
  <c r="I30" i="13"/>
  <c r="L13" i="6"/>
  <c r="N39" i="4"/>
  <c r="N39" i="13"/>
  <c r="N9" i="6"/>
  <c r="N30" i="13"/>
  <c r="O7" i="13"/>
  <c r="M28" i="13"/>
  <c r="M39" i="4"/>
  <c r="M39" i="13"/>
  <c r="M9" i="6"/>
  <c r="M30" i="13"/>
  <c r="L53" i="4"/>
  <c r="L57" i="4" s="1"/>
  <c r="L57" i="13" s="1"/>
  <c r="K38" i="14" s="1"/>
  <c r="L21" i="6"/>
  <c r="O21" i="6" s="1"/>
  <c r="L39" i="4"/>
  <c r="L38" i="13"/>
  <c r="L39" i="13" s="1"/>
  <c r="L9" i="6"/>
  <c r="L30" i="13"/>
  <c r="L55" i="13"/>
  <c r="O10" i="13"/>
  <c r="O17" i="6"/>
  <c r="I66" i="13"/>
  <c r="O4" i="6"/>
  <c r="K17" i="13"/>
  <c r="K18" i="13" s="1"/>
  <c r="N66" i="13"/>
  <c r="F66" i="13"/>
  <c r="E66" i="13"/>
  <c r="D13" i="6"/>
  <c r="D17" i="13"/>
  <c r="D18" i="13" s="1"/>
  <c r="H17" i="13"/>
  <c r="H18" i="13" s="1"/>
  <c r="D24" i="13"/>
  <c r="I17" i="13"/>
  <c r="I18" i="13" s="1"/>
  <c r="L66" i="13"/>
  <c r="L36" i="13"/>
  <c r="O36" i="13" s="1"/>
  <c r="C11" i="14" s="1"/>
  <c r="L17" i="13"/>
  <c r="L18" i="13" s="1"/>
  <c r="F17" i="13"/>
  <c r="F18" i="13" s="1"/>
  <c r="K24" i="13"/>
  <c r="N34" i="13"/>
  <c r="N8" i="13"/>
  <c r="O8" i="13" s="1"/>
  <c r="D66" i="13"/>
  <c r="D13" i="4"/>
  <c r="D13" i="13" s="1"/>
  <c r="J17" i="13"/>
  <c r="J18" i="13" s="1"/>
  <c r="M66" i="13"/>
  <c r="N36" i="13"/>
  <c r="E17" i="13"/>
  <c r="E18" i="13" s="1"/>
  <c r="J66" i="13"/>
  <c r="H24" i="13"/>
  <c r="M36" i="13"/>
  <c r="M17" i="13"/>
  <c r="M18" i="13" s="1"/>
  <c r="O20" i="13"/>
  <c r="O24" i="13" s="1"/>
  <c r="G66" i="13"/>
  <c r="F24" i="13"/>
  <c r="K66" i="13"/>
  <c r="O41" i="13"/>
  <c r="K53" i="4"/>
  <c r="U35" i="7"/>
  <c r="V35" i="7" s="1"/>
  <c r="W35" i="7" s="1"/>
  <c r="X35" i="7" s="1"/>
  <c r="Y35" i="7" s="1"/>
  <c r="Z35" i="7" s="1"/>
  <c r="AA35" i="7" s="1"/>
  <c r="AB35" i="7" s="1"/>
  <c r="AC35" i="7" s="1"/>
  <c r="AD35" i="7" s="1"/>
  <c r="AE35" i="7" s="1"/>
  <c r="AF35" i="7" s="1"/>
  <c r="AG35" i="7" s="1"/>
  <c r="AH35" i="7" s="1"/>
  <c r="AI35" i="7" s="1"/>
  <c r="AJ35" i="7" s="1"/>
  <c r="AK35" i="7" s="1"/>
  <c r="AL35" i="7" s="1"/>
  <c r="AM35" i="7" s="1"/>
  <c r="AN35" i="7" s="1"/>
  <c r="AO35" i="7" s="1"/>
  <c r="AP35" i="7" s="1"/>
  <c r="AQ35" i="7" s="1"/>
  <c r="AR35" i="7" s="1"/>
  <c r="AS35" i="7" s="1"/>
  <c r="AT35" i="7" s="1"/>
  <c r="AU35" i="7" s="1"/>
  <c r="AV35" i="7" s="1"/>
  <c r="AW35" i="7" s="1"/>
  <c r="AX35" i="7" s="1"/>
  <c r="AY35" i="7" s="1"/>
  <c r="AZ35" i="7" s="1"/>
  <c r="BA35" i="7" s="1"/>
  <c r="BB35" i="7" s="1"/>
  <c r="BC35" i="7" s="1"/>
  <c r="D53" i="4"/>
  <c r="BD60" i="5"/>
  <c r="E60" i="4"/>
  <c r="E60" i="11"/>
  <c r="D60" i="11"/>
  <c r="D60" i="4"/>
  <c r="C33" i="7"/>
  <c r="C42" i="7" s="1"/>
  <c r="M60" i="4"/>
  <c r="M60" i="11"/>
  <c r="L60" i="11"/>
  <c r="L60" i="4"/>
  <c r="O38" i="6"/>
  <c r="I60" i="4"/>
  <c r="I60" i="11"/>
  <c r="H60" i="11"/>
  <c r="H60" i="4"/>
  <c r="D64" i="10"/>
  <c r="E64" i="10" s="1"/>
  <c r="F64" i="10" s="1"/>
  <c r="G64" i="10" s="1"/>
  <c r="H53" i="4"/>
  <c r="P75" i="10"/>
  <c r="P76" i="10" s="1"/>
  <c r="Q5" i="10"/>
  <c r="Q12" i="10" s="1"/>
  <c r="F53" i="4"/>
  <c r="C13" i="6"/>
  <c r="C70" i="5"/>
  <c r="C71" i="5" s="1"/>
  <c r="L70" i="5"/>
  <c r="D35" i="6"/>
  <c r="E35" i="6" s="1"/>
  <c r="F35" i="6" s="1"/>
  <c r="G35" i="6" s="1"/>
  <c r="H35" i="6" s="1"/>
  <c r="I35" i="6" s="1"/>
  <c r="J35" i="6" s="1"/>
  <c r="K35" i="6" s="1"/>
  <c r="L35" i="6" s="1"/>
  <c r="M35" i="6" s="1"/>
  <c r="N35" i="6" s="1"/>
  <c r="C53" i="4"/>
  <c r="C59" i="5"/>
  <c r="C58" i="5"/>
  <c r="J53" i="4"/>
  <c r="I53" i="4"/>
  <c r="G53" i="4"/>
  <c r="O38" i="4"/>
  <c r="O39" i="4" s="1"/>
  <c r="O30" i="4"/>
  <c r="E53" i="4"/>
  <c r="AA70" i="5"/>
  <c r="AA71" i="5" s="1"/>
  <c r="AQ70" i="5"/>
  <c r="AQ71" i="5" s="1"/>
  <c r="AC70" i="5"/>
  <c r="AC71" i="5" s="1"/>
  <c r="AG70" i="5"/>
  <c r="AG71" i="5" s="1"/>
  <c r="W70" i="5"/>
  <c r="W71" i="5" s="1"/>
  <c r="AM70" i="5"/>
  <c r="AM71" i="5" s="1"/>
  <c r="AN70" i="5"/>
  <c r="AN71" i="5" s="1"/>
  <c r="X70" i="5"/>
  <c r="X71" i="5" s="1"/>
  <c r="AP70" i="5"/>
  <c r="AP71" i="5" s="1"/>
  <c r="AD70" i="5"/>
  <c r="AD71" i="5" s="1"/>
  <c r="V70" i="5"/>
  <c r="V71" i="5" s="1"/>
  <c r="AO70" i="5"/>
  <c r="AO71" i="5" s="1"/>
  <c r="Y70" i="5"/>
  <c r="Y71" i="5" s="1"/>
  <c r="AE70" i="5"/>
  <c r="AE71" i="5" s="1"/>
  <c r="AK70" i="5"/>
  <c r="AK71" i="5" s="1"/>
  <c r="AI70" i="5"/>
  <c r="AI71" i="5" s="1"/>
  <c r="AJ70" i="5"/>
  <c r="AJ71" i="5" s="1"/>
  <c r="AB70" i="5"/>
  <c r="AB71" i="5" s="1"/>
  <c r="AH70" i="5"/>
  <c r="AH71" i="5" s="1"/>
  <c r="Z70" i="5"/>
  <c r="Z71" i="5" s="1"/>
  <c r="AF70" i="5"/>
  <c r="AF71" i="5" s="1"/>
  <c r="AL70" i="5"/>
  <c r="AL71" i="5" s="1"/>
  <c r="N53" i="4"/>
  <c r="M53" i="4"/>
  <c r="M53" i="13" s="1"/>
  <c r="AU70" i="5"/>
  <c r="AU71" i="5" s="1"/>
  <c r="AT70" i="5"/>
  <c r="AT71" i="5" s="1"/>
  <c r="BB70" i="5"/>
  <c r="BB71" i="5" s="1"/>
  <c r="AV70" i="5"/>
  <c r="AV71" i="5" s="1"/>
  <c r="AS70" i="5"/>
  <c r="AS71" i="5" s="1"/>
  <c r="AR70" i="5"/>
  <c r="AR71" i="5" s="1"/>
  <c r="T70" i="5"/>
  <c r="T71" i="5" s="1"/>
  <c r="U70" i="5"/>
  <c r="U71" i="5" s="1"/>
  <c r="D75" i="5"/>
  <c r="D76" i="5" s="1"/>
  <c r="E5" i="5"/>
  <c r="E12" i="5" s="1"/>
  <c r="E5" i="7" s="1"/>
  <c r="D5" i="4" l="1"/>
  <c r="BD59" i="5"/>
  <c r="C5" i="6"/>
  <c r="C28" i="14"/>
  <c r="E28" i="14" s="1"/>
  <c r="O67" i="13"/>
  <c r="C39" i="13"/>
  <c r="O38" i="13"/>
  <c r="C31" i="14" s="1"/>
  <c r="E31" i="14" s="1"/>
  <c r="O17" i="13"/>
  <c r="O55" i="13"/>
  <c r="O34" i="13"/>
  <c r="O66" i="13"/>
  <c r="E57" i="4"/>
  <c r="E68" i="4" s="1"/>
  <c r="E53" i="13"/>
  <c r="H57" i="4"/>
  <c r="H68" i="4" s="1"/>
  <c r="H53" i="13"/>
  <c r="D57" i="4"/>
  <c r="D58" i="4" s="1"/>
  <c r="D53" i="13"/>
  <c r="G57" i="4"/>
  <c r="G58" i="4" s="1"/>
  <c r="G53" i="13"/>
  <c r="C57" i="4"/>
  <c r="C57" i="13" s="1"/>
  <c r="B38" i="14" s="1"/>
  <c r="C53" i="13"/>
  <c r="C33" i="6"/>
  <c r="C42" i="6" s="1"/>
  <c r="C45" i="6" s="1"/>
  <c r="I57" i="4"/>
  <c r="I68" i="4" s="1"/>
  <c r="I53" i="13"/>
  <c r="J57" i="4"/>
  <c r="J68" i="4" s="1"/>
  <c r="J53" i="13"/>
  <c r="K57" i="4"/>
  <c r="K58" i="4" s="1"/>
  <c r="K53" i="13"/>
  <c r="F57" i="4"/>
  <c r="F58" i="4" s="1"/>
  <c r="F53" i="13"/>
  <c r="O9" i="6"/>
  <c r="N57" i="4"/>
  <c r="N53" i="13"/>
  <c r="L68" i="13"/>
  <c r="L53" i="13"/>
  <c r="O30" i="13"/>
  <c r="D12" i="4"/>
  <c r="D5" i="13"/>
  <c r="E13" i="4"/>
  <c r="E13" i="13" s="1"/>
  <c r="C36" i="7"/>
  <c r="C62" i="10"/>
  <c r="C62" i="5"/>
  <c r="D7" i="7"/>
  <c r="D11" i="7" s="1"/>
  <c r="D33" i="7" s="1"/>
  <c r="D42" i="7" s="1"/>
  <c r="D62" i="10" s="1"/>
  <c r="H64" i="10"/>
  <c r="I64" i="10" s="1"/>
  <c r="J64" i="10" s="1"/>
  <c r="K64" i="10" s="1"/>
  <c r="C64" i="11"/>
  <c r="D64" i="11" s="1"/>
  <c r="E64" i="11" s="1"/>
  <c r="F64" i="11" s="1"/>
  <c r="G64" i="11" s="1"/>
  <c r="H64" i="11" s="1"/>
  <c r="I64" i="11" s="1"/>
  <c r="J64" i="11" s="1"/>
  <c r="K64" i="11" s="1"/>
  <c r="L64" i="11" s="1"/>
  <c r="M64" i="11" s="1"/>
  <c r="N64" i="11" s="1"/>
  <c r="Q75" i="10"/>
  <c r="Q76" i="10" s="1"/>
  <c r="R5" i="10"/>
  <c r="R12" i="10" s="1"/>
  <c r="O13" i="6"/>
  <c r="D64" i="5"/>
  <c r="D43" i="7" s="1"/>
  <c r="AY70" i="5"/>
  <c r="AY71" i="5" s="1"/>
  <c r="AX70" i="5"/>
  <c r="AX71" i="5" s="1"/>
  <c r="AW70" i="5"/>
  <c r="AW71" i="5" s="1"/>
  <c r="BA70" i="5"/>
  <c r="BA71" i="5" s="1"/>
  <c r="AZ70" i="5"/>
  <c r="AZ71" i="5" s="1"/>
  <c r="M57" i="4"/>
  <c r="O53" i="4"/>
  <c r="S70" i="5"/>
  <c r="S71" i="5" s="1"/>
  <c r="O70" i="5"/>
  <c r="O71" i="5" s="1"/>
  <c r="R70" i="5"/>
  <c r="R71" i="5" s="1"/>
  <c r="Q70" i="5"/>
  <c r="Q71" i="5" s="1"/>
  <c r="P70" i="5"/>
  <c r="P71" i="5" s="1"/>
  <c r="K70" i="5"/>
  <c r="K71" i="5" s="1"/>
  <c r="L71" i="5"/>
  <c r="N70" i="5"/>
  <c r="N71" i="5" s="1"/>
  <c r="M70" i="5"/>
  <c r="M71" i="5" s="1"/>
  <c r="G70" i="5"/>
  <c r="G71" i="5" s="1"/>
  <c r="J70" i="5"/>
  <c r="J71" i="5" s="1"/>
  <c r="I70" i="5"/>
  <c r="I71" i="5" s="1"/>
  <c r="H70" i="5"/>
  <c r="H71" i="5" s="1"/>
  <c r="F70" i="5"/>
  <c r="F71" i="5" s="1"/>
  <c r="E70" i="5"/>
  <c r="E71" i="5" s="1"/>
  <c r="D70" i="5"/>
  <c r="D71" i="5" s="1"/>
  <c r="E75" i="5"/>
  <c r="E76" i="5" s="1"/>
  <c r="F5" i="5"/>
  <c r="F12" i="5" s="1"/>
  <c r="F5" i="7" s="1"/>
  <c r="F68" i="4" l="1"/>
  <c r="E58" i="4"/>
  <c r="D68" i="4"/>
  <c r="G68" i="4"/>
  <c r="N59" i="4"/>
  <c r="N58" i="4"/>
  <c r="H58" i="4"/>
  <c r="C59" i="4"/>
  <c r="C32" i="14"/>
  <c r="E32" i="14" s="1"/>
  <c r="C26" i="14"/>
  <c r="E26" i="14" s="1"/>
  <c r="O18" i="13"/>
  <c r="C62" i="4"/>
  <c r="C36" i="6"/>
  <c r="I58" i="4"/>
  <c r="J59" i="4"/>
  <c r="J57" i="13"/>
  <c r="I38" i="14" s="1"/>
  <c r="D5" i="6"/>
  <c r="D12" i="13"/>
  <c r="I59" i="4"/>
  <c r="I57" i="13"/>
  <c r="H38" i="14" s="1"/>
  <c r="G59" i="4"/>
  <c r="G57" i="13"/>
  <c r="F38" i="14" s="1"/>
  <c r="D59" i="4"/>
  <c r="D57" i="13"/>
  <c r="C38" i="14" s="1"/>
  <c r="H59" i="4"/>
  <c r="H57" i="13"/>
  <c r="G38" i="14" s="1"/>
  <c r="J58" i="4"/>
  <c r="C68" i="13"/>
  <c r="C59" i="13"/>
  <c r="C58" i="13"/>
  <c r="C62" i="13"/>
  <c r="F59" i="4"/>
  <c r="F57" i="13"/>
  <c r="E38" i="14" s="1"/>
  <c r="K59" i="4"/>
  <c r="K57" i="13"/>
  <c r="J38" i="14" s="1"/>
  <c r="C58" i="4"/>
  <c r="K68" i="4"/>
  <c r="C62" i="11"/>
  <c r="C68" i="4"/>
  <c r="D7" i="6"/>
  <c r="D11" i="6" s="1"/>
  <c r="D33" i="6" s="1"/>
  <c r="D42" i="6" s="1"/>
  <c r="D62" i="13" s="1"/>
  <c r="E59" i="4"/>
  <c r="E57" i="13"/>
  <c r="D38" i="14" s="1"/>
  <c r="N68" i="4"/>
  <c r="N57" i="13"/>
  <c r="M59" i="4"/>
  <c r="M57" i="13"/>
  <c r="L68" i="4"/>
  <c r="L58" i="4"/>
  <c r="L59" i="4"/>
  <c r="L58" i="13"/>
  <c r="L59" i="13"/>
  <c r="G65" i="10"/>
  <c r="F13" i="4"/>
  <c r="F13" i="13" s="1"/>
  <c r="E5" i="4"/>
  <c r="O53" i="13"/>
  <c r="D62" i="5"/>
  <c r="D36" i="7"/>
  <c r="E7" i="7"/>
  <c r="E11" i="7" s="1"/>
  <c r="E33" i="7" s="1"/>
  <c r="E42" i="7" s="1"/>
  <c r="E36" i="7" s="1"/>
  <c r="L64" i="10"/>
  <c r="M64" i="10" s="1"/>
  <c r="N64" i="10" s="1"/>
  <c r="O64" i="10" s="1"/>
  <c r="K65" i="10"/>
  <c r="R75" i="10"/>
  <c r="R76" i="10" s="1"/>
  <c r="S5" i="10"/>
  <c r="S12" i="10" s="1"/>
  <c r="F75" i="5"/>
  <c r="F76" i="5" s="1"/>
  <c r="M68" i="4"/>
  <c r="M58" i="4"/>
  <c r="O57" i="4"/>
  <c r="E64" i="5"/>
  <c r="E43" i="7" s="1"/>
  <c r="M68" i="13" l="1"/>
  <c r="L38" i="14"/>
  <c r="O59" i="4"/>
  <c r="C21" i="14" s="1"/>
  <c r="C19" i="14"/>
  <c r="D19" i="14" s="1"/>
  <c r="G19" i="14" s="1"/>
  <c r="O58" i="4"/>
  <c r="N58" i="13"/>
  <c r="M38" i="14"/>
  <c r="E59" i="13"/>
  <c r="E58" i="13"/>
  <c r="E68" i="13"/>
  <c r="I59" i="13"/>
  <c r="I58" i="13"/>
  <c r="I68" i="13"/>
  <c r="F58" i="13"/>
  <c r="F59" i="13"/>
  <c r="F68" i="13"/>
  <c r="J58" i="13"/>
  <c r="J59" i="13"/>
  <c r="J68" i="13"/>
  <c r="H58" i="13"/>
  <c r="H59" i="13"/>
  <c r="H68" i="13"/>
  <c r="D59" i="13"/>
  <c r="D58" i="13"/>
  <c r="D68" i="13"/>
  <c r="G58" i="13"/>
  <c r="G59" i="13"/>
  <c r="G68" i="13"/>
  <c r="K59" i="13"/>
  <c r="K58" i="13"/>
  <c r="N68" i="13"/>
  <c r="N59" i="13"/>
  <c r="M58" i="13"/>
  <c r="M59" i="13"/>
  <c r="E12" i="4"/>
  <c r="E12" i="13" s="1"/>
  <c r="E5" i="13"/>
  <c r="G13" i="4"/>
  <c r="G13" i="13" s="1"/>
  <c r="K68" i="13"/>
  <c r="O57" i="13"/>
  <c r="F7" i="7"/>
  <c r="F11" i="7" s="1"/>
  <c r="F33" i="7" s="1"/>
  <c r="F42" i="7" s="1"/>
  <c r="F62" i="5" s="1"/>
  <c r="E62" i="10"/>
  <c r="E62" i="5"/>
  <c r="O65" i="10"/>
  <c r="P64" i="10"/>
  <c r="Q64" i="10" s="1"/>
  <c r="R64" i="10" s="1"/>
  <c r="S64" i="10" s="1"/>
  <c r="D62" i="11"/>
  <c r="D62" i="4"/>
  <c r="D45" i="6"/>
  <c r="E7" i="6"/>
  <c r="E11" i="6" s="1"/>
  <c r="E33" i="6" s="1"/>
  <c r="E42" i="6" s="1"/>
  <c r="D36" i="6"/>
  <c r="S75" i="10"/>
  <c r="S76" i="10" s="1"/>
  <c r="T5" i="10"/>
  <c r="T12" i="10" s="1"/>
  <c r="U5" i="10" s="1"/>
  <c r="G5" i="5"/>
  <c r="F64" i="5"/>
  <c r="C9" i="14" l="1"/>
  <c r="O58" i="13"/>
  <c r="C12" i="14" s="1"/>
  <c r="O59" i="13"/>
  <c r="C10" i="14" s="1"/>
  <c r="O68" i="13"/>
  <c r="H13" i="4"/>
  <c r="H13" i="13" s="1"/>
  <c r="E62" i="11"/>
  <c r="E62" i="13"/>
  <c r="E5" i="6"/>
  <c r="E36" i="6" s="1"/>
  <c r="F5" i="4"/>
  <c r="F36" i="7"/>
  <c r="G7" i="7"/>
  <c r="G11" i="7" s="1"/>
  <c r="G33" i="7" s="1"/>
  <c r="G42" i="7" s="1"/>
  <c r="G62" i="10" s="1"/>
  <c r="G63" i="10" s="1"/>
  <c r="F62" i="10"/>
  <c r="S65" i="10"/>
  <c r="T64" i="10"/>
  <c r="U64" i="10" s="1"/>
  <c r="V64" i="10" s="1"/>
  <c r="W64" i="10" s="1"/>
  <c r="X64" i="10" s="1"/>
  <c r="X65" i="10" s="1"/>
  <c r="E45" i="6"/>
  <c r="F7" i="6"/>
  <c r="F11" i="6" s="1"/>
  <c r="F33" i="6" s="1"/>
  <c r="E62" i="4"/>
  <c r="G64" i="5"/>
  <c r="F43" i="7"/>
  <c r="T75" i="10"/>
  <c r="T76" i="10" s="1"/>
  <c r="U12" i="10"/>
  <c r="G12" i="5"/>
  <c r="G5" i="7" s="1"/>
  <c r="F12" i="4" l="1"/>
  <c r="F12" i="13" s="1"/>
  <c r="F5" i="13"/>
  <c r="G43" i="7"/>
  <c r="G44" i="7" s="1"/>
  <c r="I13" i="4"/>
  <c r="I13" i="13" s="1"/>
  <c r="G62" i="5"/>
  <c r="G63" i="5" s="1"/>
  <c r="G41" i="7"/>
  <c r="H7" i="7"/>
  <c r="H11" i="7" s="1"/>
  <c r="H33" i="7" s="1"/>
  <c r="H42" i="7" s="1"/>
  <c r="H62" i="5" s="1"/>
  <c r="Y64" i="10"/>
  <c r="Z64" i="10" s="1"/>
  <c r="AA64" i="10" s="1"/>
  <c r="AB64" i="10" s="1"/>
  <c r="AB65" i="10" s="1"/>
  <c r="F42" i="6"/>
  <c r="V5" i="10"/>
  <c r="U75" i="10"/>
  <c r="U76" i="10" s="1"/>
  <c r="V12" i="10"/>
  <c r="H5" i="5"/>
  <c r="H12" i="5" s="1"/>
  <c r="H5" i="7" s="1"/>
  <c r="G75" i="5"/>
  <c r="G76" i="5" s="1"/>
  <c r="G36" i="7"/>
  <c r="G37" i="7" s="1"/>
  <c r="C64" i="4"/>
  <c r="H64" i="5"/>
  <c r="H43" i="7" s="1"/>
  <c r="C43" i="6" l="1"/>
  <c r="C64" i="13"/>
  <c r="F62" i="11"/>
  <c r="F62" i="13"/>
  <c r="J13" i="4"/>
  <c r="J13" i="13" s="1"/>
  <c r="F5" i="6"/>
  <c r="F36" i="6" s="1"/>
  <c r="G5" i="4"/>
  <c r="AC64" i="10"/>
  <c r="AD64" i="10" s="1"/>
  <c r="AE64" i="10" s="1"/>
  <c r="AF64" i="10" s="1"/>
  <c r="AG64" i="10" s="1"/>
  <c r="AH64" i="10" s="1"/>
  <c r="AI64" i="10" s="1"/>
  <c r="AJ64" i="10" s="1"/>
  <c r="AK64" i="10" s="1"/>
  <c r="I7" i="7"/>
  <c r="I11" i="7" s="1"/>
  <c r="I33" i="7" s="1"/>
  <c r="I42" i="7" s="1"/>
  <c r="I62" i="5" s="1"/>
  <c r="H62" i="10"/>
  <c r="F45" i="6"/>
  <c r="F62" i="4"/>
  <c r="G7" i="6"/>
  <c r="G11" i="6" s="1"/>
  <c r="G33" i="6" s="1"/>
  <c r="G65" i="5"/>
  <c r="V75" i="10"/>
  <c r="V76" i="10" s="1"/>
  <c r="W5" i="10"/>
  <c r="W12" i="10" s="1"/>
  <c r="I5" i="5"/>
  <c r="I12" i="5" s="1"/>
  <c r="I5" i="7" s="1"/>
  <c r="H36" i="7"/>
  <c r="H75" i="5"/>
  <c r="H76" i="5" s="1"/>
  <c r="I64" i="5"/>
  <c r="I43" i="7" s="1"/>
  <c r="D64" i="4"/>
  <c r="D43" i="6" l="1"/>
  <c r="D64" i="13"/>
  <c r="G12" i="4"/>
  <c r="G12" i="13" s="1"/>
  <c r="G5" i="13"/>
  <c r="K13" i="4"/>
  <c r="K13" i="13" s="1"/>
  <c r="I62" i="10"/>
  <c r="AF65" i="10"/>
  <c r="J7" i="7"/>
  <c r="J11" i="7" s="1"/>
  <c r="J33" i="7" s="1"/>
  <c r="J42" i="7" s="1"/>
  <c r="J62" i="10" s="1"/>
  <c r="G42" i="6"/>
  <c r="G62" i="13" s="1"/>
  <c r="AL64" i="10"/>
  <c r="AM64" i="10" s="1"/>
  <c r="AN64" i="10" s="1"/>
  <c r="AO64" i="10" s="1"/>
  <c r="AK65" i="10"/>
  <c r="W75" i="10"/>
  <c r="W76" i="10" s="1"/>
  <c r="X5" i="10"/>
  <c r="X12" i="10" s="1"/>
  <c r="I75" i="5"/>
  <c r="I76" i="5" s="1"/>
  <c r="J5" i="5"/>
  <c r="J12" i="5" s="1"/>
  <c r="J5" i="7" s="1"/>
  <c r="I36" i="7"/>
  <c r="E64" i="4"/>
  <c r="J64" i="5"/>
  <c r="J43" i="7" s="1"/>
  <c r="E43" i="6" l="1"/>
  <c r="E64" i="13"/>
  <c r="L13" i="4"/>
  <c r="L13" i="13" s="1"/>
  <c r="G5" i="6"/>
  <c r="G36" i="6" s="1"/>
  <c r="H5" i="4"/>
  <c r="J62" i="5"/>
  <c r="K7" i="7"/>
  <c r="K11" i="7" s="1"/>
  <c r="K33" i="7" s="1"/>
  <c r="K42" i="7" s="1"/>
  <c r="K62" i="10" s="1"/>
  <c r="K63" i="10" s="1"/>
  <c r="G45" i="6"/>
  <c r="H7" i="6"/>
  <c r="H11" i="6" s="1"/>
  <c r="H33" i="6" s="1"/>
  <c r="H42" i="6" s="1"/>
  <c r="H62" i="13" s="1"/>
  <c r="G62" i="4"/>
  <c r="G62" i="11"/>
  <c r="AP64" i="10"/>
  <c r="AQ64" i="10" s="1"/>
  <c r="AR64" i="10" s="1"/>
  <c r="AS64" i="10" s="1"/>
  <c r="AT64" i="10" s="1"/>
  <c r="AO65" i="10"/>
  <c r="X75" i="10"/>
  <c r="X76" i="10" s="1"/>
  <c r="Y5" i="10"/>
  <c r="Y12" i="10" s="1"/>
  <c r="J75" i="5"/>
  <c r="J76" i="5" s="1"/>
  <c r="J36" i="7"/>
  <c r="K5" i="5"/>
  <c r="K12" i="5" s="1"/>
  <c r="K5" i="7" s="1"/>
  <c r="K64" i="5"/>
  <c r="F64" i="4"/>
  <c r="F43" i="6" l="1"/>
  <c r="F64" i="13"/>
  <c r="H12" i="4"/>
  <c r="H12" i="13" s="1"/>
  <c r="H5" i="13"/>
  <c r="M13" i="4"/>
  <c r="M13" i="13" s="1"/>
  <c r="K43" i="7"/>
  <c r="K44" i="7" s="1"/>
  <c r="K65" i="5"/>
  <c r="K62" i="5"/>
  <c r="K63" i="5" s="1"/>
  <c r="K41" i="7"/>
  <c r="L7" i="7"/>
  <c r="L11" i="7" s="1"/>
  <c r="L33" i="7" s="1"/>
  <c r="L42" i="7" s="1"/>
  <c r="L62" i="10" s="1"/>
  <c r="H45" i="6"/>
  <c r="H62" i="11"/>
  <c r="H62" i="4"/>
  <c r="I7" i="6"/>
  <c r="I11" i="6" s="1"/>
  <c r="I33" i="6" s="1"/>
  <c r="I42" i="6" s="1"/>
  <c r="I62" i="13" s="1"/>
  <c r="AU64" i="10"/>
  <c r="AV64" i="10" s="1"/>
  <c r="AW64" i="10" s="1"/>
  <c r="AX64" i="10" s="1"/>
  <c r="AT65" i="10"/>
  <c r="Y75" i="10"/>
  <c r="Y76" i="10" s="1"/>
  <c r="Z5" i="10"/>
  <c r="Z12" i="10" s="1"/>
  <c r="K36" i="7"/>
  <c r="K37" i="7" s="1"/>
  <c r="K75" i="5"/>
  <c r="K76" i="5" s="1"/>
  <c r="L5" i="5"/>
  <c r="L12" i="5" s="1"/>
  <c r="L5" i="7" s="1"/>
  <c r="L64" i="5"/>
  <c r="L43" i="7" s="1"/>
  <c r="G64" i="4"/>
  <c r="G43" i="6" l="1"/>
  <c r="G64" i="13"/>
  <c r="N13" i="4"/>
  <c r="H5" i="6"/>
  <c r="H36" i="6" s="1"/>
  <c r="I5" i="4"/>
  <c r="L62" i="5"/>
  <c r="M7" i="7"/>
  <c r="M11" i="7" s="1"/>
  <c r="M33" i="7" s="1"/>
  <c r="M42" i="7" s="1"/>
  <c r="M62" i="10" s="1"/>
  <c r="I45" i="6"/>
  <c r="I62" i="4"/>
  <c r="J7" i="6"/>
  <c r="J11" i="6" s="1"/>
  <c r="J33" i="6" s="1"/>
  <c r="J42" i="6" s="1"/>
  <c r="J62" i="13" s="1"/>
  <c r="I62" i="11"/>
  <c r="AY64" i="10"/>
  <c r="AZ64" i="10" s="1"/>
  <c r="BA64" i="10" s="1"/>
  <c r="BB64" i="10" s="1"/>
  <c r="BC64" i="10" s="1"/>
  <c r="BD64" i="10" s="1"/>
  <c r="AX65" i="10"/>
  <c r="Z75" i="10"/>
  <c r="Z76" i="10" s="1"/>
  <c r="AA5" i="10"/>
  <c r="AA12" i="10" s="1"/>
  <c r="L75" i="5"/>
  <c r="L76" i="5" s="1"/>
  <c r="M5" i="5"/>
  <c r="M12" i="5" s="1"/>
  <c r="M5" i="7" s="1"/>
  <c r="L36" i="7"/>
  <c r="H64" i="4"/>
  <c r="M64" i="5"/>
  <c r="M43" i="7" s="1"/>
  <c r="N13" i="13" l="1"/>
  <c r="O13" i="4"/>
  <c r="H43" i="6"/>
  <c r="H64" i="13"/>
  <c r="M62" i="5"/>
  <c r="I12" i="4"/>
  <c r="I12" i="13" s="1"/>
  <c r="I5" i="13"/>
  <c r="N7" i="7"/>
  <c r="N11" i="7" s="1"/>
  <c r="N33" i="7" s="1"/>
  <c r="N42" i="7" s="1"/>
  <c r="N62" i="10" s="1"/>
  <c r="J62" i="11"/>
  <c r="K7" i="6"/>
  <c r="J45" i="6"/>
  <c r="J62" i="4"/>
  <c r="AA75" i="10"/>
  <c r="AA76" i="10" s="1"/>
  <c r="AB5" i="10"/>
  <c r="AB12" i="10" s="1"/>
  <c r="M36" i="7"/>
  <c r="M75" i="5"/>
  <c r="M76" i="5" s="1"/>
  <c r="N5" i="5"/>
  <c r="N12" i="5" s="1"/>
  <c r="N5" i="7" s="1"/>
  <c r="I64" i="4"/>
  <c r="N64" i="5"/>
  <c r="N43" i="7" s="1"/>
  <c r="I43" i="6" l="1"/>
  <c r="I64" i="13"/>
  <c r="I5" i="6"/>
  <c r="I36" i="6" s="1"/>
  <c r="J5" i="4"/>
  <c r="K11" i="6"/>
  <c r="K33" i="6" s="1"/>
  <c r="K42" i="6" s="1"/>
  <c r="K62" i="13" s="1"/>
  <c r="N62" i="5"/>
  <c r="O7" i="7"/>
  <c r="O11" i="7" s="1"/>
  <c r="O33" i="7" s="1"/>
  <c r="O42" i="7" s="1"/>
  <c r="O62" i="10" s="1"/>
  <c r="O63" i="10" s="1"/>
  <c r="AB75" i="10"/>
  <c r="AB76" i="10" s="1"/>
  <c r="AC5" i="10"/>
  <c r="AC12" i="10" s="1"/>
  <c r="N36" i="7"/>
  <c r="N75" i="5"/>
  <c r="N76" i="5" s="1"/>
  <c r="O5" i="5"/>
  <c r="O12" i="5" s="1"/>
  <c r="O5" i="7" s="1"/>
  <c r="O64" i="5"/>
  <c r="J64" i="4"/>
  <c r="J43" i="6" l="1"/>
  <c r="J64" i="13"/>
  <c r="J12" i="4"/>
  <c r="J12" i="13" s="1"/>
  <c r="J5" i="13"/>
  <c r="O62" i="5"/>
  <c r="O63" i="5" s="1"/>
  <c r="K62" i="11"/>
  <c r="K62" i="4"/>
  <c r="L7" i="6"/>
  <c r="L11" i="6" s="1"/>
  <c r="L33" i="6" s="1"/>
  <c r="L42" i="6" s="1"/>
  <c r="M7" i="6" s="1"/>
  <c r="M11" i="6" s="1"/>
  <c r="M33" i="6" s="1"/>
  <c r="M42" i="6" s="1"/>
  <c r="M62" i="13" s="1"/>
  <c r="K45" i="6"/>
  <c r="O41" i="7"/>
  <c r="P7" i="7"/>
  <c r="P11" i="7" s="1"/>
  <c r="P33" i="7" s="1"/>
  <c r="P42" i="7" s="1"/>
  <c r="P62" i="10" s="1"/>
  <c r="P64" i="5"/>
  <c r="P43" i="7" s="1"/>
  <c r="O43" i="7"/>
  <c r="O44" i="7" s="1"/>
  <c r="AC75" i="10"/>
  <c r="AC76" i="10" s="1"/>
  <c r="AD5" i="10"/>
  <c r="AD12" i="10" s="1"/>
  <c r="O75" i="5"/>
  <c r="O76" i="5" s="1"/>
  <c r="P5" i="5"/>
  <c r="P12" i="5" s="1"/>
  <c r="P5" i="7" s="1"/>
  <c r="O36" i="7"/>
  <c r="O65" i="5"/>
  <c r="K64" i="4"/>
  <c r="K43" i="6" l="1"/>
  <c r="K64" i="13"/>
  <c r="L62" i="4"/>
  <c r="J5" i="6"/>
  <c r="J36" i="6" s="1"/>
  <c r="K5" i="4"/>
  <c r="L62" i="11"/>
  <c r="L62" i="13"/>
  <c r="L45" i="6"/>
  <c r="P62" i="5"/>
  <c r="Q7" i="7"/>
  <c r="Q11" i="7" s="1"/>
  <c r="Q33" i="7" s="1"/>
  <c r="Q42" i="7" s="1"/>
  <c r="Q62" i="10" s="1"/>
  <c r="M62" i="11"/>
  <c r="M62" i="4"/>
  <c r="N7" i="6"/>
  <c r="M45" i="6"/>
  <c r="AD75" i="10"/>
  <c r="AD76" i="10" s="1"/>
  <c r="AE5" i="10"/>
  <c r="AE12" i="10" s="1"/>
  <c r="P75" i="5"/>
  <c r="P76" i="5" s="1"/>
  <c r="Q5" i="5"/>
  <c r="Q12" i="5" s="1"/>
  <c r="Q5" i="7" s="1"/>
  <c r="P36" i="7"/>
  <c r="L64" i="4"/>
  <c r="Q64" i="5"/>
  <c r="Q43" i="7" s="1"/>
  <c r="N11" i="6" l="1"/>
  <c r="N33" i="6" s="1"/>
  <c r="N42" i="6" s="1"/>
  <c r="L43" i="6"/>
  <c r="L64" i="13"/>
  <c r="K12" i="4"/>
  <c r="K12" i="13" s="1"/>
  <c r="K5" i="13"/>
  <c r="R7" i="7"/>
  <c r="R11" i="7" s="1"/>
  <c r="R33" i="7" s="1"/>
  <c r="R42" i="7" s="1"/>
  <c r="R62" i="5" s="1"/>
  <c r="Q62" i="5"/>
  <c r="AE75" i="10"/>
  <c r="AE76" i="10" s="1"/>
  <c r="AF5" i="10"/>
  <c r="AF12" i="10" s="1"/>
  <c r="R5" i="5"/>
  <c r="R5" i="7" s="1"/>
  <c r="Q36" i="7"/>
  <c r="Q75" i="5"/>
  <c r="Q76" i="5" s="1"/>
  <c r="M64" i="4"/>
  <c r="N64" i="4" s="1"/>
  <c r="R64" i="5"/>
  <c r="R43" i="7" s="1"/>
  <c r="N62" i="13" l="1"/>
  <c r="N62" i="4"/>
  <c r="N45" i="6"/>
  <c r="N62" i="11"/>
  <c r="M43" i="6"/>
  <c r="M64" i="13"/>
  <c r="S7" i="7"/>
  <c r="S11" i="7" s="1"/>
  <c r="S33" i="7" s="1"/>
  <c r="S42" i="7" s="1"/>
  <c r="T7" i="7" s="1"/>
  <c r="T11" i="7" s="1"/>
  <c r="T33" i="7" s="1"/>
  <c r="T42" i="7" s="1"/>
  <c r="R62" i="10"/>
  <c r="K5" i="6"/>
  <c r="K36" i="6" s="1"/>
  <c r="L5" i="4"/>
  <c r="AF75" i="10"/>
  <c r="AF76" i="10" s="1"/>
  <c r="AG5" i="10"/>
  <c r="AG12" i="10" s="1"/>
  <c r="R36" i="7"/>
  <c r="S5" i="5"/>
  <c r="S12" i="5" s="1"/>
  <c r="S5" i="7" s="1"/>
  <c r="R75" i="5"/>
  <c r="R76" i="5" s="1"/>
  <c r="S64" i="5"/>
  <c r="S43" i="7" s="1"/>
  <c r="S41" i="7" l="1"/>
  <c r="S62" i="10"/>
  <c r="S63" i="10" s="1"/>
  <c r="S62" i="5"/>
  <c r="S63" i="5" s="1"/>
  <c r="N43" i="6"/>
  <c r="N64" i="13"/>
  <c r="L12" i="4"/>
  <c r="L12" i="13" s="1"/>
  <c r="L5" i="13"/>
  <c r="T62" i="5"/>
  <c r="T62" i="10"/>
  <c r="AG75" i="10"/>
  <c r="AG76" i="10" s="1"/>
  <c r="AH5" i="10"/>
  <c r="AH12" i="10" s="1"/>
  <c r="U7" i="7"/>
  <c r="U11" i="7" s="1"/>
  <c r="U33" i="7" s="1"/>
  <c r="U42" i="7" s="1"/>
  <c r="T5" i="5"/>
  <c r="T12" i="5" s="1"/>
  <c r="T5" i="7" s="1"/>
  <c r="T36" i="7" s="1"/>
  <c r="S36" i="7"/>
  <c r="S75" i="5"/>
  <c r="S76" i="5" s="1"/>
  <c r="S44" i="7"/>
  <c r="S65" i="5"/>
  <c r="T64" i="5"/>
  <c r="T43" i="7" s="1"/>
  <c r="U62" i="5" l="1"/>
  <c r="L5" i="6"/>
  <c r="L36" i="6" s="1"/>
  <c r="M5" i="4"/>
  <c r="U62" i="10"/>
  <c r="AH75" i="10"/>
  <c r="AH76" i="10" s="1"/>
  <c r="AI5" i="10"/>
  <c r="AI12" i="10" s="1"/>
  <c r="V7" i="7"/>
  <c r="V11" i="7" s="1"/>
  <c r="T75" i="5"/>
  <c r="T76" i="5" s="1"/>
  <c r="U5" i="5"/>
  <c r="U12" i="5" s="1"/>
  <c r="U5" i="7" s="1"/>
  <c r="U36" i="7" s="1"/>
  <c r="U64" i="5"/>
  <c r="U43" i="7" s="1"/>
  <c r="V33" i="7" l="1"/>
  <c r="V42" i="7" s="1"/>
  <c r="M12" i="4"/>
  <c r="M12" i="13" s="1"/>
  <c r="M5" i="13"/>
  <c r="AI75" i="10"/>
  <c r="AI76" i="10" s="1"/>
  <c r="AJ5" i="10"/>
  <c r="AJ12" i="10" s="1"/>
  <c r="U75" i="5"/>
  <c r="U76" i="5" s="1"/>
  <c r="V5" i="5"/>
  <c r="V12" i="5" s="1"/>
  <c r="V5" i="7" s="1"/>
  <c r="V64" i="5"/>
  <c r="V43" i="7" s="1"/>
  <c r="V62" i="5" l="1"/>
  <c r="W7" i="7"/>
  <c r="W11" i="7" s="1"/>
  <c r="V62" i="10"/>
  <c r="M5" i="6"/>
  <c r="M36" i="6" s="1"/>
  <c r="N5" i="4"/>
  <c r="O5" i="4" s="1"/>
  <c r="AJ75" i="10"/>
  <c r="AJ76" i="10" s="1"/>
  <c r="AK5" i="10"/>
  <c r="AK12" i="10" s="1"/>
  <c r="V36" i="7"/>
  <c r="V75" i="5"/>
  <c r="V76" i="5" s="1"/>
  <c r="W5" i="5"/>
  <c r="W12" i="5" s="1"/>
  <c r="W5" i="7" s="1"/>
  <c r="W64" i="5"/>
  <c r="W43" i="7" s="1"/>
  <c r="W33" i="7" l="1"/>
  <c r="W42" i="7" s="1"/>
  <c r="N12" i="4"/>
  <c r="O12" i="4" s="1"/>
  <c r="N5" i="13"/>
  <c r="AK75" i="10"/>
  <c r="AK76" i="10" s="1"/>
  <c r="AL5" i="10"/>
  <c r="AL12" i="10" s="1"/>
  <c r="X5" i="5"/>
  <c r="X12" i="5" s="1"/>
  <c r="X5" i="7" s="1"/>
  <c r="W75" i="5"/>
  <c r="W76" i="5" s="1"/>
  <c r="X64" i="5"/>
  <c r="X43" i="7" s="1"/>
  <c r="W62" i="5" l="1"/>
  <c r="W62" i="10"/>
  <c r="X7" i="7"/>
  <c r="X11" i="7" s="1"/>
  <c r="X33" i="7" s="1"/>
  <c r="X42" i="7" s="1"/>
  <c r="X36" i="7" s="1"/>
  <c r="W36" i="7"/>
  <c r="N5" i="6"/>
  <c r="N36" i="6" s="1"/>
  <c r="N12" i="13"/>
  <c r="AL75" i="10"/>
  <c r="AL76" i="10" s="1"/>
  <c r="AM5" i="10"/>
  <c r="AM12" i="10" s="1"/>
  <c r="X75" i="5"/>
  <c r="X76" i="5" s="1"/>
  <c r="Y5" i="5"/>
  <c r="Y12" i="5" s="1"/>
  <c r="Y5" i="7" s="1"/>
  <c r="X44" i="7"/>
  <c r="X65" i="5"/>
  <c r="Y64" i="5"/>
  <c r="Y43" i="7" s="1"/>
  <c r="X41" i="7" l="1"/>
  <c r="X62" i="5"/>
  <c r="X63" i="5" s="1"/>
  <c r="Y7" i="7"/>
  <c r="Y11" i="7" s="1"/>
  <c r="Y33" i="7" s="1"/>
  <c r="Y42" i="7" s="1"/>
  <c r="Y36" i="7" s="1"/>
  <c r="X62" i="10"/>
  <c r="X63" i="10" s="1"/>
  <c r="AM75" i="10"/>
  <c r="AM76" i="10" s="1"/>
  <c r="AN5" i="10"/>
  <c r="AN12" i="10" s="1"/>
  <c r="Y75" i="5"/>
  <c r="Y76" i="5" s="1"/>
  <c r="Z5" i="5"/>
  <c r="Z12" i="5" s="1"/>
  <c r="Z5" i="7" s="1"/>
  <c r="Z64" i="5"/>
  <c r="Z43" i="7" s="1"/>
  <c r="Y62" i="10" l="1"/>
  <c r="Z7" i="7"/>
  <c r="Z11" i="7" s="1"/>
  <c r="Z33" i="7" s="1"/>
  <c r="Z42" i="7" s="1"/>
  <c r="Z36" i="7" s="1"/>
  <c r="Y62" i="5"/>
  <c r="AN75" i="10"/>
  <c r="AN76" i="10" s="1"/>
  <c r="AO5" i="10"/>
  <c r="AO12" i="10" s="1"/>
  <c r="Z75" i="5"/>
  <c r="Z76" i="5" s="1"/>
  <c r="AA5" i="5"/>
  <c r="AA12" i="5" s="1"/>
  <c r="AA5" i="7" s="1"/>
  <c r="AA64" i="5"/>
  <c r="AA43" i="7" s="1"/>
  <c r="Z62" i="5" l="1"/>
  <c r="Z62" i="10"/>
  <c r="AA7" i="7"/>
  <c r="AA11" i="7" s="1"/>
  <c r="AA33" i="7" s="1"/>
  <c r="AA42" i="7" s="1"/>
  <c r="AA36" i="7" s="1"/>
  <c r="AO75" i="10"/>
  <c r="AO76" i="10" s="1"/>
  <c r="AP5" i="10"/>
  <c r="AP12" i="10" s="1"/>
  <c r="AA75" i="5"/>
  <c r="AA76" i="5" s="1"/>
  <c r="AB5" i="5"/>
  <c r="AB12" i="5" s="1"/>
  <c r="AB5" i="7" s="1"/>
  <c r="AB64" i="5"/>
  <c r="AB43" i="7" s="1"/>
  <c r="AA62" i="5" l="1"/>
  <c r="AA62" i="10"/>
  <c r="AB7" i="7"/>
  <c r="AB11" i="7" s="1"/>
  <c r="AB33" i="7" s="1"/>
  <c r="AB42" i="7" s="1"/>
  <c r="AB36" i="7" s="1"/>
  <c r="AP75" i="10"/>
  <c r="AP76" i="10" s="1"/>
  <c r="AQ5" i="10"/>
  <c r="AQ12" i="10" s="1"/>
  <c r="AB75" i="5"/>
  <c r="AB76" i="5" s="1"/>
  <c r="AC5" i="5"/>
  <c r="AC12" i="5" s="1"/>
  <c r="AC5" i="7" s="1"/>
  <c r="AB44" i="7"/>
  <c r="AB65" i="5"/>
  <c r="AC64" i="5"/>
  <c r="AC43" i="7" s="1"/>
  <c r="AB41" i="7" l="1"/>
  <c r="AB62" i="5"/>
  <c r="AB63" i="5" s="1"/>
  <c r="AB62" i="10"/>
  <c r="AB63" i="10" s="1"/>
  <c r="AC7" i="7"/>
  <c r="AC11" i="7" s="1"/>
  <c r="AC33" i="7" s="1"/>
  <c r="AC42" i="7" s="1"/>
  <c r="AQ75" i="10"/>
  <c r="AQ76" i="10" s="1"/>
  <c r="AR5" i="10"/>
  <c r="AR12" i="10" s="1"/>
  <c r="AC75" i="5"/>
  <c r="AC76" i="5" s="1"/>
  <c r="AD5" i="5"/>
  <c r="AD12" i="5" s="1"/>
  <c r="AD5" i="7" s="1"/>
  <c r="AD64" i="5"/>
  <c r="AD43" i="7" s="1"/>
  <c r="AC62" i="5" l="1"/>
  <c r="AC62" i="10"/>
  <c r="AD7" i="7"/>
  <c r="AD11" i="7" s="1"/>
  <c r="AD33" i="7" s="1"/>
  <c r="AD42" i="7" s="1"/>
  <c r="AD36" i="7" s="1"/>
  <c r="AC36" i="7"/>
  <c r="AR75" i="10"/>
  <c r="AR76" i="10" s="1"/>
  <c r="AS5" i="10"/>
  <c r="AS12" i="10" s="1"/>
  <c r="AE5" i="5"/>
  <c r="AE12" i="5" s="1"/>
  <c r="AE5" i="7" s="1"/>
  <c r="AD75" i="5"/>
  <c r="AD76" i="5" s="1"/>
  <c r="AE64" i="5"/>
  <c r="AE43" i="7" s="1"/>
  <c r="AD62" i="5" l="1"/>
  <c r="AD62" i="10"/>
  <c r="AE7" i="7"/>
  <c r="AE11" i="7" s="1"/>
  <c r="AE33" i="7" s="1"/>
  <c r="AE42" i="7" s="1"/>
  <c r="AE36" i="7" s="1"/>
  <c r="AS75" i="10"/>
  <c r="AS76" i="10" s="1"/>
  <c r="AT5" i="10"/>
  <c r="AT12" i="10" s="1"/>
  <c r="AF5" i="5"/>
  <c r="AF12" i="5" s="1"/>
  <c r="AF5" i="7" s="1"/>
  <c r="AE75" i="5"/>
  <c r="AE76" i="5" s="1"/>
  <c r="AF64" i="5"/>
  <c r="AF43" i="7" s="1"/>
  <c r="AE62" i="5" l="1"/>
  <c r="AE62" i="10"/>
  <c r="AF7" i="7"/>
  <c r="AF11" i="7" s="1"/>
  <c r="AF33" i="7" s="1"/>
  <c r="AF42" i="7" s="1"/>
  <c r="AF36" i="7" s="1"/>
  <c r="AT75" i="10"/>
  <c r="AT76" i="10" s="1"/>
  <c r="AU5" i="10"/>
  <c r="AU12" i="10" s="1"/>
  <c r="AG5" i="5"/>
  <c r="AG12" i="5" s="1"/>
  <c r="AG5" i="7" s="1"/>
  <c r="AF75" i="5"/>
  <c r="AF76" i="5" s="1"/>
  <c r="AF44" i="7"/>
  <c r="AF65" i="5"/>
  <c r="AG64" i="5"/>
  <c r="AG43" i="7" s="1"/>
  <c r="AF62" i="5" l="1"/>
  <c r="AF63" i="5" s="1"/>
  <c r="AF62" i="10"/>
  <c r="AF63" i="10" s="1"/>
  <c r="AG7" i="7"/>
  <c r="AG11" i="7" s="1"/>
  <c r="AG33" i="7" s="1"/>
  <c r="AG42" i="7" s="1"/>
  <c r="AG36" i="7" s="1"/>
  <c r="AF41" i="7"/>
  <c r="AU75" i="10"/>
  <c r="AU76" i="10" s="1"/>
  <c r="AV5" i="10"/>
  <c r="AV12" i="10" s="1"/>
  <c r="AG75" i="5"/>
  <c r="AG76" i="5" s="1"/>
  <c r="AH5" i="5"/>
  <c r="AH12" i="5" s="1"/>
  <c r="AH5" i="7" s="1"/>
  <c r="AH64" i="5"/>
  <c r="AH43" i="7" s="1"/>
  <c r="AG62" i="5" l="1"/>
  <c r="AG62" i="10"/>
  <c r="AH7" i="7"/>
  <c r="AH11" i="7" s="1"/>
  <c r="AH33" i="7" s="1"/>
  <c r="AH42" i="7" s="1"/>
  <c r="AH36" i="7" s="1"/>
  <c r="AV75" i="10"/>
  <c r="AV76" i="10" s="1"/>
  <c r="AW5" i="10"/>
  <c r="AW12" i="10" s="1"/>
  <c r="AH75" i="5"/>
  <c r="AH76" i="5" s="1"/>
  <c r="AI5" i="5"/>
  <c r="AI12" i="5" s="1"/>
  <c r="AI5" i="7" s="1"/>
  <c r="AI64" i="5"/>
  <c r="AI43" i="7" s="1"/>
  <c r="AH62" i="5" l="1"/>
  <c r="AH62" i="10"/>
  <c r="AI7" i="7"/>
  <c r="AI11" i="7" s="1"/>
  <c r="AI33" i="7" s="1"/>
  <c r="AI42" i="7" s="1"/>
  <c r="AI36" i="7" s="1"/>
  <c r="AW75" i="10"/>
  <c r="AW76" i="10" s="1"/>
  <c r="AX5" i="10"/>
  <c r="AX12" i="10" s="1"/>
  <c r="AI75" i="5"/>
  <c r="AI76" i="5" s="1"/>
  <c r="AJ5" i="5"/>
  <c r="AJ12" i="5" s="1"/>
  <c r="AJ5" i="7" s="1"/>
  <c r="AJ64" i="5"/>
  <c r="AJ43" i="7" s="1"/>
  <c r="AI62" i="5" l="1"/>
  <c r="AI62" i="10"/>
  <c r="AJ7" i="7"/>
  <c r="AJ11" i="7" s="1"/>
  <c r="AJ33" i="7" s="1"/>
  <c r="AJ42" i="7" s="1"/>
  <c r="AJ36" i="7" s="1"/>
  <c r="AX75" i="10"/>
  <c r="AX76" i="10" s="1"/>
  <c r="AY5" i="10"/>
  <c r="AY12" i="10" s="1"/>
  <c r="AJ75" i="5"/>
  <c r="AJ76" i="5" s="1"/>
  <c r="AK5" i="5"/>
  <c r="AK12" i="5" s="1"/>
  <c r="AK5" i="7" s="1"/>
  <c r="AK64" i="5"/>
  <c r="AK43" i="7" s="1"/>
  <c r="AK7" i="7" l="1"/>
  <c r="AK11" i="7" s="1"/>
  <c r="AK33" i="7" s="1"/>
  <c r="AK42" i="7" s="1"/>
  <c r="AK36" i="7" s="1"/>
  <c r="AJ62" i="5"/>
  <c r="AJ62" i="10"/>
  <c r="AY75" i="10"/>
  <c r="AY76" i="10" s="1"/>
  <c r="AZ5" i="10"/>
  <c r="AZ12" i="10" s="1"/>
  <c r="BA5" i="10" s="1"/>
  <c r="AK75" i="5"/>
  <c r="AK76" i="5" s="1"/>
  <c r="AL5" i="5"/>
  <c r="AL12" i="5" s="1"/>
  <c r="AL5" i="7" s="1"/>
  <c r="AK44" i="7"/>
  <c r="AK65" i="5"/>
  <c r="AL64" i="5"/>
  <c r="AL43" i="7" s="1"/>
  <c r="AK62" i="5" l="1"/>
  <c r="AK63" i="5" s="1"/>
  <c r="AK62" i="10"/>
  <c r="AK63" i="10" s="1"/>
  <c r="AL7" i="7"/>
  <c r="AL11" i="7" s="1"/>
  <c r="AL33" i="7" s="1"/>
  <c r="AL42" i="7" s="1"/>
  <c r="AL36" i="7" s="1"/>
  <c r="AK41" i="7"/>
  <c r="AZ75" i="10"/>
  <c r="AZ76" i="10" s="1"/>
  <c r="BA12" i="10"/>
  <c r="BB5" i="10" s="1"/>
  <c r="AM5" i="5"/>
  <c r="AM12" i="5" s="1"/>
  <c r="AM5" i="7" s="1"/>
  <c r="AL75" i="5"/>
  <c r="AL76" i="5" s="1"/>
  <c r="AM64" i="5"/>
  <c r="AM43" i="7" s="1"/>
  <c r="AL62" i="5" l="1"/>
  <c r="AL62" i="10"/>
  <c r="AM7" i="7"/>
  <c r="AM11" i="7" s="1"/>
  <c r="AM33" i="7" s="1"/>
  <c r="AM42" i="7" s="1"/>
  <c r="AM36" i="7" s="1"/>
  <c r="BA75" i="10"/>
  <c r="BA76" i="10" s="1"/>
  <c r="BB12" i="10"/>
  <c r="BC5" i="10" s="1"/>
  <c r="AM75" i="5"/>
  <c r="AM76" i="5" s="1"/>
  <c r="AN5" i="5"/>
  <c r="AN12" i="5" s="1"/>
  <c r="AN5" i="7" s="1"/>
  <c r="AN64" i="5"/>
  <c r="AN43" i="7" s="1"/>
  <c r="BB75" i="10" l="1"/>
  <c r="BB76" i="10" s="1"/>
  <c r="AM62" i="5"/>
  <c r="AM62" i="10"/>
  <c r="AN7" i="7"/>
  <c r="AN11" i="7" s="1"/>
  <c r="AN33" i="7" s="1"/>
  <c r="AN42" i="7" s="1"/>
  <c r="AN36" i="7" s="1"/>
  <c r="AO5" i="5"/>
  <c r="AO12" i="5" s="1"/>
  <c r="AO5" i="7" s="1"/>
  <c r="AN75" i="5"/>
  <c r="AN76" i="5" s="1"/>
  <c r="AO64" i="5"/>
  <c r="AO43" i="7" s="1"/>
  <c r="BC12" i="10" l="1"/>
  <c r="AN62" i="5"/>
  <c r="AN62" i="10"/>
  <c r="AO7" i="7"/>
  <c r="AO11" i="7" s="1"/>
  <c r="AO33" i="7" s="1"/>
  <c r="AO42" i="7" s="1"/>
  <c r="AO36" i="7" s="1"/>
  <c r="AO75" i="5"/>
  <c r="AO76" i="5" s="1"/>
  <c r="AP5" i="5"/>
  <c r="AP12" i="5" s="1"/>
  <c r="AP5" i="7" s="1"/>
  <c r="AO44" i="7"/>
  <c r="AO65" i="5"/>
  <c r="AP64" i="5"/>
  <c r="BC75" i="10" l="1"/>
  <c r="BD12" i="10"/>
  <c r="AO62" i="5"/>
  <c r="AO63" i="5" s="1"/>
  <c r="AO62" i="10"/>
  <c r="AO63" i="10" s="1"/>
  <c r="AP7" i="7"/>
  <c r="AP11" i="7" s="1"/>
  <c r="AP33" i="7" s="1"/>
  <c r="AP42" i="7" s="1"/>
  <c r="AP36" i="7" s="1"/>
  <c r="AO41" i="7"/>
  <c r="AQ64" i="5"/>
  <c r="AQ43" i="7" s="1"/>
  <c r="AP43" i="7"/>
  <c r="AQ5" i="5"/>
  <c r="AQ12" i="5" s="1"/>
  <c r="AQ5" i="7" s="1"/>
  <c r="AP75" i="5"/>
  <c r="AP76" i="5" s="1"/>
  <c r="BC76" i="10" l="1"/>
  <c r="BD76" i="10" s="1"/>
  <c r="BD75" i="10"/>
  <c r="AP62" i="5"/>
  <c r="AP62" i="10"/>
  <c r="AQ7" i="7"/>
  <c r="AQ11" i="7" s="1"/>
  <c r="AQ33" i="7" s="1"/>
  <c r="AQ42" i="7" s="1"/>
  <c r="AQ36" i="7" s="1"/>
  <c r="AQ75" i="5"/>
  <c r="AQ76" i="5" s="1"/>
  <c r="AR5" i="5"/>
  <c r="AR12" i="5" s="1"/>
  <c r="AR5" i="7" s="1"/>
  <c r="AR64" i="5"/>
  <c r="AR43" i="7" s="1"/>
  <c r="AQ62" i="10" l="1"/>
  <c r="AQ62" i="5"/>
  <c r="AR7" i="7"/>
  <c r="AR11" i="7" s="1"/>
  <c r="AR33" i="7" s="1"/>
  <c r="AR42" i="7" s="1"/>
  <c r="AR36" i="7" s="1"/>
  <c r="AR75" i="5"/>
  <c r="AR76" i="5" s="1"/>
  <c r="AS5" i="5"/>
  <c r="AS12" i="5" s="1"/>
  <c r="AS5" i="7" s="1"/>
  <c r="AS64" i="5"/>
  <c r="AS43" i="7" s="1"/>
  <c r="AR62" i="10" l="1"/>
  <c r="AR62" i="5"/>
  <c r="AS7" i="7"/>
  <c r="AS11" i="7" s="1"/>
  <c r="AS33" i="7" s="1"/>
  <c r="AS42" i="7" s="1"/>
  <c r="AS36" i="7" s="1"/>
  <c r="AS75" i="5"/>
  <c r="AS76" i="5" s="1"/>
  <c r="AT5" i="5"/>
  <c r="AT12" i="5" s="1"/>
  <c r="AT5" i="7" s="1"/>
  <c r="AT64" i="5"/>
  <c r="AT43" i="7" s="1"/>
  <c r="AS62" i="10" l="1"/>
  <c r="AT7" i="7"/>
  <c r="AT11" i="7" s="1"/>
  <c r="AT33" i="7" s="1"/>
  <c r="AT42" i="7" s="1"/>
  <c r="AT36" i="7" s="1"/>
  <c r="AS62" i="5"/>
  <c r="AU5" i="5"/>
  <c r="AU12" i="5" s="1"/>
  <c r="AU5" i="7" s="1"/>
  <c r="AT75" i="5"/>
  <c r="AT76" i="5" s="1"/>
  <c r="AT44" i="7"/>
  <c r="AT65" i="5"/>
  <c r="AU64" i="5"/>
  <c r="AU43" i="7" s="1"/>
  <c r="AT62" i="5" l="1"/>
  <c r="AT63" i="5" s="1"/>
  <c r="AT62" i="10"/>
  <c r="AT63" i="10" s="1"/>
  <c r="AU7" i="7"/>
  <c r="AU11" i="7" s="1"/>
  <c r="AU33" i="7" s="1"/>
  <c r="AU42" i="7" s="1"/>
  <c r="AU36" i="7" s="1"/>
  <c r="AT41" i="7"/>
  <c r="AU75" i="5"/>
  <c r="AU76" i="5" s="1"/>
  <c r="AV5" i="5"/>
  <c r="AV12" i="5" s="1"/>
  <c r="AV5" i="7" s="1"/>
  <c r="AV64" i="5"/>
  <c r="AV43" i="7" s="1"/>
  <c r="AU62" i="5" l="1"/>
  <c r="AU62" i="10"/>
  <c r="AV7" i="7"/>
  <c r="AV11" i="7" s="1"/>
  <c r="AV33" i="7" s="1"/>
  <c r="AV42" i="7" s="1"/>
  <c r="AV36" i="7" s="1"/>
  <c r="AV75" i="5"/>
  <c r="AV76" i="5" s="1"/>
  <c r="AW5" i="5"/>
  <c r="AW12" i="5" s="1"/>
  <c r="AW5" i="7" s="1"/>
  <c r="AW64" i="5"/>
  <c r="AW43" i="7" s="1"/>
  <c r="AV62" i="5" l="1"/>
  <c r="AV62" i="10"/>
  <c r="AW7" i="7"/>
  <c r="AW11" i="7" s="1"/>
  <c r="AW33" i="7" s="1"/>
  <c r="AW42" i="7" s="1"/>
  <c r="AW36" i="7" s="1"/>
  <c r="AW75" i="5"/>
  <c r="AW76" i="5" s="1"/>
  <c r="AX5" i="5"/>
  <c r="AX12" i="5" s="1"/>
  <c r="AX5" i="7" s="1"/>
  <c r="AX64" i="5"/>
  <c r="AX43" i="7" s="1"/>
  <c r="AW62" i="5" l="1"/>
  <c r="AW62" i="10"/>
  <c r="AX7" i="7"/>
  <c r="AX11" i="7" s="1"/>
  <c r="AX33" i="7" s="1"/>
  <c r="AX42" i="7" s="1"/>
  <c r="AX36" i="7" s="1"/>
  <c r="AX75" i="5"/>
  <c r="AX76" i="5" s="1"/>
  <c r="AY5" i="5"/>
  <c r="AY12" i="5" s="1"/>
  <c r="AY5" i="7" s="1"/>
  <c r="AX44" i="7"/>
  <c r="AX65" i="5"/>
  <c r="AY64" i="5"/>
  <c r="AY43" i="7" s="1"/>
  <c r="AX62" i="5" l="1"/>
  <c r="AX63" i="5" s="1"/>
  <c r="AX41" i="7"/>
  <c r="AY7" i="7"/>
  <c r="AY11" i="7" s="1"/>
  <c r="AY33" i="7" s="1"/>
  <c r="AY42" i="7" s="1"/>
  <c r="AY36" i="7" s="1"/>
  <c r="AX62" i="10"/>
  <c r="AX63" i="10" s="1"/>
  <c r="AY75" i="5"/>
  <c r="AY76" i="5" s="1"/>
  <c r="AZ5" i="5"/>
  <c r="AZ12" i="5" s="1"/>
  <c r="AZ5" i="7" s="1"/>
  <c r="AZ64" i="5"/>
  <c r="AZ43" i="7" s="1"/>
  <c r="AY62" i="5" l="1"/>
  <c r="AZ7" i="7"/>
  <c r="AZ11" i="7" s="1"/>
  <c r="AZ33" i="7" s="1"/>
  <c r="AZ42" i="7" s="1"/>
  <c r="AZ36" i="7" s="1"/>
  <c r="AY62" i="10"/>
  <c r="AZ75" i="5"/>
  <c r="AZ76" i="5" s="1"/>
  <c r="BA5" i="5"/>
  <c r="BA12" i="5" s="1"/>
  <c r="BA5" i="7" s="1"/>
  <c r="BA64" i="5"/>
  <c r="BA43" i="7" s="1"/>
  <c r="AZ62" i="10" l="1"/>
  <c r="AZ62" i="5"/>
  <c r="BA7" i="7"/>
  <c r="BA11" i="7" s="1"/>
  <c r="BA33" i="7" s="1"/>
  <c r="BA42" i="7" s="1"/>
  <c r="BA36" i="7" s="1"/>
  <c r="BB5" i="5"/>
  <c r="BB12" i="5" s="1"/>
  <c r="BA75" i="5"/>
  <c r="BA76" i="5" s="1"/>
  <c r="BB64" i="5"/>
  <c r="BB5" i="7" l="1"/>
  <c r="BC12" i="5"/>
  <c r="BD12" i="5"/>
  <c r="BB43" i="7"/>
  <c r="BB44" i="7" s="1"/>
  <c r="BA62" i="5"/>
  <c r="BB7" i="7"/>
  <c r="BB11" i="7" s="1"/>
  <c r="BB33" i="7" s="1"/>
  <c r="BB42" i="7" s="1"/>
  <c r="BC7" i="7" s="1"/>
  <c r="BC11" i="7" s="1"/>
  <c r="BC33" i="7" s="1"/>
  <c r="BC42" i="7" s="1"/>
  <c r="BA62" i="10"/>
  <c r="BB75" i="5"/>
  <c r="BB76" i="5" s="1"/>
  <c r="BB65" i="5"/>
  <c r="BC75" i="5" l="1"/>
  <c r="BC76" i="5" s="1"/>
  <c r="BC5" i="7"/>
  <c r="BC36" i="7" s="1"/>
  <c r="BC62" i="10"/>
  <c r="BC62" i="5"/>
  <c r="BC63" i="5" s="1"/>
  <c r="BC41" i="7"/>
  <c r="BC65" i="5"/>
  <c r="BC43" i="7"/>
  <c r="BB36" i="7"/>
  <c r="BB62" i="10"/>
  <c r="BB62" i="5"/>
  <c r="BB41" i="7"/>
  <c r="BD6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 S</author>
    <author/>
  </authors>
  <commentList>
    <comment ref="A14" authorId="0" shapeId="0" xr:uid="{12A304CF-20C8-4E1F-B6C1-C99A0CC07E0C}">
      <text>
        <r>
          <rPr>
            <b/>
            <sz val="9"/>
            <color indexed="81"/>
            <rFont val="Tahoma"/>
            <family val="2"/>
            <charset val="204"/>
          </rPr>
          <t>Ar S:</t>
        </r>
        <r>
          <rPr>
            <sz val="9"/>
            <color indexed="81"/>
            <rFont val="Tahoma"/>
            <family val="2"/>
            <charset val="204"/>
          </rPr>
          <t xml:space="preserve">
Столбец в детализации - Цена розничная
ВЫРУЧКА 
До учета СПП
</t>
        </r>
      </text>
    </comment>
    <comment ref="A15" authorId="1" shapeId="0" xr:uid="{B2561E9F-576F-48DE-BF05-2C2AB969566D}">
      <text>
        <r>
          <rPr>
            <sz val="11"/>
            <color theme="1"/>
            <rFont val="Calibri"/>
            <family val="2"/>
            <charset val="204"/>
            <scheme val="minor"/>
          </rPr>
          <t>Вайлдберриз реализовал Товар (Пр) -столбец  в детализации
=
ГРАФА ПРОДАЖИ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Ar S</author>
  </authors>
  <commentList>
    <comment ref="C5" authorId="0" shapeId="0" xr:uid="{00000000-0006-0000-0400-000001000000}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Заполняем 1 раз в начале.
</t>
        </r>
        <r>
          <rPr>
            <sz val="11"/>
            <color theme="1"/>
            <rFont val="Calibri"/>
            <family val="2"/>
            <charset val="204"/>
            <scheme val="minor"/>
          </rPr>
          <t>Ввести конечные данные из отчета за предыдущий год.</t>
        </r>
      </text>
    </comment>
    <comment ref="A7" authorId="0" shapeId="0" xr:uid="{00000000-0006-0000-0400-000002000000}">
      <text>
        <r>
          <rPr>
            <sz val="11"/>
            <color theme="1"/>
            <rFont val="Calibri"/>
            <family val="2"/>
            <charset val="204"/>
            <scheme val="minor"/>
          </rPr>
          <t>Кол-во проданных товаров
Заполняем по еженедельному отчету ВБ (Детализация)
Берем данные из 1С после ввода еженедельного отчета. Смотрим Отчет комиссионера или обороту по счету 45 в разрезе количество.
Только ПРОДАЖИ!</t>
        </r>
      </text>
    </comment>
    <comment ref="A8" authorId="0" shapeId="0" xr:uid="{00000000-0006-0000-0400-000003000000}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Себестоимость проданных товаров
Продажи с учетом Возвратов.
ОСВ сч 45
</t>
        </r>
      </text>
    </comment>
    <comment ref="A10" authorId="0" shapeId="0" xr:uid="{00000000-0006-0000-0400-000004000000}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Товары, поступившие на склад от поставщика (себестоимость закупки).
Себестоимость готовых изделий.
</t>
        </r>
      </text>
    </comment>
    <comment ref="A11" authorId="0" shapeId="0" xr:uid="{00000000-0006-0000-0400-000006000000}">
      <text>
        <r>
          <rPr>
            <sz val="11"/>
            <color theme="1"/>
            <rFont val="Calibri"/>
            <family val="2"/>
            <charset val="204"/>
            <scheme val="minor"/>
          </rPr>
          <t>Кол-во поступивших товаров от поставщика (шт)</t>
        </r>
      </text>
    </comment>
    <comment ref="C13" authorId="0" shapeId="0" xr:uid="{00000000-0006-0000-0400-000008000000}">
      <text>
        <r>
          <rPr>
            <sz val="11"/>
            <color theme="1"/>
            <rFont val="Calibri"/>
            <family val="2"/>
            <charset val="204"/>
            <scheme val="minor"/>
          </rPr>
          <t>Заполняем 1 раз в начале
Изменяем формулу, подтавляя данные из отчета за предыдущий год</t>
        </r>
      </text>
    </comment>
    <comment ref="A14" authorId="1" shapeId="0" xr:uid="{D8F0BA90-3F28-416E-9A51-8D0223959F3D}">
      <text>
        <r>
          <rPr>
            <b/>
            <sz val="9"/>
            <color indexed="81"/>
            <rFont val="Tahoma"/>
            <family val="2"/>
            <charset val="204"/>
          </rPr>
          <t>Ar S:</t>
        </r>
        <r>
          <rPr>
            <sz val="9"/>
            <color indexed="81"/>
            <rFont val="Tahoma"/>
            <family val="2"/>
            <charset val="204"/>
          </rPr>
          <t xml:space="preserve">
Столбец в детализации - Цена розничная
ВЫРУЧКА 
До учета СПП</t>
        </r>
      </text>
    </comment>
    <comment ref="A15" authorId="0" shapeId="0" xr:uid="{00000000-0006-0000-0400-000009000000}">
      <text>
        <r>
          <rPr>
            <sz val="11"/>
            <color theme="1"/>
            <rFont val="Calibri"/>
            <family val="2"/>
            <charset val="204"/>
            <scheme val="minor"/>
          </rPr>
          <t>Вайлдберриз реализовал Товар (Пр) -столбец  в детализации
=
ГРАФА ПРОДАЖИ</t>
        </r>
      </text>
    </comment>
    <comment ref="A20" authorId="0" shapeId="0" xr:uid="{00000000-0006-0000-0400-00000A000000}">
      <text>
        <r>
          <rPr>
            <sz val="11"/>
            <color theme="1"/>
            <rFont val="Calibri"/>
            <family val="2"/>
            <charset val="204"/>
            <scheme val="minor"/>
          </rPr>
          <t>Выручка после вычета комиссии
Продажи минус возвраты</t>
        </r>
      </text>
    </comment>
    <comment ref="A22" authorId="0" shapeId="0" xr:uid="{00000000-0006-0000-0400-00000B000000}">
      <text>
        <r>
          <rPr>
            <sz val="11"/>
            <color theme="1"/>
            <rFont val="Calibri"/>
            <family val="2"/>
            <charset val="204"/>
            <scheme val="minor"/>
          </rPr>
          <t>Возвраты после вычета комиссии (справочно)</t>
        </r>
      </text>
    </comment>
    <comment ref="A31" authorId="0" shapeId="0" xr:uid="{00000000-0006-0000-0400-00000C000000}">
      <text>
        <r>
          <rPr>
            <sz val="11"/>
            <color theme="1"/>
            <rFont val="Calibri"/>
            <family val="2"/>
            <charset val="204"/>
            <scheme val="minor"/>
          </rPr>
          <t>напр Премия за выполнение плана по заказам (акция)</t>
        </r>
      </text>
    </comment>
    <comment ref="A33" authorId="0" shapeId="0" xr:uid="{00000000-0006-0000-0400-00000D000000}">
      <text>
        <r>
          <rPr>
            <sz val="11"/>
            <color theme="1"/>
            <rFont val="Calibri"/>
            <family val="2"/>
            <charset val="204"/>
            <scheme val="minor"/>
          </rPr>
          <t>Себестоимость проданных товаров с учетом возврат. 1С ОСВ сч. 90.2
или ОСВ сч. 45 (при условии что установлена цена-себестоимотсь поступления)</t>
        </r>
      </text>
    </comment>
    <comment ref="A38" authorId="0" shapeId="0" xr:uid="{00000000-0006-0000-0400-00000E000000}">
      <text>
        <r>
          <rPr>
            <sz val="11"/>
            <color theme="1"/>
            <rFont val="Calibri"/>
            <family val="2"/>
            <charset val="204"/>
            <scheme val="minor"/>
          </rPr>
          <t>Все расходы,  в т.ч. расходы ВБ</t>
        </r>
      </text>
    </comment>
    <comment ref="C64" authorId="1" shapeId="0" xr:uid="{8C8ABCA1-085C-4243-89EC-821D5ADDE163}">
      <text>
        <r>
          <rPr>
            <b/>
            <sz val="9"/>
            <color indexed="81"/>
            <rFont val="Tahoma"/>
            <family val="2"/>
            <charset val="204"/>
          </rPr>
          <t>Ar S:</t>
        </r>
        <r>
          <rPr>
            <sz val="9"/>
            <color indexed="81"/>
            <rFont val="Tahoma"/>
            <family val="2"/>
            <charset val="204"/>
          </rPr>
          <t xml:space="preserve">
Заполняем 1 раз в начале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 S</author>
    <author/>
  </authors>
  <commentList>
    <comment ref="A14" authorId="0" shapeId="0" xr:uid="{CD558137-CD74-42C2-BBE0-CEE729F3E65A}">
      <text>
        <r>
          <rPr>
            <b/>
            <sz val="9"/>
            <color indexed="81"/>
            <rFont val="Tahoma"/>
            <family val="2"/>
            <charset val="204"/>
          </rPr>
          <t>Ar S:</t>
        </r>
        <r>
          <rPr>
            <sz val="9"/>
            <color indexed="81"/>
            <rFont val="Tahoma"/>
            <family val="2"/>
            <charset val="204"/>
          </rPr>
          <t xml:space="preserve">
Столбец в детализации - Цена розничная
ВЫРУЧКА 
До учета СПП
</t>
        </r>
      </text>
    </comment>
    <comment ref="A15" authorId="1" shapeId="0" xr:uid="{6C657DDB-17B9-4D8F-85FF-4FDA1D646B36}">
      <text>
        <r>
          <rPr>
            <sz val="11"/>
            <color theme="1"/>
            <rFont val="Calibri"/>
            <family val="2"/>
            <charset val="204"/>
            <scheme val="minor"/>
          </rPr>
          <t>Вайлдберриз реализовал Товар (Пр) -столбец  в детализации
=
ГРАФА ПРОДАЖИ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Ar S</author>
  </authors>
  <commentList>
    <comment ref="C5" authorId="0" shapeId="0" xr:uid="{3EC2E1DD-C6E9-4A9B-8CBE-20BD571F09DF}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Заполняем 1 раз в начале.
</t>
        </r>
        <r>
          <rPr>
            <sz val="11"/>
            <color theme="1"/>
            <rFont val="Calibri"/>
            <family val="2"/>
            <charset val="204"/>
            <scheme val="minor"/>
          </rPr>
          <t>Ввести конечные данные из отчета за предыдущий год.</t>
        </r>
      </text>
    </comment>
    <comment ref="A7" authorId="0" shapeId="0" xr:uid="{E55AE85A-1847-453F-BB31-AE71547708E1}">
      <text>
        <r>
          <rPr>
            <sz val="11"/>
            <color theme="1"/>
            <rFont val="Calibri"/>
            <family val="2"/>
            <charset val="204"/>
            <scheme val="minor"/>
          </rPr>
          <t>Кол-во проданных товаров
Заполняем по еженедельному отчету
Берем данные из 1С после ввода еженедельного отчета. Смотрим Отчет комиссионера или обороту по счету 45 в разрезе количество.
Только ПРОДАЖИ!</t>
        </r>
      </text>
    </comment>
    <comment ref="A8" authorId="0" shapeId="0" xr:uid="{A9C63E39-9043-4087-8178-6CBD21746B73}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Себестоимость проданных товаров
Продажи с учетом Возвратов.
ОСВ сч 45
</t>
        </r>
      </text>
    </comment>
    <comment ref="A10" authorId="0" shapeId="0" xr:uid="{737A9627-0935-4499-BDA0-E04CD9B9720C}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Товары, поступившие на склад от поставщика (себестоимость закупки).
Себестоимость готовых изделий.
</t>
        </r>
      </text>
    </comment>
    <comment ref="A11" authorId="0" shapeId="0" xr:uid="{6A73246F-747B-4C75-BB96-5C97AFA0F297}">
      <text>
        <r>
          <rPr>
            <sz val="11"/>
            <color theme="1"/>
            <rFont val="Calibri"/>
            <family val="2"/>
            <charset val="204"/>
            <scheme val="minor"/>
          </rPr>
          <t>Кол-во поступивших товаров от поставщика (шт)</t>
        </r>
      </text>
    </comment>
    <comment ref="C13" authorId="0" shapeId="0" xr:uid="{2FE1E32E-CD28-454F-AE8C-BCFCA900B0BC}">
      <text>
        <r>
          <rPr>
            <sz val="11"/>
            <color theme="1"/>
            <rFont val="Calibri"/>
            <family val="2"/>
            <charset val="204"/>
            <scheme val="minor"/>
          </rPr>
          <t>Заполняем 1 раз в начале
Изменяем формулу, подтавляя данные из отчета за предыдущий год</t>
        </r>
      </text>
    </comment>
    <comment ref="A20" authorId="0" shapeId="0" xr:uid="{328F8708-81AF-4545-897A-699ACECBA612}">
      <text>
        <r>
          <rPr>
            <sz val="11"/>
            <color theme="1"/>
            <rFont val="Calibri"/>
            <family val="2"/>
            <charset val="204"/>
            <scheme val="minor"/>
          </rPr>
          <t>Выручка после вычета комиссии
Продажи минус возвраты</t>
        </r>
      </text>
    </comment>
    <comment ref="A22" authorId="0" shapeId="0" xr:uid="{F6B15BD1-1546-4AFF-88FC-19EB073B4C01}">
      <text>
        <r>
          <rPr>
            <sz val="11"/>
            <color theme="1"/>
            <rFont val="Calibri"/>
            <family val="2"/>
            <charset val="204"/>
            <scheme val="minor"/>
          </rPr>
          <t>Возвраты после вычета комиссии (справочно)</t>
        </r>
      </text>
    </comment>
    <comment ref="A31" authorId="0" shapeId="0" xr:uid="{870A8429-FB6E-4116-ABFF-A46DE5D13F4D}">
      <text>
        <r>
          <rPr>
            <sz val="11"/>
            <color theme="1"/>
            <rFont val="Calibri"/>
            <family val="2"/>
            <charset val="204"/>
            <scheme val="minor"/>
          </rPr>
          <t>напр Премия за выполнение плана по заказам (акция)</t>
        </r>
      </text>
    </comment>
    <comment ref="A33" authorId="0" shapeId="0" xr:uid="{525D3182-D29A-4989-A4C8-9183E859A19A}">
      <text>
        <r>
          <rPr>
            <sz val="11"/>
            <color theme="1"/>
            <rFont val="Calibri"/>
            <family val="2"/>
            <charset val="204"/>
            <scheme val="minor"/>
          </rPr>
          <t>Себестоимость проданных товаров с учетом возврат. 1С ОСВ сч. 90.2
или ОСВ сч. 45 (при условии что установлена цена-себестоимотсь поступления)</t>
        </r>
      </text>
    </comment>
    <comment ref="A38" authorId="0" shapeId="0" xr:uid="{28E47D81-D64D-460D-8088-BBE53AC1924B}">
      <text>
        <r>
          <rPr>
            <sz val="11"/>
            <color theme="1"/>
            <rFont val="Calibri"/>
            <family val="2"/>
            <charset val="204"/>
            <scheme val="minor"/>
          </rPr>
          <t>Все расходы,  в т.ч. расходы ВБ</t>
        </r>
      </text>
    </comment>
    <comment ref="C64" authorId="1" shapeId="0" xr:uid="{8CACA299-080F-477D-ACE4-5A12DB4778AB}">
      <text>
        <r>
          <rPr>
            <b/>
            <sz val="9"/>
            <color indexed="81"/>
            <rFont val="Tahoma"/>
            <family val="2"/>
            <charset val="204"/>
          </rPr>
          <t>Ar S:</t>
        </r>
        <r>
          <rPr>
            <sz val="9"/>
            <color indexed="81"/>
            <rFont val="Tahoma"/>
            <family val="2"/>
            <charset val="204"/>
          </rPr>
          <t xml:space="preserve">
Заполняем 1 раз в начале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 S</author>
    <author/>
  </authors>
  <commentList>
    <comment ref="A14" authorId="0" shapeId="0" xr:uid="{605107B7-91F2-437A-823A-56469D6A04D5}">
      <text>
        <r>
          <rPr>
            <b/>
            <sz val="9"/>
            <color indexed="81"/>
            <rFont val="Tahoma"/>
            <family val="2"/>
            <charset val="204"/>
          </rPr>
          <t>Ar S:</t>
        </r>
        <r>
          <rPr>
            <sz val="9"/>
            <color indexed="81"/>
            <rFont val="Tahoma"/>
            <family val="2"/>
            <charset val="204"/>
          </rPr>
          <t xml:space="preserve">
Столбец в детализации - Цена розничная
ВЫРУЧКА 
До учета СПП
</t>
        </r>
      </text>
    </comment>
    <comment ref="A15" authorId="1" shapeId="0" xr:uid="{3BE76228-07B4-4289-9F22-A4807E166AF6}">
      <text>
        <r>
          <rPr>
            <sz val="11"/>
            <color theme="1"/>
            <rFont val="Calibri"/>
            <family val="2"/>
            <charset val="204"/>
            <scheme val="minor"/>
          </rPr>
          <t>Вайлдберриз реализовал Товар (Пр) -столбец  в детализации
=
ГРАФА ПРОДАЖИ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 S</author>
    <author/>
  </authors>
  <commentList>
    <comment ref="C7" authorId="0" shapeId="0" xr:uid="{296AE9BC-8223-488F-94E9-9E53BAFAA5FD}">
      <text>
        <r>
          <rPr>
            <b/>
            <sz val="9"/>
            <color indexed="81"/>
            <rFont val="Tahoma"/>
            <family val="2"/>
            <charset val="204"/>
          </rPr>
          <t xml:space="preserve">Ar S:
</t>
        </r>
        <r>
          <rPr>
            <sz val="9"/>
            <color indexed="81"/>
            <rFont val="Tahoma"/>
            <family val="2"/>
            <charset val="204"/>
          </rPr>
          <t>Ввести данные из отчета за предыдущий год</t>
        </r>
      </text>
    </comment>
    <comment ref="A31" authorId="1" shapeId="0" xr:uid="{00000000-0006-0000-06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деньги которые вы тратите на покупку товара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1" authorId="0" shapeId="0" xr:uid="{00000000-0006-0000-0500-000001000000}">
      <text>
        <r>
          <rPr>
            <sz val="11"/>
            <color theme="1"/>
            <rFont val="Calibri"/>
            <family val="2"/>
            <charset val="204"/>
            <scheme val="minor"/>
          </rPr>
          <t>деньги которые вы тратите на покупку товара</t>
        </r>
      </text>
    </comment>
  </commentList>
</comments>
</file>

<file path=xl/sharedStrings.xml><?xml version="1.0" encoding="utf-8"?>
<sst xmlns="http://schemas.openxmlformats.org/spreadsheetml/2006/main" count="521" uniqueCount="222">
  <si>
    <t>http://postavka365.ru/?utm_source=unit</t>
  </si>
  <si>
    <t>Если у вас возникли вопросы по заполнению - напишите +79652083823 Андрей</t>
  </si>
  <si>
    <t>Рентабельность вложений</t>
  </si>
  <si>
    <t>Заполняем PL и CF еженедельный!</t>
  </si>
  <si>
    <t>Прибыли и убытки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</si>
  <si>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</si>
  <si>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</si>
  <si>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</si>
  <si>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</si>
  <si>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</si>
  <si>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</si>
  <si>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</si>
  <si>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</si>
  <si>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</si>
  <si>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</si>
  <si>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</si>
  <si>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</si>
  <si>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Товарооборот</t>
  </si>
  <si>
    <t>Остаток товара по цене закупки</t>
  </si>
  <si>
    <t>Продажи шт</t>
  </si>
  <si>
    <t>Отгрузки по себестоимости</t>
  </si>
  <si>
    <t>Поступление товара, р</t>
  </si>
  <si>
    <t>Поступление товара, шт</t>
  </si>
  <si>
    <t>Доступно на складе по цене закупки</t>
  </si>
  <si>
    <t>Доступно на складе, шт</t>
  </si>
  <si>
    <t>Комиссия ВБ</t>
  </si>
  <si>
    <t>% комиссии</t>
  </si>
  <si>
    <t>Выручка от реализации (к перечислению за товар), руб</t>
  </si>
  <si>
    <t>Возвраты, руб</t>
  </si>
  <si>
    <t>Возвраты, шт</t>
  </si>
  <si>
    <t>% возвратов</t>
  </si>
  <si>
    <t>Брак, руб</t>
  </si>
  <si>
    <t>Брак, шт</t>
  </si>
  <si>
    <t>% брака</t>
  </si>
  <si>
    <t xml:space="preserve">Поступление на счет от ВБ </t>
  </si>
  <si>
    <t xml:space="preserve">   в т.ч. Прочие доходы</t>
  </si>
  <si>
    <t>Себестоимость</t>
  </si>
  <si>
    <t>% себестоимости</t>
  </si>
  <si>
    <t>Валовая прибыль</t>
  </si>
  <si>
    <t>Расходы</t>
  </si>
  <si>
    <t>% расходы</t>
  </si>
  <si>
    <t>Логистика ВБ</t>
  </si>
  <si>
    <t>Продвижение ВБ (взаимозачет)</t>
  </si>
  <si>
    <t>Хранение ВБ</t>
  </si>
  <si>
    <t>Штрафы ВБ</t>
  </si>
  <si>
    <t>Платная приемка ВБ</t>
  </si>
  <si>
    <t>Контент</t>
  </si>
  <si>
    <t>Аренда офиса</t>
  </si>
  <si>
    <t>Реклама внешняя</t>
  </si>
  <si>
    <t>Прочие</t>
  </si>
  <si>
    <t>Прибыль до налогообложения</t>
  </si>
  <si>
    <t>Налоги начисленные</t>
  </si>
  <si>
    <t>УСН 6%+1%</t>
  </si>
  <si>
    <t>Чистая прибыль</t>
  </si>
  <si>
    <t>Выплата диведентов:</t>
  </si>
  <si>
    <t>Остаток денежных средств на конец периода</t>
  </si>
  <si>
    <t>Накопленный финансовый результат</t>
  </si>
  <si>
    <t>Рекламные расходы на 1 единицу</t>
  </si>
  <si>
    <t>Доля рекламных расходов</t>
  </si>
  <si>
    <t>Прибыль на 1 ед</t>
  </si>
  <si>
    <t>Прибыли и убытки, еженедельно</t>
  </si>
  <si>
    <t>Серые нули (стр 63, 65) - это проверки между листами! Если не ноль - ищем ошибку</t>
  </si>
  <si>
    <t>Сумма вложений с начала 2023</t>
  </si>
  <si>
    <t>Сумма себестоимости за 16 нед</t>
  </si>
  <si>
    <t>Прибыль за 16 нед</t>
  </si>
  <si>
    <t>Рентабельность за 16 нед</t>
  </si>
  <si>
    <t>Оборачиваемость за 16 нед</t>
  </si>
  <si>
    <t>Оборачиваемость в днях</t>
  </si>
  <si>
    <t>далее анализ последних 16 недель</t>
  </si>
  <si>
    <t>Остаток товара закончится через, дн</t>
  </si>
  <si>
    <t>Дата распродажи в 0</t>
  </si>
  <si>
    <t>Движение денежных средств</t>
  </si>
  <si>
    <t>Поступление товара по цене закупки</t>
  </si>
  <si>
    <t>Остаток денежных средств на начало периода</t>
  </si>
  <si>
    <t>Итого остаток + поступление</t>
  </si>
  <si>
    <t>Расходы - факт списания</t>
  </si>
  <si>
    <t>Налоги уплаченные</t>
  </si>
  <si>
    <t>Закупка Китай</t>
  </si>
  <si>
    <t>Закупка нал</t>
  </si>
  <si>
    <t>Закупка р/с</t>
  </si>
  <si>
    <t>Доставка Китай</t>
  </si>
  <si>
    <t>Доставка РФ</t>
  </si>
  <si>
    <t>Вложения инвестора</t>
  </si>
  <si>
    <t>Самовыкупы (покупка товара)</t>
  </si>
  <si>
    <t>Авансы уплаченные</t>
  </si>
  <si>
    <t>Денег в обороте</t>
  </si>
  <si>
    <t>Выплата дивидентов:</t>
  </si>
  <si>
    <t>Инвестор</t>
  </si>
  <si>
    <t>Остаток после вывода должен быть больше  суммы закупки и доставки следующего месяца</t>
  </si>
  <si>
    <t>Управляющий</t>
  </si>
  <si>
    <t>Заполняем Вложения инвестора, Закупки и выплаты дивидендов. Формулы не трогаем!</t>
  </si>
  <si>
    <t>Движение денежных средств, еженедельно</t>
  </si>
  <si>
    <t>Серые нули (стр 34, 38, 41) - это проверки между листами! Если не ноль - ищем ошибку</t>
  </si>
  <si>
    <r>
      <rPr>
        <b/>
        <sz val="11"/>
        <color theme="1"/>
        <rFont val="Calibri"/>
        <family val="2"/>
        <charset val="204"/>
      </rPr>
      <t>Серые нули</t>
    </r>
    <r>
      <rPr>
        <sz val="11"/>
        <color theme="1"/>
        <rFont val="Calibri"/>
        <family val="2"/>
        <charset val="204"/>
      </rPr>
      <t xml:space="preserve"> это проверки между листами. Если серый не 0 - не идет проверка между листами
PL с PL (нед)
CF с CF (нед)
Если не идет на PL (нед) - сверяем по строкам 
Сумма за 4 недели должна идти по этой же статье за месяц
Аналогично с CF
Возможные причины:
1. Если добавили статью - добавляем на всех 4 листах
2. Формула налога должна быль везде одинаковая на всех листах
3.  Проверьте суммируются все расходы в общую сумму расходов</t>
    </r>
  </si>
  <si>
    <t>% себестоимости в цене</t>
  </si>
  <si>
    <r>
      <rPr>
        <b/>
        <sz val="11"/>
        <rFont val="Calibri"/>
        <family val="2"/>
        <charset val="204"/>
        <scheme val="minor"/>
      </rPr>
      <t xml:space="preserve">Голубым выделены строки, которые заполняем!   </t>
    </r>
    <r>
      <rPr>
        <b/>
        <sz val="11"/>
        <color rgb="FFFF0000"/>
        <rFont val="Calibri"/>
        <family val="2"/>
        <charset val="204"/>
        <scheme val="minor"/>
      </rPr>
      <t xml:space="preserve">          Заполняем эту вкладку, формулы не трогаем!
Если добавляете строки - добавляете на всех листах PL и СF</t>
    </r>
  </si>
  <si>
    <t>Маржинальность</t>
  </si>
  <si>
    <t>Продано товаров WB по цене в карточке</t>
  </si>
  <si>
    <t>Продано товаров WB ВБ реализовал-ПРОДАЖИ</t>
  </si>
  <si>
    <t>Подписка Аналитика</t>
  </si>
  <si>
    <t>Продвижение</t>
  </si>
  <si>
    <t>Поступление на счет от WB и OZON</t>
  </si>
  <si>
    <t>Логистика OZON</t>
  </si>
  <si>
    <t>Продвижение OZON</t>
  </si>
  <si>
    <t>Хранение OZON</t>
  </si>
  <si>
    <t>Штрафы OZON</t>
  </si>
  <si>
    <t>Платная приемка OZON</t>
  </si>
  <si>
    <t xml:space="preserve">Поступление на счет от OZON </t>
  </si>
  <si>
    <t>Эквайринг OZON</t>
  </si>
  <si>
    <t>Продано товаров OZON по цене в карточке-ВЫРУЧКА</t>
  </si>
  <si>
    <t>Выручка от реализацииза вычетом комиссии, руб</t>
  </si>
  <si>
    <t>Комиссия OZON</t>
  </si>
  <si>
    <t>Прочее OZON</t>
  </si>
  <si>
    <t>Остаток денежных средств на конец периода ВСЕГО</t>
  </si>
  <si>
    <t>Продано товаров OZON по цене в карточке</t>
  </si>
  <si>
    <t>Чистая прибыль на 1 ед</t>
  </si>
  <si>
    <t>Доступный остаток средств</t>
  </si>
  <si>
    <t>УСН 6%</t>
  </si>
  <si>
    <t>Поступление на счет</t>
  </si>
  <si>
    <t>Комиссия</t>
  </si>
  <si>
    <t>Эквайринг</t>
  </si>
  <si>
    <t>Эквайринг ВБ</t>
  </si>
  <si>
    <t>Логистика</t>
  </si>
  <si>
    <t>Продано товаров по цене в карточке</t>
  </si>
  <si>
    <t>Хранение</t>
  </si>
  <si>
    <t>Штрафы</t>
  </si>
  <si>
    <t>Платная приемка</t>
  </si>
  <si>
    <t>Продано товаров -ПРОДАЖИ</t>
  </si>
  <si>
    <t>Прочее</t>
  </si>
  <si>
    <t>29.12-31.12</t>
  </si>
  <si>
    <t>Остаток года</t>
  </si>
  <si>
    <t>ФИНАНСОВЫЙ ДАШБОРД 2025</t>
  </si>
  <si>
    <t>КЛЮЧЕВЫЕ ПОКАЗАТЕЛИ</t>
  </si>
  <si>
    <t>Показатель</t>
  </si>
  <si>
    <t>Значение</t>
  </si>
  <si>
    <t>Годовая выручка (продажи)</t>
  </si>
  <si>
    <t>Выручка от реализации товаров</t>
  </si>
  <si>
    <t>Прибыль после налогов</t>
  </si>
  <si>
    <t>Отношение прибыли к выручке</t>
  </si>
  <si>
    <t>Прибыль до расходов</t>
  </si>
  <si>
    <t>Рентабельность</t>
  </si>
  <si>
    <t>ROI вложений</t>
  </si>
  <si>
    <t>СРАВНЕНИЕ ПЛАТФОРМ</t>
  </si>
  <si>
    <t>Метрика</t>
  </si>
  <si>
    <t>Wildberries</t>
  </si>
  <si>
    <t>OZON</t>
  </si>
  <si>
    <t>Продажи (шт)</t>
  </si>
  <si>
    <t>Выручка (руб)</t>
  </si>
  <si>
    <t>Средний чек</t>
  </si>
  <si>
    <t>Маржа (%)</t>
  </si>
  <si>
    <t>СТРУКТУРА РАСХОДОВ</t>
  </si>
  <si>
    <t>Статья расходов</t>
  </si>
  <si>
    <t>Сумма (руб)</t>
  </si>
  <si>
    <t>Доля (%)</t>
  </si>
  <si>
    <t>Комиссии площадок</t>
  </si>
  <si>
    <t>Прочие расходы</t>
  </si>
  <si>
    <t>ИТОГО расходов</t>
  </si>
  <si>
    <t>ПОМЕСЯЧНАЯ ДИНАМИКА</t>
  </si>
  <si>
    <t>Месяц</t>
  </si>
  <si>
    <t>Янв</t>
  </si>
  <si>
    <t>Фев</t>
  </si>
  <si>
    <t>Мар</t>
  </si>
  <si>
    <t>Апр</t>
  </si>
  <si>
    <t>Июн</t>
  </si>
  <si>
    <t>Июл</t>
  </si>
  <si>
    <t>Авг</t>
  </si>
  <si>
    <t>Сен</t>
  </si>
  <si>
    <t>Окт</t>
  </si>
  <si>
    <t>Ноя</t>
  </si>
  <si>
    <t>Дек</t>
  </si>
  <si>
    <t>Выручка</t>
  </si>
  <si>
    <t>Прибыль</t>
  </si>
  <si>
    <t>01.01-04.01</t>
  </si>
  <si>
    <t>05.01-11.01</t>
  </si>
  <si>
    <t>12.01-18.01</t>
  </si>
  <si>
    <t>19.01-25.01</t>
  </si>
  <si>
    <t>26.01-01.02</t>
  </si>
  <si>
    <t>02.02-08.02</t>
  </si>
  <si>
    <t>09.02-15.02</t>
  </si>
  <si>
    <t>16.02-22.02</t>
  </si>
  <si>
    <t>23.02-01.03</t>
  </si>
  <si>
    <t>02.03-08.03</t>
  </si>
  <si>
    <t>09.03-15.03</t>
  </si>
  <si>
    <t>16.03-22.03</t>
  </si>
  <si>
    <t>23.03-29.03</t>
  </si>
  <si>
    <t>АУДИТ ФИНАНСОВОЙ МОДЕЛИ</t>
  </si>
  <si>
    <t>Дата аудита:</t>
  </si>
  <si>
    <t>31.03.2026</t>
  </si>
  <si>
    <t>Охват:</t>
  </si>
  <si>
    <t>PL общ, PL WB, PL OZON, CF, недельные варианты</t>
  </si>
  <si>
    <t>СВОДКА РЕЗУЛЬТАТОВ</t>
  </si>
  <si>
    <t>Статус</t>
  </si>
  <si>
    <t>Категория</t>
  </si>
  <si>
    <t>Кол-во</t>
  </si>
  <si>
    <t>Финансовый эффект</t>
  </si>
  <si>
    <t>🔴 КРИТИЧНО</t>
  </si>
  <si>
    <t>Ошибки в формулах (неверные ссылки / пропуск данных)</t>
  </si>
  <si>
    <t>Искажение данных до +153 548 руб. и более</t>
  </si>
  <si>
    <t>🟡 ПРЕДУПРЕЖДЕНИЕ</t>
  </si>
  <si>
    <t>Непоследовательные формулы (разные знаменатели/строки)</t>
  </si>
  <si>
    <t>Искажение % метрик (до ~12 п.п.)</t>
  </si>
  <si>
    <t>🔵 ИНФОРМАЦИЯ</t>
  </si>
  <si>
    <t>Ошибки #ДЕЛ/0! в незаполненных месяцах</t>
  </si>
  <si>
    <t>Много</t>
  </si>
  <si>
    <t>Нет (данные пока не введены)</t>
  </si>
  <si>
    <t>✅ ОК</t>
  </si>
  <si>
    <t>Кассовый баланс (CF) и переносы остатков</t>
  </si>
  <si>
    <t>—</t>
  </si>
  <si>
    <t>Корректны, расхождений нет</t>
  </si>
  <si>
    <t>30.03-05.04</t>
  </si>
  <si>
    <t>06.04-12.04</t>
  </si>
  <si>
    <t>13.04-19.04</t>
  </si>
  <si>
    <t>20.04-26.04</t>
  </si>
  <si>
    <t>27.04-01.05</t>
  </si>
  <si>
    <t>04.05-10.05</t>
  </si>
  <si>
    <t>11.05-17.05</t>
  </si>
  <si>
    <t>18.05-24.05</t>
  </si>
  <si>
    <t>25.05-31.05</t>
  </si>
  <si>
    <t>01.06-07.06</t>
  </si>
  <si>
    <t>08.06-14.06</t>
  </si>
  <si>
    <t>15.-06-21.06</t>
  </si>
  <si>
    <t>22.06-28.06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</si>
</sst>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%"/>
    <numFmt numFmtId="165" formatCode="dd\.mm\.yy"/>
    <numFmt numFmtId="166" formatCode="#,##0;\(#,##0\)"/>
    <numFmt numFmtId="167" formatCode="m/d/yyyy"/>
    <numFmt numFmtId="168" formatCode="_(* #,##0.00_);_(* \(#,##0.00\);_(* &quot;-&quot;??_);_(@_)"/>
  </numFmts>
  <fonts count="8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u/>
      <sz val="11"/>
      <color rgb="FF0000FF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b/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rgb="FF000000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rgb="FFA5A5A5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11"/>
      <color theme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6"/>
      <name val="Calibri"/>
      <family val="2"/>
      <charset val="204"/>
      <scheme val="minor"/>
    </font>
    <font>
      <sz val="11"/>
      <color rgb="FFA5A5A5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CCCCCC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Arial"/>
      <family val="2"/>
      <charset val="204"/>
    </font>
    <font>
      <sz val="11"/>
      <color rgb="FFFF000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rgb="FFFFFFFF"/>
      <name val="Aptos Narrow"/>
    </font>
    <font>
      <sz val="11"/>
      <name val="Calibri"/>
      <family val="2"/>
      <charset val="204"/>
      <scheme val="minor"/>
    </font>
    <font>
      <b/>
      <sz val="14"/>
      <name val="Aptos Narrow"/>
    </font>
    <font>
      <b/>
      <sz val="11"/>
      <name val="Aptos Narrow"/>
    </font>
    <font>
      <sz val="11"/>
      <color rgb="FF008000"/>
      <name val="Calibri"/>
      <family val="2"/>
      <charset val="204"/>
      <scheme val="minor"/>
    </font>
    <font>
      <b/>
      <sz val="11"/>
      <name val="Arial Narrow"/>
      <family val="2"/>
      <charset val="204"/>
    </font>
    <font>
      <b/>
      <sz val="16"/>
      <color rgb="FFFFFFFF"/>
      <name val="Calibri"/>
      <scheme val="minor"/>
    </font>
    <font>
      <b/>
      <sz val="11"/>
      <color theme="1"/>
      <name val="Calibri"/>
      <scheme val="minor"/>
    </font>
    <font>
      <b/>
      <sz val="13"/>
      <color rgb="FFFFFFFF"/>
      <name val="Calibri"/>
      <scheme val="minor"/>
    </font>
    <font>
      <b/>
      <sz val="11"/>
      <color rgb="FFC00000"/>
      <name val="Calibri"/>
      <scheme val="minor"/>
    </font>
    <font>
      <b/>
      <sz val="11"/>
      <color rgb="FF7F6000"/>
      <name val="Calibri"/>
      <scheme val="minor"/>
    </font>
    <font>
      <b/>
      <sz val="11"/>
      <color rgb="FF1F497D"/>
      <name val="Calibri"/>
      <scheme val="minor"/>
    </font>
    <font>
      <b/>
      <sz val="11"/>
      <color rgb="FF375623"/>
      <name val="Calibri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A5A5A5"/>
        <bgColor rgb="FFA5A5A5"/>
      </patternFill>
    </fill>
    <fill>
      <patternFill patternType="solid">
        <fgColor rgb="FFE9F1F8"/>
        <bgColor rgb="FFE9F1F8"/>
      </patternFill>
    </fill>
    <fill>
      <patternFill patternType="solid">
        <fgColor rgb="FFFFFF00"/>
        <bgColor rgb="FFFFFF00"/>
      </patternFill>
    </fill>
    <fill>
      <patternFill patternType="solid">
        <fgColor rgb="FFF1F3FB"/>
        <bgColor rgb="FFF1F3FB"/>
      </patternFill>
    </fill>
    <fill>
      <patternFill patternType="solid">
        <fgColor rgb="FF00FFFF"/>
        <bgColor rgb="FF00FFFF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FFE599"/>
        <bgColor rgb="FFFFE599"/>
      </patternFill>
    </fill>
    <fill>
      <patternFill patternType="solid">
        <fgColor rgb="FF66FF66"/>
        <bgColor indexed="64"/>
      </patternFill>
    </fill>
    <fill>
      <patternFill patternType="solid">
        <fgColor rgb="FF00FFFF"/>
        <bgColor theme="0"/>
      </patternFill>
    </fill>
    <fill>
      <patternFill patternType="solid">
        <fgColor rgb="FF00FFFF"/>
        <bgColor indexed="64"/>
      </patternFill>
    </fill>
    <fill>
      <patternFill patternType="solid">
        <fgColor rgb="FF00FFFF"/>
        <bgColor rgb="FFF1F3FB"/>
      </patternFill>
    </fill>
    <fill>
      <patternFill patternType="solid">
        <fgColor rgb="FF00FFFF"/>
        <bgColor rgb="FFFFFFFF"/>
      </patternFill>
    </fill>
    <fill>
      <patternFill patternType="solid">
        <fgColor rgb="FF00FFFF"/>
        <bgColor rgb="FFE9F1F8"/>
      </patternFill>
    </fill>
    <fill>
      <patternFill patternType="solid">
        <fgColor rgb="FF00CC00"/>
        <bgColor theme="0"/>
      </patternFill>
    </fill>
    <fill>
      <patternFill patternType="solid">
        <fgColor rgb="FF00CC00"/>
        <bgColor indexed="64"/>
      </patternFill>
    </fill>
    <fill>
      <patternFill patternType="solid">
        <fgColor rgb="FF1F4E78"/>
      </patternFill>
    </fill>
    <fill>
      <patternFill patternType="solid">
        <fgColor rgb="FFD3D3D3"/>
      </patternFill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E0F0E0"/>
      </patternFill>
    </fill>
    <fill>
      <patternFill patternType="solid">
        <fgColor rgb="FFFFFACD"/>
      </patternFill>
    </fill>
    <fill>
      <patternFill patternType="solid">
        <fgColor rgb="FFFFD700"/>
      </patternFill>
    </fill>
    <fill>
      <patternFill patternType="solid">
        <fgColor rgb="FFFFE4B5"/>
      </patternFill>
    </fill>
    <fill>
      <patternFill patternType="solid">
        <fgColor rgb="FFF0F0F0"/>
      </patternFill>
    </fill>
    <fill>
      <patternFill patternType="solid">
        <fgColor rgb="FFDDA0DD"/>
      </patternFill>
    </fill>
    <fill>
      <patternFill patternType="solid">
        <fgColor rgb="FFE6D8E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E2EFDA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 style="thin">
        <color rgb="FF000000"/>
      </right>
      <top/>
      <bottom style="thick">
        <color theme="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medium">
        <color rgb="FF000000"/>
      </top>
      <bottom style="thin">
        <color rgb="FFD3D3D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indexed="64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2">
    <xf numFmtId="0" fontId="0" fillId="0" borderId="0"/>
    <xf numFmtId="0" fontId="66" fillId="0" borderId="20"/>
  </cellStyleXfs>
  <cellXfs count="545">
    <xf numFmtId="0" fontId="0" fillId="0" borderId="0" xfId="0"/>
    <xf numFmtId="0" fontId="35" fillId="0" borderId="0" xfId="0" applyFont="1"/>
    <xf numFmtId="0" fontId="36" fillId="0" borderId="0" xfId="0" applyFont="1"/>
    <xf numFmtId="0" fontId="41" fillId="4" borderId="0" xfId="0" applyFont="1" applyFill="1" applyAlignment="1">
      <alignment horizontal="center" vertical="center"/>
    </xf>
    <xf numFmtId="0" fontId="42" fillId="5" borderId="3" xfId="0" applyFont="1" applyFill="1" applyBorder="1" applyAlignment="1">
      <alignment vertical="center"/>
    </xf>
    <xf numFmtId="0" fontId="43" fillId="0" borderId="1" xfId="0" applyFont="1" applyBorder="1" applyAlignment="1">
      <alignment horizontal="center" vertical="center"/>
    </xf>
    <xf numFmtId="3" fontId="43" fillId="0" borderId="0" xfId="0" applyNumberFormat="1" applyFont="1" applyAlignment="1">
      <alignment horizontal="left" vertical="center"/>
    </xf>
    <xf numFmtId="3" fontId="43" fillId="0" borderId="2" xfId="0" applyNumberFormat="1" applyFont="1" applyBorder="1" applyAlignment="1">
      <alignment horizontal="center" vertical="center"/>
    </xf>
    <xf numFmtId="3" fontId="43" fillId="4" borderId="0" xfId="0" applyNumberFormat="1" applyFont="1" applyFill="1" applyAlignment="1">
      <alignment horizontal="center" vertical="center"/>
    </xf>
    <xf numFmtId="3" fontId="43" fillId="0" borderId="0" xfId="0" applyNumberFormat="1" applyFont="1" applyAlignment="1">
      <alignment horizontal="center" vertical="center"/>
    </xf>
    <xf numFmtId="3" fontId="43" fillId="0" borderId="2" xfId="0" applyNumberFormat="1" applyFont="1" applyBorder="1" applyAlignment="1">
      <alignment horizontal="left" vertical="center"/>
    </xf>
    <xf numFmtId="3" fontId="43" fillId="4" borderId="0" xfId="0" applyNumberFormat="1" applyFont="1" applyFill="1" applyAlignment="1">
      <alignment horizontal="left"/>
    </xf>
    <xf numFmtId="3" fontId="41" fillId="0" borderId="0" xfId="0" applyNumberFormat="1" applyFont="1" applyAlignment="1">
      <alignment horizontal="center" vertical="center"/>
    </xf>
    <xf numFmtId="0" fontId="41" fillId="4" borderId="2" xfId="0" applyFont="1" applyFill="1" applyBorder="1" applyAlignment="1">
      <alignment horizontal="center" vertical="center"/>
    </xf>
    <xf numFmtId="3" fontId="43" fillId="10" borderId="12" xfId="0" applyNumberFormat="1" applyFont="1" applyFill="1" applyBorder="1" applyAlignment="1">
      <alignment horizontal="center" vertical="center"/>
    </xf>
    <xf numFmtId="3" fontId="43" fillId="0" borderId="12" xfId="0" applyNumberFormat="1" applyFont="1" applyBorder="1" applyAlignment="1">
      <alignment horizontal="center" vertical="center"/>
    </xf>
    <xf numFmtId="3" fontId="43" fillId="10" borderId="0" xfId="0" applyNumberFormat="1" applyFont="1" applyFill="1" applyAlignment="1">
      <alignment horizontal="center" vertical="center"/>
    </xf>
    <xf numFmtId="3" fontId="46" fillId="0" borderId="12" xfId="0" applyNumberFormat="1" applyFont="1" applyBorder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47" fillId="4" borderId="0" xfId="0" applyFont="1" applyFill="1" applyAlignment="1">
      <alignment vertical="center"/>
    </xf>
    <xf numFmtId="0" fontId="41" fillId="5" borderId="4" xfId="0" applyFont="1" applyFill="1" applyBorder="1" applyAlignment="1">
      <alignment horizontal="center" vertical="center"/>
    </xf>
    <xf numFmtId="0" fontId="43" fillId="0" borderId="1" xfId="0" applyFont="1" applyBorder="1" applyAlignment="1">
      <alignment horizontal="left" vertical="center"/>
    </xf>
    <xf numFmtId="0" fontId="43" fillId="0" borderId="13" xfId="0" applyFont="1" applyBorder="1" applyAlignment="1">
      <alignment horizontal="center" vertical="center"/>
    </xf>
    <xf numFmtId="3" fontId="41" fillId="7" borderId="3" xfId="0" applyNumberFormat="1" applyFont="1" applyFill="1" applyBorder="1" applyAlignment="1">
      <alignment horizontal="left" vertical="center"/>
    </xf>
    <xf numFmtId="3" fontId="43" fillId="7" borderId="2" xfId="0" applyNumberFormat="1" applyFont="1" applyFill="1" applyBorder="1" applyAlignment="1">
      <alignment horizontal="center" vertical="center"/>
    </xf>
    <xf numFmtId="3" fontId="41" fillId="7" borderId="7" xfId="0" applyNumberFormat="1" applyFont="1" applyFill="1" applyBorder="1" applyAlignment="1">
      <alignment horizontal="center" vertical="center"/>
    </xf>
    <xf numFmtId="3" fontId="41" fillId="11" borderId="3" xfId="0" applyNumberFormat="1" applyFont="1" applyFill="1" applyBorder="1" applyAlignment="1">
      <alignment horizontal="left" vertical="center"/>
    </xf>
    <xf numFmtId="3" fontId="41" fillId="11" borderId="4" xfId="0" applyNumberFormat="1" applyFont="1" applyFill="1" applyBorder="1" applyAlignment="1">
      <alignment horizontal="center" vertical="center"/>
    </xf>
    <xf numFmtId="3" fontId="43" fillId="11" borderId="7" xfId="0" applyNumberFormat="1" applyFont="1" applyFill="1" applyBorder="1" applyAlignment="1">
      <alignment horizontal="center" vertical="center"/>
    </xf>
    <xf numFmtId="3" fontId="43" fillId="11" borderId="3" xfId="0" applyNumberFormat="1" applyFont="1" applyFill="1" applyBorder="1" applyAlignment="1">
      <alignment horizontal="center" vertical="center"/>
    </xf>
    <xf numFmtId="3" fontId="41" fillId="0" borderId="0" xfId="0" applyNumberFormat="1" applyFont="1" applyAlignment="1">
      <alignment horizontal="left" vertical="center"/>
    </xf>
    <xf numFmtId="3" fontId="41" fillId="0" borderId="2" xfId="0" applyNumberFormat="1" applyFont="1" applyBorder="1" applyAlignment="1">
      <alignment horizontal="center" vertical="center"/>
    </xf>
    <xf numFmtId="0" fontId="43" fillId="0" borderId="0" xfId="0" applyFont="1"/>
    <xf numFmtId="3" fontId="41" fillId="11" borderId="14" xfId="0" applyNumberFormat="1" applyFont="1" applyFill="1" applyBorder="1" applyAlignment="1">
      <alignment horizontal="left" vertical="center"/>
    </xf>
    <xf numFmtId="3" fontId="41" fillId="11" borderId="15" xfId="0" applyNumberFormat="1" applyFont="1" applyFill="1" applyBorder="1" applyAlignment="1">
      <alignment horizontal="center" vertical="center"/>
    </xf>
    <xf numFmtId="3" fontId="43" fillId="11" borderId="16" xfId="0" applyNumberFormat="1" applyFont="1" applyFill="1" applyBorder="1" applyAlignment="1">
      <alignment horizontal="center" vertical="center"/>
    </xf>
    <xf numFmtId="3" fontId="43" fillId="11" borderId="14" xfId="0" applyNumberFormat="1" applyFont="1" applyFill="1" applyBorder="1" applyAlignment="1">
      <alignment horizontal="center" vertical="center"/>
    </xf>
    <xf numFmtId="3" fontId="41" fillId="11" borderId="17" xfId="0" applyNumberFormat="1" applyFont="1" applyFill="1" applyBorder="1" applyAlignment="1">
      <alignment horizontal="left" vertical="center"/>
    </xf>
    <xf numFmtId="3" fontId="41" fillId="11" borderId="18" xfId="0" applyNumberFormat="1" applyFont="1" applyFill="1" applyBorder="1" applyAlignment="1">
      <alignment horizontal="center" vertical="center"/>
    </xf>
    <xf numFmtId="3" fontId="41" fillId="11" borderId="19" xfId="0" applyNumberFormat="1" applyFont="1" applyFill="1" applyBorder="1" applyAlignment="1">
      <alignment horizontal="center" vertical="center"/>
    </xf>
    <xf numFmtId="3" fontId="41" fillId="11" borderId="17" xfId="0" applyNumberFormat="1" applyFont="1" applyFill="1" applyBorder="1" applyAlignment="1">
      <alignment horizontal="center" vertical="center"/>
    </xf>
    <xf numFmtId="3" fontId="43" fillId="4" borderId="2" xfId="0" applyNumberFormat="1" applyFont="1" applyFill="1" applyBorder="1" applyAlignment="1">
      <alignment horizontal="left" vertical="center"/>
    </xf>
    <xf numFmtId="3" fontId="43" fillId="0" borderId="0" xfId="0" applyNumberFormat="1" applyFont="1" applyAlignment="1">
      <alignment vertical="center"/>
    </xf>
    <xf numFmtId="3" fontId="41" fillId="11" borderId="5" xfId="0" applyNumberFormat="1" applyFont="1" applyFill="1" applyBorder="1" applyAlignment="1">
      <alignment horizontal="center" vertical="center"/>
    </xf>
    <xf numFmtId="3" fontId="37" fillId="0" borderId="0" xfId="0" applyNumberFormat="1" applyFont="1"/>
    <xf numFmtId="3" fontId="37" fillId="0" borderId="2" xfId="0" applyNumberFormat="1" applyFont="1" applyBorder="1"/>
    <xf numFmtId="3" fontId="41" fillId="3" borderId="0" xfId="0" applyNumberFormat="1" applyFont="1" applyFill="1" applyAlignment="1">
      <alignment horizontal="left" vertical="center"/>
    </xf>
    <xf numFmtId="3" fontId="43" fillId="3" borderId="2" xfId="0" applyNumberFormat="1" applyFont="1" applyFill="1" applyBorder="1" applyAlignment="1">
      <alignment horizontal="center" vertical="center"/>
    </xf>
    <xf numFmtId="3" fontId="43" fillId="3" borderId="0" xfId="0" applyNumberFormat="1" applyFont="1" applyFill="1" applyAlignment="1">
      <alignment horizontal="center" vertical="center"/>
    </xf>
    <xf numFmtId="3" fontId="41" fillId="12" borderId="3" xfId="0" applyNumberFormat="1" applyFont="1" applyFill="1" applyBorder="1" applyAlignment="1">
      <alignment horizontal="left" vertical="center"/>
    </xf>
    <xf numFmtId="3" fontId="43" fillId="12" borderId="4" xfId="0" applyNumberFormat="1" applyFont="1" applyFill="1" applyBorder="1" applyAlignment="1">
      <alignment horizontal="center" vertical="center"/>
    </xf>
    <xf numFmtId="3" fontId="43" fillId="12" borderId="7" xfId="0" applyNumberFormat="1" applyFont="1" applyFill="1" applyBorder="1" applyAlignment="1">
      <alignment horizontal="center" vertical="center"/>
    </xf>
    <xf numFmtId="3" fontId="43" fillId="12" borderId="3" xfId="0" applyNumberFormat="1" applyFont="1" applyFill="1" applyBorder="1" applyAlignment="1">
      <alignment horizontal="center" vertical="center"/>
    </xf>
    <xf numFmtId="3" fontId="48" fillId="0" borderId="2" xfId="0" applyNumberFormat="1" applyFont="1" applyBorder="1" applyAlignment="1">
      <alignment horizontal="center" vertical="center"/>
    </xf>
    <xf numFmtId="10" fontId="44" fillId="0" borderId="0" xfId="0" applyNumberFormat="1" applyFont="1" applyAlignment="1">
      <alignment horizontal="center" vertical="center"/>
    </xf>
    <xf numFmtId="3" fontId="48" fillId="0" borderId="0" xfId="0" applyNumberFormat="1" applyFont="1" applyAlignment="1">
      <alignment horizontal="center" vertical="center"/>
    </xf>
    <xf numFmtId="3" fontId="48" fillId="0" borderId="2" xfId="0" applyNumberFormat="1" applyFont="1" applyBorder="1" applyAlignment="1">
      <alignment horizontal="right" vertical="center"/>
    </xf>
    <xf numFmtId="3" fontId="48" fillId="0" borderId="0" xfId="0" applyNumberFormat="1" applyFont="1" applyAlignment="1">
      <alignment horizontal="left" vertical="center"/>
    </xf>
    <xf numFmtId="3" fontId="48" fillId="12" borderId="2" xfId="0" applyNumberFormat="1" applyFont="1" applyFill="1" applyBorder="1" applyAlignment="1">
      <alignment horizontal="center" vertical="center"/>
    </xf>
    <xf numFmtId="3" fontId="48" fillId="13" borderId="0" xfId="0" applyNumberFormat="1" applyFont="1" applyFill="1" applyAlignment="1">
      <alignment horizontal="left" vertical="center"/>
    </xf>
    <xf numFmtId="3" fontId="48" fillId="13" borderId="2" xfId="0" applyNumberFormat="1" applyFont="1" applyFill="1" applyBorder="1" applyAlignment="1">
      <alignment horizontal="center" vertical="center"/>
    </xf>
    <xf numFmtId="3" fontId="41" fillId="13" borderId="0" xfId="0" applyNumberFormat="1" applyFont="1" applyFill="1" applyAlignment="1">
      <alignment horizontal="center" vertical="center"/>
    </xf>
    <xf numFmtId="0" fontId="41" fillId="5" borderId="3" xfId="0" applyFont="1" applyFill="1" applyBorder="1" applyAlignment="1">
      <alignment horizontal="left" vertical="center"/>
    </xf>
    <xf numFmtId="3" fontId="41" fillId="7" borderId="12" xfId="0" applyNumberFormat="1" applyFont="1" applyFill="1" applyBorder="1" applyAlignment="1">
      <alignment horizontal="center" vertical="center"/>
    </xf>
    <xf numFmtId="3" fontId="43" fillId="11" borderId="0" xfId="0" applyNumberFormat="1" applyFont="1" applyFill="1" applyAlignment="1">
      <alignment horizontal="center" vertical="center"/>
    </xf>
    <xf numFmtId="3" fontId="43" fillId="11" borderId="12" xfId="0" applyNumberFormat="1" applyFont="1" applyFill="1" applyBorder="1" applyAlignment="1">
      <alignment horizontal="center" vertical="center"/>
    </xf>
    <xf numFmtId="3" fontId="43" fillId="11" borderId="2" xfId="0" applyNumberFormat="1" applyFont="1" applyFill="1" applyBorder="1" applyAlignment="1">
      <alignment horizontal="center" vertical="center"/>
    </xf>
    <xf numFmtId="0" fontId="41" fillId="0" borderId="0" xfId="0" applyFont="1"/>
    <xf numFmtId="3" fontId="41" fillId="0" borderId="12" xfId="0" applyNumberFormat="1" applyFont="1" applyBorder="1" applyAlignment="1">
      <alignment horizontal="center" vertical="center"/>
    </xf>
    <xf numFmtId="3" fontId="41" fillId="11" borderId="0" xfId="0" applyNumberFormat="1" applyFont="1" applyFill="1" applyAlignment="1">
      <alignment horizontal="left" vertical="center"/>
    </xf>
    <xf numFmtId="3" fontId="41" fillId="11" borderId="12" xfId="0" applyNumberFormat="1" applyFont="1" applyFill="1" applyBorder="1" applyAlignment="1">
      <alignment horizontal="center" vertical="center"/>
    </xf>
    <xf numFmtId="3" fontId="41" fillId="11" borderId="20" xfId="0" applyNumberFormat="1" applyFont="1" applyFill="1" applyBorder="1" applyAlignment="1">
      <alignment horizontal="left" vertical="center"/>
    </xf>
    <xf numFmtId="3" fontId="41" fillId="11" borderId="21" xfId="0" applyNumberFormat="1" applyFont="1" applyFill="1" applyBorder="1" applyAlignment="1">
      <alignment horizontal="center" vertical="center"/>
    </xf>
    <xf numFmtId="3" fontId="43" fillId="12" borderId="12" xfId="0" applyNumberFormat="1" applyFont="1" applyFill="1" applyBorder="1" applyAlignment="1">
      <alignment horizontal="center" vertical="center"/>
    </xf>
    <xf numFmtId="3" fontId="43" fillId="12" borderId="0" xfId="0" applyNumberFormat="1" applyFont="1" applyFill="1" applyAlignment="1">
      <alignment horizontal="center" vertical="center"/>
    </xf>
    <xf numFmtId="3" fontId="43" fillId="12" borderId="2" xfId="0" applyNumberFormat="1" applyFont="1" applyFill="1" applyBorder="1" applyAlignment="1">
      <alignment horizontal="center" vertical="center"/>
    </xf>
    <xf numFmtId="10" fontId="44" fillId="0" borderId="12" xfId="0" applyNumberFormat="1" applyFont="1" applyBorder="1" applyAlignment="1">
      <alignment horizontal="center" vertical="center"/>
    </xf>
    <xf numFmtId="4" fontId="44" fillId="0" borderId="0" xfId="0" applyNumberFormat="1" applyFont="1" applyAlignment="1">
      <alignment horizontal="center" vertical="center"/>
    </xf>
    <xf numFmtId="4" fontId="44" fillId="0" borderId="2" xfId="0" applyNumberFormat="1" applyFont="1" applyBorder="1" applyAlignment="1">
      <alignment horizontal="center" vertical="center"/>
    </xf>
    <xf numFmtId="10" fontId="44" fillId="0" borderId="2" xfId="0" applyNumberFormat="1" applyFont="1" applyBorder="1" applyAlignment="1">
      <alignment horizontal="center" vertical="center"/>
    </xf>
    <xf numFmtId="3" fontId="48" fillId="0" borderId="12" xfId="0" applyNumberFormat="1" applyFont="1" applyBorder="1" applyAlignment="1">
      <alignment horizontal="center" vertical="center"/>
    </xf>
    <xf numFmtId="3" fontId="50" fillId="0" borderId="0" xfId="0" applyNumberFormat="1" applyFont="1" applyAlignment="1">
      <alignment horizontal="left" vertical="center"/>
    </xf>
    <xf numFmtId="3" fontId="50" fillId="0" borderId="2" xfId="0" applyNumberFormat="1" applyFont="1" applyBorder="1" applyAlignment="1">
      <alignment horizontal="center" vertical="center"/>
    </xf>
    <xf numFmtId="3" fontId="50" fillId="0" borderId="12" xfId="0" applyNumberFormat="1" applyFont="1" applyBorder="1" applyAlignment="1">
      <alignment horizontal="center" vertical="center"/>
    </xf>
    <xf numFmtId="3" fontId="50" fillId="0" borderId="0" xfId="0" applyNumberFormat="1" applyFont="1" applyAlignment="1">
      <alignment horizontal="center" vertical="center"/>
    </xf>
    <xf numFmtId="3" fontId="46" fillId="0" borderId="0" xfId="0" applyNumberFormat="1" applyFont="1" applyAlignment="1">
      <alignment horizontal="center" vertical="center"/>
    </xf>
    <xf numFmtId="3" fontId="46" fillId="0" borderId="2" xfId="0" applyNumberFormat="1" applyFont="1" applyBorder="1" applyAlignment="1">
      <alignment horizontal="center" vertical="center"/>
    </xf>
    <xf numFmtId="166" fontId="46" fillId="0" borderId="12" xfId="0" applyNumberFormat="1" applyFont="1" applyBorder="1" applyAlignment="1">
      <alignment horizontal="center" vertical="center"/>
    </xf>
    <xf numFmtId="166" fontId="46" fillId="0" borderId="0" xfId="0" applyNumberFormat="1" applyFont="1" applyAlignment="1">
      <alignment horizontal="center" vertical="center"/>
    </xf>
    <xf numFmtId="166" fontId="46" fillId="0" borderId="2" xfId="0" applyNumberFormat="1" applyFont="1" applyBorder="1" applyAlignment="1">
      <alignment horizontal="center" vertical="center"/>
    </xf>
    <xf numFmtId="3" fontId="43" fillId="16" borderId="12" xfId="0" applyNumberFormat="1" applyFont="1" applyFill="1" applyBorder="1" applyAlignment="1">
      <alignment horizontal="center" vertical="center"/>
    </xf>
    <xf numFmtId="3" fontId="43" fillId="15" borderId="0" xfId="0" applyNumberFormat="1" applyFont="1" applyFill="1" applyAlignment="1">
      <alignment horizontal="center" vertical="center"/>
    </xf>
    <xf numFmtId="3" fontId="43" fillId="16" borderId="0" xfId="0" applyNumberFormat="1" applyFont="1" applyFill="1" applyAlignment="1">
      <alignment horizontal="center" vertical="center"/>
    </xf>
    <xf numFmtId="3" fontId="43" fillId="16" borderId="2" xfId="0" applyNumberFormat="1" applyFont="1" applyFill="1" applyBorder="1" applyAlignment="1">
      <alignment horizontal="center" vertical="center"/>
    </xf>
    <xf numFmtId="3" fontId="43" fillId="15" borderId="12" xfId="0" applyNumberFormat="1" applyFont="1" applyFill="1" applyBorder="1" applyAlignment="1">
      <alignment horizontal="center" vertical="center"/>
    </xf>
    <xf numFmtId="3" fontId="43" fillId="15" borderId="2" xfId="0" applyNumberFormat="1" applyFont="1" applyFill="1" applyBorder="1" applyAlignment="1">
      <alignment horizontal="center" vertical="center"/>
    </xf>
    <xf numFmtId="3" fontId="37" fillId="16" borderId="12" xfId="0" applyNumberFormat="1" applyFont="1" applyFill="1" applyBorder="1"/>
    <xf numFmtId="3" fontId="37" fillId="16" borderId="0" xfId="0" applyNumberFormat="1" applyFont="1" applyFill="1"/>
    <xf numFmtId="3" fontId="37" fillId="16" borderId="2" xfId="0" applyNumberFormat="1" applyFont="1" applyFill="1" applyBorder="1"/>
    <xf numFmtId="3" fontId="43" fillId="18" borderId="12" xfId="0" applyNumberFormat="1" applyFont="1" applyFill="1" applyBorder="1" applyAlignment="1">
      <alignment horizontal="center" vertical="center"/>
    </xf>
    <xf numFmtId="3" fontId="43" fillId="18" borderId="0" xfId="0" applyNumberFormat="1" applyFont="1" applyFill="1" applyAlignment="1">
      <alignment horizontal="center" vertical="center"/>
    </xf>
    <xf numFmtId="3" fontId="43" fillId="18" borderId="2" xfId="0" applyNumberFormat="1" applyFont="1" applyFill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3" fontId="43" fillId="0" borderId="20" xfId="0" applyNumberFormat="1" applyFont="1" applyBorder="1" applyAlignment="1">
      <alignment horizontal="center" vertical="center"/>
    </xf>
    <xf numFmtId="0" fontId="36" fillId="0" borderId="22" xfId="0" applyFont="1" applyBorder="1"/>
    <xf numFmtId="0" fontId="34" fillId="0" borderId="22" xfId="0" applyFont="1" applyBorder="1"/>
    <xf numFmtId="3" fontId="34" fillId="0" borderId="22" xfId="0" applyNumberFormat="1" applyFont="1" applyBorder="1"/>
    <xf numFmtId="0" fontId="34" fillId="0" borderId="0" xfId="0" applyFont="1"/>
    <xf numFmtId="0" fontId="34" fillId="0" borderId="23" xfId="0" quotePrefix="1" applyFont="1" applyBorder="1" applyAlignment="1">
      <alignment horizontal="center" vertical="center"/>
    </xf>
    <xf numFmtId="0" fontId="34" fillId="0" borderId="41" xfId="0" quotePrefix="1" applyFont="1" applyBorder="1" applyAlignment="1">
      <alignment horizontal="center" vertical="center"/>
    </xf>
    <xf numFmtId="0" fontId="34" fillId="0" borderId="42" xfId="0" quotePrefix="1" applyFont="1" applyBorder="1" applyAlignment="1">
      <alignment horizontal="center" vertical="center"/>
    </xf>
    <xf numFmtId="0" fontId="34" fillId="0" borderId="29" xfId="0" quotePrefix="1" applyFont="1" applyBorder="1" applyAlignment="1">
      <alignment horizontal="center" vertical="center"/>
    </xf>
    <xf numFmtId="1" fontId="34" fillId="0" borderId="22" xfId="0" applyNumberFormat="1" applyFont="1" applyBorder="1"/>
    <xf numFmtId="0" fontId="36" fillId="5" borderId="24" xfId="0" applyFont="1" applyFill="1" applyBorder="1" applyAlignment="1">
      <alignment horizontal="left" vertical="center"/>
    </xf>
    <xf numFmtId="3" fontId="34" fillId="0" borderId="22" xfId="0" applyNumberFormat="1" applyFont="1" applyBorder="1" applyAlignment="1">
      <alignment horizontal="left" vertical="center"/>
    </xf>
    <xf numFmtId="3" fontId="34" fillId="0" borderId="24" xfId="0" applyNumberFormat="1" applyFont="1" applyBorder="1" applyAlignment="1">
      <alignment horizontal="center" vertical="center"/>
    </xf>
    <xf numFmtId="3" fontId="34" fillId="10" borderId="36" xfId="0" applyNumberFormat="1" applyFont="1" applyFill="1" applyBorder="1" applyAlignment="1">
      <alignment horizontal="center" vertical="center"/>
    </xf>
    <xf numFmtId="3" fontId="34" fillId="0" borderId="22" xfId="0" applyNumberFormat="1" applyFont="1" applyBorder="1" applyAlignment="1">
      <alignment horizontal="center" vertical="center"/>
    </xf>
    <xf numFmtId="3" fontId="34" fillId="0" borderId="37" xfId="0" applyNumberFormat="1" applyFont="1" applyBorder="1" applyAlignment="1">
      <alignment horizontal="center" vertical="center"/>
    </xf>
    <xf numFmtId="3" fontId="34" fillId="0" borderId="36" xfId="0" applyNumberFormat="1" applyFont="1" applyBorder="1" applyAlignment="1">
      <alignment horizontal="center" vertical="center"/>
    </xf>
    <xf numFmtId="3" fontId="34" fillId="0" borderId="24" xfId="0" applyNumberFormat="1" applyFont="1" applyBorder="1" applyAlignment="1">
      <alignment horizontal="left" vertical="center"/>
    </xf>
    <xf numFmtId="3" fontId="34" fillId="0" borderId="24" xfId="0" applyNumberFormat="1" applyFont="1" applyBorder="1" applyAlignment="1">
      <alignment horizontal="right" vertical="center"/>
    </xf>
    <xf numFmtId="3" fontId="34" fillId="10" borderId="22" xfId="0" applyNumberFormat="1" applyFont="1" applyFill="1" applyBorder="1" applyAlignment="1">
      <alignment horizontal="center" vertical="center"/>
    </xf>
    <xf numFmtId="3" fontId="34" fillId="10" borderId="37" xfId="0" applyNumberFormat="1" applyFont="1" applyFill="1" applyBorder="1" applyAlignment="1">
      <alignment horizontal="center" vertical="center"/>
    </xf>
    <xf numFmtId="3" fontId="34" fillId="16" borderId="36" xfId="0" applyNumberFormat="1" applyFont="1" applyFill="1" applyBorder="1" applyAlignment="1">
      <alignment horizontal="center" vertical="center"/>
    </xf>
    <xf numFmtId="3" fontId="34" fillId="16" borderId="22" xfId="0" applyNumberFormat="1" applyFont="1" applyFill="1" applyBorder="1" applyAlignment="1">
      <alignment horizontal="center" vertical="center"/>
    </xf>
    <xf numFmtId="3" fontId="34" fillId="16" borderId="37" xfId="0" applyNumberFormat="1" applyFont="1" applyFill="1" applyBorder="1" applyAlignment="1">
      <alignment horizontal="center" vertical="center"/>
    </xf>
    <xf numFmtId="3" fontId="34" fillId="4" borderId="22" xfId="0" applyNumberFormat="1" applyFont="1" applyFill="1" applyBorder="1" applyAlignment="1">
      <alignment horizontal="left" vertical="center"/>
    </xf>
    <xf numFmtId="3" fontId="34" fillId="4" borderId="24" xfId="0" applyNumberFormat="1" applyFont="1" applyFill="1" applyBorder="1" applyAlignment="1">
      <alignment horizontal="center" vertical="center"/>
    </xf>
    <xf numFmtId="3" fontId="34" fillId="15" borderId="36" xfId="0" applyNumberFormat="1" applyFont="1" applyFill="1" applyBorder="1" applyAlignment="1">
      <alignment horizontal="center" vertical="center"/>
    </xf>
    <xf numFmtId="3" fontId="34" fillId="15" borderId="22" xfId="0" applyNumberFormat="1" applyFont="1" applyFill="1" applyBorder="1" applyAlignment="1">
      <alignment horizontal="center" vertical="center"/>
    </xf>
    <xf numFmtId="3" fontId="34" fillId="15" borderId="37" xfId="0" applyNumberFormat="1" applyFont="1" applyFill="1" applyBorder="1" applyAlignment="1">
      <alignment horizontal="center" vertical="center"/>
    </xf>
    <xf numFmtId="3" fontId="34" fillId="7" borderId="22" xfId="0" applyNumberFormat="1" applyFont="1" applyFill="1" applyBorder="1" applyAlignment="1">
      <alignment horizontal="left" vertical="center"/>
    </xf>
    <xf numFmtId="0" fontId="34" fillId="7" borderId="24" xfId="0" applyFont="1" applyFill="1" applyBorder="1" applyAlignment="1">
      <alignment horizontal="left" vertical="center"/>
    </xf>
    <xf numFmtId="3" fontId="34" fillId="7" borderId="36" xfId="0" applyNumberFormat="1" applyFont="1" applyFill="1" applyBorder="1" applyAlignment="1">
      <alignment horizontal="center" vertical="center"/>
    </xf>
    <xf numFmtId="3" fontId="34" fillId="7" borderId="22" xfId="0" applyNumberFormat="1" applyFont="1" applyFill="1" applyBorder="1" applyAlignment="1">
      <alignment horizontal="center" vertical="center"/>
    </xf>
    <xf numFmtId="3" fontId="34" fillId="7" borderId="37" xfId="0" applyNumberFormat="1" applyFont="1" applyFill="1" applyBorder="1" applyAlignment="1">
      <alignment horizontal="center" vertical="center"/>
    </xf>
    <xf numFmtId="0" fontId="34" fillId="4" borderId="22" xfId="0" applyFont="1" applyFill="1" applyBorder="1" applyAlignment="1">
      <alignment vertical="center"/>
    </xf>
    <xf numFmtId="0" fontId="34" fillId="4" borderId="24" xfId="0" applyFont="1" applyFill="1" applyBorder="1" applyAlignment="1">
      <alignment horizontal="left" vertical="center"/>
    </xf>
    <xf numFmtId="3" fontId="34" fillId="4" borderId="36" xfId="0" applyNumberFormat="1" applyFont="1" applyFill="1" applyBorder="1" applyAlignment="1">
      <alignment horizontal="center" vertical="center"/>
    </xf>
    <xf numFmtId="3" fontId="34" fillId="4" borderId="22" xfId="0" applyNumberFormat="1" applyFont="1" applyFill="1" applyBorder="1" applyAlignment="1">
      <alignment horizontal="center" vertical="center"/>
    </xf>
    <xf numFmtId="3" fontId="34" fillId="4" borderId="37" xfId="0" applyNumberFormat="1" applyFont="1" applyFill="1" applyBorder="1" applyAlignment="1">
      <alignment horizontal="center" vertical="center"/>
    </xf>
    <xf numFmtId="3" fontId="36" fillId="4" borderId="22" xfId="0" applyNumberFormat="1" applyFont="1" applyFill="1" applyBorder="1" applyAlignment="1">
      <alignment horizontal="left"/>
    </xf>
    <xf numFmtId="3" fontId="36" fillId="4" borderId="24" xfId="0" applyNumberFormat="1" applyFont="1" applyFill="1" applyBorder="1" applyAlignment="1">
      <alignment horizontal="center"/>
    </xf>
    <xf numFmtId="3" fontId="36" fillId="10" borderId="36" xfId="0" applyNumberFormat="1" applyFont="1" applyFill="1" applyBorder="1" applyAlignment="1">
      <alignment horizontal="center"/>
    </xf>
    <xf numFmtId="3" fontId="36" fillId="10" borderId="22" xfId="0" applyNumberFormat="1" applyFont="1" applyFill="1" applyBorder="1" applyAlignment="1">
      <alignment horizontal="center"/>
    </xf>
    <xf numFmtId="3" fontId="36" fillId="10" borderId="37" xfId="0" applyNumberFormat="1" applyFont="1" applyFill="1" applyBorder="1" applyAlignment="1">
      <alignment horizontal="center"/>
    </xf>
    <xf numFmtId="3" fontId="36" fillId="15" borderId="36" xfId="0" applyNumberFormat="1" applyFont="1" applyFill="1" applyBorder="1" applyAlignment="1">
      <alignment horizontal="center"/>
    </xf>
    <xf numFmtId="3" fontId="36" fillId="15" borderId="22" xfId="0" applyNumberFormat="1" applyFont="1" applyFill="1" applyBorder="1" applyAlignment="1">
      <alignment horizontal="center"/>
    </xf>
    <xf numFmtId="3" fontId="36" fillId="15" borderId="37" xfId="0" applyNumberFormat="1" applyFont="1" applyFill="1" applyBorder="1" applyAlignment="1">
      <alignment horizontal="center"/>
    </xf>
    <xf numFmtId="3" fontId="34" fillId="4" borderId="22" xfId="0" applyNumberFormat="1" applyFont="1" applyFill="1" applyBorder="1"/>
    <xf numFmtId="3" fontId="34" fillId="4" borderId="24" xfId="0" applyNumberFormat="1" applyFont="1" applyFill="1" applyBorder="1" applyAlignment="1">
      <alignment horizontal="center"/>
    </xf>
    <xf numFmtId="3" fontId="34" fillId="4" borderId="36" xfId="0" applyNumberFormat="1" applyFont="1" applyFill="1" applyBorder="1" applyAlignment="1">
      <alignment horizontal="center"/>
    </xf>
    <xf numFmtId="3" fontId="34" fillId="4" borderId="22" xfId="0" applyNumberFormat="1" applyFont="1" applyFill="1" applyBorder="1" applyAlignment="1">
      <alignment horizontal="center"/>
    </xf>
    <xf numFmtId="3" fontId="34" fillId="4" borderId="37" xfId="0" applyNumberFormat="1" applyFont="1" applyFill="1" applyBorder="1" applyAlignment="1">
      <alignment horizontal="center"/>
    </xf>
    <xf numFmtId="9" fontId="34" fillId="4" borderId="36" xfId="0" applyNumberFormat="1" applyFont="1" applyFill="1" applyBorder="1" applyAlignment="1">
      <alignment horizontal="center"/>
    </xf>
    <xf numFmtId="9" fontId="34" fillId="4" borderId="22" xfId="0" applyNumberFormat="1" applyFont="1" applyFill="1" applyBorder="1" applyAlignment="1">
      <alignment horizontal="center"/>
    </xf>
    <xf numFmtId="9" fontId="34" fillId="4" borderId="37" xfId="0" applyNumberFormat="1" applyFont="1" applyFill="1" applyBorder="1" applyAlignment="1">
      <alignment horizontal="center"/>
    </xf>
    <xf numFmtId="3" fontId="34" fillId="10" borderId="36" xfId="0" applyNumberFormat="1" applyFont="1" applyFill="1" applyBorder="1" applyAlignment="1">
      <alignment horizontal="center"/>
    </xf>
    <xf numFmtId="3" fontId="34" fillId="10" borderId="22" xfId="0" applyNumberFormat="1" applyFont="1" applyFill="1" applyBorder="1" applyAlignment="1">
      <alignment horizontal="center"/>
    </xf>
    <xf numFmtId="3" fontId="34" fillId="10" borderId="37" xfId="0" applyNumberFormat="1" applyFont="1" applyFill="1" applyBorder="1" applyAlignment="1">
      <alignment horizontal="center"/>
    </xf>
    <xf numFmtId="3" fontId="34" fillId="15" borderId="36" xfId="0" applyNumberFormat="1" applyFont="1" applyFill="1" applyBorder="1" applyAlignment="1">
      <alignment horizontal="center"/>
    </xf>
    <xf numFmtId="3" fontId="34" fillId="15" borderId="22" xfId="0" applyNumberFormat="1" applyFont="1" applyFill="1" applyBorder="1" applyAlignment="1">
      <alignment horizontal="center"/>
    </xf>
    <xf numFmtId="3" fontId="34" fillId="15" borderId="37" xfId="0" applyNumberFormat="1" applyFont="1" applyFill="1" applyBorder="1" applyAlignment="1">
      <alignment horizontal="center"/>
    </xf>
    <xf numFmtId="3" fontId="36" fillId="4" borderId="36" xfId="0" applyNumberFormat="1" applyFont="1" applyFill="1" applyBorder="1" applyAlignment="1">
      <alignment horizontal="center"/>
    </xf>
    <xf numFmtId="3" fontId="36" fillId="4" borderId="22" xfId="0" applyNumberFormat="1" applyFont="1" applyFill="1" applyBorder="1" applyAlignment="1">
      <alignment horizontal="center"/>
    </xf>
    <xf numFmtId="3" fontId="36" fillId="4" borderId="37" xfId="0" applyNumberFormat="1" applyFont="1" applyFill="1" applyBorder="1" applyAlignment="1">
      <alignment horizontal="center"/>
    </xf>
    <xf numFmtId="3" fontId="34" fillId="3" borderId="22" xfId="0" applyNumberFormat="1" applyFont="1" applyFill="1" applyBorder="1"/>
    <xf numFmtId="9" fontId="34" fillId="3" borderId="22" xfId="0" applyNumberFormat="1" applyFont="1" applyFill="1" applyBorder="1"/>
    <xf numFmtId="9" fontId="34" fillId="4" borderId="24" xfId="0" applyNumberFormat="1" applyFont="1" applyFill="1" applyBorder="1" applyAlignment="1">
      <alignment horizontal="center"/>
    </xf>
    <xf numFmtId="3" fontId="36" fillId="8" borderId="22" xfId="0" applyNumberFormat="1" applyFont="1" applyFill="1" applyBorder="1" applyAlignment="1">
      <alignment horizontal="left"/>
    </xf>
    <xf numFmtId="3" fontId="36" fillId="8" borderId="24" xfId="0" applyNumberFormat="1" applyFont="1" applyFill="1" applyBorder="1" applyAlignment="1">
      <alignment horizontal="center"/>
    </xf>
    <xf numFmtId="3" fontId="36" fillId="8" borderId="36" xfId="0" applyNumberFormat="1" applyFont="1" applyFill="1" applyBorder="1" applyAlignment="1">
      <alignment horizontal="center"/>
    </xf>
    <xf numFmtId="3" fontId="36" fillId="8" borderId="22" xfId="0" applyNumberFormat="1" applyFont="1" applyFill="1" applyBorder="1" applyAlignment="1">
      <alignment horizontal="center"/>
    </xf>
    <xf numFmtId="3" fontId="36" fillId="8" borderId="37" xfId="0" applyNumberFormat="1" applyFont="1" applyFill="1" applyBorder="1" applyAlignment="1">
      <alignment horizontal="center"/>
    </xf>
    <xf numFmtId="0" fontId="36" fillId="4" borderId="22" xfId="0" applyFont="1" applyFill="1" applyBorder="1" applyAlignment="1">
      <alignment vertical="center"/>
    </xf>
    <xf numFmtId="0" fontId="36" fillId="4" borderId="24" xfId="0" applyFont="1" applyFill="1" applyBorder="1" applyAlignment="1">
      <alignment horizontal="left" vertical="center"/>
    </xf>
    <xf numFmtId="3" fontId="34" fillId="9" borderId="22" xfId="0" applyNumberFormat="1" applyFont="1" applyFill="1" applyBorder="1" applyAlignment="1">
      <alignment horizontal="left"/>
    </xf>
    <xf numFmtId="3" fontId="34" fillId="9" borderId="24" xfId="0" applyNumberFormat="1" applyFont="1" applyFill="1" applyBorder="1" applyAlignment="1">
      <alignment horizontal="center"/>
    </xf>
    <xf numFmtId="3" fontId="34" fillId="17" borderId="36" xfId="0" applyNumberFormat="1" applyFont="1" applyFill="1" applyBorder="1" applyAlignment="1">
      <alignment horizontal="center"/>
    </xf>
    <xf numFmtId="3" fontId="34" fillId="17" borderId="22" xfId="0" applyNumberFormat="1" applyFont="1" applyFill="1" applyBorder="1" applyAlignment="1">
      <alignment horizontal="center"/>
    </xf>
    <xf numFmtId="3" fontId="34" fillId="17" borderId="37" xfId="0" applyNumberFormat="1" applyFont="1" applyFill="1" applyBorder="1" applyAlignment="1">
      <alignment horizontal="center"/>
    </xf>
    <xf numFmtId="3" fontId="34" fillId="9" borderId="36" xfId="0" applyNumberFormat="1" applyFont="1" applyFill="1" applyBorder="1" applyAlignment="1">
      <alignment horizontal="center"/>
    </xf>
    <xf numFmtId="3" fontId="34" fillId="9" borderId="22" xfId="0" applyNumberFormat="1" applyFont="1" applyFill="1" applyBorder="1" applyAlignment="1">
      <alignment horizontal="center"/>
    </xf>
    <xf numFmtId="3" fontId="34" fillId="9" borderId="37" xfId="0" applyNumberFormat="1" applyFont="1" applyFill="1" applyBorder="1" applyAlignment="1">
      <alignment horizontal="center"/>
    </xf>
    <xf numFmtId="0" fontId="34" fillId="0" borderId="22" xfId="0" applyFont="1" applyBorder="1" applyAlignment="1">
      <alignment vertical="center"/>
    </xf>
    <xf numFmtId="0" fontId="34" fillId="0" borderId="24" xfId="0" applyFont="1" applyBorder="1" applyAlignment="1">
      <alignment horizontal="left" vertical="center"/>
    </xf>
    <xf numFmtId="0" fontId="36" fillId="14" borderId="22" xfId="0" applyFont="1" applyFill="1" applyBorder="1" applyAlignment="1">
      <alignment vertical="center"/>
    </xf>
    <xf numFmtId="0" fontId="36" fillId="14" borderId="24" xfId="0" applyFont="1" applyFill="1" applyBorder="1" applyAlignment="1">
      <alignment horizontal="left" vertical="center"/>
    </xf>
    <xf numFmtId="3" fontId="36" fillId="14" borderId="36" xfId="0" applyNumberFormat="1" applyFont="1" applyFill="1" applyBorder="1" applyAlignment="1">
      <alignment horizontal="center" vertical="center"/>
    </xf>
    <xf numFmtId="0" fontId="34" fillId="14" borderId="22" xfId="0" applyFont="1" applyFill="1" applyBorder="1"/>
    <xf numFmtId="3" fontId="34" fillId="9" borderId="24" xfId="0" applyNumberFormat="1" applyFont="1" applyFill="1" applyBorder="1" applyAlignment="1">
      <alignment horizontal="left"/>
    </xf>
    <xf numFmtId="9" fontId="34" fillId="0" borderId="36" xfId="0" applyNumberFormat="1" applyFont="1" applyBorder="1" applyAlignment="1">
      <alignment horizontal="center" vertical="center"/>
    </xf>
    <xf numFmtId="9" fontId="34" fillId="0" borderId="22" xfId="0" applyNumberFormat="1" applyFont="1" applyBorder="1" applyAlignment="1">
      <alignment horizontal="center" vertical="center"/>
    </xf>
    <xf numFmtId="9" fontId="34" fillId="0" borderId="37" xfId="0" applyNumberFormat="1" applyFont="1" applyBorder="1" applyAlignment="1">
      <alignment horizontal="center" vertical="center"/>
    </xf>
    <xf numFmtId="0" fontId="36" fillId="0" borderId="22" xfId="0" applyFont="1" applyBorder="1" applyAlignment="1">
      <alignment vertical="center"/>
    </xf>
    <xf numFmtId="0" fontId="36" fillId="0" borderId="24" xfId="0" applyFont="1" applyBorder="1" applyAlignment="1">
      <alignment horizontal="left" vertical="center"/>
    </xf>
    <xf numFmtId="3" fontId="36" fillId="4" borderId="36" xfId="0" applyNumberFormat="1" applyFont="1" applyFill="1" applyBorder="1" applyAlignment="1">
      <alignment horizontal="center" vertical="center"/>
    </xf>
    <xf numFmtId="3" fontId="36" fillId="4" borderId="22" xfId="0" applyNumberFormat="1" applyFont="1" applyFill="1" applyBorder="1" applyAlignment="1">
      <alignment horizontal="center" vertical="center"/>
    </xf>
    <xf numFmtId="3" fontId="36" fillId="4" borderId="37" xfId="0" applyNumberFormat="1" applyFont="1" applyFill="1" applyBorder="1" applyAlignment="1">
      <alignment horizontal="center" vertical="center"/>
    </xf>
    <xf numFmtId="9" fontId="34" fillId="9" borderId="22" xfId="0" applyNumberFormat="1" applyFont="1" applyFill="1" applyBorder="1" applyAlignment="1">
      <alignment horizontal="left"/>
    </xf>
    <xf numFmtId="9" fontId="34" fillId="9" borderId="24" xfId="0" applyNumberFormat="1" applyFont="1" applyFill="1" applyBorder="1" applyAlignment="1">
      <alignment horizontal="left"/>
    </xf>
    <xf numFmtId="9" fontId="34" fillId="9" borderId="36" xfId="0" applyNumberFormat="1" applyFont="1" applyFill="1" applyBorder="1" applyAlignment="1">
      <alignment horizontal="center"/>
    </xf>
    <xf numFmtId="9" fontId="34" fillId="9" borderId="22" xfId="0" applyNumberFormat="1" applyFont="1" applyFill="1" applyBorder="1" applyAlignment="1">
      <alignment horizontal="center"/>
    </xf>
    <xf numFmtId="9" fontId="34" fillId="0" borderId="24" xfId="0" applyNumberFormat="1" applyFont="1" applyBorder="1" applyAlignment="1">
      <alignment horizontal="left" vertical="center"/>
    </xf>
    <xf numFmtId="3" fontId="36" fillId="0" borderId="36" xfId="0" applyNumberFormat="1" applyFont="1" applyBorder="1" applyAlignment="1">
      <alignment horizontal="center" vertical="center"/>
    </xf>
    <xf numFmtId="3" fontId="57" fillId="4" borderId="37" xfId="0" applyNumberFormat="1" applyFont="1" applyFill="1" applyBorder="1" applyAlignment="1">
      <alignment horizontal="center" vertical="center"/>
    </xf>
    <xf numFmtId="3" fontId="57" fillId="4" borderId="22" xfId="0" applyNumberFormat="1" applyFont="1" applyFill="1" applyBorder="1" applyAlignment="1">
      <alignment horizontal="center" vertical="center"/>
    </xf>
    <xf numFmtId="0" fontId="34" fillId="0" borderId="22" xfId="0" applyFont="1" applyBorder="1" applyAlignment="1">
      <alignment horizontal="left" vertical="center"/>
    </xf>
    <xf numFmtId="3" fontId="57" fillId="0" borderId="37" xfId="0" applyNumberFormat="1" applyFont="1" applyBorder="1" applyAlignment="1">
      <alignment horizontal="center" vertical="center"/>
    </xf>
    <xf numFmtId="3" fontId="58" fillId="0" borderId="36" xfId="0" applyNumberFormat="1" applyFont="1" applyBorder="1" applyAlignment="1">
      <alignment horizontal="center" vertical="center"/>
    </xf>
    <xf numFmtId="3" fontId="57" fillId="0" borderId="22" xfId="0" applyNumberFormat="1" applyFont="1" applyBorder="1" applyAlignment="1">
      <alignment horizontal="center" vertical="center"/>
    </xf>
    <xf numFmtId="0" fontId="59" fillId="0" borderId="22" xfId="0" applyFont="1" applyBorder="1" applyAlignment="1">
      <alignment horizontal="left" vertical="center"/>
    </xf>
    <xf numFmtId="0" fontId="34" fillId="0" borderId="22" xfId="0" applyFont="1" applyBorder="1" applyAlignment="1">
      <alignment horizontal="center" vertical="center"/>
    </xf>
    <xf numFmtId="0" fontId="34" fillId="0" borderId="37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3" fontId="34" fillId="0" borderId="24" xfId="0" applyNumberFormat="1" applyFont="1" applyBorder="1" applyAlignment="1">
      <alignment horizontal="right"/>
    </xf>
    <xf numFmtId="9" fontId="34" fillId="0" borderId="22" xfId="0" applyNumberFormat="1" applyFont="1" applyBorder="1" applyAlignment="1">
      <alignment horizontal="left" vertical="center"/>
    </xf>
    <xf numFmtId="9" fontId="34" fillId="0" borderId="24" xfId="0" applyNumberFormat="1" applyFont="1" applyBorder="1" applyAlignment="1">
      <alignment horizontal="right"/>
    </xf>
    <xf numFmtId="0" fontId="60" fillId="0" borderId="22" xfId="0" applyFont="1" applyBorder="1" applyAlignment="1">
      <alignment horizontal="left" vertical="center"/>
    </xf>
    <xf numFmtId="3" fontId="60" fillId="0" borderId="24" xfId="0" applyNumberFormat="1" applyFont="1" applyBorder="1" applyAlignment="1">
      <alignment horizontal="right" vertical="center"/>
    </xf>
    <xf numFmtId="3" fontId="60" fillId="0" borderId="36" xfId="0" applyNumberFormat="1" applyFont="1" applyBorder="1" applyAlignment="1">
      <alignment horizontal="center" vertical="center"/>
    </xf>
    <xf numFmtId="3" fontId="60" fillId="0" borderId="22" xfId="0" applyNumberFormat="1" applyFont="1" applyBorder="1" applyAlignment="1">
      <alignment horizontal="center" vertical="center"/>
    </xf>
    <xf numFmtId="3" fontId="60" fillId="0" borderId="37" xfId="0" applyNumberFormat="1" applyFont="1" applyBorder="1" applyAlignment="1">
      <alignment horizontal="center" vertical="center"/>
    </xf>
    <xf numFmtId="0" fontId="60" fillId="0" borderId="22" xfId="0" applyFont="1" applyBorder="1" applyAlignment="1">
      <alignment horizontal="center" vertical="center"/>
    </xf>
    <xf numFmtId="0" fontId="60" fillId="0" borderId="37" xfId="0" applyFont="1" applyBorder="1" applyAlignment="1">
      <alignment horizontal="center" vertical="center"/>
    </xf>
    <xf numFmtId="0" fontId="60" fillId="0" borderId="36" xfId="0" applyFont="1" applyBorder="1" applyAlignment="1">
      <alignment horizontal="center" vertical="center"/>
    </xf>
    <xf numFmtId="0" fontId="60" fillId="0" borderId="37" xfId="0" applyFont="1" applyBorder="1" applyAlignment="1">
      <alignment horizontal="left" vertical="center"/>
    </xf>
    <xf numFmtId="1" fontId="34" fillId="0" borderId="22" xfId="0" applyNumberFormat="1" applyFont="1" applyBorder="1" applyAlignment="1">
      <alignment horizontal="left" vertical="center"/>
    </xf>
    <xf numFmtId="1" fontId="34" fillId="0" borderId="24" xfId="0" applyNumberFormat="1" applyFont="1" applyBorder="1" applyAlignment="1">
      <alignment horizontal="right"/>
    </xf>
    <xf numFmtId="1" fontId="34" fillId="0" borderId="36" xfId="0" applyNumberFormat="1" applyFont="1" applyBorder="1" applyAlignment="1">
      <alignment horizontal="center" vertical="center"/>
    </xf>
    <xf numFmtId="1" fontId="34" fillId="0" borderId="22" xfId="0" applyNumberFormat="1" applyFont="1" applyBorder="1" applyAlignment="1">
      <alignment horizontal="center" vertical="center"/>
    </xf>
    <xf numFmtId="1" fontId="34" fillId="0" borderId="37" xfId="0" applyNumberFormat="1" applyFont="1" applyBorder="1" applyAlignment="1">
      <alignment horizontal="center" vertical="center"/>
    </xf>
    <xf numFmtId="165" fontId="34" fillId="0" borderId="22" xfId="0" applyNumberFormat="1" applyFont="1" applyBorder="1" applyAlignment="1">
      <alignment horizontal="left" vertical="center"/>
    </xf>
    <xf numFmtId="165" fontId="34" fillId="0" borderId="24" xfId="0" applyNumberFormat="1" applyFont="1" applyBorder="1" applyAlignment="1">
      <alignment horizontal="right"/>
    </xf>
    <xf numFmtId="165" fontId="34" fillId="0" borderId="38" xfId="0" applyNumberFormat="1" applyFont="1" applyBorder="1" applyAlignment="1">
      <alignment horizontal="center" vertical="center"/>
    </xf>
    <xf numFmtId="165" fontId="34" fillId="0" borderId="39" xfId="0" applyNumberFormat="1" applyFont="1" applyBorder="1" applyAlignment="1">
      <alignment horizontal="center" vertical="center"/>
    </xf>
    <xf numFmtId="165" fontId="34" fillId="0" borderId="40" xfId="0" applyNumberFormat="1" applyFont="1" applyBorder="1" applyAlignment="1">
      <alignment horizontal="center" vertical="center"/>
    </xf>
    <xf numFmtId="0" fontId="36" fillId="5" borderId="22" xfId="0" applyFont="1" applyFill="1" applyBorder="1" applyAlignment="1">
      <alignment vertical="center"/>
    </xf>
    <xf numFmtId="14" fontId="34" fillId="0" borderId="26" xfId="0" quotePrefix="1" applyNumberFormat="1" applyFont="1" applyBorder="1" applyAlignment="1">
      <alignment horizontal="center"/>
    </xf>
    <xf numFmtId="14" fontId="34" fillId="0" borderId="31" xfId="0" quotePrefix="1" applyNumberFormat="1" applyFont="1" applyBorder="1" applyAlignment="1">
      <alignment horizontal="center"/>
    </xf>
    <xf numFmtId="3" fontId="62" fillId="6" borderId="22" xfId="0" applyNumberFormat="1" applyFont="1" applyFill="1" applyBorder="1" applyAlignment="1">
      <alignment horizontal="left" vertical="center"/>
    </xf>
    <xf numFmtId="3" fontId="55" fillId="6" borderId="24" xfId="0" applyNumberFormat="1" applyFont="1" applyFill="1" applyBorder="1" applyAlignment="1">
      <alignment horizontal="center" vertical="center"/>
    </xf>
    <xf numFmtId="3" fontId="55" fillId="6" borderId="36" xfId="0" applyNumberFormat="1" applyFont="1" applyFill="1" applyBorder="1" applyAlignment="1">
      <alignment horizontal="center" vertical="center"/>
    </xf>
    <xf numFmtId="3" fontId="55" fillId="6" borderId="22" xfId="0" applyNumberFormat="1" applyFont="1" applyFill="1" applyBorder="1" applyAlignment="1">
      <alignment horizontal="center" vertical="center"/>
    </xf>
    <xf numFmtId="3" fontId="55" fillId="6" borderId="37" xfId="0" applyNumberFormat="1" applyFont="1" applyFill="1" applyBorder="1" applyAlignment="1">
      <alignment horizontal="center" vertical="center"/>
    </xf>
    <xf numFmtId="0" fontId="36" fillId="4" borderId="2" xfId="0" applyFont="1" applyFill="1" applyBorder="1" applyAlignment="1">
      <alignment horizontal="left" vertical="center"/>
    </xf>
    <xf numFmtId="0" fontId="36" fillId="4" borderId="0" xfId="0" applyFont="1" applyFill="1" applyAlignment="1">
      <alignment horizontal="center" vertical="center"/>
    </xf>
    <xf numFmtId="0" fontId="36" fillId="5" borderId="4" xfId="0" applyFont="1" applyFill="1" applyBorder="1" applyAlignment="1">
      <alignment horizontal="left" vertical="center"/>
    </xf>
    <xf numFmtId="0" fontId="34" fillId="0" borderId="0" xfId="0" applyFont="1" applyAlignment="1">
      <alignment vertical="center"/>
    </xf>
    <xf numFmtId="0" fontId="34" fillId="0" borderId="2" xfId="0" applyFont="1" applyBorder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0" fontId="34" fillId="4" borderId="0" xfId="0" applyFont="1" applyFill="1" applyAlignment="1">
      <alignment horizontal="center" vertical="center"/>
    </xf>
    <xf numFmtId="3" fontId="34" fillId="0" borderId="0" xfId="0" applyNumberFormat="1" applyFont="1" applyAlignment="1">
      <alignment horizontal="left" vertical="center"/>
    </xf>
    <xf numFmtId="3" fontId="34" fillId="0" borderId="2" xfId="0" applyNumberFormat="1" applyFont="1" applyBorder="1" applyAlignment="1">
      <alignment horizontal="center" vertical="center"/>
    </xf>
    <xf numFmtId="3" fontId="34" fillId="4" borderId="0" xfId="0" applyNumberFormat="1" applyFont="1" applyFill="1" applyAlignment="1">
      <alignment horizontal="center" vertical="center"/>
    </xf>
    <xf numFmtId="3" fontId="34" fillId="0" borderId="0" xfId="0" applyNumberFormat="1" applyFont="1" applyAlignment="1">
      <alignment horizontal="center" vertical="center"/>
    </xf>
    <xf numFmtId="3" fontId="34" fillId="0" borderId="2" xfId="0" applyNumberFormat="1" applyFont="1" applyBorder="1" applyAlignment="1">
      <alignment horizontal="left" vertical="center"/>
    </xf>
    <xf numFmtId="3" fontId="34" fillId="0" borderId="2" xfId="0" applyNumberFormat="1" applyFont="1" applyBorder="1" applyAlignment="1">
      <alignment horizontal="right" vertical="center"/>
    </xf>
    <xf numFmtId="3" fontId="34" fillId="4" borderId="0" xfId="0" applyNumberFormat="1" applyFont="1" applyFill="1"/>
    <xf numFmtId="3" fontId="34" fillId="4" borderId="2" xfId="0" applyNumberFormat="1" applyFont="1" applyFill="1" applyBorder="1" applyAlignment="1">
      <alignment horizontal="center" vertical="center"/>
    </xf>
    <xf numFmtId="3" fontId="34" fillId="7" borderId="3" xfId="0" applyNumberFormat="1" applyFont="1" applyFill="1" applyBorder="1" applyAlignment="1">
      <alignment horizontal="left" vertical="center"/>
    </xf>
    <xf numFmtId="0" fontId="34" fillId="7" borderId="2" xfId="0" applyFont="1" applyFill="1" applyBorder="1" applyAlignment="1">
      <alignment horizontal="left" vertical="center"/>
    </xf>
    <xf numFmtId="3" fontId="34" fillId="7" borderId="3" xfId="0" applyNumberFormat="1" applyFont="1" applyFill="1" applyBorder="1" applyAlignment="1">
      <alignment horizontal="center" vertical="center"/>
    </xf>
    <xf numFmtId="3" fontId="34" fillId="7" borderId="2" xfId="0" applyNumberFormat="1" applyFont="1" applyFill="1" applyBorder="1" applyAlignment="1">
      <alignment horizontal="left" vertical="center"/>
    </xf>
    <xf numFmtId="3" fontId="36" fillId="0" borderId="10" xfId="0" applyNumberFormat="1" applyFont="1" applyBorder="1" applyAlignment="1">
      <alignment horizontal="center"/>
    </xf>
    <xf numFmtId="3" fontId="36" fillId="0" borderId="10" xfId="0" applyNumberFormat="1" applyFont="1" applyBorder="1" applyAlignment="1">
      <alignment horizontal="left"/>
    </xf>
    <xf numFmtId="3" fontId="36" fillId="0" borderId="11" xfId="0" applyNumberFormat="1" applyFont="1" applyBorder="1" applyAlignment="1">
      <alignment horizontal="left"/>
    </xf>
    <xf numFmtId="3" fontId="34" fillId="0" borderId="0" xfId="0" applyNumberFormat="1" applyFont="1"/>
    <xf numFmtId="3" fontId="34" fillId="0" borderId="0" xfId="0" applyNumberFormat="1" applyFont="1" applyAlignment="1">
      <alignment horizontal="center"/>
    </xf>
    <xf numFmtId="9" fontId="34" fillId="0" borderId="0" xfId="0" applyNumberFormat="1" applyFont="1" applyAlignment="1">
      <alignment horizontal="center"/>
    </xf>
    <xf numFmtId="3" fontId="36" fillId="4" borderId="0" xfId="0" applyNumberFormat="1" applyFont="1" applyFill="1" applyAlignment="1">
      <alignment horizontal="center"/>
    </xf>
    <xf numFmtId="3" fontId="36" fillId="0" borderId="0" xfId="0" applyNumberFormat="1" applyFont="1" applyAlignment="1">
      <alignment horizontal="left"/>
    </xf>
    <xf numFmtId="3" fontId="36" fillId="0" borderId="2" xfId="0" applyNumberFormat="1" applyFont="1" applyBorder="1" applyAlignment="1">
      <alignment horizontal="left"/>
    </xf>
    <xf numFmtId="3" fontId="36" fillId="0" borderId="0" xfId="0" applyNumberFormat="1" applyFont="1" applyAlignment="1">
      <alignment horizontal="center"/>
    </xf>
    <xf numFmtId="3" fontId="34" fillId="0" borderId="2" xfId="0" applyNumberFormat="1" applyFont="1" applyBorder="1" applyAlignment="1">
      <alignment horizontal="left"/>
    </xf>
    <xf numFmtId="3" fontId="34" fillId="3" borderId="0" xfId="0" applyNumberFormat="1" applyFont="1" applyFill="1"/>
    <xf numFmtId="164" fontId="34" fillId="0" borderId="0" xfId="0" applyNumberFormat="1" applyFont="1" applyAlignment="1">
      <alignment horizontal="center"/>
    </xf>
    <xf numFmtId="3" fontId="36" fillId="8" borderId="10" xfId="0" applyNumberFormat="1" applyFont="1" applyFill="1" applyBorder="1" applyAlignment="1">
      <alignment horizontal="left"/>
    </xf>
    <xf numFmtId="3" fontId="36" fillId="8" borderId="11" xfId="0" applyNumberFormat="1" applyFont="1" applyFill="1" applyBorder="1" applyAlignment="1">
      <alignment horizontal="left"/>
    </xf>
    <xf numFmtId="3" fontId="36" fillId="8" borderId="10" xfId="0" applyNumberFormat="1" applyFont="1" applyFill="1" applyBorder="1" applyAlignment="1">
      <alignment horizontal="center"/>
    </xf>
    <xf numFmtId="0" fontId="36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3" fontId="36" fillId="0" borderId="11" xfId="0" applyNumberFormat="1" applyFont="1" applyBorder="1" applyAlignment="1">
      <alignment horizontal="center"/>
    </xf>
    <xf numFmtId="9" fontId="34" fillId="0" borderId="0" xfId="0" applyNumberFormat="1" applyFont="1" applyAlignment="1">
      <alignment vertical="center"/>
    </xf>
    <xf numFmtId="9" fontId="34" fillId="0" borderId="2" xfId="0" applyNumberFormat="1" applyFont="1" applyBorder="1" applyAlignment="1">
      <alignment horizontal="left" vertical="center"/>
    </xf>
    <xf numFmtId="9" fontId="34" fillId="0" borderId="0" xfId="0" applyNumberFormat="1" applyFont="1" applyAlignment="1">
      <alignment horizontal="center" vertical="center"/>
    </xf>
    <xf numFmtId="0" fontId="36" fillId="0" borderId="2" xfId="0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3" fontId="34" fillId="4" borderId="0" xfId="0" applyNumberFormat="1" applyFont="1" applyFill="1" applyAlignment="1">
      <alignment horizontal="left"/>
    </xf>
    <xf numFmtId="3" fontId="34" fillId="4" borderId="2" xfId="0" applyNumberFormat="1" applyFont="1" applyFill="1" applyBorder="1" applyAlignment="1">
      <alignment horizontal="center"/>
    </xf>
    <xf numFmtId="3" fontId="34" fillId="9" borderId="3" xfId="0" applyNumberFormat="1" applyFont="1" applyFill="1" applyBorder="1" applyAlignment="1">
      <alignment horizontal="left"/>
    </xf>
    <xf numFmtId="3" fontId="34" fillId="9" borderId="4" xfId="0" applyNumberFormat="1" applyFont="1" applyFill="1" applyBorder="1" applyAlignment="1">
      <alignment horizontal="center"/>
    </xf>
    <xf numFmtId="3" fontId="34" fillId="9" borderId="3" xfId="0" applyNumberFormat="1" applyFont="1" applyFill="1" applyBorder="1" applyAlignment="1">
      <alignment horizontal="center"/>
    </xf>
    <xf numFmtId="0" fontId="36" fillId="0" borderId="10" xfId="0" applyFont="1" applyBorder="1" applyAlignment="1">
      <alignment vertical="center"/>
    </xf>
    <xf numFmtId="0" fontId="36" fillId="0" borderId="11" xfId="0" applyFont="1" applyBorder="1" applyAlignment="1">
      <alignment horizontal="left" vertical="center"/>
    </xf>
    <xf numFmtId="3" fontId="36" fillId="0" borderId="10" xfId="0" applyNumberFormat="1" applyFont="1" applyBorder="1" applyAlignment="1">
      <alignment horizontal="center" vertical="center"/>
    </xf>
    <xf numFmtId="3" fontId="36" fillId="4" borderId="0" xfId="0" applyNumberFormat="1" applyFont="1" applyFill="1" applyAlignment="1">
      <alignment horizontal="center" vertical="center"/>
    </xf>
    <xf numFmtId="0" fontId="34" fillId="9" borderId="2" xfId="0" applyFont="1" applyFill="1" applyBorder="1" applyAlignment="1">
      <alignment horizontal="left" vertical="center"/>
    </xf>
    <xf numFmtId="3" fontId="36" fillId="0" borderId="10" xfId="0" applyNumberFormat="1" applyFont="1" applyBorder="1" applyAlignment="1">
      <alignment vertical="center"/>
    </xf>
    <xf numFmtId="3" fontId="36" fillId="0" borderId="11" xfId="0" applyNumberFormat="1" applyFont="1" applyBorder="1" applyAlignment="1">
      <alignment horizontal="left" vertical="center"/>
    </xf>
    <xf numFmtId="9" fontId="34" fillId="9" borderId="3" xfId="0" applyNumberFormat="1" applyFont="1" applyFill="1" applyBorder="1" applyAlignment="1">
      <alignment horizontal="left"/>
    </xf>
    <xf numFmtId="9" fontId="34" fillId="9" borderId="2" xfId="0" applyNumberFormat="1" applyFont="1" applyFill="1" applyBorder="1" applyAlignment="1">
      <alignment horizontal="left" vertical="center"/>
    </xf>
    <xf numFmtId="9" fontId="34" fillId="9" borderId="3" xfId="0" applyNumberFormat="1" applyFont="1" applyFill="1" applyBorder="1" applyAlignment="1">
      <alignment horizontal="center"/>
    </xf>
    <xf numFmtId="0" fontId="34" fillId="0" borderId="2" xfId="0" applyFont="1" applyBorder="1"/>
    <xf numFmtId="0" fontId="36" fillId="0" borderId="11" xfId="0" applyFont="1" applyBorder="1" applyAlignment="1">
      <alignment vertical="center"/>
    </xf>
    <xf numFmtId="3" fontId="36" fillId="0" borderId="0" xfId="0" applyNumberFormat="1" applyFont="1" applyAlignment="1">
      <alignment horizontal="center" vertical="center"/>
    </xf>
    <xf numFmtId="3" fontId="63" fillId="9" borderId="3" xfId="0" applyNumberFormat="1" applyFont="1" applyFill="1" applyBorder="1" applyAlignment="1">
      <alignment horizontal="left"/>
    </xf>
    <xf numFmtId="0" fontId="63" fillId="9" borderId="2" xfId="0" applyFont="1" applyFill="1" applyBorder="1" applyAlignment="1">
      <alignment horizontal="left" vertical="center"/>
    </xf>
    <xf numFmtId="3" fontId="63" fillId="9" borderId="3" xfId="0" applyNumberFormat="1" applyFont="1" applyFill="1" applyBorder="1" applyAlignment="1">
      <alignment horizontal="center"/>
    </xf>
    <xf numFmtId="3" fontId="63" fillId="4" borderId="0" xfId="0" applyNumberFormat="1" applyFont="1" applyFill="1" applyAlignment="1">
      <alignment horizontal="center"/>
    </xf>
    <xf numFmtId="3" fontId="36" fillId="4" borderId="10" xfId="0" applyNumberFormat="1" applyFont="1" applyFill="1" applyBorder="1" applyAlignment="1">
      <alignment horizontal="center" vertical="center"/>
    </xf>
    <xf numFmtId="1" fontId="34" fillId="0" borderId="0" xfId="0" applyNumberFormat="1" applyFont="1" applyAlignment="1">
      <alignment horizontal="center" vertical="center"/>
    </xf>
    <xf numFmtId="10" fontId="59" fillId="4" borderId="0" xfId="0" applyNumberFormat="1" applyFont="1" applyFill="1" applyAlignment="1">
      <alignment vertical="center"/>
    </xf>
    <xf numFmtId="0" fontId="36" fillId="5" borderId="3" xfId="0" applyFont="1" applyFill="1" applyBorder="1" applyAlignment="1">
      <alignment vertical="center"/>
    </xf>
    <xf numFmtId="3" fontId="62" fillId="6" borderId="8" xfId="0" applyNumberFormat="1" applyFont="1" applyFill="1" applyBorder="1" applyAlignment="1">
      <alignment horizontal="left" vertical="center"/>
    </xf>
    <xf numFmtId="3" fontId="55" fillId="6" borderId="9" xfId="0" applyNumberFormat="1" applyFont="1" applyFill="1" applyBorder="1" applyAlignment="1">
      <alignment horizontal="center" vertical="center"/>
    </xf>
    <xf numFmtId="3" fontId="55" fillId="6" borderId="8" xfId="0" applyNumberFormat="1" applyFont="1" applyFill="1" applyBorder="1" applyAlignment="1">
      <alignment horizontal="center" vertical="center"/>
    </xf>
    <xf numFmtId="3" fontId="57" fillId="4" borderId="36" xfId="0" applyNumberFormat="1" applyFont="1" applyFill="1" applyBorder="1" applyAlignment="1">
      <alignment horizontal="center" vertical="center"/>
    </xf>
    <xf numFmtId="3" fontId="57" fillId="0" borderId="36" xfId="0" applyNumberFormat="1" applyFont="1" applyBorder="1" applyAlignment="1">
      <alignment horizontal="center" vertical="center"/>
    </xf>
    <xf numFmtId="0" fontId="33" fillId="0" borderId="22" xfId="0" applyFont="1" applyBorder="1"/>
    <xf numFmtId="0" fontId="33" fillId="0" borderId="0" xfId="0" applyFont="1"/>
    <xf numFmtId="3" fontId="34" fillId="16" borderId="24" xfId="0" applyNumberFormat="1" applyFont="1" applyFill="1" applyBorder="1" applyAlignment="1">
      <alignment horizontal="center" vertical="center"/>
    </xf>
    <xf numFmtId="3" fontId="34" fillId="15" borderId="24" xfId="0" applyNumberFormat="1" applyFont="1" applyFill="1" applyBorder="1" applyAlignment="1">
      <alignment horizontal="center" vertical="center"/>
    </xf>
    <xf numFmtId="3" fontId="34" fillId="7" borderId="24" xfId="0" applyNumberFormat="1" applyFont="1" applyFill="1" applyBorder="1" applyAlignment="1">
      <alignment horizontal="center" vertical="center"/>
    </xf>
    <xf numFmtId="3" fontId="36" fillId="15" borderId="24" xfId="0" applyNumberFormat="1" applyFont="1" applyFill="1" applyBorder="1" applyAlignment="1">
      <alignment horizontal="center"/>
    </xf>
    <xf numFmtId="3" fontId="34" fillId="15" borderId="24" xfId="0" applyNumberFormat="1" applyFont="1" applyFill="1" applyBorder="1" applyAlignment="1">
      <alignment horizontal="center"/>
    </xf>
    <xf numFmtId="3" fontId="34" fillId="17" borderId="24" xfId="0" applyNumberFormat="1" applyFont="1" applyFill="1" applyBorder="1" applyAlignment="1">
      <alignment horizontal="center"/>
    </xf>
    <xf numFmtId="3" fontId="36" fillId="4" borderId="24" xfId="0" applyNumberFormat="1" applyFont="1" applyFill="1" applyBorder="1" applyAlignment="1">
      <alignment horizontal="center" vertical="center"/>
    </xf>
    <xf numFmtId="3" fontId="57" fillId="4" borderId="24" xfId="0" applyNumberFormat="1" applyFont="1" applyFill="1" applyBorder="1" applyAlignment="1">
      <alignment horizontal="center" vertical="center"/>
    </xf>
    <xf numFmtId="3" fontId="57" fillId="0" borderId="24" xfId="0" applyNumberFormat="1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9" fontId="34" fillId="0" borderId="24" xfId="0" applyNumberFormat="1" applyFont="1" applyBorder="1" applyAlignment="1">
      <alignment horizontal="center" vertical="center"/>
    </xf>
    <xf numFmtId="0" fontId="60" fillId="0" borderId="24" xfId="0" applyFont="1" applyBorder="1" applyAlignment="1">
      <alignment horizontal="center" vertical="center"/>
    </xf>
    <xf numFmtId="1" fontId="34" fillId="0" borderId="24" xfId="0" applyNumberFormat="1" applyFont="1" applyBorder="1" applyAlignment="1">
      <alignment horizontal="center" vertical="center"/>
    </xf>
    <xf numFmtId="165" fontId="34" fillId="0" borderId="30" xfId="0" applyNumberFormat="1" applyFont="1" applyBorder="1" applyAlignment="1">
      <alignment horizontal="center" vertical="center"/>
    </xf>
    <xf numFmtId="3" fontId="34" fillId="19" borderId="22" xfId="0" applyNumberFormat="1" applyFont="1" applyFill="1" applyBorder="1" applyAlignment="1">
      <alignment horizontal="center" vertical="center"/>
    </xf>
    <xf numFmtId="14" fontId="32" fillId="0" borderId="34" xfId="0" quotePrefix="1" applyNumberFormat="1" applyFont="1" applyBorder="1" applyAlignment="1">
      <alignment horizontal="center"/>
    </xf>
    <xf numFmtId="3" fontId="36" fillId="15" borderId="22" xfId="0" applyNumberFormat="1" applyFont="1" applyFill="1" applyBorder="1" applyAlignment="1">
      <alignment horizontal="center" vertical="center"/>
    </xf>
    <xf numFmtId="3" fontId="31" fillId="10" borderId="22" xfId="0" applyNumberFormat="1" applyFont="1" applyFill="1" applyBorder="1" applyAlignment="1">
      <alignment horizontal="center" vertical="center"/>
    </xf>
    <xf numFmtId="3" fontId="31" fillId="0" borderId="2" xfId="0" applyNumberFormat="1" applyFont="1" applyBorder="1" applyAlignment="1">
      <alignment horizontal="right" vertical="center"/>
    </xf>
    <xf numFmtId="3" fontId="30" fillId="9" borderId="22" xfId="0" applyNumberFormat="1" applyFont="1" applyFill="1" applyBorder="1" applyAlignment="1">
      <alignment horizontal="left"/>
    </xf>
    <xf numFmtId="3" fontId="29" fillId="15" borderId="37" xfId="0" applyNumberFormat="1" applyFont="1" applyFill="1" applyBorder="1" applyAlignment="1">
      <alignment horizontal="center" vertical="center"/>
    </xf>
    <xf numFmtId="3" fontId="29" fillId="9" borderId="22" xfId="0" applyNumberFormat="1" applyFont="1" applyFill="1" applyBorder="1" applyAlignment="1">
      <alignment horizontal="left"/>
    </xf>
    <xf numFmtId="3" fontId="41" fillId="0" borderId="20" xfId="0" applyNumberFormat="1" applyFont="1" applyBorder="1" applyAlignment="1">
      <alignment horizontal="center" vertical="center"/>
    </xf>
    <xf numFmtId="3" fontId="43" fillId="10" borderId="41" xfId="0" applyNumberFormat="1" applyFont="1" applyFill="1" applyBorder="1" applyAlignment="1">
      <alignment horizontal="center" vertical="center"/>
    </xf>
    <xf numFmtId="3" fontId="43" fillId="10" borderId="43" xfId="0" applyNumberFormat="1" applyFont="1" applyFill="1" applyBorder="1" applyAlignment="1">
      <alignment horizontal="center" vertical="center"/>
    </xf>
    <xf numFmtId="3" fontId="43" fillId="16" borderId="44" xfId="0" applyNumberFormat="1" applyFont="1" applyFill="1" applyBorder="1" applyAlignment="1">
      <alignment horizontal="center" vertical="center"/>
    </xf>
    <xf numFmtId="3" fontId="43" fillId="15" borderId="43" xfId="0" applyNumberFormat="1" applyFont="1" applyFill="1" applyBorder="1" applyAlignment="1">
      <alignment horizontal="center" vertical="center"/>
    </xf>
    <xf numFmtId="3" fontId="43" fillId="16" borderId="43" xfId="0" applyNumberFormat="1" applyFont="1" applyFill="1" applyBorder="1" applyAlignment="1">
      <alignment horizontal="center" vertical="center"/>
    </xf>
    <xf numFmtId="3" fontId="43" fillId="16" borderId="45" xfId="0" applyNumberFormat="1" applyFont="1" applyFill="1" applyBorder="1" applyAlignment="1">
      <alignment horizontal="center" vertical="center"/>
    </xf>
    <xf numFmtId="3" fontId="64" fillId="10" borderId="41" xfId="0" applyNumberFormat="1" applyFont="1" applyFill="1" applyBorder="1" applyAlignment="1">
      <alignment horizontal="center" vertical="center"/>
    </xf>
    <xf numFmtId="3" fontId="43" fillId="15" borderId="44" xfId="0" applyNumberFormat="1" applyFont="1" applyFill="1" applyBorder="1" applyAlignment="1">
      <alignment horizontal="center" vertical="center"/>
    </xf>
    <xf numFmtId="3" fontId="43" fillId="15" borderId="45" xfId="0" applyNumberFormat="1" applyFont="1" applyFill="1" applyBorder="1" applyAlignment="1">
      <alignment horizontal="center" vertical="center"/>
    </xf>
    <xf numFmtId="3" fontId="43" fillId="16" borderId="41" xfId="0" applyNumberFormat="1" applyFont="1" applyFill="1" applyBorder="1" applyAlignment="1">
      <alignment horizontal="center" vertical="center"/>
    </xf>
    <xf numFmtId="14" fontId="45" fillId="0" borderId="23" xfId="0" quotePrefix="1" applyNumberFormat="1" applyFont="1" applyBorder="1" applyAlignment="1">
      <alignment horizontal="center"/>
    </xf>
    <xf numFmtId="14" fontId="45" fillId="0" borderId="46" xfId="0" quotePrefix="1" applyNumberFormat="1" applyFont="1" applyBorder="1" applyAlignment="1">
      <alignment horizontal="center"/>
    </xf>
    <xf numFmtId="3" fontId="28" fillId="9" borderId="22" xfId="0" applyNumberFormat="1" applyFont="1" applyFill="1" applyBorder="1" applyAlignment="1">
      <alignment horizontal="left"/>
    </xf>
    <xf numFmtId="14" fontId="28" fillId="0" borderId="26" xfId="0" quotePrefix="1" applyNumberFormat="1" applyFont="1" applyBorder="1" applyAlignment="1">
      <alignment horizontal="center"/>
    </xf>
    <xf numFmtId="3" fontId="28" fillId="15" borderId="22" xfId="0" applyNumberFormat="1" applyFont="1" applyFill="1" applyBorder="1" applyAlignment="1">
      <alignment horizontal="center" vertical="center"/>
    </xf>
    <xf numFmtId="14" fontId="28" fillId="0" borderId="35" xfId="0" quotePrefix="1" applyNumberFormat="1" applyFont="1" applyBorder="1" applyAlignment="1">
      <alignment horizontal="center"/>
    </xf>
    <xf numFmtId="14" fontId="28" fillId="0" borderId="34" xfId="0" quotePrefix="1" applyNumberFormat="1" applyFont="1" applyBorder="1" applyAlignment="1">
      <alignment horizontal="center"/>
    </xf>
    <xf numFmtId="3" fontId="28" fillId="15" borderId="37" xfId="0" applyNumberFormat="1" applyFont="1" applyFill="1" applyBorder="1" applyAlignment="1">
      <alignment horizontal="center" vertical="center"/>
    </xf>
    <xf numFmtId="3" fontId="28" fillId="0" borderId="0" xfId="0" applyNumberFormat="1" applyFont="1"/>
    <xf numFmtId="0" fontId="28" fillId="0" borderId="0" xfId="0" applyFont="1" applyAlignment="1">
      <alignment horizontal="left" vertical="center"/>
    </xf>
    <xf numFmtId="0" fontId="36" fillId="21" borderId="22" xfId="0" applyFont="1" applyFill="1" applyBorder="1" applyAlignment="1">
      <alignment vertical="center"/>
    </xf>
    <xf numFmtId="0" fontId="36" fillId="21" borderId="24" xfId="0" applyFont="1" applyFill="1" applyBorder="1" applyAlignment="1">
      <alignment horizontal="left" vertical="center"/>
    </xf>
    <xf numFmtId="3" fontId="36" fillId="20" borderId="36" xfId="0" applyNumberFormat="1" applyFont="1" applyFill="1" applyBorder="1" applyAlignment="1">
      <alignment horizontal="center" vertical="center"/>
    </xf>
    <xf numFmtId="3" fontId="28" fillId="9" borderId="24" xfId="0" applyNumberFormat="1" applyFont="1" applyFill="1" applyBorder="1" applyAlignment="1">
      <alignment horizontal="left"/>
    </xf>
    <xf numFmtId="164" fontId="34" fillId="4" borderId="22" xfId="0" applyNumberFormat="1" applyFont="1" applyFill="1" applyBorder="1"/>
    <xf numFmtId="164" fontId="34" fillId="4" borderId="24" xfId="0" applyNumberFormat="1" applyFont="1" applyFill="1" applyBorder="1" applyAlignment="1">
      <alignment horizontal="center"/>
    </xf>
    <xf numFmtId="164" fontId="34" fillId="4" borderId="36" xfId="0" applyNumberFormat="1" applyFont="1" applyFill="1" applyBorder="1" applyAlignment="1">
      <alignment horizontal="center"/>
    </xf>
    <xf numFmtId="164" fontId="34" fillId="0" borderId="22" xfId="0" applyNumberFormat="1" applyFont="1" applyBorder="1"/>
    <xf numFmtId="3" fontId="28" fillId="4" borderId="37" xfId="0" applyNumberFormat="1" applyFont="1" applyFill="1" applyBorder="1" applyAlignment="1">
      <alignment horizontal="center" vertical="center"/>
    </xf>
    <xf numFmtId="14" fontId="26" fillId="0" borderId="26" xfId="0" quotePrefix="1" applyNumberFormat="1" applyFont="1" applyBorder="1" applyAlignment="1">
      <alignment horizontal="center"/>
    </xf>
    <xf numFmtId="14" fontId="25" fillId="0" borderId="26" xfId="0" quotePrefix="1" applyNumberFormat="1" applyFont="1" applyBorder="1" applyAlignment="1">
      <alignment horizontal="center"/>
    </xf>
    <xf numFmtId="14" fontId="25" fillId="0" borderId="35" xfId="0" quotePrefix="1" applyNumberFormat="1" applyFont="1" applyBorder="1" applyAlignment="1">
      <alignment horizontal="center"/>
    </xf>
    <xf numFmtId="14" fontId="24" fillId="0" borderId="34" xfId="0" quotePrefix="1" applyNumberFormat="1" applyFont="1" applyBorder="1" applyAlignment="1">
      <alignment horizontal="center"/>
    </xf>
    <xf numFmtId="14" fontId="24" fillId="0" borderId="26" xfId="0" quotePrefix="1" applyNumberFormat="1" applyFont="1" applyBorder="1" applyAlignment="1">
      <alignment horizontal="center"/>
    </xf>
    <xf numFmtId="14" fontId="22" fillId="0" borderId="26" xfId="0" quotePrefix="1" applyNumberFormat="1" applyFont="1" applyBorder="1" applyAlignment="1">
      <alignment horizontal="center"/>
    </xf>
    <xf numFmtId="14" fontId="21" fillId="0" borderId="35" xfId="0" quotePrefix="1" applyNumberFormat="1" applyFont="1" applyBorder="1" applyAlignment="1">
      <alignment horizontal="center"/>
    </xf>
    <xf numFmtId="3" fontId="21" fillId="0" borderId="0" xfId="0" applyNumberFormat="1" applyFont="1"/>
    <xf numFmtId="3" fontId="21" fillId="9" borderId="3" xfId="0" applyNumberFormat="1" applyFont="1" applyFill="1" applyBorder="1" applyAlignment="1">
      <alignment horizontal="left"/>
    </xf>
    <xf numFmtId="3" fontId="21" fillId="9" borderId="22" xfId="0" applyNumberFormat="1" applyFont="1" applyFill="1" applyBorder="1" applyAlignment="1">
      <alignment horizontal="left"/>
    </xf>
    <xf numFmtId="0" fontId="23" fillId="16" borderId="22" xfId="0" applyFont="1" applyFill="1" applyBorder="1"/>
    <xf numFmtId="0" fontId="23" fillId="16" borderId="36" xfId="0" applyFont="1" applyFill="1" applyBorder="1"/>
    <xf numFmtId="3" fontId="20" fillId="17" borderId="36" xfId="0" applyNumberFormat="1" applyFont="1" applyFill="1" applyBorder="1" applyAlignment="1">
      <alignment horizontal="center"/>
    </xf>
    <xf numFmtId="3" fontId="20" fillId="17" borderId="22" xfId="0" applyNumberFormat="1" applyFont="1" applyFill="1" applyBorder="1" applyAlignment="1">
      <alignment horizontal="center"/>
    </xf>
    <xf numFmtId="3" fontId="20" fillId="17" borderId="37" xfId="0" applyNumberFormat="1" applyFont="1" applyFill="1" applyBorder="1" applyAlignment="1">
      <alignment horizontal="center"/>
    </xf>
    <xf numFmtId="0" fontId="20" fillId="16" borderId="22" xfId="0" applyFont="1" applyFill="1" applyBorder="1"/>
    <xf numFmtId="0" fontId="20" fillId="16" borderId="36" xfId="0" applyFont="1" applyFill="1" applyBorder="1"/>
    <xf numFmtId="3" fontId="20" fillId="9" borderId="3" xfId="0" applyNumberFormat="1" applyFont="1" applyFill="1" applyBorder="1" applyAlignment="1">
      <alignment horizontal="left"/>
    </xf>
    <xf numFmtId="3" fontId="20" fillId="9" borderId="22" xfId="0" applyNumberFormat="1" applyFont="1" applyFill="1" applyBorder="1" applyAlignment="1">
      <alignment horizontal="left"/>
    </xf>
    <xf numFmtId="14" fontId="19" fillId="0" borderId="34" xfId="0" quotePrefix="1" applyNumberFormat="1" applyFont="1" applyBorder="1" applyAlignment="1">
      <alignment horizontal="center"/>
    </xf>
    <xf numFmtId="14" fontId="18" fillId="0" borderId="26" xfId="0" quotePrefix="1" applyNumberFormat="1" applyFont="1" applyBorder="1" applyAlignment="1">
      <alignment horizontal="center"/>
    </xf>
    <xf numFmtId="14" fontId="17" fillId="0" borderId="26" xfId="0" quotePrefix="1" applyNumberFormat="1" applyFont="1" applyBorder="1" applyAlignment="1">
      <alignment horizontal="center"/>
    </xf>
    <xf numFmtId="14" fontId="16" fillId="0" borderId="26" xfId="0" quotePrefix="1" applyNumberFormat="1" applyFont="1" applyBorder="1" applyAlignment="1">
      <alignment horizontal="center"/>
    </xf>
    <xf numFmtId="14" fontId="15" fillId="0" borderId="35" xfId="0" quotePrefix="1" applyNumberFormat="1" applyFont="1" applyBorder="1" applyAlignment="1">
      <alignment horizontal="center"/>
    </xf>
    <xf numFmtId="14" fontId="14" fillId="0" borderId="34" xfId="0" quotePrefix="1" applyNumberFormat="1" applyFont="1" applyBorder="1" applyAlignment="1">
      <alignment horizontal="center"/>
    </xf>
    <xf numFmtId="14" fontId="13" fillId="0" borderId="26" xfId="0" quotePrefix="1" applyNumberFormat="1" applyFont="1" applyBorder="1" applyAlignment="1">
      <alignment horizontal="center"/>
    </xf>
    <xf numFmtId="14" fontId="12" fillId="0" borderId="31" xfId="0" quotePrefix="1" applyNumberFormat="1" applyFont="1" applyBorder="1" applyAlignment="1">
      <alignment horizontal="center"/>
    </xf>
    <xf numFmtId="14" fontId="11" fillId="0" borderId="34" xfId="0" quotePrefix="1" applyNumberFormat="1" applyFont="1" applyBorder="1" applyAlignment="1">
      <alignment horizontal="center"/>
    </xf>
    <xf numFmtId="14" fontId="10" fillId="0" borderId="26" xfId="0" quotePrefix="1" applyNumberFormat="1" applyFont="1" applyBorder="1" applyAlignment="1">
      <alignment horizontal="center"/>
    </xf>
    <xf numFmtId="0" fontId="34" fillId="5" borderId="23" xfId="0" applyFont="1" applyFill="1" applyBorder="1"/>
    <xf numFmtId="0" fontId="56" fillId="0" borderId="23" xfId="0" applyFont="1" applyBorder="1"/>
    <xf numFmtId="14" fontId="9" fillId="0" borderId="34" xfId="0" quotePrefix="1" applyNumberFormat="1" applyFont="1" applyBorder="1" applyAlignment="1">
      <alignment horizontal="center"/>
    </xf>
    <xf numFmtId="3" fontId="27" fillId="15" borderId="22" xfId="0" applyNumberFormat="1" applyFont="1" applyFill="1" applyBorder="1" applyAlignment="1">
      <alignment horizontal="center" vertical="center"/>
    </xf>
    <xf numFmtId="3" fontId="27" fillId="16" borderId="22" xfId="0" applyNumberFormat="1" applyFont="1" applyFill="1" applyBorder="1" applyAlignment="1">
      <alignment horizontal="center" vertical="center"/>
    </xf>
    <xf numFmtId="3" fontId="27" fillId="7" borderId="36" xfId="0" applyNumberFormat="1" applyFont="1" applyFill="1" applyBorder="1" applyAlignment="1">
      <alignment horizontal="center" vertical="center"/>
    </xf>
    <xf numFmtId="3" fontId="39" fillId="15" borderId="22" xfId="0" applyNumberFormat="1" applyFont="1" applyFill="1" applyBorder="1" applyAlignment="1">
      <alignment horizontal="center"/>
    </xf>
    <xf numFmtId="3" fontId="27" fillId="4" borderId="22" xfId="0" applyNumberFormat="1" applyFont="1" applyFill="1" applyBorder="1" applyAlignment="1">
      <alignment horizontal="center"/>
    </xf>
    <xf numFmtId="3" fontId="27" fillId="15" borderId="22" xfId="0" applyNumberFormat="1" applyFont="1" applyFill="1" applyBorder="1" applyAlignment="1">
      <alignment horizontal="center"/>
    </xf>
    <xf numFmtId="3" fontId="27" fillId="17" borderId="22" xfId="0" applyNumberFormat="1" applyFont="1" applyFill="1" applyBorder="1" applyAlignment="1">
      <alignment horizontal="center"/>
    </xf>
    <xf numFmtId="1" fontId="34" fillId="0" borderId="25" xfId="0" applyNumberFormat="1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14" fontId="34" fillId="0" borderId="33" xfId="0" quotePrefix="1" applyNumberFormat="1" applyFont="1" applyBorder="1" applyAlignment="1">
      <alignment horizontal="center" vertical="center"/>
    </xf>
    <xf numFmtId="3" fontId="34" fillId="0" borderId="25" xfId="0" applyNumberFormat="1" applyFont="1" applyBorder="1" applyAlignment="1">
      <alignment horizontal="center" vertical="center"/>
    </xf>
    <xf numFmtId="9" fontId="34" fillId="4" borderId="36" xfId="0" applyNumberFormat="1" applyFont="1" applyFill="1" applyBorder="1" applyAlignment="1">
      <alignment horizontal="center" vertical="center"/>
    </xf>
    <xf numFmtId="9" fontId="34" fillId="9" borderId="22" xfId="0" applyNumberFormat="1" applyFont="1" applyFill="1" applyBorder="1" applyAlignment="1">
      <alignment horizontal="center" vertical="center"/>
    </xf>
    <xf numFmtId="0" fontId="8" fillId="0" borderId="42" xfId="0" quotePrefix="1" applyFont="1" applyBorder="1" applyAlignment="1">
      <alignment horizontal="center" vertical="center" wrapText="1"/>
    </xf>
    <xf numFmtId="0" fontId="8" fillId="0" borderId="0" xfId="0" applyFont="1"/>
    <xf numFmtId="0" fontId="38" fillId="5" borderId="47" xfId="0" applyFont="1" applyFill="1" applyBorder="1"/>
    <xf numFmtId="0" fontId="40" fillId="0" borderId="16" xfId="0" applyFont="1" applyBorder="1"/>
    <xf numFmtId="0" fontId="43" fillId="4" borderId="23" xfId="0" quotePrefix="1" applyFont="1" applyFill="1" applyBorder="1" applyAlignment="1">
      <alignment horizontal="center" vertical="center"/>
    </xf>
    <xf numFmtId="0" fontId="43" fillId="4" borderId="23" xfId="0" quotePrefix="1" applyFont="1" applyFill="1" applyBorder="1" applyAlignment="1">
      <alignment horizontal="center" vertical="center" wrapText="1"/>
    </xf>
    <xf numFmtId="0" fontId="34" fillId="0" borderId="23" xfId="0" quotePrefix="1" applyFont="1" applyBorder="1" applyAlignment="1">
      <alignment horizontal="center" vertical="center" wrapText="1"/>
    </xf>
    <xf numFmtId="0" fontId="66" fillId="0" borderId="20" xfId="1"/>
    <xf numFmtId="0" fontId="70" fillId="23" borderId="8" xfId="1" applyFont="1" applyFill="1" applyBorder="1" applyAlignment="1">
      <alignment horizontal="center" vertical="top"/>
    </xf>
    <xf numFmtId="49" fontId="68" fillId="0" borderId="48" xfId="1" applyNumberFormat="1" applyFont="1" applyBorder="1" applyAlignment="1">
      <alignment horizontal="left" vertical="top"/>
    </xf>
    <xf numFmtId="0" fontId="68" fillId="0" borderId="48" xfId="1" applyFont="1" applyBorder="1" applyAlignment="1">
      <alignment vertical="top"/>
    </xf>
    <xf numFmtId="168" fontId="68" fillId="0" borderId="48" xfId="1" applyNumberFormat="1" applyFont="1" applyBorder="1" applyAlignment="1">
      <alignment horizontal="right" vertical="top"/>
    </xf>
    <xf numFmtId="168" fontId="71" fillId="0" borderId="48" xfId="1" applyNumberFormat="1" applyFont="1" applyBorder="1" applyAlignment="1">
      <alignment horizontal="right" vertical="top"/>
    </xf>
    <xf numFmtId="10" fontId="68" fillId="0" borderId="48" xfId="1" applyNumberFormat="1" applyFont="1" applyBorder="1" applyAlignment="1">
      <alignment horizontal="right" vertical="top"/>
    </xf>
    <xf numFmtId="0" fontId="70" fillId="26" borderId="8" xfId="1" applyFont="1" applyFill="1" applyBorder="1" applyAlignment="1">
      <alignment horizontal="center" vertical="top"/>
    </xf>
    <xf numFmtId="3" fontId="68" fillId="0" borderId="48" xfId="1" applyNumberFormat="1" applyFont="1" applyBorder="1" applyAlignment="1">
      <alignment horizontal="right" vertical="top"/>
    </xf>
    <xf numFmtId="10" fontId="68" fillId="0" borderId="48" xfId="1" applyNumberFormat="1" applyFont="1" applyBorder="1" applyAlignment="1">
      <alignment horizontal="center" vertical="top"/>
    </xf>
    <xf numFmtId="49" fontId="68" fillId="27" borderId="48" xfId="1" applyNumberFormat="1" applyFont="1" applyFill="1" applyBorder="1" applyAlignment="1">
      <alignment horizontal="left" vertical="top"/>
    </xf>
    <xf numFmtId="0" fontId="68" fillId="27" borderId="48" xfId="1" applyFont="1" applyFill="1" applyBorder="1" applyAlignment="1">
      <alignment vertical="top"/>
    </xf>
    <xf numFmtId="168" fontId="71" fillId="27" borderId="48" xfId="1" applyNumberFormat="1" applyFont="1" applyFill="1" applyBorder="1" applyAlignment="1">
      <alignment horizontal="right" vertical="top"/>
    </xf>
    <xf numFmtId="10" fontId="68" fillId="27" borderId="48" xfId="1" applyNumberFormat="1" applyFont="1" applyFill="1" applyBorder="1" applyAlignment="1">
      <alignment horizontal="center" vertical="top"/>
    </xf>
    <xf numFmtId="49" fontId="68" fillId="0" borderId="48" xfId="1" applyNumberFormat="1" applyFont="1" applyBorder="1" applyAlignment="1">
      <alignment horizontal="center" vertical="top"/>
    </xf>
    <xf numFmtId="0" fontId="70" fillId="29" borderId="8" xfId="1" applyFont="1" applyFill="1" applyBorder="1" applyAlignment="1">
      <alignment horizontal="center" vertical="top"/>
    </xf>
    <xf numFmtId="0" fontId="70" fillId="30" borderId="49" xfId="1" applyFont="1" applyFill="1" applyBorder="1" applyAlignment="1">
      <alignment horizontal="left" vertical="top"/>
    </xf>
    <xf numFmtId="0" fontId="70" fillId="30" borderId="49" xfId="1" applyFont="1" applyFill="1" applyBorder="1" applyAlignment="1">
      <alignment vertical="top"/>
    </xf>
    <xf numFmtId="0" fontId="70" fillId="32" borderId="8" xfId="1" applyFont="1" applyFill="1" applyBorder="1" applyAlignment="1">
      <alignment horizontal="center" vertical="top"/>
    </xf>
    <xf numFmtId="164" fontId="34" fillId="4" borderId="36" xfId="0" applyNumberFormat="1" applyFont="1" applyFill="1" applyBorder="1" applyAlignment="1">
      <alignment horizontal="center" vertical="center"/>
    </xf>
    <xf numFmtId="9" fontId="34" fillId="9" borderId="3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6" fillId="4" borderId="50" xfId="0" applyFont="1" applyFill="1" applyBorder="1" applyAlignment="1">
      <alignment horizontal="center" vertical="center"/>
    </xf>
    <xf numFmtId="0" fontId="36" fillId="4" borderId="51" xfId="0" applyFont="1" applyFill="1" applyBorder="1" applyAlignment="1">
      <alignment horizontal="center" vertical="center"/>
    </xf>
    <xf numFmtId="0" fontId="34" fillId="0" borderId="52" xfId="0" applyFont="1" applyBorder="1" applyAlignment="1">
      <alignment horizontal="center" vertical="center"/>
    </xf>
    <xf numFmtId="3" fontId="55" fillId="6" borderId="53" xfId="0" applyNumberFormat="1" applyFont="1" applyFill="1" applyBorder="1" applyAlignment="1">
      <alignment horizontal="center" vertical="center"/>
    </xf>
    <xf numFmtId="3" fontId="34" fillId="4" borderId="51" xfId="0" applyNumberFormat="1" applyFont="1" applyFill="1" applyBorder="1" applyAlignment="1">
      <alignment horizontal="center" vertical="center"/>
    </xf>
    <xf numFmtId="3" fontId="34" fillId="0" borderId="51" xfId="0" applyNumberFormat="1" applyFont="1" applyBorder="1" applyAlignment="1">
      <alignment horizontal="center" vertical="center"/>
    </xf>
    <xf numFmtId="3" fontId="36" fillId="0" borderId="54" xfId="0" applyNumberFormat="1" applyFont="1" applyBorder="1" applyAlignment="1">
      <alignment horizontal="center"/>
    </xf>
    <xf numFmtId="3" fontId="34" fillId="0" borderId="51" xfId="0" applyNumberFormat="1" applyFont="1" applyBorder="1" applyAlignment="1">
      <alignment horizontal="center"/>
    </xf>
    <xf numFmtId="9" fontId="34" fillId="0" borderId="51" xfId="0" applyNumberFormat="1" applyFont="1" applyBorder="1" applyAlignment="1">
      <alignment horizontal="center"/>
    </xf>
    <xf numFmtId="3" fontId="36" fillId="0" borderId="51" xfId="0" applyNumberFormat="1" applyFont="1" applyBorder="1" applyAlignment="1">
      <alignment horizontal="center"/>
    </xf>
    <xf numFmtId="164" fontId="34" fillId="0" borderId="51" xfId="0" applyNumberFormat="1" applyFont="1" applyBorder="1" applyAlignment="1">
      <alignment horizontal="center"/>
    </xf>
    <xf numFmtId="3" fontId="36" fillId="8" borderId="54" xfId="0" applyNumberFormat="1" applyFont="1" applyFill="1" applyBorder="1" applyAlignment="1">
      <alignment horizontal="center"/>
    </xf>
    <xf numFmtId="0" fontId="34" fillId="0" borderId="51" xfId="0" applyFont="1" applyBorder="1" applyAlignment="1">
      <alignment horizontal="center" vertical="center"/>
    </xf>
    <xf numFmtId="9" fontId="34" fillId="0" borderId="51" xfId="0" applyNumberFormat="1" applyFont="1" applyBorder="1" applyAlignment="1">
      <alignment horizontal="center" vertical="center"/>
    </xf>
    <xf numFmtId="3" fontId="34" fillId="9" borderId="51" xfId="0" applyNumberFormat="1" applyFont="1" applyFill="1" applyBorder="1" applyAlignment="1">
      <alignment horizontal="center"/>
    </xf>
    <xf numFmtId="3" fontId="36" fillId="0" borderId="54" xfId="0" applyNumberFormat="1" applyFont="1" applyBorder="1" applyAlignment="1">
      <alignment horizontal="center" vertical="center"/>
    </xf>
    <xf numFmtId="9" fontId="34" fillId="9" borderId="51" xfId="0" applyNumberFormat="1" applyFont="1" applyFill="1" applyBorder="1" applyAlignment="1">
      <alignment horizontal="center"/>
    </xf>
    <xf numFmtId="3" fontId="36" fillId="0" borderId="51" xfId="0" applyNumberFormat="1" applyFont="1" applyBorder="1" applyAlignment="1">
      <alignment horizontal="center" vertical="center"/>
    </xf>
    <xf numFmtId="3" fontId="63" fillId="9" borderId="51" xfId="0" applyNumberFormat="1" applyFont="1" applyFill="1" applyBorder="1" applyAlignment="1">
      <alignment horizontal="center"/>
    </xf>
    <xf numFmtId="3" fontId="36" fillId="4" borderId="54" xfId="0" applyNumberFormat="1" applyFont="1" applyFill="1" applyBorder="1" applyAlignment="1">
      <alignment horizontal="center" vertical="center"/>
    </xf>
    <xf numFmtId="1" fontId="34" fillId="0" borderId="51" xfId="0" applyNumberFormat="1" applyFont="1" applyBorder="1" applyAlignment="1">
      <alignment horizontal="center" vertical="center"/>
    </xf>
    <xf numFmtId="3" fontId="34" fillId="0" borderId="55" xfId="0" applyNumberFormat="1" applyFont="1" applyBorder="1" applyAlignment="1">
      <alignment horizontal="center" vertical="center"/>
    </xf>
    <xf numFmtId="3" fontId="70" fillId="30" borderId="49" xfId="1" applyNumberFormat="1" applyFont="1" applyFill="1" applyBorder="1" applyAlignment="1">
      <alignment horizontal="right" vertical="top"/>
    </xf>
    <xf numFmtId="10" fontId="68" fillId="0" borderId="56" xfId="1" applyNumberFormat="1" applyFont="1" applyBorder="1" applyAlignment="1">
      <alignment horizontal="center" vertical="top"/>
    </xf>
    <xf numFmtId="10" fontId="72" fillId="33" borderId="57" xfId="1" applyNumberFormat="1" applyFont="1" applyFill="1" applyBorder="1" applyAlignment="1">
      <alignment horizontal="center" vertical="top"/>
    </xf>
    <xf numFmtId="14" fontId="7" fillId="0" borderId="34" xfId="0" quotePrefix="1" applyNumberFormat="1" applyFont="1" applyBorder="1" applyAlignment="1">
      <alignment horizontal="center"/>
    </xf>
    <xf numFmtId="14" fontId="7" fillId="0" borderId="26" xfId="0" quotePrefix="1" applyNumberFormat="1" applyFont="1" applyBorder="1" applyAlignment="1">
      <alignment horizontal="center"/>
    </xf>
    <xf numFmtId="14" fontId="7" fillId="0" borderId="35" xfId="0" quotePrefix="1" applyNumberFormat="1" applyFont="1" applyBorder="1" applyAlignment="1">
      <alignment horizontal="center"/>
    </xf>
    <xf numFmtId="3" fontId="36" fillId="15" borderId="36" xfId="0" applyNumberFormat="1" applyFont="1" applyFill="1" applyBorder="1" applyAlignment="1">
      <alignment horizontal="center" vertical="center"/>
    </xf>
    <xf numFmtId="3" fontId="39" fillId="15" borderId="36" xfId="0" applyNumberFormat="1" applyFont="1" applyFill="1" applyBorder="1" applyAlignment="1">
      <alignment horizontal="center" vertical="center"/>
    </xf>
    <xf numFmtId="3" fontId="39" fillId="7" borderId="22" xfId="0" applyNumberFormat="1" applyFont="1" applyFill="1" applyBorder="1" applyAlignment="1">
      <alignment horizontal="center" vertical="center"/>
    </xf>
    <xf numFmtId="14" fontId="6" fillId="0" borderId="34" xfId="0" quotePrefix="1" applyNumberFormat="1" applyFont="1" applyBorder="1" applyAlignment="1">
      <alignment horizontal="center"/>
    </xf>
    <xf numFmtId="14" fontId="5" fillId="0" borderId="26" xfId="0" quotePrefix="1" applyNumberFormat="1" applyFont="1" applyBorder="1" applyAlignment="1">
      <alignment horizontal="center"/>
    </xf>
    <xf numFmtId="14" fontId="5" fillId="0" borderId="35" xfId="0" quotePrefix="1" applyNumberFormat="1" applyFont="1" applyBorder="1" applyAlignment="1">
      <alignment horizontal="center"/>
    </xf>
    <xf numFmtId="14" fontId="4" fillId="0" borderId="35" xfId="0" quotePrefix="1" applyNumberFormat="1" applyFont="1" applyBorder="1" applyAlignment="1">
      <alignment horizontal="center"/>
    </xf>
    <xf numFmtId="0" fontId="73" fillId="34" borderId="0" xfId="0" applyFont="1" applyFill="1" applyAlignment="1">
      <alignment horizontal="center"/>
    </xf>
    <xf numFmtId="0" fontId="0" fillId="34" borderId="0" xfId="0" applyFill="1"/>
    <xf numFmtId="0" fontId="74" fillId="0" borderId="0" xfId="0" applyFont="1"/>
    <xf numFmtId="0" fontId="75" fillId="35" borderId="0" xfId="0" applyFont="1" applyFill="1"/>
    <xf numFmtId="0" fontId="0" fillId="35" borderId="0" xfId="0" applyFill="1"/>
    <xf numFmtId="0" fontId="74" fillId="36" borderId="0" xfId="0" applyFont="1" applyFill="1" applyAlignment="1">
      <alignment horizontal="center"/>
    </xf>
    <xf numFmtId="0" fontId="0" fillId="36" borderId="0" xfId="0" applyFill="1"/>
    <xf numFmtId="0" fontId="76" fillId="37" borderId="0" xfId="0" applyFont="1" applyFill="1"/>
    <xf numFmtId="0" fontId="0" fillId="37" borderId="0" xfId="0" applyFill="1"/>
    <xf numFmtId="0" fontId="74" fillId="37" borderId="0" xfId="0" applyFont="1" applyFill="1" applyAlignment="1">
      <alignment horizontal="center"/>
    </xf>
    <xf numFmtId="0" fontId="77" fillId="38" borderId="0" xfId="0" applyFont="1" applyFill="1"/>
    <xf numFmtId="0" fontId="0" fillId="38" borderId="0" xfId="0" applyFill="1"/>
    <xf numFmtId="0" fontId="74" fillId="38" borderId="0" xfId="0" applyFont="1" applyFill="1" applyAlignment="1">
      <alignment horizontal="center"/>
    </xf>
    <xf numFmtId="0" fontId="78" fillId="39" borderId="0" xfId="0" applyFont="1" applyFill="1"/>
    <xf numFmtId="0" fontId="0" fillId="39" borderId="0" xfId="0" applyFill="1"/>
    <xf numFmtId="0" fontId="74" fillId="39" borderId="0" xfId="0" applyFont="1" applyFill="1" applyAlignment="1">
      <alignment horizontal="center"/>
    </xf>
    <xf numFmtId="0" fontId="79" fillId="40" borderId="0" xfId="0" applyFont="1" applyFill="1"/>
    <xf numFmtId="0" fontId="0" fillId="40" borderId="0" xfId="0" applyFill="1"/>
    <xf numFmtId="0" fontId="74" fillId="40" borderId="0" xfId="0" applyFont="1" applyFill="1" applyAlignment="1">
      <alignment horizontal="center"/>
    </xf>
    <xf numFmtId="14" fontId="3" fillId="0" borderId="34" xfId="0" quotePrefix="1" applyNumberFormat="1" applyFont="1" applyBorder="1" applyAlignment="1">
      <alignment horizontal="center"/>
    </xf>
    <xf numFmtId="3" fontId="2" fillId="15" borderId="22" xfId="0" applyNumberFormat="1" applyFont="1" applyFill="1" applyBorder="1" applyAlignment="1">
      <alignment horizontal="center" vertical="center"/>
    </xf>
    <xf numFmtId="14" fontId="1" fillId="0" borderId="26" xfId="0" quotePrefix="1" applyNumberFormat="1" applyFont="1" applyBorder="1" applyAlignment="1">
      <alignment horizontal="center"/>
    </xf>
    <xf numFmtId="14" fontId="1" fillId="0" borderId="35" xfId="0" quotePrefix="1" applyNumberFormat="1" applyFont="1" applyBorder="1" applyAlignment="1">
      <alignment horizontal="center"/>
    </xf>
    <xf numFmtId="0" fontId="69" fillId="31" borderId="20" xfId="1" applyFont="1" applyFill="1" applyAlignment="1">
      <alignment vertical="top"/>
    </xf>
    <xf numFmtId="0" fontId="66" fillId="0" borderId="20" xfId="1"/>
    <xf numFmtId="0" fontId="67" fillId="22" borderId="20" xfId="1" applyFont="1" applyFill="1" applyAlignment="1">
      <alignment horizontal="center" vertical="center"/>
    </xf>
    <xf numFmtId="167" fontId="68" fillId="23" borderId="20" xfId="1" applyNumberFormat="1" applyFont="1" applyFill="1" applyAlignment="1">
      <alignment horizontal="center" vertical="top"/>
    </xf>
    <xf numFmtId="0" fontId="69" fillId="24" borderId="20" xfId="1" applyFont="1" applyFill="1" applyAlignment="1">
      <alignment vertical="top"/>
    </xf>
    <xf numFmtId="0" fontId="69" fillId="25" borderId="20" xfId="1" applyFont="1" applyFill="1" applyAlignment="1">
      <alignment vertical="top"/>
    </xf>
    <xf numFmtId="0" fontId="69" fillId="28" borderId="20" xfId="1" applyFont="1" applyFill="1" applyAlignment="1">
      <alignment vertical="top"/>
    </xf>
    <xf numFmtId="0" fontId="36" fillId="5" borderId="5" xfId="0" applyFont="1" applyFill="1" applyBorder="1" applyAlignment="1">
      <alignment horizontal="center" vertical="center"/>
    </xf>
    <xf numFmtId="0" fontId="56" fillId="0" borderId="6" xfId="0" applyFont="1" applyBorder="1"/>
    <xf numFmtId="0" fontId="56" fillId="0" borderId="7" xfId="0" applyFont="1" applyBorder="1"/>
    <xf numFmtId="0" fontId="34" fillId="5" borderId="23" xfId="0" applyFont="1" applyFill="1" applyBorder="1" applyAlignment="1">
      <alignment horizontal="center"/>
    </xf>
    <xf numFmtId="0" fontId="56" fillId="0" borderId="23" xfId="0" applyFont="1" applyBorder="1"/>
    <xf numFmtId="0" fontId="56" fillId="0" borderId="41" xfId="0" applyFont="1" applyBorder="1"/>
    <xf numFmtId="3" fontId="34" fillId="5" borderId="23" xfId="0" applyNumberFormat="1" applyFont="1" applyFill="1" applyBorder="1" applyAlignment="1">
      <alignment horizontal="center"/>
    </xf>
    <xf numFmtId="1" fontId="59" fillId="15" borderId="22" xfId="0" applyNumberFormat="1" applyFont="1" applyFill="1" applyBorder="1" applyAlignment="1">
      <alignment vertical="center" wrapText="1"/>
    </xf>
    <xf numFmtId="1" fontId="34" fillId="16" borderId="24" xfId="0" applyNumberFormat="1" applyFont="1" applyFill="1" applyBorder="1"/>
    <xf numFmtId="3" fontId="34" fillId="5" borderId="27" xfId="0" applyNumberFormat="1" applyFont="1" applyFill="1" applyBorder="1" applyAlignment="1">
      <alignment horizontal="center"/>
    </xf>
    <xf numFmtId="0" fontId="56" fillId="0" borderId="28" xfId="0" applyFont="1" applyBorder="1"/>
    <xf numFmtId="0" fontId="56" fillId="0" borderId="29" xfId="0" applyFont="1" applyBorder="1"/>
    <xf numFmtId="3" fontId="49" fillId="2" borderId="2" xfId="0" applyNumberFormat="1" applyFont="1" applyFill="1" applyBorder="1" applyAlignment="1">
      <alignment horizontal="left" vertical="center" wrapText="1"/>
    </xf>
    <xf numFmtId="0" fontId="40" fillId="0" borderId="2" xfId="0" applyFont="1" applyBorder="1"/>
    <xf numFmtId="3" fontId="43" fillId="5" borderId="12" xfId="0" applyNumberFormat="1" applyFont="1" applyFill="1" applyBorder="1" applyAlignment="1">
      <alignment horizontal="center"/>
    </xf>
    <xf numFmtId="0" fontId="40" fillId="0" borderId="20" xfId="0" applyFont="1" applyBorder="1"/>
    <xf numFmtId="0" fontId="40" fillId="0" borderId="21" xfId="0" applyFont="1" applyBorder="1"/>
    <xf numFmtId="3" fontId="43" fillId="5" borderId="47" xfId="0" applyNumberFormat="1" applyFont="1" applyFill="1" applyBorder="1" applyAlignment="1">
      <alignment horizontal="center"/>
    </xf>
    <xf numFmtId="0" fontId="40" fillId="0" borderId="16" xfId="0" applyFont="1" applyBorder="1"/>
    <xf numFmtId="0" fontId="40" fillId="0" borderId="15" xfId="0" applyFont="1" applyBorder="1"/>
    <xf numFmtId="0" fontId="65" fillId="4" borderId="41" xfId="0" applyFont="1" applyFill="1" applyBorder="1" applyAlignment="1">
      <alignment horizontal="center" vertical="center" wrapText="1"/>
    </xf>
    <xf numFmtId="0" fontId="65" fillId="4" borderId="32" xfId="0" applyFont="1" applyFill="1" applyBorder="1" applyAlignment="1">
      <alignment horizontal="center" vertical="center" wrapText="1"/>
    </xf>
    <xf numFmtId="0" fontId="38" fillId="5" borderId="47" xfId="0" applyFont="1" applyFill="1" applyBorder="1" applyAlignment="1">
      <alignment horizontal="center"/>
    </xf>
    <xf numFmtId="0" fontId="37" fillId="5" borderId="47" xfId="0" applyFont="1" applyFill="1" applyBorder="1" applyAlignment="1">
      <alignment horizontal="center"/>
    </xf>
    <xf numFmtId="0" fontId="38" fillId="5" borderId="12" xfId="0" applyFont="1" applyFill="1" applyBorder="1" applyAlignment="1">
      <alignment horizontal="center"/>
    </xf>
    <xf numFmtId="0" fontId="41" fillId="5" borderId="6" xfId="0" applyFont="1" applyFill="1" applyBorder="1" applyAlignment="1">
      <alignment horizontal="center" vertical="center"/>
    </xf>
    <xf numFmtId="0" fontId="40" fillId="0" borderId="6" xfId="0" applyFont="1" applyBorder="1"/>
    <xf numFmtId="0" fontId="40" fillId="0" borderId="7" xfId="0" applyFont="1" applyBorder="1"/>
    <xf numFmtId="0" fontId="38" fillId="0" borderId="0" xfId="0" applyFont="1" applyAlignment="1">
      <alignment horizontal="center" vertical="top" wrapText="1"/>
    </xf>
    <xf numFmtId="0" fontId="20" fillId="16" borderId="22" xfId="0" applyFont="1" applyFill="1" applyBorder="1" applyAlignment="1">
      <alignment horizontal="center"/>
    </xf>
    <xf numFmtId="0" fontId="34" fillId="0" borderId="22" xfId="0" applyFont="1" applyBorder="1" applyAlignment="1">
      <alignment horizontal="center"/>
    </xf>
  </cellXfs>
  <cellStyles count="2">
    <cellStyle name="Обычный" xfId="0" builtinId="0"/>
    <cellStyle name="Обычный 2" xfId="1" xr:uid="{F87A8BC6-CDDC-429B-A8B5-01E97F6DC0B9}"/>
  </cellStyles>
  <dxfs count="173"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alignment horizontal="center" textRotation="0" wrapText="0" indent="0" justifyLastLine="0" shrinkToFit="0" readingOrder="0"/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EF2CB"/>
          <bgColor rgb="FFFEF2CB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EF2CB"/>
          <bgColor rgb="FFFEF2CB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solid">
          <fgColor rgb="FFC5E0B3"/>
          <bgColor rgb="FFC5E0B3"/>
        </patternFill>
      </fill>
    </dxf>
    <dxf>
      <fill>
        <patternFill>
          <bgColor rgb="FF00CC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00CC00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solid">
          <fgColor rgb="FFC5E0B3"/>
          <bgColor rgb="FFC5E0B3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none"/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none"/>
      </fill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3" formatCode="#,##0"/>
      <fill>
        <patternFill patternType="solid">
          <fgColor rgb="FFF1F3FB"/>
          <bgColor rgb="FF00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3" formatCode="#,##0"/>
      <fill>
        <patternFill patternType="solid">
          <fgColor rgb="FFF1F3FB"/>
          <bgColor rgb="FF00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3" formatCode="#,##0"/>
      <fill>
        <patternFill patternType="solid">
          <fgColor rgb="FFF1F3FB"/>
          <bgColor rgb="FF00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numFmt numFmtId="3" formatCode="#,##0"/>
      <fill>
        <patternFill patternType="solid">
          <fgColor rgb="FFF1F3FB"/>
          <bgColor rgb="FF00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indexed="64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charset val="204"/>
        <scheme val="minor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4">
    <tableStyle name="PL факт (нед)-style" pivot="0" count="3" xr9:uid="{00000000-0011-0000-FFFF-FFFF00000000}">
      <tableStyleElement type="headerRow" dxfId="172"/>
      <tableStyleElement type="firstRowStripe" dxfId="171"/>
      <tableStyleElement type="secondRowStripe" dxfId="170"/>
    </tableStyle>
    <tableStyle name="PL факт (нед)-style 2" pivot="0" count="3" xr9:uid="{00000000-0011-0000-FFFF-FFFF01000000}">
      <tableStyleElement type="headerRow" dxfId="169"/>
      <tableStyleElement type="firstRowStripe" dxfId="168"/>
      <tableStyleElement type="secondRowStripe" dxfId="167"/>
    </tableStyle>
    <tableStyle name="PL OZON (нед)-style" pivot="0" count="3" xr9:uid="{00000000-0011-0000-FFFF-FFFF02000000}">
      <tableStyleElement type="headerRow" dxfId="166"/>
      <tableStyleElement type="firstRowStripe" dxfId="165"/>
      <tableStyleElement type="secondRowStripe" dxfId="164"/>
    </tableStyle>
    <tableStyle name="PL OZON (нед)-style 2" pivot="0" count="3" xr9:uid="{00000000-0011-0000-FFFF-FFFF03000000}">
      <tableStyleElement type="headerRow" dxfId="163"/>
      <tableStyleElement type="firstRowStripe" dxfId="162"/>
      <tableStyleElement type="secondRowStripe" dxfId="161"/>
    </tableStyle>
  </tableStyles>
  <colors>
    <mruColors>
      <color rgb="FF00FFFF"/>
      <color rgb="FF00CC00"/>
      <color rgb="FF9933FF"/>
      <color rgb="FF0066FF"/>
      <color rgb="FF00FFCC"/>
      <color rgb="FFFFCC00"/>
      <color rgb="FFFF6699"/>
      <color rgb="FF00FF00"/>
      <color rgb="FFFF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ru-RU" sz="1050" b="0">
                <a:solidFill>
                  <a:srgbClr val="333333"/>
                </a:solidFill>
                <a:latin typeface="Arial"/>
              </a:rPr>
              <a:t>Сравнение </a:t>
            </a:r>
            <a:r>
              <a:rPr lang="en-US" sz="1050" b="0">
                <a:solidFill>
                  <a:srgbClr val="333333"/>
                </a:solidFill>
                <a:latin typeface="Arial"/>
              </a:rPr>
              <a:t>WB </a:t>
            </a:r>
            <a:r>
              <a:rPr lang="ru-RU" sz="1050" b="0">
                <a:solidFill>
                  <a:srgbClr val="333333"/>
                </a:solidFill>
                <a:latin typeface="Arial"/>
              </a:rPr>
              <a:t>и </a:t>
            </a:r>
            <a:r>
              <a:rPr lang="en-US" sz="1050" b="0">
                <a:solidFill>
                  <a:srgbClr val="333333"/>
                </a:solidFill>
                <a:latin typeface="Arial"/>
              </a:rPr>
              <a:t>OZON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Дашборд!$A$17</c:f>
              <c:strCache>
                <c:ptCount val="1"/>
                <c:pt idx="0">
                  <c:v>Продажи (шт)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(Дашборд!$C$16,Дашборд!$F$16)</c:f>
              <c:strCache>
                <c:ptCount val="2"/>
                <c:pt idx="0">
                  <c:v>Wildberries</c:v>
                </c:pt>
                <c:pt idx="1">
                  <c:v>OZON</c:v>
                </c:pt>
              </c:strCache>
            </c:strRef>
          </c:cat>
          <c:val>
            <c:numRef>
              <c:f>(Дашборд!$C$17,Дашборд!$F$17)</c:f>
              <c:numCache>
                <c:formatCode>#,##0</c:formatCode>
                <c:ptCount val="2"/>
                <c:pt idx="0">
                  <c:v>5368</c:v>
                </c:pt>
                <c:pt idx="1">
                  <c:v>1540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D-4CD7-B9FF-3AE8D1721BD3}"/>
            </c:ext>
          </c:extLst>
        </c:ser>
        <c:ser>
          <c:idx val="1"/>
          <c:order val="1"/>
          <c:tx>
            <c:strRef>
              <c:f>Дашборд!$A$18</c:f>
              <c:strCache>
                <c:ptCount val="1"/>
                <c:pt idx="0">
                  <c:v>Выручка (руб)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(Дашборд!$C$16,Дашборд!$F$16)</c:f>
              <c:strCache>
                <c:ptCount val="2"/>
                <c:pt idx="0">
                  <c:v>Wildberries</c:v>
                </c:pt>
                <c:pt idx="1">
                  <c:v>OZON</c:v>
                </c:pt>
              </c:strCache>
            </c:strRef>
          </c:cat>
          <c:val>
            <c:numRef>
              <c:f>(Дашборд!$C$18,Дашборд!$F$18)</c:f>
              <c:numCache>
                <c:formatCode>_(* #\ ##0.00_);_(* \(#\ ##0.00\);_(* "-"??_);_(@_)</c:formatCode>
                <c:ptCount val="2"/>
                <c:pt idx="0">
                  <c:v>3448243</c:v>
                </c:pt>
                <c:pt idx="1">
                  <c:v>1002693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CD-4CD7-B9FF-3AE8D1721BD3}"/>
            </c:ext>
          </c:extLst>
        </c:ser>
        <c:ser>
          <c:idx val="2"/>
          <c:order val="2"/>
          <c:tx>
            <c:strRef>
              <c:f>Дашборд!$A$19</c:f>
              <c:strCache>
                <c:ptCount val="1"/>
                <c:pt idx="0">
                  <c:v>Чистая прибыль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(Дашборд!$C$16,Дашборд!$F$16)</c:f>
              <c:strCache>
                <c:ptCount val="2"/>
                <c:pt idx="0">
                  <c:v>Wildberries</c:v>
                </c:pt>
                <c:pt idx="1">
                  <c:v>OZON</c:v>
                </c:pt>
              </c:strCache>
            </c:strRef>
          </c:cat>
          <c:val>
            <c:numRef>
              <c:f>(Дашборд!$C$19,Дашборд!$F$19)</c:f>
              <c:numCache>
                <c:formatCode>_(* #\ ##0.00_);_(* \(#\ ##0.00\);_(* "-"??_);_(@_)</c:formatCode>
                <c:ptCount val="2"/>
                <c:pt idx="0">
                  <c:v>918826.76999999967</c:v>
                </c:pt>
                <c:pt idx="1">
                  <c:v>62925.350000000006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CD-4CD7-B9FF-3AE8D1721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81745986"/>
        <c:axId val="10512054"/>
      </c:barChart>
      <c:catAx>
        <c:axId val="817459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ru-RU"/>
          </a:p>
        </c:txPr>
        <c:crossAx val="10512054"/>
        <c:crosses val="autoZero"/>
        <c:auto val="1"/>
        <c:lblAlgn val="ctr"/>
        <c:lblOffset val="0"/>
        <c:tickMarkSkip val="1"/>
        <c:noMultiLvlLbl val="1"/>
      </c:catAx>
      <c:valAx>
        <c:axId val="10512054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ru-RU"/>
          </a:p>
        </c:txPr>
        <c:crossAx val="81745986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lang="ru-RU" sz="1050" b="0">
                <a:solidFill>
                  <a:srgbClr val="333333"/>
                </a:solidFill>
                <a:latin typeface="Arial"/>
              </a:rPr>
              <a:t>Структура расходов</a:t>
            </a:r>
            <a:endParaRPr lang="ru-RU"/>
          </a:p>
        </c:rich>
      </c:tx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ln w="19050">
              <a:solidFill>
                <a:srgbClr val="FFFFFF"/>
              </a:solidFill>
            </a:ln>
          </c:spPr>
          <c:dLbls>
            <c:spPr>
              <a:noFill/>
              <a:ln>
                <a:noFill/>
              </a:ln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Дашборд!$A$26:$A$31</c:f>
              <c:strCache>
                <c:ptCount val="6"/>
                <c:pt idx="0">
                  <c:v>Комиссии площадок</c:v>
                </c:pt>
                <c:pt idx="1">
                  <c:v>Логистика</c:v>
                </c:pt>
                <c:pt idx="2">
                  <c:v>Продвижение</c:v>
                </c:pt>
                <c:pt idx="3">
                  <c:v>Себестоимость</c:v>
                </c:pt>
                <c:pt idx="4">
                  <c:v>Хранение</c:v>
                </c:pt>
                <c:pt idx="5">
                  <c:v>Прочие расходы</c:v>
                </c:pt>
              </c:strCache>
            </c:strRef>
          </c:cat>
          <c:val>
            <c:numRef>
              <c:f>Дашборд!$C$26:$C$31</c:f>
              <c:numCache>
                <c:formatCode>_(* #\ ##0.00_);_(* \(#\ ##0.00\);_(* "-"??_);_(@_)</c:formatCode>
                <c:ptCount val="6"/>
                <c:pt idx="0">
                  <c:v>1447556.46</c:v>
                </c:pt>
                <c:pt idx="1">
                  <c:v>618776</c:v>
                </c:pt>
                <c:pt idx="2">
                  <c:v>24538</c:v>
                </c:pt>
                <c:pt idx="3">
                  <c:v>890632.07999999984</c:v>
                </c:pt>
                <c:pt idx="4">
                  <c:v>231373.12000000002</c:v>
                </c:pt>
                <c:pt idx="5">
                  <c:v>23983.810000000027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2-4110-B6B5-8D7946E02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и Прибыль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734492563429572"/>
          <c:y val="0.17634259259259263"/>
          <c:w val="0.84654396325459313"/>
          <c:h val="0.61498432487605714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 общ'!$C$14:$N$14</c:f>
              <c:numCache>
                <c:formatCode>#,##0</c:formatCode>
                <c:ptCount val="12"/>
                <c:pt idx="0">
                  <c:v>1213007</c:v>
                </c:pt>
                <c:pt idx="1">
                  <c:v>1136792</c:v>
                </c:pt>
                <c:pt idx="2">
                  <c:v>937183</c:v>
                </c:pt>
                <c:pt idx="3">
                  <c:v>563707</c:v>
                </c:pt>
                <c:pt idx="4">
                  <c:v>444298</c:v>
                </c:pt>
                <c:pt idx="5">
                  <c:v>155949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3-47D7-B004-A724296842F8}"/>
            </c:ext>
          </c:extLst>
        </c:ser>
        <c:ser>
          <c:idx val="2"/>
          <c:order val="1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'PL общ'!$C$57:$N$57</c:f>
              <c:numCache>
                <c:formatCode>#,##0</c:formatCode>
                <c:ptCount val="12"/>
                <c:pt idx="0">
                  <c:v>243054.1399999999</c:v>
                </c:pt>
                <c:pt idx="1">
                  <c:v>288121.18999999994</c:v>
                </c:pt>
                <c:pt idx="2">
                  <c:v>211258.46000000002</c:v>
                </c:pt>
                <c:pt idx="3">
                  <c:v>138910.86999999994</c:v>
                </c:pt>
                <c:pt idx="4">
                  <c:v>75637.00999999998</c:v>
                </c:pt>
                <c:pt idx="5">
                  <c:v>24770.449999999993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F3-47D7-B004-A72429684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982832"/>
        <c:axId val="1396985744"/>
      </c:barChart>
      <c:catAx>
        <c:axId val="1396982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985744"/>
        <c:crosses val="autoZero"/>
        <c:auto val="1"/>
        <c:lblAlgn val="ctr"/>
        <c:lblOffset val="100"/>
        <c:noMultiLvlLbl val="0"/>
      </c:catAx>
      <c:valAx>
        <c:axId val="139698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98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Продажи</c:v>
          </c:tx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none"/>
          </c:marker>
          <c:val>
            <c:numRef>
              <c:f>'PL общ'!$C$14:$N$14</c:f>
              <c:numCache>
                <c:formatCode>#,##0</c:formatCode>
                <c:ptCount val="12"/>
                <c:pt idx="0">
                  <c:v>1213007</c:v>
                </c:pt>
                <c:pt idx="1">
                  <c:v>1136792</c:v>
                </c:pt>
                <c:pt idx="2">
                  <c:v>937183</c:v>
                </c:pt>
                <c:pt idx="3">
                  <c:v>563707</c:v>
                </c:pt>
                <c:pt idx="4">
                  <c:v>444298</c:v>
                </c:pt>
                <c:pt idx="5">
                  <c:v>155949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C4-427D-AD78-8C1F5F3C1806}"/>
            </c:ext>
          </c:extLst>
        </c:ser>
        <c:ser>
          <c:idx val="1"/>
          <c:order val="1"/>
          <c:tx>
            <c:v>К перечислению</c:v>
          </c:tx>
          <c:spPr>
            <a:ln w="19050" cap="rnd">
              <a:solidFill>
                <a:srgbClr val="FFCC00"/>
              </a:solidFill>
              <a:round/>
            </a:ln>
            <a:effectLst/>
          </c:spPr>
          <c:marker>
            <c:symbol val="none"/>
          </c:marker>
          <c:val>
            <c:numRef>
              <c:f>'PL общ'!$C$20:$N$20</c:f>
              <c:numCache>
                <c:formatCode>#,##0</c:formatCode>
                <c:ptCount val="12"/>
                <c:pt idx="0">
                  <c:v>817168.15999999992</c:v>
                </c:pt>
                <c:pt idx="1">
                  <c:v>767025.19</c:v>
                </c:pt>
                <c:pt idx="2">
                  <c:v>629907.41</c:v>
                </c:pt>
                <c:pt idx="3">
                  <c:v>378814.32999999996</c:v>
                </c:pt>
                <c:pt idx="4">
                  <c:v>300215.82999999996</c:v>
                </c:pt>
                <c:pt idx="5">
                  <c:v>110248.62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C4-427D-AD78-8C1F5F3C1806}"/>
            </c:ext>
          </c:extLst>
        </c:ser>
        <c:ser>
          <c:idx val="2"/>
          <c:order val="2"/>
          <c:tx>
            <c:v>Оплачено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'PL общ'!$C$30:$N$30</c:f>
              <c:numCache>
                <c:formatCode>#,##0</c:formatCode>
                <c:ptCount val="12"/>
                <c:pt idx="0">
                  <c:v>538094.62999999989</c:v>
                </c:pt>
                <c:pt idx="1">
                  <c:v>560103.5</c:v>
                </c:pt>
                <c:pt idx="2">
                  <c:v>448883.78000000009</c:v>
                </c:pt>
                <c:pt idx="3">
                  <c:v>269989.39999999997</c:v>
                </c:pt>
                <c:pt idx="4">
                  <c:v>194149.84999999998</c:v>
                </c:pt>
                <c:pt idx="5">
                  <c:v>70135.239999999991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0C4-427D-AD78-8C1F5F3C1806}"/>
            </c:ext>
          </c:extLst>
        </c:ser>
        <c:ser>
          <c:idx val="3"/>
          <c:order val="3"/>
          <c:tx>
            <c:v>Логистика</c:v>
          </c:tx>
          <c:spPr>
            <a:ln w="19050" cap="rnd">
              <a:solidFill>
                <a:srgbClr val="9933FF"/>
              </a:solidFill>
              <a:round/>
            </a:ln>
            <a:effectLst/>
          </c:spPr>
          <c:marker>
            <c:symbol val="none"/>
          </c:marker>
          <c:val>
            <c:numRef>
              <c:f>'PL общ'!$C$40:$N$40</c:f>
              <c:numCache>
                <c:formatCode>#,##0</c:formatCode>
                <c:ptCount val="12"/>
                <c:pt idx="0">
                  <c:v>183264</c:v>
                </c:pt>
                <c:pt idx="1">
                  <c:v>153195</c:v>
                </c:pt>
                <c:pt idx="2">
                  <c:v>134317</c:v>
                </c:pt>
                <c:pt idx="3">
                  <c:v>66602</c:v>
                </c:pt>
                <c:pt idx="4">
                  <c:v>58851</c:v>
                </c:pt>
                <c:pt idx="5">
                  <c:v>22547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0C4-427D-AD78-8C1F5F3C1806}"/>
            </c:ext>
          </c:extLst>
        </c:ser>
        <c:ser>
          <c:idx val="4"/>
          <c:order val="4"/>
          <c:tx>
            <c:v>Хранение</c:v>
          </c:tx>
          <c:spPr>
            <a:ln w="19050" cap="rnd">
              <a:solidFill>
                <a:srgbClr val="FF99FF"/>
              </a:solidFill>
              <a:round/>
            </a:ln>
            <a:effectLst/>
          </c:spPr>
          <c:marker>
            <c:symbol val="none"/>
          </c:marker>
          <c:val>
            <c:numRef>
              <c:f>'PL общ'!$C$43:$N$43</c:f>
              <c:numCache>
                <c:formatCode>#,##0</c:formatCode>
                <c:ptCount val="12"/>
                <c:pt idx="0">
                  <c:v>53680.72</c:v>
                </c:pt>
                <c:pt idx="1">
                  <c:v>35505.69</c:v>
                </c:pt>
                <c:pt idx="2">
                  <c:v>39303.93</c:v>
                </c:pt>
                <c:pt idx="3">
                  <c:v>40098.300000000003</c:v>
                </c:pt>
                <c:pt idx="4">
                  <c:v>44997.98</c:v>
                </c:pt>
                <c:pt idx="5">
                  <c:v>17786.5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0C4-427D-AD78-8C1F5F3C1806}"/>
            </c:ext>
          </c:extLst>
        </c:ser>
        <c:ser>
          <c:idx val="5"/>
          <c:order val="5"/>
          <c:tx>
            <c:v>Продвижение</c:v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val>
            <c:numRef>
              <c:f>'PL общ'!$C$41:$N$41</c:f>
              <c:numCache>
                <c:formatCode>#,##0</c:formatCode>
                <c:ptCount val="12"/>
                <c:pt idx="0">
                  <c:v>11847</c:v>
                </c:pt>
                <c:pt idx="1">
                  <c:v>7915</c:v>
                </c:pt>
                <c:pt idx="2">
                  <c:v>3217</c:v>
                </c:pt>
                <c:pt idx="3">
                  <c:v>527</c:v>
                </c:pt>
                <c:pt idx="4">
                  <c:v>1032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0C4-427D-AD78-8C1F5F3C1806}"/>
            </c:ext>
          </c:extLst>
        </c:ser>
        <c:ser>
          <c:idx val="6"/>
          <c:order val="6"/>
          <c:tx>
            <c:v>Прибыль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'PL общ'!$C$57:$N$57</c:f>
              <c:numCache>
                <c:formatCode>#,##0</c:formatCode>
                <c:ptCount val="12"/>
                <c:pt idx="0">
                  <c:v>243054.1399999999</c:v>
                </c:pt>
                <c:pt idx="1">
                  <c:v>288121.18999999994</c:v>
                </c:pt>
                <c:pt idx="2">
                  <c:v>211258.46000000002</c:v>
                </c:pt>
                <c:pt idx="3">
                  <c:v>138910.86999999994</c:v>
                </c:pt>
                <c:pt idx="4">
                  <c:v>75637.00999999998</c:v>
                </c:pt>
                <c:pt idx="5">
                  <c:v>24770.449999999993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0C4-427D-AD78-8C1F5F3C1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338735"/>
        <c:axId val="922101423"/>
      </c:lineChart>
      <c:catAx>
        <c:axId val="918338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2296547950130872E-3"/>
          <c:y val="2.899342479097328E-2"/>
          <c:w val="0.10415279350289126"/>
          <c:h val="0.405930676191249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6"/>
          <c:order val="0"/>
          <c:tx>
            <c:v>Рентабельность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strRef>
              <c:f>'PL общ'!$C$3:$N$3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'PL общ'!$C$58:$N$58</c:f>
              <c:numCache>
                <c:formatCode>0%</c:formatCode>
                <c:ptCount val="12"/>
                <c:pt idx="0">
                  <c:v>1.0112474345312168</c:v>
                </c:pt>
                <c:pt idx="1">
                  <c:v>1.3008508591395456</c:v>
                </c:pt>
                <c:pt idx="2">
                  <c:v>1.0983057914399526</c:v>
                </c:pt>
                <c:pt idx="3">
                  <c:v>1.3613713042249378</c:v>
                </c:pt>
                <c:pt idx="4">
                  <c:v>0.78600859780249732</c:v>
                </c:pt>
                <c:pt idx="5">
                  <c:v>0.64880711500859767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AA-40FC-8C0B-F6E675D539C4}"/>
            </c:ext>
          </c:extLst>
        </c:ser>
        <c:ser>
          <c:idx val="0"/>
          <c:order val="1"/>
          <c:tx>
            <c:v>% Себестоимости</c:v>
          </c:tx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66FF"/>
              </a:solidFill>
              <a:ln w="9525">
                <a:noFill/>
              </a:ln>
              <a:effectLst/>
            </c:spPr>
          </c:marker>
          <c:val>
            <c:numRef>
              <c:f>'PL общ'!$C$34:$N$34</c:f>
              <c:numCache>
                <c:formatCode>0%</c:formatCode>
                <c:ptCount val="12"/>
                <c:pt idx="0">
                  <c:v>0.19814461911596554</c:v>
                </c:pt>
                <c:pt idx="1">
                  <c:v>0.26543252516367322</c:v>
                </c:pt>
                <c:pt idx="2">
                  <c:v>0.27765822309730986</c:v>
                </c:pt>
                <c:pt idx="3">
                  <c:v>0.24156538455164644</c:v>
                </c:pt>
                <c:pt idx="4">
                  <c:v>0.2889072895400504</c:v>
                </c:pt>
                <c:pt idx="5">
                  <c:v>0.3718849233406713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8AA-40FC-8C0B-F6E675D539C4}"/>
            </c:ext>
          </c:extLst>
        </c:ser>
        <c:ser>
          <c:idx val="1"/>
          <c:order val="2"/>
          <c:tx>
            <c:v>% Расходов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val>
            <c:numRef>
              <c:f>'PL общ'!$C$39:$N$39</c:f>
              <c:numCache>
                <c:formatCode>0%</c:formatCode>
                <c:ptCount val="12"/>
                <c:pt idx="0">
                  <c:v>0.22030089686209561</c:v>
                </c:pt>
                <c:pt idx="1">
                  <c:v>0.17505989662136962</c:v>
                </c:pt>
                <c:pt idx="2">
                  <c:v>0.19010047130603094</c:v>
                </c:pt>
                <c:pt idx="3">
                  <c:v>0.19223515053032869</c:v>
                </c:pt>
                <c:pt idx="4">
                  <c:v>0.2376355058991938</c:v>
                </c:pt>
                <c:pt idx="5">
                  <c:v>0.25863262989823599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8AA-40FC-8C0B-F6E675D539C4}"/>
            </c:ext>
          </c:extLst>
        </c:ser>
        <c:ser>
          <c:idx val="2"/>
          <c:order val="3"/>
          <c:tx>
            <c:v>Маржинальность %</c:v>
          </c:tx>
          <c:spPr>
            <a:ln w="19050" cap="rnd">
              <a:solidFill>
                <a:srgbClr val="FFCC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'PL общ'!$C$59:$N$59</c:f>
              <c:numCache>
                <c:formatCode>0%</c:formatCode>
                <c:ptCount val="12"/>
                <c:pt idx="0">
                  <c:v>0.20037323774718521</c:v>
                </c:pt>
                <c:pt idx="1">
                  <c:v>0.25345110627098005</c:v>
                </c:pt>
                <c:pt idx="2">
                  <c:v>0.22541857886880154</c:v>
                </c:pt>
                <c:pt idx="3">
                  <c:v>0.24642388687740252</c:v>
                </c:pt>
                <c:pt idx="4">
                  <c:v>0.17023936637121928</c:v>
                </c:pt>
                <c:pt idx="5">
                  <c:v>0.15883686333352567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8AA-40FC-8C0B-F6E675D53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338735"/>
        <c:axId val="922101423"/>
      </c:lineChart>
      <c:catAx>
        <c:axId val="91833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и Прибыль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734492563429572"/>
          <c:y val="0.17634259259259263"/>
          <c:w val="0.84654396325459313"/>
          <c:h val="0.61498432487605714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 общ'!$C$14:$N$14</c:f>
              <c:numCache>
                <c:formatCode>#,##0</c:formatCode>
                <c:ptCount val="12"/>
                <c:pt idx="0">
                  <c:v>1213007</c:v>
                </c:pt>
                <c:pt idx="1">
                  <c:v>1136792</c:v>
                </c:pt>
                <c:pt idx="2">
                  <c:v>937183</c:v>
                </c:pt>
                <c:pt idx="3">
                  <c:v>563707</c:v>
                </c:pt>
                <c:pt idx="4">
                  <c:v>444298</c:v>
                </c:pt>
                <c:pt idx="5">
                  <c:v>155949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4-4CAB-B9CB-F4E4B4B4F18D}"/>
            </c:ext>
          </c:extLst>
        </c:ser>
        <c:ser>
          <c:idx val="2"/>
          <c:order val="1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'PL общ'!$C$57:$N$57</c:f>
              <c:numCache>
                <c:formatCode>#,##0</c:formatCode>
                <c:ptCount val="12"/>
                <c:pt idx="0">
                  <c:v>243054.1399999999</c:v>
                </c:pt>
                <c:pt idx="1">
                  <c:v>288121.18999999994</c:v>
                </c:pt>
                <c:pt idx="2">
                  <c:v>211258.46000000002</c:v>
                </c:pt>
                <c:pt idx="3">
                  <c:v>138910.86999999994</c:v>
                </c:pt>
                <c:pt idx="4">
                  <c:v>75637.00999999998</c:v>
                </c:pt>
                <c:pt idx="5">
                  <c:v>24770.449999999993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4-4CAB-B9CB-F4E4B4B4F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982832"/>
        <c:axId val="1396985744"/>
      </c:barChart>
      <c:catAx>
        <c:axId val="1396982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985744"/>
        <c:crosses val="autoZero"/>
        <c:auto val="1"/>
        <c:lblAlgn val="ctr"/>
        <c:lblOffset val="100"/>
        <c:noMultiLvlLbl val="0"/>
      </c:catAx>
      <c:valAx>
        <c:axId val="139698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98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01519240538481E-2"/>
          <c:y val="4.3993302146318899E-2"/>
          <c:w val="0.93728857103547536"/>
          <c:h val="0.8842696365742887"/>
        </c:manualLayout>
      </c:layout>
      <c:lineChart>
        <c:grouping val="standard"/>
        <c:varyColors val="0"/>
        <c:ser>
          <c:idx val="0"/>
          <c:order val="0"/>
          <c:tx>
            <c:v>Продажа</c:v>
          </c:tx>
          <c:spPr>
            <a:ln w="19050" cap="rnd">
              <a:solidFill>
                <a:srgbClr val="0066FF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cat>
            <c:strRef>
              <c:f>'PL WB (нед)'!$C$3:$BB$3</c:f>
              <c:strCache>
                <c:ptCount val="26"/>
                <c:pt idx="0">
                  <c:v>01.01-04.01</c:v>
                </c:pt>
                <c:pt idx="1">
                  <c:v>05.01-11.01</c:v>
                </c:pt>
                <c:pt idx="2">
                  <c:v>12.01-18.01</c:v>
                </c:pt>
                <c:pt idx="3">
                  <c:v>19.01-25.01</c:v>
                </c:pt>
                <c:pt idx="4">
                  <c:v>26.01-01.02</c:v>
                </c:pt>
                <c:pt idx="5">
                  <c:v>02.02-08.02</c:v>
                </c:pt>
                <c:pt idx="6">
                  <c:v>09.02-15.02</c:v>
                </c:pt>
                <c:pt idx="7">
                  <c:v>16.02-22.02</c:v>
                </c:pt>
                <c:pt idx="8">
                  <c:v>23.02-01.03</c:v>
                </c:pt>
                <c:pt idx="9">
                  <c:v>02.03-08.03</c:v>
                </c:pt>
                <c:pt idx="10">
                  <c:v>09.03-15.03</c:v>
                </c:pt>
                <c:pt idx="11">
                  <c:v>16.03-22.03</c:v>
                </c:pt>
                <c:pt idx="12">
                  <c:v>23.03-29.03</c:v>
                </c:pt>
                <c:pt idx="13">
                  <c:v>30.03-05.04</c:v>
                </c:pt>
                <c:pt idx="14">
                  <c:v>06.04-12.04</c:v>
                </c:pt>
                <c:pt idx="15">
                  <c:v>13.04-19.04</c:v>
                </c:pt>
                <c:pt idx="16">
                  <c:v>20.04-26.04</c:v>
                </c:pt>
                <c:pt idx="17">
                  <c:v>27.04-01.05</c:v>
                </c:pt>
                <c:pt idx="18">
                  <c:v>04.05-10.05</c:v>
                </c:pt>
                <c:pt idx="19">
                  <c:v>11.05-17.05</c:v>
                </c:pt>
                <c:pt idx="20">
                  <c:v>18.05-24.05</c:v>
                </c:pt>
                <c:pt idx="21">
                  <c:v>25.05-31.05</c:v>
                </c:pt>
                <c:pt idx="22">
                  <c:v>01.06-07.06</c:v>
                </c:pt>
                <c:pt idx="23">
                  <c:v>08.06-14.06</c:v>
                </c:pt>
                <c:pt idx="24">
                  <c:v>15.-06-21.06</c:v>
                </c:pt>
                <c:pt idx="25">
                  <c:v>22.06-28.06</c:v>
                </c:pt>
              </c:strCache>
            </c:strRef>
          </c:cat>
          <c:val>
            <c:numRef>
              <c:f>'PL WB (нед)'!$C$15:$BB$15</c:f>
              <c:numCache>
                <c:formatCode>#,##0</c:formatCode>
                <c:ptCount val="52"/>
                <c:pt idx="0">
                  <c:v>34445</c:v>
                </c:pt>
                <c:pt idx="1">
                  <c:v>112779</c:v>
                </c:pt>
                <c:pt idx="2">
                  <c:v>147256</c:v>
                </c:pt>
                <c:pt idx="3">
                  <c:v>131182</c:v>
                </c:pt>
                <c:pt idx="4">
                  <c:v>126111</c:v>
                </c:pt>
                <c:pt idx="5">
                  <c:v>142988</c:v>
                </c:pt>
                <c:pt idx="6">
                  <c:v>152014</c:v>
                </c:pt>
                <c:pt idx="7">
                  <c:v>136874</c:v>
                </c:pt>
                <c:pt idx="8">
                  <c:v>145168</c:v>
                </c:pt>
                <c:pt idx="9">
                  <c:v>142232</c:v>
                </c:pt>
                <c:pt idx="10">
                  <c:v>131792</c:v>
                </c:pt>
                <c:pt idx="11">
                  <c:v>131955</c:v>
                </c:pt>
                <c:pt idx="12">
                  <c:v>121928</c:v>
                </c:pt>
                <c:pt idx="13">
                  <c:v>93126</c:v>
                </c:pt>
                <c:pt idx="14">
                  <c:v>75500</c:v>
                </c:pt>
                <c:pt idx="15">
                  <c:v>70341</c:v>
                </c:pt>
                <c:pt idx="16">
                  <c:v>78794</c:v>
                </c:pt>
                <c:pt idx="17">
                  <c:v>59260</c:v>
                </c:pt>
                <c:pt idx="18">
                  <c:v>52149</c:v>
                </c:pt>
                <c:pt idx="19">
                  <c:v>53301</c:v>
                </c:pt>
                <c:pt idx="20">
                  <c:v>43523</c:v>
                </c:pt>
                <c:pt idx="21">
                  <c:v>47787</c:v>
                </c:pt>
                <c:pt idx="22">
                  <c:v>46613</c:v>
                </c:pt>
                <c:pt idx="23">
                  <c:v>56049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34-4144-BBCE-414B90629B40}"/>
            </c:ext>
          </c:extLst>
        </c:ser>
        <c:ser>
          <c:idx val="1"/>
          <c:order val="1"/>
          <c:tx>
            <c:v>К перечислению за товар</c:v>
          </c:tx>
          <c:spPr>
            <a:ln w="19050" cap="rnd">
              <a:solidFill>
                <a:srgbClr val="FFCC0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WB (нед)'!$C$20:$BB$20</c:f>
              <c:numCache>
                <c:formatCode>#,##0</c:formatCode>
                <c:ptCount val="52"/>
                <c:pt idx="0">
                  <c:v>34326</c:v>
                </c:pt>
                <c:pt idx="1">
                  <c:v>114491.58</c:v>
                </c:pt>
                <c:pt idx="2">
                  <c:v>152959.04000000001</c:v>
                </c:pt>
                <c:pt idx="3">
                  <c:v>134668.97</c:v>
                </c:pt>
                <c:pt idx="4">
                  <c:v>132266.57</c:v>
                </c:pt>
                <c:pt idx="5">
                  <c:v>152215.6</c:v>
                </c:pt>
                <c:pt idx="6">
                  <c:v>160853.76999999999</c:v>
                </c:pt>
                <c:pt idx="7">
                  <c:v>143767.19</c:v>
                </c:pt>
                <c:pt idx="8">
                  <c:v>150354.63</c:v>
                </c:pt>
                <c:pt idx="9">
                  <c:v>142702.76</c:v>
                </c:pt>
                <c:pt idx="10">
                  <c:v>131929.45000000001</c:v>
                </c:pt>
                <c:pt idx="11">
                  <c:v>132469.98000000001</c:v>
                </c:pt>
                <c:pt idx="12">
                  <c:v>120447.22</c:v>
                </c:pt>
                <c:pt idx="13">
                  <c:v>91343.06</c:v>
                </c:pt>
                <c:pt idx="14">
                  <c:v>74011.039999999994</c:v>
                </c:pt>
                <c:pt idx="15">
                  <c:v>71497.36</c:v>
                </c:pt>
                <c:pt idx="16">
                  <c:v>78456.87</c:v>
                </c:pt>
                <c:pt idx="17">
                  <c:v>56443.16</c:v>
                </c:pt>
                <c:pt idx="18">
                  <c:v>50598.2</c:v>
                </c:pt>
                <c:pt idx="19">
                  <c:v>53525.07</c:v>
                </c:pt>
                <c:pt idx="20">
                  <c:v>43333.4</c:v>
                </c:pt>
                <c:pt idx="21">
                  <c:v>50129</c:v>
                </c:pt>
                <c:pt idx="22">
                  <c:v>51777.81</c:v>
                </c:pt>
                <c:pt idx="23">
                  <c:v>58470.81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134-4144-BBCE-414B90629B40}"/>
            </c:ext>
          </c:extLst>
        </c:ser>
        <c:ser>
          <c:idx val="2"/>
          <c:order val="2"/>
          <c:tx>
            <c:v>Перечислено</c:v>
          </c:tx>
          <c:spPr>
            <a:ln w="19050" cap="flat" cmpd="sng">
              <a:solidFill>
                <a:srgbClr val="00B05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WB (нед)'!$C$30:$BB$30</c:f>
              <c:numCache>
                <c:formatCode>#,##0</c:formatCode>
                <c:ptCount val="52"/>
                <c:pt idx="0">
                  <c:v>26503.58</c:v>
                </c:pt>
                <c:pt idx="1">
                  <c:v>90050.43</c:v>
                </c:pt>
                <c:pt idx="2">
                  <c:v>122170.28</c:v>
                </c:pt>
                <c:pt idx="3">
                  <c:v>89431.22</c:v>
                </c:pt>
                <c:pt idx="4">
                  <c:v>95453.12000000001</c:v>
                </c:pt>
                <c:pt idx="5">
                  <c:v>121464.16</c:v>
                </c:pt>
                <c:pt idx="6">
                  <c:v>131775.46</c:v>
                </c:pt>
                <c:pt idx="7">
                  <c:v>114834.31</c:v>
                </c:pt>
                <c:pt idx="8">
                  <c:v>119567.57</c:v>
                </c:pt>
                <c:pt idx="9">
                  <c:v>107669.87000000001</c:v>
                </c:pt>
                <c:pt idx="10">
                  <c:v>99302.399999999994</c:v>
                </c:pt>
                <c:pt idx="11">
                  <c:v>94859.580000000016</c:v>
                </c:pt>
                <c:pt idx="12">
                  <c:v>88943.93</c:v>
                </c:pt>
                <c:pt idx="13">
                  <c:v>67847.649999999994</c:v>
                </c:pt>
                <c:pt idx="14">
                  <c:v>53886.289999999994</c:v>
                </c:pt>
                <c:pt idx="15">
                  <c:v>52150.34</c:v>
                </c:pt>
                <c:pt idx="16">
                  <c:v>58898.119999999995</c:v>
                </c:pt>
                <c:pt idx="17">
                  <c:v>39384.840000000004</c:v>
                </c:pt>
                <c:pt idx="18">
                  <c:v>34982.36</c:v>
                </c:pt>
                <c:pt idx="19">
                  <c:v>38461.03</c:v>
                </c:pt>
                <c:pt idx="20">
                  <c:v>29314.49</c:v>
                </c:pt>
                <c:pt idx="21">
                  <c:v>33453.130000000005</c:v>
                </c:pt>
                <c:pt idx="22">
                  <c:v>35573.03</c:v>
                </c:pt>
                <c:pt idx="23">
                  <c:v>34562.21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1134-4144-BBCE-414B90629B40}"/>
            </c:ext>
          </c:extLst>
        </c:ser>
        <c:ser>
          <c:idx val="3"/>
          <c:order val="3"/>
          <c:tx>
            <c:v>Логистика</c:v>
          </c:tx>
          <c:spPr>
            <a:ln w="19050" cap="rnd">
              <a:solidFill>
                <a:srgbClr val="9933FF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WB (нед)'!$C$40:$BB$40</c:f>
              <c:numCache>
                <c:formatCode>#,##0</c:formatCode>
                <c:ptCount val="52"/>
                <c:pt idx="0">
                  <c:v>4739</c:v>
                </c:pt>
                <c:pt idx="1">
                  <c:v>19181</c:v>
                </c:pt>
                <c:pt idx="2">
                  <c:v>25734</c:v>
                </c:pt>
                <c:pt idx="3">
                  <c:v>26309</c:v>
                </c:pt>
                <c:pt idx="4">
                  <c:v>31507</c:v>
                </c:pt>
                <c:pt idx="5">
                  <c:v>24880</c:v>
                </c:pt>
                <c:pt idx="6">
                  <c:v>23367</c:v>
                </c:pt>
                <c:pt idx="7">
                  <c:v>23404</c:v>
                </c:pt>
                <c:pt idx="8">
                  <c:v>24588</c:v>
                </c:pt>
                <c:pt idx="9">
                  <c:v>25825</c:v>
                </c:pt>
                <c:pt idx="10">
                  <c:v>23828</c:v>
                </c:pt>
                <c:pt idx="11">
                  <c:v>29199</c:v>
                </c:pt>
                <c:pt idx="12">
                  <c:v>23313</c:v>
                </c:pt>
                <c:pt idx="13">
                  <c:v>15438</c:v>
                </c:pt>
                <c:pt idx="14">
                  <c:v>12164</c:v>
                </c:pt>
                <c:pt idx="15">
                  <c:v>11631</c:v>
                </c:pt>
                <c:pt idx="16">
                  <c:v>11943</c:v>
                </c:pt>
                <c:pt idx="17">
                  <c:v>9550</c:v>
                </c:pt>
                <c:pt idx="18">
                  <c:v>8205</c:v>
                </c:pt>
                <c:pt idx="19">
                  <c:v>8305</c:v>
                </c:pt>
                <c:pt idx="20">
                  <c:v>6814</c:v>
                </c:pt>
                <c:pt idx="21">
                  <c:v>9571</c:v>
                </c:pt>
                <c:pt idx="22">
                  <c:v>9223</c:v>
                </c:pt>
                <c:pt idx="23">
                  <c:v>13324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1134-4144-BBCE-414B90629B40}"/>
            </c:ext>
          </c:extLst>
        </c:ser>
        <c:ser>
          <c:idx val="4"/>
          <c:order val="4"/>
          <c:tx>
            <c:v>Хранение</c:v>
          </c:tx>
          <c:spPr>
            <a:ln w="19050" cap="rnd">
              <a:solidFill>
                <a:srgbClr val="FF6699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WB (нед)'!$C$43:$BB$43</c:f>
              <c:numCache>
                <c:formatCode>#,##0</c:formatCode>
                <c:ptCount val="52"/>
                <c:pt idx="0">
                  <c:v>3083.42</c:v>
                </c:pt>
                <c:pt idx="1">
                  <c:v>5260.15</c:v>
                </c:pt>
                <c:pt idx="2">
                  <c:v>5054.76</c:v>
                </c:pt>
                <c:pt idx="3">
                  <c:v>4906.9399999999996</c:v>
                </c:pt>
                <c:pt idx="4">
                  <c:v>5306.45</c:v>
                </c:pt>
                <c:pt idx="5">
                  <c:v>5871.44</c:v>
                </c:pt>
                <c:pt idx="6">
                  <c:v>5711.31</c:v>
                </c:pt>
                <c:pt idx="7">
                  <c:v>5528.88</c:v>
                </c:pt>
                <c:pt idx="8">
                  <c:v>6199.06</c:v>
                </c:pt>
                <c:pt idx="9">
                  <c:v>9207.89</c:v>
                </c:pt>
                <c:pt idx="10">
                  <c:v>8952.1</c:v>
                </c:pt>
                <c:pt idx="11">
                  <c:v>8539.65</c:v>
                </c:pt>
                <c:pt idx="12">
                  <c:v>8261.2900000000009</c:v>
                </c:pt>
                <c:pt idx="13">
                  <c:v>8068.41</c:v>
                </c:pt>
                <c:pt idx="14">
                  <c:v>7920.75</c:v>
                </c:pt>
                <c:pt idx="15">
                  <c:v>7771.39</c:v>
                </c:pt>
                <c:pt idx="16">
                  <c:v>7615.75</c:v>
                </c:pt>
                <c:pt idx="17">
                  <c:v>7508.32</c:v>
                </c:pt>
                <c:pt idx="18">
                  <c:v>7410.84</c:v>
                </c:pt>
                <c:pt idx="19">
                  <c:v>7306.04</c:v>
                </c:pt>
                <c:pt idx="20">
                  <c:v>7204.91</c:v>
                </c:pt>
                <c:pt idx="21">
                  <c:v>7104.87</c:v>
                </c:pt>
                <c:pt idx="22">
                  <c:v>6981.78</c:v>
                </c:pt>
                <c:pt idx="23">
                  <c:v>10804.72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1134-4144-BBCE-414B90629B40}"/>
            </c:ext>
          </c:extLst>
        </c:ser>
        <c:ser>
          <c:idx val="6"/>
          <c:order val="6"/>
          <c:tx>
            <c:v>Прибыль</c:v>
          </c:tx>
          <c:spPr>
            <a:ln w="19050" cap="rnd">
              <a:solidFill>
                <a:srgbClr val="FF000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WB (нед)'!$C$57:$BB$57</c:f>
              <c:numCache>
                <c:formatCode>#,##0</c:formatCode>
                <c:ptCount val="52"/>
                <c:pt idx="0">
                  <c:v>15233.880000000001</c:v>
                </c:pt>
                <c:pt idx="1">
                  <c:v>49218.69</c:v>
                </c:pt>
                <c:pt idx="2">
                  <c:v>67002.759999999995</c:v>
                </c:pt>
                <c:pt idx="3">
                  <c:v>41107.100000000006</c:v>
                </c:pt>
                <c:pt idx="4">
                  <c:v>49246.010000000009</c:v>
                </c:pt>
                <c:pt idx="5">
                  <c:v>66906.880000000005</c:v>
                </c:pt>
                <c:pt idx="6">
                  <c:v>77017.56</c:v>
                </c:pt>
                <c:pt idx="7">
                  <c:v>67422.63</c:v>
                </c:pt>
                <c:pt idx="8">
                  <c:v>70091.070000000007</c:v>
                </c:pt>
                <c:pt idx="9">
                  <c:v>59364.950000000012</c:v>
                </c:pt>
                <c:pt idx="10">
                  <c:v>53192.420000000027</c:v>
                </c:pt>
                <c:pt idx="11">
                  <c:v>40959.530000000013</c:v>
                </c:pt>
                <c:pt idx="12">
                  <c:v>45220.06</c:v>
                </c:pt>
                <c:pt idx="13">
                  <c:v>37756.549999999988</c:v>
                </c:pt>
                <c:pt idx="14">
                  <c:v>29796.729999999996</c:v>
                </c:pt>
                <c:pt idx="15">
                  <c:v>28935.08</c:v>
                </c:pt>
                <c:pt idx="16">
                  <c:v>33123.919999999998</c:v>
                </c:pt>
                <c:pt idx="17">
                  <c:v>20632.370000000003</c:v>
                </c:pt>
                <c:pt idx="18">
                  <c:v>16916.949999999997</c:v>
                </c:pt>
                <c:pt idx="19">
                  <c:v>19508.579999999998</c:v>
                </c:pt>
                <c:pt idx="20">
                  <c:v>13704</c:v>
                </c:pt>
                <c:pt idx="21">
                  <c:v>14003.650000000007</c:v>
                </c:pt>
                <c:pt idx="22">
                  <c:v>16168.54</c:v>
                </c:pt>
                <c:pt idx="23">
                  <c:v>9628.5299999999934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1134-4144-BBCE-414B90629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338735"/>
        <c:axId val="922101423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v>Продвижение</c:v>
                </c:tx>
                <c:spPr>
                  <a:ln w="19050" cap="rnd">
                    <a:solidFill>
                      <a:srgbClr val="FF00FF"/>
                    </a:solidFill>
                    <a:round/>
                    <a:headEnd type="oval" w="sm" len="sm"/>
                    <a:tailEnd type="oval" w="sm" len="sm"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'PL WB (нед)'!$C$41:$BB$41</c15:sqref>
                        </c15:formulaRef>
                      </c:ext>
                    </c:extLst>
                    <c:numCache>
                      <c:formatCode>#,##0</c:formatCode>
                      <c:ptCount val="52"/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B-1134-4144-BBCE-414B90629B40}"/>
                  </c:ext>
                </c:extLst>
              </c15:ser>
            </c15:filteredLineSeries>
          </c:ext>
        </c:extLst>
      </c:lineChart>
      <c:catAx>
        <c:axId val="91833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Рентабельность</c:v>
          </c:tx>
          <c:spPr>
            <a:ln w="19050" cap="rnd">
              <a:solidFill>
                <a:srgbClr val="00B05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strRef>
              <c:f>'PL WB (нед)'!$C$3:$BB$3</c:f>
              <c:strCache>
                <c:ptCount val="26"/>
                <c:pt idx="0">
                  <c:v>01.01-04.01</c:v>
                </c:pt>
                <c:pt idx="1">
                  <c:v>05.01-11.01</c:v>
                </c:pt>
                <c:pt idx="2">
                  <c:v>12.01-18.01</c:v>
                </c:pt>
                <c:pt idx="3">
                  <c:v>19.01-25.01</c:v>
                </c:pt>
                <c:pt idx="4">
                  <c:v>26.01-01.02</c:v>
                </c:pt>
                <c:pt idx="5">
                  <c:v>02.02-08.02</c:v>
                </c:pt>
                <c:pt idx="6">
                  <c:v>09.02-15.02</c:v>
                </c:pt>
                <c:pt idx="7">
                  <c:v>16.02-22.02</c:v>
                </c:pt>
                <c:pt idx="8">
                  <c:v>23.02-01.03</c:v>
                </c:pt>
                <c:pt idx="9">
                  <c:v>02.03-08.03</c:v>
                </c:pt>
                <c:pt idx="10">
                  <c:v>09.03-15.03</c:v>
                </c:pt>
                <c:pt idx="11">
                  <c:v>16.03-22.03</c:v>
                </c:pt>
                <c:pt idx="12">
                  <c:v>23.03-29.03</c:v>
                </c:pt>
                <c:pt idx="13">
                  <c:v>30.03-05.04</c:v>
                </c:pt>
                <c:pt idx="14">
                  <c:v>06.04-12.04</c:v>
                </c:pt>
                <c:pt idx="15">
                  <c:v>13.04-19.04</c:v>
                </c:pt>
                <c:pt idx="16">
                  <c:v>20.04-26.04</c:v>
                </c:pt>
                <c:pt idx="17">
                  <c:v>27.04-01.05</c:v>
                </c:pt>
                <c:pt idx="18">
                  <c:v>04.05-10.05</c:v>
                </c:pt>
                <c:pt idx="19">
                  <c:v>11.05-17.05</c:v>
                </c:pt>
                <c:pt idx="20">
                  <c:v>18.05-24.05</c:v>
                </c:pt>
                <c:pt idx="21">
                  <c:v>25.05-31.05</c:v>
                </c:pt>
                <c:pt idx="22">
                  <c:v>01.06-07.06</c:v>
                </c:pt>
                <c:pt idx="23">
                  <c:v>08.06-14.06</c:v>
                </c:pt>
                <c:pt idx="24">
                  <c:v>15.-06-21.06</c:v>
                </c:pt>
                <c:pt idx="25">
                  <c:v>22.06-28.06</c:v>
                </c:pt>
              </c:strCache>
            </c:strRef>
          </c:cat>
          <c:val>
            <c:numRef>
              <c:f>'PL WB (нед)'!$C$58:$BB$58</c:f>
              <c:numCache>
                <c:formatCode>0%</c:formatCode>
                <c:ptCount val="52"/>
                <c:pt idx="0">
                  <c:v>1.655316744539824</c:v>
                </c:pt>
                <c:pt idx="1">
                  <c:v>1.4448463232056363</c:v>
                </c:pt>
                <c:pt idx="2">
                  <c:v>1.4461393554714477</c:v>
                </c:pt>
                <c:pt idx="3">
                  <c:v>1.0161643578258335</c:v>
                </c:pt>
                <c:pt idx="4">
                  <c:v>1.2744678180507736</c:v>
                </c:pt>
                <c:pt idx="5">
                  <c:v>1.4551933533429033</c:v>
                </c:pt>
                <c:pt idx="6">
                  <c:v>1.6876100257115598</c:v>
                </c:pt>
                <c:pt idx="7">
                  <c:v>1.7199983979281233</c:v>
                </c:pt>
                <c:pt idx="8">
                  <c:v>1.7193334612163642</c:v>
                </c:pt>
                <c:pt idx="9">
                  <c:v>1.4926692816373743</c:v>
                </c:pt>
                <c:pt idx="10">
                  <c:v>1.39238206125993</c:v>
                </c:pt>
                <c:pt idx="11">
                  <c:v>0.89075859969227622</c:v>
                </c:pt>
                <c:pt idx="12">
                  <c:v>1.2420298839354551</c:v>
                </c:pt>
                <c:pt idx="13">
                  <c:v>1.5408610347729343</c:v>
                </c:pt>
                <c:pt idx="14">
                  <c:v>1.5233844728613524</c:v>
                </c:pt>
                <c:pt idx="15">
                  <c:v>1.5233158548655423</c:v>
                </c:pt>
                <c:pt idx="16">
                  <c:v>1.5738400954835372</c:v>
                </c:pt>
                <c:pt idx="17">
                  <c:v>1.3576723364745504</c:v>
                </c:pt>
                <c:pt idx="18">
                  <c:v>1.1325935780006922</c:v>
                </c:pt>
                <c:pt idx="19">
                  <c:v>1.2382948498799382</c:v>
                </c:pt>
                <c:pt idx="20">
                  <c:v>1.0542260200890676</c:v>
                </c:pt>
                <c:pt idx="21">
                  <c:v>0.84449586485798733</c:v>
                </c:pt>
                <c:pt idx="22">
                  <c:v>0.97355625790671929</c:v>
                </c:pt>
                <c:pt idx="23">
                  <c:v>0.44636994372932931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810-4596-99F9-460FF7F87753}"/>
            </c:ext>
          </c:extLst>
        </c:ser>
        <c:ser>
          <c:idx val="1"/>
          <c:order val="1"/>
          <c:tx>
            <c:v>% Себестоимости</c:v>
          </c:tx>
          <c:spPr>
            <a:ln w="19050" cap="rnd">
              <a:solidFill>
                <a:srgbClr val="0066FF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circle"/>
            <c:size val="4"/>
            <c:spPr>
              <a:solidFill>
                <a:srgbClr val="0066FF"/>
              </a:solidFill>
              <a:ln w="9525">
                <a:noFill/>
              </a:ln>
              <a:effectLst/>
            </c:spPr>
          </c:marker>
          <c:val>
            <c:numRef>
              <c:f>'PL WB (нед)'!$C$34:$BB$34</c:f>
              <c:numCache>
                <c:formatCode>0%</c:formatCode>
                <c:ptCount val="52"/>
                <c:pt idx="0">
                  <c:v>0.18842775536946418</c:v>
                </c:pt>
                <c:pt idx="1">
                  <c:v>0.20712109880889407</c:v>
                </c:pt>
                <c:pt idx="2">
                  <c:v>0.21152084293951418</c:v>
                </c:pt>
                <c:pt idx="3">
                  <c:v>0.20961510560242086</c:v>
                </c:pt>
                <c:pt idx="4">
                  <c:v>0.20453881375221658</c:v>
                </c:pt>
                <c:pt idx="5">
                  <c:v>0.2106792157150254</c:v>
                </c:pt>
                <c:pt idx="6">
                  <c:v>0.19671570507985084</c:v>
                </c:pt>
                <c:pt idx="7">
                  <c:v>0.18721756822588809</c:v>
                </c:pt>
                <c:pt idx="8">
                  <c:v>0.18547980108194675</c:v>
                </c:pt>
                <c:pt idx="9">
                  <c:v>0.18928656418066728</c:v>
                </c:pt>
                <c:pt idx="10">
                  <c:v>0.19759416152023918</c:v>
                </c:pt>
                <c:pt idx="11">
                  <c:v>0.23779794072472837</c:v>
                </c:pt>
                <c:pt idx="12">
                  <c:v>0.20743398075400105</c:v>
                </c:pt>
                <c:pt idx="13">
                  <c:v>0.1845021045260487</c:v>
                </c:pt>
                <c:pt idx="14">
                  <c:v>0.17997055630187153</c:v>
                </c:pt>
                <c:pt idx="15">
                  <c:v>0.1837145648157999</c:v>
                </c:pt>
                <c:pt idx="16">
                  <c:v>0.18432306035049001</c:v>
                </c:pt>
                <c:pt idx="17">
                  <c:v>0.18460053690949069</c:v>
                </c:pt>
                <c:pt idx="18">
                  <c:v>0.20465964210353238</c:v>
                </c:pt>
                <c:pt idx="19">
                  <c:v>0.20543755786508794</c:v>
                </c:pt>
                <c:pt idx="20">
                  <c:v>0.20767673701532122</c:v>
                </c:pt>
                <c:pt idx="21">
                  <c:v>0.22823916424648671</c:v>
                </c:pt>
                <c:pt idx="22">
                  <c:v>0.2320128246322348</c:v>
                </c:pt>
                <c:pt idx="23">
                  <c:v>0.25567442632277643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D7-424C-B11B-A1A9910E1D8F}"/>
            </c:ext>
          </c:extLst>
        </c:ser>
        <c:ser>
          <c:idx val="2"/>
          <c:order val="2"/>
          <c:tx>
            <c:v>% Расходы</c:v>
          </c:tx>
          <c:spPr>
            <a:ln w="19050" cap="rnd">
              <a:solidFill>
                <a:srgbClr val="FF000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val>
            <c:numRef>
              <c:f>'PL WB (нед)'!$C$39:$BB$39</c:f>
              <c:numCache>
                <c:formatCode>0%</c:formatCode>
                <c:ptCount val="52"/>
                <c:pt idx="0">
                  <c:v>0.16016093036588114</c:v>
                </c:pt>
                <c:pt idx="1">
                  <c:v>0.14860642431096438</c:v>
                </c:pt>
                <c:pt idx="2">
                  <c:v>0.14056034659861308</c:v>
                </c:pt>
                <c:pt idx="3">
                  <c:v>0.23440706157895827</c:v>
                </c:pt>
                <c:pt idx="4">
                  <c:v>0.19486779768679033</c:v>
                </c:pt>
                <c:pt idx="5">
                  <c:v>0.14090846190151074</c:v>
                </c:pt>
                <c:pt idx="6">
                  <c:v>0.12534024440181901</c:v>
                </c:pt>
                <c:pt idx="7">
                  <c:v>0.13818490958935514</c:v>
                </c:pt>
                <c:pt idx="8">
                  <c:v>0.14007552698269704</c:v>
                </c:pt>
                <c:pt idx="9">
                  <c:v>0.16673594783684736</c:v>
                </c:pt>
                <c:pt idx="10">
                  <c:v>0.16954814883778666</c:v>
                </c:pt>
                <c:pt idx="11">
                  <c:v>0.19516390941671105</c:v>
                </c:pt>
                <c:pt idx="12">
                  <c:v>0.17989305879202586</c:v>
                </c:pt>
                <c:pt idx="13">
                  <c:v>0.17699410431521961</c:v>
                </c:pt>
                <c:pt idx="14">
                  <c:v>0.18517095747225851</c:v>
                </c:pt>
                <c:pt idx="15">
                  <c:v>0.18765670790092173</c:v>
                </c:pt>
                <c:pt idx="16">
                  <c:v>0.17129301209462003</c:v>
                </c:pt>
                <c:pt idx="17">
                  <c:v>0.2072120792488126</c:v>
                </c:pt>
                <c:pt idx="18">
                  <c:v>0.213968375763887</c:v>
                </c:pt>
                <c:pt idx="19">
                  <c:v>0.20356827102377198</c:v>
                </c:pt>
                <c:pt idx="20">
                  <c:v>0.22396929369098781</c:v>
                </c:pt>
                <c:pt idx="21">
                  <c:v>0.229527617579453</c:v>
                </c:pt>
                <c:pt idx="22">
                  <c:v>0.22638381693466142</c:v>
                </c:pt>
                <c:pt idx="23">
                  <c:v>0.28599374170301539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8D7-424C-B11B-A1A9910E1D8F}"/>
            </c:ext>
          </c:extLst>
        </c:ser>
        <c:ser>
          <c:idx val="3"/>
          <c:order val="3"/>
          <c:tx>
            <c:v>Маржинальность 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46"/>
            <c:marker>
              <c:symbol val="circle"/>
              <c:size val="4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5F4-4A77-A632-740737F23694}"/>
              </c:ext>
            </c:extLst>
          </c:dPt>
          <c:val>
            <c:numRef>
              <c:f>'PL WB (нед)'!$C$59:$BB$59</c:f>
              <c:numCache>
                <c:formatCode>0%</c:formatCode>
                <c:ptCount val="52"/>
                <c:pt idx="0">
                  <c:v>0.3119076185991278</c:v>
                </c:pt>
                <c:pt idx="1">
                  <c:v>0.29925815807234191</c:v>
                </c:pt>
                <c:pt idx="2">
                  <c:v>0.30588861547732632</c:v>
                </c:pt>
                <c:pt idx="3">
                  <c:v>0.21300339917507827</c:v>
                </c:pt>
                <c:pt idx="4">
                  <c:v>0.26067813566948106</c:v>
                </c:pt>
                <c:pt idx="5">
                  <c:v>0.30657899439600073</c:v>
                </c:pt>
                <c:pt idx="6">
                  <c:v>0.33197939610767474</c:v>
                </c:pt>
                <c:pt idx="7">
                  <c:v>0.32201391741252666</c:v>
                </c:pt>
                <c:pt idx="8">
                  <c:v>0.31890162837994623</c:v>
                </c:pt>
                <c:pt idx="9">
                  <c:v>0.28254223977916337</c:v>
                </c:pt>
                <c:pt idx="10">
                  <c:v>0.27512656591047818</c:v>
                </c:pt>
                <c:pt idx="11">
                  <c:v>0.21182056068966595</c:v>
                </c:pt>
                <c:pt idx="12">
                  <c:v>0.25763920304016136</c:v>
                </c:pt>
                <c:pt idx="13">
                  <c:v>0.28429210369779145</c:v>
                </c:pt>
                <c:pt idx="14">
                  <c:v>0.27416435104249087</c:v>
                </c:pt>
                <c:pt idx="15">
                  <c:v>0.27985530935363129</c:v>
                </c:pt>
                <c:pt idx="16">
                  <c:v>0.29009502290183303</c:v>
                </c:pt>
                <c:pt idx="17">
                  <c:v>0.2506270422603647</c:v>
                </c:pt>
                <c:pt idx="18">
                  <c:v>0.23179619632238083</c:v>
                </c:pt>
                <c:pt idx="19">
                  <c:v>0.25439226987625019</c:v>
                </c:pt>
                <c:pt idx="20">
                  <c:v>0.21893821992874601</c:v>
                </c:pt>
                <c:pt idx="21">
                  <c:v>0.19274703040480101</c:v>
                </c:pt>
                <c:pt idx="22">
                  <c:v>0.22587753733532642</c:v>
                </c:pt>
                <c:pt idx="23">
                  <c:v>0.11412537929072626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5F4-4A77-A632-740737F23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338735"/>
        <c:axId val="922101423"/>
      </c:lineChart>
      <c:catAx>
        <c:axId val="91833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Продажи</c:v>
          </c:tx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none"/>
          </c:marker>
          <c:val>
            <c:numRef>
              <c:f>'PL WB'!$C$14:$N$14</c:f>
              <c:numCache>
                <c:formatCode>#,##0</c:formatCode>
                <c:ptCount val="12"/>
                <c:pt idx="0">
                  <c:v>814256</c:v>
                </c:pt>
                <c:pt idx="1">
                  <c:v>879399</c:v>
                </c:pt>
                <c:pt idx="2">
                  <c:v>772334</c:v>
                </c:pt>
                <c:pt idx="3">
                  <c:v>459067</c:v>
                </c:pt>
                <c:pt idx="4">
                  <c:v>367238</c:v>
                </c:pt>
                <c:pt idx="5">
                  <c:v>155949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BF-4A1A-9858-4512D92DECE6}"/>
            </c:ext>
          </c:extLst>
        </c:ser>
        <c:ser>
          <c:idx val="1"/>
          <c:order val="1"/>
          <c:tx>
            <c:v>К перечислению</c:v>
          </c:tx>
          <c:spPr>
            <a:ln w="19050" cap="rnd">
              <a:solidFill>
                <a:srgbClr val="FFCC00"/>
              </a:solidFill>
              <a:round/>
            </a:ln>
            <a:effectLst/>
          </c:spPr>
          <c:marker>
            <c:symbol val="none"/>
          </c:marker>
          <c:val>
            <c:numRef>
              <c:f>'PL WB'!$C$20:$N$20</c:f>
              <c:numCache>
                <c:formatCode>#,##0</c:formatCode>
                <c:ptCount val="12"/>
                <c:pt idx="0">
                  <c:v>568712.15999999992</c:v>
                </c:pt>
                <c:pt idx="1">
                  <c:v>607191.18999999994</c:v>
                </c:pt>
                <c:pt idx="2">
                  <c:v>527549.41</c:v>
                </c:pt>
                <c:pt idx="3">
                  <c:v>315308.32999999996</c:v>
                </c:pt>
                <c:pt idx="4">
                  <c:v>254028.83</c:v>
                </c:pt>
                <c:pt idx="5">
                  <c:v>110248.62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DBF-4A1A-9858-4512D92DECE6}"/>
            </c:ext>
          </c:extLst>
        </c:ser>
        <c:ser>
          <c:idx val="2"/>
          <c:order val="2"/>
          <c:tx>
            <c:v>Оплачено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'PL WB'!$C$30:$N$30</c:f>
              <c:numCache>
                <c:formatCode>#,##0</c:formatCode>
                <c:ptCount val="12"/>
                <c:pt idx="0">
                  <c:v>423608.62999999989</c:v>
                </c:pt>
                <c:pt idx="1">
                  <c:v>487641.49999999994</c:v>
                </c:pt>
                <c:pt idx="2">
                  <c:v>390775.78000000009</c:v>
                </c:pt>
                <c:pt idx="3">
                  <c:v>232782.39999999997</c:v>
                </c:pt>
                <c:pt idx="4">
                  <c:v>175595.84999999998</c:v>
                </c:pt>
                <c:pt idx="5">
                  <c:v>70135.239999999991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DBF-4A1A-9858-4512D92DECE6}"/>
            </c:ext>
          </c:extLst>
        </c:ser>
        <c:ser>
          <c:idx val="3"/>
          <c:order val="3"/>
          <c:tx>
            <c:v>Логистика</c:v>
          </c:tx>
          <c:spPr>
            <a:ln w="19050" cap="rnd">
              <a:solidFill>
                <a:srgbClr val="9933FF"/>
              </a:solidFill>
              <a:round/>
            </a:ln>
            <a:effectLst/>
          </c:spPr>
          <c:marker>
            <c:symbol val="none"/>
          </c:marker>
          <c:val>
            <c:numRef>
              <c:f>'PL WB'!$C$40:$N$40</c:f>
              <c:numCache>
                <c:formatCode>#,##0</c:formatCode>
                <c:ptCount val="12"/>
                <c:pt idx="0">
                  <c:v>107470</c:v>
                </c:pt>
                <c:pt idx="1">
                  <c:v>96239</c:v>
                </c:pt>
                <c:pt idx="2">
                  <c:v>102165</c:v>
                </c:pt>
                <c:pt idx="3">
                  <c:v>51176</c:v>
                </c:pt>
                <c:pt idx="4">
                  <c:v>42445</c:v>
                </c:pt>
                <c:pt idx="5">
                  <c:v>22547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DBF-4A1A-9858-4512D92DECE6}"/>
            </c:ext>
          </c:extLst>
        </c:ser>
        <c:ser>
          <c:idx val="4"/>
          <c:order val="4"/>
          <c:tx>
            <c:v>Хранение</c:v>
          </c:tx>
          <c:spPr>
            <a:ln w="19050" cap="rnd">
              <a:solidFill>
                <a:srgbClr val="FF99FF"/>
              </a:solidFill>
              <a:round/>
            </a:ln>
            <a:effectLst/>
          </c:spPr>
          <c:marker>
            <c:symbol val="none"/>
          </c:marker>
          <c:val>
            <c:numRef>
              <c:f>'PL WB'!$C$43:$N$43</c:f>
              <c:numCache>
                <c:formatCode>#,##0</c:formatCode>
                <c:ptCount val="12"/>
                <c:pt idx="0">
                  <c:v>23611.72</c:v>
                </c:pt>
                <c:pt idx="1">
                  <c:v>23310.690000000002</c:v>
                </c:pt>
                <c:pt idx="2">
                  <c:v>34960.93</c:v>
                </c:pt>
                <c:pt idx="3">
                  <c:v>31376.3</c:v>
                </c:pt>
                <c:pt idx="4">
                  <c:v>36534.980000000003</c:v>
                </c:pt>
                <c:pt idx="5">
                  <c:v>17786.5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6DBF-4A1A-9858-4512D92DECE6}"/>
            </c:ext>
          </c:extLst>
        </c:ser>
        <c:ser>
          <c:idx val="5"/>
          <c:order val="5"/>
          <c:tx>
            <c:v>Продвижение</c:v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val>
            <c:numRef>
              <c:f>'PL WB'!$C$41:$N$41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6DBF-4A1A-9858-4512D92DECE6}"/>
            </c:ext>
          </c:extLst>
        </c:ser>
        <c:ser>
          <c:idx val="6"/>
          <c:order val="6"/>
          <c:tx>
            <c:v>Прибыль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'PL WB'!$C$57:$N$57</c:f>
              <c:numCache>
                <c:formatCode>#,##0</c:formatCode>
                <c:ptCount val="12"/>
                <c:pt idx="0">
                  <c:v>216290.7099999999</c:v>
                </c:pt>
                <c:pt idx="1">
                  <c:v>275667.69999999995</c:v>
                </c:pt>
                <c:pt idx="2">
                  <c:v>193457.89</c:v>
                </c:pt>
                <c:pt idx="3">
                  <c:v>126434.66999999994</c:v>
                </c:pt>
                <c:pt idx="4">
                  <c:v>82205.349999999977</c:v>
                </c:pt>
                <c:pt idx="5">
                  <c:v>24770.449999999993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DBF-4A1A-9858-4512D92DE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338735"/>
        <c:axId val="922101423"/>
      </c:lineChart>
      <c:catAx>
        <c:axId val="918338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2296547950130872E-3"/>
          <c:y val="2.899342479097328E-2"/>
          <c:w val="0.10415279350289126"/>
          <c:h val="0.405930676191249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6"/>
          <c:order val="0"/>
          <c:tx>
            <c:v>Рентабельность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strRef>
              <c:f>'PL WB'!$C$3:$N$3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'PL WB'!$C$58:$N$58</c:f>
              <c:numCache>
                <c:formatCode>0%</c:formatCode>
                <c:ptCount val="12"/>
                <c:pt idx="0">
                  <c:v>1.2821496532682493</c:v>
                </c:pt>
                <c:pt idx="1">
                  <c:v>1.6066356406477371</c:v>
                </c:pt>
                <c:pt idx="2">
                  <c:v>1.2063643177662875</c:v>
                </c:pt>
                <c:pt idx="3">
                  <c:v>1.503305175492476</c:v>
                </c:pt>
                <c:pt idx="4">
                  <c:v>1.0892583852199109</c:v>
                </c:pt>
                <c:pt idx="5">
                  <c:v>0.64880711500859767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A72-4568-911E-A2C1C64622CF}"/>
            </c:ext>
          </c:extLst>
        </c:ser>
        <c:ser>
          <c:idx val="0"/>
          <c:order val="1"/>
          <c:tx>
            <c:v>% Себестоимости</c:v>
          </c:tx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66FF"/>
              </a:solidFill>
              <a:ln w="9525">
                <a:noFill/>
              </a:ln>
              <a:effectLst/>
            </c:spPr>
          </c:marker>
          <c:val>
            <c:numRef>
              <c:f>'PL WB'!$C$34:$N$34</c:f>
              <c:numCache>
                <c:formatCode>0%</c:formatCode>
                <c:ptCount val="12"/>
                <c:pt idx="0">
                  <c:v>0.20717539692676504</c:v>
                </c:pt>
                <c:pt idx="1">
                  <c:v>0.29734425797686131</c:v>
                </c:pt>
                <c:pt idx="2">
                  <c:v>0.30377396018616915</c:v>
                </c:pt>
                <c:pt idx="3">
                  <c:v>0.26467835889237512</c:v>
                </c:pt>
                <c:pt idx="4">
                  <c:v>0.29477814233263022</c:v>
                </c:pt>
                <c:pt idx="5">
                  <c:v>0.3718849233406713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81E-42D6-9907-2493E2BFDB2F}"/>
            </c:ext>
          </c:extLst>
        </c:ser>
        <c:ser>
          <c:idx val="1"/>
          <c:order val="2"/>
          <c:tx>
            <c:v>% Расходов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val>
            <c:numRef>
              <c:f>'PL WB'!$C$39:$N$39</c:f>
              <c:numCache>
                <c:formatCode>0%</c:formatCode>
                <c:ptCount val="12"/>
                <c:pt idx="0">
                  <c:v>0.17820382042011357</c:v>
                </c:pt>
                <c:pt idx="1">
                  <c:v>0.13594476454942522</c:v>
                </c:pt>
                <c:pt idx="2">
                  <c:v>0.17754744708895373</c:v>
                </c:pt>
                <c:pt idx="3">
                  <c:v>0.17991338954880226</c:v>
                </c:pt>
                <c:pt idx="4">
                  <c:v>0.21506483533839094</c:v>
                </c:pt>
                <c:pt idx="5">
                  <c:v>0.25863262989823599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81E-42D6-9907-2493E2BFDB2F}"/>
            </c:ext>
          </c:extLst>
        </c:ser>
        <c:ser>
          <c:idx val="2"/>
          <c:order val="3"/>
          <c:tx>
            <c:v>Маржинальность %</c:v>
          </c:tx>
          <c:spPr>
            <a:ln w="19050" cap="rnd">
              <a:solidFill>
                <a:srgbClr val="FFCC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'PL WB'!$C$59:$N$59</c:f>
              <c:numCache>
                <c:formatCode>0%</c:formatCode>
                <c:ptCount val="12"/>
                <c:pt idx="0">
                  <c:v>0.2656298633353637</c:v>
                </c:pt>
                <c:pt idx="1">
                  <c:v>0.31347283769938328</c:v>
                </c:pt>
                <c:pt idx="2">
                  <c:v>0.25048475141583826</c:v>
                </c:pt>
                <c:pt idx="3">
                  <c:v>0.27541659496326232</c:v>
                </c:pt>
                <c:pt idx="4">
                  <c:v>0.2238476138090284</c:v>
                </c:pt>
                <c:pt idx="5">
                  <c:v>0.15883686333352567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B5-40A6-BA06-E67C07525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338735"/>
        <c:axId val="922101423"/>
      </c:lineChart>
      <c:catAx>
        <c:axId val="91833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и Прибыль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734492563429572"/>
          <c:y val="0.17634259259259263"/>
          <c:w val="0.84654396325459313"/>
          <c:h val="0.61498432487605714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 WB'!$C$14:$N$14</c:f>
              <c:numCache>
                <c:formatCode>#,##0</c:formatCode>
                <c:ptCount val="12"/>
                <c:pt idx="0">
                  <c:v>814256</c:v>
                </c:pt>
                <c:pt idx="1">
                  <c:v>879399</c:v>
                </c:pt>
                <c:pt idx="2">
                  <c:v>772334</c:v>
                </c:pt>
                <c:pt idx="3">
                  <c:v>459067</c:v>
                </c:pt>
                <c:pt idx="4">
                  <c:v>367238</c:v>
                </c:pt>
                <c:pt idx="5">
                  <c:v>155949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73-4AD2-9006-AE6943B1F310}"/>
            </c:ext>
          </c:extLst>
        </c:ser>
        <c:ser>
          <c:idx val="2"/>
          <c:order val="1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'PL WB'!$C$57:$N$57</c:f>
              <c:numCache>
                <c:formatCode>#,##0</c:formatCode>
                <c:ptCount val="12"/>
                <c:pt idx="0">
                  <c:v>216290.7099999999</c:v>
                </c:pt>
                <c:pt idx="1">
                  <c:v>275667.69999999995</c:v>
                </c:pt>
                <c:pt idx="2">
                  <c:v>193457.89</c:v>
                </c:pt>
                <c:pt idx="3">
                  <c:v>126434.66999999994</c:v>
                </c:pt>
                <c:pt idx="4">
                  <c:v>82205.349999999977</c:v>
                </c:pt>
                <c:pt idx="5">
                  <c:v>24770.449999999993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73-4AD2-9006-AE6943B1F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982832"/>
        <c:axId val="1396985744"/>
      </c:barChart>
      <c:catAx>
        <c:axId val="1396982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985744"/>
        <c:crosses val="autoZero"/>
        <c:auto val="1"/>
        <c:lblAlgn val="ctr"/>
        <c:lblOffset val="100"/>
        <c:noMultiLvlLbl val="0"/>
      </c:catAx>
      <c:valAx>
        <c:axId val="139698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98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01519240538481E-2"/>
          <c:y val="4.3993302146318899E-2"/>
          <c:w val="0.93728857103547536"/>
          <c:h val="0.8842696365742887"/>
        </c:manualLayout>
      </c:layout>
      <c:lineChart>
        <c:grouping val="standard"/>
        <c:varyColors val="0"/>
        <c:ser>
          <c:idx val="0"/>
          <c:order val="0"/>
          <c:tx>
            <c:v>Продажа</c:v>
          </c:tx>
          <c:spPr>
            <a:ln w="19050" cap="rnd">
              <a:solidFill>
                <a:srgbClr val="0066FF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cat>
            <c:strRef>
              <c:f>'PL OZON (нед)'!$C$3:$BB$3</c:f>
              <c:strCache>
                <c:ptCount val="52"/>
                <c:pt idx="0">
                  <c:v>01.01-04.01</c:v>
                </c:pt>
                <c:pt idx="1">
                  <c:v>05.01-11.01</c:v>
                </c:pt>
                <c:pt idx="2">
                  <c:v>12.01-18.01</c:v>
                </c:pt>
                <c:pt idx="3">
                  <c:v>19.01-25.01</c:v>
                </c:pt>
                <c:pt idx="4">
                  <c:v>26.01-01.02</c:v>
                </c:pt>
                <c:pt idx="5">
                  <c:v>02.02-08.02</c:v>
                </c:pt>
                <c:pt idx="6">
                  <c:v>09.02-15.02</c:v>
                </c:pt>
                <c:pt idx="7">
                  <c:v>16.02-22.02</c:v>
                </c:pt>
                <c:pt idx="8">
                  <c:v>23.02-01.03</c:v>
                </c:pt>
                <c:pt idx="9">
                  <c:v>02.03-08.03</c:v>
                </c:pt>
                <c:pt idx="10">
                  <c:v>09.03-15.03</c:v>
                </c:pt>
                <c:pt idx="11">
                  <c:v>16.03-22.03</c:v>
                </c:pt>
                <c:pt idx="12">
                  <c:v>23.03-29.03</c:v>
                </c:pt>
                <c:pt idx="13">
                  <c:v>30.03-05.04</c:v>
                </c:pt>
                <c:pt idx="14">
                  <c:v>06.04-12.04</c:v>
                </c:pt>
                <c:pt idx="15">
                  <c:v>13.04-19.04</c:v>
                </c:pt>
                <c:pt idx="16">
                  <c:v>20.04-26.04</c:v>
                </c:pt>
                <c:pt idx="17">
                  <c:v>27.04-01.05</c:v>
                </c:pt>
                <c:pt idx="18">
                  <c:v>04.05-10.05</c:v>
                </c:pt>
                <c:pt idx="19">
                  <c:v>11.05-17.05</c:v>
                </c:pt>
                <c:pt idx="20">
                  <c:v>18.05-24.05</c:v>
                </c:pt>
                <c:pt idx="21">
                  <c:v>25.05-31.05</c:v>
                </c:pt>
                <c:pt idx="22">
                  <c:v>01.06-07.06</c:v>
                </c:pt>
                <c:pt idx="23">
                  <c:v>08.06-14.06</c:v>
                </c:pt>
                <c:pt idx="24">
                  <c:v>15.-06-21.06</c:v>
                </c:pt>
                <c:pt idx="25">
                  <c:v>22.06-28.06</c:v>
                </c:pt>
                <c:pt idx="26">
                  <c:v>00.01.1900</c:v>
                </c:pt>
                <c:pt idx="27">
                  <c:v>00.01.1900</c:v>
                </c:pt>
                <c:pt idx="28">
                  <c:v>00.01.1900</c:v>
                </c:pt>
                <c:pt idx="29">
                  <c:v>00.01.1900</c:v>
                </c:pt>
                <c:pt idx="30">
                  <c:v>00.01.1900</c:v>
                </c:pt>
                <c:pt idx="31">
                  <c:v>00.01.1900</c:v>
                </c:pt>
                <c:pt idx="32">
                  <c:v>00.01.1900</c:v>
                </c:pt>
                <c:pt idx="33">
                  <c:v>00.01.1900</c:v>
                </c:pt>
                <c:pt idx="34">
                  <c:v>00.01.1900</c:v>
                </c:pt>
                <c:pt idx="35">
                  <c:v>00.01.1900</c:v>
                </c:pt>
                <c:pt idx="36">
                  <c:v>00.01.1900</c:v>
                </c:pt>
                <c:pt idx="37">
                  <c:v>00.01.1900</c:v>
                </c:pt>
                <c:pt idx="38">
                  <c:v>00.01.1900</c:v>
                </c:pt>
                <c:pt idx="39">
                  <c:v>00.01.1900</c:v>
                </c:pt>
                <c:pt idx="40">
                  <c:v>00.01.1900</c:v>
                </c:pt>
                <c:pt idx="41">
                  <c:v>00.01.1900</c:v>
                </c:pt>
                <c:pt idx="42">
                  <c:v>00.01.1900</c:v>
                </c:pt>
                <c:pt idx="43">
                  <c:v>00.01.1900</c:v>
                </c:pt>
                <c:pt idx="44">
                  <c:v>00.01.1900</c:v>
                </c:pt>
                <c:pt idx="45">
                  <c:v>00.01.1900</c:v>
                </c:pt>
                <c:pt idx="46">
                  <c:v>00.01.1900</c:v>
                </c:pt>
                <c:pt idx="47">
                  <c:v>00.01.1900</c:v>
                </c:pt>
                <c:pt idx="48">
                  <c:v>00.01.1900</c:v>
                </c:pt>
                <c:pt idx="49">
                  <c:v>00.01.1900</c:v>
                </c:pt>
                <c:pt idx="50">
                  <c:v>00.01.1900</c:v>
                </c:pt>
                <c:pt idx="51">
                  <c:v>00.01.1900</c:v>
                </c:pt>
              </c:strCache>
            </c:strRef>
          </c:cat>
          <c:val>
            <c:numRef>
              <c:f>'PL OZON (нед)'!$C$14:$BB$14</c:f>
              <c:numCache>
                <c:formatCode>#,##0</c:formatCode>
                <c:ptCount val="52"/>
                <c:pt idx="0">
                  <c:v>23556</c:v>
                </c:pt>
                <c:pt idx="1">
                  <c:v>92169</c:v>
                </c:pt>
                <c:pt idx="2">
                  <c:v>91476</c:v>
                </c:pt>
                <c:pt idx="3">
                  <c:v>98006</c:v>
                </c:pt>
                <c:pt idx="4">
                  <c:v>93544</c:v>
                </c:pt>
                <c:pt idx="5">
                  <c:v>65065</c:v>
                </c:pt>
                <c:pt idx="6">
                  <c:v>64240</c:v>
                </c:pt>
                <c:pt idx="7">
                  <c:v>80539</c:v>
                </c:pt>
                <c:pt idx="8">
                  <c:v>47549</c:v>
                </c:pt>
                <c:pt idx="9">
                  <c:v>54244</c:v>
                </c:pt>
                <c:pt idx="10">
                  <c:v>46430</c:v>
                </c:pt>
                <c:pt idx="11">
                  <c:v>34926</c:v>
                </c:pt>
                <c:pt idx="12">
                  <c:v>29249</c:v>
                </c:pt>
                <c:pt idx="13">
                  <c:v>21633</c:v>
                </c:pt>
                <c:pt idx="14">
                  <c:v>25109</c:v>
                </c:pt>
                <c:pt idx="15">
                  <c:v>27597</c:v>
                </c:pt>
                <c:pt idx="16">
                  <c:v>30301</c:v>
                </c:pt>
                <c:pt idx="21">
                  <c:v>77060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DE-49A1-A3AF-D886D22FDB67}"/>
            </c:ext>
          </c:extLst>
        </c:ser>
        <c:ser>
          <c:idx val="1"/>
          <c:order val="1"/>
          <c:tx>
            <c:v>К перечислению за товар</c:v>
          </c:tx>
          <c:spPr>
            <a:ln w="19050" cap="rnd">
              <a:solidFill>
                <a:srgbClr val="FFCC0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OZON (нед)'!$C$20:$BB$20</c:f>
              <c:numCache>
                <c:formatCode>#,##0</c:formatCode>
                <c:ptCount val="52"/>
                <c:pt idx="0">
                  <c:v>14712</c:v>
                </c:pt>
                <c:pt idx="1">
                  <c:v>57459</c:v>
                </c:pt>
                <c:pt idx="2">
                  <c:v>57003</c:v>
                </c:pt>
                <c:pt idx="3">
                  <c:v>61093</c:v>
                </c:pt>
                <c:pt idx="4">
                  <c:v>58189</c:v>
                </c:pt>
                <c:pt idx="5">
                  <c:v>40647</c:v>
                </c:pt>
                <c:pt idx="6">
                  <c:v>39963</c:v>
                </c:pt>
                <c:pt idx="7">
                  <c:v>49756</c:v>
                </c:pt>
                <c:pt idx="8">
                  <c:v>29468</c:v>
                </c:pt>
                <c:pt idx="9">
                  <c:v>33798</c:v>
                </c:pt>
                <c:pt idx="10">
                  <c:v>28765</c:v>
                </c:pt>
                <c:pt idx="11">
                  <c:v>21688</c:v>
                </c:pt>
                <c:pt idx="12">
                  <c:v>18107</c:v>
                </c:pt>
                <c:pt idx="13">
                  <c:v>13518</c:v>
                </c:pt>
                <c:pt idx="14">
                  <c:v>15458</c:v>
                </c:pt>
                <c:pt idx="15">
                  <c:v>16522</c:v>
                </c:pt>
                <c:pt idx="16">
                  <c:v>18008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46187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DE-49A1-A3AF-D886D22FDB67}"/>
            </c:ext>
          </c:extLst>
        </c:ser>
        <c:ser>
          <c:idx val="2"/>
          <c:order val="2"/>
          <c:tx>
            <c:v>Перечислено</c:v>
          </c:tx>
          <c:spPr>
            <a:ln w="19050" cap="flat" cmpd="sng">
              <a:solidFill>
                <a:srgbClr val="00B05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OZON (нед)'!$C$30:$BB$30</c:f>
              <c:numCache>
                <c:formatCode>#,##0</c:formatCode>
                <c:ptCount val="52"/>
                <c:pt idx="0">
                  <c:v>4783</c:v>
                </c:pt>
                <c:pt idx="1">
                  <c:v>30486</c:v>
                </c:pt>
                <c:pt idx="2">
                  <c:v>29296</c:v>
                </c:pt>
                <c:pt idx="3">
                  <c:v>33501</c:v>
                </c:pt>
                <c:pt idx="4">
                  <c:v>28267</c:v>
                </c:pt>
                <c:pt idx="5">
                  <c:v>17859</c:v>
                </c:pt>
                <c:pt idx="6">
                  <c:v>18826</c:v>
                </c:pt>
                <c:pt idx="7">
                  <c:v>26376</c:v>
                </c:pt>
                <c:pt idx="8">
                  <c:v>17316</c:v>
                </c:pt>
                <c:pt idx="9">
                  <c:v>19531</c:v>
                </c:pt>
                <c:pt idx="10">
                  <c:v>14571</c:v>
                </c:pt>
                <c:pt idx="11">
                  <c:v>13714</c:v>
                </c:pt>
                <c:pt idx="12">
                  <c:v>13509</c:v>
                </c:pt>
                <c:pt idx="13">
                  <c:v>10241</c:v>
                </c:pt>
                <c:pt idx="14">
                  <c:v>9442</c:v>
                </c:pt>
                <c:pt idx="15">
                  <c:v>8792</c:v>
                </c:pt>
                <c:pt idx="16">
                  <c:v>9259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19586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6DE-49A1-A3AF-D886D22FDB67}"/>
            </c:ext>
          </c:extLst>
        </c:ser>
        <c:ser>
          <c:idx val="3"/>
          <c:order val="3"/>
          <c:tx>
            <c:v>Логистика</c:v>
          </c:tx>
          <c:spPr>
            <a:ln w="19050" cap="rnd">
              <a:solidFill>
                <a:srgbClr val="9933FF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OZON (нед)'!$C$40:$BB$40</c:f>
              <c:numCache>
                <c:formatCode>#,##0</c:formatCode>
                <c:ptCount val="52"/>
                <c:pt idx="0">
                  <c:v>4293</c:v>
                </c:pt>
                <c:pt idx="1">
                  <c:v>16303</c:v>
                </c:pt>
                <c:pt idx="2">
                  <c:v>18182</c:v>
                </c:pt>
                <c:pt idx="3">
                  <c:v>18525</c:v>
                </c:pt>
                <c:pt idx="4">
                  <c:v>18491</c:v>
                </c:pt>
                <c:pt idx="5">
                  <c:v>15069</c:v>
                </c:pt>
                <c:pt idx="6">
                  <c:v>13395</c:v>
                </c:pt>
                <c:pt idx="7">
                  <c:v>18957</c:v>
                </c:pt>
                <c:pt idx="8">
                  <c:v>9535</c:v>
                </c:pt>
                <c:pt idx="9">
                  <c:v>10909</c:v>
                </c:pt>
                <c:pt idx="10">
                  <c:v>11342</c:v>
                </c:pt>
                <c:pt idx="11">
                  <c:v>6615</c:v>
                </c:pt>
                <c:pt idx="12">
                  <c:v>3286</c:v>
                </c:pt>
                <c:pt idx="13">
                  <c:v>2314</c:v>
                </c:pt>
                <c:pt idx="14">
                  <c:v>3054</c:v>
                </c:pt>
                <c:pt idx="15">
                  <c:v>4228</c:v>
                </c:pt>
                <c:pt idx="16">
                  <c:v>5830</c:v>
                </c:pt>
                <c:pt idx="21">
                  <c:v>16406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6DE-49A1-A3AF-D886D22FDB67}"/>
            </c:ext>
          </c:extLst>
        </c:ser>
        <c:ser>
          <c:idx val="4"/>
          <c:order val="4"/>
          <c:tx>
            <c:v>Хранение</c:v>
          </c:tx>
          <c:spPr>
            <a:ln w="19050" cap="rnd">
              <a:solidFill>
                <a:srgbClr val="FF6699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OZON (нед)'!$C$43:$BB$43</c:f>
              <c:numCache>
                <c:formatCode>#,##0</c:formatCode>
                <c:ptCount val="52"/>
                <c:pt idx="0">
                  <c:v>4656</c:v>
                </c:pt>
                <c:pt idx="1">
                  <c:v>7883</c:v>
                </c:pt>
                <c:pt idx="2">
                  <c:v>6510</c:v>
                </c:pt>
                <c:pt idx="3">
                  <c:v>5708</c:v>
                </c:pt>
                <c:pt idx="4">
                  <c:v>5312</c:v>
                </c:pt>
                <c:pt idx="5">
                  <c:v>4941</c:v>
                </c:pt>
                <c:pt idx="6">
                  <c:v>3721</c:v>
                </c:pt>
                <c:pt idx="7">
                  <c:v>1953</c:v>
                </c:pt>
                <c:pt idx="8">
                  <c:v>1580</c:v>
                </c:pt>
                <c:pt idx="9">
                  <c:v>1367</c:v>
                </c:pt>
                <c:pt idx="10">
                  <c:v>1598</c:v>
                </c:pt>
                <c:pt idx="11">
                  <c:v>788</c:v>
                </c:pt>
                <c:pt idx="12">
                  <c:v>590</c:v>
                </c:pt>
                <c:pt idx="13">
                  <c:v>603</c:v>
                </c:pt>
                <c:pt idx="14">
                  <c:v>2613</c:v>
                </c:pt>
                <c:pt idx="15">
                  <c:v>3063</c:v>
                </c:pt>
                <c:pt idx="16">
                  <c:v>2443</c:v>
                </c:pt>
                <c:pt idx="21">
                  <c:v>8463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6DE-49A1-A3AF-D886D22FDB67}"/>
            </c:ext>
          </c:extLst>
        </c:ser>
        <c:ser>
          <c:idx val="5"/>
          <c:order val="5"/>
          <c:tx>
            <c:v>Продвижение</c:v>
          </c:tx>
          <c:spPr>
            <a:ln w="19050" cap="rnd">
              <a:solidFill>
                <a:srgbClr val="FF00FF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OZON (нед)'!$C$41:$BB$41</c:f>
              <c:numCache>
                <c:formatCode>#,##0</c:formatCode>
                <c:ptCount val="52"/>
                <c:pt idx="0">
                  <c:v>634</c:v>
                </c:pt>
                <c:pt idx="1">
                  <c:v>1139</c:v>
                </c:pt>
                <c:pt idx="2">
                  <c:v>2225</c:v>
                </c:pt>
                <c:pt idx="3">
                  <c:v>2475</c:v>
                </c:pt>
                <c:pt idx="4">
                  <c:v>5374</c:v>
                </c:pt>
                <c:pt idx="5">
                  <c:v>2254</c:v>
                </c:pt>
                <c:pt idx="6">
                  <c:v>3404</c:v>
                </c:pt>
                <c:pt idx="7">
                  <c:v>1721</c:v>
                </c:pt>
                <c:pt idx="8">
                  <c:v>536</c:v>
                </c:pt>
                <c:pt idx="9">
                  <c:v>1608</c:v>
                </c:pt>
                <c:pt idx="10">
                  <c:v>840</c:v>
                </c:pt>
                <c:pt idx="11">
                  <c:v>330</c:v>
                </c:pt>
                <c:pt idx="12">
                  <c:v>439</c:v>
                </c:pt>
                <c:pt idx="13">
                  <c:v>108</c:v>
                </c:pt>
                <c:pt idx="14">
                  <c:v>126</c:v>
                </c:pt>
                <c:pt idx="15">
                  <c:v>141</c:v>
                </c:pt>
                <c:pt idx="16">
                  <c:v>152</c:v>
                </c:pt>
                <c:pt idx="21" formatCode="General">
                  <c:v>1032</c:v>
                </c:pt>
              </c:numCache>
              <c:extLst xmlns:c15="http://schemas.microsoft.com/office/drawing/2012/chart"/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46DE-49A1-A3AF-D886D22FDB67}"/>
            </c:ext>
          </c:extLst>
        </c:ser>
        <c:ser>
          <c:idx val="6"/>
          <c:order val="6"/>
          <c:tx>
            <c:v>Прибыль</c:v>
          </c:tx>
          <c:spPr>
            <a:ln w="19050" cap="rnd">
              <a:solidFill>
                <a:srgbClr val="FF000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none"/>
          </c:marker>
          <c:val>
            <c:numRef>
              <c:f>'PL OZON (нед)'!$C$57:$BB$57</c:f>
              <c:numCache>
                <c:formatCode>#,##0</c:formatCode>
                <c:ptCount val="52"/>
                <c:pt idx="0">
                  <c:v>-867.92000000000007</c:v>
                </c:pt>
                <c:pt idx="1">
                  <c:v>7969.1699999999992</c:v>
                </c:pt>
                <c:pt idx="2">
                  <c:v>5791.6799999999994</c:v>
                </c:pt>
                <c:pt idx="3">
                  <c:v>9317.5799999999981</c:v>
                </c:pt>
                <c:pt idx="4">
                  <c:v>4552.9199999999992</c:v>
                </c:pt>
                <c:pt idx="5">
                  <c:v>1341.4499999999998</c:v>
                </c:pt>
                <c:pt idx="6">
                  <c:v>2604.1999999999998</c:v>
                </c:pt>
                <c:pt idx="7">
                  <c:v>3700.2699999999995</c:v>
                </c:pt>
                <c:pt idx="8">
                  <c:v>4807.57</c:v>
                </c:pt>
                <c:pt idx="9">
                  <c:v>5692.92</c:v>
                </c:pt>
                <c:pt idx="10">
                  <c:v>2062.8999999999996</c:v>
                </c:pt>
                <c:pt idx="11">
                  <c:v>4164.18</c:v>
                </c:pt>
                <c:pt idx="12">
                  <c:v>5880.57</c:v>
                </c:pt>
                <c:pt idx="13">
                  <c:v>4241.6899999999996</c:v>
                </c:pt>
                <c:pt idx="14">
                  <c:v>1549.37</c:v>
                </c:pt>
                <c:pt idx="15">
                  <c:v>-452.79000000000019</c:v>
                </c:pt>
                <c:pt idx="16">
                  <c:v>7137.93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-6568.34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6DE-49A1-A3AF-D886D22FD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338735"/>
        <c:axId val="922101423"/>
        <c:extLst/>
      </c:lineChart>
      <c:catAx>
        <c:axId val="91833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Рентабельность</c:v>
          </c:tx>
          <c:spPr>
            <a:ln w="19050" cap="rnd">
              <a:solidFill>
                <a:srgbClr val="00B05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strRef>
              <c:f>'PL OZON (нед)'!$C$3:$BB$3</c:f>
              <c:strCache>
                <c:ptCount val="52"/>
                <c:pt idx="0">
                  <c:v>01.01-04.01</c:v>
                </c:pt>
                <c:pt idx="1">
                  <c:v>05.01-11.01</c:v>
                </c:pt>
                <c:pt idx="2">
                  <c:v>12.01-18.01</c:v>
                </c:pt>
                <c:pt idx="3">
                  <c:v>19.01-25.01</c:v>
                </c:pt>
                <c:pt idx="4">
                  <c:v>26.01-01.02</c:v>
                </c:pt>
                <c:pt idx="5">
                  <c:v>02.02-08.02</c:v>
                </c:pt>
                <c:pt idx="6">
                  <c:v>09.02-15.02</c:v>
                </c:pt>
                <c:pt idx="7">
                  <c:v>16.02-22.02</c:v>
                </c:pt>
                <c:pt idx="8">
                  <c:v>23.02-01.03</c:v>
                </c:pt>
                <c:pt idx="9">
                  <c:v>02.03-08.03</c:v>
                </c:pt>
                <c:pt idx="10">
                  <c:v>09.03-15.03</c:v>
                </c:pt>
                <c:pt idx="11">
                  <c:v>16.03-22.03</c:v>
                </c:pt>
                <c:pt idx="12">
                  <c:v>23.03-29.03</c:v>
                </c:pt>
                <c:pt idx="13">
                  <c:v>30.03-05.04</c:v>
                </c:pt>
                <c:pt idx="14">
                  <c:v>06.04-12.04</c:v>
                </c:pt>
                <c:pt idx="15">
                  <c:v>13.04-19.04</c:v>
                </c:pt>
                <c:pt idx="16">
                  <c:v>20.04-26.04</c:v>
                </c:pt>
                <c:pt idx="17">
                  <c:v>27.04-01.05</c:v>
                </c:pt>
                <c:pt idx="18">
                  <c:v>04.05-10.05</c:v>
                </c:pt>
                <c:pt idx="19">
                  <c:v>11.05-17.05</c:v>
                </c:pt>
                <c:pt idx="20">
                  <c:v>18.05-24.05</c:v>
                </c:pt>
                <c:pt idx="21">
                  <c:v>25.05-31.05</c:v>
                </c:pt>
                <c:pt idx="22">
                  <c:v>01.06-07.06</c:v>
                </c:pt>
                <c:pt idx="23">
                  <c:v>08.06-14.06</c:v>
                </c:pt>
                <c:pt idx="24">
                  <c:v>15.-06-21.06</c:v>
                </c:pt>
                <c:pt idx="25">
                  <c:v>22.06-28.06</c:v>
                </c:pt>
                <c:pt idx="26">
                  <c:v>00.01.1900</c:v>
                </c:pt>
                <c:pt idx="27">
                  <c:v>00.01.1900</c:v>
                </c:pt>
                <c:pt idx="28">
                  <c:v>00.01.1900</c:v>
                </c:pt>
                <c:pt idx="29">
                  <c:v>00.01.1900</c:v>
                </c:pt>
                <c:pt idx="30">
                  <c:v>00.01.1900</c:v>
                </c:pt>
                <c:pt idx="31">
                  <c:v>00.01.1900</c:v>
                </c:pt>
                <c:pt idx="32">
                  <c:v>00.01.1900</c:v>
                </c:pt>
                <c:pt idx="33">
                  <c:v>00.01.1900</c:v>
                </c:pt>
                <c:pt idx="34">
                  <c:v>00.01.1900</c:v>
                </c:pt>
                <c:pt idx="35">
                  <c:v>00.01.1900</c:v>
                </c:pt>
                <c:pt idx="36">
                  <c:v>00.01.1900</c:v>
                </c:pt>
                <c:pt idx="37">
                  <c:v>00.01.1900</c:v>
                </c:pt>
                <c:pt idx="38">
                  <c:v>00.01.1900</c:v>
                </c:pt>
                <c:pt idx="39">
                  <c:v>00.01.1900</c:v>
                </c:pt>
                <c:pt idx="40">
                  <c:v>00.01.1900</c:v>
                </c:pt>
                <c:pt idx="41">
                  <c:v>00.01.1900</c:v>
                </c:pt>
                <c:pt idx="42">
                  <c:v>00.01.1900</c:v>
                </c:pt>
                <c:pt idx="43">
                  <c:v>00.01.1900</c:v>
                </c:pt>
                <c:pt idx="44">
                  <c:v>00.01.1900</c:v>
                </c:pt>
                <c:pt idx="45">
                  <c:v>00.01.1900</c:v>
                </c:pt>
                <c:pt idx="46">
                  <c:v>00.01.1900</c:v>
                </c:pt>
                <c:pt idx="47">
                  <c:v>00.01.1900</c:v>
                </c:pt>
                <c:pt idx="48">
                  <c:v>00.01.1900</c:v>
                </c:pt>
                <c:pt idx="49">
                  <c:v>00.01.1900</c:v>
                </c:pt>
                <c:pt idx="50">
                  <c:v>00.01.1900</c:v>
                </c:pt>
                <c:pt idx="51">
                  <c:v>00.01.1900</c:v>
                </c:pt>
              </c:strCache>
            </c:strRef>
          </c:cat>
          <c:val>
            <c:numRef>
              <c:f>'PL OZON (нед)'!$C$58:$BB$58</c:f>
              <c:numCache>
                <c:formatCode>0%</c:formatCode>
                <c:ptCount val="52"/>
                <c:pt idx="0">
                  <c:v>-0.21687156421789108</c:v>
                </c:pt>
                <c:pt idx="1">
                  <c:v>0.49605788982259563</c:v>
                </c:pt>
                <c:pt idx="2">
                  <c:v>0.33867493129056775</c:v>
                </c:pt>
                <c:pt idx="3">
                  <c:v>0.5378733475725912</c:v>
                </c:pt>
                <c:pt idx="4">
                  <c:v>0.26522894092974481</c:v>
                </c:pt>
                <c:pt idx="5">
                  <c:v>0.11213324416952268</c:v>
                </c:pt>
                <c:pt idx="6">
                  <c:v>0.22210660980810232</c:v>
                </c:pt>
                <c:pt idx="7">
                  <c:v>0.21717748562037795</c:v>
                </c:pt>
                <c:pt idx="8">
                  <c:v>0.52370043572984748</c:v>
                </c:pt>
                <c:pt idx="9">
                  <c:v>0.56696743352255752</c:v>
                </c:pt>
                <c:pt idx="10">
                  <c:v>0.22282350399654349</c:v>
                </c:pt>
                <c:pt idx="11">
                  <c:v>0.58609148486981</c:v>
                </c:pt>
                <c:pt idx="12">
                  <c:v>1.0536767604371975</c:v>
                </c:pt>
                <c:pt idx="13">
                  <c:v>0.9457502787068004</c:v>
                </c:pt>
                <c:pt idx="14">
                  <c:v>0.25254604726976365</c:v>
                </c:pt>
                <c:pt idx="15">
                  <c:v>-6.1915766443320142E-2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-0.31639189331093143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C5-4B18-900D-74CCE7A1A70C}"/>
            </c:ext>
          </c:extLst>
        </c:ser>
        <c:ser>
          <c:idx val="1"/>
          <c:order val="1"/>
          <c:tx>
            <c:v>% Себестоимости</c:v>
          </c:tx>
          <c:spPr>
            <a:ln w="19050" cap="rnd">
              <a:solidFill>
                <a:srgbClr val="0066FF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circle"/>
            <c:size val="4"/>
            <c:spPr>
              <a:solidFill>
                <a:srgbClr val="0066FF"/>
              </a:solidFill>
              <a:ln w="9525">
                <a:noFill/>
              </a:ln>
              <a:effectLst/>
            </c:spPr>
          </c:marker>
          <c:val>
            <c:numRef>
              <c:f>'PL OZON (нед)'!$C$34:$BB$34</c:f>
              <c:numCache>
                <c:formatCode>0%</c:formatCode>
                <c:ptCount val="52"/>
                <c:pt idx="0">
                  <c:v>0.16989302088639838</c:v>
                </c:pt>
                <c:pt idx="1">
                  <c:v>0.17429938482570062</c:v>
                </c:pt>
                <c:pt idx="2">
                  <c:v>0.1869452096724824</c:v>
                </c:pt>
                <c:pt idx="3">
                  <c:v>0.17675448441932126</c:v>
                </c:pt>
                <c:pt idx="4">
                  <c:v>0.18350722654579663</c:v>
                </c:pt>
                <c:pt idx="5">
                  <c:v>0.18386229155459924</c:v>
                </c:pt>
                <c:pt idx="6">
                  <c:v>0.18251867995018681</c:v>
                </c:pt>
                <c:pt idx="7">
                  <c:v>0.21154968400402291</c:v>
                </c:pt>
                <c:pt idx="8">
                  <c:v>0.19306399713979264</c:v>
                </c:pt>
                <c:pt idx="9">
                  <c:v>0.18510803038124032</c:v>
                </c:pt>
                <c:pt idx="10">
                  <c:v>0.19939694163256516</c:v>
                </c:pt>
                <c:pt idx="11">
                  <c:v>0.20343010937410524</c:v>
                </c:pt>
                <c:pt idx="12">
                  <c:v>0.19080994222024686</c:v>
                </c:pt>
                <c:pt idx="13">
                  <c:v>0.20732214672028845</c:v>
                </c:pt>
                <c:pt idx="14">
                  <c:v>0.24433470070492652</c:v>
                </c:pt>
                <c:pt idx="15">
                  <c:v>0.26499257165633944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0.26940228393459642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5C5-4B18-900D-74CCE7A1A70C}"/>
            </c:ext>
          </c:extLst>
        </c:ser>
        <c:ser>
          <c:idx val="2"/>
          <c:order val="2"/>
          <c:tx>
            <c:v>% Расходы</c:v>
          </c:tx>
          <c:spPr>
            <a:ln w="19050" cap="rnd">
              <a:solidFill>
                <a:srgbClr val="FF0000"/>
              </a:solidFill>
              <a:round/>
              <a:headEnd type="oval" w="sm" len="sm"/>
              <a:tailEnd type="oval" w="sm" len="sm"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val>
            <c:numRef>
              <c:f>'PL OZON (нед)'!$C$39:$BB$39</c:f>
              <c:numCache>
                <c:formatCode>0%</c:formatCode>
                <c:ptCount val="52"/>
                <c:pt idx="0">
                  <c:v>0.42150619799626421</c:v>
                </c:pt>
                <c:pt idx="1">
                  <c:v>0.2926472024216385</c:v>
                </c:pt>
                <c:pt idx="2">
                  <c:v>0.30288818925182559</c:v>
                </c:pt>
                <c:pt idx="3">
                  <c:v>0.2815337836458992</c:v>
                </c:pt>
                <c:pt idx="4">
                  <c:v>0.31987086290943301</c:v>
                </c:pt>
                <c:pt idx="5">
                  <c:v>0.35023438100361176</c:v>
                </c:pt>
                <c:pt idx="6">
                  <c:v>0.32903175591531758</c:v>
                </c:pt>
                <c:pt idx="7">
                  <c:v>0.29029414321012181</c:v>
                </c:pt>
                <c:pt idx="8">
                  <c:v>0.25556794044038783</c:v>
                </c:pt>
                <c:pt idx="9">
                  <c:v>0.26301526436103534</c:v>
                </c:pt>
                <c:pt idx="10">
                  <c:v>0.30570751669179408</c:v>
                </c:pt>
                <c:pt idx="11">
                  <c:v>0.22831128672049475</c:v>
                </c:pt>
                <c:pt idx="12">
                  <c:v>0.15720195562241443</c:v>
                </c:pt>
                <c:pt idx="13">
                  <c:v>0.1514815328433412</c:v>
                </c:pt>
                <c:pt idx="14">
                  <c:v>0.23959536421203553</c:v>
                </c:pt>
                <c:pt idx="15">
                  <c:v>0.28010290973656554</c:v>
                </c:pt>
                <c:pt idx="16">
                  <c:v>0.28873634533513748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0.34519854658707499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5C5-4B18-900D-74CCE7A1A70C}"/>
            </c:ext>
          </c:extLst>
        </c:ser>
        <c:ser>
          <c:idx val="3"/>
          <c:order val="3"/>
          <c:tx>
            <c:v>Маржинальность %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46"/>
            <c:marker>
              <c:symbol val="circle"/>
              <c:size val="4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5C5-4B18-900D-74CCE7A1A70C}"/>
              </c:ext>
            </c:extLst>
          </c:dPt>
          <c:val>
            <c:numRef>
              <c:f>'PL OZON (нед)'!$C$59:$BB$59</c:f>
              <c:numCache>
                <c:formatCode>0%</c:formatCode>
                <c:ptCount val="52"/>
                <c:pt idx="0">
                  <c:v>-3.6844965189336054E-2</c:v>
                </c:pt>
                <c:pt idx="1">
                  <c:v>8.6462585034013592E-2</c:v>
                </c:pt>
                <c:pt idx="2">
                  <c:v>6.3313656040928756E-2</c:v>
                </c:pt>
                <c:pt idx="3">
                  <c:v>9.5071526233087747E-2</c:v>
                </c:pt>
                <c:pt idx="4">
                  <c:v>4.8671427349696393E-2</c:v>
                </c:pt>
                <c:pt idx="5">
                  <c:v>2.0617075232459845E-2</c:v>
                </c:pt>
                <c:pt idx="6">
                  <c:v>4.0538605230386049E-2</c:v>
                </c:pt>
                <c:pt idx="7">
                  <c:v>4.5943828455779184E-2</c:v>
                </c:pt>
                <c:pt idx="8">
                  <c:v>0.10110769942585543</c:v>
                </c:pt>
                <c:pt idx="9">
                  <c:v>0.10495022490966743</c:v>
                </c:pt>
                <c:pt idx="10">
                  <c:v>4.4430325220762429E-2</c:v>
                </c:pt>
                <c:pt idx="11">
                  <c:v>0.11922865487029721</c:v>
                </c:pt>
                <c:pt idx="12">
                  <c:v>0.20105200177783855</c:v>
                </c:pt>
                <c:pt idx="13">
                  <c:v>0.19607497804280496</c:v>
                </c:pt>
                <c:pt idx="14">
                  <c:v>6.1705762873869925E-2</c:v>
                </c:pt>
                <c:pt idx="15">
                  <c:v>-1.640721817588869E-2</c:v>
                </c:pt>
                <c:pt idx="16">
                  <c:v>0.23556747302069239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-8.5236698676356082E-2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45C5-4B18-900D-74CCE7A1A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338735"/>
        <c:axId val="922101423"/>
      </c:lineChart>
      <c:catAx>
        <c:axId val="91833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Продажи</c:v>
          </c:tx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none"/>
          </c:marker>
          <c:val>
            <c:numRef>
              <c:f>'PL OZON'!$C$14:$N$14</c:f>
              <c:numCache>
                <c:formatCode>#,##0</c:formatCode>
                <c:ptCount val="12"/>
                <c:pt idx="0">
                  <c:v>398751</c:v>
                </c:pt>
                <c:pt idx="1">
                  <c:v>257393</c:v>
                </c:pt>
                <c:pt idx="2">
                  <c:v>164849</c:v>
                </c:pt>
                <c:pt idx="3">
                  <c:v>104640</c:v>
                </c:pt>
                <c:pt idx="4">
                  <c:v>77060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C3-4883-94F3-EB14B35B81B4}"/>
            </c:ext>
          </c:extLst>
        </c:ser>
        <c:ser>
          <c:idx val="1"/>
          <c:order val="1"/>
          <c:tx>
            <c:v>К перечислению</c:v>
          </c:tx>
          <c:spPr>
            <a:ln w="19050" cap="rnd">
              <a:solidFill>
                <a:srgbClr val="FFCC00"/>
              </a:solidFill>
              <a:round/>
            </a:ln>
            <a:effectLst/>
          </c:spPr>
          <c:marker>
            <c:symbol val="none"/>
          </c:marker>
          <c:val>
            <c:numRef>
              <c:f>'PL OZON'!$C$20:$N$20</c:f>
              <c:numCache>
                <c:formatCode>#,##0</c:formatCode>
                <c:ptCount val="12"/>
                <c:pt idx="0">
                  <c:v>248456</c:v>
                </c:pt>
                <c:pt idx="1">
                  <c:v>159834</c:v>
                </c:pt>
                <c:pt idx="2">
                  <c:v>102358</c:v>
                </c:pt>
                <c:pt idx="3">
                  <c:v>63506</c:v>
                </c:pt>
                <c:pt idx="4">
                  <c:v>46187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C3-4883-94F3-EB14B35B81B4}"/>
            </c:ext>
          </c:extLst>
        </c:ser>
        <c:ser>
          <c:idx val="2"/>
          <c:order val="2"/>
          <c:tx>
            <c:v>Оплачено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'PL OZON'!$C$30:$N$30</c:f>
              <c:numCache>
                <c:formatCode>#,##0</c:formatCode>
                <c:ptCount val="12"/>
                <c:pt idx="0">
                  <c:v>114486</c:v>
                </c:pt>
                <c:pt idx="1">
                  <c:v>72462</c:v>
                </c:pt>
                <c:pt idx="2">
                  <c:v>58108</c:v>
                </c:pt>
                <c:pt idx="3">
                  <c:v>37207</c:v>
                </c:pt>
                <c:pt idx="4">
                  <c:v>18554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6C3-4883-94F3-EB14B35B81B4}"/>
            </c:ext>
          </c:extLst>
        </c:ser>
        <c:ser>
          <c:idx val="3"/>
          <c:order val="3"/>
          <c:tx>
            <c:v>Логистика</c:v>
          </c:tx>
          <c:spPr>
            <a:ln w="19050" cap="rnd">
              <a:solidFill>
                <a:srgbClr val="9933FF"/>
              </a:solidFill>
              <a:round/>
            </a:ln>
            <a:effectLst/>
          </c:spPr>
          <c:marker>
            <c:symbol val="none"/>
          </c:marker>
          <c:val>
            <c:numRef>
              <c:f>'PL OZON'!$C$40:$N$40</c:f>
              <c:numCache>
                <c:formatCode>#,##0</c:formatCode>
                <c:ptCount val="12"/>
                <c:pt idx="0">
                  <c:v>75794</c:v>
                </c:pt>
                <c:pt idx="1">
                  <c:v>56956</c:v>
                </c:pt>
                <c:pt idx="2">
                  <c:v>32152</c:v>
                </c:pt>
                <c:pt idx="3">
                  <c:v>15426</c:v>
                </c:pt>
                <c:pt idx="4">
                  <c:v>16406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6C3-4883-94F3-EB14B35B81B4}"/>
            </c:ext>
          </c:extLst>
        </c:ser>
        <c:ser>
          <c:idx val="4"/>
          <c:order val="4"/>
          <c:tx>
            <c:v>Хранение</c:v>
          </c:tx>
          <c:spPr>
            <a:ln w="19050" cap="rnd">
              <a:solidFill>
                <a:srgbClr val="FF99FF"/>
              </a:solidFill>
              <a:round/>
            </a:ln>
            <a:effectLst/>
          </c:spPr>
          <c:marker>
            <c:symbol val="none"/>
          </c:marker>
          <c:val>
            <c:numRef>
              <c:f>'PL OZON'!$C$43:$N$43</c:f>
              <c:numCache>
                <c:formatCode>#,##0</c:formatCode>
                <c:ptCount val="12"/>
                <c:pt idx="0">
                  <c:v>30069</c:v>
                </c:pt>
                <c:pt idx="1">
                  <c:v>12195</c:v>
                </c:pt>
                <c:pt idx="2">
                  <c:v>4343</c:v>
                </c:pt>
                <c:pt idx="3">
                  <c:v>8722</c:v>
                </c:pt>
                <c:pt idx="4">
                  <c:v>8463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6C3-4883-94F3-EB14B35B81B4}"/>
            </c:ext>
          </c:extLst>
        </c:ser>
        <c:ser>
          <c:idx val="5"/>
          <c:order val="5"/>
          <c:tx>
            <c:v>Продвижение</c:v>
          </c:tx>
          <c:spPr>
            <a:ln w="19050" cap="rnd">
              <a:solidFill>
                <a:srgbClr val="FF00FF"/>
              </a:solidFill>
              <a:round/>
            </a:ln>
            <a:effectLst/>
          </c:spPr>
          <c:marker>
            <c:symbol val="none"/>
          </c:marker>
          <c:val>
            <c:numRef>
              <c:f>'PL OZON'!$C$42:$N$42</c:f>
              <c:numCache>
                <c:formatCode>#,##0</c:formatCode>
                <c:ptCount val="12"/>
                <c:pt idx="0">
                  <c:v>3613</c:v>
                </c:pt>
                <c:pt idx="1">
                  <c:v>2391</c:v>
                </c:pt>
                <c:pt idx="2">
                  <c:v>1321</c:v>
                </c:pt>
                <c:pt idx="3">
                  <c:v>1097</c:v>
                </c:pt>
                <c:pt idx="4">
                  <c:v>700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6C3-4883-94F3-EB14B35B81B4}"/>
            </c:ext>
          </c:extLst>
        </c:ser>
        <c:ser>
          <c:idx val="6"/>
          <c:order val="6"/>
          <c:tx>
            <c:v>Прибыль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'PL OZON'!$C$57:$N$57</c:f>
              <c:numCache>
                <c:formatCode>#,##0</c:formatCode>
                <c:ptCount val="12"/>
                <c:pt idx="0">
                  <c:v>26763.429999999997</c:v>
                </c:pt>
                <c:pt idx="1">
                  <c:v>12453.489999999998</c:v>
                </c:pt>
                <c:pt idx="2">
                  <c:v>17800.57</c:v>
                </c:pt>
                <c:pt idx="3">
                  <c:v>12476.199999999999</c:v>
                </c:pt>
                <c:pt idx="4">
                  <c:v>-6568.34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A6C3-4883-94F3-EB14B35B8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338735"/>
        <c:axId val="922101423"/>
      </c:lineChart>
      <c:catAx>
        <c:axId val="918338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2296547950130872E-3"/>
          <c:y val="2.899342479097328E-2"/>
          <c:w val="0.10415279350289126"/>
          <c:h val="0.405930676191249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6"/>
          <c:order val="0"/>
          <c:tx>
            <c:v>Рентабельность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cat>
            <c:strRef>
              <c:f>'PL OZON'!$C$3:$N$3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'PL OZON'!$C$58:$N$58</c:f>
              <c:numCache>
                <c:formatCode>0%</c:formatCode>
                <c:ptCount val="12"/>
                <c:pt idx="0">
                  <c:v>0.3062638087427994</c:v>
                </c:pt>
                <c:pt idx="1">
                  <c:v>0.30869914877249965</c:v>
                </c:pt>
                <c:pt idx="2">
                  <c:v>0.24891264126564311</c:v>
                </c:pt>
                <c:pt idx="3">
                  <c:v>0.24629204892966361</c:v>
                </c:pt>
                <c:pt idx="4">
                  <c:v>0.34519854658707499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46-48AE-B379-4B0C92F9EE13}"/>
            </c:ext>
          </c:extLst>
        </c:ser>
        <c:ser>
          <c:idx val="0"/>
          <c:order val="1"/>
          <c:tx>
            <c:v>% Себестоимости</c:v>
          </c:tx>
          <c:spPr>
            <a:ln w="1905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066FF"/>
              </a:solidFill>
              <a:ln w="9525">
                <a:noFill/>
              </a:ln>
              <a:effectLst/>
            </c:spPr>
          </c:marker>
          <c:val>
            <c:numRef>
              <c:f>'PL OZON'!$C$34:$N$34</c:f>
              <c:numCache>
                <c:formatCode>0%</c:formatCode>
                <c:ptCount val="12"/>
                <c:pt idx="0">
                  <c:v>0.17970362456771269</c:v>
                </c:pt>
                <c:pt idx="1">
                  <c:v>0.19389027673635259</c:v>
                </c:pt>
                <c:pt idx="2">
                  <c:v>0.19402604808036444</c:v>
                </c:pt>
                <c:pt idx="3">
                  <c:v>0.17137805810397552</c:v>
                </c:pt>
                <c:pt idx="4">
                  <c:v>0.26940228393459642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B46-48AE-B379-4B0C92F9EE13}"/>
            </c:ext>
          </c:extLst>
        </c:ser>
        <c:ser>
          <c:idx val="1"/>
          <c:order val="2"/>
          <c:tx>
            <c:v>% Расходов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val>
            <c:numRef>
              <c:f>'PL OZON'!$C$39:$N$39</c:f>
              <c:numCache>
                <c:formatCode>0%</c:formatCode>
                <c:ptCount val="12"/>
                <c:pt idx="0">
                  <c:v>0.3062638087427994</c:v>
                </c:pt>
                <c:pt idx="1">
                  <c:v>0.30869914877249965</c:v>
                </c:pt>
                <c:pt idx="2">
                  <c:v>0.24891264126564311</c:v>
                </c:pt>
                <c:pt idx="3">
                  <c:v>0.24629204892966361</c:v>
                </c:pt>
                <c:pt idx="4">
                  <c:v>0.34519854658707499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B46-48AE-B379-4B0C92F9EE13}"/>
            </c:ext>
          </c:extLst>
        </c:ser>
        <c:ser>
          <c:idx val="2"/>
          <c:order val="3"/>
          <c:tx>
            <c:v>Маржинальность %</c:v>
          </c:tx>
          <c:spPr>
            <a:ln w="19050" cap="rnd">
              <a:solidFill>
                <a:srgbClr val="FFCC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'PL OZON'!$C$59:$N$59</c:f>
              <c:numCache>
                <c:formatCode>0%</c:formatCode>
                <c:ptCount val="12"/>
                <c:pt idx="0">
                  <c:v>6.7118151427833395E-2</c:v>
                </c:pt>
                <c:pt idx="1">
                  <c:v>4.8383172813557473E-2</c:v>
                </c:pt>
                <c:pt idx="2">
                  <c:v>0.10798106145624177</c:v>
                </c:pt>
                <c:pt idx="3">
                  <c:v>0.11922974006116206</c:v>
                </c:pt>
                <c:pt idx="4">
                  <c:v>-8.5236698676356082E-2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B46-48AE-B379-4B0C92F9E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338735"/>
        <c:axId val="922101423"/>
      </c:lineChart>
      <c:catAx>
        <c:axId val="91833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2101423"/>
        <c:crosses val="autoZero"/>
        <c:auto val="1"/>
        <c:lblAlgn val="ctr"/>
        <c:lblOffset val="100"/>
        <c:noMultiLvlLbl val="0"/>
      </c:catAx>
      <c:valAx>
        <c:axId val="92210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183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и Прибыль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734492563429572"/>
          <c:y val="0.17634259259259263"/>
          <c:w val="0.84654396325459313"/>
          <c:h val="0.61498432487605714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'PL OZON'!$C$14:$N$14</c:f>
              <c:numCache>
                <c:formatCode>#,##0</c:formatCode>
                <c:ptCount val="12"/>
                <c:pt idx="0">
                  <c:v>398751</c:v>
                </c:pt>
                <c:pt idx="1">
                  <c:v>257393</c:v>
                </c:pt>
                <c:pt idx="2">
                  <c:v>164849</c:v>
                </c:pt>
                <c:pt idx="3">
                  <c:v>104640</c:v>
                </c:pt>
                <c:pt idx="4">
                  <c:v>77060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9-47D2-8F72-DE77EFCDD6B8}"/>
            </c:ext>
          </c:extLst>
        </c:ser>
        <c:ser>
          <c:idx val="2"/>
          <c:order val="1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'PL OZON'!$C$57:$N$57</c:f>
              <c:numCache>
                <c:formatCode>#,##0</c:formatCode>
                <c:ptCount val="12"/>
                <c:pt idx="0">
                  <c:v>26763.429999999997</c:v>
                </c:pt>
                <c:pt idx="1">
                  <c:v>12453.489999999998</c:v>
                </c:pt>
                <c:pt idx="2">
                  <c:v>17800.57</c:v>
                </c:pt>
                <c:pt idx="3">
                  <c:v>12476.199999999999</c:v>
                </c:pt>
                <c:pt idx="4">
                  <c:v>-6568.34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89-47D2-8F72-DE77EFCDD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6982832"/>
        <c:axId val="1396985744"/>
      </c:barChart>
      <c:catAx>
        <c:axId val="1396982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985744"/>
        <c:crosses val="autoZero"/>
        <c:auto val="1"/>
        <c:lblAlgn val="ctr"/>
        <c:lblOffset val="100"/>
        <c:noMultiLvlLbl val="0"/>
      </c:catAx>
      <c:valAx>
        <c:axId val="139698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698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39</xdr:row>
      <xdr:rowOff>9525</xdr:rowOff>
    </xdr:from>
    <xdr:to>
      <xdr:col>8</xdr:col>
      <xdr:colOff>581025</xdr:colOff>
      <xdr:row>54</xdr:row>
      <xdr:rowOff>180975</xdr:rowOff>
    </xdr:to>
    <xdr:graphicFrame macro="">
      <xdr:nvGraphicFramePr>
        <xdr:cNvPr id="3" name="PlatformComparison">
          <a:extLst>
            <a:ext uri="{FF2B5EF4-FFF2-40B4-BE49-F238E27FC236}">
              <a16:creationId xmlns:a16="http://schemas.microsoft.com/office/drawing/2014/main" id="{8D4A6515-8348-476B-85B2-C6E9B7135C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581025</xdr:colOff>
      <xdr:row>39</xdr:row>
      <xdr:rowOff>9525</xdr:rowOff>
    </xdr:from>
    <xdr:to>
      <xdr:col>14</xdr:col>
      <xdr:colOff>19050</xdr:colOff>
      <xdr:row>55</xdr:row>
      <xdr:rowOff>0</xdr:rowOff>
    </xdr:to>
    <xdr:graphicFrame macro="">
      <xdr:nvGraphicFramePr>
        <xdr:cNvPr id="4" name="ExpenseStructure">
          <a:extLst>
            <a:ext uri="{FF2B5EF4-FFF2-40B4-BE49-F238E27FC236}">
              <a16:creationId xmlns:a16="http://schemas.microsoft.com/office/drawing/2014/main" id="{DED61E6A-82CD-4F11-A621-0C557D0CF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304800</xdr:colOff>
      <xdr:row>39</xdr:row>
      <xdr:rowOff>0</xdr:rowOff>
    </xdr:from>
    <xdr:to>
      <xdr:col>3</xdr:col>
      <xdr:colOff>838200</xdr:colOff>
      <xdr:row>54</xdr:row>
      <xdr:rowOff>171450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9FCCDC9-AC6B-4364-B998-9B02408BA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752477</xdr:colOff>
      <xdr:row>68</xdr:row>
      <xdr:rowOff>133350</xdr:rowOff>
    </xdr:from>
    <xdr:to>
      <xdr:col>14</xdr:col>
      <xdr:colOff>114300</xdr:colOff>
      <xdr:row>90</xdr:row>
      <xdr:rowOff>76199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9195D8E-067E-4E3C-8BC9-04AEA6527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942976</xdr:colOff>
      <xdr:row>90</xdr:row>
      <xdr:rowOff>66675</xdr:rowOff>
    </xdr:from>
    <xdr:to>
      <xdr:col>14</xdr:col>
      <xdr:colOff>85725</xdr:colOff>
      <xdr:row>103</xdr:row>
      <xdr:rowOff>28574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A689ADA-2173-4122-982D-B5E3D792B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190499</xdr:colOff>
      <xdr:row>68</xdr:row>
      <xdr:rowOff>161925</xdr:rowOff>
    </xdr:from>
    <xdr:to>
      <xdr:col>19</xdr:col>
      <xdr:colOff>104774</xdr:colOff>
      <xdr:row>90</xdr:row>
      <xdr:rowOff>66675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D89DA8B-CFBA-47A0-BB2C-625C40A8F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209549</xdr:colOff>
      <xdr:row>79</xdr:row>
      <xdr:rowOff>6</xdr:rowOff>
    </xdr:from>
    <xdr:to>
      <xdr:col>55</xdr:col>
      <xdr:colOff>152399</xdr:colOff>
      <xdr:row>100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F1DE064-C476-499C-8EED-351D9776C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923926</xdr:colOff>
      <xdr:row>102</xdr:row>
      <xdr:rowOff>0</xdr:rowOff>
    </xdr:from>
    <xdr:to>
      <xdr:col>55</xdr:col>
      <xdr:colOff>161925</xdr:colOff>
      <xdr:row>123</xdr:row>
      <xdr:rowOff>152394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4FBEFDA-0DBF-4C1B-AA45-8B193AF1D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752477</xdr:colOff>
      <xdr:row>68</xdr:row>
      <xdr:rowOff>133350</xdr:rowOff>
    </xdr:from>
    <xdr:to>
      <xdr:col>14</xdr:col>
      <xdr:colOff>114300</xdr:colOff>
      <xdr:row>90</xdr:row>
      <xdr:rowOff>76199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8822B71-A134-4130-84D9-4A9B95684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942976</xdr:colOff>
      <xdr:row>90</xdr:row>
      <xdr:rowOff>66675</xdr:rowOff>
    </xdr:from>
    <xdr:to>
      <xdr:col>14</xdr:col>
      <xdr:colOff>85725</xdr:colOff>
      <xdr:row>103</xdr:row>
      <xdr:rowOff>28574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863B365-9749-49CA-8F71-0077297D55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190499</xdr:colOff>
      <xdr:row>68</xdr:row>
      <xdr:rowOff>161925</xdr:rowOff>
    </xdr:from>
    <xdr:to>
      <xdr:col>19</xdr:col>
      <xdr:colOff>104774</xdr:colOff>
      <xdr:row>90</xdr:row>
      <xdr:rowOff>66675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3DE41B7-CDC3-4592-BC66-260BFE298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209549</xdr:colOff>
      <xdr:row>79</xdr:row>
      <xdr:rowOff>6</xdr:rowOff>
    </xdr:from>
    <xdr:to>
      <xdr:col>54</xdr:col>
      <xdr:colOff>152399</xdr:colOff>
      <xdr:row>100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B6478D8-37B4-477A-8908-5EAC638EE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923926</xdr:colOff>
      <xdr:row>102</xdr:row>
      <xdr:rowOff>0</xdr:rowOff>
    </xdr:from>
    <xdr:to>
      <xdr:col>54</xdr:col>
      <xdr:colOff>161925</xdr:colOff>
      <xdr:row>123</xdr:row>
      <xdr:rowOff>152394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99335BB-F65E-409F-A8BF-437F0E175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752477</xdr:colOff>
      <xdr:row>68</xdr:row>
      <xdr:rowOff>133350</xdr:rowOff>
    </xdr:from>
    <xdr:to>
      <xdr:col>14</xdr:col>
      <xdr:colOff>114300</xdr:colOff>
      <xdr:row>90</xdr:row>
      <xdr:rowOff>76199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EA1C2F4-142F-4493-B77D-DC0E20E62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942976</xdr:colOff>
      <xdr:row>90</xdr:row>
      <xdr:rowOff>66675</xdr:rowOff>
    </xdr:from>
    <xdr:to>
      <xdr:col>14</xdr:col>
      <xdr:colOff>85725</xdr:colOff>
      <xdr:row>103</xdr:row>
      <xdr:rowOff>28574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5A31846-404D-4047-8475-C293D875A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190499</xdr:colOff>
      <xdr:row>68</xdr:row>
      <xdr:rowOff>161925</xdr:rowOff>
    </xdr:from>
    <xdr:to>
      <xdr:col>19</xdr:col>
      <xdr:colOff>104774</xdr:colOff>
      <xdr:row>90</xdr:row>
      <xdr:rowOff>66675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EAE3D37-8B33-43DE-BF6D-D86EC2CA8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0:M45" headerRowCount="0" headerRowDxfId="160" dataDxfId="159" totalsRowDxfId="158">
  <tableColumns count="11">
    <tableColumn id="1" xr3:uid="{00000000-0010-0000-0000-000001000000}" name="Column1" dataDxfId="157"/>
    <tableColumn id="2" xr3:uid="{00000000-0010-0000-0000-000002000000}" name="Column2" dataDxfId="156"/>
    <tableColumn id="3" xr3:uid="{00000000-0010-0000-0000-000003000000}" name="Column3" dataDxfId="155"/>
    <tableColumn id="4" xr3:uid="{00000000-0010-0000-0000-000004000000}" name="Column4" dataDxfId="154"/>
    <tableColumn id="5" xr3:uid="{00000000-0010-0000-0000-000005000000}" name="Column5" dataDxfId="153"/>
    <tableColumn id="6" xr3:uid="{00000000-0010-0000-0000-000006000000}" name="Column6" dataDxfId="152"/>
    <tableColumn id="7" xr3:uid="{00000000-0010-0000-0000-000007000000}" name="Column7" dataDxfId="151"/>
    <tableColumn id="8" xr3:uid="{00000000-0010-0000-0000-000008000000}" name="Column8" dataDxfId="150"/>
    <tableColumn id="9" xr3:uid="{00000000-0010-0000-0000-000009000000}" name="Column9" dataDxfId="149"/>
    <tableColumn id="10" xr3:uid="{00000000-0010-0000-0000-00000A000000}" name="Column10" dataDxfId="148"/>
    <tableColumn id="11" xr3:uid="{00000000-0010-0000-0000-00000B000000}" name="Column11" dataDxfId="147"/>
  </tableColumns>
  <tableStyleInfo name="PL факт (нед)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N10:BC45" headerRowCount="0" headerRowDxfId="146" dataDxfId="145" totalsRowDxfId="144">
  <tableColumns count="42">
    <tableColumn id="1" xr3:uid="{00000000-0010-0000-0100-000001000000}" name="Column1" dataDxfId="143"/>
    <tableColumn id="2" xr3:uid="{00000000-0010-0000-0100-000002000000}" name="Column2" dataDxfId="142"/>
    <tableColumn id="3" xr3:uid="{00000000-0010-0000-0100-000003000000}" name="Column3" dataDxfId="141"/>
    <tableColumn id="4" xr3:uid="{00000000-0010-0000-0100-000004000000}" name="Column4" dataDxfId="140"/>
    <tableColumn id="5" xr3:uid="{00000000-0010-0000-0100-000005000000}" name="Column5" dataDxfId="139"/>
    <tableColumn id="6" xr3:uid="{00000000-0010-0000-0100-000006000000}" name="Column6" dataDxfId="138"/>
    <tableColumn id="7" xr3:uid="{00000000-0010-0000-0100-000007000000}" name="Column7" dataDxfId="137"/>
    <tableColumn id="8" xr3:uid="{00000000-0010-0000-0100-000008000000}" name="Column8" dataDxfId="136"/>
    <tableColumn id="9" xr3:uid="{00000000-0010-0000-0100-000009000000}" name="Column9" dataDxfId="135"/>
    <tableColumn id="10" xr3:uid="{00000000-0010-0000-0100-00000A000000}" name="Column10" dataDxfId="134"/>
    <tableColumn id="11" xr3:uid="{00000000-0010-0000-0100-00000B000000}" name="Column11" dataDxfId="133"/>
    <tableColumn id="12" xr3:uid="{00000000-0010-0000-0100-00000C000000}" name="Column12" dataDxfId="132"/>
    <tableColumn id="13" xr3:uid="{00000000-0010-0000-0100-00000D000000}" name="Column13" dataDxfId="131"/>
    <tableColumn id="14" xr3:uid="{00000000-0010-0000-0100-00000E000000}" name="Column14" dataDxfId="130"/>
    <tableColumn id="15" xr3:uid="{00000000-0010-0000-0100-00000F000000}" name="Column15" dataDxfId="129"/>
    <tableColumn id="16" xr3:uid="{00000000-0010-0000-0100-000010000000}" name="Column16" dataDxfId="128"/>
    <tableColumn id="17" xr3:uid="{00000000-0010-0000-0100-000011000000}" name="Column17" dataDxfId="127"/>
    <tableColumn id="18" xr3:uid="{00000000-0010-0000-0100-000012000000}" name="Column18" dataDxfId="126"/>
    <tableColumn id="19" xr3:uid="{00000000-0010-0000-0100-000013000000}" name="Column19" dataDxfId="125"/>
    <tableColumn id="20" xr3:uid="{00000000-0010-0000-0100-000014000000}" name="Column20" dataDxfId="124"/>
    <tableColumn id="21" xr3:uid="{00000000-0010-0000-0100-000015000000}" name="Column21" dataDxfId="123"/>
    <tableColumn id="22" xr3:uid="{00000000-0010-0000-0100-000016000000}" name="Column22" dataDxfId="122"/>
    <tableColumn id="23" xr3:uid="{00000000-0010-0000-0100-000017000000}" name="Column23" dataDxfId="121"/>
    <tableColumn id="24" xr3:uid="{00000000-0010-0000-0100-000018000000}" name="Column24" dataDxfId="120"/>
    <tableColumn id="25" xr3:uid="{00000000-0010-0000-0100-000019000000}" name="Column25" dataDxfId="119"/>
    <tableColumn id="26" xr3:uid="{00000000-0010-0000-0100-00001A000000}" name="Column26" dataDxfId="118"/>
    <tableColumn id="27" xr3:uid="{00000000-0010-0000-0100-00001B000000}" name="Column27" dataDxfId="117"/>
    <tableColumn id="28" xr3:uid="{00000000-0010-0000-0100-00001C000000}" name="Column28" dataDxfId="116"/>
    <tableColumn id="29" xr3:uid="{00000000-0010-0000-0100-00001D000000}" name="Column29" dataDxfId="115"/>
    <tableColumn id="30" xr3:uid="{00000000-0010-0000-0100-00001E000000}" name="Column30" dataDxfId="114"/>
    <tableColumn id="31" xr3:uid="{00000000-0010-0000-0100-00001F000000}" name="Column31" dataDxfId="113"/>
    <tableColumn id="32" xr3:uid="{00000000-0010-0000-0100-000020000000}" name="Column32" dataDxfId="112"/>
    <tableColumn id="33" xr3:uid="{00000000-0010-0000-0100-000021000000}" name="Column33" dataDxfId="111"/>
    <tableColumn id="34" xr3:uid="{00000000-0010-0000-0100-000022000000}" name="Column34" dataDxfId="110"/>
    <tableColumn id="35" xr3:uid="{00000000-0010-0000-0100-000023000000}" name="Column35" dataDxfId="109"/>
    <tableColumn id="36" xr3:uid="{00000000-0010-0000-0100-000024000000}" name="Column36" dataDxfId="108"/>
    <tableColumn id="37" xr3:uid="{00000000-0010-0000-0100-000025000000}" name="Column37" dataDxfId="107"/>
    <tableColumn id="38" xr3:uid="{00000000-0010-0000-0100-000026000000}" name="Column38" dataDxfId="106"/>
    <tableColumn id="39" xr3:uid="{00000000-0010-0000-0100-000027000000}" name="Column39" dataDxfId="105"/>
    <tableColumn id="40" xr3:uid="{00000000-0010-0000-0100-000028000000}" name="Column40" dataDxfId="104"/>
    <tableColumn id="41" xr3:uid="{00000000-0010-0000-0100-000029000000}" name="Column41" dataDxfId="103"/>
    <tableColumn id="43" xr3:uid="{1F5F1511-FEF3-45BA-9C83-1996DE387548}" name="Столбец1" headerRowDxfId="102" dataDxfId="101" totalsRowDxfId="100"/>
  </tableColumns>
  <tableStyleInfo name="PL факт (нед)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F43284-2AC3-400E-BA45-090E191EF56A}" name="Table_14" displayName="Table_14" ref="C10:M45" headerRowCount="0" headerRowDxfId="99" dataDxfId="98" totalsRowDxfId="97">
  <tableColumns count="11">
    <tableColumn id="1" xr3:uid="{3BB1F834-864F-4A6B-8606-D5A918547D2F}" name="Column1" dataDxfId="96"/>
    <tableColumn id="2" xr3:uid="{20A373A8-054D-489B-AA02-40B51D27E4F8}" name="Column2" dataDxfId="95"/>
    <tableColumn id="3" xr3:uid="{2E44238E-3E4F-48B7-B48A-C4AF5ED990E1}" name="Column3" dataDxfId="94"/>
    <tableColumn id="4" xr3:uid="{1D5A9ECE-47F2-47E4-BE09-267DD7C163BF}" name="Column4" dataDxfId="93"/>
    <tableColumn id="5" xr3:uid="{B1489C55-0361-4DCC-92A6-3E7C67E75AFC}" name="Column5" dataDxfId="92"/>
    <tableColumn id="6" xr3:uid="{66F659D8-3701-46A6-B252-D33EB77EBEDB}" name="Column6" dataDxfId="91"/>
    <tableColumn id="7" xr3:uid="{3D83FD8C-7CDC-4518-B037-780BAFB600B3}" name="Column7" dataDxfId="90"/>
    <tableColumn id="8" xr3:uid="{4CE3F042-4105-45BE-984E-C6916F692D97}" name="Column8" dataDxfId="89"/>
    <tableColumn id="9" xr3:uid="{29BEF8C5-A9A1-4F06-9B83-A1D64DF67107}" name="Column9" dataDxfId="88"/>
    <tableColumn id="10" xr3:uid="{F3E004CB-727C-4256-A7F5-36C19506F9F4}" name="Column10" dataDxfId="87"/>
    <tableColumn id="11" xr3:uid="{26404035-2FB3-4384-A383-4F31634876DE}" name="Column11" dataDxfId="86"/>
  </tableColumns>
  <tableStyleInfo name="PL факт (нед)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50FC40-3EE3-4D9B-8F4D-CF4894657BD6}" name="Table_25" displayName="Table_25" ref="N10:BC46" headerRowCount="0" headerRowDxfId="85" dataDxfId="84" totalsRowDxfId="83">
  <tableColumns count="42">
    <tableColumn id="1" xr3:uid="{7A8DAA7B-175C-43FF-AAEE-EAA3751AD711}" name="Column1" dataDxfId="82"/>
    <tableColumn id="2" xr3:uid="{E1104CFC-B03D-4E5F-9293-D6CBD511162D}" name="Column2" dataDxfId="81"/>
    <tableColumn id="3" xr3:uid="{83934674-7527-46C6-9D16-D4F4E332C356}" name="Column3" dataDxfId="80"/>
    <tableColumn id="4" xr3:uid="{8F495974-7397-40E9-9BCB-4E26AA2C3F5B}" name="Column4" dataDxfId="79"/>
    <tableColumn id="5" xr3:uid="{9DA36218-5B55-42C7-A046-E648DEF336C3}" name="Column5" dataDxfId="78"/>
    <tableColumn id="6" xr3:uid="{973E7733-6689-4DF4-98AF-7CF57E8B7888}" name="Column6" dataDxfId="77"/>
    <tableColumn id="7" xr3:uid="{AEA79E42-244B-4452-A17F-95291A96AAD8}" name="Column7" dataDxfId="76"/>
    <tableColumn id="8" xr3:uid="{7144527A-B583-42F0-B50D-87AD5078DFB7}" name="Column8" dataDxfId="75"/>
    <tableColumn id="9" xr3:uid="{A52E312B-4729-47BD-8138-9A3D171624F9}" name="Column9" dataDxfId="74"/>
    <tableColumn id="10" xr3:uid="{766318B1-185F-4EFD-8825-C3CF3CB0F611}" name="Column10" dataDxfId="73"/>
    <tableColumn id="11" xr3:uid="{458E4182-DC1A-4AF6-8B0D-42091252E108}" name="Column11" dataDxfId="0"/>
    <tableColumn id="12" xr3:uid="{BF19E499-A768-4F81-905C-D1E0A86A04F0}" name="Column12" dataDxfId="72"/>
    <tableColumn id="13" xr3:uid="{83D42F66-A2AC-4611-863B-7329EF922ACC}" name="Column13" dataDxfId="71"/>
    <tableColumn id="14" xr3:uid="{2DC9BCFB-FB75-42E5-B422-D8501165C47B}" name="Column14" dataDxfId="70"/>
    <tableColumn id="15" xr3:uid="{13EF1FA4-9A84-4C92-AF58-39CDADD935F8}" name="Column15" dataDxfId="69"/>
    <tableColumn id="16" xr3:uid="{18B80460-8AE0-4C3B-A3B0-759C6A58E94B}" name="Column16" dataDxfId="68"/>
    <tableColumn id="17" xr3:uid="{D7FBCFB2-5FA1-4048-990A-7D2ACFDE040A}" name="Column17" dataDxfId="67"/>
    <tableColumn id="18" xr3:uid="{F68CF44B-CE9D-476D-A431-487A345F6D89}" name="Column18" dataDxfId="66"/>
    <tableColumn id="19" xr3:uid="{4A671077-52C1-46F5-8181-2333BA6E877D}" name="Column19" dataDxfId="65"/>
    <tableColumn id="20" xr3:uid="{F70BEC1A-D7BA-4149-97F2-4D24B4740A3D}" name="Column20" dataDxfId="64"/>
    <tableColumn id="21" xr3:uid="{7F6E7AAA-5018-4BB0-ABBE-05C4BBA4A9CE}" name="Column21" dataDxfId="63"/>
    <tableColumn id="22" xr3:uid="{74ABF72E-B927-48BF-A9A8-A02CD0DEB437}" name="Column22" dataDxfId="62"/>
    <tableColumn id="23" xr3:uid="{E885B1E8-70B4-4D49-B6AA-9E34ACF21E0C}" name="Column23" dataDxfId="61"/>
    <tableColumn id="24" xr3:uid="{D7E93F62-0A7A-433E-B467-D01A2EF9CE99}" name="Column24" dataDxfId="60"/>
    <tableColumn id="25" xr3:uid="{FA0B006B-D703-4B47-AD94-D69A6269A7C4}" name="Column25" dataDxfId="59"/>
    <tableColumn id="26" xr3:uid="{3F913E8F-68BD-4ED7-8A41-B504DF3BDAA6}" name="Column26" dataDxfId="58"/>
    <tableColumn id="27" xr3:uid="{EFDED1AD-A181-4509-8227-63094DAA8894}" name="Column27" dataDxfId="57"/>
    <tableColumn id="28" xr3:uid="{FED791E8-ED97-45E7-AB5C-6EC32E923E6D}" name="Column28" dataDxfId="56"/>
    <tableColumn id="29" xr3:uid="{D67D65FA-ECAF-4A18-AE18-8BD37191033D}" name="Column29" dataDxfId="55"/>
    <tableColumn id="30" xr3:uid="{B070F62B-2CA5-417A-AF99-5D3E505A527B}" name="Column30" dataDxfId="54"/>
    <tableColumn id="31" xr3:uid="{3B087A20-A8B1-4284-B690-CE9CF619C4C2}" name="Column31" dataDxfId="53"/>
    <tableColumn id="32" xr3:uid="{9FC189ED-7823-4FD4-9C7D-29D4A0D378FA}" name="Column32" dataDxfId="52"/>
    <tableColumn id="33" xr3:uid="{F8B32561-7216-4588-A802-BE863A496FBC}" name="Column33" dataDxfId="51"/>
    <tableColumn id="34" xr3:uid="{F7E54407-D14C-4EB2-8216-9A4DF3D12365}" name="Column34" dataDxfId="50"/>
    <tableColumn id="35" xr3:uid="{C6D91474-EE07-4AFE-B992-DBAFAA5ED8A3}" name="Column35" dataDxfId="49"/>
    <tableColumn id="36" xr3:uid="{3D1B89A3-6E5C-436B-9AAF-07A6D152C50F}" name="Column36" dataDxfId="48"/>
    <tableColumn id="37" xr3:uid="{22EFA65E-C686-49A2-BE4A-6AD0D8F44DBB}" name="Column37" dataDxfId="47"/>
    <tableColumn id="38" xr3:uid="{F4089F45-946E-4CEF-869D-6AC4F76D5812}" name="Column38" dataDxfId="46"/>
    <tableColumn id="39" xr3:uid="{5B86E8C4-21CE-4597-B1EA-EEE8D9944780}" name="Column39" dataDxfId="45"/>
    <tableColumn id="40" xr3:uid="{639D235B-E0E1-4B39-A710-9BE0791B1774}" name="Column40" dataDxfId="44"/>
    <tableColumn id="41" xr3:uid="{8DF422CB-661C-4001-9AEB-58FE4005CA49}" name="Column41" dataDxfId="43"/>
    <tableColumn id="42" xr3:uid="{94B6CECB-420B-4B26-A00D-ECBC273FF48C}" name="Столбец1" headerRowDxfId="42" dataDxfId="41" totalsRowDxfId="40"/>
  </tableColumns>
  <tableStyleInfo name="PL факт (нед)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BC92E7-19CB-4113-9DBF-B8C77AA1C91F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4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postavka365.ru/?utm_source=un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DAC8-2D62-456B-91BD-5C39F129D0A4}">
  <dimension ref="A1:M38"/>
  <sheetViews>
    <sheetView workbookViewId="0">
      <pane ySplit="5" topLeftCell="A6" activePane="bottomLeft" state="frozen"/>
      <selection pane="bottomLeft" activeCell="C19" sqref="C19"/>
    </sheetView>
  </sheetViews>
  <sheetFormatPr defaultColWidth="8.85546875" defaultRowHeight="15" customHeight="1" x14ac:dyDescent="0.25"/>
  <cols>
    <col min="1" max="1" width="25" style="426" customWidth="1"/>
    <col min="2" max="13" width="12.7109375" style="426" customWidth="1"/>
    <col min="14" max="16384" width="8.85546875" style="426"/>
  </cols>
  <sheetData>
    <row r="1" spans="1:13" ht="22.5" customHeight="1" x14ac:dyDescent="0.25">
      <c r="A1" s="509" t="s">
        <v>131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</row>
    <row r="2" spans="1:13" ht="15" customHeight="1" x14ac:dyDescent="0.25">
      <c r="A2" s="510">
        <f ca="1">TODAY()</f>
        <v>46189</v>
      </c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</row>
    <row r="5" spans="1:13" ht="18.75" customHeight="1" x14ac:dyDescent="0.25">
      <c r="A5" s="511" t="s">
        <v>132</v>
      </c>
      <c r="B5" s="508"/>
      <c r="C5" s="508"/>
      <c r="D5" s="508"/>
      <c r="E5" s="508"/>
      <c r="F5" s="508"/>
      <c r="G5" s="508"/>
      <c r="H5" s="508"/>
      <c r="I5" s="508"/>
      <c r="J5" s="508"/>
      <c r="K5" s="508"/>
      <c r="L5" s="508"/>
      <c r="M5" s="508"/>
    </row>
    <row r="7" spans="1:13" ht="15" customHeight="1" thickBot="1" x14ac:dyDescent="0.3">
      <c r="A7" s="427" t="s">
        <v>133</v>
      </c>
      <c r="B7" s="427"/>
      <c r="C7" s="427" t="s">
        <v>134</v>
      </c>
      <c r="D7" s="427"/>
      <c r="E7" s="427"/>
      <c r="F7" s="427"/>
      <c r="G7" s="427"/>
    </row>
    <row r="8" spans="1:13" ht="18.75" customHeight="1" x14ac:dyDescent="0.25">
      <c r="A8" s="428" t="s">
        <v>135</v>
      </c>
      <c r="B8" s="429"/>
      <c r="C8" s="430">
        <f>'PL общ'!O14</f>
        <v>4450936</v>
      </c>
      <c r="E8" s="428" t="s">
        <v>136</v>
      </c>
      <c r="F8" s="429"/>
      <c r="H8" s="429"/>
      <c r="J8" s="429"/>
      <c r="K8" s="429"/>
      <c r="L8" s="429"/>
      <c r="M8" s="429"/>
    </row>
    <row r="9" spans="1:13" ht="18.75" customHeight="1" x14ac:dyDescent="0.25">
      <c r="A9" s="428" t="s">
        <v>53</v>
      </c>
      <c r="B9" s="429"/>
      <c r="C9" s="431">
        <f>'PL общ'!O57</f>
        <v>981752.11999999965</v>
      </c>
      <c r="E9" s="428" t="s">
        <v>137</v>
      </c>
      <c r="F9" s="429"/>
      <c r="H9" s="429"/>
      <c r="J9" s="429"/>
      <c r="K9" s="429"/>
      <c r="L9" s="429"/>
      <c r="M9" s="429"/>
    </row>
    <row r="10" spans="1:13" ht="18.75" customHeight="1" x14ac:dyDescent="0.25">
      <c r="A10" s="428" t="s">
        <v>96</v>
      </c>
      <c r="B10" s="429"/>
      <c r="C10" s="432">
        <f>'PL общ'!O59</f>
        <v>0.2205720594499673</v>
      </c>
      <c r="E10" s="428" t="s">
        <v>138</v>
      </c>
      <c r="F10" s="429"/>
      <c r="H10" s="429"/>
      <c r="J10" s="429"/>
      <c r="K10" s="429"/>
      <c r="L10" s="429"/>
      <c r="M10" s="429"/>
    </row>
    <row r="11" spans="1:13" ht="18.75" customHeight="1" x14ac:dyDescent="0.25">
      <c r="A11" s="428" t="s">
        <v>38</v>
      </c>
      <c r="B11" s="429"/>
      <c r="C11" s="430">
        <f>'PL общ'!O36</f>
        <v>2112747.4599999995</v>
      </c>
      <c r="E11" s="428" t="s">
        <v>139</v>
      </c>
      <c r="F11" s="429"/>
      <c r="H11" s="429"/>
      <c r="J11" s="429"/>
      <c r="K11" s="429"/>
      <c r="L11" s="429"/>
      <c r="M11" s="429"/>
    </row>
    <row r="12" spans="1:13" ht="18.75" customHeight="1" x14ac:dyDescent="0.25">
      <c r="A12" s="428" t="s">
        <v>140</v>
      </c>
      <c r="B12" s="429"/>
      <c r="C12" s="432">
        <f>'PL общ'!O58</f>
        <v>1.102309407044938</v>
      </c>
      <c r="E12" s="428" t="s">
        <v>141</v>
      </c>
      <c r="F12" s="429"/>
      <c r="H12" s="429"/>
      <c r="J12" s="429"/>
      <c r="K12" s="429"/>
      <c r="L12" s="429"/>
      <c r="M12" s="429"/>
    </row>
    <row r="14" spans="1:13" ht="18.75" customHeight="1" x14ac:dyDescent="0.25">
      <c r="A14" s="512" t="s">
        <v>142</v>
      </c>
      <c r="B14" s="508"/>
      <c r="C14" s="508"/>
      <c r="D14" s="508"/>
      <c r="E14" s="508"/>
      <c r="F14" s="508"/>
      <c r="G14" s="508"/>
      <c r="H14" s="508"/>
      <c r="I14" s="508"/>
      <c r="J14" s="508"/>
      <c r="K14" s="508"/>
      <c r="L14" s="508"/>
      <c r="M14" s="508"/>
    </row>
    <row r="16" spans="1:13" ht="15" customHeight="1" thickBot="1" x14ac:dyDescent="0.3">
      <c r="A16" s="433" t="s">
        <v>143</v>
      </c>
      <c r="B16" s="433"/>
      <c r="C16" s="433" t="s">
        <v>144</v>
      </c>
      <c r="D16" s="433"/>
      <c r="E16" s="433"/>
      <c r="F16" s="433" t="s">
        <v>145</v>
      </c>
      <c r="G16" s="433"/>
    </row>
    <row r="17" spans="1:13" ht="18.75" customHeight="1" x14ac:dyDescent="0.25">
      <c r="A17" s="428" t="s">
        <v>146</v>
      </c>
      <c r="B17" s="429"/>
      <c r="C17" s="434">
        <f>'PL WB'!O7</f>
        <v>5368</v>
      </c>
      <c r="D17" s="435">
        <f>C17/(C17+F17)</f>
        <v>0.77707006369426757</v>
      </c>
      <c r="E17" s="429"/>
      <c r="F17" s="434">
        <f>'PL OZON'!O7</f>
        <v>1540</v>
      </c>
      <c r="G17" s="435">
        <f>100%-D17</f>
        <v>0.22292993630573243</v>
      </c>
    </row>
    <row r="18" spans="1:13" ht="18.75" customHeight="1" x14ac:dyDescent="0.25">
      <c r="A18" s="428" t="s">
        <v>147</v>
      </c>
      <c r="B18" s="429"/>
      <c r="C18" s="430">
        <f>'PL WB'!O14</f>
        <v>3448243</v>
      </c>
      <c r="D18" s="435">
        <f>C18/(C18+F18)</f>
        <v>0.77472311441907948</v>
      </c>
      <c r="E18" s="429"/>
      <c r="F18" s="430">
        <f>'PL OZON'!O14</f>
        <v>1002693</v>
      </c>
      <c r="G18" s="435">
        <f t="shared" ref="G18:G19" si="0">100%-D18</f>
        <v>0.22527688558092052</v>
      </c>
    </row>
    <row r="19" spans="1:13" ht="18.75" customHeight="1" x14ac:dyDescent="0.25">
      <c r="A19" s="436" t="s">
        <v>53</v>
      </c>
      <c r="B19" s="437"/>
      <c r="C19" s="438">
        <f>'PL WB'!O57</f>
        <v>918826.76999999967</v>
      </c>
      <c r="D19" s="439">
        <f>C19/(C19+F19)</f>
        <v>0.9359050531003692</v>
      </c>
      <c r="E19" s="437"/>
      <c r="F19" s="438">
        <f>'PL OZON'!O57</f>
        <v>62925.350000000006</v>
      </c>
      <c r="G19" s="439">
        <f t="shared" si="0"/>
        <v>6.40949468996308E-2</v>
      </c>
    </row>
    <row r="20" spans="1:13" ht="18.75" customHeight="1" x14ac:dyDescent="0.25">
      <c r="A20" s="428" t="s">
        <v>148</v>
      </c>
      <c r="B20" s="429"/>
      <c r="C20" s="430">
        <f>C18/C17</f>
        <v>642.37015648286138</v>
      </c>
      <c r="D20" s="429"/>
      <c r="E20" s="429"/>
      <c r="F20" s="430">
        <f>F18/F17</f>
        <v>651.09935064935064</v>
      </c>
      <c r="G20" s="429"/>
      <c r="I20" s="429"/>
      <c r="J20" s="429"/>
      <c r="K20" s="430"/>
    </row>
    <row r="21" spans="1:13" ht="18.75" customHeight="1" x14ac:dyDescent="0.25">
      <c r="A21" s="428" t="s">
        <v>149</v>
      </c>
      <c r="B21" s="429"/>
      <c r="C21" s="432">
        <f>'PL WB'!O59</f>
        <v>0.2664623026857445</v>
      </c>
      <c r="D21" s="429"/>
      <c r="E21" s="429"/>
      <c r="F21" s="432">
        <f>'PL OZON'!O59</f>
        <v>6.2756347157105916E-2</v>
      </c>
      <c r="G21" s="429"/>
      <c r="I21" s="429"/>
      <c r="J21" s="429"/>
      <c r="K21" s="440"/>
    </row>
    <row r="23" spans="1:13" ht="18.75" customHeight="1" x14ac:dyDescent="0.25">
      <c r="A23" s="513" t="s">
        <v>150</v>
      </c>
      <c r="B23" s="508"/>
      <c r="C23" s="508"/>
      <c r="D23" s="508"/>
      <c r="E23" s="508"/>
      <c r="F23" s="508"/>
      <c r="G23" s="508"/>
      <c r="H23" s="508"/>
      <c r="I23" s="508"/>
      <c r="J23" s="508"/>
      <c r="K23" s="508"/>
      <c r="L23" s="508"/>
      <c r="M23" s="508"/>
    </row>
    <row r="25" spans="1:13" ht="15" customHeight="1" thickBot="1" x14ac:dyDescent="0.3">
      <c r="A25" s="441" t="s">
        <v>151</v>
      </c>
      <c r="B25" s="441"/>
      <c r="C25" s="441" t="s">
        <v>152</v>
      </c>
      <c r="D25" s="441"/>
      <c r="E25" s="441" t="s">
        <v>153</v>
      </c>
    </row>
    <row r="26" spans="1:13" ht="18.75" customHeight="1" x14ac:dyDescent="0.25">
      <c r="A26" s="428" t="s">
        <v>154</v>
      </c>
      <c r="B26" s="429"/>
      <c r="C26" s="430">
        <f>'PL общ'!O17</f>
        <v>1447556.46</v>
      </c>
      <c r="D26" s="429"/>
      <c r="E26" s="435">
        <f>C26/'PL общ'!O14</f>
        <v>0.32522517960267233</v>
      </c>
    </row>
    <row r="27" spans="1:13" ht="18.75" customHeight="1" x14ac:dyDescent="0.25">
      <c r="A27" s="428" t="s">
        <v>122</v>
      </c>
      <c r="B27" s="429"/>
      <c r="C27" s="430">
        <f>'PL общ'!O40</f>
        <v>618776</v>
      </c>
      <c r="D27" s="429"/>
      <c r="E27" s="435">
        <f>C27/'PL общ'!O14</f>
        <v>0.1390215451311814</v>
      </c>
    </row>
    <row r="28" spans="1:13" ht="18.75" customHeight="1" x14ac:dyDescent="0.25">
      <c r="A28" s="428" t="s">
        <v>100</v>
      </c>
      <c r="B28" s="429"/>
      <c r="C28" s="430">
        <f>'PL общ'!O41</f>
        <v>24538</v>
      </c>
      <c r="D28" s="429"/>
      <c r="E28" s="435">
        <f>C28/'PL общ'!O14</f>
        <v>5.5129977155366867E-3</v>
      </c>
    </row>
    <row r="29" spans="1:13" ht="18.75" customHeight="1" x14ac:dyDescent="0.25">
      <c r="A29" s="428" t="s">
        <v>36</v>
      </c>
      <c r="B29" s="429"/>
      <c r="C29" s="430">
        <f>'PL общ'!O33</f>
        <v>890632.07999999984</v>
      </c>
      <c r="D29" s="429"/>
      <c r="E29" s="435">
        <f>C29/'PL общ'!O14</f>
        <v>0.20009995201009403</v>
      </c>
    </row>
    <row r="30" spans="1:13" ht="18.75" customHeight="1" x14ac:dyDescent="0.25">
      <c r="A30" s="428" t="s">
        <v>124</v>
      </c>
      <c r="B30" s="429"/>
      <c r="C30" s="430">
        <f>'PL общ'!O43</f>
        <v>231373.12000000002</v>
      </c>
      <c r="D30" s="429"/>
      <c r="E30" s="435">
        <f>C30/'PL общ'!O14</f>
        <v>5.1983025592819136E-2</v>
      </c>
    </row>
    <row r="31" spans="1:13" ht="18.75" customHeight="1" thickBot="1" x14ac:dyDescent="0.3">
      <c r="A31" s="428" t="s">
        <v>155</v>
      </c>
      <c r="B31" s="429"/>
      <c r="C31" s="430">
        <f>'PL общ'!O38-'PL общ'!O40-'PL общ'!O41-'PL общ'!O43</f>
        <v>23983.810000000027</v>
      </c>
      <c r="D31" s="429"/>
      <c r="E31" s="472">
        <f>C31/'PL общ'!O14</f>
        <v>5.3884868261417432E-3</v>
      </c>
    </row>
    <row r="32" spans="1:13" ht="18.75" customHeight="1" x14ac:dyDescent="0.25">
      <c r="A32" s="442" t="s">
        <v>156</v>
      </c>
      <c r="B32" s="443"/>
      <c r="C32" s="471">
        <f>'PL общ'!O38+'PL общ'!O17+'PL общ'!O33</f>
        <v>3236859.4699999997</v>
      </c>
      <c r="D32" s="443"/>
      <c r="E32" s="473">
        <f>C32/'PL общ'!O14</f>
        <v>0.72723118687844523</v>
      </c>
    </row>
    <row r="34" spans="1:13" ht="18.75" customHeight="1" x14ac:dyDescent="0.25">
      <c r="A34" s="507" t="s">
        <v>157</v>
      </c>
      <c r="B34" s="508"/>
      <c r="C34" s="508"/>
      <c r="D34" s="508"/>
      <c r="E34" s="508"/>
      <c r="F34" s="508"/>
      <c r="G34" s="508"/>
      <c r="H34" s="508"/>
      <c r="I34" s="508"/>
      <c r="J34" s="508"/>
      <c r="K34" s="508"/>
      <c r="L34" s="508"/>
      <c r="M34" s="508"/>
    </row>
    <row r="36" spans="1:13" ht="15" customHeight="1" thickBot="1" x14ac:dyDescent="0.3">
      <c r="A36" s="444" t="s">
        <v>158</v>
      </c>
      <c r="B36" s="444" t="s">
        <v>159</v>
      </c>
      <c r="C36" s="444" t="s">
        <v>160</v>
      </c>
      <c r="D36" s="444" t="s">
        <v>161</v>
      </c>
      <c r="E36" s="444" t="s">
        <v>162</v>
      </c>
      <c r="F36" s="444" t="s">
        <v>9</v>
      </c>
      <c r="G36" s="444" t="s">
        <v>163</v>
      </c>
      <c r="H36" s="444" t="s">
        <v>164</v>
      </c>
      <c r="I36" s="444" t="s">
        <v>165</v>
      </c>
      <c r="J36" s="444" t="s">
        <v>166</v>
      </c>
      <c r="K36" s="444" t="s">
        <v>167</v>
      </c>
      <c r="L36" s="444" t="s">
        <v>168</v>
      </c>
      <c r="M36" s="444" t="s">
        <v>169</v>
      </c>
    </row>
    <row r="37" spans="1:13" ht="18.75" customHeight="1" x14ac:dyDescent="0.25">
      <c r="A37" s="428" t="s">
        <v>170</v>
      </c>
      <c r="B37" s="434">
        <f>'PL общ'!C15</f>
        <v>950524</v>
      </c>
      <c r="C37" s="434">
        <f>'PL общ'!D15</f>
        <v>834437</v>
      </c>
      <c r="D37" s="434">
        <f>'PL общ'!E15</f>
        <v>692756</v>
      </c>
      <c r="E37" s="434">
        <f>'PL общ'!F15</f>
        <v>422401</v>
      </c>
      <c r="F37" s="434">
        <f>'PL общ'!G15</f>
        <v>333080</v>
      </c>
      <c r="G37" s="434">
        <f>'PL общ'!H15</f>
        <v>102662</v>
      </c>
      <c r="H37" s="434">
        <f>'PL общ'!I15</f>
        <v>0</v>
      </c>
      <c r="I37" s="434">
        <f>'PL общ'!J15</f>
        <v>0</v>
      </c>
      <c r="J37" s="434">
        <f>'PL общ'!K15</f>
        <v>0</v>
      </c>
      <c r="K37" s="434">
        <f>'PL общ'!L15</f>
        <v>0</v>
      </c>
      <c r="L37" s="434">
        <f>'PL общ'!M15</f>
        <v>0</v>
      </c>
      <c r="M37" s="434">
        <f>'PL общ'!N15</f>
        <v>0</v>
      </c>
    </row>
    <row r="38" spans="1:13" ht="18.75" customHeight="1" x14ac:dyDescent="0.25">
      <c r="A38" s="428" t="s">
        <v>171</v>
      </c>
      <c r="B38" s="434">
        <f>'PL общ'!C57</f>
        <v>243054.1399999999</v>
      </c>
      <c r="C38" s="434">
        <f>'PL общ'!D57</f>
        <v>288121.18999999994</v>
      </c>
      <c r="D38" s="434">
        <f>'PL общ'!E57</f>
        <v>211258.46000000002</v>
      </c>
      <c r="E38" s="434">
        <f>'PL общ'!F57</f>
        <v>138910.86999999994</v>
      </c>
      <c r="F38" s="434">
        <f>'PL общ'!G57</f>
        <v>75637.00999999998</v>
      </c>
      <c r="G38" s="434">
        <f>'PL общ'!H57</f>
        <v>24770.449999999993</v>
      </c>
      <c r="H38" s="434">
        <f>'PL общ'!I57</f>
        <v>0</v>
      </c>
      <c r="I38" s="434">
        <f>'PL общ'!J57</f>
        <v>0</v>
      </c>
      <c r="J38" s="434">
        <f>'PL общ'!K57</f>
        <v>0</v>
      </c>
      <c r="K38" s="434">
        <f>'PL общ'!L57</f>
        <v>0</v>
      </c>
      <c r="L38" s="434">
        <f>'PL общ'!M57</f>
        <v>0</v>
      </c>
      <c r="M38" s="434">
        <f>'PL общ'!N57</f>
        <v>0</v>
      </c>
    </row>
  </sheetData>
  <mergeCells count="6">
    <mergeCell ref="A34:M34"/>
    <mergeCell ref="A1:M1"/>
    <mergeCell ref="A2:M2"/>
    <mergeCell ref="A5:M5"/>
    <mergeCell ref="A14:M14"/>
    <mergeCell ref="A23:M23"/>
  </mergeCells>
  <pageMargins left="0.7" right="0.7" top="0.75" bottom="0.75" header="0.3" footer="0.3"/>
  <pageSetup orientation="portrait" r:id="rId1"/>
  <headerFooter>
    <oddHeader>&amp;L&amp;C&amp;R</oddHeader>
    <oddFooter>&amp;L&amp;C&amp;R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25E5-A22C-43A4-9375-A4F365675500}">
  <sheetPr>
    <tabColor rgb="FF00B050"/>
  </sheetPr>
  <dimension ref="A1:O68"/>
  <sheetViews>
    <sheetView showZeros="0" workbookViewId="0">
      <pane xSplit="2" ySplit="3" topLeftCell="C70" activePane="bottomRight" state="frozen"/>
      <selection pane="topRight" activeCell="C1" sqref="C1"/>
      <selection pane="bottomLeft" activeCell="A4" sqref="A4"/>
      <selection pane="bottomRight" activeCell="C53" sqref="C53"/>
    </sheetView>
  </sheetViews>
  <sheetFormatPr defaultColWidth="14.42578125" defaultRowHeight="15" customHeight="1" x14ac:dyDescent="0.25"/>
  <cols>
    <col min="1" max="1" width="24.42578125" style="107" customWidth="1"/>
    <col min="2" max="2" width="20.140625" style="107" customWidth="1"/>
    <col min="3" max="15" width="11.140625" style="107" customWidth="1"/>
    <col min="16" max="16384" width="14.42578125" style="107"/>
  </cols>
  <sheetData>
    <row r="1" spans="1:15" ht="21.75" customHeight="1" x14ac:dyDescent="0.25">
      <c r="A1" s="313" t="s">
        <v>3</v>
      </c>
      <c r="B1" s="246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449"/>
    </row>
    <row r="2" spans="1:15" ht="14.25" customHeight="1" x14ac:dyDescent="0.25">
      <c r="A2" s="314" t="s">
        <v>4</v>
      </c>
      <c r="B2" s="248"/>
      <c r="C2" s="514">
        <v>2025</v>
      </c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6"/>
      <c r="O2" s="450"/>
    </row>
    <row r="3" spans="1:15" ht="13.5" customHeight="1" x14ac:dyDescent="0.25">
      <c r="A3" s="249"/>
      <c r="B3" s="250"/>
      <c r="C3" s="251" t="s">
        <v>5</v>
      </c>
      <c r="D3" s="251" t="s">
        <v>6</v>
      </c>
      <c r="E3" s="251" t="s">
        <v>7</v>
      </c>
      <c r="F3" s="251" t="s">
        <v>8</v>
      </c>
      <c r="G3" s="251" t="s">
        <v>9</v>
      </c>
      <c r="H3" s="251" t="s">
        <v>10</v>
      </c>
      <c r="I3" s="251" t="s">
        <v>11</v>
      </c>
      <c r="J3" s="251" t="s">
        <v>12</v>
      </c>
      <c r="K3" s="251" t="s">
        <v>13</v>
      </c>
      <c r="L3" s="251" t="s">
        <v>14</v>
      </c>
      <c r="M3" s="251" t="s">
        <v>15</v>
      </c>
      <c r="N3" s="251" t="s">
        <v>16</v>
      </c>
      <c r="O3" s="451"/>
    </row>
    <row r="4" spans="1:15" ht="13.5" customHeight="1" thickBot="1" x14ac:dyDescent="0.3">
      <c r="A4" s="315" t="s">
        <v>17</v>
      </c>
      <c r="B4" s="316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452"/>
    </row>
    <row r="5" spans="1:15" ht="13.5" customHeight="1" x14ac:dyDescent="0.25">
      <c r="A5" s="253" t="s">
        <v>18</v>
      </c>
      <c r="B5" s="254"/>
      <c r="C5" s="255">
        <f>'PL WB'!C5+'PL OZON'!C5</f>
        <v>1570857.6700000002</v>
      </c>
      <c r="D5" s="255">
        <f>'PL WB'!D5+'PL OZON'!D5</f>
        <v>1522905.6300000001</v>
      </c>
      <c r="E5" s="255">
        <f>'PL WB'!E5+'PL OZON'!E5</f>
        <v>1301418.9100000001</v>
      </c>
      <c r="F5" s="255">
        <f>'PL WB'!F5+'PL OZON'!F5</f>
        <v>1109069.51</v>
      </c>
      <c r="G5" s="255">
        <f>'PL WB'!G5+'PL OZON'!G5</f>
        <v>1007032.05</v>
      </c>
      <c r="H5" s="255">
        <f>'PL WB'!H5+'PL OZON'!H5</f>
        <v>1381317.71</v>
      </c>
      <c r="I5" s="255">
        <f>'PL WB'!I5+'PL OZON'!I5</f>
        <v>1343139.26</v>
      </c>
      <c r="J5" s="255">
        <f>'PL WB'!J5+'PL OZON'!J5</f>
        <v>1343139.26</v>
      </c>
      <c r="K5" s="255">
        <f>'PL WB'!K5+'PL OZON'!K5</f>
        <v>1343139.26</v>
      </c>
      <c r="L5" s="255">
        <f>'PL WB'!L5+'PL OZON'!L5</f>
        <v>1343139.26</v>
      </c>
      <c r="M5" s="255">
        <f>'PL WB'!M5+'PL OZON'!M5</f>
        <v>1343139.26</v>
      </c>
      <c r="N5" s="255">
        <f>'PL WB'!N5+'PL OZON'!N5</f>
        <v>1343139.26</v>
      </c>
      <c r="O5" s="453"/>
    </row>
    <row r="6" spans="1:15" ht="13.5" customHeight="1" x14ac:dyDescent="0.25">
      <c r="A6" s="253"/>
      <c r="B6" s="257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454"/>
    </row>
    <row r="7" spans="1:15" ht="13.5" customHeight="1" x14ac:dyDescent="0.25">
      <c r="A7" s="253"/>
      <c r="B7" s="258" t="s">
        <v>19</v>
      </c>
      <c r="C7" s="256">
        <f>'PL WB'!C7+'PL OZON'!C7</f>
        <v>1965</v>
      </c>
      <c r="D7" s="256">
        <f>'PL WB'!D7+'PL OZON'!D7</f>
        <v>1719</v>
      </c>
      <c r="E7" s="256">
        <f>'PL WB'!E7+'PL OZON'!E7</f>
        <v>1545</v>
      </c>
      <c r="F7" s="256">
        <f>'PL WB'!F7+'PL OZON'!F7</f>
        <v>808</v>
      </c>
      <c r="G7" s="256">
        <f>'PL WB'!G7+'PL OZON'!G7</f>
        <v>632</v>
      </c>
      <c r="H7" s="256">
        <f>'PL WB'!H7+'PL OZON'!H7</f>
        <v>239</v>
      </c>
      <c r="I7" s="256">
        <f>'PL WB'!I7+'PL OZON'!I7</f>
        <v>0</v>
      </c>
      <c r="J7" s="256">
        <f>'PL WB'!J7+'PL OZON'!J7</f>
        <v>0</v>
      </c>
      <c r="K7" s="256">
        <f>'PL WB'!K7+'PL OZON'!K7</f>
        <v>0</v>
      </c>
      <c r="L7" s="256">
        <f>'PL WB'!L7+'PL OZON'!L7</f>
        <v>0</v>
      </c>
      <c r="M7" s="256">
        <f>'PL WB'!M7+'PL OZON'!M7</f>
        <v>0</v>
      </c>
      <c r="N7" s="256">
        <f>'PL WB'!N7+'PL OZON'!N7</f>
        <v>0</v>
      </c>
      <c r="O7" s="454">
        <f>SUM(C7:N7)</f>
        <v>6908</v>
      </c>
    </row>
    <row r="8" spans="1:15" ht="13.5" customHeight="1" x14ac:dyDescent="0.25">
      <c r="A8" s="253"/>
      <c r="B8" s="340" t="s">
        <v>20</v>
      </c>
      <c r="C8" s="256">
        <f>C33</f>
        <v>240350.81</v>
      </c>
      <c r="D8" s="256">
        <f t="shared" ref="D8:N8" si="0">D33</f>
        <v>221486.71999999997</v>
      </c>
      <c r="E8" s="256">
        <f t="shared" si="0"/>
        <v>192349.4</v>
      </c>
      <c r="F8" s="256">
        <f t="shared" si="0"/>
        <v>102037.46</v>
      </c>
      <c r="G8" s="256">
        <f t="shared" si="0"/>
        <v>96229.239999999991</v>
      </c>
      <c r="H8" s="256">
        <f t="shared" si="0"/>
        <v>38178.449999999997</v>
      </c>
      <c r="I8" s="256">
        <f t="shared" si="0"/>
        <v>0</v>
      </c>
      <c r="J8" s="256">
        <f t="shared" si="0"/>
        <v>0</v>
      </c>
      <c r="K8" s="256">
        <f t="shared" si="0"/>
        <v>0</v>
      </c>
      <c r="L8" s="256">
        <f t="shared" si="0"/>
        <v>0</v>
      </c>
      <c r="M8" s="256">
        <f t="shared" si="0"/>
        <v>0</v>
      </c>
      <c r="N8" s="256">
        <f t="shared" si="0"/>
        <v>0</v>
      </c>
      <c r="O8" s="454">
        <f>SUM(C8:N8)</f>
        <v>890632.07999999984</v>
      </c>
    </row>
    <row r="9" spans="1:15" ht="13.5" customHeight="1" x14ac:dyDescent="0.25">
      <c r="A9" s="253"/>
      <c r="B9" s="254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454"/>
    </row>
    <row r="10" spans="1:15" ht="13.5" customHeight="1" x14ac:dyDescent="0.25">
      <c r="A10" s="253" t="s">
        <v>21</v>
      </c>
      <c r="B10" s="254"/>
      <c r="C10" s="256">
        <f>'PL WB'!C10+'PL OZON'!C10</f>
        <v>192398.77</v>
      </c>
      <c r="D10" s="256">
        <f>'PL WB'!D10+'PL OZON'!D10</f>
        <v>0</v>
      </c>
      <c r="E10" s="256">
        <f>'PL WB'!E10+'PL OZON'!E10</f>
        <v>0</v>
      </c>
      <c r="F10" s="256">
        <f>'PL WB'!F10+'PL OZON'!F10</f>
        <v>0</v>
      </c>
      <c r="G10" s="256">
        <f>'PL WB'!G10+'PL OZON'!G10</f>
        <v>470514.9</v>
      </c>
      <c r="H10" s="256">
        <f>'PL WB'!H10+'PL OZON'!H10</f>
        <v>0</v>
      </c>
      <c r="I10" s="256">
        <f>'PL WB'!I10+'PL OZON'!I10</f>
        <v>0</v>
      </c>
      <c r="J10" s="256">
        <f>'PL WB'!J10+'PL OZON'!J10</f>
        <v>0</v>
      </c>
      <c r="K10" s="256">
        <f>'PL WB'!K10+'PL OZON'!K10</f>
        <v>0</v>
      </c>
      <c r="L10" s="256">
        <f>'PL WB'!L10+'PL OZON'!L10</f>
        <v>0</v>
      </c>
      <c r="M10" s="256">
        <f>'PL WB'!M10+'PL OZON'!M10</f>
        <v>0</v>
      </c>
      <c r="N10" s="256">
        <f>'PL WB'!N10+'PL OZON'!N10</f>
        <v>0</v>
      </c>
      <c r="O10" s="454">
        <f t="shared" ref="O10:O11" si="1">SUM(C10:N10)</f>
        <v>662913.67000000004</v>
      </c>
    </row>
    <row r="11" spans="1:15" ht="13.5" customHeight="1" x14ac:dyDescent="0.25">
      <c r="A11" s="259" t="s">
        <v>22</v>
      </c>
      <c r="B11" s="260"/>
      <c r="C11" s="255">
        <f>'PL WB'!C11+'PL OZON'!C11</f>
        <v>1294</v>
      </c>
      <c r="D11" s="255">
        <f>'PL WB'!D11+'PL OZON'!D11</f>
        <v>0</v>
      </c>
      <c r="E11" s="255">
        <f>'PL WB'!E11+'PL OZON'!E11</f>
        <v>0</v>
      </c>
      <c r="F11" s="255">
        <f>'PL WB'!F11+'PL OZON'!F11</f>
        <v>0</v>
      </c>
      <c r="G11" s="255">
        <f>'PL WB'!G11+'PL OZON'!G11</f>
        <v>3707</v>
      </c>
      <c r="H11" s="255">
        <f>'PL WB'!H11+'PL OZON'!H11</f>
        <v>0</v>
      </c>
      <c r="I11" s="255">
        <f>'PL WB'!I11+'PL OZON'!I11</f>
        <v>0</v>
      </c>
      <c r="J11" s="255">
        <f>'PL WB'!J11+'PL OZON'!J11</f>
        <v>0</v>
      </c>
      <c r="K11" s="255">
        <f>'PL WB'!K11+'PL OZON'!K11</f>
        <v>0</v>
      </c>
      <c r="L11" s="255">
        <f>'PL WB'!L11+'PL OZON'!L11</f>
        <v>0</v>
      </c>
      <c r="M11" s="255">
        <f>'PL WB'!M11+'PL OZON'!M11</f>
        <v>0</v>
      </c>
      <c r="N11" s="255">
        <f>'PL WB'!N11+'PL OZON'!N11</f>
        <v>0</v>
      </c>
      <c r="O11" s="453">
        <f t="shared" si="1"/>
        <v>5001</v>
      </c>
    </row>
    <row r="12" spans="1:15" ht="13.5" customHeight="1" x14ac:dyDescent="0.25">
      <c r="A12" s="261" t="s">
        <v>23</v>
      </c>
      <c r="B12" s="262"/>
      <c r="C12" s="255">
        <f>'PL WB'!C12+'PL OZON'!C12</f>
        <v>1522905.6300000001</v>
      </c>
      <c r="D12" s="255">
        <f>'PL WB'!D12+'PL OZON'!D12</f>
        <v>1301418.9100000001</v>
      </c>
      <c r="E12" s="255">
        <f>'PL WB'!E12+'PL OZON'!E12</f>
        <v>1109069.51</v>
      </c>
      <c r="F12" s="255">
        <f>'PL WB'!F12+'PL OZON'!F12</f>
        <v>1007032.05</v>
      </c>
      <c r="G12" s="255">
        <f>'PL WB'!G12+'PL OZON'!G12</f>
        <v>1381317.71</v>
      </c>
      <c r="H12" s="255">
        <f>'PL WB'!H12+'PL OZON'!H12</f>
        <v>1343139.26</v>
      </c>
      <c r="I12" s="255">
        <f>'PL WB'!I12+'PL OZON'!I12</f>
        <v>1343139.26</v>
      </c>
      <c r="J12" s="255">
        <f>'PL WB'!J12+'PL OZON'!J12</f>
        <v>1343139.26</v>
      </c>
      <c r="K12" s="255">
        <f>'PL WB'!K12+'PL OZON'!K12</f>
        <v>1343139.26</v>
      </c>
      <c r="L12" s="255">
        <f>'PL WB'!L12+'PL OZON'!L12</f>
        <v>1343139.26</v>
      </c>
      <c r="M12" s="255">
        <f>'PL WB'!M12+'PL OZON'!M12</f>
        <v>1343139.26</v>
      </c>
      <c r="N12" s="255">
        <f>'PL WB'!N12+'PL OZON'!N12</f>
        <v>1343139.26</v>
      </c>
      <c r="O12" s="453"/>
    </row>
    <row r="13" spans="1:15" ht="13.5" customHeight="1" x14ac:dyDescent="0.25">
      <c r="A13" s="261" t="s">
        <v>24</v>
      </c>
      <c r="B13" s="264"/>
      <c r="C13" s="255">
        <f>'PL WB'!C13+'PL OZON'!C13</f>
        <v>10153</v>
      </c>
      <c r="D13" s="255">
        <f>'PL WB'!D13+'PL OZON'!D13</f>
        <v>8438</v>
      </c>
      <c r="E13" s="255">
        <f>'PL WB'!E13+'PL OZON'!E13</f>
        <v>6908</v>
      </c>
      <c r="F13" s="255">
        <f>'PL WB'!F13+'PL OZON'!F13</f>
        <v>6104</v>
      </c>
      <c r="G13" s="255">
        <f>'PL WB'!G13+'PL OZON'!G13</f>
        <v>9191</v>
      </c>
      <c r="H13" s="255">
        <f>'PL WB'!H13+'PL OZON'!H13</f>
        <v>8956</v>
      </c>
      <c r="I13" s="255">
        <f>'PL WB'!I13+'PL OZON'!I13</f>
        <v>8956</v>
      </c>
      <c r="J13" s="255">
        <f>'PL WB'!J13+'PL OZON'!J13</f>
        <v>8956</v>
      </c>
      <c r="K13" s="255">
        <f>'PL WB'!K13+'PL OZON'!K13</f>
        <v>8956</v>
      </c>
      <c r="L13" s="255">
        <f>'PL WB'!L13+'PL OZON'!L13</f>
        <v>8956</v>
      </c>
      <c r="M13" s="255">
        <f>'PL WB'!M13+'PL OZON'!M13</f>
        <v>8956</v>
      </c>
      <c r="N13" s="255">
        <f>'PL WB'!N13+'PL OZON'!N13</f>
        <v>8956</v>
      </c>
      <c r="O13" s="453"/>
    </row>
    <row r="14" spans="1:15" ht="13.5" customHeight="1" thickBot="1" x14ac:dyDescent="0.3">
      <c r="A14" s="175" t="s">
        <v>123</v>
      </c>
      <c r="B14" s="257"/>
      <c r="C14" s="265">
        <f>'PL WB'!C14+'PL OZON'!C14</f>
        <v>1213007</v>
      </c>
      <c r="D14" s="265">
        <f>'PL WB'!D14+'PL OZON'!D14</f>
        <v>1136792</v>
      </c>
      <c r="E14" s="265">
        <f>'PL WB'!E14+'PL OZON'!E14</f>
        <v>937183</v>
      </c>
      <c r="F14" s="265">
        <f>'PL WB'!F14+'PL OZON'!F14</f>
        <v>563707</v>
      </c>
      <c r="G14" s="265">
        <f>'PL WB'!G14+'PL OZON'!G14</f>
        <v>444298</v>
      </c>
      <c r="H14" s="265">
        <f>'PL WB'!H14+'PL OZON'!H14</f>
        <v>155949</v>
      </c>
      <c r="I14" s="265">
        <f>'PL WB'!I14+'PL OZON'!I14</f>
        <v>0</v>
      </c>
      <c r="J14" s="265">
        <f>'PL WB'!J14+'PL OZON'!J14</f>
        <v>0</v>
      </c>
      <c r="K14" s="265">
        <f>'PL WB'!K14+'PL OZON'!K14</f>
        <v>0</v>
      </c>
      <c r="L14" s="265">
        <f>'PL WB'!L14+'PL OZON'!L14</f>
        <v>0</v>
      </c>
      <c r="M14" s="265">
        <f>'PL WB'!M14+'PL OZON'!M14</f>
        <v>0</v>
      </c>
      <c r="N14" s="265">
        <f>'PL WB'!N14+'PL OZON'!N14</f>
        <v>0</v>
      </c>
      <c r="O14" s="455">
        <f>SUM(C14:N14)</f>
        <v>4450936</v>
      </c>
    </row>
    <row r="15" spans="1:15" ht="13.5" customHeight="1" thickTop="1" thickBot="1" x14ac:dyDescent="0.3">
      <c r="A15" s="175" t="s">
        <v>127</v>
      </c>
      <c r="B15" s="267"/>
      <c r="C15" s="265">
        <f>'PL WB'!C15+'PL OZON'!C14</f>
        <v>950524</v>
      </c>
      <c r="D15" s="265">
        <f>'PL WB'!D15+'PL OZON'!D14</f>
        <v>834437</v>
      </c>
      <c r="E15" s="265">
        <f>'PL WB'!E15+'PL OZON'!E14</f>
        <v>692756</v>
      </c>
      <c r="F15" s="265">
        <f>'PL WB'!F15+'PL OZON'!F14</f>
        <v>422401</v>
      </c>
      <c r="G15" s="265">
        <f>'PL WB'!G15+'PL OZON'!G14</f>
        <v>333080</v>
      </c>
      <c r="H15" s="265">
        <f>'PL WB'!H15+'PL OZON'!H14</f>
        <v>102662</v>
      </c>
      <c r="I15" s="265">
        <f>'PL WB'!I15+'PL OZON'!I14</f>
        <v>0</v>
      </c>
      <c r="J15" s="265">
        <f>'PL WB'!J15+'PL OZON'!J14</f>
        <v>0</v>
      </c>
      <c r="K15" s="265">
        <f>'PL WB'!K15+'PL OZON'!K14</f>
        <v>0</v>
      </c>
      <c r="L15" s="265">
        <f>'PL WB'!L15+'PL OZON'!L14</f>
        <v>0</v>
      </c>
      <c r="M15" s="265">
        <f>'PL WB'!M15+'PL OZON'!M14</f>
        <v>0</v>
      </c>
      <c r="N15" s="265">
        <f>'PL WB'!N15+'PL OZON'!N14</f>
        <v>0</v>
      </c>
      <c r="O15" s="455">
        <f>SUM(C15:N15)</f>
        <v>3335860</v>
      </c>
    </row>
    <row r="16" spans="1:15" ht="13.5" customHeight="1" thickTop="1" x14ac:dyDescent="0.25">
      <c r="A16" s="268"/>
      <c r="B16" s="254"/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456">
        <f t="shared" ref="O16:O17" si="2">SUM(C16:N16)</f>
        <v>0</v>
      </c>
    </row>
    <row r="17" spans="1:15" ht="13.5" customHeight="1" thickBot="1" x14ac:dyDescent="0.3">
      <c r="A17" s="381" t="s">
        <v>119</v>
      </c>
      <c r="B17" s="254"/>
      <c r="C17" s="265">
        <f>C14-C20</f>
        <v>395838.84000000008</v>
      </c>
      <c r="D17" s="265">
        <f t="shared" ref="D17:M17" si="3">D14-D20</f>
        <v>369766.81000000006</v>
      </c>
      <c r="E17" s="265">
        <f t="shared" si="3"/>
        <v>307275.58999999997</v>
      </c>
      <c r="F17" s="265">
        <f t="shared" si="3"/>
        <v>184892.67000000004</v>
      </c>
      <c r="G17" s="265">
        <f t="shared" si="3"/>
        <v>144082.17000000004</v>
      </c>
      <c r="H17" s="265">
        <f t="shared" si="3"/>
        <v>45700.380000000005</v>
      </c>
      <c r="I17" s="265">
        <f t="shared" si="3"/>
        <v>0</v>
      </c>
      <c r="J17" s="265">
        <f t="shared" si="3"/>
        <v>0</v>
      </c>
      <c r="K17" s="265">
        <f t="shared" si="3"/>
        <v>0</v>
      </c>
      <c r="L17" s="265">
        <f t="shared" si="3"/>
        <v>0</v>
      </c>
      <c r="M17" s="265">
        <f t="shared" si="3"/>
        <v>0</v>
      </c>
      <c r="N17" s="265">
        <f t="shared" ref="N17" si="4">N15-N20</f>
        <v>0</v>
      </c>
      <c r="O17" s="455">
        <f t="shared" si="2"/>
        <v>1447556.46</v>
      </c>
    </row>
    <row r="18" spans="1:15" ht="13.5" customHeight="1" thickTop="1" x14ac:dyDescent="0.25">
      <c r="A18" s="268" t="s">
        <v>26</v>
      </c>
      <c r="B18" s="254"/>
      <c r="C18" s="270">
        <f>C17/C14</f>
        <v>0.32632857023908363</v>
      </c>
      <c r="D18" s="270">
        <f t="shared" ref="D18:O18" si="5">D17/D15</f>
        <v>0.44313328627565657</v>
      </c>
      <c r="E18" s="270">
        <f t="shared" si="5"/>
        <v>0.44355529219523177</v>
      </c>
      <c r="F18" s="270">
        <f t="shared" si="5"/>
        <v>0.43771835293950545</v>
      </c>
      <c r="G18" s="270">
        <f t="shared" si="5"/>
        <v>0.43257526720307449</v>
      </c>
      <c r="H18" s="270">
        <f t="shared" si="5"/>
        <v>0.4451538056924666</v>
      </c>
      <c r="I18" s="270" t="e">
        <f t="shared" si="5"/>
        <v>#DIV/0!</v>
      </c>
      <c r="J18" s="270" t="e">
        <f t="shared" si="5"/>
        <v>#DIV/0!</v>
      </c>
      <c r="K18" s="270" t="e">
        <f t="shared" si="5"/>
        <v>#DIV/0!</v>
      </c>
      <c r="L18" s="270" t="e">
        <f t="shared" si="5"/>
        <v>#DIV/0!</v>
      </c>
      <c r="M18" s="270" t="e">
        <f t="shared" si="5"/>
        <v>#DIV/0!</v>
      </c>
      <c r="N18" s="270" t="e">
        <f t="shared" si="5"/>
        <v>#DIV/0!</v>
      </c>
      <c r="O18" s="457">
        <f t="shared" si="5"/>
        <v>0.43393801298615647</v>
      </c>
    </row>
    <row r="19" spans="1:15" ht="13.5" customHeight="1" x14ac:dyDescent="0.25">
      <c r="A19" s="268"/>
      <c r="B19" s="254"/>
      <c r="C19" s="269"/>
      <c r="D19" s="269"/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456"/>
    </row>
    <row r="20" spans="1:15" ht="13.5" customHeight="1" thickBot="1" x14ac:dyDescent="0.3">
      <c r="A20" s="266" t="s">
        <v>27</v>
      </c>
      <c r="B20" s="267"/>
      <c r="C20" s="265">
        <f>'PL WB'!C20+'PL OZON'!C20</f>
        <v>817168.15999999992</v>
      </c>
      <c r="D20" s="265">
        <f>'PL WB'!D20+'PL OZON'!D20</f>
        <v>767025.19</v>
      </c>
      <c r="E20" s="265">
        <f>'PL WB'!E20+'PL OZON'!E20</f>
        <v>629907.41</v>
      </c>
      <c r="F20" s="265">
        <f>'PL WB'!F20+'PL OZON'!F20</f>
        <v>378814.32999999996</v>
      </c>
      <c r="G20" s="265">
        <f>'PL WB'!G20+'PL OZON'!G20</f>
        <v>300215.82999999996</v>
      </c>
      <c r="H20" s="265">
        <f>'PL WB'!H20+'PL OZON'!H20</f>
        <v>110248.62</v>
      </c>
      <c r="I20" s="265">
        <f>'PL WB'!I20+'PL OZON'!I20</f>
        <v>0</v>
      </c>
      <c r="J20" s="265">
        <f>'PL WB'!J20+'PL OZON'!J20</f>
        <v>0</v>
      </c>
      <c r="K20" s="265">
        <f>'PL WB'!K20+'PL OZON'!K20</f>
        <v>0</v>
      </c>
      <c r="L20" s="265">
        <f>'PL WB'!L20+'PL OZON'!L20</f>
        <v>0</v>
      </c>
      <c r="M20" s="265">
        <f>'PL WB'!M20+'PL OZON'!M20</f>
        <v>0</v>
      </c>
      <c r="N20" s="265">
        <f>'PL WB'!N20+'PL OZON'!N20</f>
        <v>0</v>
      </c>
      <c r="O20" s="455">
        <f>SUM(C20:N20)</f>
        <v>3003379.54</v>
      </c>
    </row>
    <row r="21" spans="1:15" ht="13.5" customHeight="1" thickTop="1" x14ac:dyDescent="0.25">
      <c r="A21" s="272"/>
      <c r="B21" s="273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458">
        <f t="shared" ref="O21:O23" si="6">SUM(C21:N21)</f>
        <v>0</v>
      </c>
    </row>
    <row r="22" spans="1:15" ht="13.5" customHeight="1" x14ac:dyDescent="0.25">
      <c r="A22" s="268" t="s">
        <v>28</v>
      </c>
      <c r="B22" s="275"/>
      <c r="C22" s="269">
        <f>'PL WB'!C22+'PL OZON'!C22</f>
        <v>6905</v>
      </c>
      <c r="D22" s="269">
        <f>'PL WB'!D22+'PL OZON'!D22</f>
        <v>3051</v>
      </c>
      <c r="E22" s="269">
        <f>'PL WB'!E22+'PL OZON'!E22</f>
        <v>11540</v>
      </c>
      <c r="F22" s="269">
        <f>'PL WB'!F22+'PL OZON'!F22</f>
        <v>2705</v>
      </c>
      <c r="G22" s="269">
        <f>'PL WB'!G22+'PL OZON'!G22</f>
        <v>9785</v>
      </c>
      <c r="H22" s="269">
        <f>'PL WB'!H22+'PL OZON'!H22</f>
        <v>1157</v>
      </c>
      <c r="I22" s="269">
        <f>'PL WB'!I22+'PL OZON'!I22</f>
        <v>0</v>
      </c>
      <c r="J22" s="269">
        <f>'PL WB'!J22+'PL OZON'!J22</f>
        <v>0</v>
      </c>
      <c r="K22" s="269">
        <f>'PL WB'!K22+'PL OZON'!K22</f>
        <v>0</v>
      </c>
      <c r="L22" s="269">
        <f>'PL WB'!L22+'PL OZON'!L22</f>
        <v>0</v>
      </c>
      <c r="M22" s="269">
        <f>'PL WB'!M22+'PL OZON'!M22</f>
        <v>0</v>
      </c>
      <c r="N22" s="269">
        <f>'PL WB'!N22+'PL OZON'!N22</f>
        <v>0</v>
      </c>
      <c r="O22" s="456">
        <f t="shared" si="6"/>
        <v>35143</v>
      </c>
    </row>
    <row r="23" spans="1:15" ht="13.5" customHeight="1" x14ac:dyDescent="0.25">
      <c r="A23" s="268" t="s">
        <v>29</v>
      </c>
      <c r="B23" s="275"/>
      <c r="C23" s="269">
        <f>'PL WB'!C23+'PL OZON'!C23</f>
        <v>11</v>
      </c>
      <c r="D23" s="269">
        <f>'PL WB'!D23+'PL OZON'!D23</f>
        <v>4</v>
      </c>
      <c r="E23" s="269">
        <f>'PL WB'!E23+'PL OZON'!E23</f>
        <v>15</v>
      </c>
      <c r="F23" s="269">
        <f>'PL WB'!F23+'PL OZON'!F23</f>
        <v>5</v>
      </c>
      <c r="G23" s="269">
        <f>'PL WB'!G23+'PL OZON'!G23</f>
        <v>12</v>
      </c>
      <c r="H23" s="269">
        <f>'PL WB'!H23+'PL OZON'!H23</f>
        <v>4</v>
      </c>
      <c r="I23" s="269">
        <f>'PL WB'!I23+'PL OZON'!I23</f>
        <v>0</v>
      </c>
      <c r="J23" s="269">
        <f>'PL WB'!J23+'PL OZON'!J23</f>
        <v>0</v>
      </c>
      <c r="K23" s="269">
        <f>'PL WB'!K23+'PL OZON'!K23</f>
        <v>0</v>
      </c>
      <c r="L23" s="269">
        <f>'PL WB'!L23+'PL OZON'!L23</f>
        <v>0</v>
      </c>
      <c r="M23" s="269">
        <f>'PL WB'!M23+'PL OZON'!M23</f>
        <v>0</v>
      </c>
      <c r="N23" s="269">
        <f>'PL WB'!N23+'PL OZON'!N23</f>
        <v>0</v>
      </c>
      <c r="O23" s="456">
        <f t="shared" si="6"/>
        <v>51</v>
      </c>
    </row>
    <row r="24" spans="1:15" ht="13.5" customHeight="1" x14ac:dyDescent="0.25">
      <c r="A24" s="268" t="s">
        <v>30</v>
      </c>
      <c r="B24" s="275"/>
      <c r="C24" s="269">
        <f>'PL WB'!C24+'PL OZON'!C24</f>
        <v>1.7316570992925408E-2</v>
      </c>
      <c r="D24" s="277">
        <f t="shared" ref="D24:O24" si="7">D22/D20</f>
        <v>3.9777050868433673E-3</v>
      </c>
      <c r="E24" s="277">
        <f t="shared" si="7"/>
        <v>1.832015279832952E-2</v>
      </c>
      <c r="F24" s="277">
        <f t="shared" si="7"/>
        <v>7.1407013562554515E-3</v>
      </c>
      <c r="G24" s="277">
        <f t="shared" si="7"/>
        <v>3.2593218019183072E-2</v>
      </c>
      <c r="H24" s="277">
        <f t="shared" si="7"/>
        <v>1.0494462425017203E-2</v>
      </c>
      <c r="I24" s="277" t="e">
        <f t="shared" si="7"/>
        <v>#DIV/0!</v>
      </c>
      <c r="J24" s="277" t="e">
        <f t="shared" si="7"/>
        <v>#DIV/0!</v>
      </c>
      <c r="K24" s="277" t="e">
        <f t="shared" si="7"/>
        <v>#DIV/0!</v>
      </c>
      <c r="L24" s="277" t="e">
        <f t="shared" si="7"/>
        <v>#DIV/0!</v>
      </c>
      <c r="M24" s="277" t="e">
        <f t="shared" si="7"/>
        <v>#DIV/0!</v>
      </c>
      <c r="N24" s="277" t="e">
        <f t="shared" si="7"/>
        <v>#DIV/0!</v>
      </c>
      <c r="O24" s="459">
        <f t="shared" si="7"/>
        <v>1.1701151829781726E-2</v>
      </c>
    </row>
    <row r="25" spans="1:15" ht="13.5" customHeight="1" x14ac:dyDescent="0.25">
      <c r="A25" s="272"/>
      <c r="B25" s="273"/>
      <c r="C25" s="269">
        <f>'PL WB'!C25+'PL OZON'!C25</f>
        <v>0</v>
      </c>
      <c r="D25" s="274"/>
      <c r="E25" s="274"/>
      <c r="F25" s="274"/>
      <c r="G25" s="274"/>
      <c r="H25" s="274"/>
      <c r="I25" s="274"/>
      <c r="J25" s="274"/>
      <c r="K25" s="274"/>
      <c r="L25" s="274"/>
      <c r="M25" s="274"/>
      <c r="N25" s="274"/>
      <c r="O25" s="458"/>
    </row>
    <row r="26" spans="1:15" ht="13.5" hidden="1" customHeight="1" x14ac:dyDescent="0.25">
      <c r="A26" s="276" t="s">
        <v>31</v>
      </c>
      <c r="B26" s="273"/>
      <c r="C26" s="269">
        <f>'PL WB'!C26+'PL OZON'!C26</f>
        <v>0</v>
      </c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458"/>
    </row>
    <row r="27" spans="1:15" ht="13.5" customHeight="1" x14ac:dyDescent="0.25">
      <c r="A27" s="276" t="s">
        <v>32</v>
      </c>
      <c r="B27" s="273"/>
      <c r="C27" s="269">
        <f>'PL WB'!C27+'PL OZON'!C27</f>
        <v>0</v>
      </c>
      <c r="D27" s="269">
        <f>SUM('PL WB (нед)'!H27:K27)</f>
        <v>0</v>
      </c>
      <c r="E27" s="269">
        <f>SUM('PL WB (нед)'!L27:O27)</f>
        <v>0</v>
      </c>
      <c r="F27" s="269">
        <f>SUM('PL WB (нед)'!P27:S27)</f>
        <v>1</v>
      </c>
      <c r="G27" s="269">
        <f>SUM('PL WB (нед)'!T27:X27)</f>
        <v>0</v>
      </c>
      <c r="H27" s="269">
        <f>SUM('PL WB (нед)'!Y27:AB27)</f>
        <v>0</v>
      </c>
      <c r="I27" s="269">
        <f>SUM('PL WB (нед)'!AC27:AF27)</f>
        <v>0</v>
      </c>
      <c r="J27" s="269">
        <f>SUM('PL WB (нед)'!AG27:AK27)</f>
        <v>0</v>
      </c>
      <c r="K27" s="269">
        <f>SUM('PL WB (нед)'!AL27:AO27)</f>
        <v>0</v>
      </c>
      <c r="L27" s="269">
        <f>SUM('PL WB (нед)'!AP27:AT27)</f>
        <v>0</v>
      </c>
      <c r="M27" s="269">
        <f>SUM('PL WB (нед)'!AU27:AX27)</f>
        <v>0</v>
      </c>
      <c r="N27" s="269">
        <f>SUM('PL WB (нед)'!AY27:BB27)</f>
        <v>0</v>
      </c>
      <c r="O27" s="456"/>
    </row>
    <row r="28" spans="1:15" ht="13.5" customHeight="1" x14ac:dyDescent="0.25">
      <c r="A28" s="276" t="s">
        <v>33</v>
      </c>
      <c r="B28" s="273"/>
      <c r="C28" s="269">
        <f>'PL WB'!C28+'PL OZON'!C28</f>
        <v>0</v>
      </c>
      <c r="D28" s="270">
        <f t="shared" ref="D28:N28" si="8">D27/D7</f>
        <v>0</v>
      </c>
      <c r="E28" s="270">
        <f t="shared" si="8"/>
        <v>0</v>
      </c>
      <c r="F28" s="270">
        <f t="shared" si="8"/>
        <v>1.2376237623762376E-3</v>
      </c>
      <c r="G28" s="270">
        <f t="shared" si="8"/>
        <v>0</v>
      </c>
      <c r="H28" s="270">
        <f t="shared" si="8"/>
        <v>0</v>
      </c>
      <c r="I28" s="270" t="e">
        <f t="shared" si="8"/>
        <v>#DIV/0!</v>
      </c>
      <c r="J28" s="270" t="e">
        <f t="shared" si="8"/>
        <v>#DIV/0!</v>
      </c>
      <c r="K28" s="270" t="e">
        <f t="shared" si="8"/>
        <v>#DIV/0!</v>
      </c>
      <c r="L28" s="270" t="e">
        <f t="shared" si="8"/>
        <v>#DIV/0!</v>
      </c>
      <c r="M28" s="270" t="e">
        <f t="shared" si="8"/>
        <v>#DIV/0!</v>
      </c>
      <c r="N28" s="270" t="e">
        <f t="shared" si="8"/>
        <v>#DIV/0!</v>
      </c>
      <c r="O28" s="457"/>
    </row>
    <row r="29" spans="1:15" ht="13.5" customHeight="1" x14ac:dyDescent="0.25">
      <c r="A29" s="272"/>
      <c r="B29" s="273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  <c r="O29" s="458"/>
    </row>
    <row r="30" spans="1:15" ht="13.5" customHeight="1" thickBot="1" x14ac:dyDescent="0.3">
      <c r="A30" s="278" t="s">
        <v>118</v>
      </c>
      <c r="B30" s="279"/>
      <c r="C30" s="280">
        <f>'PL WB'!C30+'PL OZON'!C30</f>
        <v>538094.62999999989</v>
      </c>
      <c r="D30" s="280">
        <f>'PL WB'!D30+'PL OZON'!D30</f>
        <v>560103.5</v>
      </c>
      <c r="E30" s="280">
        <f>'PL WB'!E30+'PL OZON'!E30</f>
        <v>448883.78000000009</v>
      </c>
      <c r="F30" s="280">
        <f>'PL WB'!F30+'PL OZON'!F30</f>
        <v>269989.39999999997</v>
      </c>
      <c r="G30" s="280">
        <f>'PL WB'!G30+'PL OZON'!G30</f>
        <v>194149.84999999998</v>
      </c>
      <c r="H30" s="280">
        <f>'PL WB'!H30+'PL OZON'!H30</f>
        <v>70135.239999999991</v>
      </c>
      <c r="I30" s="280">
        <f>'PL WB'!I30+'PL OZON'!I30</f>
        <v>0</v>
      </c>
      <c r="J30" s="280">
        <f>'PL WB'!J30+'PL OZON'!J30</f>
        <v>0</v>
      </c>
      <c r="K30" s="280">
        <f>'PL WB'!K30+'PL OZON'!K30</f>
        <v>0</v>
      </c>
      <c r="L30" s="280">
        <f>'PL WB'!L30+'PL OZON'!L30</f>
        <v>0</v>
      </c>
      <c r="M30" s="280">
        <f>'PL WB'!M30+'PL OZON'!M30</f>
        <v>0</v>
      </c>
      <c r="N30" s="280">
        <f>'PL WB'!N30+'PL OZON'!N30</f>
        <v>0</v>
      </c>
      <c r="O30" s="460">
        <f>SUM(C30:N30)</f>
        <v>2081356.3999999997</v>
      </c>
    </row>
    <row r="31" spans="1:15" ht="13.5" customHeight="1" thickTop="1" x14ac:dyDescent="0.25">
      <c r="A31" s="107" t="s">
        <v>35</v>
      </c>
      <c r="B31" s="273"/>
      <c r="C31" s="256">
        <f>SUM('PL WB (нед)'!C31:G31)</f>
        <v>0</v>
      </c>
      <c r="D31" s="256">
        <f>SUM('PL WB (нед)'!H31:K31)</f>
        <v>0</v>
      </c>
      <c r="E31" s="256">
        <f>SUM('PL WB (нед)'!L31:O31)</f>
        <v>352.3</v>
      </c>
      <c r="F31" s="256">
        <f>SUM('PL WB (нед)'!P31:S31)</f>
        <v>66.37</v>
      </c>
      <c r="G31" s="256">
        <f>SUM('PL WB (нед)'!T31:X31)</f>
        <v>547</v>
      </c>
      <c r="H31" s="256">
        <f>SUM('PL WB (нед)'!Y31:AB31)</f>
        <v>220.12</v>
      </c>
      <c r="I31" s="256">
        <f>SUM('PL WB (нед)'!AC31:AF31)</f>
        <v>0</v>
      </c>
      <c r="J31" s="256">
        <f>SUM('PL WB (нед)'!AG31:AK31)</f>
        <v>0</v>
      </c>
      <c r="K31" s="256">
        <f>SUM('PL WB (нед)'!AL31:AO31)</f>
        <v>0</v>
      </c>
      <c r="L31" s="256">
        <f>SUM('PL WB (нед)'!AP31:AT31)</f>
        <v>0</v>
      </c>
      <c r="M31" s="256">
        <f>SUM('PL WB (нед)'!AU31:AX31)</f>
        <v>0</v>
      </c>
      <c r="N31" s="256">
        <f>SUM('PL WB (нед)'!AY31:BB31)</f>
        <v>0</v>
      </c>
      <c r="O31" s="454">
        <f t="shared" ref="O31:O32" si="9">SUM(C31:N31)</f>
        <v>1185.79</v>
      </c>
    </row>
    <row r="32" spans="1:15" ht="13.5" customHeight="1" x14ac:dyDescent="0.25">
      <c r="A32" s="281"/>
      <c r="B32" s="273"/>
      <c r="C32" s="282"/>
      <c r="D32" s="282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461">
        <f t="shared" si="9"/>
        <v>0</v>
      </c>
    </row>
    <row r="33" spans="1:15" ht="13.5" customHeight="1" thickBot="1" x14ac:dyDescent="0.3">
      <c r="A33" s="266" t="s">
        <v>36</v>
      </c>
      <c r="B33" s="283"/>
      <c r="C33" s="265">
        <f>'PL WB'!C33+'PL OZON'!C33</f>
        <v>240350.81</v>
      </c>
      <c r="D33" s="265">
        <f>'PL WB'!D33+'PL OZON'!D33</f>
        <v>221486.71999999997</v>
      </c>
      <c r="E33" s="265">
        <f>'PL WB'!E33+'PL OZON'!E33</f>
        <v>192349.4</v>
      </c>
      <c r="F33" s="265">
        <f>'PL WB'!F33+'PL OZON'!F33</f>
        <v>102037.46</v>
      </c>
      <c r="G33" s="265">
        <f>'PL WB'!G33+'PL OZON'!G33</f>
        <v>96229.239999999991</v>
      </c>
      <c r="H33" s="265">
        <f>'PL WB'!H33+'PL OZON'!H33</f>
        <v>38178.449999999997</v>
      </c>
      <c r="I33" s="265">
        <f>'PL WB'!I33+'PL OZON'!I33</f>
        <v>0</v>
      </c>
      <c r="J33" s="265">
        <f>'PL WB'!J33+'PL OZON'!J33</f>
        <v>0</v>
      </c>
      <c r="K33" s="265">
        <f>'PL WB'!K33+'PL OZON'!K33</f>
        <v>0</v>
      </c>
      <c r="L33" s="265">
        <f>'PL WB'!L33+'PL OZON'!L33</f>
        <v>0</v>
      </c>
      <c r="M33" s="265">
        <f>'PL WB'!M33+'PL OZON'!M33</f>
        <v>0</v>
      </c>
      <c r="N33" s="265">
        <f>'PL WB'!N33+'PL OZON'!N33</f>
        <v>0</v>
      </c>
      <c r="O33" s="455">
        <f>SUM(C33:N33)</f>
        <v>890632.07999999984</v>
      </c>
    </row>
    <row r="34" spans="1:15" ht="13.5" customHeight="1" thickTop="1" x14ac:dyDescent="0.25">
      <c r="A34" s="284" t="s">
        <v>37</v>
      </c>
      <c r="B34" s="285"/>
      <c r="C34" s="286">
        <f>C33/C14</f>
        <v>0.19814461911596554</v>
      </c>
      <c r="D34" s="286">
        <f t="shared" ref="D34:O34" si="10">D33/D15</f>
        <v>0.26543252516367322</v>
      </c>
      <c r="E34" s="286">
        <f t="shared" si="10"/>
        <v>0.27765822309730986</v>
      </c>
      <c r="F34" s="286">
        <f t="shared" si="10"/>
        <v>0.24156538455164644</v>
      </c>
      <c r="G34" s="286">
        <f t="shared" si="10"/>
        <v>0.2889072895400504</v>
      </c>
      <c r="H34" s="286">
        <f t="shared" si="10"/>
        <v>0.3718849233406713</v>
      </c>
      <c r="I34" s="286" t="e">
        <f t="shared" si="10"/>
        <v>#DIV/0!</v>
      </c>
      <c r="J34" s="286" t="e">
        <f t="shared" si="10"/>
        <v>#DIV/0!</v>
      </c>
      <c r="K34" s="286" t="e">
        <f t="shared" si="10"/>
        <v>#DIV/0!</v>
      </c>
      <c r="L34" s="286" t="e">
        <f t="shared" si="10"/>
        <v>#DIV/0!</v>
      </c>
      <c r="M34" s="286" t="e">
        <f t="shared" si="10"/>
        <v>#DIV/0!</v>
      </c>
      <c r="N34" s="286" t="e">
        <f t="shared" si="10"/>
        <v>#DIV/0!</v>
      </c>
      <c r="O34" s="462">
        <f t="shared" si="10"/>
        <v>0.26698724766626891</v>
      </c>
    </row>
    <row r="35" spans="1:15" ht="13.5" customHeight="1" x14ac:dyDescent="0.25">
      <c r="A35" s="281"/>
      <c r="B35" s="287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461"/>
    </row>
    <row r="36" spans="1:15" ht="13.5" customHeight="1" thickBot="1" x14ac:dyDescent="0.3">
      <c r="A36" s="266" t="s">
        <v>38</v>
      </c>
      <c r="B36" s="283"/>
      <c r="C36" s="265">
        <f>'PL WB'!C36+'PL OZON'!C36</f>
        <v>576817.34999999986</v>
      </c>
      <c r="D36" s="265">
        <f>'PL WB'!D36+'PL OZON'!D36</f>
        <v>545538.47</v>
      </c>
      <c r="E36" s="265">
        <f>'PL WB'!E36+'PL OZON'!E36</f>
        <v>437558.01</v>
      </c>
      <c r="F36" s="265">
        <f>'PL WB'!F36+'PL OZON'!F36</f>
        <v>276776.86999999994</v>
      </c>
      <c r="G36" s="265">
        <f>'PL WB'!G36+'PL OZON'!G36</f>
        <v>203986.58999999997</v>
      </c>
      <c r="H36" s="265">
        <f>'PL WB'!H36+'PL OZON'!H36</f>
        <v>72070.17</v>
      </c>
      <c r="I36" s="265">
        <f>'PL WB'!I36+'PL OZON'!I36</f>
        <v>0</v>
      </c>
      <c r="J36" s="265">
        <f>'PL WB'!J36+'PL OZON'!J36</f>
        <v>0</v>
      </c>
      <c r="K36" s="265">
        <f>'PL WB'!K36+'PL OZON'!K36</f>
        <v>0</v>
      </c>
      <c r="L36" s="265">
        <f t="shared" ref="L36:N36" si="11">L20-L33</f>
        <v>0</v>
      </c>
      <c r="M36" s="265">
        <f t="shared" si="11"/>
        <v>0</v>
      </c>
      <c r="N36" s="265">
        <f t="shared" si="11"/>
        <v>0</v>
      </c>
      <c r="O36" s="455">
        <f t="shared" ref="O36:O37" si="12">SUM(C36:N36)</f>
        <v>2112747.4599999995</v>
      </c>
    </row>
    <row r="37" spans="1:15" ht="13.5" customHeight="1" thickTop="1" x14ac:dyDescent="0.25">
      <c r="A37" s="288"/>
      <c r="B37" s="250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461">
        <f t="shared" si="12"/>
        <v>0</v>
      </c>
    </row>
    <row r="38" spans="1:15" ht="13.5" customHeight="1" thickBot="1" x14ac:dyDescent="0.3">
      <c r="A38" s="266" t="s">
        <v>39</v>
      </c>
      <c r="B38" s="283"/>
      <c r="C38" s="265">
        <f>'PL WB'!C38+'PL OZON'!C38</f>
        <v>267226.53000000003</v>
      </c>
      <c r="D38" s="265">
        <f>'PL WB'!D38+'PL OZON'!D38</f>
        <v>199006.69</v>
      </c>
      <c r="E38" s="265">
        <f>'PL WB'!E38+'PL OZON'!E38</f>
        <v>178158.93</v>
      </c>
      <c r="F38" s="265">
        <f>'PL WB'!F38+'PL OZON'!F38</f>
        <v>108364.3</v>
      </c>
      <c r="G38" s="265">
        <f>'PL WB'!G38+'PL OZON'!G38</f>
        <v>105580.98000000001</v>
      </c>
      <c r="H38" s="265">
        <f>'PL WB'!H38+'PL OZON'!H38</f>
        <v>40333.5</v>
      </c>
      <c r="I38" s="265">
        <f>'PL WB'!I38+'PL OZON'!I38</f>
        <v>0</v>
      </c>
      <c r="J38" s="265">
        <f>'PL WB'!J38+'PL OZON'!J38</f>
        <v>0</v>
      </c>
      <c r="K38" s="265">
        <f>'PL WB'!K38+'PL OZON'!K38</f>
        <v>0</v>
      </c>
      <c r="L38" s="265">
        <f>'PL WB'!L38+'PL OZON'!L38</f>
        <v>0</v>
      </c>
      <c r="M38" s="265">
        <f>'PL WB'!M38+'PL OZON'!M38</f>
        <v>0</v>
      </c>
      <c r="N38" s="265">
        <f>'PL WB'!N38+'PL OZON'!N38</f>
        <v>0</v>
      </c>
      <c r="O38" s="455">
        <f>SUM(C38:N38)</f>
        <v>898670.93</v>
      </c>
    </row>
    <row r="39" spans="1:15" ht="13.5" customHeight="1" thickTop="1" x14ac:dyDescent="0.25">
      <c r="A39" s="289" t="s">
        <v>40</v>
      </c>
      <c r="B39" s="290"/>
      <c r="C39" s="286">
        <f>C38/C14</f>
        <v>0.22030089686209561</v>
      </c>
      <c r="D39" s="286">
        <f t="shared" ref="D39:N39" si="13">D38/D14</f>
        <v>0.17505989662136962</v>
      </c>
      <c r="E39" s="286">
        <f t="shared" si="13"/>
        <v>0.19010047130603094</v>
      </c>
      <c r="F39" s="286">
        <f t="shared" si="13"/>
        <v>0.19223515053032869</v>
      </c>
      <c r="G39" s="286">
        <f t="shared" si="13"/>
        <v>0.2376355058991938</v>
      </c>
      <c r="H39" s="286">
        <f t="shared" si="13"/>
        <v>0.25863262989823599</v>
      </c>
      <c r="I39" s="286" t="e">
        <f t="shared" si="13"/>
        <v>#DIV/0!</v>
      </c>
      <c r="J39" s="286" t="e">
        <f t="shared" si="13"/>
        <v>#DIV/0!</v>
      </c>
      <c r="K39" s="286" t="e">
        <f t="shared" si="13"/>
        <v>#DIV/0!</v>
      </c>
      <c r="L39" s="286" t="e">
        <f t="shared" si="13"/>
        <v>#DIV/0!</v>
      </c>
      <c r="M39" s="286" t="e">
        <f t="shared" si="13"/>
        <v>#DIV/0!</v>
      </c>
      <c r="N39" s="286" t="e">
        <f t="shared" si="13"/>
        <v>#DIV/0!</v>
      </c>
      <c r="O39" s="462"/>
    </row>
    <row r="40" spans="1:15" ht="13.5" customHeight="1" x14ac:dyDescent="0.25">
      <c r="A40" s="391" t="s">
        <v>122</v>
      </c>
      <c r="B40" s="292"/>
      <c r="C40" s="293">
        <f>'PL WB'!C40+'PL OZON'!C40</f>
        <v>183264</v>
      </c>
      <c r="D40" s="293">
        <f>'PL WB'!D40+'PL OZON'!D40</f>
        <v>153195</v>
      </c>
      <c r="E40" s="293">
        <f>'PL WB'!E40+'PL OZON'!E40</f>
        <v>134317</v>
      </c>
      <c r="F40" s="293">
        <f>'PL WB'!F40+'PL OZON'!F40</f>
        <v>66602</v>
      </c>
      <c r="G40" s="293">
        <f>'PL WB'!G40+'PL OZON'!G40</f>
        <v>58851</v>
      </c>
      <c r="H40" s="293">
        <f>'PL WB'!H40+'PL OZON'!H40</f>
        <v>22547</v>
      </c>
      <c r="I40" s="293">
        <f>'PL WB'!I40+'PL OZON'!I40</f>
        <v>0</v>
      </c>
      <c r="J40" s="293">
        <f>'PL WB'!J40+'PL OZON'!J40</f>
        <v>0</v>
      </c>
      <c r="K40" s="293">
        <f>'PL WB'!K40+'PL OZON'!K40</f>
        <v>0</v>
      </c>
      <c r="L40" s="293">
        <f>'PL WB'!L40+'PL OZON'!L40</f>
        <v>0</v>
      </c>
      <c r="M40" s="293">
        <f>'PL WB'!M40+'PL OZON'!M40</f>
        <v>0</v>
      </c>
      <c r="N40" s="293">
        <f>'PL WB'!N40+'PL OZON'!N40</f>
        <v>0</v>
      </c>
      <c r="O40" s="463">
        <f t="shared" ref="O40:O52" si="14">SUM(C40:N40)</f>
        <v>618776</v>
      </c>
    </row>
    <row r="41" spans="1:15" ht="13.5" customHeight="1" x14ac:dyDescent="0.25">
      <c r="A41" s="391" t="s">
        <v>100</v>
      </c>
      <c r="B41" s="292"/>
      <c r="C41" s="293">
        <f>'PL WB'!C41+'PL OZON'!C41</f>
        <v>11847</v>
      </c>
      <c r="D41" s="293">
        <f>'PL WB'!D41+'PL OZON'!D41</f>
        <v>7915</v>
      </c>
      <c r="E41" s="293">
        <f>'PL WB'!E41+'PL OZON'!E41</f>
        <v>3217</v>
      </c>
      <c r="F41" s="293">
        <f>'PL WB'!F41+'PL OZON'!F41</f>
        <v>527</v>
      </c>
      <c r="G41" s="293">
        <f>'PL WB'!G41+'PL OZON'!G41</f>
        <v>1032</v>
      </c>
      <c r="H41" s="293">
        <f>'PL WB'!H41+'PL OZON'!H41</f>
        <v>0</v>
      </c>
      <c r="I41" s="293">
        <f>'PL WB'!I41+'PL OZON'!I41</f>
        <v>0</v>
      </c>
      <c r="J41" s="293">
        <f>'PL WB'!J41+'PL OZON'!J41</f>
        <v>0</v>
      </c>
      <c r="K41" s="293">
        <f>'PL WB'!K41+'PL OZON'!K41</f>
        <v>0</v>
      </c>
      <c r="L41" s="293">
        <f>'PL WB'!L41+'PL OZON'!L41</f>
        <v>0</v>
      </c>
      <c r="M41" s="293">
        <f>'PL WB'!M41+'PL OZON'!M41</f>
        <v>0</v>
      </c>
      <c r="N41" s="293">
        <f>'PL WB'!N41+'PL OZON'!N41</f>
        <v>0</v>
      </c>
      <c r="O41" s="463">
        <f t="shared" si="14"/>
        <v>24538</v>
      </c>
    </row>
    <row r="42" spans="1:15" ht="13.5" customHeight="1" x14ac:dyDescent="0.25">
      <c r="A42" s="391" t="s">
        <v>120</v>
      </c>
      <c r="B42" s="292"/>
      <c r="C42" s="293">
        <f>'PL WB'!C42+'PL OZON'!C42</f>
        <v>3613</v>
      </c>
      <c r="D42" s="293">
        <f>'PL WB'!D42+'PL OZON'!D42</f>
        <v>2391</v>
      </c>
      <c r="E42" s="293">
        <f>'PL WB'!E42+'PL OZON'!E42</f>
        <v>1321</v>
      </c>
      <c r="F42" s="293">
        <f>'PL WB'!F42+'PL OZON'!F42</f>
        <v>1097</v>
      </c>
      <c r="G42" s="293">
        <f>'PL WB'!G42+'PL OZON'!G42</f>
        <v>700</v>
      </c>
      <c r="H42" s="293">
        <f>'PL WB'!H42+'PL OZON'!H42</f>
        <v>0</v>
      </c>
      <c r="I42" s="293">
        <f>'PL WB'!I42+'PL OZON'!I42</f>
        <v>0</v>
      </c>
      <c r="J42" s="293">
        <f>'PL WB'!J42+'PL OZON'!J42</f>
        <v>0</v>
      </c>
      <c r="K42" s="293">
        <f>'PL WB'!K42+'PL OZON'!K42</f>
        <v>0</v>
      </c>
      <c r="L42" s="293">
        <f>'PL WB'!L42+'PL OZON'!L42</f>
        <v>0</v>
      </c>
      <c r="M42" s="293">
        <f>'PL WB'!M42+'PL OZON'!M42</f>
        <v>0</v>
      </c>
      <c r="N42" s="293">
        <f>'PL WB'!N42+'PL OZON'!N42</f>
        <v>0</v>
      </c>
      <c r="O42" s="463">
        <f t="shared" si="14"/>
        <v>9122</v>
      </c>
    </row>
    <row r="43" spans="1:15" ht="13.5" customHeight="1" x14ac:dyDescent="0.25">
      <c r="A43" s="391" t="s">
        <v>124</v>
      </c>
      <c r="B43" s="292"/>
      <c r="C43" s="293">
        <f>'PL WB'!C43+'PL OZON'!C43</f>
        <v>53680.72</v>
      </c>
      <c r="D43" s="293">
        <f>'PL WB'!D43+'PL OZON'!D43</f>
        <v>35505.69</v>
      </c>
      <c r="E43" s="293">
        <f>'PL WB'!E43+'PL OZON'!E43</f>
        <v>39303.93</v>
      </c>
      <c r="F43" s="293">
        <f>'PL WB'!F43+'PL OZON'!F43</f>
        <v>40098.300000000003</v>
      </c>
      <c r="G43" s="293">
        <f>'PL WB'!G43+'PL OZON'!G43</f>
        <v>44997.98</v>
      </c>
      <c r="H43" s="293">
        <f>'PL WB'!H43+'PL OZON'!H43</f>
        <v>17786.5</v>
      </c>
      <c r="I43" s="293">
        <f>'PL WB'!I43+'PL OZON'!I43</f>
        <v>0</v>
      </c>
      <c r="J43" s="293">
        <f>'PL WB'!J43+'PL OZON'!J43</f>
        <v>0</v>
      </c>
      <c r="K43" s="293">
        <f>'PL WB'!K43+'PL OZON'!K43</f>
        <v>0</v>
      </c>
      <c r="L43" s="293">
        <f>'PL WB'!L43+'PL OZON'!L43</f>
        <v>0</v>
      </c>
      <c r="M43" s="293">
        <f>'PL WB'!M43+'PL OZON'!M43</f>
        <v>0</v>
      </c>
      <c r="N43" s="293">
        <f>'PL WB'!N43+'PL OZON'!N43</f>
        <v>0</v>
      </c>
      <c r="O43" s="463">
        <f t="shared" si="14"/>
        <v>231373.12000000002</v>
      </c>
    </row>
    <row r="44" spans="1:15" ht="13.5" customHeight="1" x14ac:dyDescent="0.25">
      <c r="A44" s="391" t="s">
        <v>125</v>
      </c>
      <c r="B44" s="292"/>
      <c r="C44" s="293">
        <f>'PL WB'!C44+'PL OZON'!C44</f>
        <v>741</v>
      </c>
      <c r="D44" s="293">
        <f>'PL WB'!D44+'PL OZON'!D44</f>
        <v>0</v>
      </c>
      <c r="E44" s="293">
        <f>'PL WB'!E44+'PL OZON'!E44</f>
        <v>0</v>
      </c>
      <c r="F44" s="293">
        <f>'PL WB'!F44+'PL OZON'!F44</f>
        <v>40</v>
      </c>
      <c r="G44" s="293">
        <f>'PL WB'!G44+'PL OZON'!G44</f>
        <v>0</v>
      </c>
      <c r="H44" s="293">
        <f>'PL WB'!H44+'PL OZON'!H44</f>
        <v>0</v>
      </c>
      <c r="I44" s="293">
        <f>'PL WB'!I44+'PL OZON'!I44</f>
        <v>0</v>
      </c>
      <c r="J44" s="293">
        <f>'PL WB'!J44+'PL OZON'!J44</f>
        <v>0</v>
      </c>
      <c r="K44" s="293">
        <f>'PL WB'!K44+'PL OZON'!K44</f>
        <v>0</v>
      </c>
      <c r="L44" s="293">
        <f>'PL WB'!L44+'PL OZON'!L44</f>
        <v>0</v>
      </c>
      <c r="M44" s="293">
        <f>'PL WB'!M44+'PL OZON'!M44</f>
        <v>0</v>
      </c>
      <c r="N44" s="293">
        <f>'PL WB'!N44+'PL OZON'!N44</f>
        <v>0</v>
      </c>
      <c r="O44" s="463">
        <f t="shared" si="14"/>
        <v>781</v>
      </c>
    </row>
    <row r="45" spans="1:15" ht="13.5" customHeight="1" x14ac:dyDescent="0.25">
      <c r="A45" s="391" t="s">
        <v>126</v>
      </c>
      <c r="B45" s="292"/>
      <c r="C45" s="293">
        <f>'PL WB'!C45+'PL OZON'!C45</f>
        <v>14080.81</v>
      </c>
      <c r="D45" s="293">
        <f>'PL WB'!D45+'PL OZON'!D45</f>
        <v>0</v>
      </c>
      <c r="E45" s="293">
        <f>'PL WB'!E45+'PL OZON'!E45</f>
        <v>0</v>
      </c>
      <c r="F45" s="293">
        <f>'PL WB'!F45+'PL OZON'!F45</f>
        <v>0</v>
      </c>
      <c r="G45" s="293">
        <f>'PL WB'!G45+'PL OZON'!G45</f>
        <v>0</v>
      </c>
      <c r="H45" s="293">
        <f>'PL WB'!H45+'PL OZON'!H45</f>
        <v>0</v>
      </c>
      <c r="I45" s="293">
        <f>'PL WB'!I45+'PL OZON'!I45</f>
        <v>0</v>
      </c>
      <c r="J45" s="293">
        <f>'PL WB'!J45+'PL OZON'!J45</f>
        <v>0</v>
      </c>
      <c r="K45" s="293">
        <f>'PL WB'!K45+'PL OZON'!K45</f>
        <v>0</v>
      </c>
      <c r="L45" s="293">
        <f>'PL WB'!L45+'PL OZON'!L45</f>
        <v>0</v>
      </c>
      <c r="M45" s="293">
        <f>'PL WB'!M45+'PL OZON'!M45</f>
        <v>0</v>
      </c>
      <c r="N45" s="293">
        <f>'PL WB'!N45+'PL OZON'!N45</f>
        <v>0</v>
      </c>
      <c r="O45" s="463">
        <f t="shared" si="14"/>
        <v>14080.81</v>
      </c>
    </row>
    <row r="46" spans="1:15" ht="13.5" customHeight="1" x14ac:dyDescent="0.25">
      <c r="A46" s="391" t="s">
        <v>112</v>
      </c>
      <c r="B46" s="292"/>
      <c r="C46" s="293">
        <f>'PL WB'!C46+'PL OZON'!C46</f>
        <v>0</v>
      </c>
      <c r="D46" s="293">
        <f>'PL WB'!D46+'PL OZON'!D46</f>
        <v>0</v>
      </c>
      <c r="E46" s="293">
        <f>'PL WB'!E46+'PL OZON'!E46</f>
        <v>0</v>
      </c>
      <c r="F46" s="293">
        <f>'PL WB'!F46+'PL OZON'!F46</f>
        <v>0</v>
      </c>
      <c r="G46" s="293">
        <f>'PL WB'!G46+'PL OZON'!G46</f>
        <v>0</v>
      </c>
      <c r="H46" s="293">
        <f>'PL WB'!H46+'PL OZON'!H46</f>
        <v>0</v>
      </c>
      <c r="I46" s="293">
        <f>'PL WB'!I46+'PL OZON'!I46</f>
        <v>0</v>
      </c>
      <c r="J46" s="293">
        <f>'PL WB'!J46+'PL OZON'!J46</f>
        <v>0</v>
      </c>
      <c r="K46" s="293">
        <f>'PL WB'!K46+'PL OZON'!K46</f>
        <v>0</v>
      </c>
      <c r="L46" s="293">
        <f>'PL WB'!L46+'PL OZON'!L46</f>
        <v>0</v>
      </c>
      <c r="M46" s="293">
        <f>'PL WB'!M46+'PL OZON'!M46</f>
        <v>0</v>
      </c>
      <c r="N46" s="293">
        <f>'PL WB'!N46+'PL OZON'!N46</f>
        <v>0</v>
      </c>
      <c r="O46" s="463">
        <f t="shared" si="14"/>
        <v>0</v>
      </c>
    </row>
    <row r="47" spans="1:15" ht="13.5" customHeight="1" x14ac:dyDescent="0.25">
      <c r="A47" s="291" t="s">
        <v>46</v>
      </c>
      <c r="B47" s="292"/>
      <c r="C47" s="293">
        <f>'PL WB'!C47+'PL OZON'!C47</f>
        <v>0</v>
      </c>
      <c r="D47" s="293">
        <f>'PL WB'!D47+'PL OZON'!D47</f>
        <v>0</v>
      </c>
      <c r="E47" s="293">
        <f>'PL WB'!E47+'PL OZON'!E47</f>
        <v>0</v>
      </c>
      <c r="F47" s="293">
        <f>'PL WB'!F47+'PL OZON'!F47</f>
        <v>0</v>
      </c>
      <c r="G47" s="293">
        <f>'PL WB'!G47+'PL OZON'!G47</f>
        <v>0</v>
      </c>
      <c r="H47" s="293">
        <f>'PL WB'!H47+'PL OZON'!H47</f>
        <v>0</v>
      </c>
      <c r="I47" s="293">
        <f>'PL WB'!I47+'PL OZON'!I47</f>
        <v>0</v>
      </c>
      <c r="J47" s="293">
        <f>'PL WB'!J47+'PL OZON'!J47</f>
        <v>0</v>
      </c>
      <c r="K47" s="293">
        <f>'PL WB'!K47+'PL OZON'!K47</f>
        <v>0</v>
      </c>
      <c r="L47" s="293">
        <f>'PL WB'!L47+'PL OZON'!L47</f>
        <v>0</v>
      </c>
      <c r="M47" s="293">
        <f>'PL WB'!M47+'PL OZON'!M47</f>
        <v>0</v>
      </c>
      <c r="N47" s="293">
        <f>'PL WB'!N47+'PL OZON'!N47</f>
        <v>0</v>
      </c>
      <c r="O47" s="463">
        <f t="shared" si="14"/>
        <v>0</v>
      </c>
    </row>
    <row r="48" spans="1:15" ht="13.5" customHeight="1" x14ac:dyDescent="0.25">
      <c r="A48" s="291" t="s">
        <v>47</v>
      </c>
      <c r="B48" s="292"/>
      <c r="C48" s="293">
        <f>'PL WB'!C48+'PL OZON'!C48</f>
        <v>0</v>
      </c>
      <c r="D48" s="293">
        <f>'PL WB'!D48+'PL OZON'!D48</f>
        <v>0</v>
      </c>
      <c r="E48" s="293">
        <f>'PL WB'!E48+'PL OZON'!E48</f>
        <v>0</v>
      </c>
      <c r="F48" s="293">
        <f>'PL WB'!F48+'PL OZON'!F48</f>
        <v>0</v>
      </c>
      <c r="G48" s="293">
        <f>'PL WB'!G48+'PL OZON'!G48</f>
        <v>0</v>
      </c>
      <c r="H48" s="293">
        <f>'PL WB'!H48+'PL OZON'!H48</f>
        <v>0</v>
      </c>
      <c r="I48" s="293">
        <f>'PL WB'!I48+'PL OZON'!I48</f>
        <v>0</v>
      </c>
      <c r="J48" s="293">
        <f>'PL WB'!J48+'PL OZON'!J48</f>
        <v>0</v>
      </c>
      <c r="K48" s="293">
        <f>'PL WB'!K48+'PL OZON'!K48</f>
        <v>0</v>
      </c>
      <c r="L48" s="293">
        <f>'PL WB'!L48+'PL OZON'!L48</f>
        <v>0</v>
      </c>
      <c r="M48" s="293">
        <f>'PL WB'!M48+'PL OZON'!M48</f>
        <v>0</v>
      </c>
      <c r="N48" s="293">
        <f>'PL WB'!N48+'PL OZON'!N48</f>
        <v>0</v>
      </c>
      <c r="O48" s="463">
        <f t="shared" si="14"/>
        <v>0</v>
      </c>
    </row>
    <row r="49" spans="1:15" ht="13.5" customHeight="1" x14ac:dyDescent="0.25">
      <c r="A49" s="291" t="s">
        <v>48</v>
      </c>
      <c r="B49" s="292"/>
      <c r="C49" s="293">
        <f>'PL WB'!C49+'PL OZON'!C49</f>
        <v>0</v>
      </c>
      <c r="D49" s="293">
        <f>'PL WB'!D49+'PL OZON'!D49</f>
        <v>0</v>
      </c>
      <c r="E49" s="293">
        <f>'PL WB'!E49+'PL OZON'!E49</f>
        <v>0</v>
      </c>
      <c r="F49" s="293">
        <f>'PL WB'!F49+'PL OZON'!F49</f>
        <v>0</v>
      </c>
      <c r="G49" s="293">
        <f>'PL WB'!G49+'PL OZON'!G49</f>
        <v>0</v>
      </c>
      <c r="H49" s="293">
        <f>'PL WB'!H49+'PL OZON'!H49</f>
        <v>0</v>
      </c>
      <c r="I49" s="293">
        <f>'PL WB'!I49+'PL OZON'!I49</f>
        <v>0</v>
      </c>
      <c r="J49" s="293">
        <f>'PL WB'!J49+'PL OZON'!J49</f>
        <v>0</v>
      </c>
      <c r="K49" s="293">
        <f>'PL WB'!K49+'PL OZON'!K49</f>
        <v>0</v>
      </c>
      <c r="L49" s="293">
        <f>'PL WB'!L49+'PL OZON'!L49</f>
        <v>0</v>
      </c>
      <c r="M49" s="293">
        <f>'PL WB'!M49+'PL OZON'!M49</f>
        <v>0</v>
      </c>
      <c r="N49" s="293">
        <f>'PL WB'!N49+'PL OZON'!N49</f>
        <v>0</v>
      </c>
      <c r="O49" s="463">
        <f t="shared" si="14"/>
        <v>0</v>
      </c>
    </row>
    <row r="50" spans="1:15" ht="13.5" customHeight="1" x14ac:dyDescent="0.25">
      <c r="A50" s="341" t="s">
        <v>99</v>
      </c>
      <c r="B50" s="292"/>
      <c r="C50" s="293">
        <f>'PL WB'!C50+'PL OZON'!C50</f>
        <v>0</v>
      </c>
      <c r="D50" s="293">
        <f>'PL WB'!D50+'PL OZON'!D50</f>
        <v>0</v>
      </c>
      <c r="E50" s="293">
        <f>'PL WB'!E50+'PL OZON'!E50</f>
        <v>0</v>
      </c>
      <c r="F50" s="293">
        <f>'PL WB'!F50+'PL OZON'!F50</f>
        <v>0</v>
      </c>
      <c r="G50" s="293">
        <f>'PL WB'!G50+'PL OZON'!G50</f>
        <v>0</v>
      </c>
      <c r="H50" s="293">
        <f>'PL WB'!H50+'PL OZON'!H50</f>
        <v>0</v>
      </c>
      <c r="I50" s="293">
        <f>'PL WB'!I50+'PL OZON'!I50</f>
        <v>0</v>
      </c>
      <c r="J50" s="293">
        <f>'PL WB'!J50+'PL OZON'!J50</f>
        <v>0</v>
      </c>
      <c r="K50" s="293">
        <f>'PL WB'!K50+'PL OZON'!K50</f>
        <v>0</v>
      </c>
      <c r="L50" s="293">
        <f>'PL WB'!L50+'PL OZON'!L50</f>
        <v>0</v>
      </c>
      <c r="M50" s="293">
        <f>'PL WB'!M50+'PL OZON'!M50</f>
        <v>0</v>
      </c>
      <c r="N50" s="293">
        <f>'PL WB'!N50+'PL OZON'!N50</f>
        <v>0</v>
      </c>
      <c r="O50" s="463">
        <f t="shared" si="14"/>
        <v>0</v>
      </c>
    </row>
    <row r="51" spans="1:15" ht="13.5" customHeight="1" x14ac:dyDescent="0.25">
      <c r="A51" s="291" t="s">
        <v>49</v>
      </c>
      <c r="B51" s="292"/>
      <c r="C51" s="293">
        <f>'PL WB'!C51+'PL OZON'!C51</f>
        <v>0</v>
      </c>
      <c r="D51" s="293">
        <f>'PL WB'!D51+'PL OZON'!D51</f>
        <v>0</v>
      </c>
      <c r="E51" s="293">
        <f>'PL WB'!E51+'PL OZON'!E51</f>
        <v>0</v>
      </c>
      <c r="F51" s="293">
        <f>'PL WB'!F51+'PL OZON'!F51</f>
        <v>0</v>
      </c>
      <c r="G51" s="293">
        <f>'PL WB'!G51+'PL OZON'!G51</f>
        <v>0</v>
      </c>
      <c r="H51" s="293">
        <f>'PL WB'!H51+'PL OZON'!H51</f>
        <v>0</v>
      </c>
      <c r="I51" s="293">
        <f>'PL WB'!I51+'PL OZON'!I51</f>
        <v>0</v>
      </c>
      <c r="J51" s="293">
        <f>'PL WB'!J51+'PL OZON'!J51</f>
        <v>0</v>
      </c>
      <c r="K51" s="293">
        <f>'PL WB'!K51+'PL OZON'!K51</f>
        <v>0</v>
      </c>
      <c r="L51" s="293">
        <f>'PL WB'!L51+'PL OZON'!L51</f>
        <v>0</v>
      </c>
      <c r="M51" s="293">
        <f>'PL WB'!M51+'PL OZON'!M51</f>
        <v>0</v>
      </c>
      <c r="N51" s="293">
        <f>'PL WB'!N51+'PL OZON'!N51</f>
        <v>0</v>
      </c>
      <c r="O51" s="463">
        <f t="shared" si="14"/>
        <v>0</v>
      </c>
    </row>
    <row r="52" spans="1:15" ht="13.5" customHeight="1" x14ac:dyDescent="0.25">
      <c r="A52" s="249"/>
      <c r="B52" s="250"/>
      <c r="C52" s="293">
        <f>'PL WB'!C52+'PL OZON'!C52</f>
        <v>0</v>
      </c>
      <c r="D52" s="293">
        <f>'PL WB'!D52+'PL OZON'!D52</f>
        <v>0</v>
      </c>
      <c r="E52" s="293">
        <f>'PL WB'!E52+'PL OZON'!E52</f>
        <v>0</v>
      </c>
      <c r="F52" s="293">
        <f>'PL WB'!F52+'PL OZON'!F52</f>
        <v>0</v>
      </c>
      <c r="G52" s="293">
        <f>'PL WB'!G52+'PL OZON'!G52</f>
        <v>0</v>
      </c>
      <c r="H52" s="293">
        <f>'PL WB'!H52+'PL OZON'!H52</f>
        <v>0</v>
      </c>
      <c r="I52" s="293">
        <f>'PL WB'!I52+'PL OZON'!I52</f>
        <v>0</v>
      </c>
      <c r="J52" s="293">
        <f>'PL WB'!J52+'PL OZON'!J52</f>
        <v>0</v>
      </c>
      <c r="K52" s="293">
        <f>'PL WB'!K52+'PL OZON'!K52</f>
        <v>0</v>
      </c>
      <c r="L52" s="293">
        <f>'PL WB'!L52+'PL OZON'!L52</f>
        <v>0</v>
      </c>
      <c r="M52" s="293">
        <f>'PL WB'!M52+'PL OZON'!M52</f>
        <v>0</v>
      </c>
      <c r="N52" s="293">
        <f>'PL WB'!N52+'PL OZON'!N52</f>
        <v>0</v>
      </c>
      <c r="O52" s="463">
        <f t="shared" si="14"/>
        <v>0</v>
      </c>
    </row>
    <row r="53" spans="1:15" ht="15" customHeight="1" thickBot="1" x14ac:dyDescent="0.3">
      <c r="A53" s="294" t="s">
        <v>50</v>
      </c>
      <c r="B53" s="295"/>
      <c r="C53" s="296">
        <f>'PL WB'!C53+'PL OZON'!C53</f>
        <v>309590.81999999995</v>
      </c>
      <c r="D53" s="296">
        <f>'PL WB'!D53+'PL OZON'!D53</f>
        <v>346531.77999999997</v>
      </c>
      <c r="E53" s="296">
        <f>'PL WB'!E53+'PL OZON'!E53</f>
        <v>259751.38</v>
      </c>
      <c r="F53" s="296">
        <f>'PL WB'!F53+'PL OZON'!F53</f>
        <v>168478.93999999994</v>
      </c>
      <c r="G53" s="296">
        <f>'PL WB'!G53+'PL OZON'!G53</f>
        <v>98952.609999999971</v>
      </c>
      <c r="H53" s="296">
        <f>'PL WB'!H53+'PL OZON'!H53</f>
        <v>31956.789999999994</v>
      </c>
      <c r="I53" s="296">
        <f>'PL WB'!I53+'PL OZON'!I53</f>
        <v>0</v>
      </c>
      <c r="J53" s="296">
        <f>'PL WB'!J53+'PL OZON'!J53</f>
        <v>0</v>
      </c>
      <c r="K53" s="296">
        <f>'PL WB'!K53+'PL OZON'!K53</f>
        <v>0</v>
      </c>
      <c r="L53" s="296">
        <f>'PL WB'!L53+'PL OZON'!L53</f>
        <v>0</v>
      </c>
      <c r="M53" s="296">
        <f>'PL WB'!M53+'PL OZON'!M53</f>
        <v>0</v>
      </c>
      <c r="N53" s="296">
        <f>'PL WB'!N53+'PL OZON'!N53</f>
        <v>0</v>
      </c>
      <c r="O53" s="464">
        <f>SUM(C53:N53)</f>
        <v>1215262.3199999998</v>
      </c>
    </row>
    <row r="54" spans="1:15" ht="13.5" customHeight="1" thickTop="1" x14ac:dyDescent="0.25">
      <c r="A54" s="249"/>
      <c r="B54" s="257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461"/>
    </row>
    <row r="55" spans="1:15" ht="13.5" customHeight="1" thickBot="1" x14ac:dyDescent="0.3">
      <c r="A55" s="291" t="s">
        <v>51</v>
      </c>
      <c r="B55" s="298" t="s">
        <v>52</v>
      </c>
      <c r="C55" s="265">
        <f>C15*7%</f>
        <v>66536.680000000008</v>
      </c>
      <c r="D55" s="265">
        <f t="shared" ref="D55:N55" si="15">D15*7%</f>
        <v>58410.590000000004</v>
      </c>
      <c r="E55" s="265">
        <f t="shared" si="15"/>
        <v>48492.920000000006</v>
      </c>
      <c r="F55" s="265">
        <f t="shared" si="15"/>
        <v>29568.070000000003</v>
      </c>
      <c r="G55" s="265">
        <f t="shared" si="15"/>
        <v>23315.600000000002</v>
      </c>
      <c r="H55" s="265">
        <f t="shared" si="15"/>
        <v>7186.3400000000011</v>
      </c>
      <c r="I55" s="265">
        <f t="shared" si="15"/>
        <v>0</v>
      </c>
      <c r="J55" s="265">
        <f t="shared" si="15"/>
        <v>0</v>
      </c>
      <c r="K55" s="265">
        <f t="shared" si="15"/>
        <v>0</v>
      </c>
      <c r="L55" s="265">
        <f t="shared" si="15"/>
        <v>0</v>
      </c>
      <c r="M55" s="265">
        <f t="shared" si="15"/>
        <v>0</v>
      </c>
      <c r="N55" s="265">
        <f t="shared" si="15"/>
        <v>0</v>
      </c>
      <c r="O55" s="455">
        <f t="shared" ref="O55" si="16">SUM(C55:N55)</f>
        <v>233510.20000000004</v>
      </c>
    </row>
    <row r="56" spans="1:15" ht="13.5" customHeight="1" thickTop="1" x14ac:dyDescent="0.25">
      <c r="A56" s="249"/>
      <c r="B56" s="250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462"/>
    </row>
    <row r="57" spans="1:15" ht="15" customHeight="1" thickBot="1" x14ac:dyDescent="0.3">
      <c r="A57" s="299" t="s">
        <v>53</v>
      </c>
      <c r="B57" s="300"/>
      <c r="C57" s="296">
        <f>'PL WB'!C57+'PL OZON'!C57</f>
        <v>243054.1399999999</v>
      </c>
      <c r="D57" s="296">
        <f>'PL WB'!D57+'PL OZON'!D57</f>
        <v>288121.18999999994</v>
      </c>
      <c r="E57" s="296">
        <f>'PL WB'!E57+'PL OZON'!E57</f>
        <v>211258.46000000002</v>
      </c>
      <c r="F57" s="296">
        <f>'PL WB'!F57+'PL OZON'!F57</f>
        <v>138910.86999999994</v>
      </c>
      <c r="G57" s="296">
        <f>'PL WB'!G57+'PL OZON'!G57</f>
        <v>75637.00999999998</v>
      </c>
      <c r="H57" s="296">
        <f>'PL WB'!H57+'PL OZON'!H57</f>
        <v>24770.449999999993</v>
      </c>
      <c r="I57" s="296">
        <f>'PL WB'!I57+'PL OZON'!I57</f>
        <v>0</v>
      </c>
      <c r="J57" s="296">
        <f>'PL WB'!J57+'PL OZON'!J57</f>
        <v>0</v>
      </c>
      <c r="K57" s="296">
        <f>'PL WB'!K57+'PL OZON'!K57</f>
        <v>0</v>
      </c>
      <c r="L57" s="296">
        <f>'PL WB'!L57+'PL OZON'!L57</f>
        <v>0</v>
      </c>
      <c r="M57" s="296">
        <f>'PL WB'!M57+'PL OZON'!M57</f>
        <v>0</v>
      </c>
      <c r="N57" s="296">
        <f>'PL WB'!N57+'PL OZON'!N57</f>
        <v>0</v>
      </c>
      <c r="O57" s="464">
        <f>SUM(C57:N57)</f>
        <v>981752.11999999965</v>
      </c>
    </row>
    <row r="58" spans="1:15" ht="13.5" customHeight="1" thickTop="1" x14ac:dyDescent="0.25">
      <c r="A58" s="301" t="s">
        <v>2</v>
      </c>
      <c r="B58" s="302"/>
      <c r="C58" s="303">
        <f>C57/C33</f>
        <v>1.0112474345312168</v>
      </c>
      <c r="D58" s="303">
        <f t="shared" ref="D58:O58" si="17">D57/D33</f>
        <v>1.3008508591395456</v>
      </c>
      <c r="E58" s="303">
        <f t="shared" si="17"/>
        <v>1.0983057914399526</v>
      </c>
      <c r="F58" s="303">
        <f t="shared" si="17"/>
        <v>1.3613713042249378</v>
      </c>
      <c r="G58" s="303">
        <f t="shared" si="17"/>
        <v>0.78600859780249732</v>
      </c>
      <c r="H58" s="303">
        <f t="shared" si="17"/>
        <v>0.64880711500859767</v>
      </c>
      <c r="I58" s="303" t="e">
        <f t="shared" si="17"/>
        <v>#DIV/0!</v>
      </c>
      <c r="J58" s="303" t="e">
        <f t="shared" si="17"/>
        <v>#DIV/0!</v>
      </c>
      <c r="K58" s="303" t="e">
        <f t="shared" si="17"/>
        <v>#DIV/0!</v>
      </c>
      <c r="L58" s="303" t="e">
        <f t="shared" si="17"/>
        <v>#DIV/0!</v>
      </c>
      <c r="M58" s="303" t="e">
        <f t="shared" si="17"/>
        <v>#DIV/0!</v>
      </c>
      <c r="N58" s="303" t="e">
        <f t="shared" si="17"/>
        <v>#DIV/0!</v>
      </c>
      <c r="O58" s="465">
        <f t="shared" si="17"/>
        <v>1.102309407044938</v>
      </c>
    </row>
    <row r="59" spans="1:15" ht="13.5" customHeight="1" x14ac:dyDescent="0.25">
      <c r="A59" s="321" t="s">
        <v>96</v>
      </c>
      <c r="B59" s="304"/>
      <c r="C59" s="303">
        <f>C57/C14</f>
        <v>0.20037323774718521</v>
      </c>
      <c r="D59" s="303">
        <f t="shared" ref="D59:O59" si="18">D57/D14</f>
        <v>0.25345110627098005</v>
      </c>
      <c r="E59" s="303">
        <f t="shared" si="18"/>
        <v>0.22541857886880154</v>
      </c>
      <c r="F59" s="303">
        <f t="shared" si="18"/>
        <v>0.24642388687740252</v>
      </c>
      <c r="G59" s="303">
        <f t="shared" si="18"/>
        <v>0.17023936637121928</v>
      </c>
      <c r="H59" s="303">
        <f t="shared" si="18"/>
        <v>0.15883686333352567</v>
      </c>
      <c r="I59" s="303" t="e">
        <f t="shared" si="18"/>
        <v>#DIV/0!</v>
      </c>
      <c r="J59" s="303" t="e">
        <f t="shared" si="18"/>
        <v>#DIV/0!</v>
      </c>
      <c r="K59" s="303" t="e">
        <f t="shared" si="18"/>
        <v>#DIV/0!</v>
      </c>
      <c r="L59" s="303" t="e">
        <f t="shared" si="18"/>
        <v>#DIV/0!</v>
      </c>
      <c r="M59" s="303" t="e">
        <f t="shared" si="18"/>
        <v>#DIV/0!</v>
      </c>
      <c r="N59" s="303" t="e">
        <f t="shared" si="18"/>
        <v>#DIV/0!</v>
      </c>
      <c r="O59" s="465">
        <f t="shared" si="18"/>
        <v>0.2205720594499673</v>
      </c>
    </row>
    <row r="60" spans="1:15" ht="15" customHeight="1" thickBot="1" x14ac:dyDescent="0.3">
      <c r="A60" s="294" t="s">
        <v>54</v>
      </c>
      <c r="B60" s="305"/>
      <c r="C60" s="296">
        <f>CF!C38</f>
        <v>0</v>
      </c>
      <c r="D60" s="296">
        <f>CF!D38</f>
        <v>0</v>
      </c>
      <c r="E60" s="296">
        <f>CF!E38</f>
        <v>0</v>
      </c>
      <c r="F60" s="296">
        <f>CF!F38</f>
        <v>0</v>
      </c>
      <c r="G60" s="296">
        <f>CF!G38</f>
        <v>0</v>
      </c>
      <c r="H60" s="296">
        <f>CF!H38</f>
        <v>0</v>
      </c>
      <c r="I60" s="296">
        <f>CF!I38</f>
        <v>0</v>
      </c>
      <c r="J60" s="296">
        <f>CF!J38</f>
        <v>0</v>
      </c>
      <c r="K60" s="296">
        <f>CF!K38</f>
        <v>0</v>
      </c>
      <c r="L60" s="296">
        <f>CF!L38</f>
        <v>0</v>
      </c>
      <c r="M60" s="296">
        <f>CF!M38</f>
        <v>0</v>
      </c>
      <c r="N60" s="296">
        <f>CF!N38</f>
        <v>0</v>
      </c>
      <c r="O60" s="464"/>
    </row>
    <row r="61" spans="1:15" ht="15.75" thickTop="1" x14ac:dyDescent="0.25">
      <c r="A61" s="281"/>
      <c r="B61" s="287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466"/>
    </row>
    <row r="62" spans="1:15" ht="13.5" customHeight="1" x14ac:dyDescent="0.25">
      <c r="A62" s="307" t="s">
        <v>55</v>
      </c>
      <c r="B62" s="308"/>
      <c r="C62" s="309">
        <f>CF!C42</f>
        <v>2426951.8857</v>
      </c>
      <c r="D62" s="309">
        <f>CF!D42</f>
        <v>2920729.7957000001</v>
      </c>
      <c r="E62" s="309">
        <f>CF!E42</f>
        <v>3317903.6557000005</v>
      </c>
      <c r="F62" s="309">
        <f>CF!F42</f>
        <v>3557797.9857000005</v>
      </c>
      <c r="G62" s="309">
        <f>CF!G42</f>
        <v>3319042.2357000005</v>
      </c>
      <c r="H62" s="309">
        <f>CF!H42</f>
        <v>3381991.1357000005</v>
      </c>
      <c r="I62" s="309">
        <f>CF!I42</f>
        <v>3381991.1357000005</v>
      </c>
      <c r="J62" s="309">
        <f>CF!J42</f>
        <v>3381991.1357000005</v>
      </c>
      <c r="K62" s="309">
        <f>CF!K42</f>
        <v>3381991.1357000005</v>
      </c>
      <c r="L62" s="309">
        <f>CF!L42</f>
        <v>3381991.1357000005</v>
      </c>
      <c r="M62" s="309">
        <f>CF!M42</f>
        <v>3381991.1357000005</v>
      </c>
      <c r="N62" s="309">
        <f>CF!N42</f>
        <v>3381991.1357000005</v>
      </c>
      <c r="O62" s="467"/>
    </row>
    <row r="63" spans="1:15" x14ac:dyDescent="0.25">
      <c r="A63" s="281"/>
      <c r="B63" s="287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466"/>
    </row>
    <row r="64" spans="1:15" ht="15.75" thickBot="1" x14ac:dyDescent="0.3">
      <c r="A64" s="294" t="s">
        <v>56</v>
      </c>
      <c r="B64" s="295"/>
      <c r="C64" s="311">
        <f>'PL WB'!C64+'PL OZON'!C64</f>
        <v>3564465.0233999994</v>
      </c>
      <c r="D64" s="311">
        <f>'PL WB'!D64+'PL OZON'!D64</f>
        <v>3852586.2133999998</v>
      </c>
      <c r="E64" s="311">
        <f>'PL WB'!E64+'PL OZON'!E64</f>
        <v>4063844.6733999997</v>
      </c>
      <c r="F64" s="311">
        <f>'PL WB'!F64+'PL OZON'!F64</f>
        <v>4202755.5433999998</v>
      </c>
      <c r="G64" s="311">
        <f>'PL WB'!G64+'PL OZON'!G64</f>
        <v>4278392.5533999996</v>
      </c>
      <c r="H64" s="311">
        <f>'PL WB'!H64+'PL OZON'!H64</f>
        <v>4303163.0033999998</v>
      </c>
      <c r="I64" s="311">
        <f>'PL WB'!I64+'PL OZON'!I64</f>
        <v>4303163.0033999998</v>
      </c>
      <c r="J64" s="311">
        <f>'PL WB'!J64+'PL OZON'!J64</f>
        <v>4303163.0033999998</v>
      </c>
      <c r="K64" s="311">
        <f>'PL WB'!K64+'PL OZON'!K64</f>
        <v>4303163.0033999998</v>
      </c>
      <c r="L64" s="311">
        <f>'PL WB'!L64+'PL OZON'!L64</f>
        <v>4303163.0033999998</v>
      </c>
      <c r="M64" s="311">
        <f>'PL WB'!M64+'PL OZON'!M64</f>
        <v>4303163.0033999998</v>
      </c>
      <c r="N64" s="311">
        <f>'PL WB'!N64+'PL OZON'!N64</f>
        <v>4303163.0033999998</v>
      </c>
      <c r="O64" s="468"/>
    </row>
    <row r="66" spans="1:15" ht="13.5" customHeight="1" x14ac:dyDescent="0.25">
      <c r="A66" s="288" t="s">
        <v>57</v>
      </c>
      <c r="B66" s="258"/>
      <c r="C66" s="312">
        <f>IFERROR(C41/C7, )</f>
        <v>6.0290076335877867</v>
      </c>
      <c r="D66" s="312">
        <f t="shared" ref="D66:O66" si="19">IFERROR(D41/D7, )</f>
        <v>4.6044211751018036</v>
      </c>
      <c r="E66" s="312">
        <f t="shared" si="19"/>
        <v>2.082200647249191</v>
      </c>
      <c r="F66" s="312">
        <f t="shared" si="19"/>
        <v>0.65222772277227725</v>
      </c>
      <c r="G66" s="312">
        <f t="shared" si="19"/>
        <v>1.6329113924050633</v>
      </c>
      <c r="H66" s="312">
        <f t="shared" si="19"/>
        <v>0</v>
      </c>
      <c r="I66" s="312">
        <f t="shared" si="19"/>
        <v>0</v>
      </c>
      <c r="J66" s="312">
        <f t="shared" si="19"/>
        <v>0</v>
      </c>
      <c r="K66" s="312">
        <f t="shared" si="19"/>
        <v>0</v>
      </c>
      <c r="L66" s="312">
        <f t="shared" si="19"/>
        <v>0</v>
      </c>
      <c r="M66" s="312">
        <f t="shared" si="19"/>
        <v>0</v>
      </c>
      <c r="N66" s="312">
        <f t="shared" si="19"/>
        <v>0</v>
      </c>
      <c r="O66" s="469">
        <f t="shared" si="19"/>
        <v>3.5521134916039374</v>
      </c>
    </row>
    <row r="67" spans="1:15" ht="13.5" customHeight="1" x14ac:dyDescent="0.25">
      <c r="A67" s="288" t="s">
        <v>58</v>
      </c>
      <c r="B67" s="258"/>
      <c r="C67" s="286">
        <f>IFERROR(C41/C14, )</f>
        <v>9.7666377852724667E-3</v>
      </c>
      <c r="D67" s="286">
        <f t="shared" ref="D67:O67" si="20">IFERROR(D41/D14, )</f>
        <v>6.9625753875818975E-3</v>
      </c>
      <c r="E67" s="286">
        <f t="shared" si="20"/>
        <v>3.4326273523954233E-3</v>
      </c>
      <c r="F67" s="286">
        <f t="shared" si="20"/>
        <v>9.3488283807013222E-4</v>
      </c>
      <c r="G67" s="286">
        <f t="shared" si="20"/>
        <v>2.322765351183215E-3</v>
      </c>
      <c r="H67" s="286">
        <f t="shared" si="20"/>
        <v>0</v>
      </c>
      <c r="I67" s="286">
        <f t="shared" si="20"/>
        <v>0</v>
      </c>
      <c r="J67" s="286">
        <f t="shared" si="20"/>
        <v>0</v>
      </c>
      <c r="K67" s="286">
        <f t="shared" si="20"/>
        <v>0</v>
      </c>
      <c r="L67" s="286">
        <f t="shared" si="20"/>
        <v>0</v>
      </c>
      <c r="M67" s="286">
        <f t="shared" si="20"/>
        <v>0</v>
      </c>
      <c r="N67" s="286">
        <f t="shared" si="20"/>
        <v>0</v>
      </c>
      <c r="O67" s="462">
        <f t="shared" si="20"/>
        <v>5.5129977155366867E-3</v>
      </c>
    </row>
    <row r="68" spans="1:15" ht="13.5" customHeight="1" thickBot="1" x14ac:dyDescent="0.3">
      <c r="A68" s="288" t="s">
        <v>59</v>
      </c>
      <c r="B68" s="258"/>
      <c r="C68" s="256">
        <f>IFERROR(C57/(C7-C23), )</f>
        <v>124.38799385875123</v>
      </c>
      <c r="D68" s="256">
        <f t="shared" ref="D68:O68" si="21">IFERROR(D57/(D7-D23), )</f>
        <v>168.00069387755099</v>
      </c>
      <c r="E68" s="256">
        <f t="shared" si="21"/>
        <v>138.07742483660132</v>
      </c>
      <c r="F68" s="256">
        <f t="shared" si="21"/>
        <v>172.98987546699868</v>
      </c>
      <c r="G68" s="256">
        <f t="shared" si="21"/>
        <v>121.9951774193548</v>
      </c>
      <c r="H68" s="256">
        <f t="shared" si="21"/>
        <v>105.40617021276593</v>
      </c>
      <c r="I68" s="256">
        <f t="shared" si="21"/>
        <v>0</v>
      </c>
      <c r="J68" s="256">
        <f t="shared" si="21"/>
        <v>0</v>
      </c>
      <c r="K68" s="256">
        <f t="shared" si="21"/>
        <v>0</v>
      </c>
      <c r="L68" s="256">
        <f t="shared" si="21"/>
        <v>0</v>
      </c>
      <c r="M68" s="256">
        <f>IFERROR(M57/(M7-M23), )</f>
        <v>0</v>
      </c>
      <c r="N68" s="256">
        <f t="shared" si="21"/>
        <v>0</v>
      </c>
      <c r="O68" s="470">
        <f t="shared" si="21"/>
        <v>143.17516698264541</v>
      </c>
    </row>
  </sheetData>
  <mergeCells count="1">
    <mergeCell ref="C2:N2"/>
  </mergeCells>
  <conditionalFormatting sqref="A57:B58">
    <cfRule type="cellIs" dxfId="39" priority="36" operator="lessThan">
      <formula>0</formula>
    </cfRule>
  </conditionalFormatting>
  <conditionalFormatting sqref="A9:N11 C12:N13 B13:B20 A62">
    <cfRule type="cellIs" dxfId="38" priority="34" operator="greaterThan">
      <formula>0</formula>
    </cfRule>
  </conditionalFormatting>
  <conditionalFormatting sqref="A62:N62">
    <cfRule type="cellIs" dxfId="37" priority="33" operator="lessThan">
      <formula>0</formula>
    </cfRule>
  </conditionalFormatting>
  <conditionalFormatting sqref="C7:N7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:N15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7:N17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8:N1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N20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:N33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4:N34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8:N38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9:N39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5:N55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7:N57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8:O6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paperSize="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33FF"/>
  </sheetPr>
  <dimension ref="A1:BD76"/>
  <sheetViews>
    <sheetView showZeros="0" workbookViewId="0">
      <pane xSplit="2" ySplit="3" topLeftCell="N12" activePane="bottomRight" state="frozen"/>
      <selection pane="topRight" activeCell="C1" sqref="C1"/>
      <selection pane="bottomLeft" activeCell="A4" sqref="A4"/>
      <selection pane="bottomRight" activeCell="Z32" sqref="Z32"/>
    </sheetView>
  </sheetViews>
  <sheetFormatPr defaultColWidth="14.42578125" defaultRowHeight="15" customHeight="1" x14ac:dyDescent="0.25"/>
  <cols>
    <col min="1" max="1" width="24.42578125" style="105" customWidth="1"/>
    <col min="2" max="2" width="28" style="105" customWidth="1"/>
    <col min="3" max="15" width="10.85546875" style="105" customWidth="1"/>
    <col min="16" max="16" width="11.5703125" style="105" customWidth="1"/>
    <col min="17" max="19" width="10.85546875" style="105" customWidth="1"/>
    <col min="20" max="20" width="11.5703125" style="105" customWidth="1"/>
    <col min="21" max="55" width="10.85546875" style="105" customWidth="1"/>
    <col min="56" max="56" width="14.42578125" style="213"/>
    <col min="57" max="16384" width="14.42578125" style="105"/>
  </cols>
  <sheetData>
    <row r="1" spans="1:56" s="112" customFormat="1" ht="54" customHeight="1" x14ac:dyDescent="0.25">
      <c r="A1" s="521" t="s">
        <v>95</v>
      </c>
      <c r="B1" s="522"/>
      <c r="C1" s="108">
        <v>1</v>
      </c>
      <c r="D1" s="108">
        <v>2</v>
      </c>
      <c r="E1" s="108">
        <v>3</v>
      </c>
      <c r="F1" s="108">
        <v>4</v>
      </c>
      <c r="G1" s="108">
        <v>5</v>
      </c>
      <c r="H1" s="108">
        <v>6</v>
      </c>
      <c r="I1" s="108">
        <v>7</v>
      </c>
      <c r="J1" s="108">
        <v>8</v>
      </c>
      <c r="K1" s="108">
        <v>9</v>
      </c>
      <c r="L1" s="108">
        <v>10</v>
      </c>
      <c r="M1" s="108">
        <v>11</v>
      </c>
      <c r="N1" s="108">
        <v>12</v>
      </c>
      <c r="O1" s="108">
        <v>13</v>
      </c>
      <c r="P1" s="109">
        <v>14</v>
      </c>
      <c r="Q1" s="110">
        <v>15</v>
      </c>
      <c r="R1" s="110">
        <v>16</v>
      </c>
      <c r="S1" s="111">
        <v>17</v>
      </c>
      <c r="T1" s="109">
        <v>18</v>
      </c>
      <c r="U1" s="110">
        <v>19</v>
      </c>
      <c r="V1" s="110">
        <v>20</v>
      </c>
      <c r="W1" s="110">
        <v>21</v>
      </c>
      <c r="X1" s="111">
        <v>22</v>
      </c>
      <c r="Y1" s="109">
        <v>23</v>
      </c>
      <c r="Z1" s="110">
        <v>24</v>
      </c>
      <c r="AA1" s="110">
        <v>25</v>
      </c>
      <c r="AB1" s="111">
        <v>26</v>
      </c>
      <c r="AC1" s="109">
        <v>27</v>
      </c>
      <c r="AD1" s="110">
        <v>28</v>
      </c>
      <c r="AE1" s="110">
        <v>29</v>
      </c>
      <c r="AF1" s="111">
        <v>30</v>
      </c>
      <c r="AG1" s="109">
        <v>31</v>
      </c>
      <c r="AH1" s="110">
        <v>32</v>
      </c>
      <c r="AI1" s="110">
        <v>33</v>
      </c>
      <c r="AJ1" s="110">
        <v>34</v>
      </c>
      <c r="AK1" s="111">
        <v>35</v>
      </c>
      <c r="AL1" s="109">
        <v>36</v>
      </c>
      <c r="AM1" s="110">
        <v>37</v>
      </c>
      <c r="AN1" s="110">
        <v>38</v>
      </c>
      <c r="AO1" s="111">
        <v>39</v>
      </c>
      <c r="AP1" s="109">
        <v>40</v>
      </c>
      <c r="AQ1" s="110">
        <v>41</v>
      </c>
      <c r="AR1" s="110">
        <v>42</v>
      </c>
      <c r="AS1" s="110">
        <v>43</v>
      </c>
      <c r="AT1" s="111">
        <v>44</v>
      </c>
      <c r="AU1" s="109">
        <v>45</v>
      </c>
      <c r="AV1" s="110">
        <v>46</v>
      </c>
      <c r="AW1" s="110">
        <v>47</v>
      </c>
      <c r="AX1" s="110">
        <v>48</v>
      </c>
      <c r="AY1" s="109">
        <v>49</v>
      </c>
      <c r="AZ1" s="110">
        <v>50</v>
      </c>
      <c r="BA1" s="110">
        <v>51</v>
      </c>
      <c r="BB1" s="110">
        <v>52</v>
      </c>
      <c r="BC1" s="419" t="s">
        <v>130</v>
      </c>
      <c r="BD1" s="413"/>
    </row>
    <row r="2" spans="1:56" ht="13.5" customHeight="1" x14ac:dyDescent="0.25">
      <c r="A2" s="238" t="s">
        <v>60</v>
      </c>
      <c r="B2" s="113"/>
      <c r="C2" s="520" t="s">
        <v>5</v>
      </c>
      <c r="D2" s="518"/>
      <c r="E2" s="518"/>
      <c r="F2" s="518"/>
      <c r="G2" s="518"/>
      <c r="H2" s="520" t="s">
        <v>6</v>
      </c>
      <c r="I2" s="518"/>
      <c r="J2" s="518"/>
      <c r="K2" s="518"/>
      <c r="L2" s="520" t="s">
        <v>7</v>
      </c>
      <c r="M2" s="518"/>
      <c r="N2" s="518"/>
      <c r="O2" s="518"/>
      <c r="P2" s="523" t="s">
        <v>8</v>
      </c>
      <c r="Q2" s="524"/>
      <c r="R2" s="524"/>
      <c r="S2" s="525"/>
      <c r="T2" s="520" t="s">
        <v>9</v>
      </c>
      <c r="U2" s="518"/>
      <c r="V2" s="518"/>
      <c r="W2" s="518"/>
      <c r="X2" s="518"/>
      <c r="Y2" s="520" t="s">
        <v>10</v>
      </c>
      <c r="Z2" s="518"/>
      <c r="AA2" s="518"/>
      <c r="AB2" s="518"/>
      <c r="AC2" s="517" t="s">
        <v>11</v>
      </c>
      <c r="AD2" s="518"/>
      <c r="AE2" s="518"/>
      <c r="AF2" s="518"/>
      <c r="AG2" s="517" t="s">
        <v>12</v>
      </c>
      <c r="AH2" s="518"/>
      <c r="AI2" s="518"/>
      <c r="AJ2" s="518"/>
      <c r="AK2" s="518"/>
      <c r="AL2" s="517" t="s">
        <v>13</v>
      </c>
      <c r="AM2" s="518"/>
      <c r="AN2" s="518"/>
      <c r="AO2" s="518"/>
      <c r="AP2" s="517" t="s">
        <v>14</v>
      </c>
      <c r="AQ2" s="518"/>
      <c r="AR2" s="518"/>
      <c r="AS2" s="518"/>
      <c r="AT2" s="518"/>
      <c r="AU2" s="517" t="s">
        <v>15</v>
      </c>
      <c r="AV2" s="518"/>
      <c r="AW2" s="518"/>
      <c r="AX2" s="519"/>
      <c r="AY2" s="403" t="s">
        <v>16</v>
      </c>
      <c r="AZ2" s="404"/>
      <c r="BA2" s="404"/>
      <c r="BB2" s="404"/>
      <c r="BC2" s="404"/>
      <c r="BD2" s="414"/>
    </row>
    <row r="3" spans="1:56" s="239" customFormat="1" ht="13.5" customHeight="1" x14ac:dyDescent="0.25">
      <c r="B3" s="240"/>
      <c r="C3" s="474" t="s">
        <v>172</v>
      </c>
      <c r="D3" s="475" t="s">
        <v>173</v>
      </c>
      <c r="E3" s="475" t="s">
        <v>174</v>
      </c>
      <c r="F3" s="475" t="s">
        <v>175</v>
      </c>
      <c r="G3" s="476" t="s">
        <v>176</v>
      </c>
      <c r="H3" s="480" t="s">
        <v>177</v>
      </c>
      <c r="I3" s="481" t="s">
        <v>178</v>
      </c>
      <c r="J3" s="481" t="s">
        <v>179</v>
      </c>
      <c r="K3" s="482" t="s">
        <v>180</v>
      </c>
      <c r="L3" s="482" t="s">
        <v>181</v>
      </c>
      <c r="M3" s="482" t="s">
        <v>182</v>
      </c>
      <c r="N3" s="483" t="s">
        <v>183</v>
      </c>
      <c r="O3" s="483" t="s">
        <v>184</v>
      </c>
      <c r="P3" s="503" t="s">
        <v>209</v>
      </c>
      <c r="Q3" s="358" t="s">
        <v>210</v>
      </c>
      <c r="R3" s="358" t="s">
        <v>211</v>
      </c>
      <c r="S3" s="360" t="s">
        <v>212</v>
      </c>
      <c r="T3" s="361" t="s">
        <v>213</v>
      </c>
      <c r="U3" s="361" t="s">
        <v>214</v>
      </c>
      <c r="V3" s="361" t="s">
        <v>215</v>
      </c>
      <c r="W3" s="505" t="s">
        <v>216</v>
      </c>
      <c r="X3" s="505" t="s">
        <v>217</v>
      </c>
      <c r="Y3" s="505" t="s">
        <v>218</v>
      </c>
      <c r="Z3" s="505" t="s">
        <v>219</v>
      </c>
      <c r="AA3" s="505" t="s">
        <v>220</v>
      </c>
      <c r="AB3" s="506" t="s">
        <v>221</v>
      </c>
      <c r="AC3" s="361"/>
      <c r="AD3" s="358"/>
      <c r="AE3" s="358"/>
      <c r="AF3" s="360"/>
      <c r="AG3" s="361"/>
      <c r="AH3" s="358"/>
      <c r="AI3" s="374"/>
      <c r="AJ3" s="375"/>
      <c r="AK3" s="376"/>
      <c r="AL3" s="377"/>
      <c r="AM3" s="378"/>
      <c r="AN3" s="379"/>
      <c r="AO3" s="380"/>
      <c r="AP3" s="393"/>
      <c r="AQ3" s="394"/>
      <c r="AR3" s="395"/>
      <c r="AS3" s="396"/>
      <c r="AT3" s="397"/>
      <c r="AU3" s="398"/>
      <c r="AV3" s="399"/>
      <c r="AW3" s="399"/>
      <c r="AX3" s="400"/>
      <c r="AY3" s="401"/>
      <c r="AZ3" s="402"/>
      <c r="BA3" s="402"/>
      <c r="BB3" s="402"/>
      <c r="BC3" s="402"/>
      <c r="BD3" s="415"/>
    </row>
    <row r="4" spans="1:56" ht="13.5" customHeight="1" x14ac:dyDescent="0.25">
      <c r="A4" s="241" t="s">
        <v>17</v>
      </c>
      <c r="B4" s="242"/>
      <c r="C4" s="243"/>
      <c r="D4" s="244"/>
      <c r="E4" s="244"/>
      <c r="F4" s="244"/>
      <c r="G4" s="245"/>
      <c r="H4" s="243"/>
      <c r="I4" s="244"/>
      <c r="J4" s="244"/>
      <c r="K4" s="245"/>
      <c r="L4" s="243"/>
      <c r="M4" s="244"/>
      <c r="N4" s="244"/>
      <c r="O4" s="245"/>
      <c r="P4" s="243"/>
      <c r="Q4" s="244"/>
      <c r="R4" s="244"/>
      <c r="S4" s="245"/>
      <c r="T4" s="243"/>
      <c r="U4" s="244"/>
      <c r="V4" s="244"/>
      <c r="W4" s="244"/>
      <c r="X4" s="245"/>
      <c r="Y4" s="243"/>
      <c r="Z4" s="244"/>
      <c r="AA4" s="244"/>
      <c r="AB4" s="245"/>
      <c r="AC4" s="243"/>
      <c r="AD4" s="244"/>
      <c r="AE4" s="244"/>
      <c r="AF4" s="245"/>
      <c r="AG4" s="243"/>
      <c r="AH4" s="244"/>
      <c r="AI4" s="244"/>
      <c r="AJ4" s="244"/>
      <c r="AK4" s="245"/>
      <c r="AL4" s="243"/>
      <c r="AM4" s="244"/>
      <c r="AN4" s="244"/>
      <c r="AO4" s="245"/>
      <c r="AP4" s="243"/>
      <c r="AQ4" s="244"/>
      <c r="AR4" s="244"/>
      <c r="AS4" s="244"/>
      <c r="AT4" s="245"/>
      <c r="AU4" s="243"/>
      <c r="AV4" s="244"/>
      <c r="AW4" s="244"/>
      <c r="AX4" s="242"/>
      <c r="AY4" s="243"/>
      <c r="AZ4" s="244"/>
      <c r="BA4" s="244"/>
      <c r="BB4" s="244"/>
      <c r="BC4" s="244"/>
      <c r="BD4" s="414"/>
    </row>
    <row r="5" spans="1:56" ht="13.5" customHeight="1" x14ac:dyDescent="0.25">
      <c r="A5" s="114" t="s">
        <v>18</v>
      </c>
      <c r="B5" s="115"/>
      <c r="C5" s="116">
        <v>1331789.0900000001</v>
      </c>
      <c r="D5" s="117">
        <f>C12</f>
        <v>1514984.86</v>
      </c>
      <c r="E5" s="117">
        <f t="shared" ref="E5:BA5" si="0">D12</f>
        <v>1480919.86</v>
      </c>
      <c r="F5" s="117">
        <f t="shared" si="0"/>
        <v>1434587.7000000002</v>
      </c>
      <c r="G5" s="118">
        <f t="shared" si="0"/>
        <v>1394134.5000000002</v>
      </c>
      <c r="H5" s="119">
        <f t="shared" si="0"/>
        <v>1355494.0500000003</v>
      </c>
      <c r="I5" s="117">
        <f t="shared" si="0"/>
        <v>1309516.0500000003</v>
      </c>
      <c r="J5" s="117">
        <f t="shared" si="0"/>
        <v>1263878.9900000002</v>
      </c>
      <c r="K5" s="118">
        <f t="shared" si="0"/>
        <v>1224679.7500000002</v>
      </c>
      <c r="L5" s="119">
        <f t="shared" si="0"/>
        <v>1183913.3300000003</v>
      </c>
      <c r="M5" s="117">
        <f t="shared" si="0"/>
        <v>1144142.3300000003</v>
      </c>
      <c r="N5" s="117">
        <f t="shared" si="0"/>
        <v>1105939.8700000003</v>
      </c>
      <c r="O5" s="118">
        <f t="shared" si="0"/>
        <v>1059957.1200000003</v>
      </c>
      <c r="P5" s="119">
        <f t="shared" si="0"/>
        <v>1023548.9300000004</v>
      </c>
      <c r="Q5" s="117">
        <f t="shared" si="0"/>
        <v>999045.39000000036</v>
      </c>
      <c r="R5" s="117">
        <f t="shared" si="0"/>
        <v>979485.83000000031</v>
      </c>
      <c r="S5" s="118">
        <f t="shared" si="0"/>
        <v>960491.03000000026</v>
      </c>
      <c r="T5" s="119">
        <f t="shared" si="0"/>
        <v>939444.4700000002</v>
      </c>
      <c r="U5" s="117">
        <f t="shared" si="0"/>
        <v>924247.60000000021</v>
      </c>
      <c r="V5" s="117">
        <f t="shared" si="0"/>
        <v>909311.13000000024</v>
      </c>
      <c r="W5" s="117">
        <f t="shared" si="0"/>
        <v>1364071.6400000001</v>
      </c>
      <c r="X5" s="118">
        <f t="shared" si="0"/>
        <v>1351072.53</v>
      </c>
      <c r="Y5" s="119">
        <f t="shared" si="0"/>
        <v>1334490.27</v>
      </c>
      <c r="Z5" s="117">
        <f t="shared" si="0"/>
        <v>1317882.56</v>
      </c>
      <c r="AA5" s="117">
        <f t="shared" si="0"/>
        <v>1296311.82</v>
      </c>
      <c r="AB5" s="118">
        <f t="shared" si="0"/>
        <v>1296311.82</v>
      </c>
      <c r="AC5" s="119">
        <f t="shared" si="0"/>
        <v>1296311.82</v>
      </c>
      <c r="AD5" s="117">
        <f t="shared" si="0"/>
        <v>1296311.82</v>
      </c>
      <c r="AE5" s="117">
        <f t="shared" si="0"/>
        <v>1296311.82</v>
      </c>
      <c r="AF5" s="118">
        <f t="shared" si="0"/>
        <v>1296311.82</v>
      </c>
      <c r="AG5" s="119">
        <f t="shared" si="0"/>
        <v>1296311.82</v>
      </c>
      <c r="AH5" s="117">
        <f t="shared" si="0"/>
        <v>1296311.82</v>
      </c>
      <c r="AI5" s="117">
        <f t="shared" si="0"/>
        <v>1296311.82</v>
      </c>
      <c r="AJ5" s="117">
        <f t="shared" si="0"/>
        <v>1296311.82</v>
      </c>
      <c r="AK5" s="118">
        <f t="shared" si="0"/>
        <v>1296311.82</v>
      </c>
      <c r="AL5" s="119">
        <f t="shared" si="0"/>
        <v>1296311.82</v>
      </c>
      <c r="AM5" s="117">
        <f t="shared" si="0"/>
        <v>1296311.82</v>
      </c>
      <c r="AN5" s="117">
        <f t="shared" si="0"/>
        <v>1296311.82</v>
      </c>
      <c r="AO5" s="118">
        <f t="shared" si="0"/>
        <v>1296311.82</v>
      </c>
      <c r="AP5" s="119">
        <f t="shared" si="0"/>
        <v>1296311.82</v>
      </c>
      <c r="AQ5" s="117">
        <f t="shared" si="0"/>
        <v>1296311.82</v>
      </c>
      <c r="AR5" s="117">
        <f t="shared" si="0"/>
        <v>1296311.82</v>
      </c>
      <c r="AS5" s="117">
        <f t="shared" si="0"/>
        <v>1296311.82</v>
      </c>
      <c r="AT5" s="118">
        <f t="shared" si="0"/>
        <v>1296311.82</v>
      </c>
      <c r="AU5" s="119">
        <f t="shared" si="0"/>
        <v>1296311.82</v>
      </c>
      <c r="AV5" s="117">
        <f>AU12</f>
        <v>1296311.82</v>
      </c>
      <c r="AW5" s="117">
        <f t="shared" si="0"/>
        <v>1296311.82</v>
      </c>
      <c r="AX5" s="115">
        <f t="shared" si="0"/>
        <v>1296311.82</v>
      </c>
      <c r="AY5" s="119">
        <f t="shared" si="0"/>
        <v>1296311.82</v>
      </c>
      <c r="AZ5" s="117">
        <f t="shared" si="0"/>
        <v>1296311.82</v>
      </c>
      <c r="BA5" s="117">
        <f t="shared" si="0"/>
        <v>1296311.82</v>
      </c>
      <c r="BB5" s="117">
        <f>BA12</f>
        <v>1296311.82</v>
      </c>
      <c r="BC5" s="117">
        <v>1331789.0900000001</v>
      </c>
      <c r="BD5" s="414"/>
    </row>
    <row r="6" spans="1:56" ht="13.5" customHeight="1" x14ac:dyDescent="0.25">
      <c r="A6" s="114"/>
      <c r="B6" s="120"/>
      <c r="C6" s="119"/>
      <c r="D6" s="117"/>
      <c r="E6" s="117"/>
      <c r="F6" s="117"/>
      <c r="G6" s="118"/>
      <c r="H6" s="119"/>
      <c r="I6" s="117"/>
      <c r="J6" s="117"/>
      <c r="K6" s="118"/>
      <c r="L6" s="119"/>
      <c r="M6" s="117"/>
      <c r="N6" s="117"/>
      <c r="O6" s="118"/>
      <c r="P6" s="119"/>
      <c r="Q6" s="117"/>
      <c r="R6" s="117"/>
      <c r="S6" s="118"/>
      <c r="T6" s="119"/>
      <c r="U6" s="117"/>
      <c r="V6" s="117"/>
      <c r="W6" s="117"/>
      <c r="X6" s="118"/>
      <c r="Y6" s="119"/>
      <c r="Z6" s="117"/>
      <c r="AA6" s="117"/>
      <c r="AB6" s="118"/>
      <c r="AC6" s="119"/>
      <c r="AD6" s="117"/>
      <c r="AE6" s="117"/>
      <c r="AF6" s="118"/>
      <c r="AG6" s="119"/>
      <c r="AH6" s="117"/>
      <c r="AI6" s="117"/>
      <c r="AJ6" s="117"/>
      <c r="AK6" s="118"/>
      <c r="AL6" s="119"/>
      <c r="AM6" s="117"/>
      <c r="AN6" s="117"/>
      <c r="AO6" s="118"/>
      <c r="AP6" s="119"/>
      <c r="AQ6" s="117"/>
      <c r="AR6" s="117"/>
      <c r="AS6" s="117"/>
      <c r="AT6" s="118"/>
      <c r="AU6" s="119"/>
      <c r="AV6" s="117"/>
      <c r="AW6" s="117"/>
      <c r="AX6" s="115"/>
      <c r="AY6" s="119"/>
      <c r="AZ6" s="117"/>
      <c r="BA6" s="117"/>
      <c r="BB6" s="117"/>
      <c r="BC6" s="117"/>
      <c r="BD6" s="414"/>
    </row>
    <row r="7" spans="1:56" ht="13.5" customHeight="1" x14ac:dyDescent="0.25">
      <c r="A7" s="121" t="s">
        <v>19</v>
      </c>
      <c r="C7" s="116">
        <v>188</v>
      </c>
      <c r="D7" s="122">
        <v>243</v>
      </c>
      <c r="E7" s="122">
        <v>341</v>
      </c>
      <c r="F7" s="122">
        <v>295</v>
      </c>
      <c r="G7" s="123">
        <v>292</v>
      </c>
      <c r="H7" s="124">
        <v>342</v>
      </c>
      <c r="I7" s="125">
        <v>331</v>
      </c>
      <c r="J7" s="125">
        <v>309</v>
      </c>
      <c r="K7" s="126">
        <v>347</v>
      </c>
      <c r="L7" s="124">
        <v>344</v>
      </c>
      <c r="M7" s="125">
        <v>317</v>
      </c>
      <c r="N7" s="125">
        <v>360</v>
      </c>
      <c r="O7" s="126">
        <v>286</v>
      </c>
      <c r="P7" s="124">
        <v>192</v>
      </c>
      <c r="Q7" s="125">
        <v>154</v>
      </c>
      <c r="R7" s="125">
        <v>135</v>
      </c>
      <c r="S7" s="126">
        <v>152</v>
      </c>
      <c r="T7" s="124">
        <v>114</v>
      </c>
      <c r="U7" s="125">
        <v>99</v>
      </c>
      <c r="V7" s="125">
        <v>100</v>
      </c>
      <c r="W7" s="125">
        <v>89</v>
      </c>
      <c r="X7" s="126">
        <v>99</v>
      </c>
      <c r="Y7" s="124">
        <v>105</v>
      </c>
      <c r="Z7" s="125">
        <v>134</v>
      </c>
      <c r="AA7" s="125"/>
      <c r="AB7" s="126"/>
      <c r="AC7" s="124"/>
      <c r="AD7" s="125"/>
      <c r="AE7" s="125"/>
      <c r="AF7" s="126"/>
      <c r="AG7" s="124"/>
      <c r="AH7" s="125"/>
      <c r="AI7" s="125"/>
      <c r="AJ7" s="125"/>
      <c r="AK7" s="126"/>
      <c r="AL7" s="124"/>
      <c r="AM7" s="125"/>
      <c r="AN7" s="125"/>
      <c r="AO7" s="126"/>
      <c r="AP7" s="124"/>
      <c r="AQ7" s="125"/>
      <c r="AR7" s="125"/>
      <c r="AS7" s="125"/>
      <c r="AT7" s="126"/>
      <c r="AU7" s="124"/>
      <c r="AV7" s="125"/>
      <c r="AW7" s="125"/>
      <c r="AX7" s="322"/>
      <c r="AY7" s="124"/>
      <c r="AZ7" s="125"/>
      <c r="BA7" s="125"/>
      <c r="BB7" s="125"/>
      <c r="BC7" s="125"/>
      <c r="BD7" s="416">
        <f>SUM(C7:BC7)</f>
        <v>5368</v>
      </c>
    </row>
    <row r="8" spans="1:56" x14ac:dyDescent="0.25">
      <c r="A8" s="120" t="s">
        <v>20</v>
      </c>
      <c r="C8" s="119">
        <f>C33</f>
        <v>9203</v>
      </c>
      <c r="D8" s="119">
        <f t="shared" ref="D8:BB8" si="1">D33</f>
        <v>34065</v>
      </c>
      <c r="E8" s="119">
        <f t="shared" si="1"/>
        <v>46332.160000000003</v>
      </c>
      <c r="F8" s="119">
        <f t="shared" si="1"/>
        <v>40453.199999999997</v>
      </c>
      <c r="G8" s="119">
        <f t="shared" si="1"/>
        <v>38640.449999999997</v>
      </c>
      <c r="H8" s="119">
        <f t="shared" si="1"/>
        <v>45978</v>
      </c>
      <c r="I8" s="119">
        <f t="shared" si="1"/>
        <v>45637.06</v>
      </c>
      <c r="J8" s="119">
        <f t="shared" si="1"/>
        <v>39199.24</v>
      </c>
      <c r="K8" s="119">
        <f t="shared" si="1"/>
        <v>40766.42</v>
      </c>
      <c r="L8" s="119">
        <f>L33</f>
        <v>39771</v>
      </c>
      <c r="M8" s="119">
        <f t="shared" si="1"/>
        <v>38202.46</v>
      </c>
      <c r="N8" s="119">
        <f t="shared" si="1"/>
        <v>45982.75</v>
      </c>
      <c r="O8" s="119">
        <f t="shared" si="1"/>
        <v>36408.19</v>
      </c>
      <c r="P8" s="119">
        <f t="shared" si="1"/>
        <v>24503.54</v>
      </c>
      <c r="Q8" s="119">
        <f t="shared" si="1"/>
        <v>19559.560000000001</v>
      </c>
      <c r="R8" s="119">
        <f t="shared" si="1"/>
        <v>18994.8</v>
      </c>
      <c r="S8" s="119">
        <f t="shared" si="1"/>
        <v>21046.560000000001</v>
      </c>
      <c r="T8" s="119">
        <f t="shared" si="1"/>
        <v>15196.87</v>
      </c>
      <c r="U8" s="119">
        <f t="shared" si="1"/>
        <v>14936.47</v>
      </c>
      <c r="V8" s="119">
        <f t="shared" si="1"/>
        <v>15754.39</v>
      </c>
      <c r="W8" s="119">
        <f t="shared" si="1"/>
        <v>12999.11</v>
      </c>
      <c r="X8" s="119">
        <f t="shared" si="1"/>
        <v>16582.259999999998</v>
      </c>
      <c r="Y8" s="119">
        <f t="shared" si="1"/>
        <v>16607.71</v>
      </c>
      <c r="Z8" s="119">
        <f t="shared" si="1"/>
        <v>21570.74</v>
      </c>
      <c r="AA8" s="119">
        <f t="shared" si="1"/>
        <v>0</v>
      </c>
      <c r="AB8" s="119">
        <f t="shared" si="1"/>
        <v>0</v>
      </c>
      <c r="AC8" s="119">
        <f t="shared" si="1"/>
        <v>0</v>
      </c>
      <c r="AD8" s="119">
        <f t="shared" si="1"/>
        <v>0</v>
      </c>
      <c r="AE8" s="119">
        <f t="shared" si="1"/>
        <v>0</v>
      </c>
      <c r="AF8" s="119">
        <f t="shared" si="1"/>
        <v>0</v>
      </c>
      <c r="AG8" s="119">
        <f t="shared" si="1"/>
        <v>0</v>
      </c>
      <c r="AH8" s="119">
        <f t="shared" si="1"/>
        <v>0</v>
      </c>
      <c r="AI8" s="119">
        <f t="shared" si="1"/>
        <v>0</v>
      </c>
      <c r="AJ8" s="119">
        <f t="shared" si="1"/>
        <v>0</v>
      </c>
      <c r="AK8" s="119">
        <f t="shared" si="1"/>
        <v>0</v>
      </c>
      <c r="AL8" s="119">
        <f t="shared" si="1"/>
        <v>0</v>
      </c>
      <c r="AM8" s="119">
        <f t="shared" si="1"/>
        <v>0</v>
      </c>
      <c r="AN8" s="119">
        <f t="shared" si="1"/>
        <v>0</v>
      </c>
      <c r="AO8" s="119">
        <f t="shared" si="1"/>
        <v>0</v>
      </c>
      <c r="AP8" s="119">
        <f t="shared" si="1"/>
        <v>0</v>
      </c>
      <c r="AQ8" s="119">
        <f t="shared" si="1"/>
        <v>0</v>
      </c>
      <c r="AR8" s="119">
        <f t="shared" si="1"/>
        <v>0</v>
      </c>
      <c r="AS8" s="119">
        <f t="shared" si="1"/>
        <v>0</v>
      </c>
      <c r="AT8" s="119">
        <f t="shared" si="1"/>
        <v>0</v>
      </c>
      <c r="AU8" s="119">
        <f t="shared" si="1"/>
        <v>0</v>
      </c>
      <c r="AV8" s="119">
        <f t="shared" si="1"/>
        <v>0</v>
      </c>
      <c r="AW8" s="119">
        <f t="shared" si="1"/>
        <v>0</v>
      </c>
      <c r="AX8" s="119">
        <f>AX33</f>
        <v>0</v>
      </c>
      <c r="AY8" s="119">
        <f t="shared" si="1"/>
        <v>0</v>
      </c>
      <c r="AZ8" s="119">
        <f t="shared" si="1"/>
        <v>0</v>
      </c>
      <c r="BA8" s="119">
        <f t="shared" si="1"/>
        <v>0</v>
      </c>
      <c r="BB8" s="119">
        <f t="shared" si="1"/>
        <v>0</v>
      </c>
      <c r="BC8" s="119">
        <f t="shared" ref="BC8" si="2">BC33</f>
        <v>0</v>
      </c>
      <c r="BD8" s="416">
        <f t="shared" ref="BD8:BD16" si="3">SUM(C8:BC8)</f>
        <v>698390.94000000006</v>
      </c>
    </row>
    <row r="9" spans="1:56" ht="13.5" customHeight="1" x14ac:dyDescent="0.25">
      <c r="A9" s="114"/>
      <c r="B9" s="115"/>
      <c r="C9" s="119"/>
      <c r="D9" s="117"/>
      <c r="E9" s="117"/>
      <c r="F9" s="117"/>
      <c r="G9" s="118"/>
      <c r="H9" s="119"/>
      <c r="I9" s="117"/>
      <c r="J9" s="117"/>
      <c r="K9" s="118"/>
      <c r="L9" s="119"/>
      <c r="M9" s="117"/>
      <c r="N9" s="117"/>
      <c r="O9" s="118"/>
      <c r="P9" s="119"/>
      <c r="Q9" s="117"/>
      <c r="R9" s="117"/>
      <c r="S9" s="118"/>
      <c r="T9" s="119"/>
      <c r="U9" s="117"/>
      <c r="V9" s="117"/>
      <c r="W9" s="117"/>
      <c r="X9" s="118"/>
      <c r="Y9" s="119"/>
      <c r="Z9" s="117"/>
      <c r="AA9" s="117"/>
      <c r="AB9" s="118"/>
      <c r="AC9" s="119"/>
      <c r="AD9" s="117"/>
      <c r="AE9" s="117"/>
      <c r="AF9" s="118"/>
      <c r="AG9" s="119"/>
      <c r="AH9" s="117"/>
      <c r="AI9" s="117"/>
      <c r="AJ9" s="117"/>
      <c r="AK9" s="118"/>
      <c r="AL9" s="119"/>
      <c r="AM9" s="117"/>
      <c r="AN9" s="117"/>
      <c r="AO9" s="118"/>
      <c r="AP9" s="119"/>
      <c r="AQ9" s="117"/>
      <c r="AR9" s="117"/>
      <c r="AS9" s="117"/>
      <c r="AT9" s="118"/>
      <c r="AU9" s="119"/>
      <c r="AV9" s="117"/>
      <c r="AW9" s="117"/>
      <c r="AX9" s="115"/>
      <c r="AY9" s="119"/>
      <c r="AZ9" s="117"/>
      <c r="BA9" s="117"/>
      <c r="BB9" s="117"/>
      <c r="BC9" s="117"/>
      <c r="BD9" s="416">
        <f t="shared" si="3"/>
        <v>0</v>
      </c>
    </row>
    <row r="10" spans="1:56" ht="13.5" customHeight="1" x14ac:dyDescent="0.25">
      <c r="A10" s="127" t="s">
        <v>21</v>
      </c>
      <c r="B10" s="128"/>
      <c r="C10" s="116">
        <v>192398.77</v>
      </c>
      <c r="D10" s="122"/>
      <c r="E10" s="339"/>
      <c r="F10" s="122"/>
      <c r="G10" s="123"/>
      <c r="H10" s="129"/>
      <c r="I10" s="130"/>
      <c r="J10" s="130"/>
      <c r="K10" s="342"/>
      <c r="L10" s="129"/>
      <c r="M10" s="130"/>
      <c r="N10" s="130"/>
      <c r="O10" s="131"/>
      <c r="P10" s="129"/>
      <c r="Q10" s="130"/>
      <c r="R10" s="130"/>
      <c r="S10" s="131"/>
      <c r="T10" s="129"/>
      <c r="U10" s="130"/>
      <c r="V10" s="504">
        <v>470514.9</v>
      </c>
      <c r="W10" s="130"/>
      <c r="X10" s="131"/>
      <c r="Y10" s="129"/>
      <c r="Z10" s="359"/>
      <c r="AA10" s="130"/>
      <c r="AB10" s="131"/>
      <c r="AC10" s="129"/>
      <c r="AD10" s="130"/>
      <c r="AE10" s="130"/>
      <c r="AF10" s="131"/>
      <c r="AG10" s="129"/>
      <c r="AH10" s="130"/>
      <c r="AI10" s="130"/>
      <c r="AJ10" s="130"/>
      <c r="AK10" s="131"/>
      <c r="AL10" s="129"/>
      <c r="AM10" s="130"/>
      <c r="AN10" s="130"/>
      <c r="AO10" s="131"/>
      <c r="AP10" s="129"/>
      <c r="AQ10" s="130"/>
      <c r="AR10" s="130"/>
      <c r="AS10" s="130"/>
      <c r="AT10" s="131"/>
      <c r="AU10" s="129"/>
      <c r="AV10" s="130"/>
      <c r="AW10" s="130"/>
      <c r="AX10" s="323"/>
      <c r="AY10" s="129"/>
      <c r="AZ10" s="130"/>
      <c r="BA10" s="130"/>
      <c r="BB10" s="130"/>
      <c r="BC10" s="130"/>
      <c r="BD10" s="416">
        <f>SUM(C10:BC10)</f>
        <v>662913.67000000004</v>
      </c>
    </row>
    <row r="11" spans="1:56" ht="13.5" customHeight="1" x14ac:dyDescent="0.25">
      <c r="A11" s="106" t="s">
        <v>22</v>
      </c>
      <c r="B11" s="115"/>
      <c r="C11" s="116">
        <v>1294</v>
      </c>
      <c r="D11" s="122"/>
      <c r="E11" s="122"/>
      <c r="F11" s="122"/>
      <c r="G11" s="123"/>
      <c r="H11" s="124"/>
      <c r="I11" s="125"/>
      <c r="J11" s="125"/>
      <c r="K11" s="122"/>
      <c r="L11" s="124"/>
      <c r="M11" s="125"/>
      <c r="N11" s="125"/>
      <c r="O11" s="126"/>
      <c r="P11" s="124"/>
      <c r="Q11" s="125"/>
      <c r="R11" s="125"/>
      <c r="S11" s="126"/>
      <c r="T11" s="124"/>
      <c r="U11" s="125"/>
      <c r="V11" s="125">
        <v>3707</v>
      </c>
      <c r="W11" s="125"/>
      <c r="X11" s="126"/>
      <c r="Y11" s="124"/>
      <c r="Z11" s="125"/>
      <c r="AA11" s="125"/>
      <c r="AB11" s="126"/>
      <c r="AC11" s="124"/>
      <c r="AD11" s="125"/>
      <c r="AE11" s="125"/>
      <c r="AF11" s="126"/>
      <c r="AG11" s="124"/>
      <c r="AH11" s="125"/>
      <c r="AI11" s="125"/>
      <c r="AJ11" s="125"/>
      <c r="AK11" s="126"/>
      <c r="AL11" s="124"/>
      <c r="AM11" s="125"/>
      <c r="AN11" s="125"/>
      <c r="AO11" s="126"/>
      <c r="AP11" s="124"/>
      <c r="AQ11" s="125"/>
      <c r="AR11" s="125"/>
      <c r="AS11" s="125"/>
      <c r="AT11" s="126"/>
      <c r="AU11" s="124"/>
      <c r="AV11" s="125"/>
      <c r="AW11" s="125"/>
      <c r="AX11" s="322"/>
      <c r="AY11" s="124"/>
      <c r="AZ11" s="125"/>
      <c r="BA11" s="125"/>
      <c r="BB11" s="125"/>
      <c r="BC11" s="125"/>
      <c r="BD11" s="416">
        <f t="shared" ref="BD11" si="4">SUM(C11:BC11)</f>
        <v>5001</v>
      </c>
    </row>
    <row r="12" spans="1:56" ht="13.5" customHeight="1" x14ac:dyDescent="0.25">
      <c r="A12" s="132" t="s">
        <v>23</v>
      </c>
      <c r="B12" s="133"/>
      <c r="C12" s="134">
        <f>C10-C8+C5</f>
        <v>1514984.86</v>
      </c>
      <c r="D12" s="134">
        <f t="shared" ref="D12:BB12" si="5">D10-D8+D5</f>
        <v>1480919.86</v>
      </c>
      <c r="E12" s="134">
        <f t="shared" si="5"/>
        <v>1434587.7000000002</v>
      </c>
      <c r="F12" s="134">
        <f t="shared" si="5"/>
        <v>1394134.5000000002</v>
      </c>
      <c r="G12" s="134">
        <f t="shared" si="5"/>
        <v>1355494.0500000003</v>
      </c>
      <c r="H12" s="134">
        <f t="shared" si="5"/>
        <v>1309516.0500000003</v>
      </c>
      <c r="I12" s="134">
        <f t="shared" si="5"/>
        <v>1263878.9900000002</v>
      </c>
      <c r="J12" s="134">
        <f t="shared" si="5"/>
        <v>1224679.7500000002</v>
      </c>
      <c r="K12" s="134">
        <f t="shared" si="5"/>
        <v>1183913.3300000003</v>
      </c>
      <c r="L12" s="134">
        <f t="shared" si="5"/>
        <v>1144142.3300000003</v>
      </c>
      <c r="M12" s="134">
        <f t="shared" si="5"/>
        <v>1105939.8700000003</v>
      </c>
      <c r="N12" s="134">
        <f t="shared" si="5"/>
        <v>1059957.1200000003</v>
      </c>
      <c r="O12" s="134">
        <f t="shared" si="5"/>
        <v>1023548.9300000004</v>
      </c>
      <c r="P12" s="134">
        <f t="shared" si="5"/>
        <v>999045.39000000036</v>
      </c>
      <c r="Q12" s="134">
        <f t="shared" si="5"/>
        <v>979485.83000000031</v>
      </c>
      <c r="R12" s="134">
        <f>R10-R8+R5</f>
        <v>960491.03000000026</v>
      </c>
      <c r="S12" s="134">
        <f t="shared" si="5"/>
        <v>939444.4700000002</v>
      </c>
      <c r="T12" s="134">
        <f t="shared" si="5"/>
        <v>924247.60000000021</v>
      </c>
      <c r="U12" s="134">
        <f t="shared" si="5"/>
        <v>909311.13000000024</v>
      </c>
      <c r="V12" s="134">
        <f t="shared" si="5"/>
        <v>1364071.6400000001</v>
      </c>
      <c r="W12" s="134">
        <f t="shared" si="5"/>
        <v>1351072.53</v>
      </c>
      <c r="X12" s="134">
        <f t="shared" si="5"/>
        <v>1334490.27</v>
      </c>
      <c r="Y12" s="134">
        <f t="shared" si="5"/>
        <v>1317882.56</v>
      </c>
      <c r="Z12" s="134">
        <f t="shared" si="5"/>
        <v>1296311.82</v>
      </c>
      <c r="AA12" s="134">
        <f t="shared" si="5"/>
        <v>1296311.82</v>
      </c>
      <c r="AB12" s="134">
        <f t="shared" si="5"/>
        <v>1296311.82</v>
      </c>
      <c r="AC12" s="134">
        <f t="shared" si="5"/>
        <v>1296311.82</v>
      </c>
      <c r="AD12" s="134">
        <f t="shared" si="5"/>
        <v>1296311.82</v>
      </c>
      <c r="AE12" s="134">
        <f t="shared" si="5"/>
        <v>1296311.82</v>
      </c>
      <c r="AF12" s="134">
        <f t="shared" si="5"/>
        <v>1296311.82</v>
      </c>
      <c r="AG12" s="134">
        <f t="shared" si="5"/>
        <v>1296311.82</v>
      </c>
      <c r="AH12" s="134">
        <f t="shared" si="5"/>
        <v>1296311.82</v>
      </c>
      <c r="AI12" s="134">
        <f t="shared" si="5"/>
        <v>1296311.82</v>
      </c>
      <c r="AJ12" s="134">
        <f t="shared" si="5"/>
        <v>1296311.82</v>
      </c>
      <c r="AK12" s="134">
        <f t="shared" si="5"/>
        <v>1296311.82</v>
      </c>
      <c r="AL12" s="134">
        <f t="shared" si="5"/>
        <v>1296311.82</v>
      </c>
      <c r="AM12" s="134">
        <f t="shared" si="5"/>
        <v>1296311.82</v>
      </c>
      <c r="AN12" s="134">
        <f t="shared" si="5"/>
        <v>1296311.82</v>
      </c>
      <c r="AO12" s="134">
        <f t="shared" si="5"/>
        <v>1296311.82</v>
      </c>
      <c r="AP12" s="134">
        <f t="shared" si="5"/>
        <v>1296311.82</v>
      </c>
      <c r="AQ12" s="134">
        <f t="shared" si="5"/>
        <v>1296311.82</v>
      </c>
      <c r="AR12" s="134">
        <f t="shared" si="5"/>
        <v>1296311.82</v>
      </c>
      <c r="AS12" s="134">
        <f t="shared" si="5"/>
        <v>1296311.82</v>
      </c>
      <c r="AT12" s="134">
        <f t="shared" si="5"/>
        <v>1296311.82</v>
      </c>
      <c r="AU12" s="134">
        <f t="shared" si="5"/>
        <v>1296311.82</v>
      </c>
      <c r="AV12" s="134">
        <f t="shared" si="5"/>
        <v>1296311.82</v>
      </c>
      <c r="AW12" s="134">
        <f t="shared" si="5"/>
        <v>1296311.82</v>
      </c>
      <c r="AX12" s="134">
        <f t="shared" si="5"/>
        <v>1296311.82</v>
      </c>
      <c r="AY12" s="134">
        <f t="shared" si="5"/>
        <v>1296311.82</v>
      </c>
      <c r="AZ12" s="134">
        <f t="shared" si="5"/>
        <v>1296311.82</v>
      </c>
      <c r="BA12" s="134">
        <f t="shared" si="5"/>
        <v>1296311.82</v>
      </c>
      <c r="BB12" s="134">
        <f t="shared" si="5"/>
        <v>1296311.82</v>
      </c>
      <c r="BC12" s="134">
        <f t="shared" ref="BC12" si="6">BC10-BC8+BC5</f>
        <v>1331789.0900000001</v>
      </c>
      <c r="BD12" s="416">
        <f>SUM(C12:BC12)/52.5</f>
        <v>1266668.031619048</v>
      </c>
    </row>
    <row r="13" spans="1:56" ht="13.5" customHeight="1" x14ac:dyDescent="0.25">
      <c r="A13" s="132" t="s">
        <v>24</v>
      </c>
      <c r="B13" s="133"/>
      <c r="C13" s="336">
        <f>9072-C7-C27+C11+C23</f>
        <v>10178</v>
      </c>
      <c r="D13" s="135">
        <f>C13-D7-D27+D11+D23</f>
        <v>9935</v>
      </c>
      <c r="E13" s="135">
        <f t="shared" ref="E13:BA13" si="7">D13-E7-E27+E11+E23</f>
        <v>9594</v>
      </c>
      <c r="F13" s="135">
        <f t="shared" si="7"/>
        <v>9299</v>
      </c>
      <c r="G13" s="136">
        <f t="shared" si="7"/>
        <v>9007</v>
      </c>
      <c r="H13" s="134">
        <f t="shared" si="7"/>
        <v>8665</v>
      </c>
      <c r="I13" s="135">
        <f t="shared" si="7"/>
        <v>8334</v>
      </c>
      <c r="J13" s="135">
        <f t="shared" si="7"/>
        <v>8025</v>
      </c>
      <c r="K13" s="136">
        <f t="shared" si="7"/>
        <v>7678</v>
      </c>
      <c r="L13" s="134">
        <f t="shared" si="7"/>
        <v>7334</v>
      </c>
      <c r="M13" s="135">
        <f t="shared" si="7"/>
        <v>7018</v>
      </c>
      <c r="N13" s="135">
        <f t="shared" si="7"/>
        <v>6661</v>
      </c>
      <c r="O13" s="136">
        <f t="shared" si="7"/>
        <v>6378</v>
      </c>
      <c r="P13" s="134">
        <f t="shared" si="7"/>
        <v>6189</v>
      </c>
      <c r="Q13" s="135">
        <f t="shared" si="7"/>
        <v>6035</v>
      </c>
      <c r="R13" s="135">
        <f>Q13-R7-R27+R11+R23</f>
        <v>5900</v>
      </c>
      <c r="S13" s="136">
        <f t="shared" si="7"/>
        <v>5748</v>
      </c>
      <c r="T13" s="134">
        <f t="shared" si="7"/>
        <v>5637</v>
      </c>
      <c r="U13" s="135">
        <f t="shared" si="7"/>
        <v>5541</v>
      </c>
      <c r="V13" s="135">
        <f t="shared" si="7"/>
        <v>9149</v>
      </c>
      <c r="W13" s="135">
        <f t="shared" si="7"/>
        <v>9063</v>
      </c>
      <c r="X13" s="136">
        <f t="shared" si="7"/>
        <v>8966</v>
      </c>
      <c r="Y13" s="134">
        <f t="shared" si="7"/>
        <v>8862</v>
      </c>
      <c r="Z13" s="135">
        <f t="shared" si="7"/>
        <v>8729</v>
      </c>
      <c r="AA13" s="135">
        <f t="shared" si="7"/>
        <v>8729</v>
      </c>
      <c r="AB13" s="136">
        <f t="shared" si="7"/>
        <v>8729</v>
      </c>
      <c r="AC13" s="134">
        <f t="shared" si="7"/>
        <v>8729</v>
      </c>
      <c r="AD13" s="135">
        <f>AC13-AD7-AD27+AD11+AD23</f>
        <v>8729</v>
      </c>
      <c r="AE13" s="135">
        <f>AD13-AE7-AE27+AE11+AE23</f>
        <v>8729</v>
      </c>
      <c r="AF13" s="136">
        <f t="shared" si="7"/>
        <v>8729</v>
      </c>
      <c r="AG13" s="134">
        <f t="shared" si="7"/>
        <v>8729</v>
      </c>
      <c r="AH13" s="135">
        <f t="shared" si="7"/>
        <v>8729</v>
      </c>
      <c r="AI13" s="135">
        <f t="shared" si="7"/>
        <v>8729</v>
      </c>
      <c r="AJ13" s="135">
        <f t="shared" si="7"/>
        <v>8729</v>
      </c>
      <c r="AK13" s="136">
        <f t="shared" si="7"/>
        <v>8729</v>
      </c>
      <c r="AL13" s="134">
        <f t="shared" si="7"/>
        <v>8729</v>
      </c>
      <c r="AM13" s="135">
        <f t="shared" si="7"/>
        <v>8729</v>
      </c>
      <c r="AN13" s="135">
        <f t="shared" si="7"/>
        <v>8729</v>
      </c>
      <c r="AO13" s="136">
        <f t="shared" si="7"/>
        <v>8729</v>
      </c>
      <c r="AP13" s="134">
        <f t="shared" si="7"/>
        <v>8729</v>
      </c>
      <c r="AQ13" s="135">
        <f t="shared" si="7"/>
        <v>8729</v>
      </c>
      <c r="AR13" s="135">
        <f t="shared" si="7"/>
        <v>8729</v>
      </c>
      <c r="AS13" s="135">
        <f t="shared" si="7"/>
        <v>8729</v>
      </c>
      <c r="AT13" s="136">
        <f t="shared" si="7"/>
        <v>8729</v>
      </c>
      <c r="AU13" s="134">
        <f t="shared" si="7"/>
        <v>8729</v>
      </c>
      <c r="AV13" s="135">
        <f t="shared" si="7"/>
        <v>8729</v>
      </c>
      <c r="AW13" s="135">
        <f t="shared" si="7"/>
        <v>8729</v>
      </c>
      <c r="AX13" s="324">
        <f t="shared" si="7"/>
        <v>8729</v>
      </c>
      <c r="AY13" s="134">
        <f t="shared" si="7"/>
        <v>8729</v>
      </c>
      <c r="AZ13" s="135">
        <f t="shared" si="7"/>
        <v>8729</v>
      </c>
      <c r="BA13" s="135">
        <f t="shared" si="7"/>
        <v>8729</v>
      </c>
      <c r="BB13" s="135">
        <f>BA13-BB7-BB27+BB11+BB23</f>
        <v>8729</v>
      </c>
      <c r="BC13" s="135">
        <v>9072</v>
      </c>
      <c r="BD13" s="416">
        <f>SUM(C13:BC13)/53.5</f>
        <v>8250.6355140186915</v>
      </c>
    </row>
    <row r="14" spans="1:56" s="104" customFormat="1" ht="13.5" customHeight="1" x14ac:dyDescent="0.25">
      <c r="A14" s="175" t="s">
        <v>97</v>
      </c>
      <c r="B14" s="176"/>
      <c r="C14" s="144">
        <v>48841</v>
      </c>
      <c r="D14" s="145">
        <v>164469</v>
      </c>
      <c r="E14" s="145">
        <v>219043</v>
      </c>
      <c r="F14" s="145">
        <v>192988</v>
      </c>
      <c r="G14" s="146">
        <v>188915</v>
      </c>
      <c r="H14" s="147">
        <v>218237</v>
      </c>
      <c r="I14" s="148">
        <v>231995</v>
      </c>
      <c r="J14" s="148">
        <v>209378</v>
      </c>
      <c r="K14" s="149">
        <v>219789</v>
      </c>
      <c r="L14" s="147">
        <v>210110</v>
      </c>
      <c r="M14" s="148">
        <v>193338</v>
      </c>
      <c r="N14" s="148">
        <v>193369</v>
      </c>
      <c r="O14" s="149">
        <v>175517</v>
      </c>
      <c r="P14" s="147">
        <v>132809</v>
      </c>
      <c r="Q14" s="148">
        <v>108682</v>
      </c>
      <c r="R14" s="148">
        <v>103393</v>
      </c>
      <c r="S14" s="149">
        <v>114183</v>
      </c>
      <c r="T14" s="147">
        <v>82323</v>
      </c>
      <c r="U14" s="148">
        <v>72982</v>
      </c>
      <c r="V14" s="148">
        <v>76687</v>
      </c>
      <c r="W14" s="148">
        <v>62593</v>
      </c>
      <c r="X14" s="149">
        <v>72653</v>
      </c>
      <c r="Y14" s="147">
        <v>71581</v>
      </c>
      <c r="Z14" s="148">
        <v>84368</v>
      </c>
      <c r="AA14" s="148"/>
      <c r="AB14" s="149"/>
      <c r="AC14" s="147"/>
      <c r="AD14" s="148"/>
      <c r="AE14" s="148"/>
      <c r="AF14" s="149"/>
      <c r="AG14" s="147"/>
      <c r="AH14" s="148"/>
      <c r="AI14" s="148"/>
      <c r="AJ14" s="148"/>
      <c r="AK14" s="149"/>
      <c r="AL14" s="147"/>
      <c r="AM14" s="148"/>
      <c r="AN14" s="148"/>
      <c r="AO14" s="149"/>
      <c r="AP14" s="147"/>
      <c r="AQ14" s="148"/>
      <c r="AR14" s="148"/>
      <c r="AS14" s="148"/>
      <c r="AT14" s="149"/>
      <c r="AU14" s="147"/>
      <c r="AV14" s="148"/>
      <c r="AW14" s="148"/>
      <c r="AX14" s="325"/>
      <c r="AY14" s="147"/>
      <c r="AZ14" s="148"/>
      <c r="BA14" s="148"/>
      <c r="BB14" s="148"/>
      <c r="BC14" s="148"/>
      <c r="BD14" s="416">
        <f t="shared" si="3"/>
        <v>3448243</v>
      </c>
    </row>
    <row r="15" spans="1:56" s="104" customFormat="1" ht="13.5" customHeight="1" x14ac:dyDescent="0.25">
      <c r="A15" s="175" t="s">
        <v>98</v>
      </c>
      <c r="B15" s="143"/>
      <c r="C15" s="144">
        <v>34445</v>
      </c>
      <c r="D15" s="145">
        <v>112779</v>
      </c>
      <c r="E15" s="145">
        <v>147256</v>
      </c>
      <c r="F15" s="145">
        <v>131182</v>
      </c>
      <c r="G15" s="146">
        <v>126111</v>
      </c>
      <c r="H15" s="147">
        <v>142988</v>
      </c>
      <c r="I15" s="148">
        <v>152014</v>
      </c>
      <c r="J15" s="148">
        <v>136874</v>
      </c>
      <c r="K15" s="149">
        <v>145168</v>
      </c>
      <c r="L15" s="147">
        <v>142232</v>
      </c>
      <c r="M15" s="148">
        <v>131792</v>
      </c>
      <c r="N15" s="148">
        <v>131955</v>
      </c>
      <c r="O15" s="149">
        <v>121928</v>
      </c>
      <c r="P15" s="147">
        <v>93126</v>
      </c>
      <c r="Q15" s="148">
        <v>75500</v>
      </c>
      <c r="R15" s="148">
        <v>70341</v>
      </c>
      <c r="S15" s="149">
        <v>78794</v>
      </c>
      <c r="T15" s="147">
        <v>59260</v>
      </c>
      <c r="U15" s="148">
        <v>52149</v>
      </c>
      <c r="V15" s="148">
        <v>53301</v>
      </c>
      <c r="W15" s="148">
        <v>43523</v>
      </c>
      <c r="X15" s="149">
        <v>47787</v>
      </c>
      <c r="Y15" s="147">
        <v>46613</v>
      </c>
      <c r="Z15" s="148">
        <v>56049</v>
      </c>
      <c r="AA15" s="148"/>
      <c r="AB15" s="149"/>
      <c r="AC15" s="147"/>
      <c r="AD15" s="148"/>
      <c r="AE15" s="148"/>
      <c r="AF15" s="149"/>
      <c r="AG15" s="147"/>
      <c r="AH15" s="148"/>
      <c r="AI15" s="148"/>
      <c r="AJ15" s="148"/>
      <c r="AK15" s="149"/>
      <c r="AL15" s="147"/>
      <c r="AM15" s="148"/>
      <c r="AN15" s="148"/>
      <c r="AO15" s="149"/>
      <c r="AP15" s="147"/>
      <c r="AQ15" s="148"/>
      <c r="AR15" s="148"/>
      <c r="AS15" s="148"/>
      <c r="AT15" s="149"/>
      <c r="AU15" s="147"/>
      <c r="AV15" s="148"/>
      <c r="AW15" s="148"/>
      <c r="AX15" s="325"/>
      <c r="AY15" s="147"/>
      <c r="AZ15" s="148"/>
      <c r="BA15" s="148"/>
      <c r="BB15" s="148"/>
      <c r="BC15" s="148"/>
      <c r="BD15" s="416">
        <f t="shared" si="3"/>
        <v>2333167</v>
      </c>
    </row>
    <row r="16" spans="1:56" ht="13.5" customHeight="1" x14ac:dyDescent="0.25">
      <c r="A16" s="150"/>
      <c r="B16" s="151"/>
      <c r="C16" s="152"/>
      <c r="D16" s="153"/>
      <c r="E16" s="153"/>
      <c r="F16" s="153"/>
      <c r="G16" s="154"/>
      <c r="H16" s="152"/>
      <c r="I16" s="153"/>
      <c r="J16" s="153"/>
      <c r="K16" s="154"/>
      <c r="L16" s="152"/>
      <c r="M16" s="153"/>
      <c r="N16" s="153"/>
      <c r="O16" s="154"/>
      <c r="P16" s="152"/>
      <c r="Q16" s="153"/>
      <c r="R16" s="153"/>
      <c r="S16" s="154"/>
      <c r="T16" s="152"/>
      <c r="U16" s="153"/>
      <c r="V16" s="153"/>
      <c r="W16" s="153"/>
      <c r="X16" s="154"/>
      <c r="Y16" s="152"/>
      <c r="Z16" s="153"/>
      <c r="AA16" s="153"/>
      <c r="AB16" s="154"/>
      <c r="AC16" s="152"/>
      <c r="AD16" s="153"/>
      <c r="AE16" s="153"/>
      <c r="AF16" s="154"/>
      <c r="AG16" s="152"/>
      <c r="AH16" s="153"/>
      <c r="AI16" s="153"/>
      <c r="AJ16" s="153"/>
      <c r="AK16" s="154"/>
      <c r="AL16" s="152"/>
      <c r="AM16" s="153"/>
      <c r="AN16" s="153"/>
      <c r="AO16" s="154"/>
      <c r="AP16" s="152"/>
      <c r="AQ16" s="153"/>
      <c r="AR16" s="153"/>
      <c r="AS16" s="153"/>
      <c r="AT16" s="154"/>
      <c r="AU16" s="152"/>
      <c r="AV16" s="153"/>
      <c r="AW16" s="153"/>
      <c r="AX16" s="151"/>
      <c r="AY16" s="152"/>
      <c r="AZ16" s="153"/>
      <c r="BA16" s="153"/>
      <c r="BB16" s="153"/>
      <c r="BC16" s="153"/>
      <c r="BD16" s="416">
        <f t="shared" si="3"/>
        <v>0</v>
      </c>
    </row>
    <row r="17" spans="1:56" ht="13.5" customHeight="1" x14ac:dyDescent="0.25">
      <c r="A17" s="137" t="s">
        <v>25</v>
      </c>
      <c r="B17" s="138"/>
      <c r="C17" s="139">
        <f>C14-C20</f>
        <v>14515</v>
      </c>
      <c r="D17" s="139">
        <f t="shared" ref="D17:BB17" si="8">D14-D20</f>
        <v>49977.42</v>
      </c>
      <c r="E17" s="139">
        <f>E14-E20</f>
        <v>66083.959999999992</v>
      </c>
      <c r="F17" s="139">
        <f t="shared" si="8"/>
        <v>58319.03</v>
      </c>
      <c r="G17" s="139">
        <f t="shared" si="8"/>
        <v>56648.429999999993</v>
      </c>
      <c r="H17" s="139">
        <f>H14-H20</f>
        <v>66021.399999999994</v>
      </c>
      <c r="I17" s="139">
        <f t="shared" si="8"/>
        <v>71141.23000000001</v>
      </c>
      <c r="J17" s="139">
        <f t="shared" si="8"/>
        <v>65610.81</v>
      </c>
      <c r="K17" s="139">
        <f t="shared" si="8"/>
        <v>69434.37</v>
      </c>
      <c r="L17" s="139">
        <f t="shared" si="8"/>
        <v>67407.239999999991</v>
      </c>
      <c r="M17" s="139">
        <f>M14-M20</f>
        <v>61408.549999999988</v>
      </c>
      <c r="N17" s="139">
        <f t="shared" si="8"/>
        <v>60899.01999999999</v>
      </c>
      <c r="O17" s="139">
        <f t="shared" si="8"/>
        <v>55069.78</v>
      </c>
      <c r="P17" s="139">
        <f t="shared" si="8"/>
        <v>41465.94</v>
      </c>
      <c r="Q17" s="139">
        <f t="shared" si="8"/>
        <v>34670.960000000006</v>
      </c>
      <c r="R17" s="139">
        <f t="shared" si="8"/>
        <v>31895.64</v>
      </c>
      <c r="S17" s="139">
        <f t="shared" si="8"/>
        <v>35726.130000000005</v>
      </c>
      <c r="T17" s="139">
        <f t="shared" si="8"/>
        <v>25879.839999999997</v>
      </c>
      <c r="U17" s="139">
        <f t="shared" si="8"/>
        <v>22383.800000000003</v>
      </c>
      <c r="V17" s="139">
        <f t="shared" si="8"/>
        <v>23161.93</v>
      </c>
      <c r="W17" s="139">
        <f t="shared" si="8"/>
        <v>19259.599999999999</v>
      </c>
      <c r="X17" s="139">
        <f t="shared" si="8"/>
        <v>22524</v>
      </c>
      <c r="Y17" s="139">
        <f t="shared" si="8"/>
        <v>19803.190000000002</v>
      </c>
      <c r="Z17" s="139">
        <f t="shared" si="8"/>
        <v>25897.190000000002</v>
      </c>
      <c r="AA17" s="139">
        <f t="shared" si="8"/>
        <v>0</v>
      </c>
      <c r="AB17" s="139">
        <f t="shared" si="8"/>
        <v>0</v>
      </c>
      <c r="AC17" s="139">
        <f t="shared" si="8"/>
        <v>0</v>
      </c>
      <c r="AD17" s="139">
        <f t="shared" si="8"/>
        <v>0</v>
      </c>
      <c r="AE17" s="139">
        <f t="shared" si="8"/>
        <v>0</v>
      </c>
      <c r="AF17" s="139">
        <f t="shared" si="8"/>
        <v>0</v>
      </c>
      <c r="AG17" s="139">
        <f t="shared" si="8"/>
        <v>0</v>
      </c>
      <c r="AH17" s="139">
        <f t="shared" si="8"/>
        <v>0</v>
      </c>
      <c r="AI17" s="139">
        <f t="shared" si="8"/>
        <v>0</v>
      </c>
      <c r="AJ17" s="139">
        <f t="shared" si="8"/>
        <v>0</v>
      </c>
      <c r="AK17" s="139">
        <f t="shared" si="8"/>
        <v>0</v>
      </c>
      <c r="AL17" s="139">
        <f t="shared" si="8"/>
        <v>0</v>
      </c>
      <c r="AM17" s="139">
        <f t="shared" si="8"/>
        <v>0</v>
      </c>
      <c r="AN17" s="139">
        <f t="shared" si="8"/>
        <v>0</v>
      </c>
      <c r="AO17" s="139">
        <f t="shared" si="8"/>
        <v>0</v>
      </c>
      <c r="AP17" s="139">
        <f t="shared" si="8"/>
        <v>0</v>
      </c>
      <c r="AQ17" s="139">
        <f t="shared" si="8"/>
        <v>0</v>
      </c>
      <c r="AR17" s="139">
        <f t="shared" si="8"/>
        <v>0</v>
      </c>
      <c r="AS17" s="139">
        <f t="shared" si="8"/>
        <v>0</v>
      </c>
      <c r="AT17" s="139">
        <f t="shared" si="8"/>
        <v>0</v>
      </c>
      <c r="AU17" s="139">
        <f t="shared" si="8"/>
        <v>0</v>
      </c>
      <c r="AV17" s="139">
        <f t="shared" si="8"/>
        <v>0</v>
      </c>
      <c r="AW17" s="139">
        <f t="shared" si="8"/>
        <v>0</v>
      </c>
      <c r="AX17" s="139">
        <f t="shared" si="8"/>
        <v>0</v>
      </c>
      <c r="AY17" s="139">
        <f t="shared" si="8"/>
        <v>0</v>
      </c>
      <c r="AZ17" s="139">
        <f t="shared" si="8"/>
        <v>0</v>
      </c>
      <c r="BA17" s="139">
        <f t="shared" si="8"/>
        <v>0</v>
      </c>
      <c r="BB17" s="139">
        <f t="shared" si="8"/>
        <v>0</v>
      </c>
      <c r="BC17" s="139">
        <f t="shared" ref="BC17" si="9">BC14-BC20</f>
        <v>0</v>
      </c>
      <c r="BD17" s="416">
        <f>SUM(C17:BC17)</f>
        <v>1065204.46</v>
      </c>
    </row>
    <row r="18" spans="1:56" ht="13.5" customHeight="1" x14ac:dyDescent="0.25">
      <c r="A18" s="150" t="s">
        <v>26</v>
      </c>
      <c r="B18" s="151"/>
      <c r="C18" s="155">
        <f>C17/C14</f>
        <v>0.29718883724739459</v>
      </c>
      <c r="D18" s="155">
        <f t="shared" ref="D18:BB18" si="10">D17/D14</f>
        <v>0.30387136785655655</v>
      </c>
      <c r="E18" s="155">
        <f t="shared" si="10"/>
        <v>0.3016940052866332</v>
      </c>
      <c r="F18" s="155">
        <f t="shared" si="10"/>
        <v>0.30218992890749685</v>
      </c>
      <c r="G18" s="155">
        <f t="shared" si="10"/>
        <v>0.29986200142921415</v>
      </c>
      <c r="H18" s="155">
        <f t="shared" si="10"/>
        <v>0.3025215705861059</v>
      </c>
      <c r="I18" s="155">
        <f t="shared" si="10"/>
        <v>0.30664984159141367</v>
      </c>
      <c r="J18" s="155">
        <f t="shared" si="10"/>
        <v>0.31336057274403234</v>
      </c>
      <c r="K18" s="155">
        <f t="shared" si="10"/>
        <v>0.31591376274517829</v>
      </c>
      <c r="L18" s="155">
        <f t="shared" si="10"/>
        <v>0.32081880919518341</v>
      </c>
      <c r="M18" s="155">
        <f>M17/M14</f>
        <v>0.3176227642781036</v>
      </c>
      <c r="N18" s="155">
        <f t="shared" si="10"/>
        <v>0.31493683061917882</v>
      </c>
      <c r="O18" s="155">
        <f t="shared" si="10"/>
        <v>0.31375752776084365</v>
      </c>
      <c r="P18" s="155">
        <f t="shared" si="10"/>
        <v>0.31222236444819251</v>
      </c>
      <c r="Q18" s="155">
        <f t="shared" si="10"/>
        <v>0.31901290002024263</v>
      </c>
      <c r="R18" s="155">
        <f t="shared" si="10"/>
        <v>0.30848935614596734</v>
      </c>
      <c r="S18" s="155">
        <f t="shared" si="10"/>
        <v>0.31288484275242379</v>
      </c>
      <c r="T18" s="155">
        <f t="shared" si="10"/>
        <v>0.31436949576667511</v>
      </c>
      <c r="U18" s="155">
        <f t="shared" si="10"/>
        <v>0.30670302266312244</v>
      </c>
      <c r="V18" s="155">
        <f t="shared" si="10"/>
        <v>0.30203202628867998</v>
      </c>
      <c r="W18" s="155">
        <f t="shared" si="10"/>
        <v>0.30769574872589583</v>
      </c>
      <c r="X18" s="155">
        <f t="shared" si="10"/>
        <v>0.31002160956877212</v>
      </c>
      <c r="Y18" s="155">
        <f t="shared" si="10"/>
        <v>0.27665427976697732</v>
      </c>
      <c r="Z18" s="155">
        <f t="shared" si="10"/>
        <v>0.3069551251659397</v>
      </c>
      <c r="AA18" s="155" t="e">
        <f t="shared" si="10"/>
        <v>#DIV/0!</v>
      </c>
      <c r="AB18" s="155" t="e">
        <f t="shared" si="10"/>
        <v>#DIV/0!</v>
      </c>
      <c r="AC18" s="155" t="e">
        <f t="shared" si="10"/>
        <v>#DIV/0!</v>
      </c>
      <c r="AD18" s="155" t="e">
        <f t="shared" si="10"/>
        <v>#DIV/0!</v>
      </c>
      <c r="AE18" s="155" t="e">
        <f t="shared" si="10"/>
        <v>#DIV/0!</v>
      </c>
      <c r="AF18" s="155" t="e">
        <f t="shared" si="10"/>
        <v>#DIV/0!</v>
      </c>
      <c r="AG18" s="155" t="e">
        <f t="shared" si="10"/>
        <v>#DIV/0!</v>
      </c>
      <c r="AH18" s="155" t="e">
        <f t="shared" si="10"/>
        <v>#DIV/0!</v>
      </c>
      <c r="AI18" s="155" t="e">
        <f t="shared" si="10"/>
        <v>#DIV/0!</v>
      </c>
      <c r="AJ18" s="155" t="e">
        <f t="shared" si="10"/>
        <v>#DIV/0!</v>
      </c>
      <c r="AK18" s="155" t="e">
        <f t="shared" si="10"/>
        <v>#DIV/0!</v>
      </c>
      <c r="AL18" s="155" t="e">
        <f t="shared" si="10"/>
        <v>#DIV/0!</v>
      </c>
      <c r="AM18" s="155" t="e">
        <f t="shared" si="10"/>
        <v>#DIV/0!</v>
      </c>
      <c r="AN18" s="155" t="e">
        <f t="shared" si="10"/>
        <v>#DIV/0!</v>
      </c>
      <c r="AO18" s="155" t="e">
        <f t="shared" si="10"/>
        <v>#DIV/0!</v>
      </c>
      <c r="AP18" s="155" t="e">
        <f t="shared" si="10"/>
        <v>#DIV/0!</v>
      </c>
      <c r="AQ18" s="155" t="e">
        <f t="shared" si="10"/>
        <v>#DIV/0!</v>
      </c>
      <c r="AR18" s="155" t="e">
        <f t="shared" si="10"/>
        <v>#DIV/0!</v>
      </c>
      <c r="AS18" s="155" t="e">
        <f t="shared" si="10"/>
        <v>#DIV/0!</v>
      </c>
      <c r="AT18" s="155" t="e">
        <f t="shared" si="10"/>
        <v>#DIV/0!</v>
      </c>
      <c r="AU18" s="155" t="e">
        <f t="shared" si="10"/>
        <v>#DIV/0!</v>
      </c>
      <c r="AV18" s="155" t="e">
        <f t="shared" si="10"/>
        <v>#DIV/0!</v>
      </c>
      <c r="AW18" s="155" t="e">
        <f t="shared" si="10"/>
        <v>#DIV/0!</v>
      </c>
      <c r="AX18" s="155" t="e">
        <f t="shared" si="10"/>
        <v>#DIV/0!</v>
      </c>
      <c r="AY18" s="155" t="e">
        <f t="shared" si="10"/>
        <v>#DIV/0!</v>
      </c>
      <c r="AZ18" s="155" t="e">
        <f t="shared" si="10"/>
        <v>#DIV/0!</v>
      </c>
      <c r="BA18" s="155" t="e">
        <f t="shared" si="10"/>
        <v>#DIV/0!</v>
      </c>
      <c r="BB18" s="155" t="e">
        <f t="shared" si="10"/>
        <v>#DIV/0!</v>
      </c>
      <c r="BC18" s="155" t="e">
        <f t="shared" ref="BC18" si="11">BC17/BC14</f>
        <v>#DIV/0!</v>
      </c>
      <c r="BD18" s="416" t="e">
        <f t="shared" ref="BD18:BD23" si="12">SUM(C18:BC18)</f>
        <v>#DIV/0!</v>
      </c>
    </row>
    <row r="19" spans="1:56" ht="13.5" customHeight="1" x14ac:dyDescent="0.25">
      <c r="A19" s="150"/>
      <c r="B19" s="151"/>
      <c r="C19" s="152"/>
      <c r="D19" s="153"/>
      <c r="E19" s="153"/>
      <c r="F19" s="153"/>
      <c r="G19" s="154"/>
      <c r="H19" s="152"/>
      <c r="I19" s="153"/>
      <c r="J19" s="153"/>
      <c r="K19" s="154"/>
      <c r="L19" s="152"/>
      <c r="M19" s="153"/>
      <c r="N19" s="153"/>
      <c r="O19" s="154"/>
      <c r="P19" s="152"/>
      <c r="Q19" s="153"/>
      <c r="R19" s="153"/>
      <c r="S19" s="154"/>
      <c r="T19" s="152"/>
      <c r="U19" s="153"/>
      <c r="V19" s="153"/>
      <c r="W19" s="153"/>
      <c r="X19" s="154"/>
      <c r="Y19" s="152"/>
      <c r="Z19" s="153"/>
      <c r="AA19" s="153"/>
      <c r="AB19" s="154"/>
      <c r="AC19" s="152"/>
      <c r="AD19" s="153"/>
      <c r="AE19" s="153"/>
      <c r="AF19" s="154"/>
      <c r="AG19" s="152"/>
      <c r="AH19" s="153"/>
      <c r="AI19" s="153"/>
      <c r="AJ19" s="153"/>
      <c r="AK19" s="154"/>
      <c r="AL19" s="152"/>
      <c r="AM19" s="153"/>
      <c r="AN19" s="153"/>
      <c r="AO19" s="154"/>
      <c r="AP19" s="152"/>
      <c r="AQ19" s="153"/>
      <c r="AR19" s="153"/>
      <c r="AS19" s="153"/>
      <c r="AT19" s="154"/>
      <c r="AU19" s="152"/>
      <c r="AV19" s="153"/>
      <c r="AW19" s="153"/>
      <c r="AX19" s="151"/>
      <c r="AY19" s="152"/>
      <c r="AZ19" s="153"/>
      <c r="BA19" s="153"/>
      <c r="BB19" s="153"/>
      <c r="BC19" s="153"/>
      <c r="BD19" s="416">
        <f t="shared" si="12"/>
        <v>0</v>
      </c>
    </row>
    <row r="20" spans="1:56" ht="13.5" customHeight="1" x14ac:dyDescent="0.25">
      <c r="A20" s="142" t="s">
        <v>27</v>
      </c>
      <c r="B20" s="143"/>
      <c r="C20" s="144">
        <v>34326</v>
      </c>
      <c r="D20" s="145">
        <v>114491.58</v>
      </c>
      <c r="E20" s="145">
        <v>152959.04000000001</v>
      </c>
      <c r="F20" s="145">
        <v>134668.97</v>
      </c>
      <c r="G20" s="146">
        <v>132266.57</v>
      </c>
      <c r="H20" s="147">
        <v>152215.6</v>
      </c>
      <c r="I20" s="148">
        <v>160853.76999999999</v>
      </c>
      <c r="J20" s="148">
        <v>143767.19</v>
      </c>
      <c r="K20" s="149">
        <v>150354.63</v>
      </c>
      <c r="L20" s="147">
        <v>142702.76</v>
      </c>
      <c r="M20" s="148">
        <v>131929.45000000001</v>
      </c>
      <c r="N20" s="148">
        <v>132469.98000000001</v>
      </c>
      <c r="O20" s="149">
        <v>120447.22</v>
      </c>
      <c r="P20" s="147">
        <v>91343.06</v>
      </c>
      <c r="Q20" s="148">
        <v>74011.039999999994</v>
      </c>
      <c r="R20" s="148">
        <v>71497.36</v>
      </c>
      <c r="S20" s="149">
        <v>78456.87</v>
      </c>
      <c r="T20" s="147">
        <v>56443.16</v>
      </c>
      <c r="U20" s="148">
        <v>50598.2</v>
      </c>
      <c r="V20" s="148">
        <v>53525.07</v>
      </c>
      <c r="W20" s="148">
        <v>43333.4</v>
      </c>
      <c r="X20" s="149">
        <v>50129</v>
      </c>
      <c r="Y20" s="147">
        <v>51777.81</v>
      </c>
      <c r="Z20" s="148">
        <v>58470.81</v>
      </c>
      <c r="AA20" s="148"/>
      <c r="AB20" s="149"/>
      <c r="AC20" s="147"/>
      <c r="AD20" s="148"/>
      <c r="AE20" s="148"/>
      <c r="AF20" s="149"/>
      <c r="AG20" s="147"/>
      <c r="AH20" s="148"/>
      <c r="AI20" s="148"/>
      <c r="AJ20" s="148"/>
      <c r="AK20" s="149"/>
      <c r="AL20" s="147"/>
      <c r="AM20" s="148"/>
      <c r="AN20" s="148"/>
      <c r="AO20" s="149"/>
      <c r="AP20" s="147"/>
      <c r="AQ20" s="148"/>
      <c r="AR20" s="148"/>
      <c r="AS20" s="148"/>
      <c r="AT20" s="149"/>
      <c r="AU20" s="147"/>
      <c r="AV20" s="148"/>
      <c r="AW20" s="148"/>
      <c r="AX20" s="325"/>
      <c r="AY20" s="147"/>
      <c r="AZ20" s="148"/>
      <c r="BA20" s="148"/>
      <c r="BB20" s="148"/>
      <c r="BC20" s="148"/>
      <c r="BD20" s="416">
        <f t="shared" si="12"/>
        <v>2383038.54</v>
      </c>
    </row>
    <row r="21" spans="1:56" ht="13.5" customHeight="1" x14ac:dyDescent="0.25">
      <c r="A21" s="142"/>
      <c r="B21" s="151"/>
      <c r="C21" s="152"/>
      <c r="D21" s="153"/>
      <c r="E21" s="153"/>
      <c r="F21" s="153"/>
      <c r="G21" s="154"/>
      <c r="H21" s="152"/>
      <c r="I21" s="153"/>
      <c r="J21" s="153"/>
      <c r="K21" s="154"/>
      <c r="L21" s="152"/>
      <c r="M21" s="153"/>
      <c r="N21" s="153"/>
      <c r="O21" s="154"/>
      <c r="P21" s="152"/>
      <c r="Q21" s="153"/>
      <c r="R21" s="153"/>
      <c r="S21" s="154"/>
      <c r="T21" s="152"/>
      <c r="U21" s="153"/>
      <c r="V21" s="153"/>
      <c r="W21" s="153"/>
      <c r="X21" s="154"/>
      <c r="Y21" s="152"/>
      <c r="Z21" s="153"/>
      <c r="AA21" s="153"/>
      <c r="AB21" s="154"/>
      <c r="AC21" s="152"/>
      <c r="AD21" s="153"/>
      <c r="AE21" s="153"/>
      <c r="AF21" s="154"/>
      <c r="AG21" s="152"/>
      <c r="AH21" s="153"/>
      <c r="AI21" s="153"/>
      <c r="AJ21" s="153"/>
      <c r="AK21" s="154"/>
      <c r="AL21" s="152"/>
      <c r="AM21" s="153"/>
      <c r="AN21" s="153"/>
      <c r="AO21" s="154"/>
      <c r="AP21" s="152"/>
      <c r="AQ21" s="153"/>
      <c r="AR21" s="153"/>
      <c r="AS21" s="153"/>
      <c r="AT21" s="154"/>
      <c r="AU21" s="152"/>
      <c r="AV21" s="153"/>
      <c r="AW21" s="153"/>
      <c r="AX21" s="151"/>
      <c r="AY21" s="152"/>
      <c r="AZ21" s="153"/>
      <c r="BA21" s="153"/>
      <c r="BB21" s="153"/>
      <c r="BC21" s="153"/>
      <c r="BD21" s="416">
        <f t="shared" si="12"/>
        <v>0</v>
      </c>
    </row>
    <row r="22" spans="1:56" ht="13.5" customHeight="1" x14ac:dyDescent="0.25">
      <c r="A22" s="150" t="s">
        <v>28</v>
      </c>
      <c r="B22" s="151"/>
      <c r="C22" s="158"/>
      <c r="D22" s="159"/>
      <c r="E22" s="159"/>
      <c r="F22" s="159"/>
      <c r="G22" s="160"/>
      <c r="H22" s="161"/>
      <c r="I22" s="162"/>
      <c r="J22" s="162"/>
      <c r="K22" s="163"/>
      <c r="L22" s="161"/>
      <c r="M22" s="162">
        <v>708</v>
      </c>
      <c r="N22" s="162">
        <v>1515</v>
      </c>
      <c r="O22" s="163">
        <v>2067</v>
      </c>
      <c r="P22" s="161">
        <v>1526</v>
      </c>
      <c r="Q22" s="162">
        <v>519</v>
      </c>
      <c r="R22" s="162"/>
      <c r="S22" s="163"/>
      <c r="T22" s="161">
        <v>2377</v>
      </c>
      <c r="U22" s="162">
        <v>2931</v>
      </c>
      <c r="V22" s="162">
        <v>859</v>
      </c>
      <c r="W22" s="162">
        <v>2204</v>
      </c>
      <c r="X22" s="163">
        <v>1414</v>
      </c>
      <c r="Y22" s="161">
        <v>638</v>
      </c>
      <c r="Z22" s="162">
        <v>519</v>
      </c>
      <c r="AA22" s="162"/>
      <c r="AB22" s="163"/>
      <c r="AC22" s="161"/>
      <c r="AD22" s="162"/>
      <c r="AE22" s="162"/>
      <c r="AF22" s="163"/>
      <c r="AG22" s="161"/>
      <c r="AH22" s="162"/>
      <c r="AI22" s="162"/>
      <c r="AJ22" s="162"/>
      <c r="AK22" s="163"/>
      <c r="AL22" s="161"/>
      <c r="AM22" s="162"/>
      <c r="AN22" s="162"/>
      <c r="AO22" s="163"/>
      <c r="AP22" s="161"/>
      <c r="AQ22" s="162"/>
      <c r="AR22" s="162"/>
      <c r="AS22" s="162"/>
      <c r="AT22" s="163"/>
      <c r="AU22" s="161"/>
      <c r="AV22" s="162"/>
      <c r="AW22" s="162"/>
      <c r="AX22" s="326"/>
      <c r="AY22" s="161"/>
      <c r="AZ22" s="162"/>
      <c r="BA22" s="162"/>
      <c r="BB22" s="162"/>
      <c r="BC22" s="162"/>
      <c r="BD22" s="416">
        <f t="shared" si="12"/>
        <v>17277</v>
      </c>
    </row>
    <row r="23" spans="1:56" ht="13.5" customHeight="1" x14ac:dyDescent="0.25">
      <c r="A23" s="150" t="s">
        <v>29</v>
      </c>
      <c r="B23" s="151"/>
      <c r="C23" s="158"/>
      <c r="D23" s="159"/>
      <c r="E23" s="159"/>
      <c r="F23" s="159"/>
      <c r="G23" s="160"/>
      <c r="H23" s="161"/>
      <c r="I23" s="162"/>
      <c r="J23" s="162"/>
      <c r="K23" s="163"/>
      <c r="L23" s="161"/>
      <c r="M23" s="162">
        <v>1</v>
      </c>
      <c r="N23" s="162">
        <v>3</v>
      </c>
      <c r="O23" s="163">
        <v>3</v>
      </c>
      <c r="P23" s="161">
        <v>3</v>
      </c>
      <c r="Q23" s="162">
        <v>1</v>
      </c>
      <c r="R23" s="162"/>
      <c r="S23" s="163"/>
      <c r="T23" s="161">
        <v>3</v>
      </c>
      <c r="U23" s="162">
        <v>3</v>
      </c>
      <c r="V23" s="162">
        <v>1</v>
      </c>
      <c r="W23" s="162">
        <v>3</v>
      </c>
      <c r="X23" s="163">
        <v>2</v>
      </c>
      <c r="Y23" s="161">
        <v>1</v>
      </c>
      <c r="Z23" s="162">
        <v>1</v>
      </c>
      <c r="AA23" s="162"/>
      <c r="AB23" s="163"/>
      <c r="AC23" s="161"/>
      <c r="AD23" s="162"/>
      <c r="AE23" s="162"/>
      <c r="AF23" s="163"/>
      <c r="AG23" s="161"/>
      <c r="AH23" s="162"/>
      <c r="AI23" s="162"/>
      <c r="AJ23" s="162"/>
      <c r="AK23" s="163"/>
      <c r="AL23" s="161"/>
      <c r="AM23" s="162"/>
      <c r="AN23" s="162"/>
      <c r="AO23" s="163"/>
      <c r="AP23" s="161"/>
      <c r="AQ23" s="162"/>
      <c r="AR23" s="162"/>
      <c r="AS23" s="162"/>
      <c r="AT23" s="163"/>
      <c r="AU23" s="161"/>
      <c r="AV23" s="162"/>
      <c r="AW23" s="162"/>
      <c r="AX23" s="326"/>
      <c r="AY23" s="161"/>
      <c r="AZ23" s="162"/>
      <c r="BA23" s="162"/>
      <c r="BB23" s="162"/>
      <c r="BC23" s="162"/>
      <c r="BD23" s="416">
        <f t="shared" si="12"/>
        <v>25</v>
      </c>
    </row>
    <row r="24" spans="1:56" ht="13.5" customHeight="1" x14ac:dyDescent="0.25">
      <c r="A24" s="150" t="s">
        <v>30</v>
      </c>
      <c r="B24" s="151"/>
      <c r="C24" s="155">
        <f>C22/(C14-C22)</f>
        <v>0</v>
      </c>
      <c r="D24" s="155">
        <f t="shared" ref="D24:BB24" si="13">D22/(D14-D22)</f>
        <v>0</v>
      </c>
      <c r="E24" s="155">
        <f t="shared" si="13"/>
        <v>0</v>
      </c>
      <c r="F24" s="155">
        <f t="shared" si="13"/>
        <v>0</v>
      </c>
      <c r="G24" s="155">
        <f t="shared" si="13"/>
        <v>0</v>
      </c>
      <c r="H24" s="155">
        <f t="shared" si="13"/>
        <v>0</v>
      </c>
      <c r="I24" s="155">
        <f t="shared" si="13"/>
        <v>0</v>
      </c>
      <c r="J24" s="155">
        <f t="shared" si="13"/>
        <v>0</v>
      </c>
      <c r="K24" s="155">
        <f t="shared" si="13"/>
        <v>0</v>
      </c>
      <c r="L24" s="155">
        <f t="shared" si="13"/>
        <v>0</v>
      </c>
      <c r="M24" s="155">
        <f>M22/(M14-M22)</f>
        <v>3.6754399626226443E-3</v>
      </c>
      <c r="N24" s="155">
        <f t="shared" si="13"/>
        <v>7.8966297288563178E-3</v>
      </c>
      <c r="O24" s="155">
        <f t="shared" si="13"/>
        <v>1.1916978956471605E-2</v>
      </c>
      <c r="P24" s="155">
        <f t="shared" si="13"/>
        <v>1.1623744125286595E-2</v>
      </c>
      <c r="Q24" s="155">
        <f t="shared" si="13"/>
        <v>4.7983136562410435E-3</v>
      </c>
      <c r="R24" s="155">
        <f t="shared" si="13"/>
        <v>0</v>
      </c>
      <c r="S24" s="155">
        <f t="shared" si="13"/>
        <v>0</v>
      </c>
      <c r="T24" s="155">
        <f t="shared" si="13"/>
        <v>2.973256948440197E-2</v>
      </c>
      <c r="U24" s="155">
        <f t="shared" si="13"/>
        <v>4.1840944454754392E-2</v>
      </c>
      <c r="V24" s="155">
        <f t="shared" si="13"/>
        <v>1.1328269240913647E-2</v>
      </c>
      <c r="W24" s="155">
        <f t="shared" si="13"/>
        <v>3.6496712977529024E-2</v>
      </c>
      <c r="X24" s="155">
        <f t="shared" si="13"/>
        <v>1.9848678392453571E-2</v>
      </c>
      <c r="Y24" s="155">
        <f t="shared" si="13"/>
        <v>8.9931353340005349E-3</v>
      </c>
      <c r="Z24" s="155">
        <f t="shared" si="13"/>
        <v>6.1896981478610363E-3</v>
      </c>
      <c r="AA24" s="155" t="e">
        <f t="shared" si="13"/>
        <v>#DIV/0!</v>
      </c>
      <c r="AB24" s="155" t="e">
        <f t="shared" si="13"/>
        <v>#DIV/0!</v>
      </c>
      <c r="AC24" s="155" t="e">
        <f t="shared" si="13"/>
        <v>#DIV/0!</v>
      </c>
      <c r="AD24" s="155" t="e">
        <f t="shared" si="13"/>
        <v>#DIV/0!</v>
      </c>
      <c r="AE24" s="155" t="e">
        <f t="shared" si="13"/>
        <v>#DIV/0!</v>
      </c>
      <c r="AF24" s="155" t="e">
        <f t="shared" si="13"/>
        <v>#DIV/0!</v>
      </c>
      <c r="AG24" s="155" t="e">
        <f t="shared" si="13"/>
        <v>#DIV/0!</v>
      </c>
      <c r="AH24" s="155" t="e">
        <f t="shared" si="13"/>
        <v>#DIV/0!</v>
      </c>
      <c r="AI24" s="155" t="e">
        <f t="shared" si="13"/>
        <v>#DIV/0!</v>
      </c>
      <c r="AJ24" s="155" t="e">
        <f t="shared" si="13"/>
        <v>#DIV/0!</v>
      </c>
      <c r="AK24" s="155" t="e">
        <f t="shared" si="13"/>
        <v>#DIV/0!</v>
      </c>
      <c r="AL24" s="155" t="e">
        <f t="shared" si="13"/>
        <v>#DIV/0!</v>
      </c>
      <c r="AM24" s="155" t="e">
        <f t="shared" si="13"/>
        <v>#DIV/0!</v>
      </c>
      <c r="AN24" s="155" t="e">
        <f t="shared" si="13"/>
        <v>#DIV/0!</v>
      </c>
      <c r="AO24" s="155" t="e">
        <f t="shared" si="13"/>
        <v>#DIV/0!</v>
      </c>
      <c r="AP24" s="155" t="e">
        <f t="shared" si="13"/>
        <v>#DIV/0!</v>
      </c>
      <c r="AQ24" s="155" t="e">
        <f t="shared" si="13"/>
        <v>#DIV/0!</v>
      </c>
      <c r="AR24" s="155" t="e">
        <f t="shared" si="13"/>
        <v>#DIV/0!</v>
      </c>
      <c r="AS24" s="155" t="e">
        <f t="shared" si="13"/>
        <v>#DIV/0!</v>
      </c>
      <c r="AT24" s="155" t="e">
        <f t="shared" si="13"/>
        <v>#DIV/0!</v>
      </c>
      <c r="AU24" s="155" t="e">
        <f t="shared" si="13"/>
        <v>#DIV/0!</v>
      </c>
      <c r="AV24" s="155" t="e">
        <f t="shared" si="13"/>
        <v>#DIV/0!</v>
      </c>
      <c r="AW24" s="155" t="e">
        <f t="shared" si="13"/>
        <v>#DIV/0!</v>
      </c>
      <c r="AX24" s="155" t="e">
        <f t="shared" si="13"/>
        <v>#DIV/0!</v>
      </c>
      <c r="AY24" s="155" t="e">
        <f t="shared" si="13"/>
        <v>#DIV/0!</v>
      </c>
      <c r="AZ24" s="155" t="e">
        <f t="shared" si="13"/>
        <v>#DIV/0!</v>
      </c>
      <c r="BA24" s="155" t="e">
        <f t="shared" si="13"/>
        <v>#DIV/0!</v>
      </c>
      <c r="BB24" s="155" t="e">
        <f t="shared" si="13"/>
        <v>#DIV/0!</v>
      </c>
      <c r="BC24" s="155" t="e">
        <f t="shared" ref="BC24" si="14">BC22/(BC14-BC22)</f>
        <v>#DIV/0!</v>
      </c>
      <c r="BD24" s="417">
        <f>BD22/(BD14-BD22)</f>
        <v>5.0356080474128857E-3</v>
      </c>
    </row>
    <row r="25" spans="1:56" ht="13.5" customHeight="1" x14ac:dyDescent="0.25">
      <c r="A25" s="142"/>
      <c r="B25" s="143"/>
      <c r="C25" s="164"/>
      <c r="D25" s="165"/>
      <c r="E25" s="165"/>
      <c r="F25" s="165"/>
      <c r="G25" s="166"/>
      <c r="H25" s="164"/>
      <c r="I25" s="165"/>
      <c r="J25" s="165"/>
      <c r="K25" s="166"/>
      <c r="L25" s="164"/>
      <c r="M25" s="165"/>
      <c r="N25" s="165"/>
      <c r="O25" s="166"/>
      <c r="P25" s="164"/>
      <c r="Q25" s="165"/>
      <c r="R25" s="165"/>
      <c r="S25" s="166"/>
      <c r="T25" s="164"/>
      <c r="U25" s="165"/>
      <c r="V25" s="165"/>
      <c r="W25" s="165"/>
      <c r="X25" s="166"/>
      <c r="Y25" s="164"/>
      <c r="Z25" s="165"/>
      <c r="AA25" s="165"/>
      <c r="AB25" s="166"/>
      <c r="AC25" s="164"/>
      <c r="AD25" s="165"/>
      <c r="AE25" s="165"/>
      <c r="AF25" s="166"/>
      <c r="AG25" s="164"/>
      <c r="AH25" s="165"/>
      <c r="AI25" s="165"/>
      <c r="AJ25" s="165"/>
      <c r="AK25" s="166"/>
      <c r="AL25" s="164"/>
      <c r="AM25" s="165"/>
      <c r="AN25" s="165"/>
      <c r="AO25" s="166"/>
      <c r="AP25" s="164"/>
      <c r="AQ25" s="165"/>
      <c r="AR25" s="165"/>
      <c r="AS25" s="165"/>
      <c r="AT25" s="166"/>
      <c r="AU25" s="164"/>
      <c r="AV25" s="165"/>
      <c r="AW25" s="165"/>
      <c r="AX25" s="143"/>
      <c r="AY25" s="164"/>
      <c r="AZ25" s="165"/>
      <c r="BA25" s="165"/>
      <c r="BB25" s="165"/>
      <c r="BC25" s="165"/>
      <c r="BD25" s="416"/>
    </row>
    <row r="26" spans="1:56" ht="13.5" hidden="1" customHeight="1" x14ac:dyDescent="0.25">
      <c r="A26" s="167" t="s">
        <v>31</v>
      </c>
      <c r="B26" s="151"/>
      <c r="C26" s="152"/>
      <c r="D26" s="153"/>
      <c r="E26" s="153"/>
      <c r="F26" s="153"/>
      <c r="G26" s="154"/>
      <c r="H26" s="152"/>
      <c r="I26" s="153"/>
      <c r="J26" s="153"/>
      <c r="K26" s="154"/>
      <c r="L26" s="152"/>
      <c r="M26" s="153"/>
      <c r="N26" s="153"/>
      <c r="O26" s="154"/>
      <c r="P26" s="152"/>
      <c r="Q26" s="153"/>
      <c r="R26" s="153"/>
      <c r="S26" s="154"/>
      <c r="T26" s="152"/>
      <c r="U26" s="153"/>
      <c r="V26" s="153"/>
      <c r="W26" s="153"/>
      <c r="X26" s="154"/>
      <c r="Y26" s="152"/>
      <c r="Z26" s="153"/>
      <c r="AA26" s="153"/>
      <c r="AB26" s="154"/>
      <c r="AC26" s="152"/>
      <c r="AD26" s="153"/>
      <c r="AE26" s="153"/>
      <c r="AF26" s="154"/>
      <c r="AG26" s="152"/>
      <c r="AH26" s="153"/>
      <c r="AI26" s="153"/>
      <c r="AJ26" s="153"/>
      <c r="AK26" s="154"/>
      <c r="AL26" s="152"/>
      <c r="AM26" s="153"/>
      <c r="AN26" s="153"/>
      <c r="AO26" s="154"/>
      <c r="AP26" s="152"/>
      <c r="AQ26" s="153"/>
      <c r="AR26" s="153"/>
      <c r="AS26" s="153"/>
      <c r="AT26" s="154"/>
      <c r="AU26" s="152"/>
      <c r="AV26" s="153"/>
      <c r="AW26" s="153"/>
      <c r="AX26" s="151"/>
      <c r="AY26" s="152"/>
      <c r="AZ26" s="153"/>
      <c r="BA26" s="153"/>
      <c r="BB26" s="153"/>
      <c r="BC26" s="153"/>
      <c r="BD26" s="416">
        <f>SUM(C26:BB26)</f>
        <v>0</v>
      </c>
    </row>
    <row r="27" spans="1:56" ht="13.5" customHeight="1" x14ac:dyDescent="0.25">
      <c r="A27" s="167" t="s">
        <v>32</v>
      </c>
      <c r="B27" s="151"/>
      <c r="C27" s="158"/>
      <c r="D27" s="159"/>
      <c r="E27" s="159"/>
      <c r="F27" s="159"/>
      <c r="G27" s="160"/>
      <c r="H27" s="161"/>
      <c r="I27" s="162"/>
      <c r="J27" s="162"/>
      <c r="K27" s="163"/>
      <c r="L27" s="161"/>
      <c r="M27" s="162"/>
      <c r="N27" s="162"/>
      <c r="O27" s="163"/>
      <c r="P27" s="161"/>
      <c r="Q27" s="162">
        <v>1</v>
      </c>
      <c r="R27" s="162"/>
      <c r="S27" s="163"/>
      <c r="T27" s="161"/>
      <c r="U27" s="162"/>
      <c r="V27" s="162"/>
      <c r="W27" s="162"/>
      <c r="X27" s="163"/>
      <c r="Y27" s="161"/>
      <c r="Z27" s="162"/>
      <c r="AA27" s="162"/>
      <c r="AB27" s="163"/>
      <c r="AC27" s="161"/>
      <c r="AD27" s="162"/>
      <c r="AE27" s="162"/>
      <c r="AF27" s="163"/>
      <c r="AG27" s="161"/>
      <c r="AH27" s="162"/>
      <c r="AI27" s="162"/>
      <c r="AJ27" s="162"/>
      <c r="AK27" s="163"/>
      <c r="AL27" s="161"/>
      <c r="AM27" s="162"/>
      <c r="AN27" s="162"/>
      <c r="AO27" s="163"/>
      <c r="AP27" s="161"/>
      <c r="AQ27" s="162"/>
      <c r="AR27" s="162"/>
      <c r="AS27" s="162"/>
      <c r="AT27" s="163"/>
      <c r="AU27" s="161"/>
      <c r="AV27" s="162"/>
      <c r="AW27" s="162"/>
      <c r="AX27" s="326"/>
      <c r="AY27" s="161"/>
      <c r="AZ27" s="162"/>
      <c r="BA27" s="162"/>
      <c r="BB27" s="162"/>
      <c r="BC27" s="162"/>
      <c r="BD27" s="416">
        <f t="shared" ref="BD27:BD29" si="15">SUM(C27:BC27)</f>
        <v>1</v>
      </c>
    </row>
    <row r="28" spans="1:56" ht="13.5" customHeight="1" x14ac:dyDescent="0.25">
      <c r="A28" s="168" t="s">
        <v>33</v>
      </c>
      <c r="B28" s="169"/>
      <c r="C28" s="155">
        <f>C27/C7</f>
        <v>0</v>
      </c>
      <c r="D28" s="156">
        <f t="shared" ref="D28:BB28" si="16">D27/D7</f>
        <v>0</v>
      </c>
      <c r="E28" s="156">
        <f t="shared" si="16"/>
        <v>0</v>
      </c>
      <c r="F28" s="156">
        <f t="shared" si="16"/>
        <v>0</v>
      </c>
      <c r="G28" s="157">
        <f t="shared" si="16"/>
        <v>0</v>
      </c>
      <c r="H28" s="155">
        <f t="shared" si="16"/>
        <v>0</v>
      </c>
      <c r="I28" s="156">
        <f t="shared" si="16"/>
        <v>0</v>
      </c>
      <c r="J28" s="156">
        <f t="shared" si="16"/>
        <v>0</v>
      </c>
      <c r="K28" s="157">
        <f t="shared" si="16"/>
        <v>0</v>
      </c>
      <c r="L28" s="155">
        <f t="shared" si="16"/>
        <v>0</v>
      </c>
      <c r="M28" s="156">
        <f t="shared" si="16"/>
        <v>0</v>
      </c>
      <c r="N28" s="156">
        <f t="shared" si="16"/>
        <v>0</v>
      </c>
      <c r="O28" s="157">
        <f t="shared" si="16"/>
        <v>0</v>
      </c>
      <c r="P28" s="155">
        <f t="shared" si="16"/>
        <v>0</v>
      </c>
      <c r="Q28" s="156">
        <f t="shared" si="16"/>
        <v>6.4935064935064939E-3</v>
      </c>
      <c r="R28" s="156">
        <f t="shared" si="16"/>
        <v>0</v>
      </c>
      <c r="S28" s="157">
        <f t="shared" si="16"/>
        <v>0</v>
      </c>
      <c r="T28" s="155">
        <f t="shared" si="16"/>
        <v>0</v>
      </c>
      <c r="U28" s="156">
        <f t="shared" si="16"/>
        <v>0</v>
      </c>
      <c r="V28" s="156">
        <f t="shared" si="16"/>
        <v>0</v>
      </c>
      <c r="W28" s="156">
        <f t="shared" si="16"/>
        <v>0</v>
      </c>
      <c r="X28" s="157">
        <f t="shared" si="16"/>
        <v>0</v>
      </c>
      <c r="Y28" s="155">
        <f t="shared" si="16"/>
        <v>0</v>
      </c>
      <c r="Z28" s="156">
        <f t="shared" si="16"/>
        <v>0</v>
      </c>
      <c r="AA28" s="156" t="e">
        <f t="shared" si="16"/>
        <v>#DIV/0!</v>
      </c>
      <c r="AB28" s="157" t="e">
        <f t="shared" si="16"/>
        <v>#DIV/0!</v>
      </c>
      <c r="AC28" s="155" t="e">
        <f t="shared" si="16"/>
        <v>#DIV/0!</v>
      </c>
      <c r="AD28" s="156" t="e">
        <f t="shared" si="16"/>
        <v>#DIV/0!</v>
      </c>
      <c r="AE28" s="156" t="e">
        <f t="shared" si="16"/>
        <v>#DIV/0!</v>
      </c>
      <c r="AF28" s="157" t="e">
        <f t="shared" si="16"/>
        <v>#DIV/0!</v>
      </c>
      <c r="AG28" s="155" t="e">
        <f t="shared" si="16"/>
        <v>#DIV/0!</v>
      </c>
      <c r="AH28" s="156" t="e">
        <f t="shared" si="16"/>
        <v>#DIV/0!</v>
      </c>
      <c r="AI28" s="156" t="e">
        <f t="shared" si="16"/>
        <v>#DIV/0!</v>
      </c>
      <c r="AJ28" s="156" t="e">
        <f t="shared" si="16"/>
        <v>#DIV/0!</v>
      </c>
      <c r="AK28" s="157" t="e">
        <f t="shared" si="16"/>
        <v>#DIV/0!</v>
      </c>
      <c r="AL28" s="155" t="e">
        <f t="shared" si="16"/>
        <v>#DIV/0!</v>
      </c>
      <c r="AM28" s="156" t="e">
        <f t="shared" si="16"/>
        <v>#DIV/0!</v>
      </c>
      <c r="AN28" s="156" t="e">
        <f t="shared" si="16"/>
        <v>#DIV/0!</v>
      </c>
      <c r="AO28" s="157" t="e">
        <f t="shared" si="16"/>
        <v>#DIV/0!</v>
      </c>
      <c r="AP28" s="155" t="e">
        <f t="shared" si="16"/>
        <v>#DIV/0!</v>
      </c>
      <c r="AQ28" s="156" t="e">
        <f t="shared" si="16"/>
        <v>#DIV/0!</v>
      </c>
      <c r="AR28" s="156" t="e">
        <f t="shared" si="16"/>
        <v>#DIV/0!</v>
      </c>
      <c r="AS28" s="156" t="e">
        <f t="shared" si="16"/>
        <v>#DIV/0!</v>
      </c>
      <c r="AT28" s="157" t="e">
        <f t="shared" si="16"/>
        <v>#DIV/0!</v>
      </c>
      <c r="AU28" s="155" t="e">
        <f t="shared" si="16"/>
        <v>#DIV/0!</v>
      </c>
      <c r="AV28" s="156" t="e">
        <f t="shared" si="16"/>
        <v>#DIV/0!</v>
      </c>
      <c r="AW28" s="156" t="e">
        <f t="shared" si="16"/>
        <v>#DIV/0!</v>
      </c>
      <c r="AX28" s="169" t="e">
        <f t="shared" si="16"/>
        <v>#DIV/0!</v>
      </c>
      <c r="AY28" s="155" t="e">
        <f t="shared" si="16"/>
        <v>#DIV/0!</v>
      </c>
      <c r="AZ28" s="156" t="e">
        <f t="shared" si="16"/>
        <v>#DIV/0!</v>
      </c>
      <c r="BA28" s="156" t="e">
        <f t="shared" si="16"/>
        <v>#DIV/0!</v>
      </c>
      <c r="BB28" s="156" t="e">
        <f t="shared" si="16"/>
        <v>#DIV/0!</v>
      </c>
      <c r="BC28" s="156" t="e">
        <f t="shared" ref="BC28" si="17">BC27/BC7</f>
        <v>#DIV/0!</v>
      </c>
      <c r="BD28" s="416"/>
    </row>
    <row r="29" spans="1:56" ht="13.5" customHeight="1" x14ac:dyDescent="0.25">
      <c r="A29" s="142"/>
      <c r="B29" s="143"/>
      <c r="C29" s="164"/>
      <c r="D29" s="165"/>
      <c r="E29" s="165"/>
      <c r="F29" s="165"/>
      <c r="G29" s="166"/>
      <c r="H29" s="164"/>
      <c r="I29" s="165"/>
      <c r="J29" s="165"/>
      <c r="K29" s="166"/>
      <c r="L29" s="164"/>
      <c r="M29" s="165"/>
      <c r="N29" s="165"/>
      <c r="O29" s="166"/>
      <c r="P29" s="164"/>
      <c r="Q29" s="165"/>
      <c r="R29" s="165"/>
      <c r="S29" s="166"/>
      <c r="T29" s="164"/>
      <c r="U29" s="165"/>
      <c r="V29" s="165"/>
      <c r="W29" s="165"/>
      <c r="X29" s="166"/>
      <c r="Y29" s="164"/>
      <c r="Z29" s="165"/>
      <c r="AA29" s="165"/>
      <c r="AB29" s="166"/>
      <c r="AC29" s="164"/>
      <c r="AD29" s="165"/>
      <c r="AE29" s="165"/>
      <c r="AF29" s="166"/>
      <c r="AG29" s="164"/>
      <c r="AH29" s="165"/>
      <c r="AI29" s="165"/>
      <c r="AJ29" s="165"/>
      <c r="AK29" s="166"/>
      <c r="AL29" s="164"/>
      <c r="AM29" s="165"/>
      <c r="AN29" s="165"/>
      <c r="AO29" s="166"/>
      <c r="AP29" s="164"/>
      <c r="AQ29" s="165"/>
      <c r="AR29" s="165"/>
      <c r="AS29" s="165"/>
      <c r="AT29" s="166"/>
      <c r="AU29" s="164"/>
      <c r="AV29" s="165"/>
      <c r="AW29" s="165"/>
      <c r="AX29" s="143"/>
      <c r="AY29" s="164"/>
      <c r="AZ29" s="165"/>
      <c r="BA29" s="165"/>
      <c r="BB29" s="165"/>
      <c r="BC29" s="165"/>
      <c r="BD29" s="416">
        <f t="shared" si="15"/>
        <v>0</v>
      </c>
    </row>
    <row r="30" spans="1:56" ht="13.5" customHeight="1" x14ac:dyDescent="0.25">
      <c r="A30" s="170" t="s">
        <v>34</v>
      </c>
      <c r="B30" s="171"/>
      <c r="C30" s="172">
        <f>C20+C31-SUM(C40:C45)-C42</f>
        <v>26503.58</v>
      </c>
      <c r="D30" s="173">
        <f>D20+D31-SUM(D40:D45)-D42</f>
        <v>90050.43</v>
      </c>
      <c r="E30" s="173">
        <f t="shared" ref="E30:BA30" si="18">E20+E31-SUM(E40:E45)-E42</f>
        <v>122170.28</v>
      </c>
      <c r="F30" s="173">
        <f>F20+F31-SUM(F40:F45)-F41</f>
        <v>89431.22</v>
      </c>
      <c r="G30" s="174">
        <f>G20+G31-SUM(G40:G45)-G41</f>
        <v>95453.12000000001</v>
      </c>
      <c r="H30" s="172">
        <f>H20+H31-SUM(H40:H45)-H41</f>
        <v>121464.16</v>
      </c>
      <c r="I30" s="173">
        <f>I20+I31-SUM(I40:I45)-I41</f>
        <v>131775.46</v>
      </c>
      <c r="J30" s="173">
        <f>J20+J31-SUM(J40:J45)-J41</f>
        <v>114834.31</v>
      </c>
      <c r="K30" s="174">
        <f t="shared" si="18"/>
        <v>119567.57</v>
      </c>
      <c r="L30" s="172">
        <f t="shared" si="18"/>
        <v>107669.87000000001</v>
      </c>
      <c r="M30" s="173">
        <f t="shared" si="18"/>
        <v>99302.399999999994</v>
      </c>
      <c r="N30" s="173">
        <f t="shared" si="18"/>
        <v>94859.580000000016</v>
      </c>
      <c r="O30" s="174">
        <f t="shared" si="18"/>
        <v>88943.93</v>
      </c>
      <c r="P30" s="172">
        <f t="shared" si="18"/>
        <v>67847.649999999994</v>
      </c>
      <c r="Q30" s="173">
        <f t="shared" si="18"/>
        <v>53886.289999999994</v>
      </c>
      <c r="R30" s="173">
        <f>R20+R31-SUM(R40:R45)-R42</f>
        <v>52150.34</v>
      </c>
      <c r="S30" s="174">
        <f t="shared" si="18"/>
        <v>58898.119999999995</v>
      </c>
      <c r="T30" s="172">
        <f t="shared" ref="T30:AF30" si="19">T20+T31-SUM(T40:T45)-T42</f>
        <v>39384.840000000004</v>
      </c>
      <c r="U30" s="173">
        <f t="shared" si="19"/>
        <v>34982.36</v>
      </c>
      <c r="V30" s="173">
        <f t="shared" si="19"/>
        <v>38461.03</v>
      </c>
      <c r="W30" s="173">
        <f t="shared" si="19"/>
        <v>29314.49</v>
      </c>
      <c r="X30" s="174">
        <f t="shared" si="19"/>
        <v>33453.130000000005</v>
      </c>
      <c r="Y30" s="172">
        <f t="shared" si="19"/>
        <v>35573.03</v>
      </c>
      <c r="Z30" s="173">
        <f t="shared" si="19"/>
        <v>34562.21</v>
      </c>
      <c r="AA30" s="173">
        <f t="shared" si="19"/>
        <v>0</v>
      </c>
      <c r="AB30" s="174">
        <f t="shared" si="19"/>
        <v>0</v>
      </c>
      <c r="AC30" s="172">
        <f t="shared" si="19"/>
        <v>0</v>
      </c>
      <c r="AD30" s="173">
        <f t="shared" si="19"/>
        <v>0</v>
      </c>
      <c r="AE30" s="173">
        <f t="shared" si="19"/>
        <v>0</v>
      </c>
      <c r="AF30" s="174">
        <f t="shared" si="19"/>
        <v>0</v>
      </c>
      <c r="AG30" s="172">
        <f t="shared" si="18"/>
        <v>0</v>
      </c>
      <c r="AH30" s="173">
        <f t="shared" si="18"/>
        <v>0</v>
      </c>
      <c r="AI30" s="173">
        <f t="shared" si="18"/>
        <v>0</v>
      </c>
      <c r="AJ30" s="173">
        <f t="shared" si="18"/>
        <v>0</v>
      </c>
      <c r="AK30" s="174">
        <f t="shared" si="18"/>
        <v>0</v>
      </c>
      <c r="AL30" s="172">
        <f t="shared" si="18"/>
        <v>0</v>
      </c>
      <c r="AM30" s="173">
        <f t="shared" si="18"/>
        <v>0</v>
      </c>
      <c r="AN30" s="173">
        <f t="shared" si="18"/>
        <v>0</v>
      </c>
      <c r="AO30" s="174">
        <f>AO20+AO31-SUM(AO40:AO45)-AO42</f>
        <v>0</v>
      </c>
      <c r="AP30" s="172">
        <f>AP20+AP31-SUM(AP40:AP45)-AP42</f>
        <v>0</v>
      </c>
      <c r="AQ30" s="173">
        <f t="shared" si="18"/>
        <v>0</v>
      </c>
      <c r="AR30" s="173">
        <f t="shared" si="18"/>
        <v>0</v>
      </c>
      <c r="AS30" s="173">
        <f t="shared" si="18"/>
        <v>0</v>
      </c>
      <c r="AT30" s="174">
        <f t="shared" si="18"/>
        <v>0</v>
      </c>
      <c r="AU30" s="172">
        <f t="shared" si="18"/>
        <v>0</v>
      </c>
      <c r="AV30" s="173">
        <f t="shared" si="18"/>
        <v>0</v>
      </c>
      <c r="AW30" s="173">
        <f t="shared" si="18"/>
        <v>0</v>
      </c>
      <c r="AX30" s="171">
        <f t="shared" si="18"/>
        <v>0</v>
      </c>
      <c r="AY30" s="172">
        <f t="shared" si="18"/>
        <v>0</v>
      </c>
      <c r="AZ30" s="173">
        <f>AZ20+AZ31-SUM(AZ40:AZ45)-AZ42</f>
        <v>0</v>
      </c>
      <c r="BA30" s="173">
        <f t="shared" si="18"/>
        <v>0</v>
      </c>
      <c r="BB30" s="173">
        <f>BB20+BB31-SUM(BB40:BB45)-BB42</f>
        <v>0</v>
      </c>
      <c r="BC30" s="173">
        <f>BC20+BC31-SUM(BC40:BC45)-BC42</f>
        <v>0</v>
      </c>
      <c r="BD30" s="416">
        <f>SUM(C30:BC30)</f>
        <v>1780539.4000000001</v>
      </c>
    </row>
    <row r="31" spans="1:56" ht="13.5" customHeight="1" x14ac:dyDescent="0.25">
      <c r="A31" s="105" t="s">
        <v>35</v>
      </c>
      <c r="B31" s="138"/>
      <c r="C31" s="116"/>
      <c r="D31" s="122"/>
      <c r="E31" s="122"/>
      <c r="F31" s="122"/>
      <c r="G31" s="123"/>
      <c r="H31" s="129"/>
      <c r="I31" s="130"/>
      <c r="J31" s="130"/>
      <c r="K31" s="131"/>
      <c r="L31" s="129"/>
      <c r="M31" s="130">
        <v>153.05000000000001</v>
      </c>
      <c r="N31" s="130">
        <v>128.25</v>
      </c>
      <c r="O31" s="131">
        <v>71</v>
      </c>
      <c r="P31" s="129">
        <v>11</v>
      </c>
      <c r="Q31" s="130"/>
      <c r="R31" s="130">
        <v>55.37</v>
      </c>
      <c r="S31" s="131"/>
      <c r="T31" s="129"/>
      <c r="U31" s="130"/>
      <c r="V31" s="130">
        <v>547</v>
      </c>
      <c r="W31" s="130"/>
      <c r="X31" s="131"/>
      <c r="Y31" s="129"/>
      <c r="Z31" s="130">
        <v>220.12</v>
      </c>
      <c r="AA31" s="130"/>
      <c r="AB31" s="131"/>
      <c r="AC31" s="129"/>
      <c r="AD31" s="130"/>
      <c r="AE31" s="130"/>
      <c r="AF31" s="131"/>
      <c r="AG31" s="129"/>
      <c r="AH31" s="130"/>
      <c r="AI31" s="130"/>
      <c r="AJ31" s="130"/>
      <c r="AK31" s="131"/>
      <c r="AL31" s="129"/>
      <c r="AM31" s="130"/>
      <c r="AN31" s="130"/>
      <c r="AO31" s="131"/>
      <c r="AP31" s="129"/>
      <c r="AQ31" s="130"/>
      <c r="AR31" s="130"/>
      <c r="AS31" s="130"/>
      <c r="AT31" s="131"/>
      <c r="AU31" s="129"/>
      <c r="AV31" s="130"/>
      <c r="AW31" s="130"/>
      <c r="AX31" s="323"/>
      <c r="AY31" s="129"/>
      <c r="AZ31" s="130"/>
      <c r="BA31" s="130"/>
      <c r="BB31" s="130"/>
      <c r="BC31" s="130"/>
      <c r="BD31" s="416">
        <f t="shared" ref="BD31:BD57" si="20">SUM(C31:BC31)</f>
        <v>1185.79</v>
      </c>
    </row>
    <row r="32" spans="1:56" ht="13.5" customHeight="1" x14ac:dyDescent="0.25">
      <c r="A32" s="175"/>
      <c r="B32" s="138"/>
      <c r="C32" s="139"/>
      <c r="D32" s="140"/>
      <c r="E32" s="140"/>
      <c r="F32" s="140"/>
      <c r="G32" s="141"/>
      <c r="H32" s="139"/>
      <c r="I32" s="140"/>
      <c r="J32" s="140"/>
      <c r="K32" s="141"/>
      <c r="L32" s="139"/>
      <c r="M32" s="140"/>
      <c r="N32" s="140"/>
      <c r="O32" s="141"/>
      <c r="P32" s="139"/>
      <c r="Q32" s="140"/>
      <c r="R32" s="140"/>
      <c r="S32" s="141"/>
      <c r="T32" s="139"/>
      <c r="U32" s="140"/>
      <c r="V32" s="140"/>
      <c r="W32" s="140"/>
      <c r="X32" s="141"/>
      <c r="Y32" s="139"/>
      <c r="Z32" s="140"/>
      <c r="AA32" s="140"/>
      <c r="AB32" s="141"/>
      <c r="AC32" s="139"/>
      <c r="AD32" s="140"/>
      <c r="AE32" s="140"/>
      <c r="AF32" s="141"/>
      <c r="AG32" s="139"/>
      <c r="AH32" s="140"/>
      <c r="AI32" s="140"/>
      <c r="AJ32" s="140"/>
      <c r="AK32" s="141"/>
      <c r="AL32" s="139"/>
      <c r="AM32" s="140"/>
      <c r="AN32" s="140"/>
      <c r="AO32" s="141"/>
      <c r="AP32" s="139"/>
      <c r="AQ32" s="140"/>
      <c r="AR32" s="140"/>
      <c r="AS32" s="140"/>
      <c r="AT32" s="141"/>
      <c r="AU32" s="139"/>
      <c r="AV32" s="140"/>
      <c r="AW32" s="140"/>
      <c r="AX32" s="128"/>
      <c r="AY32" s="139"/>
      <c r="AZ32" s="140"/>
      <c r="BA32" s="140"/>
      <c r="BB32" s="140"/>
      <c r="BC32" s="140"/>
      <c r="BD32" s="416">
        <f t="shared" si="20"/>
        <v>0</v>
      </c>
    </row>
    <row r="33" spans="1:56" s="106" customFormat="1" ht="13.5" customHeight="1" x14ac:dyDescent="0.25">
      <c r="A33" s="142" t="s">
        <v>36</v>
      </c>
      <c r="B33" s="143"/>
      <c r="C33" s="144">
        <v>9203</v>
      </c>
      <c r="D33" s="145">
        <v>34065</v>
      </c>
      <c r="E33" s="145">
        <v>46332.160000000003</v>
      </c>
      <c r="F33" s="145">
        <v>40453.199999999997</v>
      </c>
      <c r="G33" s="146">
        <v>38640.449999999997</v>
      </c>
      <c r="H33" s="147">
        <v>45978</v>
      </c>
      <c r="I33" s="148">
        <v>45637.06</v>
      </c>
      <c r="J33" s="148">
        <v>39199.24</v>
      </c>
      <c r="K33" s="149">
        <v>40766.42</v>
      </c>
      <c r="L33" s="147">
        <v>39771</v>
      </c>
      <c r="M33" s="148">
        <v>38202.46</v>
      </c>
      <c r="N33" s="148">
        <v>45982.75</v>
      </c>
      <c r="O33" s="149">
        <v>36408.19</v>
      </c>
      <c r="P33" s="147">
        <v>24503.54</v>
      </c>
      <c r="Q33" s="148">
        <v>19559.560000000001</v>
      </c>
      <c r="R33" s="148">
        <v>18994.8</v>
      </c>
      <c r="S33" s="149">
        <v>21046.560000000001</v>
      </c>
      <c r="T33" s="147">
        <v>15196.87</v>
      </c>
      <c r="U33" s="148">
        <v>14936.47</v>
      </c>
      <c r="V33" s="148">
        <v>15754.39</v>
      </c>
      <c r="W33" s="148">
        <v>12999.11</v>
      </c>
      <c r="X33" s="149">
        <v>16582.259999999998</v>
      </c>
      <c r="Y33" s="147">
        <v>16607.71</v>
      </c>
      <c r="Z33" s="148">
        <v>21570.74</v>
      </c>
      <c r="AA33" s="148"/>
      <c r="AB33" s="149"/>
      <c r="AC33" s="147"/>
      <c r="AD33" s="148"/>
      <c r="AE33" s="148"/>
      <c r="AF33" s="149"/>
      <c r="AG33" s="147"/>
      <c r="AH33" s="148"/>
      <c r="AI33" s="148"/>
      <c r="AJ33" s="148"/>
      <c r="AK33" s="149"/>
      <c r="AL33" s="147"/>
      <c r="AM33" s="148"/>
      <c r="AN33" s="148"/>
      <c r="AO33" s="149"/>
      <c r="AP33" s="147"/>
      <c r="AQ33" s="148"/>
      <c r="AR33" s="148"/>
      <c r="AS33" s="148"/>
      <c r="AT33" s="149"/>
      <c r="AU33" s="147"/>
      <c r="AV33" s="148"/>
      <c r="AW33" s="148"/>
      <c r="AX33" s="325"/>
      <c r="AY33" s="147"/>
      <c r="AZ33" s="148"/>
      <c r="BA33" s="148"/>
      <c r="BB33" s="148"/>
      <c r="BC33" s="148"/>
      <c r="BD33" s="416">
        <f t="shared" si="20"/>
        <v>698390.94000000006</v>
      </c>
    </row>
    <row r="34" spans="1:56" ht="13.5" customHeight="1" x14ac:dyDescent="0.25">
      <c r="A34" s="168" t="s">
        <v>94</v>
      </c>
      <c r="B34" s="169"/>
      <c r="C34" s="155">
        <f>C33/C14</f>
        <v>0.18842775536946418</v>
      </c>
      <c r="D34" s="155">
        <f t="shared" ref="D34:BB34" si="21">D33/D14</f>
        <v>0.20712109880889407</v>
      </c>
      <c r="E34" s="155">
        <f t="shared" si="21"/>
        <v>0.21152084293951418</v>
      </c>
      <c r="F34" s="155">
        <f t="shared" si="21"/>
        <v>0.20961510560242086</v>
      </c>
      <c r="G34" s="155">
        <f t="shared" si="21"/>
        <v>0.20453881375221658</v>
      </c>
      <c r="H34" s="155">
        <f t="shared" si="21"/>
        <v>0.2106792157150254</v>
      </c>
      <c r="I34" s="155">
        <f t="shared" si="21"/>
        <v>0.19671570507985084</v>
      </c>
      <c r="J34" s="155">
        <f t="shared" si="21"/>
        <v>0.18721756822588809</v>
      </c>
      <c r="K34" s="155">
        <f t="shared" si="21"/>
        <v>0.18547980108194675</v>
      </c>
      <c r="L34" s="155">
        <f t="shared" si="21"/>
        <v>0.18928656418066728</v>
      </c>
      <c r="M34" s="155">
        <f>M33/M14</f>
        <v>0.19759416152023918</v>
      </c>
      <c r="N34" s="155">
        <f t="shared" si="21"/>
        <v>0.23779794072472837</v>
      </c>
      <c r="O34" s="155">
        <f t="shared" si="21"/>
        <v>0.20743398075400105</v>
      </c>
      <c r="P34" s="155">
        <f t="shared" si="21"/>
        <v>0.1845021045260487</v>
      </c>
      <c r="Q34" s="155">
        <f>Q33/Q14</f>
        <v>0.17997055630187153</v>
      </c>
      <c r="R34" s="155">
        <f t="shared" si="21"/>
        <v>0.1837145648157999</v>
      </c>
      <c r="S34" s="155">
        <f t="shared" si="21"/>
        <v>0.18432306035049001</v>
      </c>
      <c r="T34" s="155">
        <f t="shared" si="21"/>
        <v>0.18460053690949069</v>
      </c>
      <c r="U34" s="155">
        <f t="shared" si="21"/>
        <v>0.20465964210353238</v>
      </c>
      <c r="V34" s="155">
        <f t="shared" si="21"/>
        <v>0.20543755786508794</v>
      </c>
      <c r="W34" s="155">
        <f t="shared" si="21"/>
        <v>0.20767673701532122</v>
      </c>
      <c r="X34" s="155">
        <f t="shared" si="21"/>
        <v>0.22823916424648671</v>
      </c>
      <c r="Y34" s="155">
        <f t="shared" si="21"/>
        <v>0.2320128246322348</v>
      </c>
      <c r="Z34" s="155">
        <f t="shared" si="21"/>
        <v>0.25567442632277643</v>
      </c>
      <c r="AA34" s="155" t="e">
        <f t="shared" si="21"/>
        <v>#DIV/0!</v>
      </c>
      <c r="AB34" s="155" t="e">
        <f t="shared" si="21"/>
        <v>#DIV/0!</v>
      </c>
      <c r="AC34" s="155" t="e">
        <f t="shared" si="21"/>
        <v>#DIV/0!</v>
      </c>
      <c r="AD34" s="155" t="e">
        <f t="shared" si="21"/>
        <v>#DIV/0!</v>
      </c>
      <c r="AE34" s="155" t="e">
        <f t="shared" si="21"/>
        <v>#DIV/0!</v>
      </c>
      <c r="AF34" s="155" t="e">
        <f t="shared" si="21"/>
        <v>#DIV/0!</v>
      </c>
      <c r="AG34" s="155" t="e">
        <f t="shared" si="21"/>
        <v>#DIV/0!</v>
      </c>
      <c r="AH34" s="155" t="e">
        <f t="shared" si="21"/>
        <v>#DIV/0!</v>
      </c>
      <c r="AI34" s="155" t="e">
        <f t="shared" si="21"/>
        <v>#DIV/0!</v>
      </c>
      <c r="AJ34" s="155" t="e">
        <f t="shared" si="21"/>
        <v>#DIV/0!</v>
      </c>
      <c r="AK34" s="155" t="e">
        <f t="shared" si="21"/>
        <v>#DIV/0!</v>
      </c>
      <c r="AL34" s="155" t="e">
        <f t="shared" si="21"/>
        <v>#DIV/0!</v>
      </c>
      <c r="AM34" s="155" t="e">
        <f t="shared" si="21"/>
        <v>#DIV/0!</v>
      </c>
      <c r="AN34" s="155" t="e">
        <f t="shared" si="21"/>
        <v>#DIV/0!</v>
      </c>
      <c r="AO34" s="155" t="e">
        <f t="shared" si="21"/>
        <v>#DIV/0!</v>
      </c>
      <c r="AP34" s="155" t="e">
        <f t="shared" si="21"/>
        <v>#DIV/0!</v>
      </c>
      <c r="AQ34" s="155" t="e">
        <f t="shared" si="21"/>
        <v>#DIV/0!</v>
      </c>
      <c r="AR34" s="155" t="e">
        <f t="shared" si="21"/>
        <v>#DIV/0!</v>
      </c>
      <c r="AS34" s="155" t="e">
        <f t="shared" si="21"/>
        <v>#DIV/0!</v>
      </c>
      <c r="AT34" s="155" t="e">
        <f t="shared" si="21"/>
        <v>#DIV/0!</v>
      </c>
      <c r="AU34" s="155" t="e">
        <f t="shared" si="21"/>
        <v>#DIV/0!</v>
      </c>
      <c r="AV34" s="155" t="e">
        <f t="shared" si="21"/>
        <v>#DIV/0!</v>
      </c>
      <c r="AW34" s="155" t="e">
        <f t="shared" si="21"/>
        <v>#DIV/0!</v>
      </c>
      <c r="AX34" s="155" t="e">
        <f t="shared" si="21"/>
        <v>#DIV/0!</v>
      </c>
      <c r="AY34" s="155" t="e">
        <f t="shared" si="21"/>
        <v>#DIV/0!</v>
      </c>
      <c r="AZ34" s="155" t="e">
        <f t="shared" si="21"/>
        <v>#DIV/0!</v>
      </c>
      <c r="BA34" s="155" t="e">
        <f t="shared" si="21"/>
        <v>#DIV/0!</v>
      </c>
      <c r="BB34" s="155" t="e">
        <f t="shared" si="21"/>
        <v>#DIV/0!</v>
      </c>
      <c r="BC34" s="155" t="e">
        <f t="shared" ref="BC34:BD34" si="22">BC33/BC14</f>
        <v>#DIV/0!</v>
      </c>
      <c r="BD34" s="155">
        <f t="shared" si="22"/>
        <v>0.20253530276143533</v>
      </c>
    </row>
    <row r="35" spans="1:56" ht="13.5" customHeight="1" x14ac:dyDescent="0.25">
      <c r="A35" s="175"/>
      <c r="B35" s="176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416">
        <f t="shared" si="20"/>
        <v>0</v>
      </c>
    </row>
    <row r="36" spans="1:56" ht="13.5" customHeight="1" x14ac:dyDescent="0.25">
      <c r="A36" s="142" t="s">
        <v>38</v>
      </c>
      <c r="B36" s="143"/>
      <c r="C36" s="164">
        <f>C20-C33</f>
        <v>25123</v>
      </c>
      <c r="D36" s="164">
        <f t="shared" ref="D36:BB36" si="23">D20-D33</f>
        <v>80426.58</v>
      </c>
      <c r="E36" s="164">
        <f t="shared" si="23"/>
        <v>106626.88</v>
      </c>
      <c r="F36" s="164">
        <f t="shared" si="23"/>
        <v>94215.77</v>
      </c>
      <c r="G36" s="164">
        <f t="shared" si="23"/>
        <v>93626.12000000001</v>
      </c>
      <c r="H36" s="164">
        <f t="shared" si="23"/>
        <v>106237.6</v>
      </c>
      <c r="I36" s="164">
        <f t="shared" si="23"/>
        <v>115216.70999999999</v>
      </c>
      <c r="J36" s="164">
        <f t="shared" si="23"/>
        <v>104567.95000000001</v>
      </c>
      <c r="K36" s="164">
        <f t="shared" si="23"/>
        <v>109588.21</v>
      </c>
      <c r="L36" s="164">
        <f t="shared" si="23"/>
        <v>102931.76000000001</v>
      </c>
      <c r="M36" s="164">
        <f t="shared" si="23"/>
        <v>93726.99000000002</v>
      </c>
      <c r="N36" s="164">
        <f t="shared" si="23"/>
        <v>86487.23000000001</v>
      </c>
      <c r="O36" s="164">
        <f t="shared" si="23"/>
        <v>84039.03</v>
      </c>
      <c r="P36" s="164">
        <f t="shared" si="23"/>
        <v>66839.51999999999</v>
      </c>
      <c r="Q36" s="164">
        <f t="shared" si="23"/>
        <v>54451.479999999996</v>
      </c>
      <c r="R36" s="164">
        <f>R20-R33</f>
        <v>52502.559999999998</v>
      </c>
      <c r="S36" s="164">
        <f t="shared" si="23"/>
        <v>57410.31</v>
      </c>
      <c r="T36" s="164">
        <f t="shared" si="23"/>
        <v>41246.29</v>
      </c>
      <c r="U36" s="164">
        <f t="shared" si="23"/>
        <v>35661.729999999996</v>
      </c>
      <c r="V36" s="164">
        <f t="shared" si="23"/>
        <v>37770.68</v>
      </c>
      <c r="W36" s="164">
        <f t="shared" si="23"/>
        <v>30334.29</v>
      </c>
      <c r="X36" s="164">
        <f t="shared" si="23"/>
        <v>33546.740000000005</v>
      </c>
      <c r="Y36" s="164">
        <f t="shared" si="23"/>
        <v>35170.1</v>
      </c>
      <c r="Z36" s="164">
        <f t="shared" si="23"/>
        <v>36900.069999999992</v>
      </c>
      <c r="AA36" s="164">
        <f t="shared" si="23"/>
        <v>0</v>
      </c>
      <c r="AB36" s="164">
        <f t="shared" si="23"/>
        <v>0</v>
      </c>
      <c r="AC36" s="164">
        <f t="shared" si="23"/>
        <v>0</v>
      </c>
      <c r="AD36" s="164">
        <f t="shared" si="23"/>
        <v>0</v>
      </c>
      <c r="AE36" s="164">
        <f t="shared" si="23"/>
        <v>0</v>
      </c>
      <c r="AF36" s="164">
        <f t="shared" si="23"/>
        <v>0</v>
      </c>
      <c r="AG36" s="164">
        <f t="shared" si="23"/>
        <v>0</v>
      </c>
      <c r="AH36" s="164">
        <f t="shared" si="23"/>
        <v>0</v>
      </c>
      <c r="AI36" s="164">
        <f t="shared" si="23"/>
        <v>0</v>
      </c>
      <c r="AJ36" s="164">
        <f t="shared" si="23"/>
        <v>0</v>
      </c>
      <c r="AK36" s="164">
        <f t="shared" si="23"/>
        <v>0</v>
      </c>
      <c r="AL36" s="164">
        <f t="shared" si="23"/>
        <v>0</v>
      </c>
      <c r="AM36" s="164">
        <f t="shared" si="23"/>
        <v>0</v>
      </c>
      <c r="AN36" s="164">
        <f t="shared" si="23"/>
        <v>0</v>
      </c>
      <c r="AO36" s="164">
        <f t="shared" si="23"/>
        <v>0</v>
      </c>
      <c r="AP36" s="164">
        <f t="shared" si="23"/>
        <v>0</v>
      </c>
      <c r="AQ36" s="164">
        <f t="shared" si="23"/>
        <v>0</v>
      </c>
      <c r="AR36" s="164">
        <f t="shared" si="23"/>
        <v>0</v>
      </c>
      <c r="AS36" s="164">
        <f t="shared" si="23"/>
        <v>0</v>
      </c>
      <c r="AT36" s="164">
        <f t="shared" si="23"/>
        <v>0</v>
      </c>
      <c r="AU36" s="164">
        <f t="shared" si="23"/>
        <v>0</v>
      </c>
      <c r="AV36" s="164">
        <f t="shared" si="23"/>
        <v>0</v>
      </c>
      <c r="AW36" s="164">
        <f t="shared" si="23"/>
        <v>0</v>
      </c>
      <c r="AX36" s="164">
        <f t="shared" si="23"/>
        <v>0</v>
      </c>
      <c r="AY36" s="164">
        <f t="shared" si="23"/>
        <v>0</v>
      </c>
      <c r="AZ36" s="164">
        <f t="shared" si="23"/>
        <v>0</v>
      </c>
      <c r="BA36" s="164">
        <f t="shared" si="23"/>
        <v>0</v>
      </c>
      <c r="BB36" s="164">
        <f t="shared" si="23"/>
        <v>0</v>
      </c>
      <c r="BC36" s="164">
        <f t="shared" ref="BC36" si="24">BC20-BC33</f>
        <v>0</v>
      </c>
      <c r="BD36" s="416">
        <f t="shared" si="20"/>
        <v>1684647.6000000003</v>
      </c>
    </row>
    <row r="37" spans="1:56" ht="13.5" customHeight="1" x14ac:dyDescent="0.25">
      <c r="A37" s="142"/>
      <c r="B37" s="143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416">
        <f t="shared" si="20"/>
        <v>0</v>
      </c>
    </row>
    <row r="38" spans="1:56" ht="13.5" customHeight="1" x14ac:dyDescent="0.25">
      <c r="A38" s="142" t="s">
        <v>39</v>
      </c>
      <c r="B38" s="143"/>
      <c r="C38" s="164">
        <f t="shared" ref="C38" si="25">SUM(C40:C51)</f>
        <v>7822.42</v>
      </c>
      <c r="D38" s="164">
        <f t="shared" ref="D38:BB38" si="26">SUM(D40:D51)</f>
        <v>24441.15</v>
      </c>
      <c r="E38" s="164">
        <f t="shared" si="26"/>
        <v>30788.760000000002</v>
      </c>
      <c r="F38" s="164">
        <f>SUM(F40:F51)</f>
        <v>45237.75</v>
      </c>
      <c r="G38" s="164">
        <f t="shared" si="26"/>
        <v>36813.449999999997</v>
      </c>
      <c r="H38" s="164">
        <f t="shared" si="26"/>
        <v>30751.439999999999</v>
      </c>
      <c r="I38" s="164">
        <f t="shared" si="26"/>
        <v>29078.31</v>
      </c>
      <c r="J38" s="164">
        <f t="shared" si="26"/>
        <v>28932.880000000001</v>
      </c>
      <c r="K38" s="164">
        <f t="shared" si="26"/>
        <v>30787.06</v>
      </c>
      <c r="L38" s="164">
        <f t="shared" si="26"/>
        <v>35032.89</v>
      </c>
      <c r="M38" s="164">
        <f t="shared" si="26"/>
        <v>32780.1</v>
      </c>
      <c r="N38" s="164">
        <f t="shared" si="26"/>
        <v>37738.65</v>
      </c>
      <c r="O38" s="164">
        <f t="shared" si="26"/>
        <v>31574.29</v>
      </c>
      <c r="P38" s="164">
        <f t="shared" si="26"/>
        <v>23506.41</v>
      </c>
      <c r="Q38" s="164">
        <f t="shared" si="26"/>
        <v>20124.75</v>
      </c>
      <c r="R38" s="164">
        <f t="shared" si="26"/>
        <v>19402.39</v>
      </c>
      <c r="S38" s="164">
        <f t="shared" si="26"/>
        <v>19558.75</v>
      </c>
      <c r="T38" s="164">
        <f t="shared" si="26"/>
        <v>17058.32</v>
      </c>
      <c r="U38" s="164">
        <f t="shared" si="26"/>
        <v>15615.84</v>
      </c>
      <c r="V38" s="164">
        <f t="shared" si="26"/>
        <v>15611.04</v>
      </c>
      <c r="W38" s="164">
        <f t="shared" si="26"/>
        <v>14018.91</v>
      </c>
      <c r="X38" s="164">
        <f t="shared" si="26"/>
        <v>16675.87</v>
      </c>
      <c r="Y38" s="164">
        <f t="shared" si="26"/>
        <v>16204.779999999999</v>
      </c>
      <c r="Z38" s="164">
        <f t="shared" si="26"/>
        <v>24128.720000000001</v>
      </c>
      <c r="AA38" s="164">
        <f t="shared" si="26"/>
        <v>0</v>
      </c>
      <c r="AB38" s="164">
        <f t="shared" si="26"/>
        <v>0</v>
      </c>
      <c r="AC38" s="164">
        <f t="shared" si="26"/>
        <v>0</v>
      </c>
      <c r="AD38" s="164">
        <f t="shared" si="26"/>
        <v>0</v>
      </c>
      <c r="AE38" s="164">
        <f t="shared" si="26"/>
        <v>0</v>
      </c>
      <c r="AF38" s="164">
        <f t="shared" si="26"/>
        <v>0</v>
      </c>
      <c r="AG38" s="164">
        <f t="shared" si="26"/>
        <v>0</v>
      </c>
      <c r="AH38" s="164">
        <f t="shared" si="26"/>
        <v>0</v>
      </c>
      <c r="AI38" s="164">
        <f t="shared" si="26"/>
        <v>0</v>
      </c>
      <c r="AJ38" s="164">
        <f t="shared" si="26"/>
        <v>0</v>
      </c>
      <c r="AK38" s="164">
        <f t="shared" si="26"/>
        <v>0</v>
      </c>
      <c r="AL38" s="164">
        <f t="shared" si="26"/>
        <v>0</v>
      </c>
      <c r="AM38" s="164">
        <f t="shared" si="26"/>
        <v>0</v>
      </c>
      <c r="AN38" s="164">
        <f t="shared" si="26"/>
        <v>0</v>
      </c>
      <c r="AO38" s="164">
        <f t="shared" si="26"/>
        <v>0</v>
      </c>
      <c r="AP38" s="164">
        <f t="shared" si="26"/>
        <v>0</v>
      </c>
      <c r="AQ38" s="164">
        <f t="shared" si="26"/>
        <v>0</v>
      </c>
      <c r="AR38" s="164">
        <f t="shared" si="26"/>
        <v>0</v>
      </c>
      <c r="AS38" s="164">
        <f t="shared" si="26"/>
        <v>0</v>
      </c>
      <c r="AT38" s="164">
        <f t="shared" si="26"/>
        <v>0</v>
      </c>
      <c r="AU38" s="164">
        <f t="shared" si="26"/>
        <v>0</v>
      </c>
      <c r="AV38" s="164">
        <f t="shared" si="26"/>
        <v>0</v>
      </c>
      <c r="AW38" s="164">
        <f t="shared" si="26"/>
        <v>0</v>
      </c>
      <c r="AX38" s="164">
        <f t="shared" si="26"/>
        <v>0</v>
      </c>
      <c r="AY38" s="164">
        <f t="shared" si="26"/>
        <v>0</v>
      </c>
      <c r="AZ38" s="164">
        <f t="shared" si="26"/>
        <v>0</v>
      </c>
      <c r="BA38" s="164">
        <f t="shared" si="26"/>
        <v>0</v>
      </c>
      <c r="BB38" s="164">
        <f t="shared" si="26"/>
        <v>0</v>
      </c>
      <c r="BC38" s="164">
        <f t="shared" ref="BC38" si="27">SUM(BC40:BC51)</f>
        <v>0</v>
      </c>
      <c r="BD38" s="416">
        <f t="shared" si="20"/>
        <v>603684.93000000005</v>
      </c>
    </row>
    <row r="39" spans="1:56" ht="13.5" customHeight="1" x14ac:dyDescent="0.25">
      <c r="A39" s="168" t="s">
        <v>40</v>
      </c>
      <c r="B39" s="169"/>
      <c r="C39" s="155">
        <f>C38/C14</f>
        <v>0.16016093036588114</v>
      </c>
      <c r="D39" s="155">
        <f t="shared" ref="D39:BB39" si="28">D38/D14</f>
        <v>0.14860642431096438</v>
      </c>
      <c r="E39" s="155">
        <f t="shared" si="28"/>
        <v>0.14056034659861308</v>
      </c>
      <c r="F39" s="155">
        <f t="shared" si="28"/>
        <v>0.23440706157895827</v>
      </c>
      <c r="G39" s="155">
        <f t="shared" si="28"/>
        <v>0.19486779768679033</v>
      </c>
      <c r="H39" s="155">
        <f t="shared" si="28"/>
        <v>0.14090846190151074</v>
      </c>
      <c r="I39" s="155">
        <f t="shared" si="28"/>
        <v>0.12534024440181901</v>
      </c>
      <c r="J39" s="155">
        <f t="shared" si="28"/>
        <v>0.13818490958935514</v>
      </c>
      <c r="K39" s="155">
        <f t="shared" si="28"/>
        <v>0.14007552698269704</v>
      </c>
      <c r="L39" s="155">
        <f t="shared" si="28"/>
        <v>0.16673594783684736</v>
      </c>
      <c r="M39" s="155">
        <f>M38/M14</f>
        <v>0.16954814883778666</v>
      </c>
      <c r="N39" s="155">
        <f t="shared" si="28"/>
        <v>0.19516390941671105</v>
      </c>
      <c r="O39" s="155">
        <f t="shared" si="28"/>
        <v>0.17989305879202586</v>
      </c>
      <c r="P39" s="155">
        <f t="shared" si="28"/>
        <v>0.17699410431521961</v>
      </c>
      <c r="Q39" s="155">
        <f t="shared" si="28"/>
        <v>0.18517095747225851</v>
      </c>
      <c r="R39" s="155">
        <f t="shared" si="28"/>
        <v>0.18765670790092173</v>
      </c>
      <c r="S39" s="155">
        <f t="shared" si="28"/>
        <v>0.17129301209462003</v>
      </c>
      <c r="T39" s="155">
        <f t="shared" si="28"/>
        <v>0.2072120792488126</v>
      </c>
      <c r="U39" s="155">
        <f t="shared" si="28"/>
        <v>0.213968375763887</v>
      </c>
      <c r="V39" s="155">
        <f t="shared" si="28"/>
        <v>0.20356827102377198</v>
      </c>
      <c r="W39" s="155">
        <f t="shared" si="28"/>
        <v>0.22396929369098781</v>
      </c>
      <c r="X39" s="155">
        <f t="shared" si="28"/>
        <v>0.229527617579453</v>
      </c>
      <c r="Y39" s="155">
        <f t="shared" si="28"/>
        <v>0.22638381693466142</v>
      </c>
      <c r="Z39" s="155">
        <f t="shared" si="28"/>
        <v>0.28599374170301539</v>
      </c>
      <c r="AA39" s="155" t="e">
        <f t="shared" si="28"/>
        <v>#DIV/0!</v>
      </c>
      <c r="AB39" s="155" t="e">
        <f t="shared" si="28"/>
        <v>#DIV/0!</v>
      </c>
      <c r="AC39" s="155" t="e">
        <f t="shared" si="28"/>
        <v>#DIV/0!</v>
      </c>
      <c r="AD39" s="155" t="e">
        <f t="shared" si="28"/>
        <v>#DIV/0!</v>
      </c>
      <c r="AE39" s="155" t="e">
        <f t="shared" si="28"/>
        <v>#DIV/0!</v>
      </c>
      <c r="AF39" s="155" t="e">
        <f t="shared" si="28"/>
        <v>#DIV/0!</v>
      </c>
      <c r="AG39" s="155" t="e">
        <f t="shared" si="28"/>
        <v>#DIV/0!</v>
      </c>
      <c r="AH39" s="155" t="e">
        <f t="shared" si="28"/>
        <v>#DIV/0!</v>
      </c>
      <c r="AI39" s="155" t="e">
        <f t="shared" si="28"/>
        <v>#DIV/0!</v>
      </c>
      <c r="AJ39" s="155" t="e">
        <f t="shared" si="28"/>
        <v>#DIV/0!</v>
      </c>
      <c r="AK39" s="155" t="e">
        <f t="shared" si="28"/>
        <v>#DIV/0!</v>
      </c>
      <c r="AL39" s="155" t="e">
        <f t="shared" si="28"/>
        <v>#DIV/0!</v>
      </c>
      <c r="AM39" s="155" t="e">
        <f t="shared" si="28"/>
        <v>#DIV/0!</v>
      </c>
      <c r="AN39" s="155" t="e">
        <f t="shared" si="28"/>
        <v>#DIV/0!</v>
      </c>
      <c r="AO39" s="155" t="e">
        <f t="shared" si="28"/>
        <v>#DIV/0!</v>
      </c>
      <c r="AP39" s="155" t="e">
        <f t="shared" si="28"/>
        <v>#DIV/0!</v>
      </c>
      <c r="AQ39" s="155" t="e">
        <f t="shared" si="28"/>
        <v>#DIV/0!</v>
      </c>
      <c r="AR39" s="155" t="e">
        <f t="shared" si="28"/>
        <v>#DIV/0!</v>
      </c>
      <c r="AS39" s="155" t="e">
        <f t="shared" si="28"/>
        <v>#DIV/0!</v>
      </c>
      <c r="AT39" s="155" t="e">
        <f t="shared" si="28"/>
        <v>#DIV/0!</v>
      </c>
      <c r="AU39" s="155" t="e">
        <f t="shared" si="28"/>
        <v>#DIV/0!</v>
      </c>
      <c r="AV39" s="155" t="e">
        <f t="shared" si="28"/>
        <v>#DIV/0!</v>
      </c>
      <c r="AW39" s="155" t="e">
        <f t="shared" si="28"/>
        <v>#DIV/0!</v>
      </c>
      <c r="AX39" s="155" t="e">
        <f t="shared" si="28"/>
        <v>#DIV/0!</v>
      </c>
      <c r="AY39" s="155" t="e">
        <f t="shared" si="28"/>
        <v>#DIV/0!</v>
      </c>
      <c r="AZ39" s="155" t="e">
        <f t="shared" si="28"/>
        <v>#DIV/0!</v>
      </c>
      <c r="BA39" s="155" t="e">
        <f t="shared" si="28"/>
        <v>#DIV/0!</v>
      </c>
      <c r="BB39" s="155" t="e">
        <f t="shared" si="28"/>
        <v>#DIV/0!</v>
      </c>
      <c r="BC39" s="155" t="e">
        <f t="shared" ref="BC39" si="29">BC38/BC14</f>
        <v>#DIV/0!</v>
      </c>
      <c r="BD39" s="416"/>
    </row>
    <row r="40" spans="1:56" ht="13.5" customHeight="1" x14ac:dyDescent="0.25">
      <c r="A40" s="177" t="s">
        <v>41</v>
      </c>
      <c r="B40" s="178"/>
      <c r="C40" s="158">
        <v>4739</v>
      </c>
      <c r="D40" s="159">
        <v>19181</v>
      </c>
      <c r="E40" s="159">
        <v>25734</v>
      </c>
      <c r="F40" s="159">
        <v>26309</v>
      </c>
      <c r="G40" s="160">
        <v>31507</v>
      </c>
      <c r="H40" s="179">
        <v>24880</v>
      </c>
      <c r="I40" s="180">
        <v>23367</v>
      </c>
      <c r="J40" s="180">
        <v>23404</v>
      </c>
      <c r="K40" s="181">
        <v>24588</v>
      </c>
      <c r="L40" s="179">
        <v>25825</v>
      </c>
      <c r="M40" s="180">
        <v>23828</v>
      </c>
      <c r="N40" s="180">
        <v>29199</v>
      </c>
      <c r="O40" s="181">
        <v>23313</v>
      </c>
      <c r="P40" s="179">
        <v>15438</v>
      </c>
      <c r="Q40" s="180">
        <v>12164</v>
      </c>
      <c r="R40" s="180">
        <v>11631</v>
      </c>
      <c r="S40" s="181">
        <v>11943</v>
      </c>
      <c r="T40" s="179">
        <v>9550</v>
      </c>
      <c r="U40" s="180">
        <v>8205</v>
      </c>
      <c r="V40" s="180">
        <v>8305</v>
      </c>
      <c r="W40" s="180">
        <v>6814</v>
      </c>
      <c r="X40" s="181">
        <v>9571</v>
      </c>
      <c r="Y40" s="179">
        <v>9223</v>
      </c>
      <c r="Z40" s="180">
        <v>13324</v>
      </c>
      <c r="AA40" s="180"/>
      <c r="AB40" s="181"/>
      <c r="AC40" s="179"/>
      <c r="AD40" s="180"/>
      <c r="AE40" s="180"/>
      <c r="AF40" s="181"/>
      <c r="AG40" s="179"/>
      <c r="AH40" s="180"/>
      <c r="AI40" s="180"/>
      <c r="AJ40" s="180"/>
      <c r="AK40" s="181"/>
      <c r="AL40" s="179"/>
      <c r="AM40" s="180"/>
      <c r="AN40" s="180"/>
      <c r="AO40" s="181"/>
      <c r="AP40" s="179"/>
      <c r="AQ40" s="180"/>
      <c r="AR40" s="180"/>
      <c r="AS40" s="180"/>
      <c r="AT40" s="181"/>
      <c r="AU40" s="179"/>
      <c r="AV40" s="180"/>
      <c r="AW40" s="180"/>
      <c r="AX40" s="327"/>
      <c r="AY40" s="179"/>
      <c r="AZ40" s="180"/>
      <c r="BA40" s="180"/>
      <c r="BB40" s="180"/>
      <c r="BC40" s="180"/>
      <c r="BD40" s="416">
        <f t="shared" si="20"/>
        <v>422042</v>
      </c>
    </row>
    <row r="41" spans="1:56" ht="12.75" customHeight="1" x14ac:dyDescent="0.25">
      <c r="A41" s="383" t="s">
        <v>42</v>
      </c>
      <c r="B41" s="178"/>
      <c r="C41" s="158"/>
      <c r="D41" s="159"/>
      <c r="E41" s="159"/>
      <c r="F41" s="159"/>
      <c r="G41" s="160"/>
      <c r="H41" s="179"/>
      <c r="I41" s="180"/>
      <c r="J41" s="180"/>
      <c r="K41" s="181"/>
      <c r="L41" s="179"/>
      <c r="M41" s="180"/>
      <c r="N41" s="180"/>
      <c r="O41" s="181"/>
      <c r="P41" s="179"/>
      <c r="Q41" s="180"/>
      <c r="R41" s="180"/>
      <c r="S41" s="181"/>
      <c r="T41" s="179"/>
      <c r="U41" s="180"/>
      <c r="V41" s="180"/>
      <c r="W41" s="180"/>
      <c r="X41" s="181"/>
      <c r="Y41" s="179"/>
      <c r="Z41" s="180"/>
      <c r="AA41" s="180"/>
      <c r="AB41" s="181"/>
      <c r="AC41" s="179"/>
      <c r="AD41" s="180"/>
      <c r="AE41" s="180"/>
      <c r="AF41" s="181"/>
      <c r="AG41" s="179"/>
      <c r="AH41" s="180"/>
      <c r="AI41" s="180"/>
      <c r="AJ41" s="180"/>
      <c r="AK41" s="181"/>
      <c r="AL41" s="179"/>
      <c r="AM41" s="180"/>
      <c r="AN41" s="180"/>
      <c r="AO41" s="181"/>
      <c r="AP41" s="179"/>
      <c r="AQ41" s="180"/>
      <c r="AR41" s="180"/>
      <c r="AS41" s="180"/>
      <c r="AT41" s="181"/>
      <c r="AU41" s="179"/>
      <c r="AV41" s="180"/>
      <c r="AW41" s="180"/>
      <c r="AX41" s="327"/>
      <c r="AY41" s="179"/>
      <c r="AZ41" s="180"/>
      <c r="BA41" s="180"/>
      <c r="BB41" s="180"/>
      <c r="BC41" s="180"/>
      <c r="BD41" s="416">
        <f t="shared" si="20"/>
        <v>0</v>
      </c>
    </row>
    <row r="42" spans="1:56" ht="13.5" customHeight="1" x14ac:dyDescent="0.25">
      <c r="A42" s="383" t="s">
        <v>121</v>
      </c>
      <c r="B42" s="178"/>
      <c r="C42" s="158"/>
      <c r="D42" s="159"/>
      <c r="E42" s="159"/>
      <c r="F42" s="384"/>
      <c r="G42" s="384"/>
      <c r="H42" s="385"/>
      <c r="I42" s="384"/>
      <c r="J42" s="384"/>
      <c r="K42" s="181"/>
      <c r="L42" s="179"/>
      <c r="M42" s="180"/>
      <c r="N42" s="180"/>
      <c r="O42" s="181"/>
      <c r="P42" s="179"/>
      <c r="Q42" s="180"/>
      <c r="R42" s="180"/>
      <c r="S42" s="181"/>
      <c r="T42" s="179"/>
      <c r="U42" s="180"/>
      <c r="V42" s="180"/>
      <c r="W42" s="180"/>
      <c r="X42" s="181"/>
      <c r="Y42" s="179"/>
      <c r="Z42" s="180"/>
      <c r="AA42" s="180"/>
      <c r="AB42" s="181"/>
      <c r="AC42" s="179"/>
      <c r="AD42" s="180"/>
      <c r="AE42" s="180"/>
      <c r="AF42" s="181"/>
      <c r="AG42" s="179"/>
      <c r="AH42" s="180"/>
      <c r="AI42" s="180"/>
      <c r="AJ42" s="180"/>
      <c r="AK42" s="181"/>
      <c r="AL42" s="179"/>
      <c r="AM42" s="180"/>
      <c r="AN42" s="180"/>
      <c r="AO42" s="181"/>
      <c r="AP42" s="179"/>
      <c r="AQ42" s="180"/>
      <c r="AR42" s="180"/>
      <c r="AS42" s="180"/>
      <c r="AT42" s="181"/>
      <c r="AU42" s="179"/>
      <c r="AV42" s="180"/>
      <c r="AW42" s="180"/>
      <c r="AX42" s="327"/>
      <c r="AY42" s="179"/>
      <c r="AZ42" s="180"/>
      <c r="BA42" s="180"/>
      <c r="BB42" s="180"/>
      <c r="BC42" s="180"/>
      <c r="BD42" s="416">
        <f t="shared" si="20"/>
        <v>0</v>
      </c>
    </row>
    <row r="43" spans="1:56" ht="13.5" customHeight="1" x14ac:dyDescent="0.25">
      <c r="A43" s="177" t="s">
        <v>43</v>
      </c>
      <c r="B43" s="178"/>
      <c r="C43" s="158">
        <v>3083.42</v>
      </c>
      <c r="D43" s="159">
        <v>5260.15</v>
      </c>
      <c r="E43" s="159">
        <v>5054.76</v>
      </c>
      <c r="F43" s="159">
        <v>4906.9399999999996</v>
      </c>
      <c r="G43" s="160">
        <v>5306.45</v>
      </c>
      <c r="H43" s="179">
        <v>5871.44</v>
      </c>
      <c r="I43" s="180">
        <v>5711.31</v>
      </c>
      <c r="J43" s="180">
        <v>5528.88</v>
      </c>
      <c r="K43" s="181">
        <v>6199.06</v>
      </c>
      <c r="L43" s="179">
        <v>9207.89</v>
      </c>
      <c r="M43" s="180">
        <v>8952.1</v>
      </c>
      <c r="N43" s="180">
        <v>8539.65</v>
      </c>
      <c r="O43" s="181">
        <v>8261.2900000000009</v>
      </c>
      <c r="P43" s="179">
        <v>8068.41</v>
      </c>
      <c r="Q43" s="180">
        <v>7920.75</v>
      </c>
      <c r="R43" s="180">
        <v>7771.39</v>
      </c>
      <c r="S43" s="181">
        <v>7615.75</v>
      </c>
      <c r="T43" s="179">
        <v>7508.32</v>
      </c>
      <c r="U43" s="180">
        <v>7410.84</v>
      </c>
      <c r="V43" s="180">
        <v>7306.04</v>
      </c>
      <c r="W43" s="180">
        <v>7204.91</v>
      </c>
      <c r="X43" s="181">
        <v>7104.87</v>
      </c>
      <c r="Y43" s="179">
        <v>6981.78</v>
      </c>
      <c r="Z43" s="180">
        <v>10804.72</v>
      </c>
      <c r="AA43" s="180"/>
      <c r="AB43" s="181"/>
      <c r="AC43" s="179"/>
      <c r="AD43" s="180"/>
      <c r="AE43" s="180"/>
      <c r="AF43" s="181"/>
      <c r="AG43" s="179"/>
      <c r="AH43" s="180"/>
      <c r="AI43" s="180"/>
      <c r="AJ43" s="180"/>
      <c r="AK43" s="181"/>
      <c r="AL43" s="179"/>
      <c r="AM43" s="180"/>
      <c r="AN43" s="180"/>
      <c r="AO43" s="181"/>
      <c r="AP43" s="179"/>
      <c r="AQ43" s="180"/>
      <c r="AR43" s="180"/>
      <c r="AS43" s="180"/>
      <c r="AT43" s="181"/>
      <c r="AU43" s="179"/>
      <c r="AV43" s="180"/>
      <c r="AW43" s="180"/>
      <c r="AX43" s="327"/>
      <c r="AY43" s="179"/>
      <c r="AZ43" s="180"/>
      <c r="BA43" s="180"/>
      <c r="BB43" s="180"/>
      <c r="BC43" s="180"/>
      <c r="BD43" s="416">
        <f t="shared" si="20"/>
        <v>167581.12</v>
      </c>
    </row>
    <row r="44" spans="1:56" ht="13.5" customHeight="1" x14ac:dyDescent="0.25">
      <c r="A44" s="177" t="s">
        <v>44</v>
      </c>
      <c r="B44" s="178"/>
      <c r="C44" s="158"/>
      <c r="D44" s="159"/>
      <c r="E44" s="159"/>
      <c r="F44" s="159">
        <v>741</v>
      </c>
      <c r="G44" s="160"/>
      <c r="H44" s="179"/>
      <c r="I44" s="180"/>
      <c r="J44" s="180"/>
      <c r="K44" s="181"/>
      <c r="L44" s="179"/>
      <c r="M44" s="180"/>
      <c r="N44" s="180"/>
      <c r="O44" s="181"/>
      <c r="P44" s="179"/>
      <c r="Q44" s="180">
        <v>40</v>
      </c>
      <c r="R44" s="180"/>
      <c r="S44" s="181"/>
      <c r="T44" s="179"/>
      <c r="U44" s="180"/>
      <c r="V44" s="180"/>
      <c r="W44" s="180"/>
      <c r="X44" s="181"/>
      <c r="Y44" s="179"/>
      <c r="Z44" s="180"/>
      <c r="AA44" s="180"/>
      <c r="AB44" s="181"/>
      <c r="AC44" s="179"/>
      <c r="AD44" s="180"/>
      <c r="AE44" s="180"/>
      <c r="AF44" s="181"/>
      <c r="AG44" s="179"/>
      <c r="AH44" s="180"/>
      <c r="AI44" s="180"/>
      <c r="AJ44" s="180"/>
      <c r="AK44" s="181"/>
      <c r="AL44" s="179"/>
      <c r="AM44" s="180"/>
      <c r="AN44" s="180"/>
      <c r="AO44" s="181"/>
      <c r="AP44" s="179"/>
      <c r="AQ44" s="180"/>
      <c r="AR44" s="180"/>
      <c r="AS44" s="180"/>
      <c r="AT44" s="181"/>
      <c r="AU44" s="179"/>
      <c r="AV44" s="180"/>
      <c r="AW44" s="180"/>
      <c r="AX44" s="327"/>
      <c r="AY44" s="179"/>
      <c r="AZ44" s="180"/>
      <c r="BA44" s="180"/>
      <c r="BB44" s="180"/>
      <c r="BC44" s="180"/>
      <c r="BD44" s="416">
        <f t="shared" si="20"/>
        <v>781</v>
      </c>
    </row>
    <row r="45" spans="1:56" ht="13.5" customHeight="1" x14ac:dyDescent="0.25">
      <c r="A45" s="177" t="s">
        <v>45</v>
      </c>
      <c r="B45" s="178"/>
      <c r="C45" s="158"/>
      <c r="D45" s="159"/>
      <c r="E45" s="159"/>
      <c r="F45" s="159">
        <v>13280.81</v>
      </c>
      <c r="G45" s="160"/>
      <c r="H45" s="179"/>
      <c r="I45" s="180"/>
      <c r="J45" s="180"/>
      <c r="K45" s="181"/>
      <c r="L45" s="179"/>
      <c r="M45" s="180"/>
      <c r="N45" s="180"/>
      <c r="O45" s="181"/>
      <c r="P45" s="179"/>
      <c r="Q45" s="180"/>
      <c r="R45" s="180"/>
      <c r="S45" s="181"/>
      <c r="T45" s="179"/>
      <c r="U45" s="180"/>
      <c r="V45" s="180"/>
      <c r="W45" s="180"/>
      <c r="X45" s="181"/>
      <c r="Y45" s="179"/>
      <c r="Z45" s="180"/>
      <c r="AA45" s="180"/>
      <c r="AB45" s="181"/>
      <c r="AC45" s="179"/>
      <c r="AD45" s="180"/>
      <c r="AE45" s="180"/>
      <c r="AF45" s="181"/>
      <c r="AG45" s="179"/>
      <c r="AH45" s="180"/>
      <c r="AI45" s="180"/>
      <c r="AJ45" s="180"/>
      <c r="AK45" s="181"/>
      <c r="AL45" s="179"/>
      <c r="AM45" s="180"/>
      <c r="AN45" s="180"/>
      <c r="AO45" s="181"/>
      <c r="AP45" s="179"/>
      <c r="AQ45" s="180"/>
      <c r="AR45" s="180"/>
      <c r="AS45" s="180"/>
      <c r="AT45" s="181"/>
      <c r="AU45" s="179"/>
      <c r="AV45" s="180"/>
      <c r="AW45" s="180"/>
      <c r="AX45" s="327"/>
      <c r="AY45" s="179"/>
      <c r="AZ45" s="180"/>
      <c r="BA45" s="180"/>
      <c r="BB45" s="180"/>
      <c r="BC45" s="180"/>
      <c r="BD45" s="416">
        <f t="shared" si="20"/>
        <v>13280.81</v>
      </c>
    </row>
    <row r="46" spans="1:56" ht="13.5" customHeight="1" x14ac:dyDescent="0.25">
      <c r="A46" s="177"/>
      <c r="B46" s="178"/>
      <c r="C46" s="182"/>
      <c r="D46" s="183"/>
      <c r="E46" s="183"/>
      <c r="F46" s="183"/>
      <c r="G46" s="184"/>
      <c r="H46" s="182"/>
      <c r="I46" s="183"/>
      <c r="J46" s="183"/>
      <c r="K46" s="184"/>
      <c r="L46" s="182"/>
      <c r="M46" s="183"/>
      <c r="N46" s="183"/>
      <c r="O46" s="184"/>
      <c r="P46" s="182"/>
      <c r="Q46" s="183"/>
      <c r="R46" s="183"/>
      <c r="S46" s="184"/>
      <c r="T46" s="182"/>
      <c r="U46" s="183"/>
      <c r="V46" s="183"/>
      <c r="W46" s="183"/>
      <c r="X46" s="184"/>
      <c r="Y46" s="182"/>
      <c r="Z46" s="183"/>
      <c r="AA46" s="183"/>
      <c r="AB46" s="184"/>
      <c r="AC46" s="182"/>
      <c r="AD46" s="183"/>
      <c r="AE46" s="183"/>
      <c r="AF46" s="184"/>
      <c r="AG46" s="182"/>
      <c r="AH46" s="183"/>
      <c r="AI46" s="183"/>
      <c r="AJ46" s="183"/>
      <c r="AK46" s="184"/>
      <c r="AL46" s="182"/>
      <c r="AM46" s="183"/>
      <c r="AN46" s="183"/>
      <c r="AO46" s="184"/>
      <c r="AP46" s="182"/>
      <c r="AQ46" s="183"/>
      <c r="AR46" s="183"/>
      <c r="AS46" s="183"/>
      <c r="AT46" s="184"/>
      <c r="AU46" s="182"/>
      <c r="AV46" s="183"/>
      <c r="AW46" s="183"/>
      <c r="AX46" s="178"/>
      <c r="AY46" s="182"/>
      <c r="AZ46" s="183"/>
      <c r="BA46" s="183"/>
      <c r="BB46" s="183"/>
      <c r="BC46" s="183"/>
      <c r="BD46" s="416">
        <f t="shared" si="20"/>
        <v>0</v>
      </c>
    </row>
    <row r="47" spans="1:56" ht="13.5" customHeight="1" x14ac:dyDescent="0.25">
      <c r="A47" s="177" t="s">
        <v>46</v>
      </c>
      <c r="B47" s="178"/>
      <c r="C47" s="158"/>
      <c r="D47" s="159"/>
      <c r="E47" s="159"/>
      <c r="F47" s="159"/>
      <c r="G47" s="160"/>
      <c r="H47" s="179"/>
      <c r="I47" s="180"/>
      <c r="J47" s="180"/>
      <c r="K47" s="181"/>
      <c r="L47" s="179"/>
      <c r="M47" s="180"/>
      <c r="N47" s="180"/>
      <c r="O47" s="181"/>
      <c r="P47" s="179"/>
      <c r="Q47" s="180"/>
      <c r="R47" s="180"/>
      <c r="S47" s="181"/>
      <c r="T47" s="179"/>
      <c r="U47" s="180"/>
      <c r="V47" s="180"/>
      <c r="W47" s="180"/>
      <c r="X47" s="181"/>
      <c r="Y47" s="179"/>
      <c r="Z47" s="180"/>
      <c r="AA47" s="180"/>
      <c r="AB47" s="181"/>
      <c r="AC47" s="179"/>
      <c r="AD47" s="180"/>
      <c r="AE47" s="180"/>
      <c r="AF47" s="181"/>
      <c r="AG47" s="179"/>
      <c r="AH47" s="180"/>
      <c r="AI47" s="180"/>
      <c r="AJ47" s="180"/>
      <c r="AK47" s="181"/>
      <c r="AL47" s="179"/>
      <c r="AM47" s="180"/>
      <c r="AN47" s="180"/>
      <c r="AO47" s="181"/>
      <c r="AP47" s="179"/>
      <c r="AQ47" s="180"/>
      <c r="AR47" s="180"/>
      <c r="AS47" s="180"/>
      <c r="AT47" s="181"/>
      <c r="AU47" s="179"/>
      <c r="AV47" s="180"/>
      <c r="AW47" s="180"/>
      <c r="AX47" s="327"/>
      <c r="AY47" s="179"/>
      <c r="AZ47" s="180"/>
      <c r="BA47" s="180"/>
      <c r="BB47" s="180"/>
      <c r="BC47" s="180"/>
      <c r="BD47" s="416">
        <f t="shared" si="20"/>
        <v>0</v>
      </c>
    </row>
    <row r="48" spans="1:56" ht="13.5" customHeight="1" x14ac:dyDescent="0.25">
      <c r="A48" s="177" t="s">
        <v>47</v>
      </c>
      <c r="B48" s="178"/>
      <c r="C48" s="158"/>
      <c r="D48" s="159"/>
      <c r="E48" s="159"/>
      <c r="F48" s="159"/>
      <c r="G48" s="160"/>
      <c r="H48" s="179"/>
      <c r="I48" s="180"/>
      <c r="J48" s="180"/>
      <c r="K48" s="181"/>
      <c r="L48" s="179"/>
      <c r="M48" s="180"/>
      <c r="N48" s="180"/>
      <c r="O48" s="181"/>
      <c r="P48" s="179"/>
      <c r="Q48" s="180"/>
      <c r="R48" s="180"/>
      <c r="S48" s="181"/>
      <c r="T48" s="179"/>
      <c r="U48" s="180"/>
      <c r="V48" s="180"/>
      <c r="W48" s="180"/>
      <c r="X48" s="181"/>
      <c r="Y48" s="179"/>
      <c r="Z48" s="180"/>
      <c r="AA48" s="180"/>
      <c r="AB48" s="181"/>
      <c r="AC48" s="179"/>
      <c r="AD48" s="180"/>
      <c r="AE48" s="180"/>
      <c r="AF48" s="181"/>
      <c r="AG48" s="179"/>
      <c r="AH48" s="180"/>
      <c r="AI48" s="180"/>
      <c r="AJ48" s="180"/>
      <c r="AK48" s="181"/>
      <c r="AL48" s="179"/>
      <c r="AM48" s="180"/>
      <c r="AN48" s="180"/>
      <c r="AO48" s="181"/>
      <c r="AP48" s="179"/>
      <c r="AQ48" s="180"/>
      <c r="AR48" s="180"/>
      <c r="AS48" s="180"/>
      <c r="AT48" s="181"/>
      <c r="AU48" s="179"/>
      <c r="AV48" s="180"/>
      <c r="AW48" s="180"/>
      <c r="AX48" s="327"/>
      <c r="AY48" s="179"/>
      <c r="AZ48" s="180"/>
      <c r="BA48" s="180"/>
      <c r="BB48" s="180"/>
      <c r="BC48" s="180"/>
      <c r="BD48" s="416">
        <f t="shared" si="20"/>
        <v>0</v>
      </c>
    </row>
    <row r="49" spans="1:56" ht="13.5" customHeight="1" x14ac:dyDescent="0.25">
      <c r="A49" s="177" t="s">
        <v>48</v>
      </c>
      <c r="B49" s="178"/>
      <c r="C49" s="158"/>
      <c r="D49" s="159"/>
      <c r="E49" s="159"/>
      <c r="F49" s="159"/>
      <c r="G49" s="160"/>
      <c r="H49" s="179"/>
      <c r="I49" s="180"/>
      <c r="J49" s="180"/>
      <c r="K49" s="181"/>
      <c r="L49" s="179"/>
      <c r="M49" s="180"/>
      <c r="N49" s="180"/>
      <c r="O49" s="181"/>
      <c r="P49" s="179"/>
      <c r="Q49" s="180"/>
      <c r="R49" s="180"/>
      <c r="S49" s="181"/>
      <c r="T49" s="179"/>
      <c r="U49" s="180"/>
      <c r="V49" s="180"/>
      <c r="W49" s="180"/>
      <c r="X49" s="181"/>
      <c r="Y49" s="179"/>
      <c r="Z49" s="180"/>
      <c r="AA49" s="180"/>
      <c r="AB49" s="181"/>
      <c r="AC49" s="179"/>
      <c r="AD49" s="180"/>
      <c r="AE49" s="180"/>
      <c r="AF49" s="181"/>
      <c r="AG49" s="179"/>
      <c r="AH49" s="180"/>
      <c r="AI49" s="180"/>
      <c r="AJ49" s="180"/>
      <c r="AK49" s="181"/>
      <c r="AL49" s="179"/>
      <c r="AM49" s="180"/>
      <c r="AN49" s="180"/>
      <c r="AO49" s="181"/>
      <c r="AP49" s="179"/>
      <c r="AQ49" s="180"/>
      <c r="AR49" s="180"/>
      <c r="AS49" s="180"/>
      <c r="AT49" s="181"/>
      <c r="AU49" s="179"/>
      <c r="AV49" s="180"/>
      <c r="AW49" s="180"/>
      <c r="AX49" s="327"/>
      <c r="AY49" s="179"/>
      <c r="AZ49" s="180"/>
      <c r="BA49" s="180"/>
      <c r="BB49" s="180"/>
      <c r="BC49" s="180"/>
      <c r="BD49" s="416">
        <f t="shared" si="20"/>
        <v>0</v>
      </c>
    </row>
    <row r="50" spans="1:56" ht="13.5" customHeight="1" x14ac:dyDescent="0.25">
      <c r="A50" s="343" t="s">
        <v>99</v>
      </c>
      <c r="B50" s="178"/>
      <c r="C50" s="158"/>
      <c r="D50" s="159"/>
      <c r="E50" s="159"/>
      <c r="F50" s="159"/>
      <c r="G50" s="160"/>
      <c r="H50" s="179"/>
      <c r="I50" s="180"/>
      <c r="J50" s="180"/>
      <c r="K50" s="181"/>
      <c r="L50" s="179"/>
      <c r="M50" s="180"/>
      <c r="N50" s="180"/>
      <c r="O50" s="181"/>
      <c r="P50" s="179"/>
      <c r="Q50" s="180"/>
      <c r="R50" s="180"/>
      <c r="S50" s="181"/>
      <c r="T50" s="179"/>
      <c r="U50" s="180"/>
      <c r="V50" s="180"/>
      <c r="W50" s="180"/>
      <c r="X50" s="181"/>
      <c r="Y50" s="179"/>
      <c r="Z50" s="180"/>
      <c r="AA50" s="180"/>
      <c r="AB50" s="181"/>
      <c r="AC50" s="179"/>
      <c r="AD50" s="180"/>
      <c r="AE50" s="180"/>
      <c r="AF50" s="181"/>
      <c r="AG50" s="179"/>
      <c r="AH50" s="180"/>
      <c r="AI50" s="180"/>
      <c r="AJ50" s="180"/>
      <c r="AK50" s="181"/>
      <c r="AL50" s="179"/>
      <c r="AM50" s="180"/>
      <c r="AN50" s="180"/>
      <c r="AO50" s="181"/>
      <c r="AP50" s="179"/>
      <c r="AQ50" s="180"/>
      <c r="AR50" s="180"/>
      <c r="AS50" s="180"/>
      <c r="AT50" s="181"/>
      <c r="AU50" s="179"/>
      <c r="AV50" s="180"/>
      <c r="AW50" s="180"/>
      <c r="AX50" s="327"/>
      <c r="AY50" s="179"/>
      <c r="AZ50" s="180"/>
      <c r="BA50" s="180"/>
      <c r="BB50" s="180"/>
      <c r="BC50" s="180"/>
      <c r="BD50" s="416">
        <f t="shared" si="20"/>
        <v>0</v>
      </c>
    </row>
    <row r="51" spans="1:56" ht="13.5" customHeight="1" x14ac:dyDescent="0.25">
      <c r="A51" s="177" t="s">
        <v>49</v>
      </c>
      <c r="B51" s="178"/>
      <c r="C51" s="158"/>
      <c r="D51" s="159"/>
      <c r="E51" s="159"/>
      <c r="F51" s="159"/>
      <c r="G51" s="160"/>
      <c r="H51" s="179"/>
      <c r="I51" s="180"/>
      <c r="J51" s="180"/>
      <c r="K51" s="181"/>
      <c r="L51" s="179"/>
      <c r="M51" s="180"/>
      <c r="N51" s="180"/>
      <c r="O51" s="181"/>
      <c r="P51" s="179"/>
      <c r="Q51" s="180"/>
      <c r="R51" s="180"/>
      <c r="S51" s="181"/>
      <c r="T51" s="179"/>
      <c r="U51" s="180"/>
      <c r="V51" s="180"/>
      <c r="W51" s="180"/>
      <c r="X51" s="181"/>
      <c r="Y51" s="179"/>
      <c r="Z51" s="180"/>
      <c r="AA51" s="180"/>
      <c r="AB51" s="181"/>
      <c r="AC51" s="179"/>
      <c r="AD51" s="180"/>
      <c r="AE51" s="180"/>
      <c r="AF51" s="181"/>
      <c r="AG51" s="179"/>
      <c r="AH51" s="180"/>
      <c r="AI51" s="180"/>
      <c r="AJ51" s="180"/>
      <c r="AK51" s="181"/>
      <c r="AL51" s="179"/>
      <c r="AM51" s="180"/>
      <c r="AN51" s="180"/>
      <c r="AO51" s="181"/>
      <c r="AP51" s="179"/>
      <c r="AQ51" s="180"/>
      <c r="AR51" s="180"/>
      <c r="AS51" s="180"/>
      <c r="AT51" s="181"/>
      <c r="AU51" s="179"/>
      <c r="AV51" s="180"/>
      <c r="AW51" s="180"/>
      <c r="AX51" s="327"/>
      <c r="AY51" s="179"/>
      <c r="AZ51" s="180"/>
      <c r="BA51" s="180"/>
      <c r="BB51" s="180"/>
      <c r="BC51" s="180"/>
      <c r="BD51" s="416">
        <f t="shared" si="20"/>
        <v>0</v>
      </c>
    </row>
    <row r="52" spans="1:56" ht="13.5" customHeight="1" x14ac:dyDescent="0.25">
      <c r="A52" s="185"/>
      <c r="B52" s="186"/>
      <c r="C52" s="119"/>
      <c r="D52" s="117"/>
      <c r="E52" s="117"/>
      <c r="F52" s="117"/>
      <c r="G52" s="118"/>
      <c r="H52" s="119"/>
      <c r="I52" s="117"/>
      <c r="J52" s="117"/>
      <c r="K52" s="118"/>
      <c r="L52" s="119"/>
      <c r="M52" s="117"/>
      <c r="N52" s="117"/>
      <c r="O52" s="118"/>
      <c r="P52" s="119"/>
      <c r="Q52" s="117"/>
      <c r="R52" s="117"/>
      <c r="S52" s="118"/>
      <c r="T52" s="119"/>
      <c r="U52" s="117"/>
      <c r="V52" s="117"/>
      <c r="W52" s="117"/>
      <c r="X52" s="118"/>
      <c r="Y52" s="119"/>
      <c r="Z52" s="117"/>
      <c r="AA52" s="117"/>
      <c r="AB52" s="118"/>
      <c r="AC52" s="119"/>
      <c r="AD52" s="117"/>
      <c r="AE52" s="117"/>
      <c r="AF52" s="118"/>
      <c r="AG52" s="119"/>
      <c r="AH52" s="117"/>
      <c r="AI52" s="117"/>
      <c r="AJ52" s="117"/>
      <c r="AK52" s="118"/>
      <c r="AL52" s="119"/>
      <c r="AM52" s="117"/>
      <c r="AN52" s="117"/>
      <c r="AO52" s="118"/>
      <c r="AP52" s="119"/>
      <c r="AQ52" s="117"/>
      <c r="AR52" s="117"/>
      <c r="AS52" s="117"/>
      <c r="AT52" s="118"/>
      <c r="AU52" s="119"/>
      <c r="AV52" s="117"/>
      <c r="AW52" s="117"/>
      <c r="AX52" s="115"/>
      <c r="AY52" s="119"/>
      <c r="AZ52" s="117"/>
      <c r="BA52" s="117"/>
      <c r="BB52" s="117"/>
      <c r="BC52" s="117"/>
      <c r="BD52" s="416">
        <f t="shared" si="20"/>
        <v>0</v>
      </c>
    </row>
    <row r="53" spans="1:56" s="190" customFormat="1" ht="15" customHeight="1" x14ac:dyDescent="0.25">
      <c r="A53" s="187" t="s">
        <v>50</v>
      </c>
      <c r="B53" s="188"/>
      <c r="C53" s="189">
        <f>C36+C31-C38</f>
        <v>17300.580000000002</v>
      </c>
      <c r="D53" s="189">
        <f t="shared" ref="D53:BC53" si="30">D36+D31-D38</f>
        <v>55985.43</v>
      </c>
      <c r="E53" s="189">
        <f t="shared" si="30"/>
        <v>75838.12</v>
      </c>
      <c r="F53" s="189">
        <f t="shared" si="30"/>
        <v>48978.020000000004</v>
      </c>
      <c r="G53" s="189">
        <f t="shared" si="30"/>
        <v>56812.670000000013</v>
      </c>
      <c r="H53" s="189">
        <f t="shared" si="30"/>
        <v>75486.16</v>
      </c>
      <c r="I53" s="189">
        <f t="shared" si="30"/>
        <v>86138.4</v>
      </c>
      <c r="J53" s="189">
        <f t="shared" si="30"/>
        <v>75635.070000000007</v>
      </c>
      <c r="K53" s="189">
        <f t="shared" si="30"/>
        <v>78801.150000000009</v>
      </c>
      <c r="L53" s="189">
        <f t="shared" si="30"/>
        <v>67898.87000000001</v>
      </c>
      <c r="M53" s="189">
        <f t="shared" si="30"/>
        <v>61099.940000000024</v>
      </c>
      <c r="N53" s="189">
        <f t="shared" si="30"/>
        <v>48876.830000000009</v>
      </c>
      <c r="O53" s="189">
        <f t="shared" si="30"/>
        <v>52535.74</v>
      </c>
      <c r="P53" s="189">
        <f t="shared" si="30"/>
        <v>43344.109999999986</v>
      </c>
      <c r="Q53" s="189">
        <f t="shared" si="30"/>
        <v>34326.729999999996</v>
      </c>
      <c r="R53" s="189">
        <f>R36+R31-R38</f>
        <v>33155.54</v>
      </c>
      <c r="S53" s="189">
        <f t="shared" si="30"/>
        <v>37851.56</v>
      </c>
      <c r="T53" s="189">
        <f t="shared" si="30"/>
        <v>24187.97</v>
      </c>
      <c r="U53" s="189">
        <f t="shared" si="30"/>
        <v>20045.889999999996</v>
      </c>
      <c r="V53" s="189">
        <f t="shared" si="30"/>
        <v>22706.639999999999</v>
      </c>
      <c r="W53" s="189">
        <f t="shared" si="30"/>
        <v>16315.380000000001</v>
      </c>
      <c r="X53" s="189">
        <f t="shared" si="30"/>
        <v>16870.870000000006</v>
      </c>
      <c r="Y53" s="189">
        <f t="shared" si="30"/>
        <v>18965.32</v>
      </c>
      <c r="Z53" s="189">
        <f t="shared" si="30"/>
        <v>12991.469999999994</v>
      </c>
      <c r="AA53" s="189">
        <f t="shared" si="30"/>
        <v>0</v>
      </c>
      <c r="AB53" s="189">
        <f t="shared" si="30"/>
        <v>0</v>
      </c>
      <c r="AC53" s="189">
        <f t="shared" si="30"/>
        <v>0</v>
      </c>
      <c r="AD53" s="189">
        <f t="shared" si="30"/>
        <v>0</v>
      </c>
      <c r="AE53" s="189">
        <f t="shared" si="30"/>
        <v>0</v>
      </c>
      <c r="AF53" s="189">
        <f t="shared" si="30"/>
        <v>0</v>
      </c>
      <c r="AG53" s="189">
        <f t="shared" si="30"/>
        <v>0</v>
      </c>
      <c r="AH53" s="189">
        <f t="shared" si="30"/>
        <v>0</v>
      </c>
      <c r="AI53" s="189">
        <f t="shared" si="30"/>
        <v>0</v>
      </c>
      <c r="AJ53" s="189">
        <f t="shared" si="30"/>
        <v>0</v>
      </c>
      <c r="AK53" s="189">
        <f t="shared" si="30"/>
        <v>0</v>
      </c>
      <c r="AL53" s="189">
        <f t="shared" si="30"/>
        <v>0</v>
      </c>
      <c r="AM53" s="189">
        <f t="shared" si="30"/>
        <v>0</v>
      </c>
      <c r="AN53" s="189">
        <f t="shared" si="30"/>
        <v>0</v>
      </c>
      <c r="AO53" s="189">
        <f t="shared" si="30"/>
        <v>0</v>
      </c>
      <c r="AP53" s="189">
        <f>AP36+AP31-AP38</f>
        <v>0</v>
      </c>
      <c r="AQ53" s="189">
        <f t="shared" si="30"/>
        <v>0</v>
      </c>
      <c r="AR53" s="189">
        <f t="shared" si="30"/>
        <v>0</v>
      </c>
      <c r="AS53" s="189">
        <f t="shared" si="30"/>
        <v>0</v>
      </c>
      <c r="AT53" s="189">
        <f t="shared" si="30"/>
        <v>0</v>
      </c>
      <c r="AU53" s="189">
        <f t="shared" si="30"/>
        <v>0</v>
      </c>
      <c r="AV53" s="189">
        <f t="shared" si="30"/>
        <v>0</v>
      </c>
      <c r="AW53" s="189">
        <f t="shared" si="30"/>
        <v>0</v>
      </c>
      <c r="AX53" s="189">
        <f t="shared" si="30"/>
        <v>0</v>
      </c>
      <c r="AY53" s="189">
        <f t="shared" si="30"/>
        <v>0</v>
      </c>
      <c r="AZ53" s="189">
        <f t="shared" si="30"/>
        <v>0</v>
      </c>
      <c r="BA53" s="189">
        <f t="shared" si="30"/>
        <v>0</v>
      </c>
      <c r="BB53" s="189">
        <f t="shared" si="30"/>
        <v>0</v>
      </c>
      <c r="BC53" s="189">
        <f t="shared" si="30"/>
        <v>0</v>
      </c>
      <c r="BD53" s="416">
        <f t="shared" si="20"/>
        <v>1082148.46</v>
      </c>
    </row>
    <row r="54" spans="1:56" ht="13.5" customHeight="1" x14ac:dyDescent="0.25">
      <c r="A54" s="185"/>
      <c r="B54" s="120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416">
        <f t="shared" si="20"/>
        <v>0</v>
      </c>
    </row>
    <row r="55" spans="1:56" ht="13.5" customHeight="1" x14ac:dyDescent="0.25">
      <c r="A55" s="177" t="s">
        <v>51</v>
      </c>
      <c r="B55" s="368" t="s">
        <v>117</v>
      </c>
      <c r="C55" s="182">
        <f>C15*6%</f>
        <v>2066.6999999999998</v>
      </c>
      <c r="D55" s="182">
        <f t="shared" ref="D55:BB55" si="31">D15*6%</f>
        <v>6766.74</v>
      </c>
      <c r="E55" s="182">
        <f t="shared" si="31"/>
        <v>8835.36</v>
      </c>
      <c r="F55" s="182">
        <f t="shared" si="31"/>
        <v>7870.92</v>
      </c>
      <c r="G55" s="182">
        <f t="shared" si="31"/>
        <v>7566.66</v>
      </c>
      <c r="H55" s="182">
        <f t="shared" si="31"/>
        <v>8579.2799999999988</v>
      </c>
      <c r="I55" s="182">
        <f t="shared" si="31"/>
        <v>9120.84</v>
      </c>
      <c r="J55" s="182">
        <f t="shared" si="31"/>
        <v>8212.44</v>
      </c>
      <c r="K55" s="182">
        <f t="shared" si="31"/>
        <v>8710.08</v>
      </c>
      <c r="L55" s="182">
        <f t="shared" si="31"/>
        <v>8533.92</v>
      </c>
      <c r="M55" s="182">
        <f t="shared" si="31"/>
        <v>7907.5199999999995</v>
      </c>
      <c r="N55" s="182">
        <f t="shared" si="31"/>
        <v>7917.2999999999993</v>
      </c>
      <c r="O55" s="182">
        <f t="shared" si="31"/>
        <v>7315.6799999999994</v>
      </c>
      <c r="P55" s="182">
        <f t="shared" si="31"/>
        <v>5587.5599999999995</v>
      </c>
      <c r="Q55" s="182">
        <f t="shared" si="31"/>
        <v>4530</v>
      </c>
      <c r="R55" s="182">
        <f t="shared" si="31"/>
        <v>4220.46</v>
      </c>
      <c r="S55" s="182">
        <f t="shared" si="31"/>
        <v>4727.6399999999994</v>
      </c>
      <c r="T55" s="182">
        <f t="shared" si="31"/>
        <v>3555.6</v>
      </c>
      <c r="U55" s="182">
        <f t="shared" si="31"/>
        <v>3128.94</v>
      </c>
      <c r="V55" s="182">
        <f t="shared" si="31"/>
        <v>3198.06</v>
      </c>
      <c r="W55" s="182">
        <f t="shared" si="31"/>
        <v>2611.38</v>
      </c>
      <c r="X55" s="182">
        <f t="shared" si="31"/>
        <v>2867.22</v>
      </c>
      <c r="Y55" s="182">
        <f t="shared" si="31"/>
        <v>2796.7799999999997</v>
      </c>
      <c r="Z55" s="182">
        <f t="shared" si="31"/>
        <v>3362.94</v>
      </c>
      <c r="AA55" s="182">
        <f t="shared" si="31"/>
        <v>0</v>
      </c>
      <c r="AB55" s="182">
        <f t="shared" si="31"/>
        <v>0</v>
      </c>
      <c r="AC55" s="182">
        <f t="shared" si="31"/>
        <v>0</v>
      </c>
      <c r="AD55" s="182">
        <f t="shared" si="31"/>
        <v>0</v>
      </c>
      <c r="AE55" s="182">
        <f t="shared" si="31"/>
        <v>0</v>
      </c>
      <c r="AF55" s="182">
        <f>AF15*6%</f>
        <v>0</v>
      </c>
      <c r="AG55" s="182">
        <f t="shared" si="31"/>
        <v>0</v>
      </c>
      <c r="AH55" s="182">
        <f t="shared" si="31"/>
        <v>0</v>
      </c>
      <c r="AI55" s="182">
        <f t="shared" si="31"/>
        <v>0</v>
      </c>
      <c r="AJ55" s="182">
        <f t="shared" si="31"/>
        <v>0</v>
      </c>
      <c r="AK55" s="182">
        <f t="shared" si="31"/>
        <v>0</v>
      </c>
      <c r="AL55" s="182">
        <f t="shared" si="31"/>
        <v>0</v>
      </c>
      <c r="AM55" s="182">
        <f t="shared" si="31"/>
        <v>0</v>
      </c>
      <c r="AN55" s="182">
        <f t="shared" si="31"/>
        <v>0</v>
      </c>
      <c r="AO55" s="182">
        <f t="shared" si="31"/>
        <v>0</v>
      </c>
      <c r="AP55" s="182">
        <f t="shared" si="31"/>
        <v>0</v>
      </c>
      <c r="AQ55" s="182">
        <f t="shared" si="31"/>
        <v>0</v>
      </c>
      <c r="AR55" s="182">
        <f t="shared" si="31"/>
        <v>0</v>
      </c>
      <c r="AS55" s="182">
        <f t="shared" si="31"/>
        <v>0</v>
      </c>
      <c r="AT55" s="182">
        <f t="shared" si="31"/>
        <v>0</v>
      </c>
      <c r="AU55" s="182">
        <f t="shared" si="31"/>
        <v>0</v>
      </c>
      <c r="AV55" s="182">
        <f t="shared" si="31"/>
        <v>0</v>
      </c>
      <c r="AW55" s="182">
        <f t="shared" si="31"/>
        <v>0</v>
      </c>
      <c r="AX55" s="182">
        <f t="shared" si="31"/>
        <v>0</v>
      </c>
      <c r="AY55" s="182">
        <f t="shared" si="31"/>
        <v>0</v>
      </c>
      <c r="AZ55" s="182">
        <f t="shared" si="31"/>
        <v>0</v>
      </c>
      <c r="BA55" s="182">
        <f t="shared" si="31"/>
        <v>0</v>
      </c>
      <c r="BB55" s="182">
        <f t="shared" si="31"/>
        <v>0</v>
      </c>
      <c r="BC55" s="182">
        <f t="shared" ref="BC55" si="32">BC15*6%</f>
        <v>0</v>
      </c>
      <c r="BD55" s="416">
        <f t="shared" si="20"/>
        <v>139990.02000000002</v>
      </c>
    </row>
    <row r="56" spans="1:56" ht="13.5" customHeight="1" x14ac:dyDescent="0.25">
      <c r="A56" s="185"/>
      <c r="B56" s="186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192"/>
      <c r="BB56" s="192"/>
      <c r="BC56" s="192"/>
      <c r="BD56" s="416">
        <f t="shared" si="20"/>
        <v>0</v>
      </c>
    </row>
    <row r="57" spans="1:56" ht="15" customHeight="1" x14ac:dyDescent="0.25">
      <c r="A57" s="195" t="s">
        <v>53</v>
      </c>
      <c r="B57" s="196"/>
      <c r="C57" s="197">
        <f>C53-C55</f>
        <v>15233.880000000001</v>
      </c>
      <c r="D57" s="197">
        <f t="shared" ref="D57:BB57" si="33">D53-D55</f>
        <v>49218.69</v>
      </c>
      <c r="E57" s="197">
        <f t="shared" si="33"/>
        <v>67002.759999999995</v>
      </c>
      <c r="F57" s="197">
        <f t="shared" si="33"/>
        <v>41107.100000000006</v>
      </c>
      <c r="G57" s="197">
        <f t="shared" si="33"/>
        <v>49246.010000000009</v>
      </c>
      <c r="H57" s="197">
        <f t="shared" si="33"/>
        <v>66906.880000000005</v>
      </c>
      <c r="I57" s="197">
        <f t="shared" si="33"/>
        <v>77017.56</v>
      </c>
      <c r="J57" s="197">
        <f t="shared" si="33"/>
        <v>67422.63</v>
      </c>
      <c r="K57" s="197">
        <f t="shared" si="33"/>
        <v>70091.070000000007</v>
      </c>
      <c r="L57" s="197">
        <f t="shared" si="33"/>
        <v>59364.950000000012</v>
      </c>
      <c r="M57" s="197">
        <f t="shared" si="33"/>
        <v>53192.420000000027</v>
      </c>
      <c r="N57" s="197">
        <f t="shared" si="33"/>
        <v>40959.530000000013</v>
      </c>
      <c r="O57" s="197">
        <f t="shared" si="33"/>
        <v>45220.06</v>
      </c>
      <c r="P57" s="197">
        <f t="shared" si="33"/>
        <v>37756.549999999988</v>
      </c>
      <c r="Q57" s="197">
        <f t="shared" si="33"/>
        <v>29796.729999999996</v>
      </c>
      <c r="R57" s="197">
        <f t="shared" si="33"/>
        <v>28935.08</v>
      </c>
      <c r="S57" s="197">
        <f t="shared" si="33"/>
        <v>33123.919999999998</v>
      </c>
      <c r="T57" s="197">
        <f t="shared" si="33"/>
        <v>20632.370000000003</v>
      </c>
      <c r="U57" s="197">
        <f t="shared" si="33"/>
        <v>16916.949999999997</v>
      </c>
      <c r="V57" s="197">
        <f t="shared" si="33"/>
        <v>19508.579999999998</v>
      </c>
      <c r="W57" s="197">
        <f t="shared" si="33"/>
        <v>13704</v>
      </c>
      <c r="X57" s="197">
        <f t="shared" si="33"/>
        <v>14003.650000000007</v>
      </c>
      <c r="Y57" s="197">
        <f t="shared" si="33"/>
        <v>16168.54</v>
      </c>
      <c r="Z57" s="197">
        <f t="shared" si="33"/>
        <v>9628.5299999999934</v>
      </c>
      <c r="AA57" s="197">
        <f t="shared" si="33"/>
        <v>0</v>
      </c>
      <c r="AB57" s="197">
        <f t="shared" si="33"/>
        <v>0</v>
      </c>
      <c r="AC57" s="197">
        <f t="shared" si="33"/>
        <v>0</v>
      </c>
      <c r="AD57" s="197">
        <f t="shared" si="33"/>
        <v>0</v>
      </c>
      <c r="AE57" s="197">
        <f t="shared" si="33"/>
        <v>0</v>
      </c>
      <c r="AF57" s="197">
        <f t="shared" si="33"/>
        <v>0</v>
      </c>
      <c r="AG57" s="197">
        <f t="shared" si="33"/>
        <v>0</v>
      </c>
      <c r="AH57" s="197">
        <f t="shared" si="33"/>
        <v>0</v>
      </c>
      <c r="AI57" s="197">
        <f t="shared" si="33"/>
        <v>0</v>
      </c>
      <c r="AJ57" s="197">
        <f t="shared" si="33"/>
        <v>0</v>
      </c>
      <c r="AK57" s="197">
        <f t="shared" si="33"/>
        <v>0</v>
      </c>
      <c r="AL57" s="197">
        <f t="shared" si="33"/>
        <v>0</v>
      </c>
      <c r="AM57" s="197">
        <f t="shared" si="33"/>
        <v>0</v>
      </c>
      <c r="AN57" s="197">
        <f t="shared" si="33"/>
        <v>0</v>
      </c>
      <c r="AO57" s="197">
        <f t="shared" si="33"/>
        <v>0</v>
      </c>
      <c r="AP57" s="197">
        <f>AP53-AP55</f>
        <v>0</v>
      </c>
      <c r="AQ57" s="197">
        <f t="shared" si="33"/>
        <v>0</v>
      </c>
      <c r="AR57" s="197">
        <f t="shared" si="33"/>
        <v>0</v>
      </c>
      <c r="AS57" s="197">
        <f t="shared" si="33"/>
        <v>0</v>
      </c>
      <c r="AT57" s="197">
        <f t="shared" si="33"/>
        <v>0</v>
      </c>
      <c r="AU57" s="197">
        <f t="shared" si="33"/>
        <v>0</v>
      </c>
      <c r="AV57" s="197">
        <f t="shared" si="33"/>
        <v>0</v>
      </c>
      <c r="AW57" s="197">
        <f t="shared" si="33"/>
        <v>0</v>
      </c>
      <c r="AX57" s="197">
        <f t="shared" si="33"/>
        <v>0</v>
      </c>
      <c r="AY57" s="197">
        <f t="shared" si="33"/>
        <v>0</v>
      </c>
      <c r="AZ57" s="197">
        <f t="shared" si="33"/>
        <v>0</v>
      </c>
      <c r="BA57" s="197">
        <f t="shared" si="33"/>
        <v>0</v>
      </c>
      <c r="BB57" s="197">
        <f t="shared" si="33"/>
        <v>0</v>
      </c>
      <c r="BC57" s="197">
        <f t="shared" ref="BC57" si="34">BC53-BC55</f>
        <v>0</v>
      </c>
      <c r="BD57" s="416">
        <f t="shared" si="20"/>
        <v>942158.44000000006</v>
      </c>
    </row>
    <row r="58" spans="1:56" ht="13.5" customHeight="1" x14ac:dyDescent="0.25">
      <c r="A58" s="200" t="s">
        <v>2</v>
      </c>
      <c r="B58" s="201"/>
      <c r="C58" s="202">
        <f>C57/C33</f>
        <v>1.655316744539824</v>
      </c>
      <c r="D58" s="202">
        <f t="shared" ref="D58:BB58" si="35">D57/D33</f>
        <v>1.4448463232056363</v>
      </c>
      <c r="E58" s="202">
        <f t="shared" si="35"/>
        <v>1.4461393554714477</v>
      </c>
      <c r="F58" s="202">
        <f t="shared" si="35"/>
        <v>1.0161643578258335</v>
      </c>
      <c r="G58" s="202">
        <f t="shared" si="35"/>
        <v>1.2744678180507736</v>
      </c>
      <c r="H58" s="202">
        <f t="shared" si="35"/>
        <v>1.4551933533429033</v>
      </c>
      <c r="I58" s="202">
        <f t="shared" si="35"/>
        <v>1.6876100257115598</v>
      </c>
      <c r="J58" s="202">
        <f t="shared" si="35"/>
        <v>1.7199983979281233</v>
      </c>
      <c r="K58" s="202">
        <f t="shared" si="35"/>
        <v>1.7193334612163642</v>
      </c>
      <c r="L58" s="202">
        <f t="shared" si="35"/>
        <v>1.4926692816373743</v>
      </c>
      <c r="M58" s="202">
        <f t="shared" si="35"/>
        <v>1.39238206125993</v>
      </c>
      <c r="N58" s="202">
        <f t="shared" si="35"/>
        <v>0.89075859969227622</v>
      </c>
      <c r="O58" s="202">
        <f t="shared" si="35"/>
        <v>1.2420298839354551</v>
      </c>
      <c r="P58" s="202">
        <f t="shared" si="35"/>
        <v>1.5408610347729343</v>
      </c>
      <c r="Q58" s="202">
        <f t="shared" si="35"/>
        <v>1.5233844728613524</v>
      </c>
      <c r="R58" s="202">
        <f t="shared" si="35"/>
        <v>1.5233158548655423</v>
      </c>
      <c r="S58" s="202">
        <f t="shared" si="35"/>
        <v>1.5738400954835372</v>
      </c>
      <c r="T58" s="202">
        <f t="shared" si="35"/>
        <v>1.3576723364745504</v>
      </c>
      <c r="U58" s="202">
        <f t="shared" si="35"/>
        <v>1.1325935780006922</v>
      </c>
      <c r="V58" s="202">
        <f t="shared" si="35"/>
        <v>1.2382948498799382</v>
      </c>
      <c r="W58" s="202">
        <f t="shared" si="35"/>
        <v>1.0542260200890676</v>
      </c>
      <c r="X58" s="202">
        <f t="shared" si="35"/>
        <v>0.84449586485798733</v>
      </c>
      <c r="Y58" s="202">
        <f t="shared" si="35"/>
        <v>0.97355625790671929</v>
      </c>
      <c r="Z58" s="202">
        <f t="shared" si="35"/>
        <v>0.44636994372932931</v>
      </c>
      <c r="AA58" s="202" t="e">
        <f t="shared" si="35"/>
        <v>#DIV/0!</v>
      </c>
      <c r="AB58" s="202" t="e">
        <f t="shared" si="35"/>
        <v>#DIV/0!</v>
      </c>
      <c r="AC58" s="202" t="e">
        <f t="shared" si="35"/>
        <v>#DIV/0!</v>
      </c>
      <c r="AD58" s="202" t="e">
        <f t="shared" si="35"/>
        <v>#DIV/0!</v>
      </c>
      <c r="AE58" s="202" t="e">
        <f t="shared" si="35"/>
        <v>#DIV/0!</v>
      </c>
      <c r="AF58" s="202" t="e">
        <f t="shared" si="35"/>
        <v>#DIV/0!</v>
      </c>
      <c r="AG58" s="202" t="e">
        <f t="shared" si="35"/>
        <v>#DIV/0!</v>
      </c>
      <c r="AH58" s="202" t="e">
        <f t="shared" si="35"/>
        <v>#DIV/0!</v>
      </c>
      <c r="AI58" s="202" t="e">
        <f t="shared" si="35"/>
        <v>#DIV/0!</v>
      </c>
      <c r="AJ58" s="202" t="e">
        <f t="shared" si="35"/>
        <v>#DIV/0!</v>
      </c>
      <c r="AK58" s="202" t="e">
        <f t="shared" si="35"/>
        <v>#DIV/0!</v>
      </c>
      <c r="AL58" s="202" t="e">
        <f t="shared" si="35"/>
        <v>#DIV/0!</v>
      </c>
      <c r="AM58" s="202" t="e">
        <f t="shared" si="35"/>
        <v>#DIV/0!</v>
      </c>
      <c r="AN58" s="202" t="e">
        <f t="shared" si="35"/>
        <v>#DIV/0!</v>
      </c>
      <c r="AO58" s="202" t="e">
        <f t="shared" si="35"/>
        <v>#DIV/0!</v>
      </c>
      <c r="AP58" s="202" t="e">
        <f t="shared" si="35"/>
        <v>#DIV/0!</v>
      </c>
      <c r="AQ58" s="202" t="e">
        <f t="shared" si="35"/>
        <v>#DIV/0!</v>
      </c>
      <c r="AR58" s="202" t="e">
        <f t="shared" si="35"/>
        <v>#DIV/0!</v>
      </c>
      <c r="AS58" s="202" t="e">
        <f t="shared" si="35"/>
        <v>#DIV/0!</v>
      </c>
      <c r="AT58" s="202" t="e">
        <f t="shared" si="35"/>
        <v>#DIV/0!</v>
      </c>
      <c r="AU58" s="202" t="e">
        <f t="shared" si="35"/>
        <v>#DIV/0!</v>
      </c>
      <c r="AV58" s="202" t="e">
        <f t="shared" si="35"/>
        <v>#DIV/0!</v>
      </c>
      <c r="AW58" s="202" t="e">
        <f t="shared" si="35"/>
        <v>#DIV/0!</v>
      </c>
      <c r="AX58" s="202" t="e">
        <f t="shared" si="35"/>
        <v>#DIV/0!</v>
      </c>
      <c r="AY58" s="202" t="e">
        <f t="shared" si="35"/>
        <v>#DIV/0!</v>
      </c>
      <c r="AZ58" s="202" t="e">
        <f t="shared" si="35"/>
        <v>#DIV/0!</v>
      </c>
      <c r="BA58" s="202" t="e">
        <f t="shared" si="35"/>
        <v>#DIV/0!</v>
      </c>
      <c r="BB58" s="202" t="e">
        <f t="shared" si="35"/>
        <v>#DIV/0!</v>
      </c>
      <c r="BC58" s="202" t="e">
        <f t="shared" ref="BC58:BD58" si="36">BC57/BC33</f>
        <v>#DIV/0!</v>
      </c>
      <c r="BD58" s="202">
        <f t="shared" si="36"/>
        <v>1.3490416127104969</v>
      </c>
    </row>
    <row r="59" spans="1:56" ht="13.5" customHeight="1" x14ac:dyDescent="0.25">
      <c r="A59" s="320" t="s">
        <v>96</v>
      </c>
      <c r="B59" s="203"/>
      <c r="C59" s="203">
        <f>C57/C14</f>
        <v>0.3119076185991278</v>
      </c>
      <c r="D59" s="203">
        <f t="shared" ref="D59:BB59" si="37">D57/D14</f>
        <v>0.29925815807234191</v>
      </c>
      <c r="E59" s="203">
        <f t="shared" si="37"/>
        <v>0.30588861547732632</v>
      </c>
      <c r="F59" s="203">
        <f t="shared" si="37"/>
        <v>0.21300339917507827</v>
      </c>
      <c r="G59" s="203">
        <f t="shared" si="37"/>
        <v>0.26067813566948106</v>
      </c>
      <c r="H59" s="203">
        <f t="shared" si="37"/>
        <v>0.30657899439600073</v>
      </c>
      <c r="I59" s="203">
        <f t="shared" si="37"/>
        <v>0.33197939610767474</v>
      </c>
      <c r="J59" s="203">
        <f t="shared" si="37"/>
        <v>0.32201391741252666</v>
      </c>
      <c r="K59" s="203">
        <f t="shared" si="37"/>
        <v>0.31890162837994623</v>
      </c>
      <c r="L59" s="203">
        <f t="shared" si="37"/>
        <v>0.28254223977916337</v>
      </c>
      <c r="M59" s="203">
        <f>M57/M14</f>
        <v>0.27512656591047818</v>
      </c>
      <c r="N59" s="203">
        <f t="shared" si="37"/>
        <v>0.21182056068966595</v>
      </c>
      <c r="O59" s="203">
        <f t="shared" si="37"/>
        <v>0.25763920304016136</v>
      </c>
      <c r="P59" s="203">
        <f t="shared" si="37"/>
        <v>0.28429210369779145</v>
      </c>
      <c r="Q59" s="203">
        <f t="shared" si="37"/>
        <v>0.27416435104249087</v>
      </c>
      <c r="R59" s="203">
        <f t="shared" si="37"/>
        <v>0.27985530935363129</v>
      </c>
      <c r="S59" s="203">
        <f t="shared" si="37"/>
        <v>0.29009502290183303</v>
      </c>
      <c r="T59" s="203">
        <f t="shared" si="37"/>
        <v>0.2506270422603647</v>
      </c>
      <c r="U59" s="203">
        <f t="shared" si="37"/>
        <v>0.23179619632238083</v>
      </c>
      <c r="V59" s="203">
        <f t="shared" si="37"/>
        <v>0.25439226987625019</v>
      </c>
      <c r="W59" s="203">
        <f t="shared" si="37"/>
        <v>0.21893821992874601</v>
      </c>
      <c r="X59" s="203">
        <f t="shared" si="37"/>
        <v>0.19274703040480101</v>
      </c>
      <c r="Y59" s="203">
        <f t="shared" si="37"/>
        <v>0.22587753733532642</v>
      </c>
      <c r="Z59" s="203">
        <f t="shared" si="37"/>
        <v>0.11412537929072626</v>
      </c>
      <c r="AA59" s="203" t="e">
        <f t="shared" si="37"/>
        <v>#DIV/0!</v>
      </c>
      <c r="AB59" s="203" t="e">
        <f t="shared" si="37"/>
        <v>#DIV/0!</v>
      </c>
      <c r="AC59" s="203" t="e">
        <f t="shared" si="37"/>
        <v>#DIV/0!</v>
      </c>
      <c r="AD59" s="203" t="e">
        <f t="shared" si="37"/>
        <v>#DIV/0!</v>
      </c>
      <c r="AE59" s="203" t="e">
        <f t="shared" si="37"/>
        <v>#DIV/0!</v>
      </c>
      <c r="AF59" s="203" t="e">
        <f t="shared" si="37"/>
        <v>#DIV/0!</v>
      </c>
      <c r="AG59" s="203" t="e">
        <f t="shared" si="37"/>
        <v>#DIV/0!</v>
      </c>
      <c r="AH59" s="203" t="e">
        <f t="shared" si="37"/>
        <v>#DIV/0!</v>
      </c>
      <c r="AI59" s="203" t="e">
        <f t="shared" si="37"/>
        <v>#DIV/0!</v>
      </c>
      <c r="AJ59" s="203" t="e">
        <f t="shared" si="37"/>
        <v>#DIV/0!</v>
      </c>
      <c r="AK59" s="203" t="e">
        <f t="shared" si="37"/>
        <v>#DIV/0!</v>
      </c>
      <c r="AL59" s="203" t="e">
        <f t="shared" si="37"/>
        <v>#DIV/0!</v>
      </c>
      <c r="AM59" s="203" t="e">
        <f t="shared" si="37"/>
        <v>#DIV/0!</v>
      </c>
      <c r="AN59" s="203" t="e">
        <f t="shared" si="37"/>
        <v>#DIV/0!</v>
      </c>
      <c r="AO59" s="203" t="e">
        <f t="shared" si="37"/>
        <v>#DIV/0!</v>
      </c>
      <c r="AP59" s="203" t="e">
        <f t="shared" si="37"/>
        <v>#DIV/0!</v>
      </c>
      <c r="AQ59" s="203" t="e">
        <f t="shared" si="37"/>
        <v>#DIV/0!</v>
      </c>
      <c r="AR59" s="203" t="e">
        <f t="shared" si="37"/>
        <v>#DIV/0!</v>
      </c>
      <c r="AS59" s="203" t="e">
        <f t="shared" si="37"/>
        <v>#DIV/0!</v>
      </c>
      <c r="AT59" s="203" t="e">
        <f t="shared" si="37"/>
        <v>#DIV/0!</v>
      </c>
      <c r="AU59" s="203" t="e">
        <f t="shared" si="37"/>
        <v>#DIV/0!</v>
      </c>
      <c r="AV59" s="203" t="e">
        <f t="shared" si="37"/>
        <v>#DIV/0!</v>
      </c>
      <c r="AW59" s="203" t="e">
        <f t="shared" si="37"/>
        <v>#DIV/0!</v>
      </c>
      <c r="AX59" s="203" t="e">
        <f t="shared" si="37"/>
        <v>#DIV/0!</v>
      </c>
      <c r="AY59" s="203" t="e">
        <f t="shared" si="37"/>
        <v>#DIV/0!</v>
      </c>
      <c r="AZ59" s="203" t="e">
        <f t="shared" si="37"/>
        <v>#DIV/0!</v>
      </c>
      <c r="BA59" s="203" t="e">
        <f t="shared" si="37"/>
        <v>#DIV/0!</v>
      </c>
      <c r="BB59" s="203" t="e">
        <f t="shared" si="37"/>
        <v>#DIV/0!</v>
      </c>
      <c r="BC59" s="203" t="e">
        <f>BC57/BC14</f>
        <v>#DIV/0!</v>
      </c>
      <c r="BD59" s="418">
        <f>BD57/BD14</f>
        <v>0.27322855146809549</v>
      </c>
    </row>
    <row r="60" spans="1:56" ht="15" customHeight="1" x14ac:dyDescent="0.25">
      <c r="A60" s="195" t="s">
        <v>54</v>
      </c>
      <c r="B60" s="196"/>
      <c r="C60" s="197">
        <f>'CF (нед)'!C38</f>
        <v>0</v>
      </c>
      <c r="D60" s="197">
        <f>'CF (нед)'!D38</f>
        <v>0</v>
      </c>
      <c r="E60" s="197">
        <f>'CF (нед)'!E38</f>
        <v>0</v>
      </c>
      <c r="F60" s="197">
        <f>'CF (нед)'!F38</f>
        <v>0</v>
      </c>
      <c r="G60" s="197">
        <f>'CF (нед)'!G38</f>
        <v>0</v>
      </c>
      <c r="H60" s="197">
        <f>'CF (нед)'!H38</f>
        <v>0</v>
      </c>
      <c r="I60" s="197">
        <f>'CF (нед)'!I38</f>
        <v>0</v>
      </c>
      <c r="J60" s="197">
        <f>'CF (нед)'!J38</f>
        <v>0</v>
      </c>
      <c r="K60" s="197">
        <f>'CF (нед)'!K38</f>
        <v>0</v>
      </c>
      <c r="L60" s="197">
        <f>'CF (нед)'!L38</f>
        <v>0</v>
      </c>
      <c r="M60" s="197">
        <f>'CF (нед)'!M38</f>
        <v>0</v>
      </c>
      <c r="N60" s="197">
        <f>'CF (нед)'!N38</f>
        <v>0</v>
      </c>
      <c r="O60" s="197">
        <f>'CF (нед)'!O38</f>
        <v>0</v>
      </c>
      <c r="P60" s="197">
        <f>'CF (нед)'!P38</f>
        <v>0</v>
      </c>
      <c r="Q60" s="197">
        <f>'CF (нед)'!Q38</f>
        <v>0</v>
      </c>
      <c r="R60" s="197">
        <f>'CF (нед)'!R38</f>
        <v>0</v>
      </c>
      <c r="S60" s="197">
        <f>'CF (нед)'!S38</f>
        <v>0</v>
      </c>
      <c r="T60" s="197">
        <f>'CF (нед)'!T38</f>
        <v>0</v>
      </c>
      <c r="U60" s="197">
        <f>'CF (нед)'!U38</f>
        <v>0</v>
      </c>
      <c r="V60" s="197">
        <f>'CF (нед)'!V38</f>
        <v>0</v>
      </c>
      <c r="W60" s="197">
        <f>'CF (нед)'!W38</f>
        <v>0</v>
      </c>
      <c r="X60" s="197">
        <f>'CF (нед)'!X38</f>
        <v>0</v>
      </c>
      <c r="Y60" s="197">
        <f>'CF (нед)'!Y38</f>
        <v>0</v>
      </c>
      <c r="Z60" s="197">
        <f>'CF (нед)'!Z38</f>
        <v>0</v>
      </c>
      <c r="AA60" s="197">
        <f>'CF (нед)'!AA38</f>
        <v>0</v>
      </c>
      <c r="AB60" s="197">
        <f>'CF (нед)'!AB38</f>
        <v>0</v>
      </c>
      <c r="AC60" s="197">
        <f>'CF (нед)'!AC38</f>
        <v>0</v>
      </c>
      <c r="AD60" s="197">
        <f>'CF (нед)'!AD38</f>
        <v>0</v>
      </c>
      <c r="AE60" s="197">
        <f>'CF (нед)'!AE38</f>
        <v>0</v>
      </c>
      <c r="AF60" s="197">
        <f>'CF (нед)'!AF38</f>
        <v>0</v>
      </c>
      <c r="AG60" s="197">
        <f>'CF (нед)'!AG38</f>
        <v>0</v>
      </c>
      <c r="AH60" s="197">
        <f>'CF (нед)'!AH38</f>
        <v>0</v>
      </c>
      <c r="AI60" s="197">
        <f>'CF (нед)'!AI38</f>
        <v>0</v>
      </c>
      <c r="AJ60" s="197">
        <f>'CF (нед)'!AJ38</f>
        <v>0</v>
      </c>
      <c r="AK60" s="197">
        <f>'CF (нед)'!AK38</f>
        <v>0</v>
      </c>
      <c r="AL60" s="197">
        <f>'CF (нед)'!AL38</f>
        <v>0</v>
      </c>
      <c r="AM60" s="197">
        <f>'CF (нед)'!AM38</f>
        <v>0</v>
      </c>
      <c r="AN60" s="197">
        <f>'CF (нед)'!AN38</f>
        <v>0</v>
      </c>
      <c r="AO60" s="197">
        <f>'CF (нед)'!AO38</f>
        <v>0</v>
      </c>
      <c r="AP60" s="197">
        <f>'CF (нед)'!AP38</f>
        <v>0</v>
      </c>
      <c r="AQ60" s="197">
        <f>'CF (нед)'!AQ38</f>
        <v>0</v>
      </c>
      <c r="AR60" s="197">
        <f>'CF (нед)'!AR38</f>
        <v>0</v>
      </c>
      <c r="AS60" s="197">
        <f>'CF (нед)'!AS38</f>
        <v>0</v>
      </c>
      <c r="AT60" s="197">
        <f>'CF (нед)'!AT38</f>
        <v>0</v>
      </c>
      <c r="AU60" s="197">
        <f>'CF (нед)'!AU38</f>
        <v>0</v>
      </c>
      <c r="AV60" s="197">
        <f>'CF (нед)'!AV38</f>
        <v>0</v>
      </c>
      <c r="AW60" s="197">
        <f>'CF (нед)'!AW38</f>
        <v>0</v>
      </c>
      <c r="AX60" s="197">
        <f>'CF (нед)'!AX38</f>
        <v>0</v>
      </c>
      <c r="AY60" s="197">
        <f>'CF (нед)'!AY38</f>
        <v>0</v>
      </c>
      <c r="AZ60" s="197">
        <f>'CF (нед)'!AZ38</f>
        <v>0</v>
      </c>
      <c r="BA60" s="197">
        <f>'CF (нед)'!BA38</f>
        <v>0</v>
      </c>
      <c r="BB60" s="197">
        <f>'CF (нед)'!BB38</f>
        <v>0</v>
      </c>
      <c r="BC60" s="197">
        <f>'CF (нед)'!BC38</f>
        <v>0</v>
      </c>
      <c r="BD60" s="416">
        <f>SUM(C60:BB60)</f>
        <v>0</v>
      </c>
    </row>
    <row r="61" spans="1:56" ht="15" customHeight="1" x14ac:dyDescent="0.25">
      <c r="A61" s="195"/>
      <c r="B61" s="204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5"/>
      <c r="AT61" s="205"/>
      <c r="AU61" s="205"/>
      <c r="AV61" s="205"/>
      <c r="AW61" s="205"/>
      <c r="AX61" s="205"/>
      <c r="AY61" s="205"/>
      <c r="AZ61" s="205"/>
      <c r="BA61" s="205"/>
      <c r="BB61" s="205"/>
      <c r="BC61" s="205"/>
      <c r="BD61" s="416"/>
    </row>
    <row r="62" spans="1:56" ht="13.5" customHeight="1" x14ac:dyDescent="0.25">
      <c r="A62" s="177" t="str">
        <f>'PL WB'!A62</f>
        <v>Остаток денежных средств на конец периода</v>
      </c>
      <c r="B62" s="191"/>
      <c r="C62" s="182">
        <f>'CF (нед)'!C42</f>
        <v>1994177.8957000005</v>
      </c>
      <c r="D62" s="182">
        <f>'CF (нед)'!D42</f>
        <v>2100356.7557000006</v>
      </c>
      <c r="E62" s="182">
        <f>'CF (нед)'!E42</f>
        <v>2234359.3557000002</v>
      </c>
      <c r="F62" s="182">
        <f>'CF (нед)'!F42</f>
        <v>2340085.2357000005</v>
      </c>
      <c r="G62" s="182">
        <f>'CF (нед)'!G42</f>
        <v>2444316.6157000004</v>
      </c>
      <c r="H62" s="182">
        <f>'CF (нед)'!H42</f>
        <v>2568251.9457000005</v>
      </c>
      <c r="I62" s="182">
        <f>'CF (нед)'!I42</f>
        <v>2701831.7657000003</v>
      </c>
      <c r="J62" s="182">
        <f>'CF (нед)'!J42</f>
        <v>2827470.9057000005</v>
      </c>
      <c r="K62" s="182">
        <f>'CF (нед)'!K42</f>
        <v>2951779.9657000005</v>
      </c>
      <c r="L62" s="182">
        <f>'CF (нед)'!L42</f>
        <v>3065041.8357000006</v>
      </c>
      <c r="M62" s="182">
        <f>'CF (нед)'!M42</f>
        <v>3166917.6157000004</v>
      </c>
      <c r="N62" s="182">
        <f>'CF (нед)'!N42</f>
        <v>3264799.0757000004</v>
      </c>
      <c r="O62" s="182">
        <f>'CF (нед)'!O42</f>
        <v>3357449.8957000007</v>
      </c>
      <c r="P62" s="182">
        <f>'CF (нед)'!P42</f>
        <v>3428328.6757000005</v>
      </c>
      <c r="Q62" s="182">
        <f>'CF (нед)'!Q42</f>
        <v>3485243.3357000006</v>
      </c>
      <c r="R62" s="182">
        <f>'CF (нед)'!R42</f>
        <v>3539892.4257000005</v>
      </c>
      <c r="S62" s="182">
        <f>'CF (нед)'!S42</f>
        <v>3601048.8357000006</v>
      </c>
      <c r="T62" s="182">
        <f>'CF (нед)'!T42</f>
        <v>3389212.0757000004</v>
      </c>
      <c r="U62" s="182">
        <f>'CF (нед)'!U42</f>
        <v>3421065.4957000003</v>
      </c>
      <c r="V62" s="182">
        <f>'CF (нед)'!V42</f>
        <v>3295436.4657000001</v>
      </c>
      <c r="W62" s="182">
        <f>'CF (нед)'!W42</f>
        <v>3322139.5757000004</v>
      </c>
      <c r="X62" s="182">
        <f>'CF (нед)'!X42</f>
        <v>3365885.2857000004</v>
      </c>
      <c r="Y62" s="182">
        <f>'CF (нед)'!Y42</f>
        <v>3398661.5357000004</v>
      </c>
      <c r="Z62" s="182">
        <f>'CF (нед)'!Z42</f>
        <v>3429860.8057000004</v>
      </c>
      <c r="AA62" s="182">
        <f>'CF (нед)'!AA42</f>
        <v>3429860.8057000004</v>
      </c>
      <c r="AB62" s="182">
        <f>'CF (нед)'!AB42</f>
        <v>3429860.8057000004</v>
      </c>
      <c r="AC62" s="182">
        <f>'CF (нед)'!AC42</f>
        <v>3429860.8057000004</v>
      </c>
      <c r="AD62" s="182">
        <f>'CF (нед)'!AD42</f>
        <v>3429860.8057000004</v>
      </c>
      <c r="AE62" s="182">
        <f>'CF (нед)'!AE42</f>
        <v>3429860.8057000004</v>
      </c>
      <c r="AF62" s="182">
        <f>'CF (нед)'!AF42</f>
        <v>3429860.8057000004</v>
      </c>
      <c r="AG62" s="182">
        <f>'CF (нед)'!AG42</f>
        <v>3429860.8057000004</v>
      </c>
      <c r="AH62" s="182">
        <f>'CF (нед)'!AH42</f>
        <v>3429860.8057000004</v>
      </c>
      <c r="AI62" s="182">
        <f>'CF (нед)'!AI42</f>
        <v>3429860.8057000004</v>
      </c>
      <c r="AJ62" s="182">
        <f>'CF (нед)'!AJ42</f>
        <v>3429860.8057000004</v>
      </c>
      <c r="AK62" s="182">
        <f>'CF (нед)'!AK42</f>
        <v>3429860.8057000004</v>
      </c>
      <c r="AL62" s="182">
        <f>'CF (нед)'!AL42</f>
        <v>3429860.8057000004</v>
      </c>
      <c r="AM62" s="182">
        <f>'CF (нед)'!AM42</f>
        <v>3429860.8057000004</v>
      </c>
      <c r="AN62" s="182">
        <f>'CF (нед)'!AN42</f>
        <v>3429860.8057000004</v>
      </c>
      <c r="AO62" s="182">
        <f>'CF (нед)'!AO42</f>
        <v>3429860.8057000004</v>
      </c>
      <c r="AP62" s="182">
        <f>'CF (нед)'!AP42</f>
        <v>3429860.8057000004</v>
      </c>
      <c r="AQ62" s="182">
        <f>'CF (нед)'!AQ42</f>
        <v>3429860.8057000004</v>
      </c>
      <c r="AR62" s="182">
        <f>'CF (нед)'!AR42</f>
        <v>3429860.8057000004</v>
      </c>
      <c r="AS62" s="182">
        <f>'CF (нед)'!AS42</f>
        <v>3429860.8057000004</v>
      </c>
      <c r="AT62" s="182">
        <f>'CF (нед)'!AT42</f>
        <v>3429860.8057000004</v>
      </c>
      <c r="AU62" s="182">
        <f>'CF (нед)'!AU42</f>
        <v>3429860.8057000004</v>
      </c>
      <c r="AV62" s="182">
        <f>'CF (нед)'!AV42</f>
        <v>3429860.8057000004</v>
      </c>
      <c r="AW62" s="182">
        <f>'CF (нед)'!AW42</f>
        <v>3429860.8057000004</v>
      </c>
      <c r="AX62" s="182">
        <f>'CF (нед)'!AX42</f>
        <v>3429860.8057000004</v>
      </c>
      <c r="AY62" s="182">
        <f>'CF (нед)'!AY42</f>
        <v>3429860.8057000004</v>
      </c>
      <c r="AZ62" s="182">
        <f>'CF (нед)'!AZ42</f>
        <v>3429860.8057000004</v>
      </c>
      <c r="BA62" s="182">
        <f>'CF (нед)'!BA42</f>
        <v>3429860.8057000004</v>
      </c>
      <c r="BB62" s="182">
        <f>'CF (нед)'!BB42</f>
        <v>3429860.8057000004</v>
      </c>
      <c r="BC62" s="182">
        <f>'CF (нед)'!BC42</f>
        <v>3429860.8057000004</v>
      </c>
      <c r="BD62" s="416"/>
    </row>
    <row r="63" spans="1:56" ht="15" customHeight="1" x14ac:dyDescent="0.25">
      <c r="A63" s="185"/>
      <c r="B63" s="186"/>
      <c r="C63" s="139"/>
      <c r="D63" s="140"/>
      <c r="E63" s="140"/>
      <c r="F63" s="140"/>
      <c r="G63" s="206">
        <f>G62-'PL WB'!C62</f>
        <v>17364.730000000447</v>
      </c>
      <c r="H63" s="139"/>
      <c r="I63" s="140"/>
      <c r="J63" s="140"/>
      <c r="K63" s="206">
        <f>K62-'PL WB'!D62</f>
        <v>31050.170000000391</v>
      </c>
      <c r="L63" s="139"/>
      <c r="M63" s="140"/>
      <c r="N63" s="140"/>
      <c r="O63" s="206">
        <f>O62-'PL WB'!E62</f>
        <v>39546.240000000224</v>
      </c>
      <c r="P63" s="139"/>
      <c r="Q63" s="140"/>
      <c r="R63" s="140"/>
      <c r="S63" s="206">
        <f>S62-'PL WB'!F62</f>
        <v>43250.850000000093</v>
      </c>
      <c r="T63" s="139"/>
      <c r="U63" s="140"/>
      <c r="V63" s="140"/>
      <c r="W63" s="207"/>
      <c r="X63" s="206">
        <f>X62-'PL WB'!G62</f>
        <v>46843.049999999814</v>
      </c>
      <c r="Y63" s="318"/>
      <c r="Z63" s="207"/>
      <c r="AA63" s="207"/>
      <c r="AB63" s="206">
        <f>AB62-'PL WB'!H62</f>
        <v>47869.669999999925</v>
      </c>
      <c r="AC63" s="318"/>
      <c r="AD63" s="207"/>
      <c r="AE63" s="207"/>
      <c r="AF63" s="206">
        <f>AF62-'PL WB'!I62</f>
        <v>47869.669999999925</v>
      </c>
      <c r="AG63" s="318"/>
      <c r="AH63" s="207"/>
      <c r="AI63" s="207"/>
      <c r="AJ63" s="207"/>
      <c r="AK63" s="206">
        <f>AK62-'PL WB'!J62</f>
        <v>47869.669999999925</v>
      </c>
      <c r="AL63" s="318"/>
      <c r="AM63" s="207"/>
      <c r="AN63" s="207"/>
      <c r="AO63" s="206">
        <f>AO62-'PL WB'!K62</f>
        <v>47869.669999999925</v>
      </c>
      <c r="AP63" s="318"/>
      <c r="AQ63" s="207"/>
      <c r="AR63" s="207"/>
      <c r="AS63" s="207"/>
      <c r="AT63" s="206">
        <f>AT62-'PL WB'!L62</f>
        <v>47869.669999999925</v>
      </c>
      <c r="AU63" s="318"/>
      <c r="AV63" s="207"/>
      <c r="AW63" s="207"/>
      <c r="AX63" s="329">
        <f>AX62-'PL WB'!M62</f>
        <v>47869.669999999925</v>
      </c>
      <c r="AY63" s="318"/>
      <c r="AZ63" s="207"/>
      <c r="BA63" s="207"/>
      <c r="BB63" s="198">
        <v>3023049.0733999987</v>
      </c>
      <c r="BC63" s="207">
        <f>BC62-'PL WB'!O62</f>
        <v>3429860.8057000004</v>
      </c>
      <c r="BD63" s="416"/>
    </row>
    <row r="64" spans="1:56" ht="15" customHeight="1" x14ac:dyDescent="0.25">
      <c r="A64" s="195" t="s">
        <v>56</v>
      </c>
      <c r="B64" s="196"/>
      <c r="C64" s="338">
        <f>C57+3023049.0734-C60</f>
        <v>3038282.9534</v>
      </c>
      <c r="D64" s="198">
        <f>D57+C64-D60</f>
        <v>3087501.6433999999</v>
      </c>
      <c r="E64" s="198">
        <f t="shared" ref="E64:BA64" si="38">E57+D64-E60</f>
        <v>3154504.4033999997</v>
      </c>
      <c r="F64" s="198">
        <f t="shared" si="38"/>
        <v>3195611.5033999998</v>
      </c>
      <c r="G64" s="199">
        <f>G57+F64-G60</f>
        <v>3244857.5133999996</v>
      </c>
      <c r="H64" s="197">
        <f t="shared" si="38"/>
        <v>3311764.3933999995</v>
      </c>
      <c r="I64" s="198">
        <f t="shared" si="38"/>
        <v>3388781.9533999995</v>
      </c>
      <c r="J64" s="198">
        <f t="shared" si="38"/>
        <v>3456204.5833999994</v>
      </c>
      <c r="K64" s="199">
        <f t="shared" si="38"/>
        <v>3526295.6533999993</v>
      </c>
      <c r="L64" s="197">
        <f t="shared" si="38"/>
        <v>3585660.6033999994</v>
      </c>
      <c r="M64" s="198">
        <f t="shared" si="38"/>
        <v>3638853.0233999994</v>
      </c>
      <c r="N64" s="198">
        <f t="shared" si="38"/>
        <v>3679812.5533999992</v>
      </c>
      <c r="O64" s="199">
        <f t="shared" si="38"/>
        <v>3725032.6133999992</v>
      </c>
      <c r="P64" s="197">
        <f>P57+O64-P60</f>
        <v>3762789.163399999</v>
      </c>
      <c r="Q64" s="198">
        <f t="shared" si="38"/>
        <v>3792585.893399999</v>
      </c>
      <c r="R64" s="198">
        <f t="shared" si="38"/>
        <v>3821520.9733999991</v>
      </c>
      <c r="S64" s="199">
        <f t="shared" si="38"/>
        <v>3854644.893399999</v>
      </c>
      <c r="T64" s="197">
        <f t="shared" si="38"/>
        <v>3875277.2633999991</v>
      </c>
      <c r="U64" s="198">
        <f t="shared" si="38"/>
        <v>3892194.2133999993</v>
      </c>
      <c r="V64" s="198">
        <f t="shared" si="38"/>
        <v>3911702.7933999994</v>
      </c>
      <c r="W64" s="198">
        <f t="shared" si="38"/>
        <v>3925406.7933999994</v>
      </c>
      <c r="X64" s="199">
        <f t="shared" si="38"/>
        <v>3939410.4433999993</v>
      </c>
      <c r="Y64" s="197">
        <f t="shared" si="38"/>
        <v>3955578.9833999993</v>
      </c>
      <c r="Z64" s="198">
        <f t="shared" si="38"/>
        <v>3965207.5133999991</v>
      </c>
      <c r="AA64" s="198">
        <f t="shared" si="38"/>
        <v>3965207.5133999991</v>
      </c>
      <c r="AB64" s="199">
        <f t="shared" si="38"/>
        <v>3965207.5133999991</v>
      </c>
      <c r="AC64" s="197">
        <f t="shared" si="38"/>
        <v>3965207.5133999991</v>
      </c>
      <c r="AD64" s="198">
        <f t="shared" si="38"/>
        <v>3965207.5133999991</v>
      </c>
      <c r="AE64" s="198">
        <f t="shared" si="38"/>
        <v>3965207.5133999991</v>
      </c>
      <c r="AF64" s="199">
        <f t="shared" si="38"/>
        <v>3965207.5133999991</v>
      </c>
      <c r="AG64" s="197">
        <f t="shared" si="38"/>
        <v>3965207.5133999991</v>
      </c>
      <c r="AH64" s="198">
        <f t="shared" si="38"/>
        <v>3965207.5133999991</v>
      </c>
      <c r="AI64" s="198">
        <f t="shared" si="38"/>
        <v>3965207.5133999991</v>
      </c>
      <c r="AJ64" s="198">
        <f t="shared" si="38"/>
        <v>3965207.5133999991</v>
      </c>
      <c r="AK64" s="199">
        <f t="shared" si="38"/>
        <v>3965207.5133999991</v>
      </c>
      <c r="AL64" s="197">
        <f t="shared" si="38"/>
        <v>3965207.5133999991</v>
      </c>
      <c r="AM64" s="198">
        <f t="shared" si="38"/>
        <v>3965207.5133999991</v>
      </c>
      <c r="AN64" s="198">
        <f t="shared" si="38"/>
        <v>3965207.5133999991</v>
      </c>
      <c r="AO64" s="199">
        <f t="shared" si="38"/>
        <v>3965207.5133999991</v>
      </c>
      <c r="AP64" s="197">
        <f t="shared" si="38"/>
        <v>3965207.5133999991</v>
      </c>
      <c r="AQ64" s="198">
        <f>AQ57+AP64-AQ60</f>
        <v>3965207.5133999991</v>
      </c>
      <c r="AR64" s="198">
        <f t="shared" si="38"/>
        <v>3965207.5133999991</v>
      </c>
      <c r="AS64" s="198">
        <f t="shared" si="38"/>
        <v>3965207.5133999991</v>
      </c>
      <c r="AT64" s="199">
        <f t="shared" si="38"/>
        <v>3965207.5133999991</v>
      </c>
      <c r="AU64" s="197">
        <f t="shared" si="38"/>
        <v>3965207.5133999991</v>
      </c>
      <c r="AV64" s="198">
        <f t="shared" si="38"/>
        <v>3965207.5133999991</v>
      </c>
      <c r="AW64" s="198">
        <f t="shared" si="38"/>
        <v>3965207.5133999991</v>
      </c>
      <c r="AX64" s="328">
        <f t="shared" si="38"/>
        <v>3965207.5133999991</v>
      </c>
      <c r="AY64" s="197">
        <f t="shared" si="38"/>
        <v>3965207.5133999991</v>
      </c>
      <c r="AZ64" s="198">
        <f t="shared" si="38"/>
        <v>3965207.5133999991</v>
      </c>
      <c r="BA64" s="198">
        <f t="shared" si="38"/>
        <v>3965207.5133999991</v>
      </c>
      <c r="BB64" s="198">
        <f>BB57+BA64-BB60</f>
        <v>3965207.5133999991</v>
      </c>
      <c r="BC64" s="198">
        <v>3023049.0734000001</v>
      </c>
      <c r="BD64" s="416"/>
    </row>
    <row r="65" spans="1:56" ht="13.5" customHeight="1" x14ac:dyDescent="0.25">
      <c r="A65" s="208"/>
      <c r="B65" s="121"/>
      <c r="C65" s="119"/>
      <c r="D65" s="117"/>
      <c r="E65" s="117"/>
      <c r="F65" s="117"/>
      <c r="G65" s="209">
        <f>G64-'PL WB'!C64</f>
        <v>0</v>
      </c>
      <c r="H65" s="210"/>
      <c r="I65" s="117"/>
      <c r="J65" s="117"/>
      <c r="K65" s="209">
        <f>K64-'PL WB'!D64</f>
        <v>5770.4399999994785</v>
      </c>
      <c r="L65" s="210"/>
      <c r="M65" s="117"/>
      <c r="N65" s="117"/>
      <c r="O65" s="209">
        <f>O64-'PL WB'!E64</f>
        <v>11049.509999999311</v>
      </c>
      <c r="P65" s="210"/>
      <c r="Q65" s="117"/>
      <c r="R65" s="117"/>
      <c r="S65" s="209">
        <f>S64-'PL WB'!F64</f>
        <v>14227.11999999918</v>
      </c>
      <c r="T65" s="210"/>
      <c r="U65" s="117"/>
      <c r="V65" s="117"/>
      <c r="W65" s="211"/>
      <c r="X65" s="209">
        <f>X64-'PL WB'!G64</f>
        <v>16787.319999999367</v>
      </c>
      <c r="Y65" s="319"/>
      <c r="Z65" s="211"/>
      <c r="AA65" s="211"/>
      <c r="AB65" s="209">
        <f>AB64-'PL WB'!H64</f>
        <v>17813.939999999013</v>
      </c>
      <c r="AC65" s="319"/>
      <c r="AD65" s="211"/>
      <c r="AE65" s="211"/>
      <c r="AF65" s="209">
        <f>AF64-'PL WB'!I64</f>
        <v>17813.939999999013</v>
      </c>
      <c r="AG65" s="319"/>
      <c r="AH65" s="211"/>
      <c r="AI65" s="211"/>
      <c r="AJ65" s="211"/>
      <c r="AK65" s="209">
        <f>AK64-'PL WB'!J64</f>
        <v>17813.939999999013</v>
      </c>
      <c r="AL65" s="319"/>
      <c r="AM65" s="211"/>
      <c r="AN65" s="211"/>
      <c r="AO65" s="209">
        <f>AO64-'PL WB'!K64</f>
        <v>17813.939999999013</v>
      </c>
      <c r="AP65" s="319"/>
      <c r="AQ65" s="211"/>
      <c r="AR65" s="211"/>
      <c r="AS65" s="211"/>
      <c r="AT65" s="209">
        <f>AT64-'PL WB'!L64</f>
        <v>17813.939999999013</v>
      </c>
      <c r="AU65" s="319"/>
      <c r="AV65" s="211"/>
      <c r="AW65" s="211"/>
      <c r="AX65" s="330">
        <f>AX64-'PL WB'!M64</f>
        <v>17813.939999999013</v>
      </c>
      <c r="AY65" s="319"/>
      <c r="AZ65" s="211"/>
      <c r="BA65" s="211"/>
      <c r="BB65" s="211">
        <f>BB64-'PL WB'!N64</f>
        <v>17813.939999999013</v>
      </c>
      <c r="BC65" s="211">
        <f>BC64-'PL WB'!O64</f>
        <v>3023049.0734000001</v>
      </c>
    </row>
    <row r="66" spans="1:56" ht="13.5" customHeight="1" x14ac:dyDescent="0.25">
      <c r="A66" s="212" t="s">
        <v>61</v>
      </c>
      <c r="B66" s="121"/>
      <c r="C66" s="119"/>
      <c r="D66" s="117"/>
      <c r="E66" s="117"/>
      <c r="F66" s="117"/>
      <c r="G66" s="118"/>
      <c r="H66" s="119"/>
      <c r="I66" s="117"/>
      <c r="J66" s="117"/>
      <c r="K66" s="118"/>
      <c r="L66" s="119"/>
      <c r="M66" s="117"/>
      <c r="N66" s="213"/>
      <c r="O66" s="214"/>
      <c r="P66" s="215"/>
      <c r="Q66" s="213"/>
      <c r="R66" s="213"/>
      <c r="S66" s="214"/>
      <c r="T66" s="215"/>
      <c r="U66" s="213"/>
      <c r="V66" s="213"/>
      <c r="W66" s="213"/>
      <c r="X66" s="214"/>
      <c r="Y66" s="215"/>
      <c r="Z66" s="213"/>
      <c r="AA66" s="213"/>
      <c r="AB66" s="214"/>
      <c r="AC66" s="215"/>
      <c r="AD66" s="213"/>
      <c r="AE66" s="213"/>
      <c r="AF66" s="214"/>
      <c r="AG66" s="215"/>
      <c r="AH66" s="213"/>
      <c r="AI66" s="213"/>
      <c r="AJ66" s="213"/>
      <c r="AK66" s="214"/>
      <c r="AL66" s="215"/>
      <c r="AM66" s="213"/>
      <c r="AN66" s="213"/>
      <c r="AO66" s="214"/>
      <c r="AP66" s="215"/>
      <c r="AQ66" s="213"/>
      <c r="AR66" s="213"/>
      <c r="AS66" s="213"/>
      <c r="AT66" s="214"/>
      <c r="AU66" s="215"/>
      <c r="AV66" s="213"/>
      <c r="AW66" s="213"/>
      <c r="AX66" s="331"/>
      <c r="AY66" s="215"/>
      <c r="AZ66" s="213"/>
      <c r="BA66" s="213"/>
      <c r="BB66" s="213"/>
      <c r="BC66" s="213"/>
    </row>
    <row r="67" spans="1:56" ht="13.5" customHeight="1" x14ac:dyDescent="0.25">
      <c r="A67" s="208"/>
      <c r="B67" s="121"/>
      <c r="C67" s="119"/>
      <c r="D67" s="117"/>
      <c r="E67" s="117"/>
      <c r="F67" s="117"/>
      <c r="G67" s="118"/>
      <c r="H67" s="119"/>
      <c r="I67" s="117"/>
      <c r="J67" s="117"/>
      <c r="K67" s="118"/>
      <c r="L67" s="119"/>
      <c r="M67" s="117"/>
      <c r="N67" s="213"/>
      <c r="O67" s="214"/>
      <c r="P67" s="215"/>
      <c r="Q67" s="213"/>
      <c r="R67" s="213"/>
      <c r="S67" s="214"/>
      <c r="T67" s="215"/>
      <c r="U67" s="213"/>
      <c r="V67" s="213"/>
      <c r="W67" s="213"/>
      <c r="X67" s="214"/>
      <c r="Y67" s="215"/>
      <c r="Z67" s="213"/>
      <c r="AA67" s="213"/>
      <c r="AB67" s="214"/>
      <c r="AC67" s="215"/>
      <c r="AD67" s="213"/>
      <c r="AE67" s="213"/>
      <c r="AF67" s="214"/>
      <c r="AG67" s="215"/>
      <c r="AH67" s="213"/>
      <c r="AI67" s="213"/>
      <c r="AJ67" s="213"/>
      <c r="AK67" s="214"/>
      <c r="AL67" s="215"/>
      <c r="AM67" s="213"/>
      <c r="AN67" s="213"/>
      <c r="AO67" s="214"/>
      <c r="AP67" s="215"/>
      <c r="AQ67" s="213"/>
      <c r="AR67" s="213"/>
      <c r="AS67" s="213"/>
      <c r="AT67" s="214"/>
      <c r="AU67" s="215"/>
      <c r="AV67" s="213"/>
      <c r="AW67" s="213"/>
      <c r="AX67" s="331"/>
      <c r="AY67" s="215"/>
      <c r="AZ67" s="213"/>
      <c r="BA67" s="213"/>
      <c r="BB67" s="213"/>
      <c r="BC67" s="213"/>
    </row>
    <row r="68" spans="1:56" ht="13.5" customHeight="1" x14ac:dyDescent="0.25">
      <c r="A68" s="208"/>
      <c r="B68" s="216" t="s">
        <v>62</v>
      </c>
      <c r="C68" s="119">
        <f>SUM('CF (нед)'!$C$29:C29)</f>
        <v>0</v>
      </c>
      <c r="D68" s="117">
        <f>SUM('CF (нед)'!$C$29:D29)</f>
        <v>0</v>
      </c>
      <c r="E68" s="117">
        <f>SUM('CF (нед)'!$C$29:E29)</f>
        <v>0</v>
      </c>
      <c r="F68" s="117">
        <f>SUM('CF (нед)'!$C$29:F29)</f>
        <v>0</v>
      </c>
      <c r="G68" s="118">
        <f>SUM('CF (нед)'!$C$29:G29)</f>
        <v>0</v>
      </c>
      <c r="H68" s="119">
        <f>SUM('CF (нед)'!$C$29:H29)</f>
        <v>0</v>
      </c>
      <c r="I68" s="117">
        <f>SUM('CF (нед)'!$C$29:I29)</f>
        <v>0</v>
      </c>
      <c r="J68" s="117">
        <f>SUM('CF (нед)'!$C$29:J29)</f>
        <v>0</v>
      </c>
      <c r="K68" s="118">
        <f>SUM('CF (нед)'!$C$29:K29)</f>
        <v>0</v>
      </c>
      <c r="L68" s="119">
        <f>SUM('CF (нед)'!$C$29:L29)</f>
        <v>0</v>
      </c>
      <c r="M68" s="117">
        <f>SUM('CF (нед)'!$C$29:M29)</f>
        <v>0</v>
      </c>
      <c r="N68" s="117">
        <f>SUM('CF (нед)'!$C$29:N29)</f>
        <v>0</v>
      </c>
      <c r="O68" s="118">
        <f>SUM('CF (нед)'!$C$29:O29)</f>
        <v>0</v>
      </c>
      <c r="P68" s="119">
        <f>SUM('CF (нед)'!$C$29:P29)</f>
        <v>0</v>
      </c>
      <c r="Q68" s="117">
        <f>SUM('CF (нед)'!$C$29:Q29)</f>
        <v>0</v>
      </c>
      <c r="R68" s="117">
        <f>SUM('CF (нед)'!$C$29:R29)</f>
        <v>0</v>
      </c>
      <c r="S68" s="118">
        <f>SUM('CF (нед)'!$C$29:S29)</f>
        <v>0</v>
      </c>
      <c r="T68" s="119">
        <f>SUM('CF (нед)'!$C$29:T29)</f>
        <v>0</v>
      </c>
      <c r="U68" s="117">
        <f>SUM('CF (нед)'!$C$29:U29)</f>
        <v>0</v>
      </c>
      <c r="V68" s="117">
        <f>SUM('CF (нед)'!$C$29:V29)</f>
        <v>0</v>
      </c>
      <c r="W68" s="117">
        <f>SUM('CF (нед)'!$C$29:W29)</f>
        <v>0</v>
      </c>
      <c r="X68" s="118">
        <f>SUM('CF (нед)'!$C$29:X29)</f>
        <v>0</v>
      </c>
      <c r="Y68" s="119">
        <f>SUM('CF (нед)'!$C$29:Y29)</f>
        <v>0</v>
      </c>
      <c r="Z68" s="117">
        <f>SUM('CF (нед)'!$C$29:Z29)</f>
        <v>0</v>
      </c>
      <c r="AA68" s="117">
        <f>SUM('CF (нед)'!$C$29:AA29)</f>
        <v>0</v>
      </c>
      <c r="AB68" s="118">
        <f>SUM('CF (нед)'!$C$29:AB29)</f>
        <v>0</v>
      </c>
      <c r="AC68" s="119">
        <f>SUM('CF (нед)'!$C$29:AC29)</f>
        <v>0</v>
      </c>
      <c r="AD68" s="117">
        <f>SUM('CF (нед)'!$C$29:AD29)</f>
        <v>0</v>
      </c>
      <c r="AE68" s="117">
        <f>SUM('CF (нед)'!$C$29:AE29)</f>
        <v>0</v>
      </c>
      <c r="AF68" s="118">
        <f>SUM('CF (нед)'!$C$29:AF29)</f>
        <v>0</v>
      </c>
      <c r="AG68" s="119">
        <f>SUM('CF (нед)'!$C$29:AG29)</f>
        <v>0</v>
      </c>
      <c r="AH68" s="117">
        <f>SUM('CF (нед)'!$C$29:AH29)</f>
        <v>0</v>
      </c>
      <c r="AI68" s="117">
        <f>SUM('CF (нед)'!$C$29:AI29)</f>
        <v>0</v>
      </c>
      <c r="AJ68" s="117">
        <f>SUM('CF (нед)'!$C$29:AJ29)</f>
        <v>0</v>
      </c>
      <c r="AK68" s="118">
        <f>SUM('CF (нед)'!$C$29:AK29)</f>
        <v>0</v>
      </c>
      <c r="AL68" s="119">
        <f>SUM('CF (нед)'!$C$29:AL29)</f>
        <v>0</v>
      </c>
      <c r="AM68" s="117">
        <f>SUM('CF (нед)'!$C$29:AM29)</f>
        <v>0</v>
      </c>
      <c r="AN68" s="117">
        <f>SUM('CF (нед)'!$C$29:AN29)</f>
        <v>0</v>
      </c>
      <c r="AO68" s="118">
        <f>SUM('CF (нед)'!$C$29:AO29)</f>
        <v>0</v>
      </c>
      <c r="AP68" s="119">
        <f>SUM('CF (нед)'!$C$29:AP29)</f>
        <v>0</v>
      </c>
      <c r="AQ68" s="117">
        <f>SUM('CF (нед)'!$C$29:AQ29)</f>
        <v>0</v>
      </c>
      <c r="AR68" s="117">
        <f>SUM('CF (нед)'!$C$29:AR29)</f>
        <v>0</v>
      </c>
      <c r="AS68" s="117">
        <f>SUM('CF (нед)'!$C$29:AS29)</f>
        <v>0</v>
      </c>
      <c r="AT68" s="118">
        <f>SUM('CF (нед)'!$C$29:AT29)</f>
        <v>0</v>
      </c>
      <c r="AU68" s="119">
        <f>SUM('CF (нед)'!$C$29:AU29)</f>
        <v>0</v>
      </c>
      <c r="AV68" s="117">
        <f>SUM('CF (нед)'!$C$29:AV29)</f>
        <v>0</v>
      </c>
      <c r="AW68" s="117">
        <f>SUM('CF (нед)'!$C$29:AW29)</f>
        <v>0</v>
      </c>
      <c r="AX68" s="115">
        <f>SUM('CF (нед)'!$C$29:AX29)</f>
        <v>0</v>
      </c>
      <c r="AY68" s="119">
        <f>SUM('CF (нед)'!$C$29:AY29)</f>
        <v>0</v>
      </c>
      <c r="AZ68" s="117">
        <f>SUM('CF (нед)'!$C$29:AZ29)</f>
        <v>0</v>
      </c>
      <c r="BA68" s="117">
        <f>SUM('CF (нед)'!$C$29:BA29)</f>
        <v>0</v>
      </c>
      <c r="BB68" s="117">
        <f>SUM('CF (нед)'!$C$29:BB29)</f>
        <v>0</v>
      </c>
      <c r="BC68" s="117">
        <f>SUM('CF (нед)'!$C$29:BC29)</f>
        <v>0</v>
      </c>
    </row>
    <row r="69" spans="1:56" ht="13.5" customHeight="1" x14ac:dyDescent="0.25">
      <c r="A69" s="208"/>
      <c r="B69" s="216" t="s">
        <v>63</v>
      </c>
      <c r="C69" s="119">
        <f t="shared" ref="C69:Q69" si="39">SUM($C$33:C33)</f>
        <v>9203</v>
      </c>
      <c r="D69" s="117">
        <f t="shared" si="39"/>
        <v>43268</v>
      </c>
      <c r="E69" s="117">
        <f t="shared" si="39"/>
        <v>89600.16</v>
      </c>
      <c r="F69" s="117">
        <f t="shared" si="39"/>
        <v>130053.36</v>
      </c>
      <c r="G69" s="118">
        <f t="shared" si="39"/>
        <v>168693.81</v>
      </c>
      <c r="H69" s="119">
        <f t="shared" si="39"/>
        <v>214671.81</v>
      </c>
      <c r="I69" s="117">
        <f t="shared" si="39"/>
        <v>260308.87</v>
      </c>
      <c r="J69" s="117">
        <f t="shared" si="39"/>
        <v>299508.11</v>
      </c>
      <c r="K69" s="118">
        <f t="shared" si="39"/>
        <v>340274.52999999997</v>
      </c>
      <c r="L69" s="119">
        <f t="shared" si="39"/>
        <v>380045.52999999997</v>
      </c>
      <c r="M69" s="117">
        <f t="shared" si="39"/>
        <v>418247.99</v>
      </c>
      <c r="N69" s="117">
        <f t="shared" si="39"/>
        <v>464230.74</v>
      </c>
      <c r="O69" s="118">
        <f t="shared" si="39"/>
        <v>500638.93</v>
      </c>
      <c r="P69" s="119">
        <f t="shared" si="39"/>
        <v>525142.47</v>
      </c>
      <c r="Q69" s="117">
        <f t="shared" si="39"/>
        <v>544702.03</v>
      </c>
      <c r="R69" s="117">
        <f t="shared" ref="R69:BA69" si="40">SUM(C33:R33)</f>
        <v>563696.83000000007</v>
      </c>
      <c r="S69" s="118">
        <f t="shared" si="40"/>
        <v>575540.39000000013</v>
      </c>
      <c r="T69" s="119">
        <f t="shared" si="40"/>
        <v>556672.26</v>
      </c>
      <c r="U69" s="117">
        <f t="shared" si="40"/>
        <v>525276.56999999995</v>
      </c>
      <c r="V69" s="117">
        <f t="shared" si="40"/>
        <v>500577.75999999995</v>
      </c>
      <c r="W69" s="117">
        <f t="shared" si="40"/>
        <v>474936.41999999987</v>
      </c>
      <c r="X69" s="118">
        <f t="shared" si="40"/>
        <v>445540.67999999993</v>
      </c>
      <c r="Y69" s="119">
        <f t="shared" si="40"/>
        <v>416511.32999999996</v>
      </c>
      <c r="Z69" s="117">
        <f t="shared" si="40"/>
        <v>398882.83</v>
      </c>
      <c r="AA69" s="117">
        <f t="shared" si="40"/>
        <v>358116.41</v>
      </c>
      <c r="AB69" s="118">
        <f t="shared" si="40"/>
        <v>318345.40999999997</v>
      </c>
      <c r="AC69" s="119">
        <f t="shared" si="40"/>
        <v>280142.95</v>
      </c>
      <c r="AD69" s="117">
        <f t="shared" si="40"/>
        <v>234160.19999999998</v>
      </c>
      <c r="AE69" s="117">
        <f t="shared" si="40"/>
        <v>197752.00999999998</v>
      </c>
      <c r="AF69" s="118">
        <f t="shared" si="40"/>
        <v>173248.46999999997</v>
      </c>
      <c r="AG69" s="119">
        <f t="shared" si="40"/>
        <v>153688.90999999997</v>
      </c>
      <c r="AH69" s="117">
        <f t="shared" si="40"/>
        <v>134694.10999999999</v>
      </c>
      <c r="AI69" s="117">
        <f t="shared" si="40"/>
        <v>113647.55</v>
      </c>
      <c r="AJ69" s="117">
        <f t="shared" si="40"/>
        <v>98450.680000000008</v>
      </c>
      <c r="AK69" s="118">
        <f t="shared" si="40"/>
        <v>83514.209999999992</v>
      </c>
      <c r="AL69" s="119">
        <f t="shared" si="40"/>
        <v>67759.820000000007</v>
      </c>
      <c r="AM69" s="117">
        <f t="shared" si="40"/>
        <v>54760.710000000006</v>
      </c>
      <c r="AN69" s="117">
        <f t="shared" si="40"/>
        <v>38178.449999999997</v>
      </c>
      <c r="AO69" s="118">
        <f t="shared" si="40"/>
        <v>21570.74</v>
      </c>
      <c r="AP69" s="119">
        <f t="shared" si="40"/>
        <v>0</v>
      </c>
      <c r="AQ69" s="117">
        <f t="shared" si="40"/>
        <v>0</v>
      </c>
      <c r="AR69" s="117">
        <f t="shared" si="40"/>
        <v>0</v>
      </c>
      <c r="AS69" s="117">
        <f t="shared" si="40"/>
        <v>0</v>
      </c>
      <c r="AT69" s="118">
        <f t="shared" si="40"/>
        <v>0</v>
      </c>
      <c r="AU69" s="119">
        <f t="shared" si="40"/>
        <v>0</v>
      </c>
      <c r="AV69" s="117">
        <f t="shared" si="40"/>
        <v>0</v>
      </c>
      <c r="AW69" s="117">
        <f t="shared" si="40"/>
        <v>0</v>
      </c>
      <c r="AX69" s="115">
        <f t="shared" si="40"/>
        <v>0</v>
      </c>
      <c r="AY69" s="119">
        <f t="shared" si="40"/>
        <v>0</v>
      </c>
      <c r="AZ69" s="117">
        <f t="shared" si="40"/>
        <v>0</v>
      </c>
      <c r="BA69" s="117">
        <f t="shared" si="40"/>
        <v>0</v>
      </c>
      <c r="BB69" s="117">
        <f>SUM(AM33:BB33)</f>
        <v>0</v>
      </c>
      <c r="BC69" s="117">
        <f>SUM(AN33:BC33)</f>
        <v>0</v>
      </c>
    </row>
    <row r="70" spans="1:56" ht="13.5" customHeight="1" x14ac:dyDescent="0.25">
      <c r="A70" s="208"/>
      <c r="B70" s="216" t="s">
        <v>64</v>
      </c>
      <c r="C70" s="119">
        <f>SUM($C$57:C57)</f>
        <v>15233.880000000001</v>
      </c>
      <c r="D70" s="117">
        <f t="shared" ref="D70:Q70" si="41">SUM($C$57:D57)</f>
        <v>64452.570000000007</v>
      </c>
      <c r="E70" s="117">
        <f t="shared" si="41"/>
        <v>131455.33000000002</v>
      </c>
      <c r="F70" s="117">
        <f t="shared" si="41"/>
        <v>172562.43000000002</v>
      </c>
      <c r="G70" s="118">
        <f t="shared" si="41"/>
        <v>221808.44000000003</v>
      </c>
      <c r="H70" s="119">
        <f t="shared" si="41"/>
        <v>288715.32000000007</v>
      </c>
      <c r="I70" s="117">
        <f t="shared" si="41"/>
        <v>365732.88000000006</v>
      </c>
      <c r="J70" s="117">
        <f t="shared" si="41"/>
        <v>433155.51000000007</v>
      </c>
      <c r="K70" s="118">
        <f t="shared" si="41"/>
        <v>503246.58000000007</v>
      </c>
      <c r="L70" s="119">
        <f>SUM($C$57:L57)</f>
        <v>562611.53</v>
      </c>
      <c r="M70" s="117">
        <f t="shared" si="41"/>
        <v>615803.95000000007</v>
      </c>
      <c r="N70" s="117">
        <f t="shared" si="41"/>
        <v>656763.4800000001</v>
      </c>
      <c r="O70" s="118">
        <f t="shared" si="41"/>
        <v>701983.54</v>
      </c>
      <c r="P70" s="119">
        <f t="shared" si="41"/>
        <v>739740.09000000008</v>
      </c>
      <c r="Q70" s="117">
        <f t="shared" si="41"/>
        <v>769536.82000000007</v>
      </c>
      <c r="R70" s="117">
        <f t="shared" ref="R70:BA70" si="42">SUM(C57:R57)</f>
        <v>798471.9</v>
      </c>
      <c r="S70" s="118">
        <f t="shared" si="42"/>
        <v>816361.94000000018</v>
      </c>
      <c r="T70" s="119">
        <f t="shared" si="42"/>
        <v>787775.62</v>
      </c>
      <c r="U70" s="117">
        <f t="shared" si="42"/>
        <v>737689.81000000017</v>
      </c>
      <c r="V70" s="117">
        <f t="shared" si="42"/>
        <v>716091.29</v>
      </c>
      <c r="W70" s="117">
        <f t="shared" si="42"/>
        <v>680549.28</v>
      </c>
      <c r="X70" s="118">
        <f t="shared" si="42"/>
        <v>627646.05000000005</v>
      </c>
      <c r="Y70" s="119">
        <f t="shared" si="42"/>
        <v>566797.03000000014</v>
      </c>
      <c r="Z70" s="117">
        <f t="shared" si="42"/>
        <v>509002.93000000005</v>
      </c>
      <c r="AA70" s="117">
        <f t="shared" si="42"/>
        <v>438911.86000000004</v>
      </c>
      <c r="AB70" s="118">
        <f t="shared" si="42"/>
        <v>379546.91000000003</v>
      </c>
      <c r="AC70" s="119">
        <f t="shared" si="42"/>
        <v>326354.49</v>
      </c>
      <c r="AD70" s="117">
        <f t="shared" si="42"/>
        <v>285394.9599999999</v>
      </c>
      <c r="AE70" s="117">
        <f t="shared" si="42"/>
        <v>240174.89999999997</v>
      </c>
      <c r="AF70" s="118">
        <f t="shared" si="42"/>
        <v>202418.35</v>
      </c>
      <c r="AG70" s="119">
        <f t="shared" si="42"/>
        <v>172621.62</v>
      </c>
      <c r="AH70" s="117">
        <f t="shared" si="42"/>
        <v>143686.54</v>
      </c>
      <c r="AI70" s="117">
        <f t="shared" si="42"/>
        <v>110562.62</v>
      </c>
      <c r="AJ70" s="117">
        <f t="shared" si="42"/>
        <v>89930.25</v>
      </c>
      <c r="AK70" s="118">
        <f t="shared" si="42"/>
        <v>73013.3</v>
      </c>
      <c r="AL70" s="119">
        <f t="shared" si="42"/>
        <v>53504.72</v>
      </c>
      <c r="AM70" s="117">
        <f t="shared" si="42"/>
        <v>39800.720000000001</v>
      </c>
      <c r="AN70" s="117">
        <f t="shared" si="42"/>
        <v>25797.069999999992</v>
      </c>
      <c r="AO70" s="118">
        <f t="shared" si="42"/>
        <v>9628.5299999999934</v>
      </c>
      <c r="AP70" s="119">
        <f t="shared" si="42"/>
        <v>0</v>
      </c>
      <c r="AQ70" s="117">
        <f t="shared" si="42"/>
        <v>0</v>
      </c>
      <c r="AR70" s="117">
        <f t="shared" si="42"/>
        <v>0</v>
      </c>
      <c r="AS70" s="117">
        <f t="shared" si="42"/>
        <v>0</v>
      </c>
      <c r="AT70" s="118">
        <f t="shared" si="42"/>
        <v>0</v>
      </c>
      <c r="AU70" s="119">
        <f t="shared" si="42"/>
        <v>0</v>
      </c>
      <c r="AV70" s="117">
        <f t="shared" si="42"/>
        <v>0</v>
      </c>
      <c r="AW70" s="117">
        <f t="shared" si="42"/>
        <v>0</v>
      </c>
      <c r="AX70" s="115">
        <f t="shared" si="42"/>
        <v>0</v>
      </c>
      <c r="AY70" s="119">
        <f t="shared" si="42"/>
        <v>0</v>
      </c>
      <c r="AZ70" s="117">
        <f t="shared" si="42"/>
        <v>0</v>
      </c>
      <c r="BA70" s="117">
        <f t="shared" si="42"/>
        <v>0</v>
      </c>
      <c r="BB70" s="117">
        <f>SUM(AM57:BB57)</f>
        <v>0</v>
      </c>
      <c r="BC70" s="117">
        <f>SUM(AN57:BC57)</f>
        <v>0</v>
      </c>
    </row>
    <row r="71" spans="1:56" ht="13.5" customHeight="1" x14ac:dyDescent="0.25">
      <c r="A71" s="217"/>
      <c r="B71" s="218" t="s">
        <v>65</v>
      </c>
      <c r="C71" s="192">
        <f t="shared" ref="C71:BB71" si="43">C70/C69</f>
        <v>1.655316744539824</v>
      </c>
      <c r="D71" s="193">
        <f t="shared" si="43"/>
        <v>1.4896128778774154</v>
      </c>
      <c r="E71" s="193">
        <f t="shared" si="43"/>
        <v>1.467132759584358</v>
      </c>
      <c r="F71" s="193">
        <f t="shared" si="43"/>
        <v>1.3268586832358658</v>
      </c>
      <c r="G71" s="194">
        <f t="shared" si="43"/>
        <v>1.3148582037479624</v>
      </c>
      <c r="H71" s="192">
        <f t="shared" si="43"/>
        <v>1.3449149191968897</v>
      </c>
      <c r="I71" s="193">
        <f t="shared" si="43"/>
        <v>1.4049958420548638</v>
      </c>
      <c r="J71" s="193">
        <f t="shared" si="43"/>
        <v>1.4462229753978952</v>
      </c>
      <c r="K71" s="194">
        <f t="shared" si="43"/>
        <v>1.4789428406528109</v>
      </c>
      <c r="L71" s="192">
        <f t="shared" si="43"/>
        <v>1.4803792850819744</v>
      </c>
      <c r="M71" s="193">
        <f t="shared" si="43"/>
        <v>1.4723416841764143</v>
      </c>
      <c r="N71" s="193">
        <f t="shared" si="43"/>
        <v>1.4147350087157091</v>
      </c>
      <c r="O71" s="194">
        <f t="shared" si="43"/>
        <v>1.4021752962759009</v>
      </c>
      <c r="P71" s="192">
        <f t="shared" si="43"/>
        <v>1.4086464764504767</v>
      </c>
      <c r="Q71" s="193">
        <f t="shared" si="43"/>
        <v>1.4127665725791403</v>
      </c>
      <c r="R71" s="193">
        <f t="shared" si="43"/>
        <v>1.4164917336859957</v>
      </c>
      <c r="S71" s="194">
        <f t="shared" si="43"/>
        <v>1.4184268457683742</v>
      </c>
      <c r="T71" s="192">
        <f t="shared" si="43"/>
        <v>1.4151515651237947</v>
      </c>
      <c r="U71" s="193">
        <f t="shared" si="43"/>
        <v>1.4043836183289125</v>
      </c>
      <c r="V71" s="193">
        <f t="shared" si="43"/>
        <v>1.4305295744661131</v>
      </c>
      <c r="W71" s="193">
        <f t="shared" si="43"/>
        <v>1.4329271273826509</v>
      </c>
      <c r="X71" s="194">
        <f t="shared" si="43"/>
        <v>1.4087289403068652</v>
      </c>
      <c r="Y71" s="192">
        <f t="shared" si="43"/>
        <v>1.3608201966558753</v>
      </c>
      <c r="Z71" s="193">
        <f t="shared" si="43"/>
        <v>1.2760712964255694</v>
      </c>
      <c r="AA71" s="193">
        <f t="shared" si="43"/>
        <v>1.225612252730893</v>
      </c>
      <c r="AB71" s="194">
        <f t="shared" si="43"/>
        <v>1.1922487275692151</v>
      </c>
      <c r="AC71" s="192">
        <f t="shared" si="43"/>
        <v>1.164956997846992</v>
      </c>
      <c r="AD71" s="193">
        <f t="shared" si="43"/>
        <v>1.2188021704798677</v>
      </c>
      <c r="AE71" s="193">
        <f t="shared" si="43"/>
        <v>1.2145257082342678</v>
      </c>
      <c r="AF71" s="194">
        <f t="shared" si="43"/>
        <v>1.1683702026344016</v>
      </c>
      <c r="AG71" s="192">
        <f t="shared" si="43"/>
        <v>1.1231885241426987</v>
      </c>
      <c r="AH71" s="193">
        <f t="shared" si="43"/>
        <v>1.066761865088236</v>
      </c>
      <c r="AI71" s="193">
        <f t="shared" si="43"/>
        <v>0.97285528812543687</v>
      </c>
      <c r="AJ71" s="193">
        <f t="shared" si="43"/>
        <v>0.91345483850390874</v>
      </c>
      <c r="AK71" s="194">
        <f t="shared" si="43"/>
        <v>0.87426199685059591</v>
      </c>
      <c r="AL71" s="192">
        <f t="shared" si="43"/>
        <v>0.78962311293034715</v>
      </c>
      <c r="AM71" s="193">
        <f t="shared" si="43"/>
        <v>0.7268116136551187</v>
      </c>
      <c r="AN71" s="193">
        <f t="shared" si="43"/>
        <v>0.67569715376082562</v>
      </c>
      <c r="AO71" s="194">
        <f t="shared" si="43"/>
        <v>0.44636994372932931</v>
      </c>
      <c r="AP71" s="192" t="e">
        <f t="shared" si="43"/>
        <v>#DIV/0!</v>
      </c>
      <c r="AQ71" s="193" t="e">
        <f t="shared" si="43"/>
        <v>#DIV/0!</v>
      </c>
      <c r="AR71" s="193" t="e">
        <f t="shared" si="43"/>
        <v>#DIV/0!</v>
      </c>
      <c r="AS71" s="193" t="e">
        <f t="shared" si="43"/>
        <v>#DIV/0!</v>
      </c>
      <c r="AT71" s="194" t="e">
        <f t="shared" si="43"/>
        <v>#DIV/0!</v>
      </c>
      <c r="AU71" s="192" t="e">
        <f t="shared" si="43"/>
        <v>#DIV/0!</v>
      </c>
      <c r="AV71" s="193" t="e">
        <f t="shared" si="43"/>
        <v>#DIV/0!</v>
      </c>
      <c r="AW71" s="193" t="e">
        <f t="shared" si="43"/>
        <v>#DIV/0!</v>
      </c>
      <c r="AX71" s="332" t="e">
        <f t="shared" si="43"/>
        <v>#DIV/0!</v>
      </c>
      <c r="AY71" s="192" t="e">
        <f t="shared" si="43"/>
        <v>#DIV/0!</v>
      </c>
      <c r="AZ71" s="193" t="e">
        <f t="shared" si="43"/>
        <v>#DIV/0!</v>
      </c>
      <c r="BA71" s="193" t="e">
        <f t="shared" si="43"/>
        <v>#DIV/0!</v>
      </c>
      <c r="BB71" s="193" t="e">
        <f t="shared" si="43"/>
        <v>#DIV/0!</v>
      </c>
      <c r="BC71" s="193" t="e">
        <f t="shared" ref="BC71" si="44">BC70/BC69</f>
        <v>#DIV/0!</v>
      </c>
    </row>
    <row r="72" spans="1:56" ht="13.5" customHeight="1" x14ac:dyDescent="0.25">
      <c r="A72" s="217"/>
      <c r="B72" s="218" t="s">
        <v>66</v>
      </c>
      <c r="C72" s="192" t="e">
        <f>C69/C68</f>
        <v>#DIV/0!</v>
      </c>
      <c r="D72" s="193" t="e">
        <f t="shared" ref="D72:BA72" si="45">D69/D68</f>
        <v>#DIV/0!</v>
      </c>
      <c r="E72" s="193" t="e">
        <f t="shared" si="45"/>
        <v>#DIV/0!</v>
      </c>
      <c r="F72" s="193" t="e">
        <f t="shared" si="45"/>
        <v>#DIV/0!</v>
      </c>
      <c r="G72" s="194" t="e">
        <f t="shared" si="45"/>
        <v>#DIV/0!</v>
      </c>
      <c r="H72" s="192" t="e">
        <f t="shared" si="45"/>
        <v>#DIV/0!</v>
      </c>
      <c r="I72" s="193" t="e">
        <f t="shared" si="45"/>
        <v>#DIV/0!</v>
      </c>
      <c r="J72" s="193" t="e">
        <f t="shared" si="45"/>
        <v>#DIV/0!</v>
      </c>
      <c r="K72" s="194" t="e">
        <f t="shared" si="45"/>
        <v>#DIV/0!</v>
      </c>
      <c r="L72" s="192" t="e">
        <f t="shared" si="45"/>
        <v>#DIV/0!</v>
      </c>
      <c r="M72" s="193" t="e">
        <f t="shared" si="45"/>
        <v>#DIV/0!</v>
      </c>
      <c r="N72" s="193" t="e">
        <f t="shared" si="45"/>
        <v>#DIV/0!</v>
      </c>
      <c r="O72" s="194" t="e">
        <f t="shared" si="45"/>
        <v>#DIV/0!</v>
      </c>
      <c r="P72" s="192" t="e">
        <f t="shared" si="45"/>
        <v>#DIV/0!</v>
      </c>
      <c r="Q72" s="193" t="e">
        <f t="shared" si="45"/>
        <v>#DIV/0!</v>
      </c>
      <c r="R72" s="193" t="e">
        <f t="shared" si="45"/>
        <v>#DIV/0!</v>
      </c>
      <c r="S72" s="194" t="e">
        <f t="shared" si="45"/>
        <v>#DIV/0!</v>
      </c>
      <c r="T72" s="192" t="e">
        <f t="shared" si="45"/>
        <v>#DIV/0!</v>
      </c>
      <c r="U72" s="193" t="e">
        <f t="shared" si="45"/>
        <v>#DIV/0!</v>
      </c>
      <c r="V72" s="193" t="e">
        <f t="shared" si="45"/>
        <v>#DIV/0!</v>
      </c>
      <c r="W72" s="193" t="e">
        <f t="shared" si="45"/>
        <v>#DIV/0!</v>
      </c>
      <c r="X72" s="194" t="e">
        <f t="shared" si="45"/>
        <v>#DIV/0!</v>
      </c>
      <c r="Y72" s="192" t="e">
        <f t="shared" si="45"/>
        <v>#DIV/0!</v>
      </c>
      <c r="Z72" s="193" t="e">
        <f t="shared" si="45"/>
        <v>#DIV/0!</v>
      </c>
      <c r="AA72" s="193" t="e">
        <f t="shared" si="45"/>
        <v>#DIV/0!</v>
      </c>
      <c r="AB72" s="194" t="e">
        <f t="shared" si="45"/>
        <v>#DIV/0!</v>
      </c>
      <c r="AC72" s="192" t="e">
        <f t="shared" si="45"/>
        <v>#DIV/0!</v>
      </c>
      <c r="AD72" s="193" t="e">
        <f t="shared" si="45"/>
        <v>#DIV/0!</v>
      </c>
      <c r="AE72" s="193" t="e">
        <f t="shared" si="45"/>
        <v>#DIV/0!</v>
      </c>
      <c r="AF72" s="194" t="e">
        <f t="shared" si="45"/>
        <v>#DIV/0!</v>
      </c>
      <c r="AG72" s="192" t="e">
        <f t="shared" si="45"/>
        <v>#DIV/0!</v>
      </c>
      <c r="AH72" s="193" t="e">
        <f t="shared" si="45"/>
        <v>#DIV/0!</v>
      </c>
      <c r="AI72" s="193" t="e">
        <f t="shared" si="45"/>
        <v>#DIV/0!</v>
      </c>
      <c r="AJ72" s="193" t="e">
        <f t="shared" si="45"/>
        <v>#DIV/0!</v>
      </c>
      <c r="AK72" s="194" t="e">
        <f t="shared" si="45"/>
        <v>#DIV/0!</v>
      </c>
      <c r="AL72" s="192" t="e">
        <f t="shared" si="45"/>
        <v>#DIV/0!</v>
      </c>
      <c r="AM72" s="193" t="e">
        <f t="shared" si="45"/>
        <v>#DIV/0!</v>
      </c>
      <c r="AN72" s="193" t="e">
        <f t="shared" si="45"/>
        <v>#DIV/0!</v>
      </c>
      <c r="AO72" s="194" t="e">
        <f>AO69/AO68</f>
        <v>#DIV/0!</v>
      </c>
      <c r="AP72" s="192" t="e">
        <f t="shared" si="45"/>
        <v>#DIV/0!</v>
      </c>
      <c r="AQ72" s="193" t="e">
        <f t="shared" si="45"/>
        <v>#DIV/0!</v>
      </c>
      <c r="AR72" s="193" t="e">
        <f t="shared" si="45"/>
        <v>#DIV/0!</v>
      </c>
      <c r="AS72" s="193" t="e">
        <f t="shared" si="45"/>
        <v>#DIV/0!</v>
      </c>
      <c r="AT72" s="194" t="e">
        <f t="shared" si="45"/>
        <v>#DIV/0!</v>
      </c>
      <c r="AU72" s="192" t="e">
        <f t="shared" si="45"/>
        <v>#DIV/0!</v>
      </c>
      <c r="AV72" s="193" t="e">
        <f t="shared" si="45"/>
        <v>#DIV/0!</v>
      </c>
      <c r="AW72" s="193" t="e">
        <f t="shared" si="45"/>
        <v>#DIV/0!</v>
      </c>
      <c r="AX72" s="332" t="e">
        <f t="shared" si="45"/>
        <v>#DIV/0!</v>
      </c>
      <c r="AY72" s="192" t="e">
        <f t="shared" si="45"/>
        <v>#DIV/0!</v>
      </c>
      <c r="AZ72" s="193" t="e">
        <f t="shared" si="45"/>
        <v>#DIV/0!</v>
      </c>
      <c r="BA72" s="193" t="e">
        <f t="shared" si="45"/>
        <v>#DIV/0!</v>
      </c>
      <c r="BB72" s="193" t="e">
        <f>BB69/BB68</f>
        <v>#DIV/0!</v>
      </c>
      <c r="BC72" s="193" t="e">
        <f>BC69/BC68</f>
        <v>#DIV/0!</v>
      </c>
    </row>
    <row r="73" spans="1:56" ht="13.5" customHeight="1" x14ac:dyDescent="0.25">
      <c r="A73" s="114"/>
      <c r="B73" s="121" t="s">
        <v>67</v>
      </c>
      <c r="C73" s="119" t="e">
        <f t="shared" ref="C73:Q73" si="46">(C74*7)/C72</f>
        <v>#DIV/0!</v>
      </c>
      <c r="D73" s="117" t="e">
        <f t="shared" si="46"/>
        <v>#DIV/0!</v>
      </c>
      <c r="E73" s="117" t="e">
        <f t="shared" si="46"/>
        <v>#DIV/0!</v>
      </c>
      <c r="F73" s="117" t="e">
        <f t="shared" si="46"/>
        <v>#DIV/0!</v>
      </c>
      <c r="G73" s="118" t="e">
        <f t="shared" si="46"/>
        <v>#DIV/0!</v>
      </c>
      <c r="H73" s="119" t="e">
        <f t="shared" si="46"/>
        <v>#DIV/0!</v>
      </c>
      <c r="I73" s="117" t="e">
        <f t="shared" si="46"/>
        <v>#DIV/0!</v>
      </c>
      <c r="J73" s="117" t="e">
        <f t="shared" si="46"/>
        <v>#DIV/0!</v>
      </c>
      <c r="K73" s="118" t="e">
        <f t="shared" si="46"/>
        <v>#DIV/0!</v>
      </c>
      <c r="L73" s="119" t="e">
        <f t="shared" si="46"/>
        <v>#DIV/0!</v>
      </c>
      <c r="M73" s="117" t="e">
        <f t="shared" si="46"/>
        <v>#DIV/0!</v>
      </c>
      <c r="N73" s="117" t="e">
        <f t="shared" si="46"/>
        <v>#DIV/0!</v>
      </c>
      <c r="O73" s="118" t="e">
        <f t="shared" si="46"/>
        <v>#DIV/0!</v>
      </c>
      <c r="P73" s="119" t="e">
        <f t="shared" si="46"/>
        <v>#DIV/0!</v>
      </c>
      <c r="Q73" s="117" t="e">
        <f t="shared" si="46"/>
        <v>#DIV/0!</v>
      </c>
      <c r="R73" s="117" t="e">
        <f t="shared" ref="R73:BA73" si="47">(16*7)/R72</f>
        <v>#DIV/0!</v>
      </c>
      <c r="S73" s="118" t="e">
        <f t="shared" si="47"/>
        <v>#DIV/0!</v>
      </c>
      <c r="T73" s="119" t="e">
        <f t="shared" si="47"/>
        <v>#DIV/0!</v>
      </c>
      <c r="U73" s="117" t="e">
        <f t="shared" si="47"/>
        <v>#DIV/0!</v>
      </c>
      <c r="V73" s="117" t="e">
        <f t="shared" si="47"/>
        <v>#DIV/0!</v>
      </c>
      <c r="W73" s="117" t="e">
        <f t="shared" si="47"/>
        <v>#DIV/0!</v>
      </c>
      <c r="X73" s="118" t="e">
        <f t="shared" si="47"/>
        <v>#DIV/0!</v>
      </c>
      <c r="Y73" s="119" t="e">
        <f t="shared" si="47"/>
        <v>#DIV/0!</v>
      </c>
      <c r="Z73" s="117" t="e">
        <f t="shared" si="47"/>
        <v>#DIV/0!</v>
      </c>
      <c r="AA73" s="117" t="e">
        <f t="shared" si="47"/>
        <v>#DIV/0!</v>
      </c>
      <c r="AB73" s="118" t="e">
        <f t="shared" si="47"/>
        <v>#DIV/0!</v>
      </c>
      <c r="AC73" s="119" t="e">
        <f t="shared" si="47"/>
        <v>#DIV/0!</v>
      </c>
      <c r="AD73" s="117" t="e">
        <f t="shared" si="47"/>
        <v>#DIV/0!</v>
      </c>
      <c r="AE73" s="117" t="e">
        <f t="shared" si="47"/>
        <v>#DIV/0!</v>
      </c>
      <c r="AF73" s="118" t="e">
        <f t="shared" si="47"/>
        <v>#DIV/0!</v>
      </c>
      <c r="AG73" s="119" t="e">
        <f t="shared" si="47"/>
        <v>#DIV/0!</v>
      </c>
      <c r="AH73" s="117" t="e">
        <f t="shared" si="47"/>
        <v>#DIV/0!</v>
      </c>
      <c r="AI73" s="117" t="e">
        <f t="shared" si="47"/>
        <v>#DIV/0!</v>
      </c>
      <c r="AJ73" s="117" t="e">
        <f t="shared" si="47"/>
        <v>#DIV/0!</v>
      </c>
      <c r="AK73" s="118" t="e">
        <f t="shared" si="47"/>
        <v>#DIV/0!</v>
      </c>
      <c r="AL73" s="119" t="e">
        <f t="shared" si="47"/>
        <v>#DIV/0!</v>
      </c>
      <c r="AM73" s="117" t="e">
        <f t="shared" si="47"/>
        <v>#DIV/0!</v>
      </c>
      <c r="AN73" s="117" t="e">
        <f t="shared" si="47"/>
        <v>#DIV/0!</v>
      </c>
      <c r="AO73" s="118" t="e">
        <f t="shared" si="47"/>
        <v>#DIV/0!</v>
      </c>
      <c r="AP73" s="119" t="e">
        <f t="shared" si="47"/>
        <v>#DIV/0!</v>
      </c>
      <c r="AQ73" s="117" t="e">
        <f t="shared" si="47"/>
        <v>#DIV/0!</v>
      </c>
      <c r="AR73" s="117" t="e">
        <f t="shared" si="47"/>
        <v>#DIV/0!</v>
      </c>
      <c r="AS73" s="117" t="e">
        <f t="shared" si="47"/>
        <v>#DIV/0!</v>
      </c>
      <c r="AT73" s="118" t="e">
        <f t="shared" si="47"/>
        <v>#DIV/0!</v>
      </c>
      <c r="AU73" s="119" t="e">
        <f t="shared" si="47"/>
        <v>#DIV/0!</v>
      </c>
      <c r="AV73" s="117" t="e">
        <f t="shared" si="47"/>
        <v>#DIV/0!</v>
      </c>
      <c r="AW73" s="117" t="e">
        <f t="shared" si="47"/>
        <v>#DIV/0!</v>
      </c>
      <c r="AX73" s="115" t="e">
        <f t="shared" si="47"/>
        <v>#DIV/0!</v>
      </c>
      <c r="AY73" s="119" t="e">
        <f t="shared" si="47"/>
        <v>#DIV/0!</v>
      </c>
      <c r="AZ73" s="117" t="e">
        <f t="shared" si="47"/>
        <v>#DIV/0!</v>
      </c>
      <c r="BA73" s="117" t="e">
        <f t="shared" si="47"/>
        <v>#DIV/0!</v>
      </c>
      <c r="BB73" s="117" t="e">
        <f>(16*7)/BB72</f>
        <v>#DIV/0!</v>
      </c>
      <c r="BC73" s="117" t="e">
        <f>(16*7)/BC72</f>
        <v>#DIV/0!</v>
      </c>
    </row>
    <row r="74" spans="1:56" ht="13.5" customHeight="1" x14ac:dyDescent="0.25">
      <c r="A74" s="219"/>
      <c r="B74" s="220"/>
      <c r="C74" s="221">
        <v>1</v>
      </c>
      <c r="D74" s="222">
        <v>2</v>
      </c>
      <c r="E74" s="222">
        <v>3</v>
      </c>
      <c r="F74" s="222">
        <v>4</v>
      </c>
      <c r="G74" s="223">
        <v>5</v>
      </c>
      <c r="H74" s="221">
        <v>6</v>
      </c>
      <c r="I74" s="222">
        <v>7</v>
      </c>
      <c r="J74" s="222">
        <v>8</v>
      </c>
      <c r="K74" s="223">
        <v>9</v>
      </c>
      <c r="L74" s="221">
        <v>10</v>
      </c>
      <c r="M74" s="222">
        <v>11</v>
      </c>
      <c r="N74" s="224">
        <v>12</v>
      </c>
      <c r="O74" s="225">
        <v>13</v>
      </c>
      <c r="P74" s="226">
        <v>14</v>
      </c>
      <c r="Q74" s="224">
        <v>15</v>
      </c>
      <c r="R74" s="224">
        <v>16</v>
      </c>
      <c r="S74" s="227" t="s">
        <v>68</v>
      </c>
      <c r="T74" s="226"/>
      <c r="U74" s="224"/>
      <c r="V74" s="224"/>
      <c r="W74" s="224"/>
      <c r="X74" s="225"/>
      <c r="Y74" s="226"/>
      <c r="Z74" s="224"/>
      <c r="AA74" s="224"/>
      <c r="AB74" s="225"/>
      <c r="AC74" s="226"/>
      <c r="AD74" s="224"/>
      <c r="AE74" s="224"/>
      <c r="AF74" s="225"/>
      <c r="AG74" s="226"/>
      <c r="AH74" s="224"/>
      <c r="AI74" s="224"/>
      <c r="AJ74" s="224"/>
      <c r="AK74" s="225"/>
      <c r="AL74" s="226"/>
      <c r="AM74" s="224"/>
      <c r="AN74" s="224"/>
      <c r="AO74" s="225"/>
      <c r="AP74" s="226"/>
      <c r="AQ74" s="224"/>
      <c r="AR74" s="224"/>
      <c r="AS74" s="224"/>
      <c r="AT74" s="225"/>
      <c r="AU74" s="226"/>
      <c r="AV74" s="224"/>
      <c r="AW74" s="224"/>
      <c r="AX74" s="333"/>
      <c r="AY74" s="226"/>
      <c r="AZ74" s="224"/>
      <c r="BA74" s="224"/>
      <c r="BB74" s="224"/>
      <c r="BC74" s="224"/>
    </row>
    <row r="75" spans="1:56" ht="13.5" customHeight="1" x14ac:dyDescent="0.25">
      <c r="A75" s="228"/>
      <c r="B75" s="229" t="s">
        <v>69</v>
      </c>
      <c r="C75" s="230">
        <f t="shared" ref="C75:R75" si="48">C12*C74*7/C69</f>
        <v>1152.3301119200262</v>
      </c>
      <c r="D75" s="231">
        <f t="shared" si="48"/>
        <v>479.17347785892582</v>
      </c>
      <c r="E75" s="231">
        <f t="shared" si="48"/>
        <v>336.2308917751933</v>
      </c>
      <c r="F75" s="231">
        <f>F12*F74*7/F69</f>
        <v>300.15192225714128</v>
      </c>
      <c r="G75" s="232">
        <f t="shared" si="48"/>
        <v>281.23315105634293</v>
      </c>
      <c r="H75" s="230">
        <f t="shared" si="48"/>
        <v>256.20352341558032</v>
      </c>
      <c r="I75" s="231">
        <f t="shared" si="48"/>
        <v>237.9099510131945</v>
      </c>
      <c r="J75" s="231">
        <f t="shared" si="48"/>
        <v>228.98233373380111</v>
      </c>
      <c r="K75" s="232">
        <f t="shared" si="48"/>
        <v>219.19518863195557</v>
      </c>
      <c r="L75" s="230">
        <f t="shared" si="48"/>
        <v>210.73781107226819</v>
      </c>
      <c r="M75" s="231">
        <f t="shared" si="48"/>
        <v>203.60497127553447</v>
      </c>
      <c r="N75" s="231">
        <f t="shared" si="48"/>
        <v>191.79341307729868</v>
      </c>
      <c r="O75" s="232">
        <f t="shared" si="48"/>
        <v>186.04816175601854</v>
      </c>
      <c r="P75" s="230">
        <f t="shared" si="48"/>
        <v>186.43787888646682</v>
      </c>
      <c r="Q75" s="231">
        <f t="shared" si="48"/>
        <v>188.8115088353903</v>
      </c>
      <c r="R75" s="231">
        <f t="shared" si="48"/>
        <v>190.83838977771086</v>
      </c>
      <c r="S75" s="232">
        <f t="shared" ref="S75:BB75" si="49">S12*16*7/S69</f>
        <v>182.81563286983211</v>
      </c>
      <c r="T75" s="230">
        <f t="shared" si="49"/>
        <v>185.95453489994276</v>
      </c>
      <c r="U75" s="231">
        <f t="shared" si="49"/>
        <v>193.88423618437815</v>
      </c>
      <c r="V75" s="231">
        <f t="shared" si="49"/>
        <v>305.19938336853005</v>
      </c>
      <c r="W75" s="231">
        <f t="shared" si="49"/>
        <v>318.61132772256138</v>
      </c>
      <c r="X75" s="232">
        <f t="shared" si="49"/>
        <v>335.46411573461717</v>
      </c>
      <c r="Y75" s="230">
        <f t="shared" si="49"/>
        <v>354.37894743463522</v>
      </c>
      <c r="Z75" s="231">
        <f t="shared" si="49"/>
        <v>363.98388930403445</v>
      </c>
      <c r="AA75" s="231">
        <f t="shared" si="49"/>
        <v>405.41823771772988</v>
      </c>
      <c r="AB75" s="232">
        <f t="shared" si="49"/>
        <v>456.06727560482187</v>
      </c>
      <c r="AC75" s="230">
        <f t="shared" si="49"/>
        <v>518.26013769041845</v>
      </c>
      <c r="AD75" s="231">
        <f t="shared" si="49"/>
        <v>620.03245572902665</v>
      </c>
      <c r="AE75" s="231">
        <f t="shared" si="49"/>
        <v>734.18684260149882</v>
      </c>
      <c r="AF75" s="232">
        <f t="shared" si="49"/>
        <v>838.02716318360581</v>
      </c>
      <c r="AG75" s="230">
        <f t="shared" si="49"/>
        <v>944.68054877869861</v>
      </c>
      <c r="AH75" s="231">
        <f t="shared" si="49"/>
        <v>1077.901059222263</v>
      </c>
      <c r="AI75" s="231">
        <f t="shared" si="49"/>
        <v>1277.519170804826</v>
      </c>
      <c r="AJ75" s="231">
        <f t="shared" si="49"/>
        <v>1474.71732892043</v>
      </c>
      <c r="AK75" s="232">
        <f t="shared" si="49"/>
        <v>1738.469702820634</v>
      </c>
      <c r="AL75" s="230">
        <f t="shared" si="49"/>
        <v>2142.6698571513325</v>
      </c>
      <c r="AM75" s="231">
        <f t="shared" si="49"/>
        <v>2651.2973232085556</v>
      </c>
      <c r="AN75" s="231">
        <f t="shared" si="49"/>
        <v>3802.8501377085768</v>
      </c>
      <c r="AO75" s="232">
        <f t="shared" si="49"/>
        <v>6730.7344968230109</v>
      </c>
      <c r="AP75" s="230" t="e">
        <f t="shared" si="49"/>
        <v>#DIV/0!</v>
      </c>
      <c r="AQ75" s="231" t="e">
        <f t="shared" si="49"/>
        <v>#DIV/0!</v>
      </c>
      <c r="AR75" s="231" t="e">
        <f t="shared" si="49"/>
        <v>#DIV/0!</v>
      </c>
      <c r="AS75" s="231" t="e">
        <f t="shared" si="49"/>
        <v>#DIV/0!</v>
      </c>
      <c r="AT75" s="232" t="e">
        <f t="shared" si="49"/>
        <v>#DIV/0!</v>
      </c>
      <c r="AU75" s="230" t="e">
        <f t="shared" si="49"/>
        <v>#DIV/0!</v>
      </c>
      <c r="AV75" s="231" t="e">
        <f t="shared" si="49"/>
        <v>#DIV/0!</v>
      </c>
      <c r="AW75" s="231" t="e">
        <f t="shared" si="49"/>
        <v>#DIV/0!</v>
      </c>
      <c r="AX75" s="334" t="e">
        <f t="shared" si="49"/>
        <v>#DIV/0!</v>
      </c>
      <c r="AY75" s="230" t="e">
        <f t="shared" si="49"/>
        <v>#DIV/0!</v>
      </c>
      <c r="AZ75" s="231" t="e">
        <f t="shared" si="49"/>
        <v>#DIV/0!</v>
      </c>
      <c r="BA75" s="231" t="e">
        <f t="shared" si="49"/>
        <v>#DIV/0!</v>
      </c>
      <c r="BB75" s="231" t="e">
        <f t="shared" si="49"/>
        <v>#DIV/0!</v>
      </c>
      <c r="BC75" s="231" t="e">
        <f t="shared" ref="BC75" si="50">BC12*16*7/BC69</f>
        <v>#DIV/0!</v>
      </c>
    </row>
    <row r="76" spans="1:56" ht="13.5" customHeight="1" x14ac:dyDescent="0.25">
      <c r="A76" s="233"/>
      <c r="B76" s="234" t="s">
        <v>70</v>
      </c>
      <c r="C76" s="235">
        <f t="shared" ref="C76:BB76" ca="1" si="51">TODAY( )+C75</f>
        <v>47341.330111920026</v>
      </c>
      <c r="D76" s="236">
        <f t="shared" ca="1" si="51"/>
        <v>46668.173477858923</v>
      </c>
      <c r="E76" s="236">
        <f t="shared" ca="1" si="51"/>
        <v>46525.230891775194</v>
      </c>
      <c r="F76" s="236">
        <f ca="1">TODAY( )+F75</f>
        <v>46489.151922257144</v>
      </c>
      <c r="G76" s="237">
        <f t="shared" ca="1" si="51"/>
        <v>46470.233151056345</v>
      </c>
      <c r="H76" s="235">
        <f t="shared" ca="1" si="51"/>
        <v>46445.203523415577</v>
      </c>
      <c r="I76" s="236">
        <f t="shared" ca="1" si="51"/>
        <v>46426.909951013193</v>
      </c>
      <c r="J76" s="236">
        <f t="shared" ca="1" si="51"/>
        <v>46417.982333733802</v>
      </c>
      <c r="K76" s="237">
        <f t="shared" ca="1" si="51"/>
        <v>46408.195188631958</v>
      </c>
      <c r="L76" s="235">
        <f t="shared" ca="1" si="51"/>
        <v>46399.737811072271</v>
      </c>
      <c r="M76" s="236">
        <f t="shared" ca="1" si="51"/>
        <v>46392.604971275534</v>
      </c>
      <c r="N76" s="236">
        <f t="shared" ca="1" si="51"/>
        <v>46380.793413077299</v>
      </c>
      <c r="O76" s="237">
        <f t="shared" ca="1" si="51"/>
        <v>46375.048161756022</v>
      </c>
      <c r="P76" s="235">
        <f t="shared" ca="1" si="51"/>
        <v>46375.437878886463</v>
      </c>
      <c r="Q76" s="236">
        <f t="shared" ca="1" si="51"/>
        <v>46377.811508835388</v>
      </c>
      <c r="R76" s="236">
        <f t="shared" ca="1" si="51"/>
        <v>46379.838389777709</v>
      </c>
      <c r="S76" s="237">
        <f t="shared" ca="1" si="51"/>
        <v>46371.815632869831</v>
      </c>
      <c r="T76" s="235">
        <f t="shared" ca="1" si="51"/>
        <v>46374.954534899945</v>
      </c>
      <c r="U76" s="236">
        <f t="shared" ca="1" si="51"/>
        <v>46382.884236184378</v>
      </c>
      <c r="V76" s="236">
        <f t="shared" ca="1" si="51"/>
        <v>46494.199383368526</v>
      </c>
      <c r="W76" s="236">
        <f t="shared" ca="1" si="51"/>
        <v>46507.61132772256</v>
      </c>
      <c r="X76" s="237">
        <f t="shared" ca="1" si="51"/>
        <v>46524.46411573462</v>
      </c>
      <c r="Y76" s="235">
        <f t="shared" ca="1" si="51"/>
        <v>46543.378947434634</v>
      </c>
      <c r="Z76" s="236">
        <f t="shared" ca="1" si="51"/>
        <v>46552.983889304036</v>
      </c>
      <c r="AA76" s="236">
        <f t="shared" ca="1" si="51"/>
        <v>46594.418237717728</v>
      </c>
      <c r="AB76" s="237">
        <f t="shared" ca="1" si="51"/>
        <v>46645.067275604822</v>
      </c>
      <c r="AC76" s="235">
        <f t="shared" ca="1" si="51"/>
        <v>46707.26013769042</v>
      </c>
      <c r="AD76" s="236">
        <f t="shared" ca="1" si="51"/>
        <v>46809.03245572903</v>
      </c>
      <c r="AE76" s="236">
        <f t="shared" ca="1" si="51"/>
        <v>46923.186842601499</v>
      </c>
      <c r="AF76" s="237">
        <f t="shared" ca="1" si="51"/>
        <v>47027.027163183608</v>
      </c>
      <c r="AG76" s="235">
        <f t="shared" ca="1" si="51"/>
        <v>47133.680548778699</v>
      </c>
      <c r="AH76" s="236">
        <f t="shared" ca="1" si="51"/>
        <v>47266.901059222262</v>
      </c>
      <c r="AI76" s="236">
        <f t="shared" ca="1" si="51"/>
        <v>47466.519170804822</v>
      </c>
      <c r="AJ76" s="236">
        <f t="shared" ca="1" si="51"/>
        <v>47663.717328920429</v>
      </c>
      <c r="AK76" s="237">
        <f t="shared" ca="1" si="51"/>
        <v>47927.469702820636</v>
      </c>
      <c r="AL76" s="235">
        <f t="shared" ca="1" si="51"/>
        <v>48331.669857151333</v>
      </c>
      <c r="AM76" s="236">
        <f t="shared" ca="1" si="51"/>
        <v>48840.297323208557</v>
      </c>
      <c r="AN76" s="236">
        <f t="shared" ca="1" si="51"/>
        <v>49991.850137708578</v>
      </c>
      <c r="AO76" s="237">
        <f t="shared" ca="1" si="51"/>
        <v>52919.73449682301</v>
      </c>
      <c r="AP76" s="235" t="e">
        <f t="shared" ca="1" si="51"/>
        <v>#DIV/0!</v>
      </c>
      <c r="AQ76" s="236" t="e">
        <f t="shared" ca="1" si="51"/>
        <v>#DIV/0!</v>
      </c>
      <c r="AR76" s="236" t="e">
        <f t="shared" ca="1" si="51"/>
        <v>#DIV/0!</v>
      </c>
      <c r="AS76" s="236" t="e">
        <f t="shared" ca="1" si="51"/>
        <v>#DIV/0!</v>
      </c>
      <c r="AT76" s="237" t="e">
        <f t="shared" ca="1" si="51"/>
        <v>#DIV/0!</v>
      </c>
      <c r="AU76" s="235" t="e">
        <f t="shared" ca="1" si="51"/>
        <v>#DIV/0!</v>
      </c>
      <c r="AV76" s="236" t="e">
        <f t="shared" ca="1" si="51"/>
        <v>#DIV/0!</v>
      </c>
      <c r="AW76" s="236" t="e">
        <f t="shared" ca="1" si="51"/>
        <v>#DIV/0!</v>
      </c>
      <c r="AX76" s="335" t="e">
        <f t="shared" ca="1" si="51"/>
        <v>#DIV/0!</v>
      </c>
      <c r="AY76" s="235" t="e">
        <f t="shared" ca="1" si="51"/>
        <v>#DIV/0!</v>
      </c>
      <c r="AZ76" s="236" t="e">
        <f t="shared" ca="1" si="51"/>
        <v>#DIV/0!</v>
      </c>
      <c r="BA76" s="236" t="e">
        <f t="shared" ca="1" si="51"/>
        <v>#DIV/0!</v>
      </c>
      <c r="BB76" s="236" t="e">
        <f t="shared" ca="1" si="51"/>
        <v>#DIV/0!</v>
      </c>
      <c r="BC76" s="236" t="e">
        <f t="shared" ref="BC76" ca="1" si="52">TODAY( )+BC75</f>
        <v>#DIV/0!</v>
      </c>
      <c r="BD76" s="213">
        <v>5</v>
      </c>
    </row>
  </sheetData>
  <mergeCells count="12">
    <mergeCell ref="A1:B1"/>
    <mergeCell ref="C2:G2"/>
    <mergeCell ref="H2:K2"/>
    <mergeCell ref="L2:O2"/>
    <mergeCell ref="P2:S2"/>
    <mergeCell ref="AP2:AT2"/>
    <mergeCell ref="AU2:AX2"/>
    <mergeCell ref="T2:X2"/>
    <mergeCell ref="Y2:AB2"/>
    <mergeCell ref="AC2:AF2"/>
    <mergeCell ref="AG2:AK2"/>
    <mergeCell ref="AL2:AO2"/>
  </mergeCells>
  <phoneticPr fontId="53" type="noConversion"/>
  <conditionalFormatting sqref="A10:A11">
    <cfRule type="cellIs" dxfId="36" priority="13" operator="greaterThan">
      <formula>0</formula>
    </cfRule>
  </conditionalFormatting>
  <conditionalFormatting sqref="A11:A13">
    <cfRule type="cellIs" dxfId="35" priority="14" operator="between">
      <formula>0</formula>
      <formula>1000000</formula>
    </cfRule>
  </conditionalFormatting>
  <conditionalFormatting sqref="A57:B58 A60 B60:B62 A62">
    <cfRule type="cellIs" dxfId="34" priority="15" operator="lessThan">
      <formula>0</formula>
    </cfRule>
  </conditionalFormatting>
  <conditionalFormatting sqref="C39:AZ39">
    <cfRule type="cellIs" dxfId="33" priority="11" operator="between">
      <formula>40</formula>
      <formula>100</formula>
    </cfRule>
  </conditionalFormatting>
  <conditionalFormatting sqref="C57:AZ57">
    <cfRule type="top10" dxfId="32" priority="10" rank="1"/>
  </conditionalFormatting>
  <conditionalFormatting sqref="C57:BC57">
    <cfRule type="top10" dxfId="31" priority="1" rank="1"/>
  </conditionalFormatting>
  <conditionalFormatting sqref="C34:BD34">
    <cfRule type="cellIs" dxfId="30" priority="3" operator="between">
      <formula>40</formula>
      <formula>100</formula>
    </cfRule>
  </conditionalFormatting>
  <conditionalFormatting sqref="BA39:BC39">
    <cfRule type="cellIs" dxfId="29" priority="2" operator="between">
      <formula>40</formula>
      <formula>100</formula>
    </cfRule>
  </conditionalFormatting>
  <pageMargins left="0.7" right="0.7" top="0.75" bottom="0.75" header="0" footer="0"/>
  <pageSetup paperSize="9" orientation="portrait" r:id="rId1"/>
  <drawing r:id="rId2"/>
  <legacyDrawing r:id="rId3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33FF"/>
  </sheetPr>
  <dimension ref="A1:O68"/>
  <sheetViews>
    <sheetView showZeros="0" workbookViewId="0">
      <pane xSplit="2" ySplit="3" topLeftCell="C48" activePane="bottomRight" state="frozen"/>
      <selection pane="topRight" activeCell="C1" sqref="C1"/>
      <selection pane="bottomLeft" activeCell="A4" sqref="A4"/>
      <selection pane="bottomRight" activeCell="F56" sqref="F56"/>
    </sheetView>
  </sheetViews>
  <sheetFormatPr defaultColWidth="14.42578125" defaultRowHeight="15" customHeight="1" x14ac:dyDescent="0.25"/>
  <cols>
    <col min="1" max="1" width="24.42578125" style="107" customWidth="1"/>
    <col min="2" max="2" width="20.140625" style="107" customWidth="1"/>
    <col min="3" max="14" width="11.140625" style="107" customWidth="1"/>
    <col min="15" max="15" width="12" style="107" customWidth="1"/>
    <col min="16" max="16384" width="14.42578125" style="107"/>
  </cols>
  <sheetData>
    <row r="1" spans="1:15" ht="21.75" customHeight="1" x14ac:dyDescent="0.25">
      <c r="A1" s="313" t="s">
        <v>3</v>
      </c>
      <c r="B1" s="246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</row>
    <row r="2" spans="1:15" ht="14.25" customHeight="1" x14ac:dyDescent="0.25">
      <c r="A2" s="314" t="s">
        <v>4</v>
      </c>
      <c r="B2" s="248"/>
      <c r="C2" s="514">
        <v>2025</v>
      </c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6"/>
      <c r="O2" s="247"/>
    </row>
    <row r="3" spans="1:15" ht="13.5" customHeight="1" x14ac:dyDescent="0.25">
      <c r="A3" s="249"/>
      <c r="B3" s="250"/>
      <c r="C3" s="251" t="s">
        <v>5</v>
      </c>
      <c r="D3" s="251" t="s">
        <v>6</v>
      </c>
      <c r="E3" s="251" t="s">
        <v>7</v>
      </c>
      <c r="F3" s="251" t="s">
        <v>8</v>
      </c>
      <c r="G3" s="251" t="s">
        <v>9</v>
      </c>
      <c r="H3" s="251" t="s">
        <v>10</v>
      </c>
      <c r="I3" s="251" t="s">
        <v>11</v>
      </c>
      <c r="J3" s="251" t="s">
        <v>12</v>
      </c>
      <c r="K3" s="251" t="s">
        <v>13</v>
      </c>
      <c r="L3" s="251" t="s">
        <v>14</v>
      </c>
      <c r="M3" s="251" t="s">
        <v>15</v>
      </c>
      <c r="N3" s="251" t="s">
        <v>16</v>
      </c>
      <c r="O3" s="252"/>
    </row>
    <row r="4" spans="1:15" ht="13.5" customHeight="1" x14ac:dyDescent="0.25">
      <c r="A4" s="315" t="s">
        <v>17</v>
      </c>
      <c r="B4" s="316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271">
        <f t="shared" ref="O4:O6" si="0">SUM(C4:N4)</f>
        <v>0</v>
      </c>
    </row>
    <row r="5" spans="1:15" ht="13.5" customHeight="1" x14ac:dyDescent="0.25">
      <c r="A5" s="253" t="s">
        <v>18</v>
      </c>
      <c r="B5" s="254"/>
      <c r="C5" s="255">
        <f>'PL WB (нед)'!C5</f>
        <v>1331789.0900000001</v>
      </c>
      <c r="D5" s="256">
        <f t="shared" ref="D5:N5" si="1">C12</f>
        <v>1355494.05</v>
      </c>
      <c r="E5" s="256">
        <f t="shared" si="1"/>
        <v>1183913.33</v>
      </c>
      <c r="F5" s="256">
        <f t="shared" si="1"/>
        <v>1023548.93</v>
      </c>
      <c r="G5" s="256">
        <f t="shared" si="1"/>
        <v>939444.47000000009</v>
      </c>
      <c r="H5" s="256">
        <f t="shared" si="1"/>
        <v>1334490.27</v>
      </c>
      <c r="I5" s="256">
        <f t="shared" si="1"/>
        <v>1296311.82</v>
      </c>
      <c r="J5" s="256">
        <f t="shared" si="1"/>
        <v>1296311.82</v>
      </c>
      <c r="K5" s="256">
        <f t="shared" si="1"/>
        <v>1296311.82</v>
      </c>
      <c r="L5" s="256">
        <f t="shared" si="1"/>
        <v>1296311.82</v>
      </c>
      <c r="M5" s="256">
        <f t="shared" si="1"/>
        <v>1296311.82</v>
      </c>
      <c r="N5" s="256">
        <f t="shared" si="1"/>
        <v>1296311.82</v>
      </c>
      <c r="O5" s="271">
        <f>SUM(C5:N5)/12</f>
        <v>1245545.9216666669</v>
      </c>
    </row>
    <row r="6" spans="1:15" ht="13.5" customHeight="1" x14ac:dyDescent="0.25">
      <c r="A6" s="253"/>
      <c r="B6" s="257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71">
        <f t="shared" si="0"/>
        <v>0</v>
      </c>
    </row>
    <row r="7" spans="1:15" ht="13.5" customHeight="1" x14ac:dyDescent="0.25">
      <c r="A7" s="253"/>
      <c r="B7" s="258" t="s">
        <v>19</v>
      </c>
      <c r="C7" s="256">
        <f>SUM('PL WB (нед)'!C7:G7)</f>
        <v>1359</v>
      </c>
      <c r="D7" s="256">
        <f>SUM('PL WB (нед)'!H7:K7)</f>
        <v>1329</v>
      </c>
      <c r="E7" s="256">
        <f>SUM('PL WB (нед)'!L7:O7)</f>
        <v>1307</v>
      </c>
      <c r="F7" s="256">
        <f>SUM('PL WB (нед)'!P7:S7)</f>
        <v>633</v>
      </c>
      <c r="G7" s="256">
        <f>SUM('PL WB (нед)'!T7:X7)</f>
        <v>501</v>
      </c>
      <c r="H7" s="256">
        <f>SUM('PL WB (нед)'!Y7:AB7)</f>
        <v>239</v>
      </c>
      <c r="I7" s="256">
        <f>SUM('PL WB (нед)'!AC7:AF7)</f>
        <v>0</v>
      </c>
      <c r="J7" s="256">
        <f>SUM('PL WB (нед)'!AG7:AK7)</f>
        <v>0</v>
      </c>
      <c r="K7" s="256">
        <f>SUM('PL WB (нед)'!AL7:AO7)</f>
        <v>0</v>
      </c>
      <c r="L7" s="256">
        <f>SUM('PL WB (нед)'!AP7:AT7)</f>
        <v>0</v>
      </c>
      <c r="M7" s="256">
        <f>SUM('PL WB (нед)'!AU7:AX7)</f>
        <v>0</v>
      </c>
      <c r="N7" s="256">
        <f>SUM('PL WB (нед)'!AY7:BC7)</f>
        <v>0</v>
      </c>
      <c r="O7" s="271">
        <f>SUM(C7:N7)</f>
        <v>5368</v>
      </c>
    </row>
    <row r="8" spans="1:15" ht="13.5" customHeight="1" x14ac:dyDescent="0.25">
      <c r="A8" s="253"/>
      <c r="B8" s="340" t="s">
        <v>20</v>
      </c>
      <c r="C8" s="256">
        <f t="shared" ref="C8:M8" si="2">C33</f>
        <v>168693.81</v>
      </c>
      <c r="D8" s="256">
        <f t="shared" si="2"/>
        <v>171580.71999999997</v>
      </c>
      <c r="E8" s="256">
        <f t="shared" si="2"/>
        <v>160364.4</v>
      </c>
      <c r="F8" s="256">
        <f t="shared" si="2"/>
        <v>84104.46</v>
      </c>
      <c r="G8" s="256">
        <f t="shared" si="2"/>
        <v>75469.099999999991</v>
      </c>
      <c r="H8" s="256">
        <f t="shared" si="2"/>
        <v>38178.449999999997</v>
      </c>
      <c r="I8" s="256">
        <f t="shared" si="2"/>
        <v>0</v>
      </c>
      <c r="J8" s="256">
        <f t="shared" si="2"/>
        <v>0</v>
      </c>
      <c r="K8" s="256">
        <f t="shared" si="2"/>
        <v>0</v>
      </c>
      <c r="L8" s="256">
        <f t="shared" si="2"/>
        <v>0</v>
      </c>
      <c r="M8" s="256">
        <f t="shared" si="2"/>
        <v>0</v>
      </c>
      <c r="N8" s="256">
        <f>N33</f>
        <v>0</v>
      </c>
      <c r="O8" s="271">
        <f t="shared" ref="O8:O23" si="3">SUM(C8:N8)</f>
        <v>698390.93999999983</v>
      </c>
    </row>
    <row r="9" spans="1:15" ht="13.5" customHeight="1" x14ac:dyDescent="0.25">
      <c r="A9" s="253"/>
      <c r="B9" s="254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71">
        <f t="shared" si="3"/>
        <v>0</v>
      </c>
    </row>
    <row r="10" spans="1:15" ht="13.5" customHeight="1" x14ac:dyDescent="0.25">
      <c r="A10" s="253" t="s">
        <v>21</v>
      </c>
      <c r="B10" s="254"/>
      <c r="C10" s="256">
        <f>SUM('PL WB (нед)'!C10:G10)</f>
        <v>192398.77</v>
      </c>
      <c r="D10" s="256">
        <f>SUM('PL WB (нед)'!H10:K10)</f>
        <v>0</v>
      </c>
      <c r="E10" s="256">
        <f>SUM('PL WB (нед)'!L10:O10)</f>
        <v>0</v>
      </c>
      <c r="F10" s="256">
        <f>SUM('PL WB (нед)'!P10:S10)</f>
        <v>0</v>
      </c>
      <c r="G10" s="256">
        <f>SUM('PL WB (нед)'!T10:X10)</f>
        <v>470514.9</v>
      </c>
      <c r="H10" s="256">
        <f>SUM('PL WB (нед)'!Y10:AB10)</f>
        <v>0</v>
      </c>
      <c r="I10" s="256">
        <f>SUM('PL WB (нед)'!AC10:AF10)</f>
        <v>0</v>
      </c>
      <c r="J10" s="256">
        <f>SUM('PL WB (нед)'!AG10:AK10)</f>
        <v>0</v>
      </c>
      <c r="K10" s="256">
        <f>SUM('PL WB (нед)'!AL10:AO10)</f>
        <v>0</v>
      </c>
      <c r="L10" s="256">
        <f>SUM('PL WB (нед)'!AP10:AT10)</f>
        <v>0</v>
      </c>
      <c r="M10" s="256">
        <f>SUM('PL WB (нед)'!AU10:AX10)</f>
        <v>0</v>
      </c>
      <c r="N10" s="256">
        <f>SUM('PL WB (нед)'!AY10:BC10)</f>
        <v>0</v>
      </c>
      <c r="O10" s="271">
        <f t="shared" si="3"/>
        <v>662913.67000000004</v>
      </c>
    </row>
    <row r="11" spans="1:15" ht="13.5" customHeight="1" x14ac:dyDescent="0.25">
      <c r="A11" s="259" t="s">
        <v>22</v>
      </c>
      <c r="B11" s="260"/>
      <c r="C11" s="255">
        <f>SUM('PL WB (нед)'!C11:G11)</f>
        <v>1294</v>
      </c>
      <c r="D11" s="255">
        <f>SUM('PL WB (нед)'!H11:K11)</f>
        <v>0</v>
      </c>
      <c r="E11" s="255">
        <f>SUM('PL WB (нед)'!L11:O11)</f>
        <v>0</v>
      </c>
      <c r="F11" s="255">
        <f>SUM('PL WB (нед)'!P11:S11)</f>
        <v>0</v>
      </c>
      <c r="G11" s="255">
        <f>SUM('PL WB (нед)'!T11:X11)</f>
        <v>3707</v>
      </c>
      <c r="H11" s="255">
        <f>SUM('PL WB (нед)'!Y11:AB11)</f>
        <v>0</v>
      </c>
      <c r="I11" s="255">
        <f>SUM('PL WB (нед)'!AC11:AF11)</f>
        <v>0</v>
      </c>
      <c r="J11" s="255">
        <f>SUM('PL WB (нед)'!AG11:AK11)</f>
        <v>0</v>
      </c>
      <c r="K11" s="255">
        <f>SUM('PL WB (нед)'!AL11:AO11)</f>
        <v>0</v>
      </c>
      <c r="L11" s="255">
        <f>SUM('PL WB (нед)'!AP11:AT11)</f>
        <v>0</v>
      </c>
      <c r="M11" s="255">
        <f>SUM('PL WB (нед)'!AU11:AX11)</f>
        <v>0</v>
      </c>
      <c r="N11" s="255">
        <f>SUM('PL WB (нед)'!AY11:BC11)</f>
        <v>0</v>
      </c>
      <c r="O11" s="271">
        <f t="shared" si="3"/>
        <v>5001</v>
      </c>
    </row>
    <row r="12" spans="1:15" ht="13.5" customHeight="1" x14ac:dyDescent="0.25">
      <c r="A12" s="261" t="s">
        <v>23</v>
      </c>
      <c r="B12" s="262"/>
      <c r="C12" s="263">
        <f>C10-C8+C5</f>
        <v>1355494.05</v>
      </c>
      <c r="D12" s="263">
        <f t="shared" ref="D12:N12" si="4">D10-D8+D5</f>
        <v>1183913.33</v>
      </c>
      <c r="E12" s="263">
        <f t="shared" si="4"/>
        <v>1023548.93</v>
      </c>
      <c r="F12" s="263">
        <f t="shared" si="4"/>
        <v>939444.47000000009</v>
      </c>
      <c r="G12" s="263">
        <f t="shared" si="4"/>
        <v>1334490.27</v>
      </c>
      <c r="H12" s="263">
        <f t="shared" si="4"/>
        <v>1296311.82</v>
      </c>
      <c r="I12" s="263">
        <f t="shared" si="4"/>
        <v>1296311.82</v>
      </c>
      <c r="J12" s="263">
        <f t="shared" si="4"/>
        <v>1296311.82</v>
      </c>
      <c r="K12" s="263">
        <f t="shared" si="4"/>
        <v>1296311.82</v>
      </c>
      <c r="L12" s="263">
        <f t="shared" si="4"/>
        <v>1296311.82</v>
      </c>
      <c r="M12" s="263">
        <f t="shared" si="4"/>
        <v>1296311.82</v>
      </c>
      <c r="N12" s="263">
        <f t="shared" si="4"/>
        <v>1296311.82</v>
      </c>
      <c r="O12" s="271">
        <f t="shared" si="3"/>
        <v>14911073.790000003</v>
      </c>
    </row>
    <row r="13" spans="1:15" ht="13.5" customHeight="1" x14ac:dyDescent="0.25">
      <c r="A13" s="261" t="s">
        <v>24</v>
      </c>
      <c r="B13" s="264"/>
      <c r="C13" s="263">
        <f>'PL WB (нед)'!G13</f>
        <v>9007</v>
      </c>
      <c r="D13" s="263">
        <f t="shared" ref="D13:N13" si="5">C13-D7-D27+D11+D23</f>
        <v>7678</v>
      </c>
      <c r="E13" s="263">
        <f t="shared" si="5"/>
        <v>6378</v>
      </c>
      <c r="F13" s="263">
        <f t="shared" si="5"/>
        <v>5748</v>
      </c>
      <c r="G13" s="263">
        <f t="shared" si="5"/>
        <v>8966</v>
      </c>
      <c r="H13" s="263">
        <f t="shared" si="5"/>
        <v>8729</v>
      </c>
      <c r="I13" s="263">
        <f t="shared" si="5"/>
        <v>8729</v>
      </c>
      <c r="J13" s="263">
        <f t="shared" si="5"/>
        <v>8729</v>
      </c>
      <c r="K13" s="263">
        <f t="shared" si="5"/>
        <v>8729</v>
      </c>
      <c r="L13" s="263">
        <f t="shared" si="5"/>
        <v>8729</v>
      </c>
      <c r="M13" s="263">
        <f t="shared" si="5"/>
        <v>8729</v>
      </c>
      <c r="N13" s="263">
        <f t="shared" si="5"/>
        <v>8729</v>
      </c>
      <c r="O13" s="271">
        <f t="shared" si="3"/>
        <v>98880</v>
      </c>
    </row>
    <row r="14" spans="1:15" ht="13.5" customHeight="1" thickBot="1" x14ac:dyDescent="0.3">
      <c r="A14" s="175" t="s">
        <v>97</v>
      </c>
      <c r="B14" s="257"/>
      <c r="C14" s="265">
        <f>SUM('PL WB (нед)'!C14:G14)</f>
        <v>814256</v>
      </c>
      <c r="D14" s="265">
        <f>SUM('PL WB (нед)'!H14:K14)</f>
        <v>879399</v>
      </c>
      <c r="E14" s="265">
        <f>SUM('PL WB (нед)'!L14:O14)</f>
        <v>772334</v>
      </c>
      <c r="F14" s="265">
        <f>SUM('PL WB (нед)'!P14:S14)</f>
        <v>459067</v>
      </c>
      <c r="G14" s="265">
        <f>SUM('PL WB (нед)'!T14:X14)</f>
        <v>367238</v>
      </c>
      <c r="H14" s="265">
        <f>SUM('PL WB (нед)'!Y14:AB14)</f>
        <v>155949</v>
      </c>
      <c r="I14" s="265">
        <f>SUM('PL WB (нед)'!AC14:AF14)</f>
        <v>0</v>
      </c>
      <c r="J14" s="265">
        <f>SUM('PL WB (нед)'!AG14:AK14)</f>
        <v>0</v>
      </c>
      <c r="K14" s="265">
        <f>SUM('PL WB (нед)'!AL14:AO14)</f>
        <v>0</v>
      </c>
      <c r="L14" s="265">
        <f>SUM('PL WB (нед)'!AP14:AT14)</f>
        <v>0</v>
      </c>
      <c r="M14" s="265">
        <f>SUM('PL WB (нед)'!AU14:AX14)</f>
        <v>0</v>
      </c>
      <c r="N14" s="265">
        <f>SUM('PL WB (нед)'!AY14:BC14)</f>
        <v>0</v>
      </c>
      <c r="O14" s="271">
        <f t="shared" si="3"/>
        <v>3448243</v>
      </c>
    </row>
    <row r="15" spans="1:15" ht="13.5" customHeight="1" thickTop="1" thickBot="1" x14ac:dyDescent="0.3">
      <c r="A15" s="175" t="s">
        <v>98</v>
      </c>
      <c r="B15" s="267"/>
      <c r="C15" s="265">
        <f>SUM('PL WB (нед)'!C15:G15)</f>
        <v>551773</v>
      </c>
      <c r="D15" s="265">
        <f>SUM('PL WB (нед)'!H15:K15)</f>
        <v>577044</v>
      </c>
      <c r="E15" s="265">
        <f>SUM('PL WB (нед)'!L15:O15)</f>
        <v>527907</v>
      </c>
      <c r="F15" s="265">
        <f>SUM('PL WB (нед)'!P15:S15)</f>
        <v>317761</v>
      </c>
      <c r="G15" s="265">
        <f>SUM('PL WB (нед)'!T15:X15)</f>
        <v>256020</v>
      </c>
      <c r="H15" s="265">
        <f>SUM('PL WB (нед)'!Y15:AB15)</f>
        <v>102662</v>
      </c>
      <c r="I15" s="265">
        <f>SUM('PL WB (нед)'!AC15:AF15)</f>
        <v>0</v>
      </c>
      <c r="J15" s="265">
        <f>SUM('PL WB (нед)'!AG15:AK15)</f>
        <v>0</v>
      </c>
      <c r="K15" s="265">
        <f>SUM('PL WB (нед)'!AL15:AO15)</f>
        <v>0</v>
      </c>
      <c r="L15" s="265">
        <f>SUM('PL WB (нед)'!AP15:AT15)</f>
        <v>0</v>
      </c>
      <c r="M15" s="265">
        <f>SUM('PL WB (нед)'!AU15:AX15)</f>
        <v>0</v>
      </c>
      <c r="N15" s="265">
        <f>SUM('PL WB (нед)'!AY15:BC15)</f>
        <v>0</v>
      </c>
      <c r="O15" s="271">
        <f t="shared" si="3"/>
        <v>2333167</v>
      </c>
    </row>
    <row r="16" spans="1:15" ht="13.5" customHeight="1" thickTop="1" x14ac:dyDescent="0.25">
      <c r="A16" s="268"/>
      <c r="B16" s="254"/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271">
        <f t="shared" si="3"/>
        <v>0</v>
      </c>
    </row>
    <row r="17" spans="1:15" ht="13.5" customHeight="1" thickBot="1" x14ac:dyDescent="0.3">
      <c r="A17" s="268" t="s">
        <v>25</v>
      </c>
      <c r="B17" s="254"/>
      <c r="C17" s="265">
        <f>C14-C20</f>
        <v>245543.84000000008</v>
      </c>
      <c r="D17" s="265">
        <f t="shared" ref="D17:M17" si="6">D14-D20</f>
        <v>272207.81000000006</v>
      </c>
      <c r="E17" s="265">
        <f t="shared" si="6"/>
        <v>244784.58999999997</v>
      </c>
      <c r="F17" s="265">
        <f t="shared" si="6"/>
        <v>143758.67000000004</v>
      </c>
      <c r="G17" s="265">
        <f t="shared" si="6"/>
        <v>113209.17000000001</v>
      </c>
      <c r="H17" s="265">
        <f t="shared" si="6"/>
        <v>45700.380000000005</v>
      </c>
      <c r="I17" s="265">
        <f t="shared" si="6"/>
        <v>0</v>
      </c>
      <c r="J17" s="265">
        <f t="shared" si="6"/>
        <v>0</v>
      </c>
      <c r="K17" s="265">
        <f t="shared" si="6"/>
        <v>0</v>
      </c>
      <c r="L17" s="265">
        <f t="shared" si="6"/>
        <v>0</v>
      </c>
      <c r="M17" s="265">
        <f t="shared" si="6"/>
        <v>0</v>
      </c>
      <c r="N17" s="265">
        <f t="shared" ref="N17" si="7">N15-N20</f>
        <v>0</v>
      </c>
      <c r="O17" s="271">
        <f t="shared" si="3"/>
        <v>1065204.4600000002</v>
      </c>
    </row>
    <row r="18" spans="1:15" ht="13.5" customHeight="1" thickTop="1" x14ac:dyDescent="0.25">
      <c r="A18" s="268" t="s">
        <v>26</v>
      </c>
      <c r="B18" s="254"/>
      <c r="C18" s="270">
        <f>C17/C14</f>
        <v>0.30155607081802294</v>
      </c>
      <c r="D18" s="270">
        <f t="shared" ref="D18:M18" si="8">D17/D15</f>
        <v>0.47172799647860486</v>
      </c>
      <c r="E18" s="270">
        <f t="shared" si="8"/>
        <v>0.46368885049828845</v>
      </c>
      <c r="F18" s="270">
        <f t="shared" si="8"/>
        <v>0.45241130912855904</v>
      </c>
      <c r="G18" s="270">
        <f t="shared" si="8"/>
        <v>0.44218877431450671</v>
      </c>
      <c r="H18" s="270">
        <f t="shared" si="8"/>
        <v>0.4451538056924666</v>
      </c>
      <c r="I18" s="270" t="e">
        <f t="shared" si="8"/>
        <v>#DIV/0!</v>
      </c>
      <c r="J18" s="270" t="e">
        <f t="shared" si="8"/>
        <v>#DIV/0!</v>
      </c>
      <c r="K18" s="270" t="e">
        <f t="shared" si="8"/>
        <v>#DIV/0!</v>
      </c>
      <c r="L18" s="270" t="e">
        <f t="shared" si="8"/>
        <v>#DIV/0!</v>
      </c>
      <c r="M18" s="270" t="e">
        <f t="shared" si="8"/>
        <v>#DIV/0!</v>
      </c>
      <c r="N18" s="270" t="e">
        <f t="shared" ref="N18" si="9">N17/N15</f>
        <v>#DIV/0!</v>
      </c>
      <c r="O18" s="271" t="e">
        <f t="shared" si="3"/>
        <v>#DIV/0!</v>
      </c>
    </row>
    <row r="19" spans="1:15" ht="13.5" customHeight="1" x14ac:dyDescent="0.25">
      <c r="A19" s="268"/>
      <c r="B19" s="254"/>
      <c r="C19" s="269"/>
      <c r="D19" s="269"/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271">
        <f t="shared" si="3"/>
        <v>0</v>
      </c>
    </row>
    <row r="20" spans="1:15" ht="13.5" customHeight="1" x14ac:dyDescent="0.25">
      <c r="A20" s="266" t="s">
        <v>27</v>
      </c>
      <c r="B20" s="267"/>
      <c r="C20" s="265">
        <f>SUM('PL WB (нед)'!C20:G20)</f>
        <v>568712.15999999992</v>
      </c>
      <c r="D20" s="265">
        <f>SUM('PL WB (нед)'!H20:K20)</f>
        <v>607191.18999999994</v>
      </c>
      <c r="E20" s="265">
        <f>SUM('PL WB (нед)'!L20:O20)</f>
        <v>527549.41</v>
      </c>
      <c r="F20" s="265">
        <f>SUM('PL WB (нед)'!P20:S20)</f>
        <v>315308.32999999996</v>
      </c>
      <c r="G20" s="265">
        <f>SUM('PL WB (нед)'!T20:X20)</f>
        <v>254028.83</v>
      </c>
      <c r="H20" s="265">
        <f>SUM('PL WB (нед)'!Y20:AB20)</f>
        <v>110248.62</v>
      </c>
      <c r="I20" s="265">
        <f>SUM('PL WB (нед)'!AC20:AF20)</f>
        <v>0</v>
      </c>
      <c r="J20" s="265">
        <f>SUM('PL WB (нед)'!AG20:AK20)</f>
        <v>0</v>
      </c>
      <c r="K20" s="265">
        <f>SUM('PL WB (нед)'!AL20:AO20)</f>
        <v>0</v>
      </c>
      <c r="L20" s="265">
        <f>SUM('PL WB (нед)'!AP20:AT20)</f>
        <v>0</v>
      </c>
      <c r="M20" s="265">
        <f>SUM('PL WB (нед)'!AU20:AX20)</f>
        <v>0</v>
      </c>
      <c r="N20" s="265">
        <f>SUM('PL WB (нед)'!AY20:BC20)</f>
        <v>0</v>
      </c>
      <c r="O20" s="271">
        <f t="shared" si="3"/>
        <v>2383038.54</v>
      </c>
    </row>
    <row r="21" spans="1:15" ht="13.5" customHeight="1" x14ac:dyDescent="0.25">
      <c r="A21" s="272"/>
      <c r="B21" s="273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271">
        <f t="shared" si="3"/>
        <v>0</v>
      </c>
    </row>
    <row r="22" spans="1:15" ht="13.5" customHeight="1" x14ac:dyDescent="0.25">
      <c r="A22" s="268" t="s">
        <v>28</v>
      </c>
      <c r="B22" s="275"/>
      <c r="C22" s="269">
        <f>SUM('PL WB (нед)'!C22:G22)</f>
        <v>0</v>
      </c>
      <c r="D22" s="269">
        <f>SUM('PL WB (нед)'!H22:K22)</f>
        <v>0</v>
      </c>
      <c r="E22" s="269">
        <f>SUM('PL WB (нед)'!L22:O22)</f>
        <v>4290</v>
      </c>
      <c r="F22" s="269">
        <f>SUM('PL WB (нед)'!P22:S22)</f>
        <v>2045</v>
      </c>
      <c r="G22" s="269">
        <f>SUM('PL WB (нед)'!T22:X22)</f>
        <v>9785</v>
      </c>
      <c r="H22" s="269">
        <f>SUM('PL WB (нед)'!Y22:AB22)</f>
        <v>1157</v>
      </c>
      <c r="I22" s="269">
        <f>SUM('PL WB (нед)'!AC22:AF22)</f>
        <v>0</v>
      </c>
      <c r="J22" s="269">
        <f>SUM('PL WB (нед)'!AG22:AK22)</f>
        <v>0</v>
      </c>
      <c r="K22" s="269">
        <f>SUM('PL WB (нед)'!AL22:AO22)</f>
        <v>0</v>
      </c>
      <c r="L22" s="269">
        <f>SUM('PL WB (нед)'!AP22:AT22)</f>
        <v>0</v>
      </c>
      <c r="M22" s="269">
        <f>SUM('PL WB (нед)'!AU22:AX22)</f>
        <v>0</v>
      </c>
      <c r="N22" s="269">
        <f>SUM('PL WB (нед)'!AY22:BC22)</f>
        <v>0</v>
      </c>
      <c r="O22" s="271">
        <f t="shared" si="3"/>
        <v>17277</v>
      </c>
    </row>
    <row r="23" spans="1:15" ht="13.5" customHeight="1" x14ac:dyDescent="0.25">
      <c r="A23" s="268" t="s">
        <v>29</v>
      </c>
      <c r="B23" s="275"/>
      <c r="C23" s="269">
        <f>SUM('PL WB (нед)'!C23:G23)</f>
        <v>0</v>
      </c>
      <c r="D23" s="269">
        <f>SUM('PL WB (нед)'!H23:K23)</f>
        <v>0</v>
      </c>
      <c r="E23" s="269">
        <f>SUM('PL WB (нед)'!L23:O23)</f>
        <v>7</v>
      </c>
      <c r="F23" s="269">
        <f>SUM('PL WB (нед)'!P23:S23)</f>
        <v>4</v>
      </c>
      <c r="G23" s="269">
        <f>SUM('PL WB (нед)'!T23:X23)</f>
        <v>12</v>
      </c>
      <c r="H23" s="269">
        <f>SUM('PL WB (нед)'!Y23:AB23)</f>
        <v>2</v>
      </c>
      <c r="I23" s="269">
        <f>SUM('PL WB (нед)'!AC23:AF23)</f>
        <v>0</v>
      </c>
      <c r="J23" s="269">
        <f>SUM('PL WB (нед)'!AG23:AK23)</f>
        <v>0</v>
      </c>
      <c r="K23" s="269">
        <f>SUM('PL WB (нед)'!AL23:AO23)</f>
        <v>0</v>
      </c>
      <c r="L23" s="269">
        <f>SUM('PL WB (нед)'!AP23:AT23)</f>
        <v>0</v>
      </c>
      <c r="M23" s="269">
        <f>SUM('PL WB (нед)'!AU23:AX23)</f>
        <v>0</v>
      </c>
      <c r="N23" s="269">
        <f>SUM('PL WB (нед)'!AY23:BC23)</f>
        <v>0</v>
      </c>
      <c r="O23" s="271">
        <f t="shared" si="3"/>
        <v>25</v>
      </c>
    </row>
    <row r="24" spans="1:15" ht="13.5" customHeight="1" x14ac:dyDescent="0.25">
      <c r="A24" s="268" t="s">
        <v>30</v>
      </c>
      <c r="B24" s="275"/>
      <c r="C24" s="277">
        <f>C22/C14</f>
        <v>0</v>
      </c>
      <c r="D24" s="277">
        <f t="shared" ref="D24:O24" si="10">D22/D20</f>
        <v>0</v>
      </c>
      <c r="E24" s="277">
        <f t="shared" si="10"/>
        <v>8.1319397172674307E-3</v>
      </c>
      <c r="F24" s="277">
        <f t="shared" si="10"/>
        <v>6.4857151093978401E-3</v>
      </c>
      <c r="G24" s="277">
        <f t="shared" si="10"/>
        <v>3.8519249960722965E-2</v>
      </c>
      <c r="H24" s="277">
        <f t="shared" si="10"/>
        <v>1.0494462425017203E-2</v>
      </c>
      <c r="I24" s="277" t="e">
        <f t="shared" si="10"/>
        <v>#DIV/0!</v>
      </c>
      <c r="J24" s="277" t="e">
        <f t="shared" si="10"/>
        <v>#DIV/0!</v>
      </c>
      <c r="K24" s="277" t="e">
        <f t="shared" si="10"/>
        <v>#DIV/0!</v>
      </c>
      <c r="L24" s="277" t="e">
        <f t="shared" si="10"/>
        <v>#DIV/0!</v>
      </c>
      <c r="M24" s="277" t="e">
        <f t="shared" si="10"/>
        <v>#DIV/0!</v>
      </c>
      <c r="N24" s="277" t="e">
        <f t="shared" si="10"/>
        <v>#DIV/0!</v>
      </c>
      <c r="O24" s="277">
        <f t="shared" si="10"/>
        <v>7.2499876565151984E-3</v>
      </c>
    </row>
    <row r="25" spans="1:15" ht="13.5" customHeight="1" x14ac:dyDescent="0.25">
      <c r="A25" s="272"/>
      <c r="B25" s="273"/>
      <c r="C25" s="274"/>
      <c r="D25" s="274"/>
      <c r="E25" s="274"/>
      <c r="F25" s="274"/>
      <c r="G25" s="274"/>
      <c r="H25" s="274"/>
      <c r="I25" s="274"/>
      <c r="J25" s="274"/>
      <c r="K25" s="274"/>
      <c r="L25" s="274"/>
      <c r="M25" s="274"/>
      <c r="N25" s="274"/>
      <c r="O25" s="271"/>
    </row>
    <row r="26" spans="1:15" ht="13.5" hidden="1" customHeight="1" x14ac:dyDescent="0.25">
      <c r="A26" s="276" t="s">
        <v>31</v>
      </c>
      <c r="B26" s="273"/>
      <c r="C26" s="274"/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271"/>
    </row>
    <row r="27" spans="1:15" ht="13.5" customHeight="1" x14ac:dyDescent="0.25">
      <c r="A27" s="276" t="s">
        <v>32</v>
      </c>
      <c r="B27" s="273"/>
      <c r="C27" s="269">
        <f>SUM('PL WB (нед)'!C27:G27)</f>
        <v>0</v>
      </c>
      <c r="D27" s="269">
        <f>SUM('PL WB (нед)'!H27:K27)</f>
        <v>0</v>
      </c>
      <c r="E27" s="269">
        <f>SUM('PL WB (нед)'!L27:O27)</f>
        <v>0</v>
      </c>
      <c r="F27" s="269">
        <f>SUM('PL WB (нед)'!P27:S27)</f>
        <v>1</v>
      </c>
      <c r="G27" s="269">
        <f>SUM('PL WB (нед)'!T27:X27)</f>
        <v>0</v>
      </c>
      <c r="H27" s="269">
        <f>SUM('PL WB (нед)'!Y27:AB27)</f>
        <v>0</v>
      </c>
      <c r="I27" s="269">
        <f>SUM('PL WB (нед)'!AC27:AF27)</f>
        <v>0</v>
      </c>
      <c r="J27" s="269">
        <f>SUM('PL WB (нед)'!AG27:AK27)</f>
        <v>0</v>
      </c>
      <c r="K27" s="269">
        <f>SUM('PL WB (нед)'!AL27:AO27)</f>
        <v>0</v>
      </c>
      <c r="L27" s="269">
        <f>SUM('PL WB (нед)'!AP27:AT27)</f>
        <v>0</v>
      </c>
      <c r="M27" s="269">
        <f>SUM('PL WB (нед)'!AU27:AX27)</f>
        <v>0</v>
      </c>
      <c r="N27" s="269">
        <f>SUM('PL WB (нед)'!AY27:BB27)</f>
        <v>0</v>
      </c>
      <c r="O27" s="271"/>
    </row>
    <row r="28" spans="1:15" ht="13.5" customHeight="1" x14ac:dyDescent="0.25">
      <c r="A28" s="276" t="s">
        <v>33</v>
      </c>
      <c r="B28" s="273"/>
      <c r="C28" s="277">
        <f>C27/C7</f>
        <v>0</v>
      </c>
      <c r="D28" s="270">
        <f t="shared" ref="D28:N28" si="11">D27/D7</f>
        <v>0</v>
      </c>
      <c r="E28" s="270">
        <f t="shared" si="11"/>
        <v>0</v>
      </c>
      <c r="F28" s="270">
        <f t="shared" si="11"/>
        <v>1.5797788309636651E-3</v>
      </c>
      <c r="G28" s="270">
        <f t="shared" si="11"/>
        <v>0</v>
      </c>
      <c r="H28" s="270">
        <f t="shared" si="11"/>
        <v>0</v>
      </c>
      <c r="I28" s="270" t="e">
        <f t="shared" si="11"/>
        <v>#DIV/0!</v>
      </c>
      <c r="J28" s="270" t="e">
        <f t="shared" si="11"/>
        <v>#DIV/0!</v>
      </c>
      <c r="K28" s="270" t="e">
        <f t="shared" si="11"/>
        <v>#DIV/0!</v>
      </c>
      <c r="L28" s="270" t="e">
        <f t="shared" si="11"/>
        <v>#DIV/0!</v>
      </c>
      <c r="M28" s="270" t="e">
        <f t="shared" si="11"/>
        <v>#DIV/0!</v>
      </c>
      <c r="N28" s="270" t="e">
        <f t="shared" si="11"/>
        <v>#DIV/0!</v>
      </c>
      <c r="O28" s="271"/>
    </row>
    <row r="29" spans="1:15" ht="13.5" customHeight="1" x14ac:dyDescent="0.25">
      <c r="A29" s="272"/>
      <c r="B29" s="273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  <c r="O29" s="271"/>
    </row>
    <row r="30" spans="1:15" ht="13.5" customHeight="1" x14ac:dyDescent="0.25">
      <c r="A30" s="278" t="s">
        <v>34</v>
      </c>
      <c r="B30" s="279"/>
      <c r="C30" s="280">
        <f t="shared" ref="C30:N30" si="12">C20+C31-SUM(C40:C45)-C42</f>
        <v>423608.62999999989</v>
      </c>
      <c r="D30" s="280">
        <f t="shared" si="12"/>
        <v>487641.49999999994</v>
      </c>
      <c r="E30" s="280">
        <f t="shared" si="12"/>
        <v>390775.78000000009</v>
      </c>
      <c r="F30" s="280">
        <f t="shared" si="12"/>
        <v>232782.39999999997</v>
      </c>
      <c r="G30" s="280">
        <f t="shared" si="12"/>
        <v>175595.84999999998</v>
      </c>
      <c r="H30" s="280">
        <f t="shared" si="12"/>
        <v>70135.239999999991</v>
      </c>
      <c r="I30" s="280">
        <f t="shared" si="12"/>
        <v>0</v>
      </c>
      <c r="J30" s="280">
        <f t="shared" si="12"/>
        <v>0</v>
      </c>
      <c r="K30" s="280">
        <f t="shared" si="12"/>
        <v>0</v>
      </c>
      <c r="L30" s="280">
        <f t="shared" si="12"/>
        <v>0</v>
      </c>
      <c r="M30" s="280">
        <f t="shared" si="12"/>
        <v>0</v>
      </c>
      <c r="N30" s="280">
        <f t="shared" si="12"/>
        <v>0</v>
      </c>
      <c r="O30" s="271">
        <f>SUM(C30:N30)</f>
        <v>1780539.3999999997</v>
      </c>
    </row>
    <row r="31" spans="1:15" ht="13.5" customHeight="1" x14ac:dyDescent="0.25">
      <c r="A31" s="107" t="s">
        <v>35</v>
      </c>
      <c r="B31" s="273"/>
      <c r="C31" s="256">
        <f>SUM('PL WB (нед)'!C31:G31)</f>
        <v>0</v>
      </c>
      <c r="D31" s="256">
        <f>SUM('PL WB (нед)'!H31:K31)</f>
        <v>0</v>
      </c>
      <c r="E31" s="256">
        <f>SUM('PL WB (нед)'!L31:O31)</f>
        <v>352.3</v>
      </c>
      <c r="F31" s="256">
        <f>SUM('PL WB (нед)'!P31:S31)</f>
        <v>66.37</v>
      </c>
      <c r="G31" s="256">
        <f>SUM('PL WB (нед)'!T31:X31)</f>
        <v>547</v>
      </c>
      <c r="H31" s="256">
        <f>SUM('PL WB (нед)'!Y31:AB31)</f>
        <v>220.12</v>
      </c>
      <c r="I31" s="256">
        <f>SUM('PL WB (нед)'!AC31:AF31)</f>
        <v>0</v>
      </c>
      <c r="J31" s="256">
        <f>SUM('PL WB (нед)'!AG31:AK31)</f>
        <v>0</v>
      </c>
      <c r="K31" s="256">
        <f>SUM('PL WB (нед)'!AL31:AO31)</f>
        <v>0</v>
      </c>
      <c r="L31" s="256">
        <f>SUM('PL WB (нед)'!AP31:AT31)</f>
        <v>0</v>
      </c>
      <c r="M31" s="256">
        <f>SUM('PL WB (нед)'!AU31:AX31)</f>
        <v>0</v>
      </c>
      <c r="N31" s="256">
        <f>SUM('PL WB (нед)'!AY31:BB31)</f>
        <v>0</v>
      </c>
      <c r="O31" s="252"/>
    </row>
    <row r="33" spans="1:15" ht="13.5" customHeight="1" thickBot="1" x14ac:dyDescent="0.3">
      <c r="A33" s="266" t="s">
        <v>36</v>
      </c>
      <c r="B33" s="283"/>
      <c r="C33" s="265">
        <f>SUM('PL WB (нед)'!C33:G33)</f>
        <v>168693.81</v>
      </c>
      <c r="D33" s="265">
        <f>SUM('PL WB (нед)'!H33:K33)</f>
        <v>171580.71999999997</v>
      </c>
      <c r="E33" s="265">
        <f>SUM('PL WB (нед)'!L33:O33)</f>
        <v>160364.4</v>
      </c>
      <c r="F33" s="265">
        <f>SUM('PL WB (нед)'!P33:S33)</f>
        <v>84104.46</v>
      </c>
      <c r="G33" s="265">
        <f>SUM('PL WB (нед)'!T33:X33)</f>
        <v>75469.099999999991</v>
      </c>
      <c r="H33" s="265">
        <f>SUM('PL WB (нед)'!Y33:AB33)</f>
        <v>38178.449999999997</v>
      </c>
      <c r="I33" s="265">
        <f>SUM('PL WB (нед)'!AC33:AF33)</f>
        <v>0</v>
      </c>
      <c r="J33" s="265">
        <f>SUM('PL WB (нед)'!AG33:AK33)</f>
        <v>0</v>
      </c>
      <c r="K33" s="265">
        <f>SUM('PL WB (нед)'!AL33:AO33)</f>
        <v>0</v>
      </c>
      <c r="L33" s="265">
        <f>SUM('PL WB (нед)'!AP33:AT33)</f>
        <v>0</v>
      </c>
      <c r="M33" s="265">
        <f>SUM('PL WB (нед)'!AU33:AX33)</f>
        <v>0</v>
      </c>
      <c r="N33" s="265">
        <f>SUM('PL WB (нед)'!AY33:BC33)</f>
        <v>0</v>
      </c>
      <c r="O33" s="265">
        <f>SUM('PL WB (нед)'!AZ33:BD33)</f>
        <v>698390.94000000006</v>
      </c>
    </row>
    <row r="34" spans="1:15" ht="13.5" customHeight="1" thickTop="1" x14ac:dyDescent="0.25">
      <c r="A34" s="284" t="s">
        <v>37</v>
      </c>
      <c r="B34" s="285"/>
      <c r="C34" s="286">
        <f>C33/C14</f>
        <v>0.20717539692676504</v>
      </c>
      <c r="D34" s="286">
        <f t="shared" ref="D34:O34" si="13">D33/D15</f>
        <v>0.29734425797686131</v>
      </c>
      <c r="E34" s="286">
        <f t="shared" si="13"/>
        <v>0.30377396018616915</v>
      </c>
      <c r="F34" s="286">
        <f t="shared" si="13"/>
        <v>0.26467835889237512</v>
      </c>
      <c r="G34" s="286">
        <f t="shared" si="13"/>
        <v>0.29477814233263022</v>
      </c>
      <c r="H34" s="286">
        <f t="shared" si="13"/>
        <v>0.3718849233406713</v>
      </c>
      <c r="I34" s="286" t="e">
        <f t="shared" si="13"/>
        <v>#DIV/0!</v>
      </c>
      <c r="J34" s="286" t="e">
        <f t="shared" si="13"/>
        <v>#DIV/0!</v>
      </c>
      <c r="K34" s="286" t="e">
        <f t="shared" si="13"/>
        <v>#DIV/0!</v>
      </c>
      <c r="L34" s="286" t="e">
        <f t="shared" si="13"/>
        <v>#DIV/0!</v>
      </c>
      <c r="M34" s="286" t="e">
        <f t="shared" si="13"/>
        <v>#DIV/0!</v>
      </c>
      <c r="N34" s="286" t="e">
        <f t="shared" si="13"/>
        <v>#DIV/0!</v>
      </c>
      <c r="O34" s="286">
        <f t="shared" si="13"/>
        <v>0.29933174093410375</v>
      </c>
    </row>
    <row r="35" spans="1:15" ht="13.5" customHeight="1" x14ac:dyDescent="0.25">
      <c r="A35" s="281"/>
      <c r="B35" s="287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52"/>
    </row>
    <row r="36" spans="1:15" ht="13.5" customHeight="1" thickBot="1" x14ac:dyDescent="0.3">
      <c r="A36" s="266" t="s">
        <v>38</v>
      </c>
      <c r="B36" s="283"/>
      <c r="C36" s="265">
        <f>C20-C33</f>
        <v>400018.34999999992</v>
      </c>
      <c r="D36" s="265">
        <f t="shared" ref="D36:O36" si="14">D20-D33</f>
        <v>435610.47</v>
      </c>
      <c r="E36" s="265">
        <f t="shared" si="14"/>
        <v>367185.01</v>
      </c>
      <c r="F36" s="265">
        <f t="shared" si="14"/>
        <v>231203.86999999994</v>
      </c>
      <c r="G36" s="265">
        <f t="shared" si="14"/>
        <v>178559.72999999998</v>
      </c>
      <c r="H36" s="265">
        <f t="shared" si="14"/>
        <v>72070.17</v>
      </c>
      <c r="I36" s="265">
        <f t="shared" si="14"/>
        <v>0</v>
      </c>
      <c r="J36" s="265">
        <f t="shared" si="14"/>
        <v>0</v>
      </c>
      <c r="K36" s="265">
        <f t="shared" si="14"/>
        <v>0</v>
      </c>
      <c r="L36" s="265">
        <f t="shared" si="14"/>
        <v>0</v>
      </c>
      <c r="M36" s="265">
        <f t="shared" si="14"/>
        <v>0</v>
      </c>
      <c r="N36" s="265">
        <f t="shared" si="14"/>
        <v>0</v>
      </c>
      <c r="O36" s="265">
        <f t="shared" si="14"/>
        <v>1684647.6</v>
      </c>
    </row>
    <row r="37" spans="1:15" ht="13.5" customHeight="1" thickTop="1" x14ac:dyDescent="0.25">
      <c r="A37" s="288"/>
      <c r="B37" s="250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52"/>
    </row>
    <row r="38" spans="1:15" ht="13.5" customHeight="1" x14ac:dyDescent="0.25">
      <c r="A38" s="266" t="s">
        <v>39</v>
      </c>
      <c r="B38" s="283"/>
      <c r="C38" s="265">
        <f t="shared" ref="C38:N38" si="15">SUM(C40:C51)</f>
        <v>145103.53</v>
      </c>
      <c r="D38" s="265">
        <f t="shared" si="15"/>
        <v>119549.69</v>
      </c>
      <c r="E38" s="265">
        <f t="shared" si="15"/>
        <v>137125.93</v>
      </c>
      <c r="F38" s="265">
        <f t="shared" si="15"/>
        <v>82592.3</v>
      </c>
      <c r="G38" s="265">
        <f t="shared" si="15"/>
        <v>78979.98000000001</v>
      </c>
      <c r="H38" s="265">
        <f t="shared" si="15"/>
        <v>40333.5</v>
      </c>
      <c r="I38" s="265">
        <f t="shared" si="15"/>
        <v>0</v>
      </c>
      <c r="J38" s="265">
        <f t="shared" si="15"/>
        <v>0</v>
      </c>
      <c r="K38" s="265">
        <f t="shared" si="15"/>
        <v>0</v>
      </c>
      <c r="L38" s="265">
        <f t="shared" si="15"/>
        <v>0</v>
      </c>
      <c r="M38" s="265">
        <f t="shared" si="15"/>
        <v>0</v>
      </c>
      <c r="N38" s="265">
        <f t="shared" si="15"/>
        <v>0</v>
      </c>
      <c r="O38" s="271">
        <f>SUM(C38:N38)</f>
        <v>603684.92999999993</v>
      </c>
    </row>
    <row r="39" spans="1:15" ht="13.5" customHeight="1" x14ac:dyDescent="0.25">
      <c r="A39" s="289" t="s">
        <v>40</v>
      </c>
      <c r="B39" s="290"/>
      <c r="C39" s="286">
        <f>C38/C14</f>
        <v>0.17820382042011357</v>
      </c>
      <c r="D39" s="286">
        <f t="shared" ref="D39:O39" si="16">D38/D14</f>
        <v>0.13594476454942522</v>
      </c>
      <c r="E39" s="286">
        <f t="shared" si="16"/>
        <v>0.17754744708895373</v>
      </c>
      <c r="F39" s="286">
        <f t="shared" si="16"/>
        <v>0.17991338954880226</v>
      </c>
      <c r="G39" s="286">
        <f t="shared" si="16"/>
        <v>0.21506483533839094</v>
      </c>
      <c r="H39" s="286">
        <f t="shared" si="16"/>
        <v>0.25863262989823599</v>
      </c>
      <c r="I39" s="286" t="e">
        <f t="shared" si="16"/>
        <v>#DIV/0!</v>
      </c>
      <c r="J39" s="286" t="e">
        <f t="shared" si="16"/>
        <v>#DIV/0!</v>
      </c>
      <c r="K39" s="286" t="e">
        <f t="shared" si="16"/>
        <v>#DIV/0!</v>
      </c>
      <c r="L39" s="286" t="e">
        <f t="shared" si="16"/>
        <v>#DIV/0!</v>
      </c>
      <c r="M39" s="286" t="e">
        <f t="shared" si="16"/>
        <v>#DIV/0!</v>
      </c>
      <c r="N39" s="286" t="e">
        <f t="shared" si="16"/>
        <v>#DIV/0!</v>
      </c>
      <c r="O39" s="286">
        <f t="shared" si="16"/>
        <v>0.17507029811994107</v>
      </c>
    </row>
    <row r="40" spans="1:15" ht="13.5" customHeight="1" x14ac:dyDescent="0.25">
      <c r="A40" s="291" t="s">
        <v>41</v>
      </c>
      <c r="B40" s="292"/>
      <c r="C40" s="293">
        <f>SUM('PL WB (нед)'!C40:G40)</f>
        <v>107470</v>
      </c>
      <c r="D40" s="293">
        <f>SUM('PL WB (нед)'!H40:K40)</f>
        <v>96239</v>
      </c>
      <c r="E40" s="293">
        <f>SUM('PL WB (нед)'!L40:O40)</f>
        <v>102165</v>
      </c>
      <c r="F40" s="293">
        <f>SUM('PL WB (нед)'!P40:S40)</f>
        <v>51176</v>
      </c>
      <c r="G40" s="293">
        <f>SUM('PL WB (нед)'!T40:X40)</f>
        <v>42445</v>
      </c>
      <c r="H40" s="293">
        <f>SUM('PL WB (нед)'!Y40:AB40)</f>
        <v>22547</v>
      </c>
      <c r="I40" s="293">
        <f>SUM('PL WB (нед)'!AC40:AF40)</f>
        <v>0</v>
      </c>
      <c r="J40" s="293">
        <f>SUM('PL WB (нед)'!AG40:AK40)</f>
        <v>0</v>
      </c>
      <c r="K40" s="293">
        <f>SUM('PL WB (нед)'!AL40:AO40)</f>
        <v>0</v>
      </c>
      <c r="L40" s="293">
        <f>SUM('PL WB (нед)'!AP40:AT40)</f>
        <v>0</v>
      </c>
      <c r="M40" s="293">
        <f>SUM('PL WB (нед)'!AU40:AX40)</f>
        <v>0</v>
      </c>
      <c r="N40" s="293">
        <f>SUM('PL WB (нед)'!AY40:BC40)</f>
        <v>0</v>
      </c>
      <c r="O40" s="271">
        <f t="shared" ref="O40:O45" si="17">SUM(C40:N40)</f>
        <v>422042</v>
      </c>
    </row>
    <row r="41" spans="1:15" ht="13.5" customHeight="1" x14ac:dyDescent="0.25">
      <c r="A41" s="382" t="s">
        <v>42</v>
      </c>
      <c r="B41" s="292"/>
      <c r="C41" s="293">
        <f>SUM('PL WB (нед)'!C41:G41)</f>
        <v>0</v>
      </c>
      <c r="D41" s="293">
        <f>SUM('PL WB (нед)'!H41:K41)</f>
        <v>0</v>
      </c>
      <c r="E41" s="293">
        <f>SUM('PL WB (нед)'!L41:O41)</f>
        <v>0</v>
      </c>
      <c r="F41" s="293">
        <f>SUM('PL WB (нед)'!P41:S41)</f>
        <v>0</v>
      </c>
      <c r="G41" s="293">
        <f>SUM('PL WB (нед)'!T41:X41)</f>
        <v>0</v>
      </c>
      <c r="H41" s="293">
        <f>SUM('PL WB (нед)'!Y41:AB41)</f>
        <v>0</v>
      </c>
      <c r="I41" s="293">
        <f>SUM('PL WB (нед)'!AC41:AF41)</f>
        <v>0</v>
      </c>
      <c r="J41" s="293">
        <f>SUM('PL WB (нед)'!AG41:AK41)</f>
        <v>0</v>
      </c>
      <c r="K41" s="293">
        <f>SUM('PL WB (нед)'!AL41:AO41)</f>
        <v>0</v>
      </c>
      <c r="L41" s="293">
        <f>SUM('PL WB (нед)'!AP41:AT41)</f>
        <v>0</v>
      </c>
      <c r="M41" s="293">
        <f>SUM('PL WB (нед)'!AU41:AX41)</f>
        <v>0</v>
      </c>
      <c r="N41" s="293">
        <f>SUM('PL WB (нед)'!AY41:BC41)</f>
        <v>0</v>
      </c>
      <c r="O41" s="271">
        <f t="shared" si="17"/>
        <v>0</v>
      </c>
    </row>
    <row r="42" spans="1:15" ht="13.5" customHeight="1" x14ac:dyDescent="0.25">
      <c r="A42" s="382" t="s">
        <v>121</v>
      </c>
      <c r="B42" s="292"/>
      <c r="C42" s="293">
        <f>SUM('PL WB (нед)'!C42:G42)</f>
        <v>0</v>
      </c>
      <c r="D42" s="293">
        <f>SUM('PL WB (нед)'!H42:K42)</f>
        <v>0</v>
      </c>
      <c r="E42" s="293">
        <f>SUM('PL WB (нед)'!L42:O42)</f>
        <v>0</v>
      </c>
      <c r="F42" s="293">
        <f>SUM('PL WB (нед)'!P42:S42)</f>
        <v>0</v>
      </c>
      <c r="G42" s="293">
        <f>SUM('PL WB (нед)'!T42:X42)</f>
        <v>0</v>
      </c>
      <c r="H42" s="293">
        <f>SUM('PL WB (нед)'!Y42:AB42)</f>
        <v>0</v>
      </c>
      <c r="I42" s="293">
        <f>SUM('PL WB (нед)'!AC42:AF42)</f>
        <v>0</v>
      </c>
      <c r="J42" s="293">
        <f>SUM('PL WB (нед)'!AG42:AK42)</f>
        <v>0</v>
      </c>
      <c r="K42" s="293">
        <f>SUM('PL WB (нед)'!AL42:AO42)</f>
        <v>0</v>
      </c>
      <c r="L42" s="293">
        <f>SUM('PL WB (нед)'!AP42:AT42)</f>
        <v>0</v>
      </c>
      <c r="M42" s="293">
        <f>SUM('PL WB (нед)'!AU42:AX42)</f>
        <v>0</v>
      </c>
      <c r="N42" s="293">
        <f>SUM('PL WB (нед)'!AY42:BC42)</f>
        <v>0</v>
      </c>
      <c r="O42" s="271">
        <f>SUM(C42:N42)</f>
        <v>0</v>
      </c>
    </row>
    <row r="43" spans="1:15" ht="13.5" customHeight="1" x14ac:dyDescent="0.25">
      <c r="A43" s="291" t="s">
        <v>43</v>
      </c>
      <c r="B43" s="292"/>
      <c r="C43" s="293">
        <f>SUM('PL WB (нед)'!C43:G43)</f>
        <v>23611.72</v>
      </c>
      <c r="D43" s="293">
        <f>SUM('PL WB (нед)'!H43:K43)</f>
        <v>23310.690000000002</v>
      </c>
      <c r="E43" s="293">
        <f>SUM('PL WB (нед)'!L43:O43)</f>
        <v>34960.93</v>
      </c>
      <c r="F43" s="293">
        <f>SUM('PL WB (нед)'!P43:S43)</f>
        <v>31376.3</v>
      </c>
      <c r="G43" s="293">
        <f>SUM('PL WB (нед)'!T43:X43)</f>
        <v>36534.980000000003</v>
      </c>
      <c r="H43" s="293">
        <f>SUM('PL WB (нед)'!Y43:AB43)</f>
        <v>17786.5</v>
      </c>
      <c r="I43" s="293">
        <f>SUM('PL WB (нед)'!AC43:AF43)</f>
        <v>0</v>
      </c>
      <c r="J43" s="293">
        <f>SUM('PL WB (нед)'!AG43:AK43)</f>
        <v>0</v>
      </c>
      <c r="K43" s="293">
        <f>SUM('PL WB (нед)'!AL43:AO43)</f>
        <v>0</v>
      </c>
      <c r="L43" s="293">
        <f>SUM('PL WB (нед)'!AP43:AT43)</f>
        <v>0</v>
      </c>
      <c r="M43" s="293">
        <f>SUM('PL WB (нед)'!AU43:AX43)</f>
        <v>0</v>
      </c>
      <c r="N43" s="293">
        <f>SUM('PL WB (нед)'!AY43:BC43)</f>
        <v>0</v>
      </c>
      <c r="O43" s="271">
        <f t="shared" si="17"/>
        <v>167581.12</v>
      </c>
    </row>
    <row r="44" spans="1:15" ht="13.5" customHeight="1" x14ac:dyDescent="0.25">
      <c r="A44" s="291" t="s">
        <v>44</v>
      </c>
      <c r="B44" s="292"/>
      <c r="C44" s="293">
        <f>SUM('PL WB (нед)'!C44:G44)</f>
        <v>741</v>
      </c>
      <c r="D44" s="293">
        <f>SUM('PL WB (нед)'!H44:K44)</f>
        <v>0</v>
      </c>
      <c r="E44" s="293">
        <f>SUM('PL WB (нед)'!L44:O44)</f>
        <v>0</v>
      </c>
      <c r="F44" s="293">
        <f>SUM('PL WB (нед)'!P44:S44)</f>
        <v>40</v>
      </c>
      <c r="G44" s="293">
        <f>SUM('PL WB (нед)'!T44:X44)</f>
        <v>0</v>
      </c>
      <c r="H44" s="293">
        <f>SUM('PL WB (нед)'!Y44:AB44)</f>
        <v>0</v>
      </c>
      <c r="I44" s="293">
        <f>SUM('PL WB (нед)'!AC44:AF44)</f>
        <v>0</v>
      </c>
      <c r="J44" s="293">
        <f>SUM('PL WB (нед)'!AG44:AK44)</f>
        <v>0</v>
      </c>
      <c r="K44" s="293">
        <f>SUM('PL WB (нед)'!AL44:AO44)</f>
        <v>0</v>
      </c>
      <c r="L44" s="293">
        <f>SUM('PL WB (нед)'!AP44:AT44)</f>
        <v>0</v>
      </c>
      <c r="M44" s="293">
        <f>SUM('PL WB (нед)'!AU44:AX44)</f>
        <v>0</v>
      </c>
      <c r="N44" s="293">
        <f>SUM('PL WB (нед)'!AY44:BC44)</f>
        <v>0</v>
      </c>
      <c r="O44" s="271">
        <f t="shared" si="17"/>
        <v>781</v>
      </c>
    </row>
    <row r="45" spans="1:15" ht="13.5" customHeight="1" x14ac:dyDescent="0.25">
      <c r="A45" s="291" t="s">
        <v>45</v>
      </c>
      <c r="B45" s="292"/>
      <c r="C45" s="293">
        <f>SUM('PL WB (нед)'!C45:G45)</f>
        <v>13280.81</v>
      </c>
      <c r="D45" s="293">
        <f>SUM('PL WB (нед)'!H45:K45)</f>
        <v>0</v>
      </c>
      <c r="E45" s="293">
        <f>SUM('PL WB (нед)'!L45:O45)</f>
        <v>0</v>
      </c>
      <c r="F45" s="293">
        <f>SUM('PL WB (нед)'!P45:S45)</f>
        <v>0</v>
      </c>
      <c r="G45" s="293">
        <f>SUM('PL WB (нед)'!T45:X45)</f>
        <v>0</v>
      </c>
      <c r="H45" s="293">
        <f>SUM('PL WB (нед)'!Y45:AB45)</f>
        <v>0</v>
      </c>
      <c r="I45" s="293">
        <f>SUM('PL WB (нед)'!AC45:AF45)</f>
        <v>0</v>
      </c>
      <c r="J45" s="293">
        <f>SUM('PL WB (нед)'!AG45:AK45)</f>
        <v>0</v>
      </c>
      <c r="K45" s="293">
        <f>SUM('PL WB (нед)'!AL45:AO45)</f>
        <v>0</v>
      </c>
      <c r="L45" s="293">
        <f>SUM('PL WB (нед)'!AP45:AT45)</f>
        <v>0</v>
      </c>
      <c r="M45" s="293">
        <f>SUM('PL WB (нед)'!AU45:AX45)</f>
        <v>0</v>
      </c>
      <c r="N45" s="293">
        <f>SUM('PL WB (нед)'!AY45:BC45)</f>
        <v>0</v>
      </c>
      <c r="O45" s="271">
        <f t="shared" si="17"/>
        <v>13280.81</v>
      </c>
    </row>
    <row r="46" spans="1:15" ht="13.5" customHeight="1" x14ac:dyDescent="0.25">
      <c r="A46" s="291"/>
      <c r="B46" s="292"/>
      <c r="C46" s="293">
        <f>SUM('PL WB (нед)'!C46:G46)</f>
        <v>0</v>
      </c>
      <c r="D46" s="293">
        <f>SUM('PL WB (нед)'!H46:K46)</f>
        <v>0</v>
      </c>
      <c r="E46" s="293">
        <f>SUM('PL WB (нед)'!L46:O46)</f>
        <v>0</v>
      </c>
      <c r="F46" s="293">
        <f>SUM('PL WB (нед)'!P46:S46)</f>
        <v>0</v>
      </c>
      <c r="G46" s="293">
        <f>SUM('PL WB (нед)'!T46:X46)</f>
        <v>0</v>
      </c>
      <c r="H46" s="293">
        <f>SUM('PL WB (нед)'!Y46:AB46)</f>
        <v>0</v>
      </c>
      <c r="I46" s="293">
        <f>SUM('PL WB (нед)'!AC46:AF46)</f>
        <v>0</v>
      </c>
      <c r="J46" s="293">
        <f>SUM('PL WB (нед)'!AG46:AK46)</f>
        <v>0</v>
      </c>
      <c r="K46" s="293">
        <f>SUM('PL WB (нед)'!AL46:AO46)</f>
        <v>0</v>
      </c>
      <c r="L46" s="293">
        <f>SUM('PL WB (нед)'!AP46:AT46)</f>
        <v>0</v>
      </c>
      <c r="M46" s="293">
        <f>SUM('PL WB (нед)'!AU46:AX46)</f>
        <v>0</v>
      </c>
      <c r="N46" s="293">
        <f>SUM('PL WB (нед)'!AY46:BC46)</f>
        <v>0</v>
      </c>
      <c r="O46" s="271"/>
    </row>
    <row r="47" spans="1:15" ht="13.5" customHeight="1" x14ac:dyDescent="0.25">
      <c r="A47" s="291" t="s">
        <v>46</v>
      </c>
      <c r="B47" s="292"/>
      <c r="C47" s="293">
        <f>SUM('PL WB (нед)'!C47:G47)</f>
        <v>0</v>
      </c>
      <c r="D47" s="293">
        <f>SUM('PL WB (нед)'!H47:K47)</f>
        <v>0</v>
      </c>
      <c r="E47" s="293">
        <f>SUM('PL WB (нед)'!L47:O47)</f>
        <v>0</v>
      </c>
      <c r="F47" s="293">
        <f>SUM('PL WB (нед)'!P47:S47)</f>
        <v>0</v>
      </c>
      <c r="G47" s="293">
        <f>SUM('PL WB (нед)'!T47:X47)</f>
        <v>0</v>
      </c>
      <c r="H47" s="293">
        <f>SUM('PL WB (нед)'!Y47:AB47)</f>
        <v>0</v>
      </c>
      <c r="I47" s="293">
        <f>SUM('PL WB (нед)'!AC47:AF47)</f>
        <v>0</v>
      </c>
      <c r="J47" s="293">
        <f>SUM('PL WB (нед)'!AG47:AK47)</f>
        <v>0</v>
      </c>
      <c r="K47" s="293">
        <f>SUM('PL WB (нед)'!AL47:AO47)</f>
        <v>0</v>
      </c>
      <c r="L47" s="293">
        <f>SUM('PL WB (нед)'!AP47:AT47)</f>
        <v>0</v>
      </c>
      <c r="M47" s="293">
        <f>SUM('PL WB (нед)'!AU47:AX47)</f>
        <v>0</v>
      </c>
      <c r="N47" s="293">
        <f>SUM('PL WB (нед)'!AY47:BC47)</f>
        <v>0</v>
      </c>
      <c r="O47" s="271"/>
    </row>
    <row r="48" spans="1:15" ht="13.5" customHeight="1" x14ac:dyDescent="0.25">
      <c r="A48" s="291" t="s">
        <v>47</v>
      </c>
      <c r="B48" s="292"/>
      <c r="C48" s="293">
        <f>SUM('PL WB (нед)'!C48:G48)</f>
        <v>0</v>
      </c>
      <c r="D48" s="293">
        <f>SUM('PL WB (нед)'!H48:K48)</f>
        <v>0</v>
      </c>
      <c r="E48" s="293">
        <f>SUM('PL WB (нед)'!L48:O48)</f>
        <v>0</v>
      </c>
      <c r="F48" s="293">
        <f>SUM('PL WB (нед)'!P48:S48)</f>
        <v>0</v>
      </c>
      <c r="G48" s="293">
        <f>SUM('PL WB (нед)'!T48:X48)</f>
        <v>0</v>
      </c>
      <c r="H48" s="293">
        <f>SUM('PL WB (нед)'!Y48:AB48)</f>
        <v>0</v>
      </c>
      <c r="I48" s="293">
        <f>SUM('PL WB (нед)'!AC48:AF48)</f>
        <v>0</v>
      </c>
      <c r="J48" s="293">
        <f>SUM('PL WB (нед)'!AG48:AK48)</f>
        <v>0</v>
      </c>
      <c r="K48" s="293">
        <f>SUM('PL WB (нед)'!AL48:AO48)</f>
        <v>0</v>
      </c>
      <c r="L48" s="293">
        <f>SUM('PL WB (нед)'!AP48:AT48)</f>
        <v>0</v>
      </c>
      <c r="M48" s="293">
        <f>SUM('PL WB (нед)'!AU48:AX48)</f>
        <v>0</v>
      </c>
      <c r="N48" s="293">
        <f>SUM('PL WB (нед)'!AY48:BC48)</f>
        <v>0</v>
      </c>
      <c r="O48" s="271"/>
    </row>
    <row r="49" spans="1:15" ht="13.5" customHeight="1" x14ac:dyDescent="0.25">
      <c r="A49" s="291" t="s">
        <v>48</v>
      </c>
      <c r="B49" s="292"/>
      <c r="C49" s="293">
        <f>SUM('PL WB (нед)'!C49:G49)</f>
        <v>0</v>
      </c>
      <c r="D49" s="293">
        <f>SUM('PL WB (нед)'!H49:K49)</f>
        <v>0</v>
      </c>
      <c r="E49" s="293">
        <f>SUM('PL WB (нед)'!L49:O49)</f>
        <v>0</v>
      </c>
      <c r="F49" s="293">
        <f>SUM('PL WB (нед)'!P49:S49)</f>
        <v>0</v>
      </c>
      <c r="G49" s="293">
        <f>SUM('PL WB (нед)'!T49:X49)</f>
        <v>0</v>
      </c>
      <c r="H49" s="293">
        <f>SUM('PL WB (нед)'!Y49:AB49)</f>
        <v>0</v>
      </c>
      <c r="I49" s="293">
        <f>SUM('PL WB (нед)'!AC49:AF49)</f>
        <v>0</v>
      </c>
      <c r="J49" s="293">
        <f>SUM('PL WB (нед)'!AG49:AK49)</f>
        <v>0</v>
      </c>
      <c r="K49" s="293">
        <f>SUM('PL WB (нед)'!AL49:AO49)</f>
        <v>0</v>
      </c>
      <c r="L49" s="293">
        <f>SUM('PL WB (нед)'!AP49:AT49)</f>
        <v>0</v>
      </c>
      <c r="M49" s="293">
        <f>SUM('PL WB (нед)'!AU49:AX49)</f>
        <v>0</v>
      </c>
      <c r="N49" s="293">
        <f>SUM('PL WB (нед)'!AY49:BC49)</f>
        <v>0</v>
      </c>
      <c r="O49" s="271"/>
    </row>
    <row r="50" spans="1:15" ht="13.5" customHeight="1" x14ac:dyDescent="0.25">
      <c r="A50" s="341" t="s">
        <v>99</v>
      </c>
      <c r="B50" s="292"/>
      <c r="C50" s="293">
        <f>SUM('PL WB (нед)'!C50:G50)</f>
        <v>0</v>
      </c>
      <c r="D50" s="293">
        <f>SUM('PL WB (нед)'!H50:K50)</f>
        <v>0</v>
      </c>
      <c r="E50" s="293">
        <f>SUM('PL WB (нед)'!L50:O50)</f>
        <v>0</v>
      </c>
      <c r="F50" s="293">
        <f>SUM('PL WB (нед)'!P50:S50)</f>
        <v>0</v>
      </c>
      <c r="G50" s="293">
        <f>SUM('PL WB (нед)'!T50:X50)</f>
        <v>0</v>
      </c>
      <c r="H50" s="293">
        <f>SUM('PL WB (нед)'!Y50:AB50)</f>
        <v>0</v>
      </c>
      <c r="I50" s="293">
        <f>SUM('PL WB (нед)'!AC50:AF50)</f>
        <v>0</v>
      </c>
      <c r="J50" s="293">
        <f>SUM('PL WB (нед)'!AG50:AK50)</f>
        <v>0</v>
      </c>
      <c r="K50" s="293">
        <f>SUM('PL WB (нед)'!AL50:AO50)</f>
        <v>0</v>
      </c>
      <c r="L50" s="293">
        <f>SUM('PL WB (нед)'!AP50:AT50)</f>
        <v>0</v>
      </c>
      <c r="M50" s="293">
        <f>SUM('PL WB (нед)'!AU50:AX50)</f>
        <v>0</v>
      </c>
      <c r="N50" s="293">
        <f>SUM('PL WB (нед)'!AY50:BC50)</f>
        <v>0</v>
      </c>
      <c r="O50" s="271"/>
    </row>
    <row r="51" spans="1:15" ht="13.5" customHeight="1" x14ac:dyDescent="0.25">
      <c r="A51" s="291" t="s">
        <v>49</v>
      </c>
      <c r="B51" s="292"/>
      <c r="C51" s="293">
        <f>SUM('PL WB (нед)'!C51:G51)</f>
        <v>0</v>
      </c>
      <c r="D51" s="293">
        <f>SUM('PL WB (нед)'!H51:K51)</f>
        <v>0</v>
      </c>
      <c r="E51" s="293">
        <f>SUM('PL WB (нед)'!L51:O51)</f>
        <v>0</v>
      </c>
      <c r="F51" s="293">
        <f>SUM('PL WB (нед)'!P51:S51)</f>
        <v>0</v>
      </c>
      <c r="G51" s="293">
        <f>SUM('PL WB (нед)'!T51:X51)</f>
        <v>0</v>
      </c>
      <c r="H51" s="293">
        <f>SUM('PL WB (нед)'!Y51:AB51)</f>
        <v>0</v>
      </c>
      <c r="I51" s="293">
        <f>SUM('PL WB (нед)'!AC51:AF51)</f>
        <v>0</v>
      </c>
      <c r="J51" s="293">
        <f>SUM('PL WB (нед)'!AG51:AK51)</f>
        <v>0</v>
      </c>
      <c r="K51" s="293">
        <f>SUM('PL WB (нед)'!AL51:AO51)</f>
        <v>0</v>
      </c>
      <c r="L51" s="293">
        <f>SUM('PL WB (нед)'!AP51:AT51)</f>
        <v>0</v>
      </c>
      <c r="M51" s="293">
        <f>SUM('PL WB (нед)'!AU51:AX51)</f>
        <v>0</v>
      </c>
      <c r="N51" s="293">
        <f>SUM('PL WB (нед)'!AY51:BC51)</f>
        <v>0</v>
      </c>
      <c r="O51" s="271"/>
    </row>
    <row r="52" spans="1:15" ht="13.5" customHeight="1" x14ac:dyDescent="0.25">
      <c r="A52" s="249"/>
      <c r="B52" s="250"/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  <c r="O52" s="252"/>
    </row>
    <row r="53" spans="1:15" ht="15" customHeight="1" x14ac:dyDescent="0.25">
      <c r="A53" s="294" t="s">
        <v>50</v>
      </c>
      <c r="B53" s="295"/>
      <c r="C53" s="296">
        <f t="shared" ref="C53:N53" si="18">C36+C31-C38</f>
        <v>254914.81999999992</v>
      </c>
      <c r="D53" s="296">
        <f t="shared" si="18"/>
        <v>316060.77999999997</v>
      </c>
      <c r="E53" s="296">
        <f t="shared" si="18"/>
        <v>230411.38</v>
      </c>
      <c r="F53" s="296">
        <f t="shared" si="18"/>
        <v>148677.93999999994</v>
      </c>
      <c r="G53" s="296">
        <f t="shared" si="18"/>
        <v>100126.74999999997</v>
      </c>
      <c r="H53" s="296">
        <f t="shared" si="18"/>
        <v>31956.789999999994</v>
      </c>
      <c r="I53" s="296">
        <f t="shared" si="18"/>
        <v>0</v>
      </c>
      <c r="J53" s="296">
        <f t="shared" si="18"/>
        <v>0</v>
      </c>
      <c r="K53" s="296">
        <f t="shared" si="18"/>
        <v>0</v>
      </c>
      <c r="L53" s="296">
        <f>L36+L31-L38</f>
        <v>0</v>
      </c>
      <c r="M53" s="296">
        <f t="shared" si="18"/>
        <v>0</v>
      </c>
      <c r="N53" s="296">
        <f t="shared" si="18"/>
        <v>0</v>
      </c>
      <c r="O53" s="297">
        <f>SUM(C53:N53)</f>
        <v>1082148.4599999997</v>
      </c>
    </row>
    <row r="54" spans="1:15" ht="13.5" customHeight="1" thickTop="1" x14ac:dyDescent="0.25">
      <c r="A54" s="249"/>
      <c r="B54" s="257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97"/>
    </row>
    <row r="55" spans="1:15" ht="13.5" customHeight="1" thickBot="1" x14ac:dyDescent="0.3">
      <c r="A55" s="291" t="s">
        <v>51</v>
      </c>
      <c r="B55" s="298" t="s">
        <v>52</v>
      </c>
      <c r="C55" s="265">
        <f t="shared" ref="C55:N55" si="19">C15*7%</f>
        <v>38624.11</v>
      </c>
      <c r="D55" s="265">
        <f t="shared" si="19"/>
        <v>40393.08</v>
      </c>
      <c r="E55" s="265">
        <f t="shared" si="19"/>
        <v>36953.490000000005</v>
      </c>
      <c r="F55" s="265">
        <f t="shared" si="19"/>
        <v>22243.27</v>
      </c>
      <c r="G55" s="265">
        <f t="shared" si="19"/>
        <v>17921.400000000001</v>
      </c>
      <c r="H55" s="265">
        <f t="shared" si="19"/>
        <v>7186.3400000000011</v>
      </c>
      <c r="I55" s="265">
        <f t="shared" si="19"/>
        <v>0</v>
      </c>
      <c r="J55" s="265">
        <f t="shared" si="19"/>
        <v>0</v>
      </c>
      <c r="K55" s="265">
        <f t="shared" si="19"/>
        <v>0</v>
      </c>
      <c r="L55" s="265">
        <f t="shared" si="19"/>
        <v>0</v>
      </c>
      <c r="M55" s="265">
        <f t="shared" si="19"/>
        <v>0</v>
      </c>
      <c r="N55" s="265">
        <f t="shared" si="19"/>
        <v>0</v>
      </c>
      <c r="O55" s="297">
        <f t="shared" ref="O55" si="20">SUM(C55:N55)</f>
        <v>163321.69</v>
      </c>
    </row>
    <row r="56" spans="1:15" ht="13.5" customHeight="1" thickTop="1" x14ac:dyDescent="0.25">
      <c r="A56" s="249"/>
      <c r="B56" s="250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52"/>
    </row>
    <row r="57" spans="1:15" ht="15" customHeight="1" thickBot="1" x14ac:dyDescent="0.3">
      <c r="A57" s="299" t="s">
        <v>53</v>
      </c>
      <c r="B57" s="300"/>
      <c r="C57" s="296">
        <f t="shared" ref="C57:N57" si="21">C53-C55</f>
        <v>216290.7099999999</v>
      </c>
      <c r="D57" s="296">
        <f t="shared" si="21"/>
        <v>275667.69999999995</v>
      </c>
      <c r="E57" s="296">
        <f t="shared" si="21"/>
        <v>193457.89</v>
      </c>
      <c r="F57" s="296">
        <f t="shared" si="21"/>
        <v>126434.66999999994</v>
      </c>
      <c r="G57" s="296">
        <f t="shared" si="21"/>
        <v>82205.349999999977</v>
      </c>
      <c r="H57" s="296">
        <f t="shared" si="21"/>
        <v>24770.449999999993</v>
      </c>
      <c r="I57" s="296">
        <f t="shared" si="21"/>
        <v>0</v>
      </c>
      <c r="J57" s="296">
        <f t="shared" si="21"/>
        <v>0</v>
      </c>
      <c r="K57" s="296">
        <f t="shared" si="21"/>
        <v>0</v>
      </c>
      <c r="L57" s="296">
        <f>L53-L55</f>
        <v>0</v>
      </c>
      <c r="M57" s="296">
        <f t="shared" si="21"/>
        <v>0</v>
      </c>
      <c r="N57" s="296">
        <f t="shared" si="21"/>
        <v>0</v>
      </c>
      <c r="O57" s="297">
        <f>SUM(C57:N57)</f>
        <v>918826.76999999967</v>
      </c>
    </row>
    <row r="58" spans="1:15" ht="13.5" customHeight="1" thickTop="1" x14ac:dyDescent="0.25">
      <c r="A58" s="301" t="s">
        <v>2</v>
      </c>
      <c r="B58" s="302"/>
      <c r="C58" s="303">
        <f t="shared" ref="C58:M58" si="22">C57/C33</f>
        <v>1.2821496532682493</v>
      </c>
      <c r="D58" s="303">
        <f t="shared" si="22"/>
        <v>1.6066356406477371</v>
      </c>
      <c r="E58" s="303">
        <f t="shared" si="22"/>
        <v>1.2063643177662875</v>
      </c>
      <c r="F58" s="303">
        <f t="shared" si="22"/>
        <v>1.503305175492476</v>
      </c>
      <c r="G58" s="303">
        <f t="shared" si="22"/>
        <v>1.0892583852199109</v>
      </c>
      <c r="H58" s="303">
        <f t="shared" si="22"/>
        <v>0.64880711500859767</v>
      </c>
      <c r="I58" s="303" t="e">
        <f t="shared" si="22"/>
        <v>#DIV/0!</v>
      </c>
      <c r="J58" s="303" t="e">
        <f t="shared" si="22"/>
        <v>#DIV/0!</v>
      </c>
      <c r="K58" s="303" t="e">
        <f t="shared" si="22"/>
        <v>#DIV/0!</v>
      </c>
      <c r="L58" s="303" t="e">
        <f t="shared" si="22"/>
        <v>#DIV/0!</v>
      </c>
      <c r="M58" s="303" t="e">
        <f t="shared" si="22"/>
        <v>#DIV/0!</v>
      </c>
      <c r="N58" s="303" t="e">
        <f>N57/N33</f>
        <v>#DIV/0!</v>
      </c>
      <c r="O58" s="303">
        <f>O57/O33</f>
        <v>1.3156338626042308</v>
      </c>
    </row>
    <row r="59" spans="1:15" ht="13.5" customHeight="1" x14ac:dyDescent="0.25">
      <c r="A59" s="321" t="s">
        <v>96</v>
      </c>
      <c r="B59" s="304"/>
      <c r="C59" s="303">
        <f t="shared" ref="C59:O59" si="23">C57/C14</f>
        <v>0.2656298633353637</v>
      </c>
      <c r="D59" s="303">
        <f t="shared" si="23"/>
        <v>0.31347283769938328</v>
      </c>
      <c r="E59" s="303">
        <f t="shared" si="23"/>
        <v>0.25048475141583826</v>
      </c>
      <c r="F59" s="303">
        <f t="shared" si="23"/>
        <v>0.27541659496326232</v>
      </c>
      <c r="G59" s="303">
        <f t="shared" si="23"/>
        <v>0.2238476138090284</v>
      </c>
      <c r="H59" s="303">
        <f t="shared" si="23"/>
        <v>0.15883686333352567</v>
      </c>
      <c r="I59" s="303" t="e">
        <f t="shared" si="23"/>
        <v>#DIV/0!</v>
      </c>
      <c r="J59" s="303" t="e">
        <f t="shared" si="23"/>
        <v>#DIV/0!</v>
      </c>
      <c r="K59" s="303" t="e">
        <f t="shared" si="23"/>
        <v>#DIV/0!</v>
      </c>
      <c r="L59" s="303" t="e">
        <f t="shared" si="23"/>
        <v>#DIV/0!</v>
      </c>
      <c r="M59" s="303" t="e">
        <f t="shared" si="23"/>
        <v>#DIV/0!</v>
      </c>
      <c r="N59" s="303" t="e">
        <f t="shared" si="23"/>
        <v>#DIV/0!</v>
      </c>
      <c r="O59" s="303">
        <f t="shared" si="23"/>
        <v>0.2664623026857445</v>
      </c>
    </row>
    <row r="60" spans="1:15" ht="15" customHeight="1" thickBot="1" x14ac:dyDescent="0.3">
      <c r="A60" s="294" t="s">
        <v>54</v>
      </c>
      <c r="B60" s="305"/>
      <c r="C60" s="296">
        <f>CF!C38</f>
        <v>0</v>
      </c>
      <c r="D60" s="296">
        <f>CF!D38</f>
        <v>0</v>
      </c>
      <c r="E60" s="296">
        <f>CF!E38</f>
        <v>0</v>
      </c>
      <c r="F60" s="296">
        <f>CF!F38</f>
        <v>0</v>
      </c>
      <c r="G60" s="296">
        <f>CF!G38</f>
        <v>0</v>
      </c>
      <c r="H60" s="296">
        <f>CF!H38</f>
        <v>0</v>
      </c>
      <c r="I60" s="296">
        <f>CF!I38</f>
        <v>0</v>
      </c>
      <c r="J60" s="296">
        <f>CF!J38</f>
        <v>0</v>
      </c>
      <c r="K60" s="296">
        <f>CF!K38</f>
        <v>0</v>
      </c>
      <c r="L60" s="296">
        <f>CF!L38</f>
        <v>0</v>
      </c>
      <c r="M60" s="296">
        <f>CF!M38</f>
        <v>0</v>
      </c>
      <c r="N60" s="296">
        <f>CF!N38</f>
        <v>0</v>
      </c>
      <c r="O60" s="247"/>
    </row>
    <row r="61" spans="1:15" ht="15.75" thickTop="1" x14ac:dyDescent="0.25">
      <c r="A61" s="281"/>
      <c r="B61" s="287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247"/>
    </row>
    <row r="62" spans="1:15" ht="13.5" customHeight="1" x14ac:dyDescent="0.25">
      <c r="A62" s="307" t="s">
        <v>55</v>
      </c>
      <c r="B62" s="308"/>
      <c r="C62" s="309">
        <f>CF!C42</f>
        <v>2426951.8857</v>
      </c>
      <c r="D62" s="309">
        <f>CF!D42</f>
        <v>2920729.7957000001</v>
      </c>
      <c r="E62" s="309">
        <f>CF!E42</f>
        <v>3317903.6557000005</v>
      </c>
      <c r="F62" s="309">
        <f>CF!F42</f>
        <v>3557797.9857000005</v>
      </c>
      <c r="G62" s="309">
        <f>CF!G42</f>
        <v>3319042.2357000005</v>
      </c>
      <c r="H62" s="309">
        <f>CF!H42</f>
        <v>3381991.1357000005</v>
      </c>
      <c r="I62" s="309">
        <f>CF!I42</f>
        <v>3381991.1357000005</v>
      </c>
      <c r="J62" s="309">
        <f>CF!J42</f>
        <v>3381991.1357000005</v>
      </c>
      <c r="K62" s="309">
        <f>CF!K42</f>
        <v>3381991.1357000005</v>
      </c>
      <c r="L62" s="309">
        <f>CF!L42</f>
        <v>3381991.1357000005</v>
      </c>
      <c r="M62" s="309">
        <f>CF!M42</f>
        <v>3381991.1357000005</v>
      </c>
      <c r="N62" s="309">
        <f>CF!N42</f>
        <v>3381991.1357000005</v>
      </c>
      <c r="O62" s="310"/>
    </row>
    <row r="63" spans="1:15" x14ac:dyDescent="0.25">
      <c r="A63" s="281"/>
      <c r="B63" s="287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247"/>
    </row>
    <row r="64" spans="1:15" x14ac:dyDescent="0.25">
      <c r="A64" s="294" t="s">
        <v>56</v>
      </c>
      <c r="B64" s="295"/>
      <c r="C64" s="311">
        <f>'PL WB (нед)'!G64</f>
        <v>3244857.5133999996</v>
      </c>
      <c r="D64" s="296">
        <f t="shared" ref="D64:M64" si="24">D57+C64-D60</f>
        <v>3520525.2133999998</v>
      </c>
      <c r="E64" s="296">
        <f t="shared" si="24"/>
        <v>3713983.1033999999</v>
      </c>
      <c r="F64" s="296">
        <f t="shared" si="24"/>
        <v>3840417.7733999998</v>
      </c>
      <c r="G64" s="296">
        <f t="shared" si="24"/>
        <v>3922623.1233999999</v>
      </c>
      <c r="H64" s="296">
        <f t="shared" si="24"/>
        <v>3947393.5734000001</v>
      </c>
      <c r="I64" s="296">
        <f t="shared" si="24"/>
        <v>3947393.5734000001</v>
      </c>
      <c r="J64" s="296">
        <f t="shared" si="24"/>
        <v>3947393.5734000001</v>
      </c>
      <c r="K64" s="296">
        <f t="shared" si="24"/>
        <v>3947393.5734000001</v>
      </c>
      <c r="L64" s="296">
        <f t="shared" si="24"/>
        <v>3947393.5734000001</v>
      </c>
      <c r="M64" s="296">
        <f t="shared" si="24"/>
        <v>3947393.5734000001</v>
      </c>
      <c r="N64" s="296">
        <f>N57+M64-N60</f>
        <v>3947393.5734000001</v>
      </c>
      <c r="O64" s="247"/>
    </row>
    <row r="66" spans="1:14" ht="13.5" customHeight="1" x14ac:dyDescent="0.25">
      <c r="A66" s="288" t="s">
        <v>57</v>
      </c>
      <c r="B66" s="258"/>
      <c r="C66" s="312">
        <f t="shared" ref="C66:N66" si="25">IFERROR(C41/C7, )</f>
        <v>0</v>
      </c>
      <c r="D66" s="312">
        <f t="shared" si="25"/>
        <v>0</v>
      </c>
      <c r="E66" s="312">
        <f t="shared" si="25"/>
        <v>0</v>
      </c>
      <c r="F66" s="312">
        <f t="shared" si="25"/>
        <v>0</v>
      </c>
      <c r="G66" s="312">
        <f t="shared" si="25"/>
        <v>0</v>
      </c>
      <c r="H66" s="312">
        <f t="shared" si="25"/>
        <v>0</v>
      </c>
      <c r="I66" s="312">
        <f t="shared" si="25"/>
        <v>0</v>
      </c>
      <c r="J66" s="312">
        <f t="shared" si="25"/>
        <v>0</v>
      </c>
      <c r="K66" s="312">
        <f t="shared" si="25"/>
        <v>0</v>
      </c>
      <c r="L66" s="312">
        <f t="shared" si="25"/>
        <v>0</v>
      </c>
      <c r="M66" s="312">
        <f t="shared" si="25"/>
        <v>0</v>
      </c>
      <c r="N66" s="312">
        <f t="shared" si="25"/>
        <v>0</v>
      </c>
    </row>
    <row r="67" spans="1:14" ht="13.5" customHeight="1" x14ac:dyDescent="0.25">
      <c r="A67" s="288" t="s">
        <v>58</v>
      </c>
      <c r="B67" s="258"/>
      <c r="C67" s="286">
        <f t="shared" ref="C67:N67" si="26">IFERROR(C41/C15, )</f>
        <v>0</v>
      </c>
      <c r="D67" s="286">
        <f t="shared" si="26"/>
        <v>0</v>
      </c>
      <c r="E67" s="286">
        <f t="shared" si="26"/>
        <v>0</v>
      </c>
      <c r="F67" s="286">
        <f t="shared" si="26"/>
        <v>0</v>
      </c>
      <c r="G67" s="286">
        <f t="shared" si="26"/>
        <v>0</v>
      </c>
      <c r="H67" s="286">
        <f t="shared" si="26"/>
        <v>0</v>
      </c>
      <c r="I67" s="286">
        <f t="shared" si="26"/>
        <v>0</v>
      </c>
      <c r="J67" s="286">
        <f t="shared" si="26"/>
        <v>0</v>
      </c>
      <c r="K67" s="286">
        <f t="shared" si="26"/>
        <v>0</v>
      </c>
      <c r="L67" s="286">
        <f t="shared" si="26"/>
        <v>0</v>
      </c>
      <c r="M67" s="286">
        <f t="shared" si="26"/>
        <v>0</v>
      </c>
      <c r="N67" s="286">
        <f t="shared" si="26"/>
        <v>0</v>
      </c>
    </row>
    <row r="68" spans="1:14" ht="13.5" customHeight="1" x14ac:dyDescent="0.25">
      <c r="A68" s="288" t="s">
        <v>59</v>
      </c>
      <c r="B68" s="258"/>
      <c r="C68" s="256">
        <f t="shared" ref="C68:N68" si="27">IFERROR(C57/(C7-C23), )</f>
        <v>159.15431199411324</v>
      </c>
      <c r="D68" s="256">
        <f t="shared" si="27"/>
        <v>207.42490594431899</v>
      </c>
      <c r="E68" s="256">
        <f t="shared" si="27"/>
        <v>148.81376153846156</v>
      </c>
      <c r="F68" s="256">
        <f t="shared" si="27"/>
        <v>201.00901430842598</v>
      </c>
      <c r="G68" s="256">
        <f t="shared" si="27"/>
        <v>168.10910020449893</v>
      </c>
      <c r="H68" s="256">
        <f t="shared" si="27"/>
        <v>104.51666666666664</v>
      </c>
      <c r="I68" s="256">
        <f t="shared" si="27"/>
        <v>0</v>
      </c>
      <c r="J68" s="256">
        <f t="shared" si="27"/>
        <v>0</v>
      </c>
      <c r="K68" s="256">
        <f t="shared" si="27"/>
        <v>0</v>
      </c>
      <c r="L68" s="256">
        <f t="shared" si="27"/>
        <v>0</v>
      </c>
      <c r="M68" s="256">
        <f t="shared" si="27"/>
        <v>0</v>
      </c>
      <c r="N68" s="256">
        <f t="shared" si="27"/>
        <v>0</v>
      </c>
    </row>
  </sheetData>
  <mergeCells count="1">
    <mergeCell ref="C2:N2"/>
  </mergeCells>
  <conditionalFormatting sqref="A9:N11 B13:B20 A62">
    <cfRule type="cellIs" dxfId="28" priority="19" operator="greaterThan">
      <formula>0</formula>
    </cfRule>
  </conditionalFormatting>
  <conditionalFormatting sqref="C7:N7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:N15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7:N17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8:N18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N20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8:N38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5:N55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7:N57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8:N6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:O33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4:O34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9:O39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8:O58">
    <cfRule type="colorScale" priority="3">
      <colorScale>
        <cfvo type="min"/>
        <cfvo type="max"/>
        <color rgb="FFFCFCFF"/>
        <color rgb="FF63BE7B"/>
      </colorScale>
    </cfRule>
  </conditionalFormatting>
  <conditionalFormatting sqref="C59:O59">
    <cfRule type="colorScale" priority="2">
      <colorScale>
        <cfvo type="min"/>
        <cfvo type="max"/>
        <color rgb="FFFCFCFF"/>
        <color rgb="FF63BE7B"/>
      </colorScale>
    </cfRule>
  </conditionalFormatting>
  <conditionalFormatting sqref="C62:O62">
    <cfRule type="cellIs" dxfId="27" priority="18" operator="lessThan">
      <formula>0</formula>
    </cfRule>
  </conditionalFormatting>
  <conditionalFormatting sqref="O4:O23">
    <cfRule type="cellIs" dxfId="26" priority="1" operator="lessThan">
      <formula>0</formula>
    </cfRule>
  </conditionalFormatting>
  <conditionalFormatting sqref="O25:O30 A53:O53 O54:O55 A57:O58 C60:N60 A60:B64">
    <cfRule type="cellIs" dxfId="25" priority="20" operator="lessThan">
      <formula>0</formula>
    </cfRule>
  </conditionalFormatting>
  <pageMargins left="0.7" right="0.7" top="0.75" bottom="0.75" header="0" footer="0"/>
  <pageSetup paperSize="9" orientation="portrait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42739-2487-4663-88F9-F1E7D0FA2D3D}">
  <sheetPr>
    <tabColor rgb="FF0066FF"/>
  </sheetPr>
  <dimension ref="A1:BD76"/>
  <sheetViews>
    <sheetView showZero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X34" sqref="X34"/>
    </sheetView>
  </sheetViews>
  <sheetFormatPr defaultColWidth="14.42578125" defaultRowHeight="15" customHeight="1" x14ac:dyDescent="0.25"/>
  <cols>
    <col min="1" max="1" width="24.42578125" style="105" customWidth="1"/>
    <col min="2" max="2" width="38.7109375" style="105" bestFit="1" customWidth="1"/>
    <col min="3" max="15" width="10.85546875" style="105" customWidth="1"/>
    <col min="16" max="16" width="11.5703125" style="105" customWidth="1"/>
    <col min="17" max="19" width="10.85546875" style="105" customWidth="1"/>
    <col min="20" max="20" width="11.5703125" style="105" customWidth="1"/>
    <col min="21" max="23" width="10.85546875" style="105" customWidth="1"/>
    <col min="24" max="24" width="10.85546875" style="544" customWidth="1"/>
    <col min="25" max="55" width="10.85546875" style="105" customWidth="1"/>
    <col min="56" max="56" width="14.42578125" style="213"/>
    <col min="57" max="16384" width="14.42578125" style="105"/>
  </cols>
  <sheetData>
    <row r="1" spans="1:56" s="112" customFormat="1" ht="54" customHeight="1" x14ac:dyDescent="0.25">
      <c r="A1" s="521" t="s">
        <v>95</v>
      </c>
      <c r="B1" s="522"/>
      <c r="C1" s="108">
        <f>'PL WB (нед)'!C1</f>
        <v>1</v>
      </c>
      <c r="D1" s="108">
        <f>'PL WB (нед)'!D1</f>
        <v>2</v>
      </c>
      <c r="E1" s="108">
        <f>'PL WB (нед)'!E1</f>
        <v>3</v>
      </c>
      <c r="F1" s="108">
        <f>'PL WB (нед)'!F1</f>
        <v>4</v>
      </c>
      <c r="G1" s="108">
        <f>'PL WB (нед)'!G1</f>
        <v>5</v>
      </c>
      <c r="H1" s="108">
        <f>'PL WB (нед)'!H1</f>
        <v>6</v>
      </c>
      <c r="I1" s="108">
        <f>'PL WB (нед)'!I1</f>
        <v>7</v>
      </c>
      <c r="J1" s="108">
        <f>'PL WB (нед)'!J1</f>
        <v>8</v>
      </c>
      <c r="K1" s="108">
        <f>'PL WB (нед)'!K1</f>
        <v>9</v>
      </c>
      <c r="L1" s="108">
        <f>'PL WB (нед)'!L1</f>
        <v>10</v>
      </c>
      <c r="M1" s="108">
        <f>'PL WB (нед)'!M1</f>
        <v>11</v>
      </c>
      <c r="N1" s="108">
        <f>'PL WB (нед)'!N1</f>
        <v>12</v>
      </c>
      <c r="O1" s="108">
        <f>'PL WB (нед)'!O1</f>
        <v>13</v>
      </c>
      <c r="P1" s="108">
        <f>'PL WB (нед)'!P1</f>
        <v>14</v>
      </c>
      <c r="Q1" s="108">
        <f>'PL WB (нед)'!Q1</f>
        <v>15</v>
      </c>
      <c r="R1" s="108">
        <f>'PL WB (нед)'!R1</f>
        <v>16</v>
      </c>
      <c r="S1" s="108">
        <f>'PL WB (нед)'!S1</f>
        <v>17</v>
      </c>
      <c r="T1" s="108">
        <f>'PL WB (нед)'!T1</f>
        <v>18</v>
      </c>
      <c r="U1" s="108">
        <f>'PL WB (нед)'!U1</f>
        <v>19</v>
      </c>
      <c r="V1" s="108">
        <f>'PL WB (нед)'!V1</f>
        <v>20</v>
      </c>
      <c r="W1" s="108">
        <f>'PL WB (нед)'!W1</f>
        <v>21</v>
      </c>
      <c r="X1" s="108">
        <f>'PL WB (нед)'!X1</f>
        <v>22</v>
      </c>
      <c r="Y1" s="108">
        <f>'PL WB (нед)'!Y1</f>
        <v>23</v>
      </c>
      <c r="Z1" s="108">
        <f>'PL WB (нед)'!Z1</f>
        <v>24</v>
      </c>
      <c r="AA1" s="108">
        <f>'PL WB (нед)'!AA1</f>
        <v>25</v>
      </c>
      <c r="AB1" s="108">
        <f>'PL WB (нед)'!AB1</f>
        <v>26</v>
      </c>
      <c r="AC1" s="108">
        <f>'PL WB (нед)'!AC1</f>
        <v>27</v>
      </c>
      <c r="AD1" s="108">
        <f>'PL WB (нед)'!AD1</f>
        <v>28</v>
      </c>
      <c r="AE1" s="108">
        <f>'PL WB (нед)'!AE1</f>
        <v>29</v>
      </c>
      <c r="AF1" s="108">
        <f>'PL WB (нед)'!AF1</f>
        <v>30</v>
      </c>
      <c r="AG1" s="108">
        <f>'PL WB (нед)'!AG1</f>
        <v>31</v>
      </c>
      <c r="AH1" s="108">
        <f>'PL WB (нед)'!AH1</f>
        <v>32</v>
      </c>
      <c r="AI1" s="108">
        <f>'PL WB (нед)'!AI1</f>
        <v>33</v>
      </c>
      <c r="AJ1" s="108">
        <f>'PL WB (нед)'!AJ1</f>
        <v>34</v>
      </c>
      <c r="AK1" s="108">
        <f>'PL WB (нед)'!AK1</f>
        <v>35</v>
      </c>
      <c r="AL1" s="108">
        <f>'PL WB (нед)'!AL1</f>
        <v>36</v>
      </c>
      <c r="AM1" s="108">
        <f>'PL WB (нед)'!AM1</f>
        <v>37</v>
      </c>
      <c r="AN1" s="108">
        <f>'PL WB (нед)'!AN1</f>
        <v>38</v>
      </c>
      <c r="AO1" s="108">
        <f>'PL WB (нед)'!AO1</f>
        <v>39</v>
      </c>
      <c r="AP1" s="108">
        <f>'PL WB (нед)'!AP1</f>
        <v>40</v>
      </c>
      <c r="AQ1" s="108">
        <f>'PL WB (нед)'!AQ1</f>
        <v>41</v>
      </c>
      <c r="AR1" s="108">
        <f>'PL WB (нед)'!AR1</f>
        <v>42</v>
      </c>
      <c r="AS1" s="108">
        <f>'PL WB (нед)'!AS1</f>
        <v>43</v>
      </c>
      <c r="AT1" s="108">
        <f>'PL WB (нед)'!AT1</f>
        <v>44</v>
      </c>
      <c r="AU1" s="108">
        <f>'PL WB (нед)'!AU1</f>
        <v>45</v>
      </c>
      <c r="AV1" s="108">
        <f>'PL WB (нед)'!AV1</f>
        <v>46</v>
      </c>
      <c r="AW1" s="108">
        <f>'PL WB (нед)'!AW1</f>
        <v>47</v>
      </c>
      <c r="AX1" s="108">
        <f>'PL WB (нед)'!AX1</f>
        <v>48</v>
      </c>
      <c r="AY1" s="108">
        <f>'PL WB (нед)'!AY1</f>
        <v>49</v>
      </c>
      <c r="AZ1" s="108">
        <f>'PL WB (нед)'!AZ1</f>
        <v>50</v>
      </c>
      <c r="BA1" s="108">
        <f>'PL WB (нед)'!BA1</f>
        <v>51</v>
      </c>
      <c r="BB1" s="108">
        <f>'PL WB (нед)'!BB1</f>
        <v>52</v>
      </c>
      <c r="BC1" s="425" t="str">
        <f>'PL WB (нед)'!BC1</f>
        <v>Остаток года</v>
      </c>
      <c r="BD1" s="413"/>
    </row>
    <row r="2" spans="1:56" ht="13.5" customHeight="1" x14ac:dyDescent="0.25">
      <c r="A2" s="238" t="s">
        <v>60</v>
      </c>
      <c r="B2" s="113"/>
      <c r="C2" s="520" t="s">
        <v>5</v>
      </c>
      <c r="D2" s="518"/>
      <c r="E2" s="518"/>
      <c r="F2" s="518"/>
      <c r="G2" s="518"/>
      <c r="H2" s="520" t="s">
        <v>6</v>
      </c>
      <c r="I2" s="518"/>
      <c r="J2" s="518"/>
      <c r="K2" s="518"/>
      <c r="L2" s="520" t="s">
        <v>7</v>
      </c>
      <c r="M2" s="518"/>
      <c r="N2" s="518"/>
      <c r="O2" s="518"/>
      <c r="P2" s="523" t="s">
        <v>8</v>
      </c>
      <c r="Q2" s="524"/>
      <c r="R2" s="524"/>
      <c r="S2" s="525"/>
      <c r="T2" s="520" t="s">
        <v>9</v>
      </c>
      <c r="U2" s="518"/>
      <c r="V2" s="518"/>
      <c r="W2" s="518"/>
      <c r="X2" s="518"/>
      <c r="Y2" s="520" t="s">
        <v>10</v>
      </c>
      <c r="Z2" s="518"/>
      <c r="AA2" s="518"/>
      <c r="AB2" s="518"/>
      <c r="AC2" s="517" t="s">
        <v>11</v>
      </c>
      <c r="AD2" s="518"/>
      <c r="AE2" s="518"/>
      <c r="AF2" s="518"/>
      <c r="AG2" s="517" t="s">
        <v>12</v>
      </c>
      <c r="AH2" s="518"/>
      <c r="AI2" s="518"/>
      <c r="AJ2" s="518"/>
      <c r="AK2" s="518"/>
      <c r="AL2" s="517" t="s">
        <v>13</v>
      </c>
      <c r="AM2" s="518"/>
      <c r="AN2" s="518"/>
      <c r="AO2" s="518"/>
      <c r="AP2" s="517" t="s">
        <v>14</v>
      </c>
      <c r="AQ2" s="518"/>
      <c r="AR2" s="518"/>
      <c r="AS2" s="518"/>
      <c r="AT2" s="518"/>
      <c r="AU2" s="517" t="s">
        <v>15</v>
      </c>
      <c r="AV2" s="518"/>
      <c r="AW2" s="518"/>
      <c r="AX2" s="519"/>
      <c r="AY2" s="403" t="s">
        <v>16</v>
      </c>
      <c r="AZ2" s="404"/>
      <c r="BA2" s="404"/>
      <c r="BB2" s="404"/>
      <c r="BC2" s="404"/>
      <c r="BD2" s="414"/>
    </row>
    <row r="3" spans="1:56" s="239" customFormat="1" ht="13.5" customHeight="1" x14ac:dyDescent="0.25">
      <c r="B3" s="240"/>
      <c r="C3" s="337" t="str">
        <f>'PL WB (нед)'!C3</f>
        <v>01.01-04.01</v>
      </c>
      <c r="D3" s="337" t="str">
        <f>'PL WB (нед)'!D3</f>
        <v>05.01-11.01</v>
      </c>
      <c r="E3" s="337" t="str">
        <f>'PL WB (нед)'!E3</f>
        <v>12.01-18.01</v>
      </c>
      <c r="F3" s="337" t="str">
        <f>'PL WB (нед)'!F3</f>
        <v>19.01-25.01</v>
      </c>
      <c r="G3" s="337" t="str">
        <f>'PL WB (нед)'!G3</f>
        <v>26.01-01.02</v>
      </c>
      <c r="H3" s="337" t="str">
        <f>'PL WB (нед)'!H3</f>
        <v>02.02-08.02</v>
      </c>
      <c r="I3" s="337" t="str">
        <f>'PL WB (нед)'!I3</f>
        <v>09.02-15.02</v>
      </c>
      <c r="J3" s="337" t="str">
        <f>'PL WB (нед)'!J3</f>
        <v>16.02-22.02</v>
      </c>
      <c r="K3" s="337" t="str">
        <f>'PL WB (нед)'!K3</f>
        <v>23.02-01.03</v>
      </c>
      <c r="L3" s="337" t="str">
        <f>'PL WB (нед)'!L3</f>
        <v>02.03-08.03</v>
      </c>
      <c r="M3" s="337" t="str">
        <f>'PL WB (нед)'!M3</f>
        <v>09.03-15.03</v>
      </c>
      <c r="N3" s="337" t="str">
        <f>'PL WB (нед)'!N3</f>
        <v>16.03-22.03</v>
      </c>
      <c r="O3" s="337" t="str">
        <f>'PL WB (нед)'!O3</f>
        <v>23.03-29.03</v>
      </c>
      <c r="P3" s="337" t="str">
        <f>'PL WB (нед)'!P3</f>
        <v>30.03-05.04</v>
      </c>
      <c r="Q3" s="337" t="str">
        <f>'PL WB (нед)'!Q3</f>
        <v>06.04-12.04</v>
      </c>
      <c r="R3" s="337" t="str">
        <f>'PL WB (нед)'!R3</f>
        <v>13.04-19.04</v>
      </c>
      <c r="S3" s="337" t="str">
        <f>'PL WB (нед)'!S3</f>
        <v>20.04-26.04</v>
      </c>
      <c r="T3" s="337" t="str">
        <f>'PL WB (нед)'!T3</f>
        <v>27.04-01.05</v>
      </c>
      <c r="U3" s="337" t="str">
        <f>'PL WB (нед)'!U3</f>
        <v>04.05-10.05</v>
      </c>
      <c r="V3" s="337" t="str">
        <f>'PL WB (нед)'!V3</f>
        <v>11.05-17.05</v>
      </c>
      <c r="W3" s="337" t="str">
        <f>'PL WB (нед)'!W3</f>
        <v>18.05-24.05</v>
      </c>
      <c r="X3" s="337" t="str">
        <f>'PL WB (нед)'!X3</f>
        <v>25.05-31.05</v>
      </c>
      <c r="Y3" s="337" t="str">
        <f>'PL WB (нед)'!Y3</f>
        <v>01.06-07.06</v>
      </c>
      <c r="Z3" s="337" t="str">
        <f>'PL WB (нед)'!Z3</f>
        <v>08.06-14.06</v>
      </c>
      <c r="AA3" s="337" t="str">
        <f>'PL WB (нед)'!AA3</f>
        <v>15.-06-21.06</v>
      </c>
      <c r="AB3" s="337" t="str">
        <f>'PL WB (нед)'!AB3</f>
        <v>22.06-28.06</v>
      </c>
      <c r="AC3" s="337">
        <f>'PL WB (нед)'!AC3</f>
        <v>0</v>
      </c>
      <c r="AD3" s="337">
        <f>'PL WB (нед)'!AD3</f>
        <v>0</v>
      </c>
      <c r="AE3" s="337">
        <f>'PL WB (нед)'!AE3</f>
        <v>0</v>
      </c>
      <c r="AF3" s="337">
        <f>'PL WB (нед)'!AF3</f>
        <v>0</v>
      </c>
      <c r="AG3" s="337">
        <f>'PL WB (нед)'!AG3</f>
        <v>0</v>
      </c>
      <c r="AH3" s="337">
        <f>'PL WB (нед)'!AH3</f>
        <v>0</v>
      </c>
      <c r="AI3" s="337">
        <f>'PL WB (нед)'!AI3</f>
        <v>0</v>
      </c>
      <c r="AJ3" s="337">
        <f>'PL WB (нед)'!AJ3</f>
        <v>0</v>
      </c>
      <c r="AK3" s="337">
        <f>'PL WB (нед)'!AK3</f>
        <v>0</v>
      </c>
      <c r="AL3" s="337">
        <f>'PL WB (нед)'!AL3</f>
        <v>0</v>
      </c>
      <c r="AM3" s="337">
        <f>'PL WB (нед)'!AM3</f>
        <v>0</v>
      </c>
      <c r="AN3" s="337">
        <f>'PL WB (нед)'!AN3</f>
        <v>0</v>
      </c>
      <c r="AO3" s="337">
        <f>'PL WB (нед)'!AO3</f>
        <v>0</v>
      </c>
      <c r="AP3" s="337">
        <f>'PL WB (нед)'!AP3</f>
        <v>0</v>
      </c>
      <c r="AQ3" s="337">
        <f>'PL WB (нед)'!AQ3</f>
        <v>0</v>
      </c>
      <c r="AR3" s="337">
        <f>'PL WB (нед)'!AR3</f>
        <v>0</v>
      </c>
      <c r="AS3" s="337">
        <f>'PL WB (нед)'!AS3</f>
        <v>0</v>
      </c>
      <c r="AT3" s="337">
        <f>'PL WB (нед)'!AT3</f>
        <v>0</v>
      </c>
      <c r="AU3" s="337">
        <f>'PL WB (нед)'!AU3</f>
        <v>0</v>
      </c>
      <c r="AV3" s="337">
        <f>'PL WB (нед)'!AV3</f>
        <v>0</v>
      </c>
      <c r="AW3" s="337">
        <f>'PL WB (нед)'!AW3</f>
        <v>0</v>
      </c>
      <c r="AX3" s="337">
        <f>'PL WB (нед)'!AX3</f>
        <v>0</v>
      </c>
      <c r="AY3" s="337">
        <f>'PL WB (нед)'!AY3</f>
        <v>0</v>
      </c>
      <c r="AZ3" s="337">
        <f>'PL WB (нед)'!AZ3</f>
        <v>0</v>
      </c>
      <c r="BA3" s="337">
        <f>'PL WB (нед)'!BA3</f>
        <v>0</v>
      </c>
      <c r="BB3" s="337">
        <f>'PL WB (нед)'!BB3</f>
        <v>0</v>
      </c>
      <c r="BC3" s="405" t="s">
        <v>129</v>
      </c>
      <c r="BD3" s="415"/>
    </row>
    <row r="4" spans="1:56" ht="13.5" customHeight="1" x14ac:dyDescent="0.25">
      <c r="A4" s="241" t="s">
        <v>17</v>
      </c>
      <c r="B4" s="242"/>
      <c r="C4" s="243"/>
      <c r="D4" s="244"/>
      <c r="E4" s="244"/>
      <c r="F4" s="244"/>
      <c r="G4" s="245"/>
      <c r="H4" s="243"/>
      <c r="I4" s="244"/>
      <c r="J4" s="244"/>
      <c r="K4" s="245"/>
      <c r="L4" s="243"/>
      <c r="M4" s="244"/>
      <c r="N4" s="244"/>
      <c r="O4" s="245"/>
      <c r="P4" s="243"/>
      <c r="Q4" s="244"/>
      <c r="R4" s="244"/>
      <c r="S4" s="245"/>
      <c r="T4" s="243"/>
      <c r="U4" s="244"/>
      <c r="V4" s="244"/>
      <c r="W4" s="244"/>
      <c r="X4" s="245"/>
      <c r="Y4" s="243"/>
      <c r="Z4" s="244"/>
      <c r="AA4" s="244"/>
      <c r="AB4" s="245"/>
      <c r="AC4" s="243"/>
      <c r="AD4" s="244"/>
      <c r="AE4" s="244"/>
      <c r="AF4" s="245"/>
      <c r="AG4" s="243"/>
      <c r="AH4" s="244"/>
      <c r="AI4" s="244"/>
      <c r="AJ4" s="244"/>
      <c r="AK4" s="245"/>
      <c r="AL4" s="243"/>
      <c r="AM4" s="244"/>
      <c r="AN4" s="244"/>
      <c r="AO4" s="245"/>
      <c r="AP4" s="243"/>
      <c r="AQ4" s="244"/>
      <c r="AR4" s="244"/>
      <c r="AS4" s="244"/>
      <c r="AT4" s="245"/>
      <c r="AU4" s="243"/>
      <c r="AV4" s="244"/>
      <c r="AW4" s="244"/>
      <c r="AX4" s="242"/>
      <c r="AY4" s="243"/>
      <c r="AZ4" s="244"/>
      <c r="BA4" s="244"/>
      <c r="BB4" s="244"/>
      <c r="BC4" s="244"/>
      <c r="BD4" s="414"/>
    </row>
    <row r="5" spans="1:56" ht="13.5" customHeight="1" x14ac:dyDescent="0.25">
      <c r="A5" s="114" t="s">
        <v>18</v>
      </c>
      <c r="B5" s="115"/>
      <c r="C5" s="116">
        <v>239068.58</v>
      </c>
      <c r="D5" s="117">
        <f>C12</f>
        <v>235066.58</v>
      </c>
      <c r="E5" s="117">
        <f t="shared" ref="E5:AZ5" si="0">D12</f>
        <v>219001.58</v>
      </c>
      <c r="F5" s="117">
        <f t="shared" si="0"/>
        <v>201900.58</v>
      </c>
      <c r="G5" s="118">
        <f t="shared" si="0"/>
        <v>184577.58</v>
      </c>
      <c r="H5" s="119">
        <f t="shared" si="0"/>
        <v>167411.57999999999</v>
      </c>
      <c r="I5" s="117">
        <f t="shared" si="0"/>
        <v>155448.57999999999</v>
      </c>
      <c r="J5" s="117">
        <f t="shared" si="0"/>
        <v>143723.57999999999</v>
      </c>
      <c r="K5" s="118">
        <f t="shared" si="0"/>
        <v>126685.57999999999</v>
      </c>
      <c r="L5" s="119">
        <f t="shared" si="0"/>
        <v>117505.57999999999</v>
      </c>
      <c r="M5" s="117">
        <f t="shared" si="0"/>
        <v>107464.57999999999</v>
      </c>
      <c r="N5" s="117">
        <f t="shared" si="0"/>
        <v>98206.579999999987</v>
      </c>
      <c r="O5" s="118">
        <f t="shared" si="0"/>
        <v>91101.579999999987</v>
      </c>
      <c r="P5" s="119">
        <f t="shared" si="0"/>
        <v>85520.579999999987</v>
      </c>
      <c r="Q5" s="117">
        <f t="shared" si="0"/>
        <v>81035.579999999987</v>
      </c>
      <c r="R5" s="117">
        <f t="shared" si="0"/>
        <v>74900.579999999987</v>
      </c>
      <c r="S5" s="118">
        <f t="shared" si="0"/>
        <v>67587.579999999987</v>
      </c>
      <c r="T5" s="119">
        <f t="shared" si="0"/>
        <v>67587.579999999987</v>
      </c>
      <c r="U5" s="117">
        <f>T12</f>
        <v>67587.579999999987</v>
      </c>
      <c r="V5" s="117">
        <f>U12</f>
        <v>67587.579999999987</v>
      </c>
      <c r="W5" s="117">
        <f t="shared" si="0"/>
        <v>67587.579999999987</v>
      </c>
      <c r="X5" s="118">
        <f t="shared" si="0"/>
        <v>67587.579999999987</v>
      </c>
      <c r="Y5" s="119">
        <f t="shared" si="0"/>
        <v>46827.439999999988</v>
      </c>
      <c r="Z5" s="117">
        <f t="shared" si="0"/>
        <v>46827.439999999988</v>
      </c>
      <c r="AA5" s="117">
        <f t="shared" si="0"/>
        <v>46827.439999999988</v>
      </c>
      <c r="AB5" s="118">
        <f t="shared" si="0"/>
        <v>46827.439999999988</v>
      </c>
      <c r="AC5" s="119">
        <f t="shared" si="0"/>
        <v>46827.439999999988</v>
      </c>
      <c r="AD5" s="117">
        <f t="shared" si="0"/>
        <v>46827.439999999988</v>
      </c>
      <c r="AE5" s="117">
        <f t="shared" si="0"/>
        <v>46827.439999999988</v>
      </c>
      <c r="AF5" s="118">
        <f t="shared" si="0"/>
        <v>46827.439999999988</v>
      </c>
      <c r="AG5" s="119">
        <f t="shared" si="0"/>
        <v>46827.439999999988</v>
      </c>
      <c r="AH5" s="117">
        <f t="shared" si="0"/>
        <v>46827.439999999988</v>
      </c>
      <c r="AI5" s="117">
        <f t="shared" si="0"/>
        <v>46827.439999999988</v>
      </c>
      <c r="AJ5" s="117">
        <f t="shared" si="0"/>
        <v>46827.439999999988</v>
      </c>
      <c r="AK5" s="118">
        <f t="shared" si="0"/>
        <v>46827.439999999988</v>
      </c>
      <c r="AL5" s="119">
        <f t="shared" si="0"/>
        <v>46827.439999999988</v>
      </c>
      <c r="AM5" s="117">
        <f t="shared" si="0"/>
        <v>46827.439999999988</v>
      </c>
      <c r="AN5" s="117">
        <f t="shared" si="0"/>
        <v>46827.439999999988</v>
      </c>
      <c r="AO5" s="118">
        <f t="shared" si="0"/>
        <v>46827.439999999988</v>
      </c>
      <c r="AP5" s="119">
        <f t="shared" si="0"/>
        <v>46827.439999999988</v>
      </c>
      <c r="AQ5" s="117">
        <f t="shared" si="0"/>
        <v>46827.439999999988</v>
      </c>
      <c r="AR5" s="117">
        <f t="shared" si="0"/>
        <v>46827.439999999988</v>
      </c>
      <c r="AS5" s="117">
        <f t="shared" si="0"/>
        <v>46827.439999999988</v>
      </c>
      <c r="AT5" s="118">
        <f t="shared" si="0"/>
        <v>46827.439999999988</v>
      </c>
      <c r="AU5" s="119">
        <f t="shared" si="0"/>
        <v>46827.439999999988</v>
      </c>
      <c r="AV5" s="117">
        <f>AU12</f>
        <v>46827.439999999988</v>
      </c>
      <c r="AW5" s="117">
        <f t="shared" si="0"/>
        <v>46827.439999999988</v>
      </c>
      <c r="AX5" s="115">
        <f t="shared" si="0"/>
        <v>46827.439999999988</v>
      </c>
      <c r="AY5" s="119">
        <f t="shared" si="0"/>
        <v>46827.439999999988</v>
      </c>
      <c r="AZ5" s="117">
        <f t="shared" si="0"/>
        <v>46827.439999999988</v>
      </c>
      <c r="BA5" s="117">
        <f>AZ12</f>
        <v>46827.439999999988</v>
      </c>
      <c r="BB5" s="117">
        <f>BA12</f>
        <v>46827.439999999988</v>
      </c>
      <c r="BC5" s="117">
        <f>BB12</f>
        <v>46827.439999999988</v>
      </c>
      <c r="BD5" s="416"/>
    </row>
    <row r="6" spans="1:56" ht="13.5" customHeight="1" x14ac:dyDescent="0.25">
      <c r="A6" s="114"/>
      <c r="B6" s="120"/>
      <c r="C6" s="119"/>
      <c r="D6" s="117"/>
      <c r="E6" s="117"/>
      <c r="F6" s="117"/>
      <c r="G6" s="118"/>
      <c r="H6" s="119"/>
      <c r="I6" s="117"/>
      <c r="J6" s="117"/>
      <c r="K6" s="118"/>
      <c r="L6" s="119"/>
      <c r="M6" s="117"/>
      <c r="N6" s="117"/>
      <c r="O6" s="118"/>
      <c r="P6" s="119"/>
      <c r="Q6" s="117"/>
      <c r="R6" s="117"/>
      <c r="S6" s="118"/>
      <c r="T6" s="119"/>
      <c r="U6" s="117"/>
      <c r="V6" s="117"/>
      <c r="W6" s="117"/>
      <c r="X6" s="118"/>
      <c r="Y6" s="119"/>
      <c r="Z6" s="117"/>
      <c r="AA6" s="117"/>
      <c r="AB6" s="118"/>
      <c r="AC6" s="119"/>
      <c r="AD6" s="117"/>
      <c r="AE6" s="117"/>
      <c r="AF6" s="118"/>
      <c r="AG6" s="119"/>
      <c r="AH6" s="117"/>
      <c r="AI6" s="117"/>
      <c r="AJ6" s="117"/>
      <c r="AK6" s="118"/>
      <c r="AL6" s="119"/>
      <c r="AM6" s="117"/>
      <c r="AN6" s="117"/>
      <c r="AO6" s="118"/>
      <c r="AP6" s="119"/>
      <c r="AQ6" s="117"/>
      <c r="AR6" s="117"/>
      <c r="AS6" s="117"/>
      <c r="AT6" s="118"/>
      <c r="AU6" s="119"/>
      <c r="AV6" s="117"/>
      <c r="AW6" s="117"/>
      <c r="AX6" s="115"/>
      <c r="AY6" s="119"/>
      <c r="AZ6" s="117"/>
      <c r="BA6" s="117"/>
      <c r="BB6" s="117"/>
      <c r="BC6" s="117"/>
      <c r="BD6" s="416">
        <f t="shared" ref="BD6" si="1">SUM(C6:BC6)</f>
        <v>0</v>
      </c>
    </row>
    <row r="7" spans="1:56" ht="13.5" customHeight="1" x14ac:dyDescent="0.25">
      <c r="A7" s="121" t="s">
        <v>19</v>
      </c>
      <c r="C7" s="116">
        <v>38</v>
      </c>
      <c r="D7" s="122">
        <v>144</v>
      </c>
      <c r="E7" s="122">
        <v>134</v>
      </c>
      <c r="F7" s="122">
        <v>147</v>
      </c>
      <c r="G7" s="123">
        <v>143</v>
      </c>
      <c r="H7" s="124">
        <v>106</v>
      </c>
      <c r="I7" s="125">
        <v>101</v>
      </c>
      <c r="J7" s="125">
        <v>113</v>
      </c>
      <c r="K7" s="126">
        <v>70</v>
      </c>
      <c r="L7" s="124">
        <v>79</v>
      </c>
      <c r="M7" s="125">
        <v>68</v>
      </c>
      <c r="N7" s="125">
        <v>51</v>
      </c>
      <c r="O7" s="126">
        <v>40</v>
      </c>
      <c r="P7" s="124">
        <v>33</v>
      </c>
      <c r="Q7" s="125">
        <v>38</v>
      </c>
      <c r="R7" s="125">
        <v>51</v>
      </c>
      <c r="S7" s="126">
        <v>53</v>
      </c>
      <c r="T7" s="124"/>
      <c r="U7" s="125"/>
      <c r="V7" s="125"/>
      <c r="W7" s="125"/>
      <c r="X7" s="126">
        <v>131</v>
      </c>
      <c r="Y7" s="124"/>
      <c r="Z7" s="125"/>
      <c r="AA7" s="125"/>
      <c r="AB7" s="126"/>
      <c r="AC7" s="124"/>
      <c r="AD7" s="125"/>
      <c r="AE7" s="125"/>
      <c r="AF7" s="126"/>
      <c r="AG7" s="124"/>
      <c r="AH7" s="125"/>
      <c r="AI7" s="125"/>
      <c r="AJ7" s="125"/>
      <c r="AK7" s="126"/>
      <c r="AL7" s="124"/>
      <c r="AM7" s="125"/>
      <c r="AN7" s="125"/>
      <c r="AO7" s="126"/>
      <c r="AP7" s="124"/>
      <c r="AQ7" s="125"/>
      <c r="AR7" s="125"/>
      <c r="AS7" s="125"/>
      <c r="AT7" s="126"/>
      <c r="AU7" s="124"/>
      <c r="AV7" s="125"/>
      <c r="AW7" s="125"/>
      <c r="AX7" s="322"/>
      <c r="AY7" s="124"/>
      <c r="AZ7" s="125"/>
      <c r="BA7" s="125"/>
      <c r="BB7" s="125"/>
      <c r="BC7" s="125"/>
      <c r="BD7" s="416">
        <f>SUM(C7:BC7)</f>
        <v>1540</v>
      </c>
    </row>
    <row r="8" spans="1:56" x14ac:dyDescent="0.25">
      <c r="A8" s="120" t="s">
        <v>20</v>
      </c>
      <c r="C8" s="119">
        <f>C33</f>
        <v>4002</v>
      </c>
      <c r="D8" s="119">
        <f t="shared" ref="D8:BB8" si="2">D33</f>
        <v>16065</v>
      </c>
      <c r="E8" s="119">
        <f t="shared" si="2"/>
        <v>17101</v>
      </c>
      <c r="F8" s="119">
        <f t="shared" si="2"/>
        <v>17323</v>
      </c>
      <c r="G8" s="119">
        <f t="shared" si="2"/>
        <v>17166</v>
      </c>
      <c r="H8" s="119">
        <f t="shared" si="2"/>
        <v>11963</v>
      </c>
      <c r="I8" s="119">
        <f t="shared" si="2"/>
        <v>11725</v>
      </c>
      <c r="J8" s="119">
        <f t="shared" si="2"/>
        <v>17038</v>
      </c>
      <c r="K8" s="119">
        <f t="shared" si="2"/>
        <v>9180</v>
      </c>
      <c r="L8" s="119">
        <f>L33</f>
        <v>10041</v>
      </c>
      <c r="M8" s="119">
        <f t="shared" si="2"/>
        <v>9258</v>
      </c>
      <c r="N8" s="119">
        <f t="shared" si="2"/>
        <v>7105</v>
      </c>
      <c r="O8" s="119">
        <f t="shared" si="2"/>
        <v>5581</v>
      </c>
      <c r="P8" s="119">
        <f t="shared" si="2"/>
        <v>4485</v>
      </c>
      <c r="Q8" s="119">
        <f t="shared" si="2"/>
        <v>6135</v>
      </c>
      <c r="R8" s="119">
        <f>R33</f>
        <v>7313</v>
      </c>
      <c r="S8" s="119">
        <f t="shared" si="2"/>
        <v>0</v>
      </c>
      <c r="T8" s="119">
        <f t="shared" si="2"/>
        <v>0</v>
      </c>
      <c r="U8" s="119">
        <f t="shared" si="2"/>
        <v>0</v>
      </c>
      <c r="V8" s="119">
        <f t="shared" si="2"/>
        <v>0</v>
      </c>
      <c r="W8" s="119">
        <f t="shared" si="2"/>
        <v>0</v>
      </c>
      <c r="X8" s="119">
        <f t="shared" si="2"/>
        <v>20760.14</v>
      </c>
      <c r="Y8" s="119">
        <f t="shared" si="2"/>
        <v>0</v>
      </c>
      <c r="Z8" s="119">
        <f t="shared" si="2"/>
        <v>0</v>
      </c>
      <c r="AA8" s="119">
        <f t="shared" si="2"/>
        <v>0</v>
      </c>
      <c r="AB8" s="119">
        <f t="shared" si="2"/>
        <v>0</v>
      </c>
      <c r="AC8" s="119">
        <f t="shared" si="2"/>
        <v>0</v>
      </c>
      <c r="AD8" s="119">
        <f t="shared" si="2"/>
        <v>0</v>
      </c>
      <c r="AE8" s="119">
        <f t="shared" si="2"/>
        <v>0</v>
      </c>
      <c r="AF8" s="119">
        <f t="shared" si="2"/>
        <v>0</v>
      </c>
      <c r="AG8" s="119">
        <f t="shared" si="2"/>
        <v>0</v>
      </c>
      <c r="AH8" s="119">
        <f t="shared" si="2"/>
        <v>0</v>
      </c>
      <c r="AI8" s="119">
        <f t="shared" si="2"/>
        <v>0</v>
      </c>
      <c r="AJ8" s="119">
        <f t="shared" si="2"/>
        <v>0</v>
      </c>
      <c r="AK8" s="119">
        <f t="shared" si="2"/>
        <v>0</v>
      </c>
      <c r="AL8" s="119">
        <f t="shared" si="2"/>
        <v>0</v>
      </c>
      <c r="AM8" s="119">
        <f t="shared" si="2"/>
        <v>0</v>
      </c>
      <c r="AN8" s="119">
        <f t="shared" si="2"/>
        <v>0</v>
      </c>
      <c r="AO8" s="119">
        <f t="shared" si="2"/>
        <v>0</v>
      </c>
      <c r="AP8" s="119">
        <f t="shared" si="2"/>
        <v>0</v>
      </c>
      <c r="AQ8" s="119">
        <f t="shared" si="2"/>
        <v>0</v>
      </c>
      <c r="AR8" s="119">
        <f t="shared" si="2"/>
        <v>0</v>
      </c>
      <c r="AS8" s="119">
        <f t="shared" si="2"/>
        <v>0</v>
      </c>
      <c r="AT8" s="119">
        <f t="shared" si="2"/>
        <v>0</v>
      </c>
      <c r="AU8" s="119">
        <f t="shared" si="2"/>
        <v>0</v>
      </c>
      <c r="AV8" s="119">
        <f t="shared" si="2"/>
        <v>0</v>
      </c>
      <c r="AW8" s="119">
        <f t="shared" si="2"/>
        <v>0</v>
      </c>
      <c r="AX8" s="119">
        <f t="shared" si="2"/>
        <v>0</v>
      </c>
      <c r="AY8" s="119">
        <f t="shared" si="2"/>
        <v>0</v>
      </c>
      <c r="AZ8" s="119">
        <f t="shared" si="2"/>
        <v>0</v>
      </c>
      <c r="BA8" s="119">
        <f t="shared" si="2"/>
        <v>0</v>
      </c>
      <c r="BB8" s="119">
        <f t="shared" si="2"/>
        <v>0</v>
      </c>
      <c r="BC8" s="119">
        <f>BC33</f>
        <v>0</v>
      </c>
      <c r="BD8" s="416">
        <f t="shared" ref="BD8:BD71" si="3">SUM(C8:BC8)</f>
        <v>192241.14</v>
      </c>
    </row>
    <row r="9" spans="1:56" ht="13.5" customHeight="1" x14ac:dyDescent="0.25">
      <c r="A9" s="114"/>
      <c r="B9" s="115"/>
      <c r="C9" s="119"/>
      <c r="D9" s="117"/>
      <c r="E9" s="117"/>
      <c r="F9" s="117"/>
      <c r="G9" s="118"/>
      <c r="H9" s="119"/>
      <c r="I9" s="117"/>
      <c r="J9" s="117"/>
      <c r="K9" s="118"/>
      <c r="L9" s="119"/>
      <c r="M9" s="117"/>
      <c r="N9" s="117"/>
      <c r="O9" s="118"/>
      <c r="P9" s="119"/>
      <c r="Q9" s="117"/>
      <c r="R9" s="117"/>
      <c r="S9" s="118"/>
      <c r="T9" s="119"/>
      <c r="U9" s="117"/>
      <c r="V9" s="117"/>
      <c r="W9" s="117"/>
      <c r="X9" s="118"/>
      <c r="Y9" s="119"/>
      <c r="Z9" s="117"/>
      <c r="AA9" s="117"/>
      <c r="AB9" s="118"/>
      <c r="AC9" s="119"/>
      <c r="AD9" s="117"/>
      <c r="AE9" s="117"/>
      <c r="AF9" s="118"/>
      <c r="AG9" s="119"/>
      <c r="AH9" s="117"/>
      <c r="AI9" s="117"/>
      <c r="AJ9" s="117"/>
      <c r="AK9" s="118"/>
      <c r="AL9" s="119"/>
      <c r="AM9" s="117"/>
      <c r="AN9" s="117"/>
      <c r="AO9" s="118"/>
      <c r="AP9" s="119"/>
      <c r="AQ9" s="117"/>
      <c r="AR9" s="117"/>
      <c r="AS9" s="117"/>
      <c r="AT9" s="118"/>
      <c r="AU9" s="119"/>
      <c r="AV9" s="117"/>
      <c r="AW9" s="117"/>
      <c r="AX9" s="115"/>
      <c r="AY9" s="119"/>
      <c r="AZ9" s="117"/>
      <c r="BA9" s="117"/>
      <c r="BB9" s="117"/>
      <c r="BC9" s="117"/>
      <c r="BD9" s="416">
        <f t="shared" si="3"/>
        <v>0</v>
      </c>
    </row>
    <row r="10" spans="1:56" ht="13.5" customHeight="1" x14ac:dyDescent="0.25">
      <c r="A10" s="127" t="s">
        <v>21</v>
      </c>
      <c r="B10" s="128"/>
      <c r="C10" s="116"/>
      <c r="D10" s="122"/>
      <c r="E10" s="339"/>
      <c r="F10" s="122"/>
      <c r="G10" s="123"/>
      <c r="H10" s="129"/>
      <c r="I10" s="130"/>
      <c r="J10" s="130"/>
      <c r="K10" s="342"/>
      <c r="L10" s="129"/>
      <c r="M10" s="130"/>
      <c r="N10" s="130"/>
      <c r="O10" s="131"/>
      <c r="P10" s="129"/>
      <c r="Q10" s="130"/>
      <c r="R10" s="130"/>
      <c r="S10" s="131"/>
      <c r="T10" s="129"/>
      <c r="U10" s="130"/>
      <c r="V10" s="130"/>
      <c r="W10" s="359"/>
      <c r="X10" s="362"/>
      <c r="Y10" s="129"/>
      <c r="Z10" s="130"/>
      <c r="AA10" s="130"/>
      <c r="AB10" s="131"/>
      <c r="AC10" s="129"/>
      <c r="AD10" s="130"/>
      <c r="AE10" s="359"/>
      <c r="AF10" s="131"/>
      <c r="AG10" s="129"/>
      <c r="AH10" s="130"/>
      <c r="AI10" s="130"/>
      <c r="AJ10" s="130"/>
      <c r="AK10" s="131"/>
      <c r="AL10" s="129"/>
      <c r="AM10" s="130"/>
      <c r="AN10" s="130"/>
      <c r="AO10" s="131"/>
      <c r="AP10" s="129"/>
      <c r="AQ10" s="130"/>
      <c r="AR10" s="130"/>
      <c r="AS10" s="130"/>
      <c r="AT10" s="131"/>
      <c r="AU10" s="129"/>
      <c r="AV10" s="130"/>
      <c r="AW10" s="130"/>
      <c r="AX10" s="323"/>
      <c r="AY10" s="129"/>
      <c r="AZ10" s="130"/>
      <c r="BA10" s="130"/>
      <c r="BB10" s="130"/>
      <c r="BC10" s="406"/>
      <c r="BD10" s="416">
        <f t="shared" si="3"/>
        <v>0</v>
      </c>
    </row>
    <row r="11" spans="1:56" ht="13.5" customHeight="1" x14ac:dyDescent="0.25">
      <c r="A11" s="106" t="s">
        <v>22</v>
      </c>
      <c r="B11" s="115"/>
      <c r="C11" s="116"/>
      <c r="D11" s="122"/>
      <c r="E11" s="122"/>
      <c r="F11" s="122"/>
      <c r="G11" s="123"/>
      <c r="H11" s="124"/>
      <c r="I11" s="125"/>
      <c r="J11" s="125"/>
      <c r="K11" s="122"/>
      <c r="L11" s="124"/>
      <c r="M11" s="125"/>
      <c r="N11" s="125"/>
      <c r="O11" s="126"/>
      <c r="P11" s="124"/>
      <c r="Q11" s="125"/>
      <c r="R11" s="125"/>
      <c r="S11" s="126"/>
      <c r="T11" s="124"/>
      <c r="U11" s="125"/>
      <c r="V11" s="125"/>
      <c r="W11" s="125"/>
      <c r="X11" s="126"/>
      <c r="Y11" s="124"/>
      <c r="Z11" s="125"/>
      <c r="AA11" s="125"/>
      <c r="AB11" s="126"/>
      <c r="AC11" s="124"/>
      <c r="AD11" s="125"/>
      <c r="AE11" s="125"/>
      <c r="AF11" s="126"/>
      <c r="AG11" s="124"/>
      <c r="AH11" s="125"/>
      <c r="AI11" s="125"/>
      <c r="AJ11" s="125"/>
      <c r="AK11" s="126"/>
      <c r="AL11" s="124"/>
      <c r="AM11" s="125"/>
      <c r="AN11" s="125"/>
      <c r="AO11" s="126"/>
      <c r="AP11" s="124"/>
      <c r="AQ11" s="125"/>
      <c r="AR11" s="125"/>
      <c r="AS11" s="125"/>
      <c r="AT11" s="126"/>
      <c r="AU11" s="124"/>
      <c r="AV11" s="125"/>
      <c r="AW11" s="125"/>
      <c r="AX11" s="322"/>
      <c r="AY11" s="124"/>
      <c r="AZ11" s="125"/>
      <c r="BA11" s="125"/>
      <c r="BB11" s="125"/>
      <c r="BC11" s="407"/>
      <c r="BD11" s="416">
        <f t="shared" si="3"/>
        <v>0</v>
      </c>
    </row>
    <row r="12" spans="1:56" ht="13.5" customHeight="1" x14ac:dyDescent="0.25">
      <c r="A12" s="132" t="s">
        <v>23</v>
      </c>
      <c r="B12" s="133"/>
      <c r="C12" s="134">
        <f>C10-C8+C5</f>
        <v>235066.58</v>
      </c>
      <c r="D12" s="134">
        <f t="shared" ref="D12:BB12" si="4">D10-D8+D5</f>
        <v>219001.58</v>
      </c>
      <c r="E12" s="134">
        <f t="shared" si="4"/>
        <v>201900.58</v>
      </c>
      <c r="F12" s="134">
        <f t="shared" si="4"/>
        <v>184577.58</v>
      </c>
      <c r="G12" s="134">
        <f t="shared" si="4"/>
        <v>167411.57999999999</v>
      </c>
      <c r="H12" s="134">
        <f t="shared" si="4"/>
        <v>155448.57999999999</v>
      </c>
      <c r="I12" s="134">
        <f t="shared" si="4"/>
        <v>143723.57999999999</v>
      </c>
      <c r="J12" s="134">
        <f t="shared" si="4"/>
        <v>126685.57999999999</v>
      </c>
      <c r="K12" s="134">
        <f t="shared" si="4"/>
        <v>117505.57999999999</v>
      </c>
      <c r="L12" s="134">
        <f t="shared" si="4"/>
        <v>107464.57999999999</v>
      </c>
      <c r="M12" s="134">
        <f t="shared" si="4"/>
        <v>98206.579999999987</v>
      </c>
      <c r="N12" s="134">
        <f t="shared" si="4"/>
        <v>91101.579999999987</v>
      </c>
      <c r="O12" s="134">
        <f t="shared" si="4"/>
        <v>85520.579999999987</v>
      </c>
      <c r="P12" s="134">
        <f t="shared" si="4"/>
        <v>81035.579999999987</v>
      </c>
      <c r="Q12" s="134">
        <f t="shared" si="4"/>
        <v>74900.579999999987</v>
      </c>
      <c r="R12" s="134">
        <f t="shared" si="4"/>
        <v>67587.579999999987</v>
      </c>
      <c r="S12" s="134">
        <f t="shared" si="4"/>
        <v>67587.579999999987</v>
      </c>
      <c r="T12" s="134">
        <f t="shared" si="4"/>
        <v>67587.579999999987</v>
      </c>
      <c r="U12" s="134">
        <f t="shared" si="4"/>
        <v>67587.579999999987</v>
      </c>
      <c r="V12" s="134">
        <f t="shared" si="4"/>
        <v>67587.579999999987</v>
      </c>
      <c r="W12" s="134">
        <f t="shared" si="4"/>
        <v>67587.579999999987</v>
      </c>
      <c r="X12" s="134">
        <f t="shared" si="4"/>
        <v>46827.439999999988</v>
      </c>
      <c r="Y12" s="134">
        <f t="shared" si="4"/>
        <v>46827.439999999988</v>
      </c>
      <c r="Z12" s="134">
        <f t="shared" si="4"/>
        <v>46827.439999999988</v>
      </c>
      <c r="AA12" s="134">
        <f t="shared" si="4"/>
        <v>46827.439999999988</v>
      </c>
      <c r="AB12" s="134">
        <f t="shared" si="4"/>
        <v>46827.439999999988</v>
      </c>
      <c r="AC12" s="134">
        <f t="shared" si="4"/>
        <v>46827.439999999988</v>
      </c>
      <c r="AD12" s="134">
        <f t="shared" si="4"/>
        <v>46827.439999999988</v>
      </c>
      <c r="AE12" s="134">
        <f t="shared" si="4"/>
        <v>46827.439999999988</v>
      </c>
      <c r="AF12" s="134">
        <f t="shared" si="4"/>
        <v>46827.439999999988</v>
      </c>
      <c r="AG12" s="134">
        <f t="shared" si="4"/>
        <v>46827.439999999988</v>
      </c>
      <c r="AH12" s="134">
        <f t="shared" si="4"/>
        <v>46827.439999999988</v>
      </c>
      <c r="AI12" s="134">
        <f t="shared" si="4"/>
        <v>46827.439999999988</v>
      </c>
      <c r="AJ12" s="134">
        <f t="shared" si="4"/>
        <v>46827.439999999988</v>
      </c>
      <c r="AK12" s="134">
        <f t="shared" si="4"/>
        <v>46827.439999999988</v>
      </c>
      <c r="AL12" s="134">
        <f t="shared" si="4"/>
        <v>46827.439999999988</v>
      </c>
      <c r="AM12" s="134">
        <f t="shared" si="4"/>
        <v>46827.439999999988</v>
      </c>
      <c r="AN12" s="134">
        <f t="shared" si="4"/>
        <v>46827.439999999988</v>
      </c>
      <c r="AO12" s="134">
        <f t="shared" si="4"/>
        <v>46827.439999999988</v>
      </c>
      <c r="AP12" s="134">
        <f t="shared" si="4"/>
        <v>46827.439999999988</v>
      </c>
      <c r="AQ12" s="134">
        <f t="shared" si="4"/>
        <v>46827.439999999988</v>
      </c>
      <c r="AR12" s="134">
        <f t="shared" si="4"/>
        <v>46827.439999999988</v>
      </c>
      <c r="AS12" s="134">
        <f t="shared" si="4"/>
        <v>46827.439999999988</v>
      </c>
      <c r="AT12" s="134">
        <f t="shared" si="4"/>
        <v>46827.439999999988</v>
      </c>
      <c r="AU12" s="134">
        <f t="shared" si="4"/>
        <v>46827.439999999988</v>
      </c>
      <c r="AV12" s="134">
        <f t="shared" si="4"/>
        <v>46827.439999999988</v>
      </c>
      <c r="AW12" s="134">
        <f t="shared" si="4"/>
        <v>46827.439999999988</v>
      </c>
      <c r="AX12" s="134">
        <f t="shared" si="4"/>
        <v>46827.439999999988</v>
      </c>
      <c r="AY12" s="134">
        <f t="shared" si="4"/>
        <v>46827.439999999988</v>
      </c>
      <c r="AZ12" s="134">
        <f t="shared" si="4"/>
        <v>46827.439999999988</v>
      </c>
      <c r="BA12" s="134">
        <f t="shared" si="4"/>
        <v>46827.439999999988</v>
      </c>
      <c r="BB12" s="134">
        <f t="shared" si="4"/>
        <v>46827.439999999988</v>
      </c>
      <c r="BC12" s="408">
        <f>BC10-BC8+BC5</f>
        <v>46827.439999999988</v>
      </c>
      <c r="BD12" s="416">
        <f t="shared" si="3"/>
        <v>3993554.2599999993</v>
      </c>
    </row>
    <row r="13" spans="1:56" ht="13.5" customHeight="1" x14ac:dyDescent="0.25">
      <c r="A13" s="132" t="s">
        <v>24</v>
      </c>
      <c r="B13" s="133"/>
      <c r="C13" s="336">
        <f>1741-C7-C27+C11+C23</f>
        <v>1704</v>
      </c>
      <c r="D13" s="135">
        <f>C13-D7-D27+D11+D23</f>
        <v>1566</v>
      </c>
      <c r="E13" s="135">
        <f t="shared" ref="E13:BC13" si="5">D13-E7-E27+E11+E23</f>
        <v>1433</v>
      </c>
      <c r="F13" s="135">
        <f t="shared" si="5"/>
        <v>1288</v>
      </c>
      <c r="G13" s="136">
        <f t="shared" si="5"/>
        <v>1146</v>
      </c>
      <c r="H13" s="134">
        <f t="shared" si="5"/>
        <v>1042</v>
      </c>
      <c r="I13" s="135">
        <f t="shared" si="5"/>
        <v>942</v>
      </c>
      <c r="J13" s="135">
        <f t="shared" si="5"/>
        <v>829</v>
      </c>
      <c r="K13" s="136">
        <f t="shared" si="5"/>
        <v>760</v>
      </c>
      <c r="L13" s="134">
        <f t="shared" si="5"/>
        <v>684</v>
      </c>
      <c r="M13" s="135">
        <f t="shared" si="5"/>
        <v>619</v>
      </c>
      <c r="N13" s="135">
        <f t="shared" si="5"/>
        <v>570</v>
      </c>
      <c r="O13" s="136">
        <f t="shared" si="5"/>
        <v>530</v>
      </c>
      <c r="P13" s="134">
        <f t="shared" si="5"/>
        <v>497</v>
      </c>
      <c r="Q13" s="135">
        <f t="shared" si="5"/>
        <v>459</v>
      </c>
      <c r="R13" s="135">
        <f t="shared" si="5"/>
        <v>409</v>
      </c>
      <c r="S13" s="136">
        <f t="shared" si="5"/>
        <v>356</v>
      </c>
      <c r="T13" s="134">
        <f t="shared" si="5"/>
        <v>356</v>
      </c>
      <c r="U13" s="135">
        <f>T13-U7-U27+U11+U23</f>
        <v>356</v>
      </c>
      <c r="V13" s="135">
        <f t="shared" si="5"/>
        <v>356</v>
      </c>
      <c r="W13" s="135">
        <f t="shared" si="5"/>
        <v>356</v>
      </c>
      <c r="X13" s="136">
        <f t="shared" si="5"/>
        <v>225</v>
      </c>
      <c r="Y13" s="134">
        <f>X13-Y7-Y27+Y11+Y23</f>
        <v>225</v>
      </c>
      <c r="Z13" s="135">
        <f t="shared" si="5"/>
        <v>225</v>
      </c>
      <c r="AA13" s="135">
        <f t="shared" si="5"/>
        <v>225</v>
      </c>
      <c r="AB13" s="136">
        <f>AA13-AB7-AB27+AB11+AB23</f>
        <v>225</v>
      </c>
      <c r="AC13" s="134">
        <f t="shared" si="5"/>
        <v>225</v>
      </c>
      <c r="AD13" s="135">
        <f>AC13-AD7-AD27+AD11+AD23</f>
        <v>225</v>
      </c>
      <c r="AE13" s="135">
        <f>AD13-AE7-AE27+AE11+AE23</f>
        <v>225</v>
      </c>
      <c r="AF13" s="136">
        <f t="shared" si="5"/>
        <v>225</v>
      </c>
      <c r="AG13" s="134">
        <f t="shared" si="5"/>
        <v>225</v>
      </c>
      <c r="AH13" s="135">
        <f t="shared" si="5"/>
        <v>225</v>
      </c>
      <c r="AI13" s="135">
        <f t="shared" si="5"/>
        <v>225</v>
      </c>
      <c r="AJ13" s="135">
        <f t="shared" si="5"/>
        <v>225</v>
      </c>
      <c r="AK13" s="136">
        <f t="shared" si="5"/>
        <v>225</v>
      </c>
      <c r="AL13" s="134">
        <f t="shared" si="5"/>
        <v>225</v>
      </c>
      <c r="AM13" s="135">
        <f t="shared" si="5"/>
        <v>225</v>
      </c>
      <c r="AN13" s="135">
        <f t="shared" si="5"/>
        <v>225</v>
      </c>
      <c r="AO13" s="136">
        <f t="shared" si="5"/>
        <v>225</v>
      </c>
      <c r="AP13" s="134">
        <f t="shared" si="5"/>
        <v>225</v>
      </c>
      <c r="AQ13" s="135">
        <f t="shared" si="5"/>
        <v>225</v>
      </c>
      <c r="AR13" s="135">
        <f t="shared" si="5"/>
        <v>225</v>
      </c>
      <c r="AS13" s="135">
        <f t="shared" si="5"/>
        <v>225</v>
      </c>
      <c r="AT13" s="136">
        <f t="shared" si="5"/>
        <v>225</v>
      </c>
      <c r="AU13" s="134">
        <f t="shared" si="5"/>
        <v>225</v>
      </c>
      <c r="AV13" s="135">
        <f t="shared" si="5"/>
        <v>225</v>
      </c>
      <c r="AW13" s="135">
        <f t="shared" si="5"/>
        <v>225</v>
      </c>
      <c r="AX13" s="324">
        <f t="shared" si="5"/>
        <v>225</v>
      </c>
      <c r="AY13" s="134">
        <f t="shared" si="5"/>
        <v>225</v>
      </c>
      <c r="AZ13" s="135">
        <f t="shared" si="5"/>
        <v>225</v>
      </c>
      <c r="BA13" s="135">
        <f t="shared" si="5"/>
        <v>225</v>
      </c>
      <c r="BB13" s="135">
        <f t="shared" si="5"/>
        <v>225</v>
      </c>
      <c r="BC13" s="135">
        <f t="shared" si="5"/>
        <v>225</v>
      </c>
      <c r="BD13" s="416"/>
    </row>
    <row r="14" spans="1:56" s="104" customFormat="1" ht="13.5" customHeight="1" x14ac:dyDescent="0.25">
      <c r="A14" s="175" t="s">
        <v>109</v>
      </c>
      <c r="B14" s="176"/>
      <c r="C14" s="144">
        <v>23556</v>
      </c>
      <c r="D14" s="145">
        <v>92169</v>
      </c>
      <c r="E14" s="145">
        <v>91476</v>
      </c>
      <c r="F14" s="145">
        <v>98006</v>
      </c>
      <c r="G14" s="146">
        <v>93544</v>
      </c>
      <c r="H14" s="147">
        <v>65065</v>
      </c>
      <c r="I14" s="148">
        <v>64240</v>
      </c>
      <c r="J14" s="148">
        <v>80539</v>
      </c>
      <c r="K14" s="149">
        <v>47549</v>
      </c>
      <c r="L14" s="147">
        <v>54244</v>
      </c>
      <c r="M14" s="148">
        <v>46430</v>
      </c>
      <c r="N14" s="148">
        <v>34926</v>
      </c>
      <c r="O14" s="149">
        <v>29249</v>
      </c>
      <c r="P14" s="147">
        <v>21633</v>
      </c>
      <c r="Q14" s="148">
        <v>25109</v>
      </c>
      <c r="R14" s="148">
        <v>27597</v>
      </c>
      <c r="S14" s="149">
        <v>30301</v>
      </c>
      <c r="T14" s="147"/>
      <c r="U14" s="148"/>
      <c r="V14" s="148"/>
      <c r="W14" s="148"/>
      <c r="X14" s="149">
        <v>77060</v>
      </c>
      <c r="Y14" s="147"/>
      <c r="Z14" s="148"/>
      <c r="AA14" s="148"/>
      <c r="AB14" s="149"/>
      <c r="AC14" s="147"/>
      <c r="AD14" s="148"/>
      <c r="AE14" s="148"/>
      <c r="AF14" s="149"/>
      <c r="AG14" s="147"/>
      <c r="AH14" s="148"/>
      <c r="AI14" s="148"/>
      <c r="AJ14" s="148"/>
      <c r="AK14" s="149"/>
      <c r="AL14" s="147"/>
      <c r="AM14" s="148"/>
      <c r="AN14" s="148"/>
      <c r="AO14" s="149"/>
      <c r="AP14" s="147"/>
      <c r="AQ14" s="148"/>
      <c r="AR14" s="148"/>
      <c r="AS14" s="148"/>
      <c r="AT14" s="149"/>
      <c r="AU14" s="147"/>
      <c r="AV14" s="148"/>
      <c r="AW14" s="148"/>
      <c r="AX14" s="325"/>
      <c r="AY14" s="147"/>
      <c r="AZ14" s="148"/>
      <c r="BA14" s="148"/>
      <c r="BB14" s="148"/>
      <c r="BC14" s="409"/>
      <c r="BD14" s="416">
        <f t="shared" si="3"/>
        <v>1002693</v>
      </c>
    </row>
    <row r="15" spans="1:56" s="104" customFormat="1" ht="13.5" customHeight="1" x14ac:dyDescent="0.25">
      <c r="A15" s="175"/>
      <c r="B15" s="143"/>
      <c r="C15" s="144"/>
      <c r="D15" s="145"/>
      <c r="E15" s="145"/>
      <c r="F15" s="145"/>
      <c r="G15" s="146"/>
      <c r="H15" s="147"/>
      <c r="I15" s="148"/>
      <c r="J15" s="148"/>
      <c r="K15" s="149"/>
      <c r="L15" s="147"/>
      <c r="M15" s="148"/>
      <c r="N15" s="148"/>
      <c r="O15" s="149"/>
      <c r="P15" s="147"/>
      <c r="Q15" s="148"/>
      <c r="R15" s="148"/>
      <c r="S15" s="149"/>
      <c r="T15" s="147"/>
      <c r="U15" s="148"/>
      <c r="V15" s="148"/>
      <c r="W15" s="148"/>
      <c r="X15" s="149"/>
      <c r="Y15" s="147"/>
      <c r="Z15" s="148"/>
      <c r="AA15" s="148"/>
      <c r="AB15" s="149"/>
      <c r="AC15" s="147"/>
      <c r="AD15" s="148"/>
      <c r="AE15" s="148"/>
      <c r="AF15" s="149"/>
      <c r="AG15" s="147"/>
      <c r="AH15" s="148"/>
      <c r="AI15" s="148"/>
      <c r="AJ15" s="148"/>
      <c r="AK15" s="149"/>
      <c r="AL15" s="147"/>
      <c r="AM15" s="148"/>
      <c r="AN15" s="148"/>
      <c r="AO15" s="149"/>
      <c r="AP15" s="147"/>
      <c r="AQ15" s="148"/>
      <c r="AR15" s="148"/>
      <c r="AS15" s="148"/>
      <c r="AT15" s="149"/>
      <c r="AU15" s="147"/>
      <c r="AV15" s="148"/>
      <c r="AW15" s="148"/>
      <c r="AX15" s="325"/>
      <c r="AY15" s="147"/>
      <c r="AZ15" s="148"/>
      <c r="BA15" s="148"/>
      <c r="BB15" s="148"/>
      <c r="BC15" s="409"/>
      <c r="BD15" s="416">
        <f t="shared" si="3"/>
        <v>0</v>
      </c>
    </row>
    <row r="16" spans="1:56" ht="13.5" customHeight="1" x14ac:dyDescent="0.25">
      <c r="A16" s="150"/>
      <c r="B16" s="151"/>
      <c r="C16" s="152"/>
      <c r="D16" s="153"/>
      <c r="E16" s="153"/>
      <c r="F16" s="153"/>
      <c r="G16" s="154"/>
      <c r="H16" s="152"/>
      <c r="I16" s="153"/>
      <c r="J16" s="153"/>
      <c r="K16" s="154"/>
      <c r="L16" s="152"/>
      <c r="M16" s="153"/>
      <c r="N16" s="153"/>
      <c r="O16" s="154"/>
      <c r="P16" s="152"/>
      <c r="Q16" s="153"/>
      <c r="R16" s="153"/>
      <c r="S16" s="154"/>
      <c r="T16" s="152"/>
      <c r="U16" s="153"/>
      <c r="V16" s="153"/>
      <c r="W16" s="153"/>
      <c r="X16" s="154"/>
      <c r="Y16" s="152"/>
      <c r="Z16" s="153"/>
      <c r="AA16" s="153"/>
      <c r="AB16" s="154"/>
      <c r="AC16" s="152"/>
      <c r="AD16" s="153"/>
      <c r="AE16" s="153"/>
      <c r="AF16" s="154"/>
      <c r="AG16" s="152"/>
      <c r="AH16" s="153"/>
      <c r="AI16" s="153"/>
      <c r="AJ16" s="153"/>
      <c r="AK16" s="154"/>
      <c r="AL16" s="152"/>
      <c r="AM16" s="153"/>
      <c r="AN16" s="153"/>
      <c r="AO16" s="154"/>
      <c r="AP16" s="152"/>
      <c r="AQ16" s="153"/>
      <c r="AR16" s="153"/>
      <c r="AS16" s="153"/>
      <c r="AT16" s="154"/>
      <c r="AU16" s="152"/>
      <c r="AV16" s="153"/>
      <c r="AW16" s="153"/>
      <c r="AX16" s="151"/>
      <c r="AY16" s="152"/>
      <c r="AZ16" s="153"/>
      <c r="BA16" s="153"/>
      <c r="BB16" s="153"/>
      <c r="BC16" s="410"/>
      <c r="BD16" s="416">
        <f t="shared" si="3"/>
        <v>0</v>
      </c>
    </row>
    <row r="17" spans="1:56" s="104" customFormat="1" ht="13.5" customHeight="1" x14ac:dyDescent="0.25">
      <c r="A17" s="175" t="s">
        <v>111</v>
      </c>
      <c r="B17" s="176"/>
      <c r="C17" s="477">
        <v>8844</v>
      </c>
      <c r="D17" s="477">
        <v>34710</v>
      </c>
      <c r="E17" s="477">
        <v>34473</v>
      </c>
      <c r="F17" s="477">
        <v>36913</v>
      </c>
      <c r="G17" s="477">
        <v>35355</v>
      </c>
      <c r="H17" s="477">
        <v>24418</v>
      </c>
      <c r="I17" s="477">
        <v>24277</v>
      </c>
      <c r="J17" s="477">
        <v>30783</v>
      </c>
      <c r="K17" s="477">
        <v>18081</v>
      </c>
      <c r="L17" s="477">
        <v>20446</v>
      </c>
      <c r="M17" s="477">
        <v>17665</v>
      </c>
      <c r="N17" s="477">
        <v>13238</v>
      </c>
      <c r="O17" s="477">
        <v>11142</v>
      </c>
      <c r="P17" s="477">
        <v>8115</v>
      </c>
      <c r="Q17" s="477">
        <v>9651</v>
      </c>
      <c r="R17" s="477">
        <v>11075</v>
      </c>
      <c r="S17" s="477">
        <v>12293</v>
      </c>
      <c r="T17" s="477"/>
      <c r="U17" s="477"/>
      <c r="V17" s="477"/>
      <c r="W17" s="477"/>
      <c r="X17" s="477">
        <v>30873</v>
      </c>
      <c r="Y17" s="477"/>
      <c r="Z17" s="477"/>
      <c r="AA17" s="477"/>
      <c r="AB17" s="477"/>
      <c r="AC17" s="477"/>
      <c r="AD17" s="477"/>
      <c r="AE17" s="477"/>
      <c r="AF17" s="477"/>
      <c r="AG17" s="477"/>
      <c r="AH17" s="477"/>
      <c r="AI17" s="477"/>
      <c r="AJ17" s="477"/>
      <c r="AK17" s="477"/>
      <c r="AL17" s="477"/>
      <c r="AM17" s="477"/>
      <c r="AN17" s="477"/>
      <c r="AO17" s="477"/>
      <c r="AP17" s="477"/>
      <c r="AQ17" s="477"/>
      <c r="AR17" s="477"/>
      <c r="AS17" s="477"/>
      <c r="AT17" s="477"/>
      <c r="AU17" s="477"/>
      <c r="AV17" s="477"/>
      <c r="AW17" s="477"/>
      <c r="AX17" s="477"/>
      <c r="AY17" s="477"/>
      <c r="AZ17" s="477"/>
      <c r="BA17" s="477"/>
      <c r="BB17" s="477"/>
      <c r="BC17" s="478"/>
      <c r="BD17" s="479">
        <v>1741</v>
      </c>
    </row>
    <row r="18" spans="1:56" ht="13.5" customHeight="1" x14ac:dyDescent="0.25">
      <c r="A18" s="150" t="s">
        <v>26</v>
      </c>
      <c r="B18" s="151"/>
      <c r="C18" s="155">
        <f>C17/C14</f>
        <v>0.37544574630667343</v>
      </c>
      <c r="D18" s="155">
        <f t="shared" ref="D18:BA18" si="6">D17/D14</f>
        <v>0.37659082771864727</v>
      </c>
      <c r="E18" s="155">
        <f t="shared" si="6"/>
        <v>0.37685294503476324</v>
      </c>
      <c r="F18" s="155">
        <f t="shared" si="6"/>
        <v>0.37664020570169171</v>
      </c>
      <c r="G18" s="155">
        <f t="shared" si="6"/>
        <v>0.37795048319507396</v>
      </c>
      <c r="H18" s="155">
        <f t="shared" si="6"/>
        <v>0.37528625220932915</v>
      </c>
      <c r="I18" s="155">
        <f t="shared" si="6"/>
        <v>0.37791095890410958</v>
      </c>
      <c r="J18" s="155">
        <f t="shared" si="6"/>
        <v>0.38221234433007611</v>
      </c>
      <c r="K18" s="155">
        <f t="shared" si="6"/>
        <v>0.3802603629939641</v>
      </c>
      <c r="L18" s="155">
        <f t="shared" si="6"/>
        <v>0.37692648034805692</v>
      </c>
      <c r="M18" s="155">
        <f>M17/M14</f>
        <v>0.3804652164548783</v>
      </c>
      <c r="N18" s="155">
        <f t="shared" si="6"/>
        <v>0.37902994903510279</v>
      </c>
      <c r="O18" s="155">
        <f t="shared" si="6"/>
        <v>0.38093610037950015</v>
      </c>
      <c r="P18" s="155">
        <f t="shared" si="6"/>
        <v>0.37512134239356537</v>
      </c>
      <c r="Q18" s="155">
        <f t="shared" si="6"/>
        <v>0.38436417220916802</v>
      </c>
      <c r="R18" s="155">
        <f t="shared" si="6"/>
        <v>0.40131173678298365</v>
      </c>
      <c r="S18" s="155">
        <f t="shared" si="6"/>
        <v>0.40569618164417015</v>
      </c>
      <c r="T18" s="155" t="e">
        <f t="shared" si="6"/>
        <v>#DIV/0!</v>
      </c>
      <c r="U18" s="155" t="e">
        <f t="shared" si="6"/>
        <v>#DIV/0!</v>
      </c>
      <c r="V18" s="155" t="e">
        <f t="shared" si="6"/>
        <v>#DIV/0!</v>
      </c>
      <c r="W18" s="155" t="e">
        <f t="shared" si="6"/>
        <v>#DIV/0!</v>
      </c>
      <c r="X18" s="155">
        <f t="shared" si="6"/>
        <v>0.40063586815468466</v>
      </c>
      <c r="Y18" s="155" t="e">
        <f t="shared" si="6"/>
        <v>#DIV/0!</v>
      </c>
      <c r="Z18" s="155" t="e">
        <f t="shared" si="6"/>
        <v>#DIV/0!</v>
      </c>
      <c r="AA18" s="155" t="e">
        <f t="shared" si="6"/>
        <v>#DIV/0!</v>
      </c>
      <c r="AB18" s="155" t="e">
        <f t="shared" si="6"/>
        <v>#DIV/0!</v>
      </c>
      <c r="AC18" s="155" t="e">
        <f t="shared" si="6"/>
        <v>#DIV/0!</v>
      </c>
      <c r="AD18" s="155" t="e">
        <f t="shared" si="6"/>
        <v>#DIV/0!</v>
      </c>
      <c r="AE18" s="155" t="e">
        <f t="shared" si="6"/>
        <v>#DIV/0!</v>
      </c>
      <c r="AF18" s="155" t="e">
        <f t="shared" si="6"/>
        <v>#DIV/0!</v>
      </c>
      <c r="AG18" s="155" t="e">
        <f t="shared" si="6"/>
        <v>#DIV/0!</v>
      </c>
      <c r="AH18" s="155" t="e">
        <f t="shared" si="6"/>
        <v>#DIV/0!</v>
      </c>
      <c r="AI18" s="155" t="e">
        <f t="shared" si="6"/>
        <v>#DIV/0!</v>
      </c>
      <c r="AJ18" s="155" t="e">
        <f t="shared" si="6"/>
        <v>#DIV/0!</v>
      </c>
      <c r="AK18" s="155" t="e">
        <f t="shared" si="6"/>
        <v>#DIV/0!</v>
      </c>
      <c r="AL18" s="155" t="e">
        <f t="shared" si="6"/>
        <v>#DIV/0!</v>
      </c>
      <c r="AM18" s="155" t="e">
        <f t="shared" si="6"/>
        <v>#DIV/0!</v>
      </c>
      <c r="AN18" s="155" t="e">
        <f t="shared" si="6"/>
        <v>#DIV/0!</v>
      </c>
      <c r="AO18" s="155" t="e">
        <f t="shared" si="6"/>
        <v>#DIV/0!</v>
      </c>
      <c r="AP18" s="155" t="e">
        <f t="shared" si="6"/>
        <v>#DIV/0!</v>
      </c>
      <c r="AQ18" s="155" t="e">
        <f t="shared" si="6"/>
        <v>#DIV/0!</v>
      </c>
      <c r="AR18" s="155" t="e">
        <f t="shared" si="6"/>
        <v>#DIV/0!</v>
      </c>
      <c r="AS18" s="155" t="e">
        <f t="shared" si="6"/>
        <v>#DIV/0!</v>
      </c>
      <c r="AT18" s="155" t="e">
        <f t="shared" si="6"/>
        <v>#DIV/0!</v>
      </c>
      <c r="AU18" s="155" t="e">
        <f t="shared" si="6"/>
        <v>#DIV/0!</v>
      </c>
      <c r="AV18" s="155" t="e">
        <f t="shared" si="6"/>
        <v>#DIV/0!</v>
      </c>
      <c r="AW18" s="155" t="e">
        <f t="shared" si="6"/>
        <v>#DIV/0!</v>
      </c>
      <c r="AX18" s="155" t="e">
        <f t="shared" si="6"/>
        <v>#DIV/0!</v>
      </c>
      <c r="AY18" s="155" t="e">
        <f t="shared" si="6"/>
        <v>#DIV/0!</v>
      </c>
      <c r="AZ18" s="155" t="e">
        <f t="shared" si="6"/>
        <v>#DIV/0!</v>
      </c>
      <c r="BA18" s="155" t="e">
        <f t="shared" si="6"/>
        <v>#DIV/0!</v>
      </c>
      <c r="BB18" s="155" t="e">
        <f t="shared" ref="BB18:BC18" si="7">BB17/BB14</f>
        <v>#DIV/0!</v>
      </c>
      <c r="BC18" s="155" t="e">
        <f t="shared" si="7"/>
        <v>#DIV/0!</v>
      </c>
      <c r="BD18" s="416"/>
    </row>
    <row r="19" spans="1:56" ht="13.5" customHeight="1" x14ac:dyDescent="0.25">
      <c r="A19" s="150"/>
      <c r="B19" s="151"/>
      <c r="C19" s="152"/>
      <c r="D19" s="153"/>
      <c r="E19" s="153"/>
      <c r="F19" s="153"/>
      <c r="G19" s="154"/>
      <c r="H19" s="152"/>
      <c r="I19" s="153"/>
      <c r="J19" s="153"/>
      <c r="K19" s="154"/>
      <c r="L19" s="152"/>
      <c r="M19" s="153"/>
      <c r="N19" s="153"/>
      <c r="O19" s="154"/>
      <c r="P19" s="152"/>
      <c r="Q19" s="153"/>
      <c r="R19" s="153"/>
      <c r="S19" s="154"/>
      <c r="T19" s="152"/>
      <c r="U19" s="153"/>
      <c r="V19" s="153"/>
      <c r="W19" s="153"/>
      <c r="X19" s="154"/>
      <c r="Y19" s="152"/>
      <c r="Z19" s="153"/>
      <c r="AA19" s="153"/>
      <c r="AB19" s="154"/>
      <c r="AC19" s="152"/>
      <c r="AD19" s="153"/>
      <c r="AE19" s="153"/>
      <c r="AF19" s="154"/>
      <c r="AG19" s="152"/>
      <c r="AH19" s="153"/>
      <c r="AI19" s="153"/>
      <c r="AJ19" s="153"/>
      <c r="AK19" s="154"/>
      <c r="AL19" s="152"/>
      <c r="AM19" s="153"/>
      <c r="AN19" s="153"/>
      <c r="AO19" s="154"/>
      <c r="AP19" s="152"/>
      <c r="AQ19" s="153"/>
      <c r="AR19" s="153"/>
      <c r="AS19" s="153"/>
      <c r="AT19" s="154"/>
      <c r="AU19" s="152"/>
      <c r="AV19" s="153"/>
      <c r="AW19" s="153"/>
      <c r="AX19" s="151"/>
      <c r="AY19" s="152"/>
      <c r="AZ19" s="153"/>
      <c r="BA19" s="153"/>
      <c r="BB19" s="153"/>
      <c r="BC19" s="153"/>
      <c r="BD19" s="416">
        <f t="shared" si="3"/>
        <v>0</v>
      </c>
    </row>
    <row r="20" spans="1:56" ht="13.5" customHeight="1" x14ac:dyDescent="0.25">
      <c r="A20" s="142" t="s">
        <v>110</v>
      </c>
      <c r="B20" s="143"/>
      <c r="C20" s="148">
        <f t="shared" ref="C20:BC20" si="8">C14-C17</f>
        <v>14712</v>
      </c>
      <c r="D20" s="148">
        <f t="shared" si="8"/>
        <v>57459</v>
      </c>
      <c r="E20" s="148">
        <f>E14-E17</f>
        <v>57003</v>
      </c>
      <c r="F20" s="148">
        <f t="shared" si="8"/>
        <v>61093</v>
      </c>
      <c r="G20" s="148">
        <f t="shared" si="8"/>
        <v>58189</v>
      </c>
      <c r="H20" s="148">
        <f t="shared" si="8"/>
        <v>40647</v>
      </c>
      <c r="I20" s="148">
        <f t="shared" si="8"/>
        <v>39963</v>
      </c>
      <c r="J20" s="148">
        <f t="shared" si="8"/>
        <v>49756</v>
      </c>
      <c r="K20" s="148">
        <f t="shared" si="8"/>
        <v>29468</v>
      </c>
      <c r="L20" s="148">
        <f t="shared" si="8"/>
        <v>33798</v>
      </c>
      <c r="M20" s="148">
        <f t="shared" si="8"/>
        <v>28765</v>
      </c>
      <c r="N20" s="148">
        <f t="shared" si="8"/>
        <v>21688</v>
      </c>
      <c r="O20" s="148">
        <f t="shared" si="8"/>
        <v>18107</v>
      </c>
      <c r="P20" s="148">
        <f t="shared" si="8"/>
        <v>13518</v>
      </c>
      <c r="Q20" s="148">
        <f t="shared" si="8"/>
        <v>15458</v>
      </c>
      <c r="R20" s="148">
        <f t="shared" si="8"/>
        <v>16522</v>
      </c>
      <c r="S20" s="148">
        <f t="shared" si="8"/>
        <v>18008</v>
      </c>
      <c r="T20" s="148">
        <f t="shared" si="8"/>
        <v>0</v>
      </c>
      <c r="U20" s="148">
        <f t="shared" si="8"/>
        <v>0</v>
      </c>
      <c r="V20" s="148">
        <f t="shared" si="8"/>
        <v>0</v>
      </c>
      <c r="W20" s="148">
        <f t="shared" si="8"/>
        <v>0</v>
      </c>
      <c r="X20" s="148">
        <f t="shared" si="8"/>
        <v>46187</v>
      </c>
      <c r="Y20" s="148">
        <f t="shared" si="8"/>
        <v>0</v>
      </c>
      <c r="Z20" s="148">
        <f t="shared" si="8"/>
        <v>0</v>
      </c>
      <c r="AA20" s="148">
        <f t="shared" si="8"/>
        <v>0</v>
      </c>
      <c r="AB20" s="148">
        <f t="shared" si="8"/>
        <v>0</v>
      </c>
      <c r="AC20" s="148">
        <f t="shared" si="8"/>
        <v>0</v>
      </c>
      <c r="AD20" s="148">
        <f t="shared" si="8"/>
        <v>0</v>
      </c>
      <c r="AE20" s="148">
        <f t="shared" si="8"/>
        <v>0</v>
      </c>
      <c r="AF20" s="148">
        <f t="shared" si="8"/>
        <v>0</v>
      </c>
      <c r="AG20" s="148">
        <f t="shared" si="8"/>
        <v>0</v>
      </c>
      <c r="AH20" s="148">
        <f t="shared" si="8"/>
        <v>0</v>
      </c>
      <c r="AI20" s="148">
        <f t="shared" si="8"/>
        <v>0</v>
      </c>
      <c r="AJ20" s="148">
        <f t="shared" si="8"/>
        <v>0</v>
      </c>
      <c r="AK20" s="148">
        <f t="shared" si="8"/>
        <v>0</v>
      </c>
      <c r="AL20" s="148">
        <f t="shared" si="8"/>
        <v>0</v>
      </c>
      <c r="AM20" s="148">
        <f t="shared" si="8"/>
        <v>0</v>
      </c>
      <c r="AN20" s="148">
        <f t="shared" si="8"/>
        <v>0</v>
      </c>
      <c r="AO20" s="148">
        <f t="shared" si="8"/>
        <v>0</v>
      </c>
      <c r="AP20" s="148">
        <f t="shared" si="8"/>
        <v>0</v>
      </c>
      <c r="AQ20" s="148">
        <f t="shared" si="8"/>
        <v>0</v>
      </c>
      <c r="AR20" s="148">
        <f t="shared" si="8"/>
        <v>0</v>
      </c>
      <c r="AS20" s="148">
        <f t="shared" si="8"/>
        <v>0</v>
      </c>
      <c r="AT20" s="148">
        <f t="shared" si="8"/>
        <v>0</v>
      </c>
      <c r="AU20" s="148">
        <f t="shared" si="8"/>
        <v>0</v>
      </c>
      <c r="AV20" s="148">
        <f t="shared" si="8"/>
        <v>0</v>
      </c>
      <c r="AW20" s="148">
        <f t="shared" si="8"/>
        <v>0</v>
      </c>
      <c r="AX20" s="148">
        <f t="shared" si="8"/>
        <v>0</v>
      </c>
      <c r="AY20" s="148">
        <f t="shared" si="8"/>
        <v>0</v>
      </c>
      <c r="AZ20" s="148">
        <f t="shared" si="8"/>
        <v>0</v>
      </c>
      <c r="BA20" s="148">
        <f t="shared" si="8"/>
        <v>0</v>
      </c>
      <c r="BB20" s="148">
        <f t="shared" si="8"/>
        <v>0</v>
      </c>
      <c r="BC20" s="148">
        <f t="shared" si="8"/>
        <v>0</v>
      </c>
      <c r="BD20" s="416">
        <f t="shared" si="3"/>
        <v>620341</v>
      </c>
    </row>
    <row r="21" spans="1:56" ht="13.5" customHeight="1" x14ac:dyDescent="0.25">
      <c r="A21" s="142"/>
      <c r="B21" s="151"/>
      <c r="C21" s="152"/>
      <c r="D21" s="153"/>
      <c r="E21" s="153"/>
      <c r="F21" s="153"/>
      <c r="G21" s="154"/>
      <c r="H21" s="152"/>
      <c r="I21" s="153"/>
      <c r="J21" s="153"/>
      <c r="K21" s="154"/>
      <c r="L21" s="152"/>
      <c r="M21" s="153"/>
      <c r="N21" s="153"/>
      <c r="O21" s="154"/>
      <c r="P21" s="152"/>
      <c r="Q21" s="153"/>
      <c r="R21" s="153"/>
      <c r="S21" s="154"/>
      <c r="T21" s="152"/>
      <c r="U21" s="153"/>
      <c r="V21" s="153"/>
      <c r="W21" s="153"/>
      <c r="X21" s="154"/>
      <c r="Y21" s="152"/>
      <c r="Z21" s="153"/>
      <c r="AA21" s="153"/>
      <c r="AB21" s="154"/>
      <c r="AC21" s="152"/>
      <c r="AD21" s="153"/>
      <c r="AE21" s="153"/>
      <c r="AF21" s="154"/>
      <c r="AG21" s="152"/>
      <c r="AH21" s="153"/>
      <c r="AI21" s="153"/>
      <c r="AJ21" s="153"/>
      <c r="AK21" s="154"/>
      <c r="AL21" s="152"/>
      <c r="AM21" s="153"/>
      <c r="AN21" s="153"/>
      <c r="AO21" s="154"/>
      <c r="AP21" s="152"/>
      <c r="AQ21" s="153"/>
      <c r="AR21" s="153"/>
      <c r="AS21" s="153"/>
      <c r="AT21" s="154"/>
      <c r="AU21" s="152"/>
      <c r="AV21" s="153"/>
      <c r="AW21" s="153"/>
      <c r="AX21" s="151"/>
      <c r="AY21" s="152"/>
      <c r="AZ21" s="153"/>
      <c r="BA21" s="153"/>
      <c r="BB21" s="153"/>
      <c r="BC21" s="153"/>
      <c r="BD21" s="416">
        <f t="shared" si="3"/>
        <v>0</v>
      </c>
    </row>
    <row r="22" spans="1:56" ht="13.5" customHeight="1" x14ac:dyDescent="0.25">
      <c r="A22" s="150" t="s">
        <v>28</v>
      </c>
      <c r="B22" s="151"/>
      <c r="C22" s="158">
        <v>882</v>
      </c>
      <c r="D22" s="159">
        <v>3355</v>
      </c>
      <c r="E22" s="159">
        <v>471</v>
      </c>
      <c r="F22" s="159">
        <v>1771</v>
      </c>
      <c r="G22" s="160">
        <v>426</v>
      </c>
      <c r="H22" s="161">
        <v>1716</v>
      </c>
      <c r="I22" s="162">
        <v>635</v>
      </c>
      <c r="J22" s="162"/>
      <c r="K22" s="163">
        <v>700</v>
      </c>
      <c r="L22" s="161">
        <v>2455</v>
      </c>
      <c r="M22" s="162">
        <v>2991</v>
      </c>
      <c r="N22" s="162">
        <v>1804</v>
      </c>
      <c r="O22" s="163"/>
      <c r="P22" s="161"/>
      <c r="Q22" s="162"/>
      <c r="R22" s="162">
        <v>660</v>
      </c>
      <c r="S22" s="163"/>
      <c r="T22" s="161"/>
      <c r="U22" s="162"/>
      <c r="V22" s="162"/>
      <c r="W22" s="162"/>
      <c r="X22" s="163"/>
      <c r="Y22" s="161"/>
      <c r="Z22" s="162"/>
      <c r="AA22" s="162"/>
      <c r="AB22" s="163"/>
      <c r="AC22" s="161"/>
      <c r="AD22" s="162"/>
      <c r="AE22" s="162"/>
      <c r="AF22" s="163"/>
      <c r="AG22" s="161"/>
      <c r="AH22" s="162"/>
      <c r="AI22" s="162"/>
      <c r="AJ22" s="162"/>
      <c r="AK22" s="163"/>
      <c r="AL22" s="161"/>
      <c r="AM22" s="162"/>
      <c r="AN22" s="162"/>
      <c r="AO22" s="163"/>
      <c r="AP22" s="161"/>
      <c r="AQ22" s="162"/>
      <c r="AR22" s="162"/>
      <c r="AS22" s="162"/>
      <c r="AT22" s="163"/>
      <c r="AU22" s="161"/>
      <c r="AV22" s="162"/>
      <c r="AW22" s="162"/>
      <c r="AX22" s="326"/>
      <c r="AY22" s="161"/>
      <c r="AZ22" s="162"/>
      <c r="BA22" s="162"/>
      <c r="BB22" s="162"/>
      <c r="BC22" s="411"/>
      <c r="BD22" s="416">
        <f t="shared" si="3"/>
        <v>17866</v>
      </c>
    </row>
    <row r="23" spans="1:56" ht="13.5" customHeight="1" x14ac:dyDescent="0.25">
      <c r="A23" s="150" t="s">
        <v>29</v>
      </c>
      <c r="B23" s="151"/>
      <c r="C23" s="158">
        <v>1</v>
      </c>
      <c r="D23" s="159">
        <v>6</v>
      </c>
      <c r="E23" s="159">
        <v>1</v>
      </c>
      <c r="F23" s="159">
        <v>2</v>
      </c>
      <c r="G23" s="160">
        <v>1</v>
      </c>
      <c r="H23" s="161">
        <v>2</v>
      </c>
      <c r="I23" s="162">
        <v>1</v>
      </c>
      <c r="J23" s="162"/>
      <c r="K23" s="163">
        <v>1</v>
      </c>
      <c r="L23" s="161">
        <v>3</v>
      </c>
      <c r="M23" s="162">
        <v>3</v>
      </c>
      <c r="N23" s="162">
        <v>2</v>
      </c>
      <c r="O23" s="163"/>
      <c r="P23" s="161"/>
      <c r="Q23" s="162"/>
      <c r="R23" s="162">
        <v>1</v>
      </c>
      <c r="S23" s="163"/>
      <c r="T23" s="161"/>
      <c r="U23" s="162"/>
      <c r="V23" s="162"/>
      <c r="W23" s="162"/>
      <c r="X23" s="163"/>
      <c r="Y23" s="161"/>
      <c r="Z23" s="162"/>
      <c r="AA23" s="162"/>
      <c r="AB23" s="163"/>
      <c r="AC23" s="161"/>
      <c r="AD23" s="162"/>
      <c r="AE23" s="162"/>
      <c r="AF23" s="163"/>
      <c r="AG23" s="161"/>
      <c r="AH23" s="162"/>
      <c r="AI23" s="162"/>
      <c r="AJ23" s="162"/>
      <c r="AK23" s="163"/>
      <c r="AL23" s="161"/>
      <c r="AM23" s="162"/>
      <c r="AN23" s="162"/>
      <c r="AO23" s="163"/>
      <c r="AP23" s="161"/>
      <c r="AQ23" s="162"/>
      <c r="AR23" s="162"/>
      <c r="AS23" s="162"/>
      <c r="AT23" s="163"/>
      <c r="AU23" s="161"/>
      <c r="AV23" s="162"/>
      <c r="AW23" s="162"/>
      <c r="AX23" s="326"/>
      <c r="AY23" s="161"/>
      <c r="AZ23" s="162"/>
      <c r="BA23" s="162"/>
      <c r="BB23" s="162"/>
      <c r="BC23" s="411"/>
      <c r="BD23" s="416">
        <f t="shared" si="3"/>
        <v>24</v>
      </c>
    </row>
    <row r="24" spans="1:56" s="372" customFormat="1" ht="13.5" customHeight="1" x14ac:dyDescent="0.25">
      <c r="A24" s="369" t="s">
        <v>30</v>
      </c>
      <c r="B24" s="370"/>
      <c r="C24" s="371">
        <f>C22/(C14-C22)</f>
        <v>3.8899179677163269E-2</v>
      </c>
      <c r="D24" s="371">
        <f t="shared" ref="D24:BC24" si="9">D22/(D14-D22)</f>
        <v>3.7775575922714889E-2</v>
      </c>
      <c r="E24" s="371">
        <f t="shared" si="9"/>
        <v>5.1755398055051919E-3</v>
      </c>
      <c r="F24" s="371">
        <f t="shared" si="9"/>
        <v>1.8402867979425364E-2</v>
      </c>
      <c r="G24" s="371">
        <f t="shared" si="9"/>
        <v>4.5748405249253637E-3</v>
      </c>
      <c r="H24" s="371">
        <f t="shared" si="9"/>
        <v>2.7088036117381489E-2</v>
      </c>
      <c r="I24" s="371">
        <f t="shared" si="9"/>
        <v>9.9834918638471819E-3</v>
      </c>
      <c r="J24" s="371">
        <f t="shared" si="9"/>
        <v>0</v>
      </c>
      <c r="K24" s="371">
        <f t="shared" si="9"/>
        <v>1.494162095242161E-2</v>
      </c>
      <c r="L24" s="371">
        <f t="shared" si="9"/>
        <v>4.7403888856707023E-2</v>
      </c>
      <c r="M24" s="371">
        <f t="shared" si="9"/>
        <v>6.8855176224130385E-2</v>
      </c>
      <c r="N24" s="371">
        <f t="shared" si="9"/>
        <v>5.4465310065817278E-2</v>
      </c>
      <c r="O24" s="371">
        <f t="shared" si="9"/>
        <v>0</v>
      </c>
      <c r="P24" s="371">
        <f t="shared" si="9"/>
        <v>0</v>
      </c>
      <c r="Q24" s="371">
        <f t="shared" si="9"/>
        <v>0</v>
      </c>
      <c r="R24" s="371">
        <f t="shared" si="9"/>
        <v>2.4501614879162491E-2</v>
      </c>
      <c r="S24" s="371">
        <f t="shared" si="9"/>
        <v>0</v>
      </c>
      <c r="T24" s="371" t="e">
        <f t="shared" si="9"/>
        <v>#DIV/0!</v>
      </c>
      <c r="U24" s="371" t="e">
        <f t="shared" si="9"/>
        <v>#DIV/0!</v>
      </c>
      <c r="V24" s="371" t="e">
        <f t="shared" si="9"/>
        <v>#DIV/0!</v>
      </c>
      <c r="W24" s="371" t="e">
        <f t="shared" si="9"/>
        <v>#DIV/0!</v>
      </c>
      <c r="X24" s="371">
        <f t="shared" si="9"/>
        <v>0</v>
      </c>
      <c r="Y24" s="371" t="e">
        <f t="shared" si="9"/>
        <v>#DIV/0!</v>
      </c>
      <c r="Z24" s="371" t="e">
        <f t="shared" si="9"/>
        <v>#DIV/0!</v>
      </c>
      <c r="AA24" s="371" t="e">
        <f t="shared" si="9"/>
        <v>#DIV/0!</v>
      </c>
      <c r="AB24" s="371" t="e">
        <f t="shared" si="9"/>
        <v>#DIV/0!</v>
      </c>
      <c r="AC24" s="371" t="e">
        <f t="shared" si="9"/>
        <v>#DIV/0!</v>
      </c>
      <c r="AD24" s="371" t="e">
        <f t="shared" si="9"/>
        <v>#DIV/0!</v>
      </c>
      <c r="AE24" s="371" t="e">
        <f t="shared" si="9"/>
        <v>#DIV/0!</v>
      </c>
      <c r="AF24" s="371" t="e">
        <f t="shared" si="9"/>
        <v>#DIV/0!</v>
      </c>
      <c r="AG24" s="371" t="e">
        <f t="shared" si="9"/>
        <v>#DIV/0!</v>
      </c>
      <c r="AH24" s="371" t="e">
        <f t="shared" si="9"/>
        <v>#DIV/0!</v>
      </c>
      <c r="AI24" s="371" t="e">
        <f t="shared" si="9"/>
        <v>#DIV/0!</v>
      </c>
      <c r="AJ24" s="371" t="e">
        <f t="shared" si="9"/>
        <v>#DIV/0!</v>
      </c>
      <c r="AK24" s="371" t="e">
        <f t="shared" si="9"/>
        <v>#DIV/0!</v>
      </c>
      <c r="AL24" s="371" t="e">
        <f t="shared" si="9"/>
        <v>#DIV/0!</v>
      </c>
      <c r="AM24" s="371" t="e">
        <f t="shared" si="9"/>
        <v>#DIV/0!</v>
      </c>
      <c r="AN24" s="371" t="e">
        <f t="shared" si="9"/>
        <v>#DIV/0!</v>
      </c>
      <c r="AO24" s="371" t="e">
        <f t="shared" si="9"/>
        <v>#DIV/0!</v>
      </c>
      <c r="AP24" s="371" t="e">
        <f t="shared" si="9"/>
        <v>#DIV/0!</v>
      </c>
      <c r="AQ24" s="371" t="e">
        <f t="shared" si="9"/>
        <v>#DIV/0!</v>
      </c>
      <c r="AR24" s="371" t="e">
        <f t="shared" si="9"/>
        <v>#DIV/0!</v>
      </c>
      <c r="AS24" s="371" t="e">
        <f t="shared" si="9"/>
        <v>#DIV/0!</v>
      </c>
      <c r="AT24" s="371" t="e">
        <f t="shared" si="9"/>
        <v>#DIV/0!</v>
      </c>
      <c r="AU24" s="371" t="e">
        <f t="shared" si="9"/>
        <v>#DIV/0!</v>
      </c>
      <c r="AV24" s="371" t="e">
        <f t="shared" si="9"/>
        <v>#DIV/0!</v>
      </c>
      <c r="AW24" s="371" t="e">
        <f t="shared" si="9"/>
        <v>#DIV/0!</v>
      </c>
      <c r="AX24" s="371" t="e">
        <f t="shared" si="9"/>
        <v>#DIV/0!</v>
      </c>
      <c r="AY24" s="371" t="e">
        <f t="shared" si="9"/>
        <v>#DIV/0!</v>
      </c>
      <c r="AZ24" s="371" t="e">
        <f t="shared" si="9"/>
        <v>#DIV/0!</v>
      </c>
      <c r="BA24" s="371" t="e">
        <f t="shared" si="9"/>
        <v>#DIV/0!</v>
      </c>
      <c r="BB24" s="371" t="e">
        <f t="shared" si="9"/>
        <v>#DIV/0!</v>
      </c>
      <c r="BC24" s="371" t="e">
        <f t="shared" si="9"/>
        <v>#DIV/0!</v>
      </c>
      <c r="BD24" s="445">
        <f t="shared" ref="BD24" si="10">BD23/(BD7-BD23)</f>
        <v>1.5831134564643801E-2</v>
      </c>
    </row>
    <row r="25" spans="1:56" ht="13.5" customHeight="1" x14ac:dyDescent="0.25">
      <c r="A25" s="142"/>
      <c r="B25" s="143"/>
      <c r="C25" s="164"/>
      <c r="D25" s="165"/>
      <c r="E25" s="165"/>
      <c r="F25" s="165"/>
      <c r="G25" s="166"/>
      <c r="H25" s="164"/>
      <c r="I25" s="165"/>
      <c r="J25" s="165"/>
      <c r="K25" s="166"/>
      <c r="L25" s="164"/>
      <c r="M25" s="165"/>
      <c r="N25" s="165"/>
      <c r="O25" s="166"/>
      <c r="P25" s="164"/>
      <c r="Q25" s="165"/>
      <c r="R25" s="165"/>
      <c r="S25" s="166"/>
      <c r="T25" s="164"/>
      <c r="U25" s="165"/>
      <c r="V25" s="165"/>
      <c r="W25" s="165"/>
      <c r="X25" s="166"/>
      <c r="Y25" s="164"/>
      <c r="Z25" s="165"/>
      <c r="AA25" s="165"/>
      <c r="AB25" s="166"/>
      <c r="AC25" s="164"/>
      <c r="AD25" s="165"/>
      <c r="AE25" s="165"/>
      <c r="AF25" s="166"/>
      <c r="AG25" s="164"/>
      <c r="AH25" s="165"/>
      <c r="AI25" s="165"/>
      <c r="AJ25" s="165"/>
      <c r="AK25" s="166"/>
      <c r="AL25" s="164"/>
      <c r="AM25" s="165"/>
      <c r="AN25" s="165"/>
      <c r="AO25" s="166"/>
      <c r="AP25" s="164"/>
      <c r="AQ25" s="165"/>
      <c r="AR25" s="165"/>
      <c r="AS25" s="165"/>
      <c r="AT25" s="166"/>
      <c r="AU25" s="164"/>
      <c r="AV25" s="165"/>
      <c r="AW25" s="165"/>
      <c r="AX25" s="143"/>
      <c r="AY25" s="164"/>
      <c r="AZ25" s="165"/>
      <c r="BA25" s="165"/>
      <c r="BB25" s="165"/>
      <c r="BC25" s="165"/>
      <c r="BD25" s="416">
        <f t="shared" si="3"/>
        <v>0</v>
      </c>
    </row>
    <row r="26" spans="1:56" ht="13.5" customHeight="1" x14ac:dyDescent="0.25">
      <c r="A26" s="167" t="s">
        <v>31</v>
      </c>
      <c r="B26" s="151"/>
      <c r="C26" s="152"/>
      <c r="D26" s="153"/>
      <c r="E26" s="153"/>
      <c r="F26" s="153"/>
      <c r="G26" s="154"/>
      <c r="H26" s="152"/>
      <c r="I26" s="153"/>
      <c r="J26" s="153"/>
      <c r="K26" s="154"/>
      <c r="L26" s="152"/>
      <c r="M26" s="153"/>
      <c r="N26" s="153"/>
      <c r="O26" s="154"/>
      <c r="P26" s="152"/>
      <c r="Q26" s="153"/>
      <c r="R26" s="153"/>
      <c r="S26" s="154"/>
      <c r="T26" s="152"/>
      <c r="U26" s="153"/>
      <c r="V26" s="153"/>
      <c r="W26" s="153"/>
      <c r="X26" s="154"/>
      <c r="Y26" s="152"/>
      <c r="Z26" s="153"/>
      <c r="AA26" s="153"/>
      <c r="AB26" s="154"/>
      <c r="AC26" s="152"/>
      <c r="AD26" s="153"/>
      <c r="AE26" s="153"/>
      <c r="AF26" s="154"/>
      <c r="AG26" s="152"/>
      <c r="AH26" s="153"/>
      <c r="AI26" s="153"/>
      <c r="AJ26" s="153"/>
      <c r="AK26" s="154"/>
      <c r="AL26" s="152"/>
      <c r="AM26" s="153"/>
      <c r="AN26" s="153"/>
      <c r="AO26" s="154"/>
      <c r="AP26" s="152"/>
      <c r="AQ26" s="153"/>
      <c r="AR26" s="153"/>
      <c r="AS26" s="153"/>
      <c r="AT26" s="154"/>
      <c r="AU26" s="152"/>
      <c r="AV26" s="153"/>
      <c r="AW26" s="153"/>
      <c r="AX26" s="151"/>
      <c r="AY26" s="152"/>
      <c r="AZ26" s="153"/>
      <c r="BA26" s="153"/>
      <c r="BB26" s="153"/>
      <c r="BC26" s="153"/>
      <c r="BD26" s="416">
        <f t="shared" si="3"/>
        <v>0</v>
      </c>
    </row>
    <row r="27" spans="1:56" ht="13.5" customHeight="1" x14ac:dyDescent="0.25">
      <c r="A27" s="167" t="s">
        <v>32</v>
      </c>
      <c r="B27" s="151"/>
      <c r="C27" s="158"/>
      <c r="D27" s="159"/>
      <c r="E27" s="159"/>
      <c r="F27" s="159"/>
      <c r="G27" s="160"/>
      <c r="H27" s="161"/>
      <c r="I27" s="162"/>
      <c r="J27" s="162"/>
      <c r="K27" s="163"/>
      <c r="L27" s="161"/>
      <c r="M27" s="162"/>
      <c r="N27" s="162"/>
      <c r="O27" s="163"/>
      <c r="P27" s="161"/>
      <c r="Q27" s="162"/>
      <c r="R27" s="162"/>
      <c r="S27" s="163"/>
      <c r="T27" s="161"/>
      <c r="U27" s="162"/>
      <c r="V27" s="162"/>
      <c r="W27" s="162"/>
      <c r="X27" s="163"/>
      <c r="Y27" s="161"/>
      <c r="Z27" s="162"/>
      <c r="AA27" s="162"/>
      <c r="AB27" s="163"/>
      <c r="AC27" s="161"/>
      <c r="AD27" s="162"/>
      <c r="AE27" s="162"/>
      <c r="AF27" s="163"/>
      <c r="AG27" s="161"/>
      <c r="AH27" s="162"/>
      <c r="AI27" s="162"/>
      <c r="AJ27" s="162"/>
      <c r="AK27" s="163"/>
      <c r="AL27" s="161"/>
      <c r="AM27" s="162"/>
      <c r="AN27" s="162"/>
      <c r="AO27" s="163"/>
      <c r="AP27" s="161"/>
      <c r="AQ27" s="162"/>
      <c r="AR27" s="162"/>
      <c r="AS27" s="162"/>
      <c r="AT27" s="163"/>
      <c r="AU27" s="161"/>
      <c r="AV27" s="162"/>
      <c r="AW27" s="162"/>
      <c r="AX27" s="326"/>
      <c r="AY27" s="161"/>
      <c r="AZ27" s="162"/>
      <c r="BA27" s="162"/>
      <c r="BB27" s="162"/>
      <c r="BC27" s="411"/>
      <c r="BD27" s="416">
        <f t="shared" si="3"/>
        <v>0</v>
      </c>
    </row>
    <row r="28" spans="1:56" ht="13.5" customHeight="1" x14ac:dyDescent="0.25">
      <c r="A28" s="168" t="s">
        <v>33</v>
      </c>
      <c r="B28" s="169"/>
      <c r="C28" s="155">
        <f>C27/C7</f>
        <v>0</v>
      </c>
      <c r="D28" s="156">
        <f t="shared" ref="D28:AB28" si="11">D27/D7</f>
        <v>0</v>
      </c>
      <c r="E28" s="156">
        <f t="shared" si="11"/>
        <v>0</v>
      </c>
      <c r="F28" s="156">
        <f t="shared" si="11"/>
        <v>0</v>
      </c>
      <c r="G28" s="157">
        <f t="shared" si="11"/>
        <v>0</v>
      </c>
      <c r="H28" s="155">
        <f t="shared" si="11"/>
        <v>0</v>
      </c>
      <c r="I28" s="156">
        <f t="shared" si="11"/>
        <v>0</v>
      </c>
      <c r="J28" s="156">
        <f t="shared" si="11"/>
        <v>0</v>
      </c>
      <c r="K28" s="157">
        <f t="shared" si="11"/>
        <v>0</v>
      </c>
      <c r="L28" s="155">
        <f t="shared" si="11"/>
        <v>0</v>
      </c>
      <c r="M28" s="156">
        <f t="shared" si="11"/>
        <v>0</v>
      </c>
      <c r="N28" s="156">
        <f t="shared" si="11"/>
        <v>0</v>
      </c>
      <c r="O28" s="157">
        <f t="shared" si="11"/>
        <v>0</v>
      </c>
      <c r="P28" s="155">
        <f t="shared" si="11"/>
        <v>0</v>
      </c>
      <c r="Q28" s="155">
        <f t="shared" si="11"/>
        <v>0</v>
      </c>
      <c r="R28" s="155">
        <f t="shared" si="11"/>
        <v>0</v>
      </c>
      <c r="S28" s="155">
        <f t="shared" si="11"/>
        <v>0</v>
      </c>
      <c r="T28" s="155" t="e">
        <f t="shared" si="11"/>
        <v>#DIV/0!</v>
      </c>
      <c r="U28" s="155" t="e">
        <f t="shared" si="11"/>
        <v>#DIV/0!</v>
      </c>
      <c r="V28" s="155" t="e">
        <f t="shared" si="11"/>
        <v>#DIV/0!</v>
      </c>
      <c r="W28" s="155" t="e">
        <f t="shared" si="11"/>
        <v>#DIV/0!</v>
      </c>
      <c r="X28" s="155">
        <f t="shared" si="11"/>
        <v>0</v>
      </c>
      <c r="Y28" s="155" t="e">
        <f t="shared" si="11"/>
        <v>#DIV/0!</v>
      </c>
      <c r="Z28" s="155" t="e">
        <f t="shared" si="11"/>
        <v>#DIV/0!</v>
      </c>
      <c r="AA28" s="155" t="e">
        <f t="shared" si="11"/>
        <v>#DIV/0!</v>
      </c>
      <c r="AB28" s="155" t="e">
        <f t="shared" si="11"/>
        <v>#DIV/0!</v>
      </c>
      <c r="AC28" s="155" t="e">
        <f>AC27/AC7</f>
        <v>#DIV/0!</v>
      </c>
      <c r="AD28" s="155" t="e">
        <f t="shared" ref="AD28:BA28" si="12">AD27/AD7</f>
        <v>#DIV/0!</v>
      </c>
      <c r="AE28" s="155" t="e">
        <f t="shared" si="12"/>
        <v>#DIV/0!</v>
      </c>
      <c r="AF28" s="155" t="e">
        <f t="shared" si="12"/>
        <v>#DIV/0!</v>
      </c>
      <c r="AG28" s="155" t="e">
        <f t="shared" si="12"/>
        <v>#DIV/0!</v>
      </c>
      <c r="AH28" s="155" t="e">
        <f t="shared" si="12"/>
        <v>#DIV/0!</v>
      </c>
      <c r="AI28" s="155" t="e">
        <f t="shared" si="12"/>
        <v>#DIV/0!</v>
      </c>
      <c r="AJ28" s="155" t="e">
        <f t="shared" si="12"/>
        <v>#DIV/0!</v>
      </c>
      <c r="AK28" s="155" t="e">
        <f t="shared" si="12"/>
        <v>#DIV/0!</v>
      </c>
      <c r="AL28" s="155" t="e">
        <f t="shared" si="12"/>
        <v>#DIV/0!</v>
      </c>
      <c r="AM28" s="155" t="e">
        <f t="shared" si="12"/>
        <v>#DIV/0!</v>
      </c>
      <c r="AN28" s="155" t="e">
        <f t="shared" si="12"/>
        <v>#DIV/0!</v>
      </c>
      <c r="AO28" s="155" t="e">
        <f t="shared" si="12"/>
        <v>#DIV/0!</v>
      </c>
      <c r="AP28" s="155" t="e">
        <f t="shared" si="12"/>
        <v>#DIV/0!</v>
      </c>
      <c r="AQ28" s="155" t="e">
        <f t="shared" si="12"/>
        <v>#DIV/0!</v>
      </c>
      <c r="AR28" s="155" t="e">
        <f t="shared" si="12"/>
        <v>#DIV/0!</v>
      </c>
      <c r="AS28" s="155" t="e">
        <f t="shared" si="12"/>
        <v>#DIV/0!</v>
      </c>
      <c r="AT28" s="155" t="e">
        <f t="shared" si="12"/>
        <v>#DIV/0!</v>
      </c>
      <c r="AU28" s="155" t="e">
        <f t="shared" si="12"/>
        <v>#DIV/0!</v>
      </c>
      <c r="AV28" s="155" t="e">
        <f t="shared" si="12"/>
        <v>#DIV/0!</v>
      </c>
      <c r="AW28" s="155" t="e">
        <f t="shared" si="12"/>
        <v>#DIV/0!</v>
      </c>
      <c r="AX28" s="155" t="e">
        <f t="shared" si="12"/>
        <v>#DIV/0!</v>
      </c>
      <c r="AY28" s="155" t="e">
        <f t="shared" si="12"/>
        <v>#DIV/0!</v>
      </c>
      <c r="AZ28" s="155" t="e">
        <f t="shared" si="12"/>
        <v>#DIV/0!</v>
      </c>
      <c r="BA28" s="155" t="e">
        <f t="shared" si="12"/>
        <v>#DIV/0!</v>
      </c>
      <c r="BB28" s="155" t="e">
        <f t="shared" ref="BB28:BD28" si="13">BB27/BB7</f>
        <v>#DIV/0!</v>
      </c>
      <c r="BC28" s="155" t="e">
        <f t="shared" si="13"/>
        <v>#DIV/0!</v>
      </c>
      <c r="BD28" s="417">
        <f t="shared" si="13"/>
        <v>0</v>
      </c>
    </row>
    <row r="29" spans="1:56" ht="13.5" customHeight="1" x14ac:dyDescent="0.25">
      <c r="A29" s="142"/>
      <c r="B29" s="143"/>
      <c r="C29" s="164"/>
      <c r="D29" s="165"/>
      <c r="E29" s="165"/>
      <c r="F29" s="165"/>
      <c r="G29" s="166"/>
      <c r="H29" s="164"/>
      <c r="I29" s="165"/>
      <c r="J29" s="165"/>
      <c r="K29" s="166"/>
      <c r="L29" s="164"/>
      <c r="M29" s="165"/>
      <c r="N29" s="165"/>
      <c r="O29" s="166"/>
      <c r="P29" s="164"/>
      <c r="Q29" s="165"/>
      <c r="R29" s="165"/>
      <c r="S29" s="166"/>
      <c r="T29" s="164"/>
      <c r="U29" s="165"/>
      <c r="V29" s="165"/>
      <c r="W29" s="165"/>
      <c r="X29" s="166"/>
      <c r="Y29" s="164"/>
      <c r="Z29" s="165"/>
      <c r="AA29" s="165"/>
      <c r="AB29" s="166"/>
      <c r="AC29" s="164"/>
      <c r="AD29" s="165"/>
      <c r="AE29" s="165"/>
      <c r="AF29" s="166"/>
      <c r="AG29" s="164"/>
      <c r="AH29" s="165"/>
      <c r="AI29" s="165"/>
      <c r="AJ29" s="165"/>
      <c r="AK29" s="166"/>
      <c r="AL29" s="164"/>
      <c r="AM29" s="165"/>
      <c r="AN29" s="165"/>
      <c r="AO29" s="166"/>
      <c r="AP29" s="164"/>
      <c r="AQ29" s="165"/>
      <c r="AR29" s="165"/>
      <c r="AS29" s="165"/>
      <c r="AT29" s="166"/>
      <c r="AU29" s="164"/>
      <c r="AV29" s="165"/>
      <c r="AW29" s="165"/>
      <c r="AX29" s="143"/>
      <c r="AY29" s="164"/>
      <c r="AZ29" s="165"/>
      <c r="BA29" s="165"/>
      <c r="BB29" s="165"/>
      <c r="BC29" s="165"/>
      <c r="BD29" s="416">
        <f t="shared" si="3"/>
        <v>0</v>
      </c>
    </row>
    <row r="30" spans="1:56" ht="13.5" customHeight="1" x14ac:dyDescent="0.25">
      <c r="A30" s="170" t="s">
        <v>107</v>
      </c>
      <c r="B30" s="171"/>
      <c r="C30" s="172">
        <f>C20+C31-C38</f>
        <v>4783</v>
      </c>
      <c r="D30" s="172">
        <f t="shared" ref="D30:G30" si="14">D20+D31-D38</f>
        <v>30486</v>
      </c>
      <c r="E30" s="172">
        <f t="shared" si="14"/>
        <v>29296</v>
      </c>
      <c r="F30" s="172">
        <f t="shared" si="14"/>
        <v>33501</v>
      </c>
      <c r="G30" s="172">
        <f t="shared" si="14"/>
        <v>28267</v>
      </c>
      <c r="H30" s="172">
        <f t="shared" ref="H30" si="15">H20+H31-H38</f>
        <v>17859</v>
      </c>
      <c r="I30" s="172">
        <f t="shared" ref="I30" si="16">I20+I31-I38</f>
        <v>18826</v>
      </c>
      <c r="J30" s="172">
        <f t="shared" ref="J30" si="17">J20+J31-J38</f>
        <v>26376</v>
      </c>
      <c r="K30" s="172">
        <f t="shared" ref="K30" si="18">K20+K31-K38</f>
        <v>17316</v>
      </c>
      <c r="L30" s="172">
        <f t="shared" ref="L30" si="19">L20+L31-L38</f>
        <v>19531</v>
      </c>
      <c r="M30" s="172">
        <f t="shared" ref="M30" si="20">M20+M31-M38</f>
        <v>14571</v>
      </c>
      <c r="N30" s="172">
        <f t="shared" ref="N30" si="21">N20+N31-N38</f>
        <v>13714</v>
      </c>
      <c r="O30" s="172">
        <f t="shared" ref="O30" si="22">O20+O31-O38</f>
        <v>13509</v>
      </c>
      <c r="P30" s="172">
        <f t="shared" ref="P30" si="23">P20+P31-P38</f>
        <v>10241</v>
      </c>
      <c r="Q30" s="172">
        <f t="shared" ref="Q30" si="24">Q20+Q31-Q38</f>
        <v>9442</v>
      </c>
      <c r="R30" s="172">
        <f t="shared" ref="R30" si="25">R20+R31-R38</f>
        <v>8792</v>
      </c>
      <c r="S30" s="172">
        <f t="shared" ref="S30" si="26">S20+S31-S38</f>
        <v>9259</v>
      </c>
      <c r="T30" s="172">
        <f t="shared" ref="T30" si="27">T20+T31-T38</f>
        <v>0</v>
      </c>
      <c r="U30" s="172">
        <f t="shared" ref="U30" si="28">U20+U31-U38</f>
        <v>0</v>
      </c>
      <c r="V30" s="172">
        <f t="shared" ref="V30" si="29">V20+V31-V38</f>
        <v>0</v>
      </c>
      <c r="W30" s="172">
        <f t="shared" ref="W30" si="30">W20+W31-W38</f>
        <v>0</v>
      </c>
      <c r="X30" s="172">
        <f>X20+X31-X38</f>
        <v>19586</v>
      </c>
      <c r="Y30" s="172">
        <f t="shared" ref="Y30" si="31">Y20+Y31-Y38</f>
        <v>0</v>
      </c>
      <c r="Z30" s="172">
        <f t="shared" ref="Z30" si="32">Z20+Z31-Z38</f>
        <v>0</v>
      </c>
      <c r="AA30" s="172">
        <f t="shared" ref="AA30" si="33">AA20+AA31-AA38</f>
        <v>0</v>
      </c>
      <c r="AB30" s="172">
        <f t="shared" ref="AB30" si="34">AB20+AB31-AB38</f>
        <v>0</v>
      </c>
      <c r="AC30" s="172">
        <f t="shared" ref="AC30" si="35">AC20+AC31-AC38</f>
        <v>0</v>
      </c>
      <c r="AD30" s="172">
        <f t="shared" ref="AD30" si="36">AD20+AD31-AD38</f>
        <v>0</v>
      </c>
      <c r="AE30" s="172">
        <f t="shared" ref="AE30" si="37">AE20+AE31-AE38</f>
        <v>0</v>
      </c>
      <c r="AF30" s="172">
        <f t="shared" ref="AF30" si="38">AF20+AF31-AF38</f>
        <v>0</v>
      </c>
      <c r="AG30" s="172">
        <f t="shared" ref="AG30" si="39">AG20+AG31-AG38</f>
        <v>0</v>
      </c>
      <c r="AH30" s="172">
        <f t="shared" ref="AH30" si="40">AH20+AH31-AH38</f>
        <v>0</v>
      </c>
      <c r="AI30" s="172">
        <f t="shared" ref="AI30" si="41">AI20+AI31-AI38</f>
        <v>0</v>
      </c>
      <c r="AJ30" s="172">
        <f t="shared" ref="AJ30" si="42">AJ20+AJ31-AJ38</f>
        <v>0</v>
      </c>
      <c r="AK30" s="172">
        <f t="shared" ref="AK30" si="43">AK20+AK31-AK38</f>
        <v>0</v>
      </c>
      <c r="AL30" s="172">
        <f t="shared" ref="AL30" si="44">AL20+AL31-AL38</f>
        <v>0</v>
      </c>
      <c r="AM30" s="172">
        <f t="shared" ref="AM30" si="45">AM20+AM31-AM38</f>
        <v>0</v>
      </c>
      <c r="AN30" s="172">
        <f t="shared" ref="AN30" si="46">AN20+AN31-AN38</f>
        <v>0</v>
      </c>
      <c r="AO30" s="172">
        <f t="shared" ref="AO30" si="47">AO20+AO31-AO38</f>
        <v>0</v>
      </c>
      <c r="AP30" s="172">
        <f t="shared" ref="AP30" si="48">AP20+AP31-AP38</f>
        <v>0</v>
      </c>
      <c r="AQ30" s="172">
        <f t="shared" ref="AQ30" si="49">AQ20+AQ31-AQ38</f>
        <v>0</v>
      </c>
      <c r="AR30" s="172">
        <f t="shared" ref="AR30" si="50">AR20+AR31-AR38</f>
        <v>0</v>
      </c>
      <c r="AS30" s="172">
        <f t="shared" ref="AS30" si="51">AS20+AS31-AS38</f>
        <v>0</v>
      </c>
      <c r="AT30" s="172">
        <f t="shared" ref="AT30" si="52">AT20+AT31-AT38</f>
        <v>0</v>
      </c>
      <c r="AU30" s="172">
        <f t="shared" ref="AU30" si="53">AU20+AU31-AU38</f>
        <v>0</v>
      </c>
      <c r="AV30" s="172">
        <f t="shared" ref="AV30" si="54">AV20+AV31-AV38</f>
        <v>0</v>
      </c>
      <c r="AW30" s="172">
        <f t="shared" ref="AW30" si="55">AW20+AW31-AW38</f>
        <v>0</v>
      </c>
      <c r="AX30" s="172">
        <f t="shared" ref="AX30" si="56">AX20+AX31-AX38</f>
        <v>0</v>
      </c>
      <c r="AY30" s="172">
        <f t="shared" ref="AY30" si="57">AY20+AY31-AY38</f>
        <v>0</v>
      </c>
      <c r="AZ30" s="172">
        <f t="shared" ref="AZ30" si="58">AZ20+AZ31-AZ38</f>
        <v>0</v>
      </c>
      <c r="BA30" s="172">
        <f t="shared" ref="BA30" si="59">BA20+BA31-BA38</f>
        <v>0</v>
      </c>
      <c r="BB30" s="172">
        <f t="shared" ref="BB30" si="60">BB20+BB31-BB38</f>
        <v>0</v>
      </c>
      <c r="BC30" s="172">
        <f t="shared" ref="BC30" si="61">BC20+BC31-BC38</f>
        <v>0</v>
      </c>
      <c r="BD30" s="416">
        <f>SUM(C30:BC30)</f>
        <v>325355</v>
      </c>
    </row>
    <row r="31" spans="1:56" ht="13.5" customHeight="1" x14ac:dyDescent="0.25">
      <c r="A31" s="105" t="s">
        <v>35</v>
      </c>
      <c r="B31" s="138"/>
      <c r="C31" s="116"/>
      <c r="D31" s="122"/>
      <c r="E31" s="122"/>
      <c r="F31" s="122"/>
      <c r="G31" s="123"/>
      <c r="H31" s="129"/>
      <c r="I31" s="130"/>
      <c r="J31" s="130"/>
      <c r="K31" s="131"/>
      <c r="L31" s="129"/>
      <c r="M31" s="130"/>
      <c r="N31" s="130"/>
      <c r="O31" s="131"/>
      <c r="P31" s="129"/>
      <c r="Q31" s="130"/>
      <c r="R31" s="130"/>
      <c r="S31" s="131"/>
      <c r="T31" s="129"/>
      <c r="U31" s="130"/>
      <c r="V31" s="130"/>
      <c r="W31" s="130"/>
      <c r="X31" s="131"/>
      <c r="Y31" s="129"/>
      <c r="Z31" s="130"/>
      <c r="AA31" s="130"/>
      <c r="AB31" s="131"/>
      <c r="AC31" s="129"/>
      <c r="AD31" s="130"/>
      <c r="AE31" s="130"/>
      <c r="AF31" s="131"/>
      <c r="AG31" s="129"/>
      <c r="AH31" s="130"/>
      <c r="AI31" s="130"/>
      <c r="AJ31" s="130"/>
      <c r="AK31" s="131"/>
      <c r="AL31" s="129"/>
      <c r="AM31" s="130"/>
      <c r="AN31" s="130"/>
      <c r="AO31" s="131"/>
      <c r="AP31" s="129"/>
      <c r="AQ31" s="130"/>
      <c r="AR31" s="130"/>
      <c r="AS31" s="130"/>
      <c r="AT31" s="131"/>
      <c r="AU31" s="129"/>
      <c r="AV31" s="130"/>
      <c r="AW31" s="130"/>
      <c r="AX31" s="323"/>
      <c r="AY31" s="129"/>
      <c r="AZ31" s="130"/>
      <c r="BA31" s="130"/>
      <c r="BB31" s="130"/>
      <c r="BC31" s="406"/>
      <c r="BD31" s="416">
        <f t="shared" si="3"/>
        <v>0</v>
      </c>
    </row>
    <row r="32" spans="1:56" ht="13.5" customHeight="1" x14ac:dyDescent="0.25">
      <c r="A32" s="175"/>
      <c r="B32" s="138"/>
      <c r="C32" s="139"/>
      <c r="D32" s="140"/>
      <c r="E32" s="140"/>
      <c r="F32" s="140"/>
      <c r="G32" s="141"/>
      <c r="H32" s="139"/>
      <c r="I32" s="140"/>
      <c r="J32" s="140"/>
      <c r="K32" s="141"/>
      <c r="L32" s="139"/>
      <c r="M32" s="140"/>
      <c r="N32" s="140"/>
      <c r="O32" s="141"/>
      <c r="P32" s="139"/>
      <c r="Q32" s="140"/>
      <c r="R32" s="140"/>
      <c r="S32" s="141"/>
      <c r="T32" s="139"/>
      <c r="U32" s="140"/>
      <c r="V32" s="140"/>
      <c r="W32" s="140"/>
      <c r="X32" s="141"/>
      <c r="Y32" s="139"/>
      <c r="Z32" s="140"/>
      <c r="AA32" s="140"/>
      <c r="AB32" s="141"/>
      <c r="AC32" s="139"/>
      <c r="AD32" s="140"/>
      <c r="AE32" s="140"/>
      <c r="AF32" s="373"/>
      <c r="AG32" s="139"/>
      <c r="AH32" s="140"/>
      <c r="AI32" s="140"/>
      <c r="AJ32" s="140"/>
      <c r="AK32" s="141"/>
      <c r="AL32" s="139"/>
      <c r="AM32" s="140"/>
      <c r="AN32" s="140"/>
      <c r="AO32" s="141"/>
      <c r="AP32" s="139"/>
      <c r="AQ32" s="140"/>
      <c r="AR32" s="140"/>
      <c r="AS32" s="140"/>
      <c r="AT32" s="141"/>
      <c r="AU32" s="139"/>
      <c r="AV32" s="140"/>
      <c r="AW32" s="140"/>
      <c r="AX32" s="128"/>
      <c r="AY32" s="139"/>
      <c r="AZ32" s="140"/>
      <c r="BA32" s="140"/>
      <c r="BB32" s="140"/>
      <c r="BC32" s="140"/>
      <c r="BD32" s="416">
        <f t="shared" si="3"/>
        <v>0</v>
      </c>
    </row>
    <row r="33" spans="1:56" s="106" customFormat="1" ht="13.5" customHeight="1" x14ac:dyDescent="0.25">
      <c r="A33" s="142" t="s">
        <v>36</v>
      </c>
      <c r="B33" s="143"/>
      <c r="C33" s="144">
        <v>4002</v>
      </c>
      <c r="D33" s="145">
        <v>16065</v>
      </c>
      <c r="E33" s="145">
        <v>17101</v>
      </c>
      <c r="F33" s="145">
        <v>17323</v>
      </c>
      <c r="G33" s="146">
        <v>17166</v>
      </c>
      <c r="H33" s="147">
        <v>11963</v>
      </c>
      <c r="I33" s="148">
        <v>11725</v>
      </c>
      <c r="J33" s="148">
        <v>17038</v>
      </c>
      <c r="K33" s="149">
        <v>9180</v>
      </c>
      <c r="L33" s="147">
        <v>10041</v>
      </c>
      <c r="M33" s="148">
        <v>9258</v>
      </c>
      <c r="N33" s="148">
        <v>7105</v>
      </c>
      <c r="O33" s="149">
        <v>5581</v>
      </c>
      <c r="P33" s="147">
        <v>4485</v>
      </c>
      <c r="Q33" s="148">
        <v>6135</v>
      </c>
      <c r="R33" s="148">
        <v>7313</v>
      </c>
      <c r="S33" s="149"/>
      <c r="T33" s="147"/>
      <c r="U33" s="148"/>
      <c r="V33" s="148"/>
      <c r="W33" s="148"/>
      <c r="X33" s="149">
        <v>20760.14</v>
      </c>
      <c r="Y33" s="147"/>
      <c r="Z33" s="148"/>
      <c r="AA33" s="148"/>
      <c r="AB33" s="149"/>
      <c r="AC33" s="147"/>
      <c r="AD33" s="148"/>
      <c r="AE33" s="148"/>
      <c r="AF33" s="149"/>
      <c r="AG33" s="147"/>
      <c r="AH33" s="148"/>
      <c r="AI33" s="148"/>
      <c r="AJ33" s="148"/>
      <c r="AK33" s="149"/>
      <c r="AL33" s="147"/>
      <c r="AM33" s="148"/>
      <c r="AN33" s="148"/>
      <c r="AO33" s="149"/>
      <c r="AP33" s="147"/>
      <c r="AQ33" s="148"/>
      <c r="AR33" s="148"/>
      <c r="AS33" s="148"/>
      <c r="AT33" s="149"/>
      <c r="AU33" s="147"/>
      <c r="AV33" s="148"/>
      <c r="AW33" s="148"/>
      <c r="AX33" s="325"/>
      <c r="AY33" s="147"/>
      <c r="AZ33" s="148"/>
      <c r="BA33" s="148"/>
      <c r="BB33" s="148"/>
      <c r="BC33" s="409"/>
      <c r="BD33" s="416">
        <f>SUM(C33:BC33)</f>
        <v>192241.14</v>
      </c>
    </row>
    <row r="34" spans="1:56" ht="13.5" customHeight="1" x14ac:dyDescent="0.25">
      <c r="A34" s="168" t="s">
        <v>94</v>
      </c>
      <c r="B34" s="169"/>
      <c r="C34" s="155">
        <f>C33/C14</f>
        <v>0.16989302088639838</v>
      </c>
      <c r="D34" s="155">
        <f t="shared" ref="D34:BA34" si="62">D33/D14</f>
        <v>0.17429938482570062</v>
      </c>
      <c r="E34" s="155">
        <f t="shared" si="62"/>
        <v>0.1869452096724824</v>
      </c>
      <c r="F34" s="155">
        <f t="shared" si="62"/>
        <v>0.17675448441932126</v>
      </c>
      <c r="G34" s="155">
        <f t="shared" si="62"/>
        <v>0.18350722654579663</v>
      </c>
      <c r="H34" s="155">
        <f t="shared" si="62"/>
        <v>0.18386229155459924</v>
      </c>
      <c r="I34" s="155">
        <f t="shared" si="62"/>
        <v>0.18251867995018681</v>
      </c>
      <c r="J34" s="155">
        <f t="shared" si="62"/>
        <v>0.21154968400402291</v>
      </c>
      <c r="K34" s="155">
        <f t="shared" si="62"/>
        <v>0.19306399713979264</v>
      </c>
      <c r="L34" s="155">
        <f t="shared" si="62"/>
        <v>0.18510803038124032</v>
      </c>
      <c r="M34" s="155">
        <f>M33/M14</f>
        <v>0.19939694163256516</v>
      </c>
      <c r="N34" s="155">
        <f t="shared" si="62"/>
        <v>0.20343010937410524</v>
      </c>
      <c r="O34" s="155">
        <f t="shared" si="62"/>
        <v>0.19080994222024686</v>
      </c>
      <c r="P34" s="155">
        <f t="shared" si="62"/>
        <v>0.20732214672028845</v>
      </c>
      <c r="Q34" s="155">
        <f t="shared" si="62"/>
        <v>0.24433470070492652</v>
      </c>
      <c r="R34" s="155">
        <f t="shared" si="62"/>
        <v>0.26499257165633944</v>
      </c>
      <c r="S34" s="155">
        <f t="shared" si="62"/>
        <v>0</v>
      </c>
      <c r="T34" s="155" t="e">
        <f t="shared" si="62"/>
        <v>#DIV/0!</v>
      </c>
      <c r="U34" s="155" t="e">
        <f t="shared" si="62"/>
        <v>#DIV/0!</v>
      </c>
      <c r="V34" s="155" t="e">
        <f t="shared" si="62"/>
        <v>#DIV/0!</v>
      </c>
      <c r="W34" s="155" t="e">
        <f t="shared" si="62"/>
        <v>#DIV/0!</v>
      </c>
      <c r="X34" s="155">
        <f t="shared" si="62"/>
        <v>0.26940228393459642</v>
      </c>
      <c r="Y34" s="155" t="e">
        <f t="shared" si="62"/>
        <v>#DIV/0!</v>
      </c>
      <c r="Z34" s="155" t="e">
        <f t="shared" si="62"/>
        <v>#DIV/0!</v>
      </c>
      <c r="AA34" s="155" t="e">
        <f t="shared" si="62"/>
        <v>#DIV/0!</v>
      </c>
      <c r="AB34" s="155" t="e">
        <f t="shared" si="62"/>
        <v>#DIV/0!</v>
      </c>
      <c r="AC34" s="155" t="e">
        <f t="shared" si="62"/>
        <v>#DIV/0!</v>
      </c>
      <c r="AD34" s="155" t="e">
        <f t="shared" si="62"/>
        <v>#DIV/0!</v>
      </c>
      <c r="AE34" s="155" t="e">
        <f t="shared" si="62"/>
        <v>#DIV/0!</v>
      </c>
      <c r="AF34" s="155" t="e">
        <f t="shared" si="62"/>
        <v>#DIV/0!</v>
      </c>
      <c r="AG34" s="155" t="e">
        <f t="shared" si="62"/>
        <v>#DIV/0!</v>
      </c>
      <c r="AH34" s="155" t="e">
        <f t="shared" si="62"/>
        <v>#DIV/0!</v>
      </c>
      <c r="AI34" s="155" t="e">
        <f t="shared" si="62"/>
        <v>#DIV/0!</v>
      </c>
      <c r="AJ34" s="155" t="e">
        <f t="shared" si="62"/>
        <v>#DIV/0!</v>
      </c>
      <c r="AK34" s="155" t="e">
        <f t="shared" si="62"/>
        <v>#DIV/0!</v>
      </c>
      <c r="AL34" s="155" t="e">
        <f t="shared" si="62"/>
        <v>#DIV/0!</v>
      </c>
      <c r="AM34" s="155" t="e">
        <f t="shared" si="62"/>
        <v>#DIV/0!</v>
      </c>
      <c r="AN34" s="155" t="e">
        <f t="shared" si="62"/>
        <v>#DIV/0!</v>
      </c>
      <c r="AO34" s="155" t="e">
        <f t="shared" si="62"/>
        <v>#DIV/0!</v>
      </c>
      <c r="AP34" s="155" t="e">
        <f t="shared" si="62"/>
        <v>#DIV/0!</v>
      </c>
      <c r="AQ34" s="155" t="e">
        <f t="shared" si="62"/>
        <v>#DIV/0!</v>
      </c>
      <c r="AR34" s="155" t="e">
        <f t="shared" si="62"/>
        <v>#DIV/0!</v>
      </c>
      <c r="AS34" s="155" t="e">
        <f t="shared" si="62"/>
        <v>#DIV/0!</v>
      </c>
      <c r="AT34" s="155" t="e">
        <f t="shared" si="62"/>
        <v>#DIV/0!</v>
      </c>
      <c r="AU34" s="155" t="e">
        <f t="shared" si="62"/>
        <v>#DIV/0!</v>
      </c>
      <c r="AV34" s="155" t="e">
        <f t="shared" si="62"/>
        <v>#DIV/0!</v>
      </c>
      <c r="AW34" s="155" t="e">
        <f t="shared" si="62"/>
        <v>#DIV/0!</v>
      </c>
      <c r="AX34" s="155" t="e">
        <f t="shared" si="62"/>
        <v>#DIV/0!</v>
      </c>
      <c r="AY34" s="155" t="e">
        <f t="shared" si="62"/>
        <v>#DIV/0!</v>
      </c>
      <c r="AZ34" s="155" t="e">
        <f t="shared" si="62"/>
        <v>#DIV/0!</v>
      </c>
      <c r="BA34" s="155" t="e">
        <f t="shared" si="62"/>
        <v>#DIV/0!</v>
      </c>
      <c r="BB34" s="155" t="e">
        <f t="shared" ref="BB34:BD34" si="63">BB33/BB14</f>
        <v>#DIV/0!</v>
      </c>
      <c r="BC34" s="155" t="e">
        <f t="shared" si="63"/>
        <v>#DIV/0!</v>
      </c>
      <c r="BD34" s="417">
        <f t="shared" si="63"/>
        <v>0.19172482504615074</v>
      </c>
    </row>
    <row r="35" spans="1:56" ht="13.5" customHeight="1" x14ac:dyDescent="0.25">
      <c r="A35" s="175"/>
      <c r="B35" s="176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416">
        <f t="shared" si="3"/>
        <v>0</v>
      </c>
    </row>
    <row r="36" spans="1:56" ht="13.5" customHeight="1" x14ac:dyDescent="0.25">
      <c r="A36" s="142" t="s">
        <v>38</v>
      </c>
      <c r="B36" s="143"/>
      <c r="C36" s="164">
        <f>C20-C33</f>
        <v>10710</v>
      </c>
      <c r="D36" s="164">
        <f>D20-D33</f>
        <v>41394</v>
      </c>
      <c r="E36" s="164">
        <f t="shared" ref="E36:BA36" si="64">E20-E33</f>
        <v>39902</v>
      </c>
      <c r="F36" s="164">
        <f t="shared" si="64"/>
        <v>43770</v>
      </c>
      <c r="G36" s="164">
        <f t="shared" si="64"/>
        <v>41023</v>
      </c>
      <c r="H36" s="164">
        <f t="shared" si="64"/>
        <v>28684</v>
      </c>
      <c r="I36" s="164">
        <f t="shared" si="64"/>
        <v>28238</v>
      </c>
      <c r="J36" s="164">
        <f t="shared" si="64"/>
        <v>32718</v>
      </c>
      <c r="K36" s="164">
        <f t="shared" si="64"/>
        <v>20288</v>
      </c>
      <c r="L36" s="164">
        <f t="shared" si="64"/>
        <v>23757</v>
      </c>
      <c r="M36" s="164">
        <f t="shared" si="64"/>
        <v>19507</v>
      </c>
      <c r="N36" s="164">
        <f t="shared" si="64"/>
        <v>14583</v>
      </c>
      <c r="O36" s="164">
        <f t="shared" si="64"/>
        <v>12526</v>
      </c>
      <c r="P36" s="164">
        <f t="shared" si="64"/>
        <v>9033</v>
      </c>
      <c r="Q36" s="164">
        <f t="shared" si="64"/>
        <v>9323</v>
      </c>
      <c r="R36" s="164">
        <f t="shared" si="64"/>
        <v>9209</v>
      </c>
      <c r="S36" s="164">
        <f t="shared" si="64"/>
        <v>18008</v>
      </c>
      <c r="T36" s="164">
        <f t="shared" si="64"/>
        <v>0</v>
      </c>
      <c r="U36" s="164">
        <f>U20-U33</f>
        <v>0</v>
      </c>
      <c r="V36" s="164">
        <f t="shared" si="64"/>
        <v>0</v>
      </c>
      <c r="W36" s="164">
        <f t="shared" si="64"/>
        <v>0</v>
      </c>
      <c r="X36" s="164">
        <f t="shared" si="64"/>
        <v>25426.86</v>
      </c>
      <c r="Y36" s="164">
        <f t="shared" si="64"/>
        <v>0</v>
      </c>
      <c r="Z36" s="164">
        <f t="shared" si="64"/>
        <v>0</v>
      </c>
      <c r="AA36" s="164">
        <f t="shared" si="64"/>
        <v>0</v>
      </c>
      <c r="AB36" s="164">
        <f t="shared" si="64"/>
        <v>0</v>
      </c>
      <c r="AC36" s="164">
        <f t="shared" si="64"/>
        <v>0</v>
      </c>
      <c r="AD36" s="164">
        <f t="shared" si="64"/>
        <v>0</v>
      </c>
      <c r="AE36" s="164">
        <f t="shared" si="64"/>
        <v>0</v>
      </c>
      <c r="AF36" s="164">
        <f t="shared" si="64"/>
        <v>0</v>
      </c>
      <c r="AG36" s="164">
        <f t="shared" si="64"/>
        <v>0</v>
      </c>
      <c r="AH36" s="164">
        <f t="shared" si="64"/>
        <v>0</v>
      </c>
      <c r="AI36" s="164">
        <f t="shared" si="64"/>
        <v>0</v>
      </c>
      <c r="AJ36" s="164">
        <f t="shared" si="64"/>
        <v>0</v>
      </c>
      <c r="AK36" s="164">
        <f t="shared" si="64"/>
        <v>0</v>
      </c>
      <c r="AL36" s="164">
        <f t="shared" si="64"/>
        <v>0</v>
      </c>
      <c r="AM36" s="164">
        <f t="shared" si="64"/>
        <v>0</v>
      </c>
      <c r="AN36" s="164">
        <f t="shared" si="64"/>
        <v>0</v>
      </c>
      <c r="AO36" s="164">
        <f t="shared" si="64"/>
        <v>0</v>
      </c>
      <c r="AP36" s="164">
        <f t="shared" si="64"/>
        <v>0</v>
      </c>
      <c r="AQ36" s="164">
        <f t="shared" si="64"/>
        <v>0</v>
      </c>
      <c r="AR36" s="164">
        <f t="shared" si="64"/>
        <v>0</v>
      </c>
      <c r="AS36" s="164">
        <f t="shared" si="64"/>
        <v>0</v>
      </c>
      <c r="AT36" s="164">
        <f t="shared" si="64"/>
        <v>0</v>
      </c>
      <c r="AU36" s="164">
        <f t="shared" si="64"/>
        <v>0</v>
      </c>
      <c r="AV36" s="164">
        <f t="shared" si="64"/>
        <v>0</v>
      </c>
      <c r="AW36" s="164">
        <f t="shared" si="64"/>
        <v>0</v>
      </c>
      <c r="AX36" s="164">
        <f>AX20-AX33</f>
        <v>0</v>
      </c>
      <c r="AY36" s="164">
        <f t="shared" si="64"/>
        <v>0</v>
      </c>
      <c r="AZ36" s="164">
        <f t="shared" si="64"/>
        <v>0</v>
      </c>
      <c r="BA36" s="164">
        <f t="shared" si="64"/>
        <v>0</v>
      </c>
      <c r="BB36" s="164">
        <f t="shared" ref="BB36:BC36" si="65">BB20-BB33</f>
        <v>0</v>
      </c>
      <c r="BC36" s="164">
        <f t="shared" si="65"/>
        <v>0</v>
      </c>
      <c r="BD36" s="416">
        <f t="shared" si="3"/>
        <v>428099.86</v>
      </c>
    </row>
    <row r="37" spans="1:56" ht="13.5" customHeight="1" x14ac:dyDescent="0.25">
      <c r="A37" s="142"/>
      <c r="B37" s="143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416">
        <f t="shared" si="3"/>
        <v>0</v>
      </c>
    </row>
    <row r="38" spans="1:56" ht="13.5" customHeight="1" x14ac:dyDescent="0.25">
      <c r="A38" s="142" t="s">
        <v>39</v>
      </c>
      <c r="B38" s="143"/>
      <c r="C38" s="164">
        <f t="shared" ref="C38" si="66">SUM(C40:C51)</f>
        <v>9929</v>
      </c>
      <c r="D38" s="164">
        <f t="shared" ref="D38:BA38" si="67">SUM(D40:D51)</f>
        <v>26973</v>
      </c>
      <c r="E38" s="164">
        <f t="shared" si="67"/>
        <v>27707</v>
      </c>
      <c r="F38" s="164">
        <f>SUM(F40:F51)</f>
        <v>27592</v>
      </c>
      <c r="G38" s="164">
        <f t="shared" si="67"/>
        <v>29922</v>
      </c>
      <c r="H38" s="164">
        <f t="shared" si="67"/>
        <v>22788</v>
      </c>
      <c r="I38" s="164">
        <f t="shared" si="67"/>
        <v>21137</v>
      </c>
      <c r="J38" s="164">
        <f t="shared" si="67"/>
        <v>23380</v>
      </c>
      <c r="K38" s="164">
        <f t="shared" si="67"/>
        <v>12152</v>
      </c>
      <c r="L38" s="164">
        <f t="shared" si="67"/>
        <v>14267</v>
      </c>
      <c r="M38" s="164">
        <f t="shared" si="67"/>
        <v>14194</v>
      </c>
      <c r="N38" s="164">
        <f t="shared" si="67"/>
        <v>7974</v>
      </c>
      <c r="O38" s="164">
        <f t="shared" si="67"/>
        <v>4598</v>
      </c>
      <c r="P38" s="164">
        <f t="shared" si="67"/>
        <v>3277</v>
      </c>
      <c r="Q38" s="164">
        <f t="shared" si="67"/>
        <v>6016</v>
      </c>
      <c r="R38" s="164">
        <f t="shared" si="67"/>
        <v>7730</v>
      </c>
      <c r="S38" s="164">
        <f t="shared" si="67"/>
        <v>8749</v>
      </c>
      <c r="T38" s="164">
        <f t="shared" si="67"/>
        <v>0</v>
      </c>
      <c r="U38" s="164">
        <f>SUM(U40:U51)</f>
        <v>0</v>
      </c>
      <c r="V38" s="164">
        <f t="shared" si="67"/>
        <v>0</v>
      </c>
      <c r="W38" s="164">
        <f t="shared" si="67"/>
        <v>0</v>
      </c>
      <c r="X38" s="164">
        <f t="shared" si="67"/>
        <v>26601</v>
      </c>
      <c r="Y38" s="164">
        <f t="shared" si="67"/>
        <v>0</v>
      </c>
      <c r="Z38" s="164">
        <f t="shared" si="67"/>
        <v>0</v>
      </c>
      <c r="AA38" s="164">
        <f t="shared" si="67"/>
        <v>0</v>
      </c>
      <c r="AB38" s="164">
        <f t="shared" si="67"/>
        <v>0</v>
      </c>
      <c r="AC38" s="164">
        <f t="shared" si="67"/>
        <v>0</v>
      </c>
      <c r="AD38" s="164">
        <f t="shared" si="67"/>
        <v>0</v>
      </c>
      <c r="AE38" s="164">
        <f t="shared" si="67"/>
        <v>0</v>
      </c>
      <c r="AF38" s="164">
        <f t="shared" si="67"/>
        <v>0</v>
      </c>
      <c r="AG38" s="164">
        <f t="shared" si="67"/>
        <v>0</v>
      </c>
      <c r="AH38" s="164">
        <f t="shared" si="67"/>
        <v>0</v>
      </c>
      <c r="AI38" s="164">
        <f t="shared" si="67"/>
        <v>0</v>
      </c>
      <c r="AJ38" s="164">
        <f t="shared" si="67"/>
        <v>0</v>
      </c>
      <c r="AK38" s="164">
        <f t="shared" si="67"/>
        <v>0</v>
      </c>
      <c r="AL38" s="164">
        <f t="shared" si="67"/>
        <v>0</v>
      </c>
      <c r="AM38" s="164">
        <f t="shared" si="67"/>
        <v>0</v>
      </c>
      <c r="AN38" s="164">
        <f t="shared" si="67"/>
        <v>0</v>
      </c>
      <c r="AO38" s="164">
        <f t="shared" si="67"/>
        <v>0</v>
      </c>
      <c r="AP38" s="164">
        <f t="shared" si="67"/>
        <v>0</v>
      </c>
      <c r="AQ38" s="164">
        <f t="shared" si="67"/>
        <v>0</v>
      </c>
      <c r="AR38" s="164">
        <f t="shared" si="67"/>
        <v>0</v>
      </c>
      <c r="AS38" s="164">
        <f t="shared" si="67"/>
        <v>0</v>
      </c>
      <c r="AT38" s="164">
        <f t="shared" si="67"/>
        <v>0</v>
      </c>
      <c r="AU38" s="164">
        <f t="shared" si="67"/>
        <v>0</v>
      </c>
      <c r="AV38" s="164">
        <f t="shared" si="67"/>
        <v>0</v>
      </c>
      <c r="AW38" s="164">
        <f t="shared" si="67"/>
        <v>0</v>
      </c>
      <c r="AX38" s="164">
        <f>SUM(AX40:AX51)</f>
        <v>0</v>
      </c>
      <c r="AY38" s="164">
        <f t="shared" si="67"/>
        <v>0</v>
      </c>
      <c r="AZ38" s="164">
        <f t="shared" si="67"/>
        <v>0</v>
      </c>
      <c r="BA38" s="164">
        <f t="shared" si="67"/>
        <v>0</v>
      </c>
      <c r="BB38" s="164">
        <f t="shared" ref="BB38:BC38" si="68">SUM(BB40:BB51)</f>
        <v>0</v>
      </c>
      <c r="BC38" s="164">
        <f t="shared" si="68"/>
        <v>0</v>
      </c>
      <c r="BD38" s="416">
        <f t="shared" si="3"/>
        <v>294986</v>
      </c>
    </row>
    <row r="39" spans="1:56" ht="13.5" customHeight="1" x14ac:dyDescent="0.25">
      <c r="A39" s="168" t="s">
        <v>40</v>
      </c>
      <c r="B39" s="169"/>
      <c r="C39" s="155">
        <f>C38/C14</f>
        <v>0.42150619799626421</v>
      </c>
      <c r="D39" s="155">
        <f t="shared" ref="D39:BA39" si="69">D38/D14</f>
        <v>0.2926472024216385</v>
      </c>
      <c r="E39" s="155">
        <f t="shared" si="69"/>
        <v>0.30288818925182559</v>
      </c>
      <c r="F39" s="155">
        <f t="shared" si="69"/>
        <v>0.2815337836458992</v>
      </c>
      <c r="G39" s="155">
        <f t="shared" si="69"/>
        <v>0.31987086290943301</v>
      </c>
      <c r="H39" s="155">
        <f t="shared" si="69"/>
        <v>0.35023438100361176</v>
      </c>
      <c r="I39" s="155">
        <f t="shared" si="69"/>
        <v>0.32903175591531758</v>
      </c>
      <c r="J39" s="155">
        <f t="shared" si="69"/>
        <v>0.29029414321012181</v>
      </c>
      <c r="K39" s="155">
        <f t="shared" si="69"/>
        <v>0.25556794044038783</v>
      </c>
      <c r="L39" s="155">
        <f t="shared" si="69"/>
        <v>0.26301526436103534</v>
      </c>
      <c r="M39" s="155">
        <f>M38/M14</f>
        <v>0.30570751669179408</v>
      </c>
      <c r="N39" s="155">
        <f t="shared" si="69"/>
        <v>0.22831128672049475</v>
      </c>
      <c r="O39" s="155">
        <f t="shared" si="69"/>
        <v>0.15720195562241443</v>
      </c>
      <c r="P39" s="155">
        <f t="shared" si="69"/>
        <v>0.1514815328433412</v>
      </c>
      <c r="Q39" s="155">
        <f t="shared" si="69"/>
        <v>0.23959536421203553</v>
      </c>
      <c r="R39" s="155">
        <f t="shared" si="69"/>
        <v>0.28010290973656554</v>
      </c>
      <c r="S39" s="155">
        <f t="shared" si="69"/>
        <v>0.28873634533513748</v>
      </c>
      <c r="T39" s="155" t="e">
        <f t="shared" si="69"/>
        <v>#DIV/0!</v>
      </c>
      <c r="U39" s="155" t="e">
        <f t="shared" si="69"/>
        <v>#DIV/0!</v>
      </c>
      <c r="V39" s="155" t="e">
        <f t="shared" si="69"/>
        <v>#DIV/0!</v>
      </c>
      <c r="W39" s="155" t="e">
        <f t="shared" si="69"/>
        <v>#DIV/0!</v>
      </c>
      <c r="X39" s="155">
        <f t="shared" si="69"/>
        <v>0.34519854658707499</v>
      </c>
      <c r="Y39" s="155" t="e">
        <f t="shared" si="69"/>
        <v>#DIV/0!</v>
      </c>
      <c r="Z39" s="155" t="e">
        <f t="shared" si="69"/>
        <v>#DIV/0!</v>
      </c>
      <c r="AA39" s="155" t="e">
        <f t="shared" si="69"/>
        <v>#DIV/0!</v>
      </c>
      <c r="AB39" s="155" t="e">
        <f t="shared" si="69"/>
        <v>#DIV/0!</v>
      </c>
      <c r="AC39" s="155" t="e">
        <f t="shared" si="69"/>
        <v>#DIV/0!</v>
      </c>
      <c r="AD39" s="155" t="e">
        <f t="shared" si="69"/>
        <v>#DIV/0!</v>
      </c>
      <c r="AE39" s="155" t="e">
        <f t="shared" si="69"/>
        <v>#DIV/0!</v>
      </c>
      <c r="AF39" s="155" t="e">
        <f t="shared" si="69"/>
        <v>#DIV/0!</v>
      </c>
      <c r="AG39" s="155" t="e">
        <f t="shared" si="69"/>
        <v>#DIV/0!</v>
      </c>
      <c r="AH39" s="155" t="e">
        <f t="shared" si="69"/>
        <v>#DIV/0!</v>
      </c>
      <c r="AI39" s="155" t="e">
        <f t="shared" si="69"/>
        <v>#DIV/0!</v>
      </c>
      <c r="AJ39" s="155" t="e">
        <f t="shared" si="69"/>
        <v>#DIV/0!</v>
      </c>
      <c r="AK39" s="155" t="e">
        <f t="shared" si="69"/>
        <v>#DIV/0!</v>
      </c>
      <c r="AL39" s="155" t="e">
        <f t="shared" si="69"/>
        <v>#DIV/0!</v>
      </c>
      <c r="AM39" s="155" t="e">
        <f t="shared" si="69"/>
        <v>#DIV/0!</v>
      </c>
      <c r="AN39" s="155" t="e">
        <f t="shared" si="69"/>
        <v>#DIV/0!</v>
      </c>
      <c r="AO39" s="155" t="e">
        <f t="shared" si="69"/>
        <v>#DIV/0!</v>
      </c>
      <c r="AP39" s="155" t="e">
        <f t="shared" si="69"/>
        <v>#DIV/0!</v>
      </c>
      <c r="AQ39" s="155" t="e">
        <f t="shared" si="69"/>
        <v>#DIV/0!</v>
      </c>
      <c r="AR39" s="155" t="e">
        <f t="shared" si="69"/>
        <v>#DIV/0!</v>
      </c>
      <c r="AS39" s="155" t="e">
        <f t="shared" si="69"/>
        <v>#DIV/0!</v>
      </c>
      <c r="AT39" s="155" t="e">
        <f t="shared" si="69"/>
        <v>#DIV/0!</v>
      </c>
      <c r="AU39" s="155" t="e">
        <f t="shared" si="69"/>
        <v>#DIV/0!</v>
      </c>
      <c r="AV39" s="155" t="e">
        <f t="shared" si="69"/>
        <v>#DIV/0!</v>
      </c>
      <c r="AW39" s="155" t="e">
        <f t="shared" si="69"/>
        <v>#DIV/0!</v>
      </c>
      <c r="AX39" s="155" t="e">
        <f t="shared" si="69"/>
        <v>#DIV/0!</v>
      </c>
      <c r="AY39" s="155" t="e">
        <f t="shared" si="69"/>
        <v>#DIV/0!</v>
      </c>
      <c r="AZ39" s="155" t="e">
        <f t="shared" si="69"/>
        <v>#DIV/0!</v>
      </c>
      <c r="BA39" s="155" t="e">
        <f t="shared" si="69"/>
        <v>#DIV/0!</v>
      </c>
      <c r="BB39" s="155" t="e">
        <f t="shared" ref="BB39:BD39" si="70">BB38/BB14</f>
        <v>#DIV/0!</v>
      </c>
      <c r="BC39" s="155" t="e">
        <f t="shared" si="70"/>
        <v>#DIV/0!</v>
      </c>
      <c r="BD39" s="417">
        <f t="shared" si="70"/>
        <v>0.29419373626822964</v>
      </c>
    </row>
    <row r="40" spans="1:56" ht="13.5" customHeight="1" x14ac:dyDescent="0.25">
      <c r="A40" s="357" t="s">
        <v>102</v>
      </c>
      <c r="B40" s="178"/>
      <c r="C40" s="158">
        <v>4293</v>
      </c>
      <c r="D40" s="159">
        <v>16303</v>
      </c>
      <c r="E40" s="159">
        <v>18182</v>
      </c>
      <c r="F40" s="159">
        <v>18525</v>
      </c>
      <c r="G40" s="160">
        <v>18491</v>
      </c>
      <c r="H40" s="179">
        <v>15069</v>
      </c>
      <c r="I40" s="180">
        <v>13395</v>
      </c>
      <c r="J40" s="180">
        <v>18957</v>
      </c>
      <c r="K40" s="181">
        <v>9535</v>
      </c>
      <c r="L40" s="179">
        <v>10909</v>
      </c>
      <c r="M40" s="180">
        <v>11342</v>
      </c>
      <c r="N40" s="180">
        <v>6615</v>
      </c>
      <c r="O40" s="181">
        <v>3286</v>
      </c>
      <c r="P40" s="179">
        <v>2314</v>
      </c>
      <c r="Q40" s="180">
        <v>3054</v>
      </c>
      <c r="R40" s="180">
        <v>4228</v>
      </c>
      <c r="S40" s="181">
        <v>5830</v>
      </c>
      <c r="T40" s="179"/>
      <c r="U40" s="180"/>
      <c r="V40" s="180"/>
      <c r="W40" s="180"/>
      <c r="X40" s="181">
        <v>16406</v>
      </c>
      <c r="Y40" s="179"/>
      <c r="Z40" s="180"/>
      <c r="AA40" s="180"/>
      <c r="AB40" s="181"/>
      <c r="AC40" s="179"/>
      <c r="AD40" s="180"/>
      <c r="AE40" s="180"/>
      <c r="AF40" s="181"/>
      <c r="AG40" s="179"/>
      <c r="AH40" s="180"/>
      <c r="AI40" s="180"/>
      <c r="AJ40" s="180"/>
      <c r="AK40" s="181"/>
      <c r="AL40" s="179"/>
      <c r="AM40" s="180"/>
      <c r="AN40" s="180"/>
      <c r="AO40" s="181"/>
      <c r="AP40" s="179"/>
      <c r="AQ40" s="180"/>
      <c r="AR40" s="180"/>
      <c r="AS40" s="180"/>
      <c r="AT40" s="181"/>
      <c r="AU40" s="179"/>
      <c r="AV40" s="180"/>
      <c r="AW40" s="180"/>
      <c r="AX40" s="327"/>
      <c r="AY40" s="179"/>
      <c r="AZ40" s="180"/>
      <c r="BA40" s="180"/>
      <c r="BB40" s="180"/>
      <c r="BC40" s="412"/>
      <c r="BD40" s="416">
        <f t="shared" si="3"/>
        <v>196734</v>
      </c>
    </row>
    <row r="41" spans="1:56" ht="12.75" customHeight="1" x14ac:dyDescent="0.25">
      <c r="A41" s="357" t="s">
        <v>103</v>
      </c>
      <c r="B41" s="178"/>
      <c r="C41" s="158">
        <v>634</v>
      </c>
      <c r="D41" s="159">
        <v>1139</v>
      </c>
      <c r="E41" s="159">
        <v>2225</v>
      </c>
      <c r="F41" s="159">
        <v>2475</v>
      </c>
      <c r="G41" s="160">
        <v>5374</v>
      </c>
      <c r="H41" s="179">
        <v>2254</v>
      </c>
      <c r="I41" s="180">
        <v>3404</v>
      </c>
      <c r="J41" s="180">
        <v>1721</v>
      </c>
      <c r="K41" s="181">
        <v>536</v>
      </c>
      <c r="L41" s="179">
        <v>1608</v>
      </c>
      <c r="M41" s="180">
        <v>840</v>
      </c>
      <c r="N41" s="180">
        <v>330</v>
      </c>
      <c r="O41" s="181">
        <v>439</v>
      </c>
      <c r="P41" s="179">
        <v>108</v>
      </c>
      <c r="Q41" s="180">
        <v>126</v>
      </c>
      <c r="R41" s="180">
        <v>141</v>
      </c>
      <c r="S41" s="181">
        <v>152</v>
      </c>
      <c r="T41" s="179"/>
      <c r="U41" s="389"/>
      <c r="V41" s="389"/>
      <c r="W41" s="389"/>
      <c r="X41" s="543">
        <v>1032</v>
      </c>
      <c r="Y41" s="390"/>
      <c r="Z41" s="389"/>
      <c r="AA41" s="180"/>
      <c r="AB41" s="181"/>
      <c r="AC41" s="179"/>
      <c r="AD41" s="180"/>
      <c r="AE41" s="180"/>
      <c r="AF41" s="181"/>
      <c r="AG41" s="179"/>
      <c r="AH41" s="180"/>
      <c r="AI41" s="180"/>
      <c r="AJ41" s="180"/>
      <c r="AK41" s="181"/>
      <c r="AL41" s="179"/>
      <c r="AM41" s="180"/>
      <c r="AN41" s="180"/>
      <c r="AO41" s="181"/>
      <c r="AP41" s="179"/>
      <c r="AQ41" s="180"/>
      <c r="AR41" s="180"/>
      <c r="AS41" s="180"/>
      <c r="AT41" s="181"/>
      <c r="AU41" s="179"/>
      <c r="AV41" s="180"/>
      <c r="AW41" s="180"/>
      <c r="AX41" s="327"/>
      <c r="AY41" s="179"/>
      <c r="AZ41" s="180"/>
      <c r="BA41" s="180"/>
      <c r="BB41" s="180"/>
      <c r="BC41" s="412"/>
      <c r="BD41" s="416">
        <f t="shared" si="3"/>
        <v>24538</v>
      </c>
    </row>
    <row r="42" spans="1:56" ht="13.5" customHeight="1" x14ac:dyDescent="0.25">
      <c r="A42" s="357" t="s">
        <v>108</v>
      </c>
      <c r="C42" s="158">
        <v>346</v>
      </c>
      <c r="D42" s="159">
        <v>848</v>
      </c>
      <c r="E42" s="159">
        <v>790</v>
      </c>
      <c r="F42" s="159">
        <v>884</v>
      </c>
      <c r="G42" s="160">
        <v>745</v>
      </c>
      <c r="H42" s="179">
        <v>524</v>
      </c>
      <c r="I42" s="180">
        <v>617</v>
      </c>
      <c r="J42" s="180">
        <v>749</v>
      </c>
      <c r="K42" s="181">
        <v>501</v>
      </c>
      <c r="L42" s="179">
        <v>383</v>
      </c>
      <c r="M42" s="180">
        <v>414</v>
      </c>
      <c r="N42" s="180">
        <v>241</v>
      </c>
      <c r="O42" s="181">
        <v>283</v>
      </c>
      <c r="P42" s="179">
        <v>252</v>
      </c>
      <c r="Q42" s="180">
        <v>223</v>
      </c>
      <c r="R42" s="180">
        <v>298</v>
      </c>
      <c r="S42" s="181">
        <v>324</v>
      </c>
      <c r="T42" s="179"/>
      <c r="U42" s="180"/>
      <c r="V42" s="180"/>
      <c r="W42" s="180"/>
      <c r="X42" s="181">
        <v>700</v>
      </c>
      <c r="Y42" s="386"/>
      <c r="Z42" s="387"/>
      <c r="AA42" s="387"/>
      <c r="AB42" s="388"/>
      <c r="AC42" s="386"/>
      <c r="AD42" s="387"/>
      <c r="AE42" s="387"/>
      <c r="AF42" s="388"/>
      <c r="AG42" s="386"/>
      <c r="AH42" s="387"/>
      <c r="AI42" s="387"/>
      <c r="AJ42" s="387"/>
      <c r="AK42" s="388"/>
      <c r="AL42" s="386"/>
      <c r="AM42" s="387"/>
      <c r="AN42" s="387"/>
      <c r="AO42" s="388"/>
      <c r="AP42" s="179"/>
      <c r="AQ42" s="180"/>
      <c r="AR42" s="180"/>
      <c r="AS42" s="180"/>
      <c r="AT42" s="181"/>
      <c r="AU42" s="179"/>
      <c r="AV42" s="180"/>
      <c r="AW42" s="180"/>
      <c r="AX42" s="327"/>
      <c r="AY42" s="179"/>
      <c r="AZ42" s="180"/>
      <c r="BA42" s="180"/>
      <c r="BB42" s="180"/>
      <c r="BC42" s="412"/>
      <c r="BD42" s="416">
        <f t="shared" si="3"/>
        <v>9122</v>
      </c>
    </row>
    <row r="43" spans="1:56" ht="13.5" customHeight="1" x14ac:dyDescent="0.25">
      <c r="A43" s="357" t="s">
        <v>104</v>
      </c>
      <c r="B43" s="178"/>
      <c r="C43" s="158">
        <v>4656</v>
      </c>
      <c r="D43" s="159">
        <v>7883</v>
      </c>
      <c r="E43" s="159">
        <v>6510</v>
      </c>
      <c r="F43" s="159">
        <v>5708</v>
      </c>
      <c r="G43" s="160">
        <v>5312</v>
      </c>
      <c r="H43" s="179">
        <v>4941</v>
      </c>
      <c r="I43" s="180">
        <v>3721</v>
      </c>
      <c r="J43" s="180">
        <v>1953</v>
      </c>
      <c r="K43" s="181">
        <v>1580</v>
      </c>
      <c r="L43" s="179">
        <v>1367</v>
      </c>
      <c r="M43" s="180">
        <v>1598</v>
      </c>
      <c r="N43" s="180">
        <v>788</v>
      </c>
      <c r="O43" s="181">
        <v>590</v>
      </c>
      <c r="P43" s="179">
        <v>603</v>
      </c>
      <c r="Q43" s="180">
        <v>2613</v>
      </c>
      <c r="R43" s="180">
        <v>3063</v>
      </c>
      <c r="S43" s="181">
        <v>2443</v>
      </c>
      <c r="T43" s="179"/>
      <c r="U43" s="180"/>
      <c r="V43" s="180"/>
      <c r="W43" s="180"/>
      <c r="X43" s="181">
        <v>8463</v>
      </c>
      <c r="Y43" s="179"/>
      <c r="Z43" s="180"/>
      <c r="AA43" s="389"/>
      <c r="AB43" s="389"/>
      <c r="AC43" s="390"/>
      <c r="AD43" s="389"/>
      <c r="AE43" s="389"/>
      <c r="AF43" s="389"/>
      <c r="AG43" s="390"/>
      <c r="AH43" s="389"/>
      <c r="AI43" s="389"/>
      <c r="AJ43" s="389"/>
      <c r="AK43" s="389"/>
      <c r="AL43" s="390"/>
      <c r="AM43" s="389"/>
      <c r="AN43" s="389"/>
      <c r="AO43" s="389"/>
      <c r="AP43" s="179"/>
      <c r="AQ43" s="180"/>
      <c r="AR43" s="180"/>
      <c r="AS43" s="180"/>
      <c r="AT43" s="181"/>
      <c r="AU43" s="179"/>
      <c r="AV43" s="180"/>
      <c r="AW43" s="180"/>
      <c r="AX43" s="327"/>
      <c r="AY43" s="179"/>
      <c r="AZ43" s="180"/>
      <c r="BA43" s="180"/>
      <c r="BB43" s="180"/>
      <c r="BC43" s="412"/>
      <c r="BD43" s="416">
        <f t="shared" si="3"/>
        <v>63792</v>
      </c>
    </row>
    <row r="44" spans="1:56" ht="13.5" customHeight="1" x14ac:dyDescent="0.25">
      <c r="A44" s="357" t="s">
        <v>105</v>
      </c>
      <c r="B44" s="178"/>
      <c r="C44" s="158"/>
      <c r="D44" s="159"/>
      <c r="E44" s="159"/>
      <c r="F44" s="159"/>
      <c r="G44" s="160"/>
      <c r="H44" s="179"/>
      <c r="I44" s="180"/>
      <c r="J44" s="180"/>
      <c r="K44" s="181"/>
      <c r="L44" s="179"/>
      <c r="M44" s="180"/>
      <c r="N44" s="180"/>
      <c r="O44" s="181"/>
      <c r="P44" s="179"/>
      <c r="Q44" s="180"/>
      <c r="R44" s="180"/>
      <c r="S44" s="181"/>
      <c r="T44" s="179"/>
      <c r="U44" s="180"/>
      <c r="V44" s="180"/>
      <c r="W44" s="180"/>
      <c r="X44" s="181"/>
      <c r="Y44" s="179"/>
      <c r="Z44" s="180"/>
      <c r="AA44" s="180"/>
      <c r="AB44" s="181"/>
      <c r="AC44" s="179"/>
      <c r="AD44" s="180"/>
      <c r="AE44" s="180"/>
      <c r="AF44" s="181"/>
      <c r="AG44" s="179"/>
      <c r="AH44" s="180"/>
      <c r="AI44" s="180"/>
      <c r="AJ44" s="180"/>
      <c r="AK44" s="181"/>
      <c r="AL44" s="179"/>
      <c r="AM44" s="180"/>
      <c r="AN44" s="180"/>
      <c r="AO44" s="181"/>
      <c r="AP44" s="179"/>
      <c r="AQ44" s="180"/>
      <c r="AR44" s="180"/>
      <c r="AS44" s="180"/>
      <c r="AT44" s="181"/>
      <c r="AU44" s="179"/>
      <c r="AV44" s="180"/>
      <c r="AW44" s="180"/>
      <c r="AX44" s="327"/>
      <c r="AY44" s="179"/>
      <c r="AZ44" s="180"/>
      <c r="BA44" s="180"/>
      <c r="BB44" s="180"/>
      <c r="BC44" s="412"/>
      <c r="BD44" s="416">
        <f t="shared" si="3"/>
        <v>0</v>
      </c>
    </row>
    <row r="45" spans="1:56" ht="13.5" customHeight="1" x14ac:dyDescent="0.25">
      <c r="A45" s="357" t="s">
        <v>106</v>
      </c>
      <c r="B45" s="178"/>
      <c r="C45" s="158"/>
      <c r="D45" s="159">
        <v>800</v>
      </c>
      <c r="E45" s="159"/>
      <c r="F45" s="159"/>
      <c r="G45" s="160"/>
      <c r="H45" s="179"/>
      <c r="I45" s="180"/>
      <c r="J45" s="180"/>
      <c r="K45" s="181"/>
      <c r="L45" s="179"/>
      <c r="M45" s="180"/>
      <c r="N45" s="180"/>
      <c r="O45" s="181"/>
      <c r="P45" s="179"/>
      <c r="Q45" s="180"/>
      <c r="R45" s="180"/>
      <c r="S45" s="181"/>
      <c r="T45" s="179"/>
      <c r="U45" s="180"/>
      <c r="V45" s="180"/>
      <c r="W45" s="180"/>
      <c r="X45" s="181"/>
      <c r="Y45" s="179"/>
      <c r="Z45" s="180"/>
      <c r="AA45" s="180"/>
      <c r="AB45" s="181"/>
      <c r="AC45" s="179"/>
      <c r="AD45" s="180"/>
      <c r="AE45" s="180"/>
      <c r="AF45" s="181"/>
      <c r="AG45" s="179"/>
      <c r="AH45" s="180"/>
      <c r="AI45" s="180"/>
      <c r="AJ45" s="180"/>
      <c r="AK45" s="181"/>
      <c r="AL45" s="179"/>
      <c r="AM45" s="180"/>
      <c r="AN45" s="180"/>
      <c r="AO45" s="181"/>
      <c r="AP45" s="179"/>
      <c r="AQ45" s="180"/>
      <c r="AR45" s="180"/>
      <c r="AS45" s="180"/>
      <c r="AT45" s="181"/>
      <c r="AU45" s="179"/>
      <c r="AV45" s="180"/>
      <c r="AW45" s="180"/>
      <c r="AX45" s="327"/>
      <c r="AY45" s="179"/>
      <c r="AZ45" s="180"/>
      <c r="BA45" s="180"/>
      <c r="BB45" s="180"/>
      <c r="BC45" s="412"/>
      <c r="BD45" s="416">
        <f t="shared" si="3"/>
        <v>800</v>
      </c>
    </row>
    <row r="46" spans="1:56" ht="13.5" customHeight="1" x14ac:dyDescent="0.25">
      <c r="A46" s="392" t="s">
        <v>112</v>
      </c>
      <c r="B46" s="178"/>
      <c r="C46" s="158"/>
      <c r="D46" s="159"/>
      <c r="E46" s="159"/>
      <c r="F46" s="159"/>
      <c r="G46" s="160"/>
      <c r="H46" s="179"/>
      <c r="I46" s="180"/>
      <c r="J46" s="180"/>
      <c r="K46" s="181"/>
      <c r="L46" s="179"/>
      <c r="M46" s="180"/>
      <c r="N46" s="180"/>
      <c r="O46" s="181"/>
      <c r="P46" s="179"/>
      <c r="Q46" s="180"/>
      <c r="R46" s="180"/>
      <c r="S46" s="181"/>
      <c r="T46" s="179"/>
      <c r="U46" s="180"/>
      <c r="V46" s="180"/>
      <c r="W46" s="180"/>
      <c r="X46" s="181"/>
      <c r="Y46" s="179"/>
      <c r="Z46" s="180"/>
      <c r="AA46" s="180"/>
      <c r="AB46" s="181"/>
      <c r="AC46" s="179"/>
      <c r="AD46" s="180"/>
      <c r="AE46" s="180"/>
      <c r="AF46" s="181"/>
      <c r="AG46" s="179"/>
      <c r="AH46" s="180"/>
      <c r="AI46" s="180"/>
      <c r="AJ46" s="180"/>
      <c r="AK46" s="181"/>
      <c r="AL46" s="179"/>
      <c r="AM46" s="180"/>
      <c r="AN46" s="180"/>
      <c r="AO46" s="181"/>
      <c r="AP46" s="179"/>
      <c r="AQ46" s="180"/>
      <c r="AR46" s="180"/>
      <c r="AS46" s="180"/>
      <c r="AT46" s="181"/>
      <c r="AU46" s="179"/>
      <c r="AV46" s="180"/>
      <c r="AW46" s="180"/>
      <c r="AX46" s="327"/>
      <c r="AY46" s="179"/>
      <c r="AZ46" s="180"/>
      <c r="BA46" s="180"/>
      <c r="BB46" s="180"/>
      <c r="BC46" s="412"/>
      <c r="BD46" s="416">
        <f t="shared" si="3"/>
        <v>0</v>
      </c>
    </row>
    <row r="47" spans="1:56" ht="13.5" customHeight="1" x14ac:dyDescent="0.25">
      <c r="A47" s="177" t="s">
        <v>46</v>
      </c>
      <c r="B47" s="178"/>
      <c r="C47" s="158"/>
      <c r="D47" s="159"/>
      <c r="E47" s="159"/>
      <c r="F47" s="159"/>
      <c r="G47" s="160"/>
      <c r="H47" s="179"/>
      <c r="I47" s="180"/>
      <c r="J47" s="180"/>
      <c r="K47" s="181"/>
      <c r="L47" s="179"/>
      <c r="M47" s="180"/>
      <c r="N47" s="180"/>
      <c r="O47" s="181"/>
      <c r="P47" s="179"/>
      <c r="Q47" s="180"/>
      <c r="R47" s="180"/>
      <c r="S47" s="181"/>
      <c r="T47" s="179"/>
      <c r="U47" s="180"/>
      <c r="V47" s="180"/>
      <c r="W47" s="180"/>
      <c r="X47" s="181"/>
      <c r="Y47" s="179"/>
      <c r="Z47" s="180"/>
      <c r="AA47" s="180"/>
      <c r="AB47" s="181"/>
      <c r="AC47" s="179"/>
      <c r="AD47" s="180"/>
      <c r="AE47" s="180"/>
      <c r="AF47" s="181"/>
      <c r="AG47" s="179"/>
      <c r="AH47" s="180"/>
      <c r="AI47" s="180"/>
      <c r="AJ47" s="180"/>
      <c r="AK47" s="181"/>
      <c r="AL47" s="179"/>
      <c r="AM47" s="180"/>
      <c r="AN47" s="180"/>
      <c r="AO47" s="181"/>
      <c r="AP47" s="179"/>
      <c r="AQ47" s="180"/>
      <c r="AR47" s="180"/>
      <c r="AS47" s="180"/>
      <c r="AT47" s="181"/>
      <c r="AU47" s="179"/>
      <c r="AV47" s="180"/>
      <c r="AW47" s="180"/>
      <c r="AX47" s="327"/>
      <c r="AY47" s="179"/>
      <c r="AZ47" s="180"/>
      <c r="BA47" s="180"/>
      <c r="BB47" s="180"/>
      <c r="BC47" s="180"/>
      <c r="BD47" s="416">
        <f t="shared" si="3"/>
        <v>0</v>
      </c>
    </row>
    <row r="48" spans="1:56" ht="13.5" customHeight="1" x14ac:dyDescent="0.25">
      <c r="A48" s="177" t="s">
        <v>47</v>
      </c>
      <c r="B48" s="178"/>
      <c r="C48" s="158"/>
      <c r="D48" s="159"/>
      <c r="E48" s="159"/>
      <c r="F48" s="159"/>
      <c r="G48" s="160"/>
      <c r="H48" s="179"/>
      <c r="I48" s="180"/>
      <c r="J48" s="180"/>
      <c r="K48" s="181"/>
      <c r="L48" s="179"/>
      <c r="M48" s="180"/>
      <c r="N48" s="180"/>
      <c r="O48" s="181"/>
      <c r="P48" s="179"/>
      <c r="Q48" s="180"/>
      <c r="R48" s="180"/>
      <c r="S48" s="181"/>
      <c r="T48" s="179"/>
      <c r="U48" s="180"/>
      <c r="V48" s="180"/>
      <c r="W48" s="180"/>
      <c r="X48" s="181"/>
      <c r="Y48" s="179"/>
      <c r="Z48" s="180"/>
      <c r="AA48" s="180"/>
      <c r="AB48" s="181"/>
      <c r="AC48" s="179"/>
      <c r="AD48" s="180"/>
      <c r="AE48" s="180"/>
      <c r="AF48" s="181"/>
      <c r="AG48" s="179"/>
      <c r="AH48" s="180"/>
      <c r="AI48" s="180"/>
      <c r="AJ48" s="180"/>
      <c r="AK48" s="181"/>
      <c r="AL48" s="179"/>
      <c r="AM48" s="180"/>
      <c r="AN48" s="180"/>
      <c r="AO48" s="181"/>
      <c r="AP48" s="179"/>
      <c r="AQ48" s="180"/>
      <c r="AR48" s="180"/>
      <c r="AS48" s="180"/>
      <c r="AT48" s="181"/>
      <c r="AU48" s="179"/>
      <c r="AV48" s="180"/>
      <c r="AW48" s="180"/>
      <c r="AX48" s="327"/>
      <c r="AY48" s="179"/>
      <c r="AZ48" s="180"/>
      <c r="BA48" s="180"/>
      <c r="BB48" s="180"/>
      <c r="BC48" s="180"/>
      <c r="BD48" s="416">
        <f t="shared" si="3"/>
        <v>0</v>
      </c>
    </row>
    <row r="49" spans="1:56" ht="13.5" customHeight="1" x14ac:dyDescent="0.25">
      <c r="A49" s="177" t="s">
        <v>48</v>
      </c>
      <c r="B49" s="178"/>
      <c r="C49" s="158"/>
      <c r="D49" s="159"/>
      <c r="E49" s="159"/>
      <c r="F49" s="159"/>
      <c r="G49" s="160"/>
      <c r="H49" s="179"/>
      <c r="I49" s="180"/>
      <c r="J49" s="180"/>
      <c r="K49" s="181"/>
      <c r="L49" s="179"/>
      <c r="M49" s="180"/>
      <c r="N49" s="180"/>
      <c r="O49" s="181"/>
      <c r="P49" s="179"/>
      <c r="Q49" s="180"/>
      <c r="R49" s="180"/>
      <c r="S49" s="181"/>
      <c r="T49" s="179"/>
      <c r="U49" s="180"/>
      <c r="V49" s="180"/>
      <c r="W49" s="180"/>
      <c r="X49" s="181"/>
      <c r="Y49" s="179"/>
      <c r="Z49" s="180"/>
      <c r="AA49" s="180"/>
      <c r="AB49" s="181"/>
      <c r="AC49" s="179"/>
      <c r="AD49" s="180"/>
      <c r="AE49" s="180"/>
      <c r="AF49" s="181"/>
      <c r="AG49" s="179"/>
      <c r="AH49" s="180"/>
      <c r="AI49" s="180"/>
      <c r="AJ49" s="180"/>
      <c r="AK49" s="181"/>
      <c r="AL49" s="179"/>
      <c r="AM49" s="180"/>
      <c r="AN49" s="180"/>
      <c r="AO49" s="181"/>
      <c r="AP49" s="179"/>
      <c r="AQ49" s="180"/>
      <c r="AR49" s="180"/>
      <c r="AS49" s="180"/>
      <c r="AT49" s="181"/>
      <c r="AU49" s="179"/>
      <c r="AV49" s="180"/>
      <c r="AW49" s="180"/>
      <c r="AX49" s="327"/>
      <c r="AY49" s="179"/>
      <c r="AZ49" s="180"/>
      <c r="BA49" s="180"/>
      <c r="BB49" s="180"/>
      <c r="BC49" s="180"/>
      <c r="BD49" s="416">
        <f t="shared" si="3"/>
        <v>0</v>
      </c>
    </row>
    <row r="50" spans="1:56" ht="13.5" customHeight="1" x14ac:dyDescent="0.25">
      <c r="A50" s="343" t="s">
        <v>99</v>
      </c>
      <c r="B50" s="178"/>
      <c r="C50" s="158"/>
      <c r="D50" s="159"/>
      <c r="E50" s="159"/>
      <c r="F50" s="159"/>
      <c r="G50" s="160"/>
      <c r="H50" s="179"/>
      <c r="I50" s="180"/>
      <c r="J50" s="180"/>
      <c r="K50" s="181"/>
      <c r="L50" s="179"/>
      <c r="M50" s="180"/>
      <c r="N50" s="180"/>
      <c r="O50" s="181"/>
      <c r="P50" s="179"/>
      <c r="Q50" s="180"/>
      <c r="R50" s="180"/>
      <c r="S50" s="181"/>
      <c r="T50" s="179"/>
      <c r="U50" s="180"/>
      <c r="V50" s="180"/>
      <c r="W50" s="180"/>
      <c r="X50" s="181"/>
      <c r="Y50" s="179"/>
      <c r="Z50" s="180"/>
      <c r="AA50" s="180"/>
      <c r="AB50" s="181"/>
      <c r="AC50" s="179"/>
      <c r="AD50" s="180"/>
      <c r="AE50" s="180"/>
      <c r="AF50" s="181"/>
      <c r="AG50" s="179"/>
      <c r="AH50" s="180"/>
      <c r="AI50" s="180"/>
      <c r="AJ50" s="180"/>
      <c r="AK50" s="181"/>
      <c r="AL50" s="179"/>
      <c r="AM50" s="180"/>
      <c r="AN50" s="180"/>
      <c r="AO50" s="181"/>
      <c r="AP50" s="179"/>
      <c r="AQ50" s="180"/>
      <c r="AR50" s="180"/>
      <c r="AS50" s="180"/>
      <c r="AT50" s="181"/>
      <c r="AU50" s="179"/>
      <c r="AV50" s="180"/>
      <c r="AW50" s="180"/>
      <c r="AX50" s="327"/>
      <c r="AY50" s="179"/>
      <c r="AZ50" s="180"/>
      <c r="BA50" s="180"/>
      <c r="BB50" s="180"/>
      <c r="BC50" s="180"/>
      <c r="BD50" s="416">
        <f t="shared" si="3"/>
        <v>0</v>
      </c>
    </row>
    <row r="51" spans="1:56" ht="13.5" customHeight="1" x14ac:dyDescent="0.25">
      <c r="A51" s="177" t="s">
        <v>49</v>
      </c>
      <c r="B51" s="178"/>
      <c r="C51" s="158"/>
      <c r="D51" s="159"/>
      <c r="E51" s="159"/>
      <c r="F51" s="159"/>
      <c r="G51" s="160"/>
      <c r="H51" s="179"/>
      <c r="I51" s="180"/>
      <c r="J51" s="180"/>
      <c r="K51" s="181"/>
      <c r="L51" s="179"/>
      <c r="M51" s="180"/>
      <c r="N51" s="180"/>
      <c r="O51" s="181"/>
      <c r="P51" s="179"/>
      <c r="Q51" s="180"/>
      <c r="R51" s="180"/>
      <c r="S51" s="181"/>
      <c r="T51" s="179"/>
      <c r="U51" s="180"/>
      <c r="V51" s="180"/>
      <c r="W51" s="180"/>
      <c r="X51" s="181"/>
      <c r="Y51" s="179"/>
      <c r="Z51" s="180"/>
      <c r="AA51" s="180"/>
      <c r="AB51" s="181"/>
      <c r="AC51" s="179"/>
      <c r="AD51" s="180"/>
      <c r="AE51" s="180"/>
      <c r="AF51" s="181"/>
      <c r="AG51" s="179"/>
      <c r="AH51" s="180"/>
      <c r="AI51" s="180"/>
      <c r="AJ51" s="180"/>
      <c r="AK51" s="181"/>
      <c r="AL51" s="179"/>
      <c r="AM51" s="180"/>
      <c r="AN51" s="180"/>
      <c r="AO51" s="181"/>
      <c r="AP51" s="179"/>
      <c r="AQ51" s="180"/>
      <c r="AR51" s="180"/>
      <c r="AS51" s="180"/>
      <c r="AT51" s="181"/>
      <c r="AU51" s="179"/>
      <c r="AV51" s="180"/>
      <c r="AW51" s="180"/>
      <c r="AX51" s="327"/>
      <c r="AY51" s="179"/>
      <c r="AZ51" s="180"/>
      <c r="BA51" s="180"/>
      <c r="BB51" s="180"/>
      <c r="BC51" s="180"/>
      <c r="BD51" s="416">
        <f t="shared" si="3"/>
        <v>0</v>
      </c>
    </row>
    <row r="52" spans="1:56" ht="13.5" customHeight="1" x14ac:dyDescent="0.25">
      <c r="A52" s="185"/>
      <c r="B52" s="186"/>
      <c r="C52" s="119"/>
      <c r="D52" s="117"/>
      <c r="E52" s="117"/>
      <c r="F52" s="117"/>
      <c r="G52" s="118"/>
      <c r="H52" s="119"/>
      <c r="I52" s="117"/>
      <c r="J52" s="117"/>
      <c r="K52" s="118"/>
      <c r="L52" s="119"/>
      <c r="M52" s="117"/>
      <c r="N52" s="117"/>
      <c r="O52" s="118"/>
      <c r="P52" s="119"/>
      <c r="Q52" s="117"/>
      <c r="R52" s="117"/>
      <c r="S52" s="118"/>
      <c r="T52" s="119"/>
      <c r="U52" s="117"/>
      <c r="V52" s="117"/>
      <c r="W52" s="117"/>
      <c r="X52" s="118"/>
      <c r="Y52" s="119"/>
      <c r="Z52" s="117"/>
      <c r="AA52" s="117"/>
      <c r="AB52" s="118"/>
      <c r="AC52" s="119"/>
      <c r="AD52" s="117"/>
      <c r="AE52" s="117"/>
      <c r="AF52" s="118"/>
      <c r="AG52" s="119"/>
      <c r="AH52" s="117"/>
      <c r="AI52" s="117"/>
      <c r="AJ52" s="117"/>
      <c r="AK52" s="118"/>
      <c r="AL52" s="119"/>
      <c r="AM52" s="117"/>
      <c r="AN52" s="117"/>
      <c r="AO52" s="118"/>
      <c r="AP52" s="119"/>
      <c r="AQ52" s="117"/>
      <c r="AR52" s="117"/>
      <c r="AS52" s="117"/>
      <c r="AT52" s="118"/>
      <c r="AU52" s="119"/>
      <c r="AV52" s="117"/>
      <c r="AW52" s="117"/>
      <c r="AX52" s="115"/>
      <c r="AY52" s="119"/>
      <c r="AZ52" s="117"/>
      <c r="BA52" s="117"/>
      <c r="BB52" s="117"/>
      <c r="BC52" s="117"/>
      <c r="BD52" s="416">
        <f t="shared" si="3"/>
        <v>0</v>
      </c>
    </row>
    <row r="53" spans="1:56" ht="15" customHeight="1" x14ac:dyDescent="0.25">
      <c r="A53" s="195" t="s">
        <v>50</v>
      </c>
      <c r="B53" s="196"/>
      <c r="C53" s="205">
        <f>C36+C31-C38</f>
        <v>781</v>
      </c>
      <c r="D53" s="205">
        <f>D36+D31-D38</f>
        <v>14421</v>
      </c>
      <c r="E53" s="205">
        <f t="shared" ref="E53:BA53" si="71">E36+E31-E38</f>
        <v>12195</v>
      </c>
      <c r="F53" s="205">
        <f t="shared" si="71"/>
        <v>16178</v>
      </c>
      <c r="G53" s="205">
        <f t="shared" si="71"/>
        <v>11101</v>
      </c>
      <c r="H53" s="205">
        <f t="shared" si="71"/>
        <v>5896</v>
      </c>
      <c r="I53" s="205">
        <f t="shared" si="71"/>
        <v>7101</v>
      </c>
      <c r="J53" s="205">
        <f t="shared" si="71"/>
        <v>9338</v>
      </c>
      <c r="K53" s="205">
        <f t="shared" si="71"/>
        <v>8136</v>
      </c>
      <c r="L53" s="205">
        <f t="shared" si="71"/>
        <v>9490</v>
      </c>
      <c r="M53" s="205">
        <f t="shared" si="71"/>
        <v>5313</v>
      </c>
      <c r="N53" s="205">
        <f t="shared" si="71"/>
        <v>6609</v>
      </c>
      <c r="O53" s="205">
        <f t="shared" si="71"/>
        <v>7928</v>
      </c>
      <c r="P53" s="205">
        <f t="shared" si="71"/>
        <v>5756</v>
      </c>
      <c r="Q53" s="205">
        <f t="shared" si="71"/>
        <v>3307</v>
      </c>
      <c r="R53" s="205">
        <f t="shared" si="71"/>
        <v>1479</v>
      </c>
      <c r="S53" s="205">
        <f t="shared" si="71"/>
        <v>9259</v>
      </c>
      <c r="T53" s="205">
        <f t="shared" si="71"/>
        <v>0</v>
      </c>
      <c r="U53" s="205">
        <f t="shared" si="71"/>
        <v>0</v>
      </c>
      <c r="V53" s="205">
        <f t="shared" si="71"/>
        <v>0</v>
      </c>
      <c r="W53" s="205">
        <f t="shared" si="71"/>
        <v>0</v>
      </c>
      <c r="X53" s="205">
        <f t="shared" si="71"/>
        <v>-1174.1399999999994</v>
      </c>
      <c r="Y53" s="205">
        <f t="shared" si="71"/>
        <v>0</v>
      </c>
      <c r="Z53" s="205">
        <f t="shared" si="71"/>
        <v>0</v>
      </c>
      <c r="AA53" s="205">
        <f t="shared" si="71"/>
        <v>0</v>
      </c>
      <c r="AB53" s="205">
        <f t="shared" si="71"/>
        <v>0</v>
      </c>
      <c r="AC53" s="205">
        <f t="shared" si="71"/>
        <v>0</v>
      </c>
      <c r="AD53" s="205">
        <f t="shared" si="71"/>
        <v>0</v>
      </c>
      <c r="AE53" s="205">
        <f t="shared" si="71"/>
        <v>0</v>
      </c>
      <c r="AF53" s="205">
        <f t="shared" si="71"/>
        <v>0</v>
      </c>
      <c r="AG53" s="205">
        <f t="shared" si="71"/>
        <v>0</v>
      </c>
      <c r="AH53" s="205">
        <f t="shared" si="71"/>
        <v>0</v>
      </c>
      <c r="AI53" s="205">
        <f t="shared" si="71"/>
        <v>0</v>
      </c>
      <c r="AJ53" s="205">
        <f t="shared" si="71"/>
        <v>0</v>
      </c>
      <c r="AK53" s="205">
        <f t="shared" si="71"/>
        <v>0</v>
      </c>
      <c r="AL53" s="205">
        <f t="shared" si="71"/>
        <v>0</v>
      </c>
      <c r="AM53" s="205">
        <f t="shared" si="71"/>
        <v>0</v>
      </c>
      <c r="AN53" s="205">
        <f t="shared" si="71"/>
        <v>0</v>
      </c>
      <c r="AO53" s="205">
        <f t="shared" si="71"/>
        <v>0</v>
      </c>
      <c r="AP53" s="205">
        <f t="shared" si="71"/>
        <v>0</v>
      </c>
      <c r="AQ53" s="205">
        <f t="shared" si="71"/>
        <v>0</v>
      </c>
      <c r="AR53" s="205">
        <f t="shared" si="71"/>
        <v>0</v>
      </c>
      <c r="AS53" s="205">
        <f t="shared" si="71"/>
        <v>0</v>
      </c>
      <c r="AT53" s="205">
        <f t="shared" si="71"/>
        <v>0</v>
      </c>
      <c r="AU53" s="205">
        <f t="shared" si="71"/>
        <v>0</v>
      </c>
      <c r="AV53" s="205">
        <f t="shared" si="71"/>
        <v>0</v>
      </c>
      <c r="AW53" s="205">
        <f t="shared" si="71"/>
        <v>0</v>
      </c>
      <c r="AX53" s="205">
        <f>AX36+AX31-AX38</f>
        <v>0</v>
      </c>
      <c r="AY53" s="205">
        <f t="shared" si="71"/>
        <v>0</v>
      </c>
      <c r="AZ53" s="205">
        <f t="shared" si="71"/>
        <v>0</v>
      </c>
      <c r="BA53" s="205">
        <f t="shared" si="71"/>
        <v>0</v>
      </c>
      <c r="BB53" s="205">
        <f t="shared" ref="BB53:BC53" si="72">BB36+BB31-BB38</f>
        <v>0</v>
      </c>
      <c r="BC53" s="205">
        <f t="shared" si="72"/>
        <v>0</v>
      </c>
      <c r="BD53" s="416">
        <f t="shared" si="3"/>
        <v>133113.85999999999</v>
      </c>
    </row>
    <row r="54" spans="1:56" ht="13.5" customHeight="1" x14ac:dyDescent="0.25">
      <c r="A54" s="185"/>
      <c r="B54" s="120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416">
        <f t="shared" si="3"/>
        <v>0</v>
      </c>
    </row>
    <row r="55" spans="1:56" ht="13.5" customHeight="1" x14ac:dyDescent="0.25">
      <c r="A55" s="177" t="s">
        <v>51</v>
      </c>
      <c r="B55" s="368" t="s">
        <v>117</v>
      </c>
      <c r="C55" s="182">
        <f>C14*7%</f>
        <v>1648.92</v>
      </c>
      <c r="D55" s="182">
        <f t="shared" ref="D55:BC55" si="73">D14*7%</f>
        <v>6451.8300000000008</v>
      </c>
      <c r="E55" s="182">
        <f t="shared" si="73"/>
        <v>6403.3200000000006</v>
      </c>
      <c r="F55" s="182">
        <f t="shared" si="73"/>
        <v>6860.420000000001</v>
      </c>
      <c r="G55" s="182">
        <f t="shared" si="73"/>
        <v>6548.0800000000008</v>
      </c>
      <c r="H55" s="182">
        <f t="shared" si="73"/>
        <v>4554.55</v>
      </c>
      <c r="I55" s="182">
        <f t="shared" si="73"/>
        <v>4496.8</v>
      </c>
      <c r="J55" s="182">
        <f t="shared" si="73"/>
        <v>5637.7300000000005</v>
      </c>
      <c r="K55" s="182">
        <f t="shared" si="73"/>
        <v>3328.4300000000003</v>
      </c>
      <c r="L55" s="182">
        <f t="shared" si="73"/>
        <v>3797.0800000000004</v>
      </c>
      <c r="M55" s="182">
        <f t="shared" si="73"/>
        <v>3250.1000000000004</v>
      </c>
      <c r="N55" s="182">
        <f t="shared" si="73"/>
        <v>2444.8200000000002</v>
      </c>
      <c r="O55" s="182">
        <f t="shared" si="73"/>
        <v>2047.4300000000003</v>
      </c>
      <c r="P55" s="182">
        <f t="shared" si="73"/>
        <v>1514.3100000000002</v>
      </c>
      <c r="Q55" s="182">
        <f t="shared" si="73"/>
        <v>1757.63</v>
      </c>
      <c r="R55" s="182">
        <f t="shared" si="73"/>
        <v>1931.7900000000002</v>
      </c>
      <c r="S55" s="182">
        <f t="shared" si="73"/>
        <v>2121.0700000000002</v>
      </c>
      <c r="T55" s="182">
        <f t="shared" si="73"/>
        <v>0</v>
      </c>
      <c r="U55" s="182">
        <f t="shared" si="73"/>
        <v>0</v>
      </c>
      <c r="V55" s="182">
        <f t="shared" si="73"/>
        <v>0</v>
      </c>
      <c r="W55" s="182">
        <f t="shared" si="73"/>
        <v>0</v>
      </c>
      <c r="X55" s="182">
        <f t="shared" si="73"/>
        <v>5394.2000000000007</v>
      </c>
      <c r="Y55" s="182">
        <f t="shared" si="73"/>
        <v>0</v>
      </c>
      <c r="Z55" s="182">
        <f t="shared" si="73"/>
        <v>0</v>
      </c>
      <c r="AA55" s="182">
        <f t="shared" si="73"/>
        <v>0</v>
      </c>
      <c r="AB55" s="182">
        <f t="shared" si="73"/>
        <v>0</v>
      </c>
      <c r="AC55" s="182">
        <f t="shared" si="73"/>
        <v>0</v>
      </c>
      <c r="AD55" s="182">
        <f t="shared" si="73"/>
        <v>0</v>
      </c>
      <c r="AE55" s="182">
        <f t="shared" si="73"/>
        <v>0</v>
      </c>
      <c r="AF55" s="182">
        <f t="shared" si="73"/>
        <v>0</v>
      </c>
      <c r="AG55" s="182">
        <f t="shared" si="73"/>
        <v>0</v>
      </c>
      <c r="AH55" s="182">
        <f t="shared" si="73"/>
        <v>0</v>
      </c>
      <c r="AI55" s="182">
        <f t="shared" si="73"/>
        <v>0</v>
      </c>
      <c r="AJ55" s="182">
        <f t="shared" si="73"/>
        <v>0</v>
      </c>
      <c r="AK55" s="182">
        <f t="shared" si="73"/>
        <v>0</v>
      </c>
      <c r="AL55" s="182">
        <f t="shared" si="73"/>
        <v>0</v>
      </c>
      <c r="AM55" s="182">
        <f t="shared" si="73"/>
        <v>0</v>
      </c>
      <c r="AN55" s="182">
        <f t="shared" si="73"/>
        <v>0</v>
      </c>
      <c r="AO55" s="182">
        <f t="shared" si="73"/>
        <v>0</v>
      </c>
      <c r="AP55" s="182">
        <f t="shared" si="73"/>
        <v>0</v>
      </c>
      <c r="AQ55" s="182">
        <f t="shared" si="73"/>
        <v>0</v>
      </c>
      <c r="AR55" s="182">
        <f t="shared" si="73"/>
        <v>0</v>
      </c>
      <c r="AS55" s="182">
        <f t="shared" si="73"/>
        <v>0</v>
      </c>
      <c r="AT55" s="182">
        <f t="shared" si="73"/>
        <v>0</v>
      </c>
      <c r="AU55" s="182">
        <f t="shared" si="73"/>
        <v>0</v>
      </c>
      <c r="AV55" s="182">
        <f t="shared" si="73"/>
        <v>0</v>
      </c>
      <c r="AW55" s="182">
        <f t="shared" si="73"/>
        <v>0</v>
      </c>
      <c r="AX55" s="182">
        <f t="shared" si="73"/>
        <v>0</v>
      </c>
      <c r="AY55" s="182">
        <f t="shared" si="73"/>
        <v>0</v>
      </c>
      <c r="AZ55" s="182">
        <f t="shared" si="73"/>
        <v>0</v>
      </c>
      <c r="BA55" s="182">
        <f t="shared" si="73"/>
        <v>0</v>
      </c>
      <c r="BB55" s="182">
        <f t="shared" si="73"/>
        <v>0</v>
      </c>
      <c r="BC55" s="182">
        <f t="shared" si="73"/>
        <v>0</v>
      </c>
      <c r="BD55" s="416">
        <f t="shared" si="3"/>
        <v>70188.510000000009</v>
      </c>
    </row>
    <row r="56" spans="1:56" ht="13.5" customHeight="1" x14ac:dyDescent="0.25">
      <c r="A56" s="185"/>
      <c r="B56" s="186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192"/>
      <c r="BB56" s="192"/>
      <c r="BC56" s="192"/>
      <c r="BD56" s="416">
        <f t="shared" si="3"/>
        <v>0</v>
      </c>
    </row>
    <row r="57" spans="1:56" ht="15" customHeight="1" x14ac:dyDescent="0.25">
      <c r="A57" s="365" t="s">
        <v>53</v>
      </c>
      <c r="B57" s="366"/>
      <c r="C57" s="367">
        <f>C53-C55</f>
        <v>-867.92000000000007</v>
      </c>
      <c r="D57" s="367">
        <f t="shared" ref="D57:BC57" si="74">D53-D55</f>
        <v>7969.1699999999992</v>
      </c>
      <c r="E57" s="367">
        <f t="shared" si="74"/>
        <v>5791.6799999999994</v>
      </c>
      <c r="F57" s="367">
        <f t="shared" si="74"/>
        <v>9317.5799999999981</v>
      </c>
      <c r="G57" s="367">
        <f t="shared" si="74"/>
        <v>4552.9199999999992</v>
      </c>
      <c r="H57" s="367">
        <f t="shared" si="74"/>
        <v>1341.4499999999998</v>
      </c>
      <c r="I57" s="367">
        <f t="shared" si="74"/>
        <v>2604.1999999999998</v>
      </c>
      <c r="J57" s="367">
        <f t="shared" si="74"/>
        <v>3700.2699999999995</v>
      </c>
      <c r="K57" s="367">
        <f t="shared" si="74"/>
        <v>4807.57</v>
      </c>
      <c r="L57" s="367">
        <f t="shared" si="74"/>
        <v>5692.92</v>
      </c>
      <c r="M57" s="367">
        <f t="shared" si="74"/>
        <v>2062.8999999999996</v>
      </c>
      <c r="N57" s="367">
        <f t="shared" si="74"/>
        <v>4164.18</v>
      </c>
      <c r="O57" s="367">
        <f t="shared" si="74"/>
        <v>5880.57</v>
      </c>
      <c r="P57" s="367">
        <f t="shared" si="74"/>
        <v>4241.6899999999996</v>
      </c>
      <c r="Q57" s="367">
        <f t="shared" si="74"/>
        <v>1549.37</v>
      </c>
      <c r="R57" s="367">
        <f t="shared" si="74"/>
        <v>-452.79000000000019</v>
      </c>
      <c r="S57" s="367">
        <f t="shared" si="74"/>
        <v>7137.93</v>
      </c>
      <c r="T57" s="367">
        <f t="shared" si="74"/>
        <v>0</v>
      </c>
      <c r="U57" s="367">
        <f t="shared" si="74"/>
        <v>0</v>
      </c>
      <c r="V57" s="367">
        <f t="shared" si="74"/>
        <v>0</v>
      </c>
      <c r="W57" s="367">
        <f t="shared" si="74"/>
        <v>0</v>
      </c>
      <c r="X57" s="367">
        <f t="shared" si="74"/>
        <v>-6568.34</v>
      </c>
      <c r="Y57" s="367">
        <f t="shared" si="74"/>
        <v>0</v>
      </c>
      <c r="Z57" s="367">
        <f t="shared" si="74"/>
        <v>0</v>
      </c>
      <c r="AA57" s="367">
        <f t="shared" si="74"/>
        <v>0</v>
      </c>
      <c r="AB57" s="367">
        <f t="shared" si="74"/>
        <v>0</v>
      </c>
      <c r="AC57" s="367">
        <f t="shared" si="74"/>
        <v>0</v>
      </c>
      <c r="AD57" s="367">
        <f t="shared" si="74"/>
        <v>0</v>
      </c>
      <c r="AE57" s="367">
        <f t="shared" si="74"/>
        <v>0</v>
      </c>
      <c r="AF57" s="367">
        <f t="shared" si="74"/>
        <v>0</v>
      </c>
      <c r="AG57" s="367">
        <f t="shared" si="74"/>
        <v>0</v>
      </c>
      <c r="AH57" s="367">
        <f t="shared" si="74"/>
        <v>0</v>
      </c>
      <c r="AI57" s="367">
        <f t="shared" si="74"/>
        <v>0</v>
      </c>
      <c r="AJ57" s="367">
        <f t="shared" si="74"/>
        <v>0</v>
      </c>
      <c r="AK57" s="367">
        <f t="shared" si="74"/>
        <v>0</v>
      </c>
      <c r="AL57" s="367">
        <f t="shared" si="74"/>
        <v>0</v>
      </c>
      <c r="AM57" s="367">
        <f t="shared" si="74"/>
        <v>0</v>
      </c>
      <c r="AN57" s="367">
        <f t="shared" si="74"/>
        <v>0</v>
      </c>
      <c r="AO57" s="367">
        <f t="shared" si="74"/>
        <v>0</v>
      </c>
      <c r="AP57" s="367">
        <f t="shared" si="74"/>
        <v>0</v>
      </c>
      <c r="AQ57" s="367">
        <f t="shared" si="74"/>
        <v>0</v>
      </c>
      <c r="AR57" s="367">
        <f t="shared" si="74"/>
        <v>0</v>
      </c>
      <c r="AS57" s="367">
        <f t="shared" si="74"/>
        <v>0</v>
      </c>
      <c r="AT57" s="367">
        <f t="shared" si="74"/>
        <v>0</v>
      </c>
      <c r="AU57" s="367">
        <f t="shared" si="74"/>
        <v>0</v>
      </c>
      <c r="AV57" s="367">
        <f t="shared" si="74"/>
        <v>0</v>
      </c>
      <c r="AW57" s="367">
        <f t="shared" si="74"/>
        <v>0</v>
      </c>
      <c r="AX57" s="367">
        <f t="shared" si="74"/>
        <v>0</v>
      </c>
      <c r="AY57" s="367">
        <f>AY53-AY55</f>
        <v>0</v>
      </c>
      <c r="AZ57" s="367">
        <f t="shared" si="74"/>
        <v>0</v>
      </c>
      <c r="BA57" s="367">
        <f t="shared" si="74"/>
        <v>0</v>
      </c>
      <c r="BB57" s="367">
        <f t="shared" si="74"/>
        <v>0</v>
      </c>
      <c r="BC57" s="367">
        <f t="shared" si="74"/>
        <v>0</v>
      </c>
      <c r="BD57" s="416">
        <f t="shared" si="3"/>
        <v>62925.350000000006</v>
      </c>
    </row>
    <row r="58" spans="1:56" ht="13.5" customHeight="1" x14ac:dyDescent="0.25">
      <c r="A58" s="200" t="s">
        <v>2</v>
      </c>
      <c r="B58" s="201"/>
      <c r="C58" s="202">
        <f>C57/C33</f>
        <v>-0.21687156421789108</v>
      </c>
      <c r="D58" s="202">
        <f t="shared" ref="D58:BA58" si="75">D57/D33</f>
        <v>0.49605788982259563</v>
      </c>
      <c r="E58" s="202">
        <f t="shared" si="75"/>
        <v>0.33867493129056775</v>
      </c>
      <c r="F58" s="202">
        <f t="shared" si="75"/>
        <v>0.5378733475725912</v>
      </c>
      <c r="G58" s="202">
        <f t="shared" si="75"/>
        <v>0.26522894092974481</v>
      </c>
      <c r="H58" s="202">
        <f t="shared" si="75"/>
        <v>0.11213324416952268</v>
      </c>
      <c r="I58" s="202">
        <f t="shared" si="75"/>
        <v>0.22210660980810232</v>
      </c>
      <c r="J58" s="202">
        <f t="shared" si="75"/>
        <v>0.21717748562037795</v>
      </c>
      <c r="K58" s="202">
        <f t="shared" si="75"/>
        <v>0.52370043572984748</v>
      </c>
      <c r="L58" s="202">
        <f t="shared" si="75"/>
        <v>0.56696743352255752</v>
      </c>
      <c r="M58" s="202">
        <f t="shared" si="75"/>
        <v>0.22282350399654349</v>
      </c>
      <c r="N58" s="202">
        <f t="shared" si="75"/>
        <v>0.58609148486981</v>
      </c>
      <c r="O58" s="202">
        <f t="shared" si="75"/>
        <v>1.0536767604371975</v>
      </c>
      <c r="P58" s="202">
        <f t="shared" si="75"/>
        <v>0.9457502787068004</v>
      </c>
      <c r="Q58" s="202">
        <f t="shared" si="75"/>
        <v>0.25254604726976365</v>
      </c>
      <c r="R58" s="202">
        <f t="shared" si="75"/>
        <v>-6.1915766443320142E-2</v>
      </c>
      <c r="S58" s="202" t="e">
        <f t="shared" si="75"/>
        <v>#DIV/0!</v>
      </c>
      <c r="T58" s="202" t="e">
        <f t="shared" si="75"/>
        <v>#DIV/0!</v>
      </c>
      <c r="U58" s="202" t="e">
        <f>U57/U33</f>
        <v>#DIV/0!</v>
      </c>
      <c r="V58" s="202" t="e">
        <f t="shared" si="75"/>
        <v>#DIV/0!</v>
      </c>
      <c r="W58" s="202" t="e">
        <f t="shared" si="75"/>
        <v>#DIV/0!</v>
      </c>
      <c r="X58" s="202">
        <f t="shared" si="75"/>
        <v>-0.31639189331093143</v>
      </c>
      <c r="Y58" s="202" t="e">
        <f t="shared" si="75"/>
        <v>#DIV/0!</v>
      </c>
      <c r="Z58" s="202" t="e">
        <f t="shared" si="75"/>
        <v>#DIV/0!</v>
      </c>
      <c r="AA58" s="202" t="e">
        <f t="shared" si="75"/>
        <v>#DIV/0!</v>
      </c>
      <c r="AB58" s="202" t="e">
        <f t="shared" si="75"/>
        <v>#DIV/0!</v>
      </c>
      <c r="AC58" s="202" t="e">
        <f t="shared" si="75"/>
        <v>#DIV/0!</v>
      </c>
      <c r="AD58" s="202" t="e">
        <f t="shared" si="75"/>
        <v>#DIV/0!</v>
      </c>
      <c r="AE58" s="202" t="e">
        <f t="shared" si="75"/>
        <v>#DIV/0!</v>
      </c>
      <c r="AF58" s="202" t="e">
        <f t="shared" si="75"/>
        <v>#DIV/0!</v>
      </c>
      <c r="AG58" s="202" t="e">
        <f t="shared" si="75"/>
        <v>#DIV/0!</v>
      </c>
      <c r="AH58" s="202" t="e">
        <f t="shared" si="75"/>
        <v>#DIV/0!</v>
      </c>
      <c r="AI58" s="202" t="e">
        <f t="shared" si="75"/>
        <v>#DIV/0!</v>
      </c>
      <c r="AJ58" s="202" t="e">
        <f t="shared" si="75"/>
        <v>#DIV/0!</v>
      </c>
      <c r="AK58" s="202" t="e">
        <f t="shared" si="75"/>
        <v>#DIV/0!</v>
      </c>
      <c r="AL58" s="202" t="e">
        <f t="shared" si="75"/>
        <v>#DIV/0!</v>
      </c>
      <c r="AM58" s="202" t="e">
        <f t="shared" si="75"/>
        <v>#DIV/0!</v>
      </c>
      <c r="AN58" s="202" t="e">
        <f t="shared" si="75"/>
        <v>#DIV/0!</v>
      </c>
      <c r="AO58" s="202" t="e">
        <f t="shared" si="75"/>
        <v>#DIV/0!</v>
      </c>
      <c r="AP58" s="202" t="e">
        <f t="shared" si="75"/>
        <v>#DIV/0!</v>
      </c>
      <c r="AQ58" s="202" t="e">
        <f t="shared" si="75"/>
        <v>#DIV/0!</v>
      </c>
      <c r="AR58" s="202" t="e">
        <f t="shared" si="75"/>
        <v>#DIV/0!</v>
      </c>
      <c r="AS58" s="202" t="e">
        <f t="shared" si="75"/>
        <v>#DIV/0!</v>
      </c>
      <c r="AT58" s="202" t="e">
        <f t="shared" si="75"/>
        <v>#DIV/0!</v>
      </c>
      <c r="AU58" s="202" t="e">
        <f t="shared" si="75"/>
        <v>#DIV/0!</v>
      </c>
      <c r="AV58" s="202" t="e">
        <f t="shared" si="75"/>
        <v>#DIV/0!</v>
      </c>
      <c r="AW58" s="202" t="e">
        <f t="shared" si="75"/>
        <v>#DIV/0!</v>
      </c>
      <c r="AX58" s="202" t="e">
        <f t="shared" si="75"/>
        <v>#DIV/0!</v>
      </c>
      <c r="AY58" s="202" t="e">
        <f t="shared" si="75"/>
        <v>#DIV/0!</v>
      </c>
      <c r="AZ58" s="202" t="e">
        <f t="shared" si="75"/>
        <v>#DIV/0!</v>
      </c>
      <c r="BA58" s="202" t="e">
        <f t="shared" si="75"/>
        <v>#DIV/0!</v>
      </c>
      <c r="BB58" s="202" t="e">
        <f t="shared" ref="BB58:BC58" si="76">BB57/BB33</f>
        <v>#DIV/0!</v>
      </c>
      <c r="BC58" s="202" t="e">
        <f t="shared" si="76"/>
        <v>#DIV/0!</v>
      </c>
      <c r="BD58" s="446">
        <f t="shared" ref="BD58" si="77">BD57/BD33</f>
        <v>0.32732509805133281</v>
      </c>
    </row>
    <row r="59" spans="1:56" ht="13.5" customHeight="1" x14ac:dyDescent="0.25">
      <c r="A59" s="320" t="s">
        <v>96</v>
      </c>
      <c r="B59" s="203"/>
      <c r="C59" s="203">
        <f>C57/C14</f>
        <v>-3.6844965189336054E-2</v>
      </c>
      <c r="D59" s="203">
        <f t="shared" ref="D59:BA59" si="78">D57/D14</f>
        <v>8.6462585034013592E-2</v>
      </c>
      <c r="E59" s="203">
        <f t="shared" si="78"/>
        <v>6.3313656040928756E-2</v>
      </c>
      <c r="F59" s="203">
        <f t="shared" si="78"/>
        <v>9.5071526233087747E-2</v>
      </c>
      <c r="G59" s="203">
        <f t="shared" si="78"/>
        <v>4.8671427349696393E-2</v>
      </c>
      <c r="H59" s="203">
        <f t="shared" si="78"/>
        <v>2.0617075232459845E-2</v>
      </c>
      <c r="I59" s="203">
        <f t="shared" si="78"/>
        <v>4.0538605230386049E-2</v>
      </c>
      <c r="J59" s="203">
        <f t="shared" si="78"/>
        <v>4.5943828455779184E-2</v>
      </c>
      <c r="K59" s="203">
        <f t="shared" si="78"/>
        <v>0.10110769942585543</v>
      </c>
      <c r="L59" s="203">
        <f t="shared" si="78"/>
        <v>0.10495022490966743</v>
      </c>
      <c r="M59" s="203">
        <f>M57/M14</f>
        <v>4.4430325220762429E-2</v>
      </c>
      <c r="N59" s="203">
        <f t="shared" si="78"/>
        <v>0.11922865487029721</v>
      </c>
      <c r="O59" s="203">
        <f t="shared" si="78"/>
        <v>0.20105200177783855</v>
      </c>
      <c r="P59" s="203">
        <f t="shared" si="78"/>
        <v>0.19607497804280496</v>
      </c>
      <c r="Q59" s="203">
        <f t="shared" si="78"/>
        <v>6.1705762873869925E-2</v>
      </c>
      <c r="R59" s="203">
        <f t="shared" si="78"/>
        <v>-1.640721817588869E-2</v>
      </c>
      <c r="S59" s="203">
        <f t="shared" si="78"/>
        <v>0.23556747302069239</v>
      </c>
      <c r="T59" s="203" t="e">
        <f t="shared" si="78"/>
        <v>#DIV/0!</v>
      </c>
      <c r="U59" s="203" t="e">
        <f t="shared" si="78"/>
        <v>#DIV/0!</v>
      </c>
      <c r="V59" s="203" t="e">
        <f t="shared" si="78"/>
        <v>#DIV/0!</v>
      </c>
      <c r="W59" s="203" t="e">
        <f t="shared" si="78"/>
        <v>#DIV/0!</v>
      </c>
      <c r="X59" s="203">
        <f t="shared" si="78"/>
        <v>-8.5236698676356082E-2</v>
      </c>
      <c r="Y59" s="203" t="e">
        <f t="shared" si="78"/>
        <v>#DIV/0!</v>
      </c>
      <c r="Z59" s="203" t="e">
        <f t="shared" si="78"/>
        <v>#DIV/0!</v>
      </c>
      <c r="AA59" s="203" t="e">
        <f t="shared" si="78"/>
        <v>#DIV/0!</v>
      </c>
      <c r="AB59" s="203" t="e">
        <f t="shared" si="78"/>
        <v>#DIV/0!</v>
      </c>
      <c r="AC59" s="203" t="e">
        <f t="shared" si="78"/>
        <v>#DIV/0!</v>
      </c>
      <c r="AD59" s="203" t="e">
        <f t="shared" si="78"/>
        <v>#DIV/0!</v>
      </c>
      <c r="AE59" s="203" t="e">
        <f t="shared" si="78"/>
        <v>#DIV/0!</v>
      </c>
      <c r="AF59" s="203" t="e">
        <f t="shared" si="78"/>
        <v>#DIV/0!</v>
      </c>
      <c r="AG59" s="203" t="e">
        <f t="shared" si="78"/>
        <v>#DIV/0!</v>
      </c>
      <c r="AH59" s="203" t="e">
        <f t="shared" si="78"/>
        <v>#DIV/0!</v>
      </c>
      <c r="AI59" s="203" t="e">
        <f t="shared" si="78"/>
        <v>#DIV/0!</v>
      </c>
      <c r="AJ59" s="203" t="e">
        <f t="shared" si="78"/>
        <v>#DIV/0!</v>
      </c>
      <c r="AK59" s="203" t="e">
        <f t="shared" si="78"/>
        <v>#DIV/0!</v>
      </c>
      <c r="AL59" s="203" t="e">
        <f t="shared" si="78"/>
        <v>#DIV/0!</v>
      </c>
      <c r="AM59" s="203" t="e">
        <f t="shared" si="78"/>
        <v>#DIV/0!</v>
      </c>
      <c r="AN59" s="203" t="e">
        <f t="shared" si="78"/>
        <v>#DIV/0!</v>
      </c>
      <c r="AO59" s="203" t="e">
        <f t="shared" si="78"/>
        <v>#DIV/0!</v>
      </c>
      <c r="AP59" s="203" t="e">
        <f t="shared" si="78"/>
        <v>#DIV/0!</v>
      </c>
      <c r="AQ59" s="203" t="e">
        <f t="shared" si="78"/>
        <v>#DIV/0!</v>
      </c>
      <c r="AR59" s="203" t="e">
        <f t="shared" si="78"/>
        <v>#DIV/0!</v>
      </c>
      <c r="AS59" s="203" t="e">
        <f t="shared" si="78"/>
        <v>#DIV/0!</v>
      </c>
      <c r="AT59" s="203" t="e">
        <f t="shared" si="78"/>
        <v>#DIV/0!</v>
      </c>
      <c r="AU59" s="203" t="e">
        <f t="shared" si="78"/>
        <v>#DIV/0!</v>
      </c>
      <c r="AV59" s="203" t="e">
        <f t="shared" si="78"/>
        <v>#DIV/0!</v>
      </c>
      <c r="AW59" s="203" t="e">
        <f t="shared" si="78"/>
        <v>#DIV/0!</v>
      </c>
      <c r="AX59" s="203" t="e">
        <f t="shared" si="78"/>
        <v>#DIV/0!</v>
      </c>
      <c r="AY59" s="203" t="e">
        <f t="shared" si="78"/>
        <v>#DIV/0!</v>
      </c>
      <c r="AZ59" s="203" t="e">
        <f t="shared" si="78"/>
        <v>#DIV/0!</v>
      </c>
      <c r="BA59" s="203" t="e">
        <f t="shared" si="78"/>
        <v>#DIV/0!</v>
      </c>
      <c r="BB59" s="203" t="e">
        <f t="shared" ref="BB59:BC59" si="79">BB57/BB14</f>
        <v>#DIV/0!</v>
      </c>
      <c r="BC59" s="203" t="e">
        <f t="shared" si="79"/>
        <v>#DIV/0!</v>
      </c>
      <c r="BD59" s="418">
        <f t="shared" ref="BD59" si="80">BD57/BD14</f>
        <v>6.2756347157105916E-2</v>
      </c>
    </row>
    <row r="60" spans="1:56" ht="15" customHeight="1" x14ac:dyDescent="0.25">
      <c r="A60" s="195" t="s">
        <v>54</v>
      </c>
      <c r="B60" s="196"/>
      <c r="C60" s="197">
        <f>'CF (нед)'!C38</f>
        <v>0</v>
      </c>
      <c r="D60" s="197">
        <f>'CF (нед)'!D38</f>
        <v>0</v>
      </c>
      <c r="E60" s="197">
        <f>'CF (нед)'!E38</f>
        <v>0</v>
      </c>
      <c r="F60" s="197">
        <f>'CF (нед)'!F38</f>
        <v>0</v>
      </c>
      <c r="G60" s="197">
        <f>'CF (нед)'!G38</f>
        <v>0</v>
      </c>
      <c r="H60" s="197">
        <f>'CF (нед)'!H38</f>
        <v>0</v>
      </c>
      <c r="I60" s="197">
        <f>'CF (нед)'!I38</f>
        <v>0</v>
      </c>
      <c r="J60" s="197">
        <f>'CF (нед)'!J38</f>
        <v>0</v>
      </c>
      <c r="K60" s="197">
        <f>'CF (нед)'!K38</f>
        <v>0</v>
      </c>
      <c r="L60" s="197">
        <f>'CF (нед)'!L38</f>
        <v>0</v>
      </c>
      <c r="M60" s="197">
        <f>'CF (нед)'!M38</f>
        <v>0</v>
      </c>
      <c r="N60" s="197">
        <f>'CF (нед)'!N38</f>
        <v>0</v>
      </c>
      <c r="O60" s="197">
        <f>'CF (нед)'!O38</f>
        <v>0</v>
      </c>
      <c r="P60" s="197">
        <f>'CF (нед)'!P38</f>
        <v>0</v>
      </c>
      <c r="Q60" s="197">
        <f>'CF (нед)'!Q38</f>
        <v>0</v>
      </c>
      <c r="R60" s="197">
        <f>'CF (нед)'!R38</f>
        <v>0</v>
      </c>
      <c r="S60" s="197">
        <f>'CF (нед)'!S38</f>
        <v>0</v>
      </c>
      <c r="T60" s="197">
        <f>'CF (нед)'!T38</f>
        <v>0</v>
      </c>
      <c r="U60" s="197">
        <f>'CF (нед)'!U38</f>
        <v>0</v>
      </c>
      <c r="V60" s="197">
        <f>'CF (нед)'!V38</f>
        <v>0</v>
      </c>
      <c r="W60" s="197">
        <f>'CF (нед)'!W38</f>
        <v>0</v>
      </c>
      <c r="X60" s="197">
        <f>'CF (нед)'!X38</f>
        <v>0</v>
      </c>
      <c r="Y60" s="197">
        <f>'CF (нед)'!Y38</f>
        <v>0</v>
      </c>
      <c r="Z60" s="197">
        <f>'CF (нед)'!Z38</f>
        <v>0</v>
      </c>
      <c r="AA60" s="197">
        <f>'CF (нед)'!AA38</f>
        <v>0</v>
      </c>
      <c r="AB60" s="197">
        <f>'CF (нед)'!AB38</f>
        <v>0</v>
      </c>
      <c r="AC60" s="197">
        <f>'CF (нед)'!AC38</f>
        <v>0</v>
      </c>
      <c r="AD60" s="197">
        <f>'CF (нед)'!AD38</f>
        <v>0</v>
      </c>
      <c r="AE60" s="197">
        <f>'CF (нед)'!AE38</f>
        <v>0</v>
      </c>
      <c r="AF60" s="197">
        <f>'CF (нед)'!AF38</f>
        <v>0</v>
      </c>
      <c r="AG60" s="197">
        <f>'CF (нед)'!AG38</f>
        <v>0</v>
      </c>
      <c r="AH60" s="197">
        <f>'CF (нед)'!AH38</f>
        <v>0</v>
      </c>
      <c r="AI60" s="197">
        <f>'CF (нед)'!AI38</f>
        <v>0</v>
      </c>
      <c r="AJ60" s="197">
        <f>'CF (нед)'!AJ38</f>
        <v>0</v>
      </c>
      <c r="AK60" s="197">
        <f>'CF (нед)'!AK38</f>
        <v>0</v>
      </c>
      <c r="AL60" s="197">
        <f>'CF (нед)'!AL38</f>
        <v>0</v>
      </c>
      <c r="AM60" s="197">
        <f>'CF (нед)'!AM38</f>
        <v>0</v>
      </c>
      <c r="AN60" s="197">
        <f>'CF (нед)'!AN38</f>
        <v>0</v>
      </c>
      <c r="AO60" s="197">
        <f>'CF (нед)'!AO38</f>
        <v>0</v>
      </c>
      <c r="AP60" s="197">
        <f>'CF (нед)'!AP38</f>
        <v>0</v>
      </c>
      <c r="AQ60" s="197">
        <f>'CF (нед)'!AQ38</f>
        <v>0</v>
      </c>
      <c r="AR60" s="197">
        <f>'CF (нед)'!AR38</f>
        <v>0</v>
      </c>
      <c r="AS60" s="197">
        <f>'CF (нед)'!AS38</f>
        <v>0</v>
      </c>
      <c r="AT60" s="197">
        <f>'CF (нед)'!AT38</f>
        <v>0</v>
      </c>
      <c r="AU60" s="197">
        <f>'CF (нед)'!AU38</f>
        <v>0</v>
      </c>
      <c r="AV60" s="197">
        <f>'CF (нед)'!AV38</f>
        <v>0</v>
      </c>
      <c r="AW60" s="197">
        <f>'CF (нед)'!AW38</f>
        <v>0</v>
      </c>
      <c r="AX60" s="197">
        <f>'CF (нед)'!AX38</f>
        <v>0</v>
      </c>
      <c r="AY60" s="197">
        <f>'CF (нед)'!AY38</f>
        <v>0</v>
      </c>
      <c r="AZ60" s="197">
        <f>'CF (нед)'!AZ38</f>
        <v>0</v>
      </c>
      <c r="BA60" s="197">
        <f>'CF (нед)'!BA38</f>
        <v>0</v>
      </c>
      <c r="BB60" s="197">
        <f>'CF (нед)'!BB38</f>
        <v>0</v>
      </c>
      <c r="BC60" s="197">
        <f>'CF (нед)'!BC38</f>
        <v>0</v>
      </c>
      <c r="BD60" s="416">
        <f t="shared" si="3"/>
        <v>0</v>
      </c>
    </row>
    <row r="61" spans="1:56" ht="15" customHeight="1" x14ac:dyDescent="0.25">
      <c r="A61" s="195"/>
      <c r="B61" s="204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5"/>
      <c r="AT61" s="205"/>
      <c r="AU61" s="205"/>
      <c r="AV61" s="205"/>
      <c r="AW61" s="205"/>
      <c r="AX61" s="205"/>
      <c r="AY61" s="205"/>
      <c r="AZ61" s="205"/>
      <c r="BA61" s="205"/>
      <c r="BB61" s="205"/>
      <c r="BC61" s="205"/>
      <c r="BD61" s="416">
        <f t="shared" si="3"/>
        <v>0</v>
      </c>
    </row>
    <row r="62" spans="1:56" ht="13.5" customHeight="1" x14ac:dyDescent="0.25">
      <c r="A62" s="177" t="str">
        <f>'PL WB'!A62</f>
        <v>Остаток денежных средств на конец периода</v>
      </c>
      <c r="B62" s="191"/>
      <c r="C62" s="182">
        <f>'CF (нед)'!C42</f>
        <v>1994177.8957000005</v>
      </c>
      <c r="D62" s="182">
        <f>'CF (нед)'!D42</f>
        <v>2100356.7557000006</v>
      </c>
      <c r="E62" s="182">
        <f>'CF (нед)'!E42</f>
        <v>2234359.3557000002</v>
      </c>
      <c r="F62" s="182">
        <f>'CF (нед)'!F42</f>
        <v>2340085.2357000005</v>
      </c>
      <c r="G62" s="182">
        <f>'CF (нед)'!G42</f>
        <v>2444316.6157000004</v>
      </c>
      <c r="H62" s="182">
        <f>'CF (нед)'!H42</f>
        <v>2568251.9457000005</v>
      </c>
      <c r="I62" s="182">
        <f>'CF (нед)'!I42</f>
        <v>2701831.7657000003</v>
      </c>
      <c r="J62" s="182">
        <f>'CF (нед)'!J42</f>
        <v>2827470.9057000005</v>
      </c>
      <c r="K62" s="182">
        <f>'CF (нед)'!K42</f>
        <v>2951779.9657000005</v>
      </c>
      <c r="L62" s="182">
        <f>'CF (нед)'!L42</f>
        <v>3065041.8357000006</v>
      </c>
      <c r="M62" s="182">
        <f>'CF (нед)'!M42</f>
        <v>3166917.6157000004</v>
      </c>
      <c r="N62" s="182">
        <f>'CF (нед)'!N42</f>
        <v>3264799.0757000004</v>
      </c>
      <c r="O62" s="182">
        <f>'CF (нед)'!O42</f>
        <v>3357449.8957000007</v>
      </c>
      <c r="P62" s="182">
        <f>'CF (нед)'!P42</f>
        <v>3428328.6757000005</v>
      </c>
      <c r="Q62" s="182">
        <f>'CF (нед)'!Q42</f>
        <v>3485243.3357000006</v>
      </c>
      <c r="R62" s="182">
        <f>'CF (нед)'!R42</f>
        <v>3539892.4257000005</v>
      </c>
      <c r="S62" s="182">
        <f>'CF (нед)'!S42</f>
        <v>3601048.8357000006</v>
      </c>
      <c r="T62" s="182">
        <f>'CF (нед)'!T42</f>
        <v>3389212.0757000004</v>
      </c>
      <c r="U62" s="182">
        <f>'CF (нед)'!U42</f>
        <v>3421065.4957000003</v>
      </c>
      <c r="V62" s="182">
        <f>'CF (нед)'!V42</f>
        <v>3295436.4657000001</v>
      </c>
      <c r="W62" s="182">
        <f>'CF (нед)'!W42</f>
        <v>3322139.5757000004</v>
      </c>
      <c r="X62" s="182">
        <f>'CF (нед)'!X42</f>
        <v>3365885.2857000004</v>
      </c>
      <c r="Y62" s="182">
        <f>'CF (нед)'!Y42</f>
        <v>3398661.5357000004</v>
      </c>
      <c r="Z62" s="182">
        <f>'CF (нед)'!Z42</f>
        <v>3429860.8057000004</v>
      </c>
      <c r="AA62" s="182">
        <f>'CF (нед)'!AA42</f>
        <v>3429860.8057000004</v>
      </c>
      <c r="AB62" s="182">
        <f>'CF (нед)'!AB42</f>
        <v>3429860.8057000004</v>
      </c>
      <c r="AC62" s="182">
        <f>'CF (нед)'!AC42</f>
        <v>3429860.8057000004</v>
      </c>
      <c r="AD62" s="182">
        <f>'CF (нед)'!AD42</f>
        <v>3429860.8057000004</v>
      </c>
      <c r="AE62" s="182">
        <f>'CF (нед)'!AE42</f>
        <v>3429860.8057000004</v>
      </c>
      <c r="AF62" s="182">
        <f>'CF (нед)'!AF42</f>
        <v>3429860.8057000004</v>
      </c>
      <c r="AG62" s="182">
        <f>'CF (нед)'!AG42</f>
        <v>3429860.8057000004</v>
      </c>
      <c r="AH62" s="182">
        <f>'CF (нед)'!AH42</f>
        <v>3429860.8057000004</v>
      </c>
      <c r="AI62" s="182">
        <f>'CF (нед)'!AI42</f>
        <v>3429860.8057000004</v>
      </c>
      <c r="AJ62" s="182">
        <f>'CF (нед)'!AJ42</f>
        <v>3429860.8057000004</v>
      </c>
      <c r="AK62" s="182">
        <f>'CF (нед)'!AK42</f>
        <v>3429860.8057000004</v>
      </c>
      <c r="AL62" s="182">
        <f>'CF (нед)'!AL42</f>
        <v>3429860.8057000004</v>
      </c>
      <c r="AM62" s="182">
        <f>'CF (нед)'!AM42</f>
        <v>3429860.8057000004</v>
      </c>
      <c r="AN62" s="182">
        <f>'CF (нед)'!AN42</f>
        <v>3429860.8057000004</v>
      </c>
      <c r="AO62" s="182">
        <f>'CF (нед)'!AO42</f>
        <v>3429860.8057000004</v>
      </c>
      <c r="AP62" s="182">
        <f>'CF (нед)'!AP42</f>
        <v>3429860.8057000004</v>
      </c>
      <c r="AQ62" s="182">
        <f>'CF (нед)'!AQ42</f>
        <v>3429860.8057000004</v>
      </c>
      <c r="AR62" s="182">
        <f>'CF (нед)'!AR42</f>
        <v>3429860.8057000004</v>
      </c>
      <c r="AS62" s="182">
        <f>'CF (нед)'!AS42</f>
        <v>3429860.8057000004</v>
      </c>
      <c r="AT62" s="182">
        <f>'CF (нед)'!AT42</f>
        <v>3429860.8057000004</v>
      </c>
      <c r="AU62" s="182">
        <f>'CF (нед)'!AU42</f>
        <v>3429860.8057000004</v>
      </c>
      <c r="AV62" s="182">
        <f>'CF (нед)'!AV42</f>
        <v>3429860.8057000004</v>
      </c>
      <c r="AW62" s="182">
        <f>'CF (нед)'!AW42</f>
        <v>3429860.8057000004</v>
      </c>
      <c r="AX62" s="182">
        <f>'CF (нед)'!AX42</f>
        <v>3429860.8057000004</v>
      </c>
      <c r="AY62" s="182">
        <f>'CF (нед)'!AY42</f>
        <v>3429860.8057000004</v>
      </c>
      <c r="AZ62" s="182">
        <f>'CF (нед)'!AZ42</f>
        <v>3429860.8057000004</v>
      </c>
      <c r="BA62" s="182">
        <f>'CF (нед)'!BA42</f>
        <v>3429860.8057000004</v>
      </c>
      <c r="BB62" s="182">
        <f>'CF (нед)'!BB42</f>
        <v>3429860.8057000004</v>
      </c>
      <c r="BC62" s="182">
        <f>'CF (нед)'!BC42</f>
        <v>3429860.8057000004</v>
      </c>
      <c r="BD62" s="416">
        <f t="shared" si="3"/>
        <v>172159576.74210012</v>
      </c>
    </row>
    <row r="63" spans="1:56" ht="15" customHeight="1" x14ac:dyDescent="0.25">
      <c r="A63" s="185"/>
      <c r="B63" s="186"/>
      <c r="C63" s="139"/>
      <c r="D63" s="140"/>
      <c r="E63" s="140"/>
      <c r="F63" s="140"/>
      <c r="G63" s="206">
        <f>G62-'PL OZON'!C62</f>
        <v>17364.730000000447</v>
      </c>
      <c r="H63" s="139"/>
      <c r="I63" s="140"/>
      <c r="J63" s="140"/>
      <c r="K63" s="206">
        <f>K62-'PL OZON'!D62</f>
        <v>31050.170000000391</v>
      </c>
      <c r="L63" s="139"/>
      <c r="M63" s="140"/>
      <c r="N63" s="140"/>
      <c r="O63" s="206">
        <f>O62-'PL OZON'!E62</f>
        <v>39546.240000000224</v>
      </c>
      <c r="P63" s="139"/>
      <c r="Q63" s="140"/>
      <c r="R63" s="140"/>
      <c r="S63" s="206">
        <f>S62-'PL OZON'!F62</f>
        <v>43250.850000000093</v>
      </c>
      <c r="T63" s="139"/>
      <c r="U63" s="140"/>
      <c r="V63" s="140"/>
      <c r="W63" s="207"/>
      <c r="X63" s="206">
        <f>X62-'PL OZON'!G62</f>
        <v>46843.049999999814</v>
      </c>
      <c r="Y63" s="318"/>
      <c r="Z63" s="207"/>
      <c r="AA63" s="207"/>
      <c r="AB63" s="206">
        <f>AB62-'PL OZON'!H62</f>
        <v>47869.669999999925</v>
      </c>
      <c r="AC63" s="318"/>
      <c r="AD63" s="207"/>
      <c r="AE63" s="207"/>
      <c r="AF63" s="206">
        <f>AF62-'PL OZON'!I62</f>
        <v>47869.669999999925</v>
      </c>
      <c r="AG63" s="318"/>
      <c r="AH63" s="207"/>
      <c r="AI63" s="207"/>
      <c r="AJ63" s="207"/>
      <c r="AK63" s="206">
        <f>AK62-'PL OZON'!J62</f>
        <v>47869.669999999925</v>
      </c>
      <c r="AL63" s="318"/>
      <c r="AM63" s="207"/>
      <c r="AN63" s="207"/>
      <c r="AO63" s="206">
        <f>AO62-'PL OZON'!K62</f>
        <v>47869.669999999925</v>
      </c>
      <c r="AP63" s="318"/>
      <c r="AQ63" s="207"/>
      <c r="AR63" s="207"/>
      <c r="AS63" s="207"/>
      <c r="AT63" s="206">
        <f>AT62-'PL OZON'!L62</f>
        <v>47869.669999999925</v>
      </c>
      <c r="AU63" s="318"/>
      <c r="AV63" s="207"/>
      <c r="AW63" s="207"/>
      <c r="AX63" s="329">
        <f>AX62-'PL OZON'!M62</f>
        <v>47869.669999999925</v>
      </c>
      <c r="AY63" s="318"/>
      <c r="AZ63" s="207"/>
      <c r="BA63" s="207"/>
      <c r="BB63" s="207"/>
      <c r="BC63" s="207"/>
      <c r="BD63" s="416"/>
    </row>
    <row r="64" spans="1:56" ht="15" customHeight="1" x14ac:dyDescent="0.25">
      <c r="A64" s="195" t="s">
        <v>56</v>
      </c>
      <c r="B64" s="196"/>
      <c r="C64" s="338">
        <f>C57+292844.08-C60</f>
        <v>291976.16000000003</v>
      </c>
      <c r="D64" s="198">
        <f>D57+C64-D60</f>
        <v>299945.33</v>
      </c>
      <c r="E64" s="198">
        <f t="shared" ref="E64:BA64" si="81">E57+D64-E60</f>
        <v>305737.01</v>
      </c>
      <c r="F64" s="198">
        <f t="shared" si="81"/>
        <v>315054.59000000003</v>
      </c>
      <c r="G64" s="199">
        <f>G57+F64-G60</f>
        <v>319607.51</v>
      </c>
      <c r="H64" s="197">
        <f t="shared" si="81"/>
        <v>320948.96000000002</v>
      </c>
      <c r="I64" s="198">
        <f t="shared" si="81"/>
        <v>323553.16000000003</v>
      </c>
      <c r="J64" s="198">
        <f t="shared" si="81"/>
        <v>327253.43000000005</v>
      </c>
      <c r="K64" s="199">
        <f t="shared" si="81"/>
        <v>332061.00000000006</v>
      </c>
      <c r="L64" s="197">
        <f t="shared" si="81"/>
        <v>337753.92000000004</v>
      </c>
      <c r="M64" s="198">
        <f t="shared" si="81"/>
        <v>339816.82000000007</v>
      </c>
      <c r="N64" s="198">
        <f t="shared" si="81"/>
        <v>343981.00000000006</v>
      </c>
      <c r="O64" s="199">
        <f t="shared" si="81"/>
        <v>349861.57000000007</v>
      </c>
      <c r="P64" s="197">
        <f t="shared" si="81"/>
        <v>354103.26000000007</v>
      </c>
      <c r="Q64" s="198">
        <f t="shared" si="81"/>
        <v>355652.63000000006</v>
      </c>
      <c r="R64" s="198">
        <f t="shared" si="81"/>
        <v>355199.84000000008</v>
      </c>
      <c r="S64" s="199">
        <f t="shared" si="81"/>
        <v>362337.77000000008</v>
      </c>
      <c r="T64" s="197">
        <f t="shared" si="81"/>
        <v>362337.77000000008</v>
      </c>
      <c r="U64" s="198">
        <f t="shared" si="81"/>
        <v>362337.77000000008</v>
      </c>
      <c r="V64" s="198">
        <f t="shared" si="81"/>
        <v>362337.77000000008</v>
      </c>
      <c r="W64" s="198">
        <f t="shared" si="81"/>
        <v>362337.77000000008</v>
      </c>
      <c r="X64" s="199">
        <f t="shared" si="81"/>
        <v>355769.43000000005</v>
      </c>
      <c r="Y64" s="197">
        <f t="shared" si="81"/>
        <v>355769.43000000005</v>
      </c>
      <c r="Z64" s="198">
        <f t="shared" si="81"/>
        <v>355769.43000000005</v>
      </c>
      <c r="AA64" s="198">
        <f t="shared" si="81"/>
        <v>355769.43000000005</v>
      </c>
      <c r="AB64" s="199">
        <f t="shared" si="81"/>
        <v>355769.43000000005</v>
      </c>
      <c r="AC64" s="197">
        <f t="shared" si="81"/>
        <v>355769.43000000005</v>
      </c>
      <c r="AD64" s="198">
        <f t="shared" si="81"/>
        <v>355769.43000000005</v>
      </c>
      <c r="AE64" s="198">
        <f t="shared" si="81"/>
        <v>355769.43000000005</v>
      </c>
      <c r="AF64" s="199">
        <f t="shared" si="81"/>
        <v>355769.43000000005</v>
      </c>
      <c r="AG64" s="197">
        <f t="shared" si="81"/>
        <v>355769.43000000005</v>
      </c>
      <c r="AH64" s="198">
        <f t="shared" si="81"/>
        <v>355769.43000000005</v>
      </c>
      <c r="AI64" s="198">
        <f t="shared" si="81"/>
        <v>355769.43000000005</v>
      </c>
      <c r="AJ64" s="198">
        <f t="shared" si="81"/>
        <v>355769.43000000005</v>
      </c>
      <c r="AK64" s="199">
        <f t="shared" si="81"/>
        <v>355769.43000000005</v>
      </c>
      <c r="AL64" s="197">
        <f t="shared" si="81"/>
        <v>355769.43000000005</v>
      </c>
      <c r="AM64" s="198">
        <f t="shared" si="81"/>
        <v>355769.43000000005</v>
      </c>
      <c r="AN64" s="198">
        <f t="shared" si="81"/>
        <v>355769.43000000005</v>
      </c>
      <c r="AO64" s="199">
        <f t="shared" si="81"/>
        <v>355769.43000000005</v>
      </c>
      <c r="AP64" s="197">
        <f t="shared" si="81"/>
        <v>355769.43000000005</v>
      </c>
      <c r="AQ64" s="198">
        <f>AQ57+AP64-AQ60</f>
        <v>355769.43000000005</v>
      </c>
      <c r="AR64" s="198">
        <f t="shared" si="81"/>
        <v>355769.43000000005</v>
      </c>
      <c r="AS64" s="198">
        <f t="shared" si="81"/>
        <v>355769.43000000005</v>
      </c>
      <c r="AT64" s="199">
        <f t="shared" si="81"/>
        <v>355769.43000000005</v>
      </c>
      <c r="AU64" s="197">
        <f t="shared" si="81"/>
        <v>355769.43000000005</v>
      </c>
      <c r="AV64" s="198">
        <f t="shared" si="81"/>
        <v>355769.43000000005</v>
      </c>
      <c r="AW64" s="198">
        <f t="shared" si="81"/>
        <v>355769.43000000005</v>
      </c>
      <c r="AX64" s="328">
        <f t="shared" si="81"/>
        <v>355769.43000000005</v>
      </c>
      <c r="AY64" s="197">
        <f t="shared" si="81"/>
        <v>355769.43000000005</v>
      </c>
      <c r="AZ64" s="198">
        <f t="shared" si="81"/>
        <v>355769.43000000005</v>
      </c>
      <c r="BA64" s="198">
        <f t="shared" si="81"/>
        <v>355769.43000000005</v>
      </c>
      <c r="BB64" s="198">
        <f t="shared" ref="BB64" si="82">BB57+BA64-BB60</f>
        <v>355769.43000000005</v>
      </c>
      <c r="BC64" s="198">
        <f t="shared" ref="BC64" si="83">BC57+BB64-BC60</f>
        <v>355769.43000000005</v>
      </c>
      <c r="BD64" s="416">
        <f>SUM(C64:BC64)/33</f>
        <v>559661.115151515</v>
      </c>
    </row>
    <row r="65" spans="1:56" ht="13.5" customHeight="1" x14ac:dyDescent="0.25">
      <c r="A65" s="208"/>
      <c r="B65" s="121"/>
      <c r="C65" s="119"/>
      <c r="D65" s="117"/>
      <c r="E65" s="117"/>
      <c r="F65" s="117"/>
      <c r="G65" s="209">
        <f>G64-'PL OZON'!C64</f>
        <v>0</v>
      </c>
      <c r="H65" s="210"/>
      <c r="I65" s="117"/>
      <c r="J65" s="117"/>
      <c r="K65" s="209">
        <f>K64-'PL OZON'!D64</f>
        <v>0</v>
      </c>
      <c r="L65" s="210"/>
      <c r="M65" s="117"/>
      <c r="N65" s="117"/>
      <c r="O65" s="209">
        <f>O64-'PL OZON'!E64</f>
        <v>0</v>
      </c>
      <c r="P65" s="210"/>
      <c r="Q65" s="117"/>
      <c r="R65" s="117"/>
      <c r="S65" s="209">
        <f>S64-'PL OZON'!F64</f>
        <v>0</v>
      </c>
      <c r="T65" s="210"/>
      <c r="U65" s="117"/>
      <c r="V65" s="117"/>
      <c r="W65" s="211"/>
      <c r="X65" s="209">
        <f>X64-'PL OZON'!G64</f>
        <v>0</v>
      </c>
      <c r="Y65" s="319"/>
      <c r="Z65" s="211"/>
      <c r="AA65" s="211"/>
      <c r="AB65" s="209">
        <f>AB64-'PL OZON'!H64</f>
        <v>0</v>
      </c>
      <c r="AC65" s="319"/>
      <c r="AD65" s="211"/>
      <c r="AE65" s="211"/>
      <c r="AF65" s="209">
        <f>AF64-'PL OZON'!I64</f>
        <v>0</v>
      </c>
      <c r="AG65" s="319"/>
      <c r="AH65" s="211"/>
      <c r="AI65" s="211"/>
      <c r="AJ65" s="211"/>
      <c r="AK65" s="209">
        <f>AK64-'PL OZON'!J64</f>
        <v>0</v>
      </c>
      <c r="AL65" s="319"/>
      <c r="AM65" s="211"/>
      <c r="AN65" s="211"/>
      <c r="AO65" s="209">
        <f>AO64-'PL OZON'!K64</f>
        <v>0</v>
      </c>
      <c r="AP65" s="319"/>
      <c r="AQ65" s="211"/>
      <c r="AR65" s="211"/>
      <c r="AS65" s="211"/>
      <c r="AT65" s="209">
        <f>AT64-'PL OZON'!L64</f>
        <v>0</v>
      </c>
      <c r="AU65" s="319"/>
      <c r="AV65" s="211"/>
      <c r="AW65" s="211"/>
      <c r="AX65" s="330">
        <f>AX64-'PL OZON'!M64</f>
        <v>0</v>
      </c>
      <c r="AY65" s="319"/>
      <c r="AZ65" s="211"/>
      <c r="BA65" s="211"/>
      <c r="BB65" s="211"/>
      <c r="BC65" s="211"/>
      <c r="BD65" s="416"/>
    </row>
    <row r="66" spans="1:56" ht="13.5" customHeight="1" x14ac:dyDescent="0.25">
      <c r="A66" s="212" t="s">
        <v>61</v>
      </c>
      <c r="B66" s="121"/>
      <c r="C66" s="119"/>
      <c r="D66" s="117"/>
      <c r="E66" s="117"/>
      <c r="F66" s="117"/>
      <c r="G66" s="118"/>
      <c r="H66" s="119"/>
      <c r="I66" s="117"/>
      <c r="J66" s="117"/>
      <c r="K66" s="118"/>
      <c r="L66" s="119"/>
      <c r="M66" s="117"/>
      <c r="N66" s="213"/>
      <c r="O66" s="214"/>
      <c r="P66" s="215"/>
      <c r="Q66" s="213"/>
      <c r="R66" s="213"/>
      <c r="S66" s="214"/>
      <c r="T66" s="215"/>
      <c r="U66" s="213"/>
      <c r="V66" s="213"/>
      <c r="W66" s="213"/>
      <c r="X66" s="214"/>
      <c r="Y66" s="215"/>
      <c r="Z66" s="213"/>
      <c r="AA66" s="213"/>
      <c r="AB66" s="214"/>
      <c r="AC66" s="215"/>
      <c r="AD66" s="213"/>
      <c r="AE66" s="213"/>
      <c r="AF66" s="214"/>
      <c r="AG66" s="215"/>
      <c r="AH66" s="213"/>
      <c r="AI66" s="213"/>
      <c r="AJ66" s="213"/>
      <c r="AK66" s="214"/>
      <c r="AL66" s="215"/>
      <c r="AM66" s="213"/>
      <c r="AN66" s="213"/>
      <c r="AO66" s="214"/>
      <c r="AP66" s="215"/>
      <c r="AQ66" s="213"/>
      <c r="AR66" s="213"/>
      <c r="AS66" s="213"/>
      <c r="AT66" s="214"/>
      <c r="AU66" s="215"/>
      <c r="AV66" s="213"/>
      <c r="AW66" s="213"/>
      <c r="AX66" s="331"/>
      <c r="AY66" s="215"/>
      <c r="AZ66" s="213"/>
      <c r="BA66" s="213"/>
      <c r="BB66" s="213"/>
      <c r="BC66" s="213"/>
      <c r="BD66" s="416">
        <f t="shared" si="3"/>
        <v>0</v>
      </c>
    </row>
    <row r="67" spans="1:56" ht="13.5" customHeight="1" x14ac:dyDescent="0.25">
      <c r="A67" s="208"/>
      <c r="B67" s="121"/>
      <c r="C67" s="119"/>
      <c r="D67" s="117"/>
      <c r="E67" s="117"/>
      <c r="F67" s="117"/>
      <c r="G67" s="118"/>
      <c r="H67" s="119"/>
      <c r="I67" s="117"/>
      <c r="J67" s="117"/>
      <c r="K67" s="118"/>
      <c r="L67" s="119"/>
      <c r="M67" s="117"/>
      <c r="N67" s="213"/>
      <c r="O67" s="214"/>
      <c r="P67" s="215"/>
      <c r="Q67" s="213"/>
      <c r="R67" s="213"/>
      <c r="S67" s="214"/>
      <c r="T67" s="215"/>
      <c r="U67" s="213"/>
      <c r="V67" s="213"/>
      <c r="W67" s="213"/>
      <c r="X67" s="214"/>
      <c r="Y67" s="215"/>
      <c r="Z67" s="213"/>
      <c r="AA67" s="213"/>
      <c r="AB67" s="214"/>
      <c r="AC67" s="215"/>
      <c r="AD67" s="213"/>
      <c r="AE67" s="213"/>
      <c r="AF67" s="214"/>
      <c r="AG67" s="215"/>
      <c r="AH67" s="213"/>
      <c r="AI67" s="213"/>
      <c r="AJ67" s="213"/>
      <c r="AK67" s="214"/>
      <c r="AL67" s="215"/>
      <c r="AM67" s="213"/>
      <c r="AN67" s="213"/>
      <c r="AO67" s="214"/>
      <c r="AP67" s="215"/>
      <c r="AQ67" s="213"/>
      <c r="AR67" s="213"/>
      <c r="AS67" s="213"/>
      <c r="AT67" s="214"/>
      <c r="AU67" s="215"/>
      <c r="AV67" s="213"/>
      <c r="AW67" s="213"/>
      <c r="AX67" s="331"/>
      <c r="AY67" s="215"/>
      <c r="AZ67" s="213"/>
      <c r="BA67" s="213"/>
      <c r="BB67" s="213"/>
      <c r="BC67" s="213"/>
      <c r="BD67" s="198">
        <f t="shared" ref="BD67" si="84">BD60+BC67-BD63</f>
        <v>0</v>
      </c>
    </row>
    <row r="68" spans="1:56" ht="13.5" customHeight="1" x14ac:dyDescent="0.25">
      <c r="A68" s="208"/>
      <c r="B68" s="216" t="s">
        <v>62</v>
      </c>
      <c r="C68" s="119">
        <f>SUM('CF (нед)'!$C$29:C29)</f>
        <v>0</v>
      </c>
      <c r="D68" s="117">
        <f>SUM('CF (нед)'!$C$29:D29)</f>
        <v>0</v>
      </c>
      <c r="E68" s="117">
        <f>SUM('CF (нед)'!$C$29:E29)</f>
        <v>0</v>
      </c>
      <c r="F68" s="117">
        <f>SUM('CF (нед)'!$C$29:F29)</f>
        <v>0</v>
      </c>
      <c r="G68" s="118">
        <f>SUM('CF (нед)'!$C$29:G29)</f>
        <v>0</v>
      </c>
      <c r="H68" s="119">
        <f>SUM('CF (нед)'!$C$29:H29)</f>
        <v>0</v>
      </c>
      <c r="I68" s="117">
        <f>SUM('CF (нед)'!$C$29:I29)</f>
        <v>0</v>
      </c>
      <c r="J68" s="117">
        <f>SUM('CF (нед)'!$C$29:J29)</f>
        <v>0</v>
      </c>
      <c r="K68" s="118">
        <f>SUM('CF (нед)'!$C$29:K29)</f>
        <v>0</v>
      </c>
      <c r="L68" s="119">
        <f>SUM('CF (нед)'!$C$29:L29)</f>
        <v>0</v>
      </c>
      <c r="M68" s="117">
        <f>SUM('CF (нед)'!$C$29:M29)</f>
        <v>0</v>
      </c>
      <c r="N68" s="117">
        <f>SUM('CF (нед)'!$C$29:N29)</f>
        <v>0</v>
      </c>
      <c r="O68" s="118">
        <f>SUM('CF (нед)'!$C$29:O29)</f>
        <v>0</v>
      </c>
      <c r="P68" s="119">
        <f>SUM('CF (нед)'!$C$29:P29)</f>
        <v>0</v>
      </c>
      <c r="Q68" s="117">
        <f>SUM('CF (нед)'!$C$29:Q29)</f>
        <v>0</v>
      </c>
      <c r="R68" s="117">
        <f>SUM('CF (нед)'!$C$29:R29)</f>
        <v>0</v>
      </c>
      <c r="S68" s="118">
        <f>SUM('CF (нед)'!$C$29:S29)</f>
        <v>0</v>
      </c>
      <c r="T68" s="119">
        <f>SUM('CF (нед)'!$C$29:T29)</f>
        <v>0</v>
      </c>
      <c r="U68" s="117">
        <f>SUM('CF (нед)'!$C$29:U29)</f>
        <v>0</v>
      </c>
      <c r="V68" s="117">
        <f>SUM('CF (нед)'!$C$29:V29)</f>
        <v>0</v>
      </c>
      <c r="W68" s="117">
        <f>SUM('CF (нед)'!$C$29:W29)</f>
        <v>0</v>
      </c>
      <c r="X68" s="118">
        <f>SUM('CF (нед)'!$C$29:X29)</f>
        <v>0</v>
      </c>
      <c r="Y68" s="119">
        <f>SUM('CF (нед)'!$C$29:Y29)</f>
        <v>0</v>
      </c>
      <c r="Z68" s="117">
        <f>SUM('CF (нед)'!$C$29:Z29)</f>
        <v>0</v>
      </c>
      <c r="AA68" s="117">
        <f>SUM('CF (нед)'!$C$29:AA29)</f>
        <v>0</v>
      </c>
      <c r="AB68" s="118">
        <f>SUM('CF (нед)'!$C$29:AB29)</f>
        <v>0</v>
      </c>
      <c r="AC68" s="119">
        <f>SUM('CF (нед)'!$C$29:AC29)</f>
        <v>0</v>
      </c>
      <c r="AD68" s="117">
        <f>SUM('CF (нед)'!$C$29:AD29)</f>
        <v>0</v>
      </c>
      <c r="AE68" s="117">
        <f>SUM('CF (нед)'!$C$29:AE29)</f>
        <v>0</v>
      </c>
      <c r="AF68" s="118">
        <f>SUM('CF (нед)'!$C$29:AF29)</f>
        <v>0</v>
      </c>
      <c r="AG68" s="119">
        <f>SUM('CF (нед)'!$C$29:AG29)</f>
        <v>0</v>
      </c>
      <c r="AH68" s="117">
        <f>SUM('CF (нед)'!$C$29:AH29)</f>
        <v>0</v>
      </c>
      <c r="AI68" s="117">
        <f>SUM('CF (нед)'!$C$29:AI29)</f>
        <v>0</v>
      </c>
      <c r="AJ68" s="117">
        <f>SUM('CF (нед)'!$C$29:AJ29)</f>
        <v>0</v>
      </c>
      <c r="AK68" s="118">
        <f>SUM('CF (нед)'!$C$29:AK29)</f>
        <v>0</v>
      </c>
      <c r="AL68" s="119">
        <f>SUM('CF (нед)'!$C$29:AL29)</f>
        <v>0</v>
      </c>
      <c r="AM68" s="117">
        <f>SUM('CF (нед)'!$C$29:AM29)</f>
        <v>0</v>
      </c>
      <c r="AN68" s="117">
        <f>SUM('CF (нед)'!$C$29:AN29)</f>
        <v>0</v>
      </c>
      <c r="AO68" s="118">
        <f>SUM('CF (нед)'!$C$29:AO29)</f>
        <v>0</v>
      </c>
      <c r="AP68" s="119">
        <f>SUM('CF (нед)'!$C$29:AP29)</f>
        <v>0</v>
      </c>
      <c r="AQ68" s="117">
        <f>SUM('CF (нед)'!$C$29:AQ29)</f>
        <v>0</v>
      </c>
      <c r="AR68" s="117">
        <f>SUM('CF (нед)'!$C$29:AR29)</f>
        <v>0</v>
      </c>
      <c r="AS68" s="117">
        <f>SUM('CF (нед)'!$C$29:AS29)</f>
        <v>0</v>
      </c>
      <c r="AT68" s="118">
        <f>SUM('CF (нед)'!$C$29:AT29)</f>
        <v>0</v>
      </c>
      <c r="AU68" s="119">
        <f>SUM('CF (нед)'!$C$29:AU29)</f>
        <v>0</v>
      </c>
      <c r="AV68" s="117">
        <f>SUM('CF (нед)'!$C$29:AV29)</f>
        <v>0</v>
      </c>
      <c r="AW68" s="117">
        <f>SUM('CF (нед)'!$C$29:AW29)</f>
        <v>0</v>
      </c>
      <c r="AX68" s="115">
        <f>SUM('CF (нед)'!$C$29:AX29)</f>
        <v>0</v>
      </c>
      <c r="AY68" s="119">
        <f>SUM('CF (нед)'!$C$29:AY29)</f>
        <v>0</v>
      </c>
      <c r="AZ68" s="117">
        <f>SUM('CF (нед)'!$C$29:AZ29)</f>
        <v>0</v>
      </c>
      <c r="BA68" s="117">
        <f>SUM('CF (нед)'!$C$29:BA29)</f>
        <v>0</v>
      </c>
      <c r="BB68" s="117">
        <f>SUM('CF (нед)'!$C$29:BB29)</f>
        <v>0</v>
      </c>
      <c r="BC68" s="117">
        <f>SUM('CF (нед)'!$C$29:BC29)</f>
        <v>0</v>
      </c>
      <c r="BD68" s="416">
        <f t="shared" si="3"/>
        <v>0</v>
      </c>
    </row>
    <row r="69" spans="1:56" ht="13.5" customHeight="1" x14ac:dyDescent="0.25">
      <c r="A69" s="208"/>
      <c r="B69" s="216" t="s">
        <v>63</v>
      </c>
      <c r="C69" s="119">
        <f t="shared" ref="C69:Q69" si="85">SUM($C$33:C33)</f>
        <v>4002</v>
      </c>
      <c r="D69" s="117">
        <f t="shared" si="85"/>
        <v>20067</v>
      </c>
      <c r="E69" s="117">
        <f t="shared" si="85"/>
        <v>37168</v>
      </c>
      <c r="F69" s="117">
        <f t="shared" si="85"/>
        <v>54491</v>
      </c>
      <c r="G69" s="118">
        <f t="shared" si="85"/>
        <v>71657</v>
      </c>
      <c r="H69" s="119">
        <f t="shared" si="85"/>
        <v>83620</v>
      </c>
      <c r="I69" s="117">
        <f t="shared" si="85"/>
        <v>95345</v>
      </c>
      <c r="J69" s="117">
        <f t="shared" si="85"/>
        <v>112383</v>
      </c>
      <c r="K69" s="118">
        <f t="shared" si="85"/>
        <v>121563</v>
      </c>
      <c r="L69" s="119">
        <f t="shared" si="85"/>
        <v>131604</v>
      </c>
      <c r="M69" s="117">
        <f t="shared" si="85"/>
        <v>140862</v>
      </c>
      <c r="N69" s="117">
        <f t="shared" si="85"/>
        <v>147967</v>
      </c>
      <c r="O69" s="118">
        <f t="shared" si="85"/>
        <v>153548</v>
      </c>
      <c r="P69" s="119">
        <f t="shared" si="85"/>
        <v>158033</v>
      </c>
      <c r="Q69" s="117">
        <f t="shared" si="85"/>
        <v>164168</v>
      </c>
      <c r="R69" s="117">
        <f t="shared" ref="R69:BA69" si="86">SUM(C33:R33)</f>
        <v>171481</v>
      </c>
      <c r="S69" s="118">
        <f t="shared" si="86"/>
        <v>167479</v>
      </c>
      <c r="T69" s="119">
        <f t="shared" si="86"/>
        <v>151414</v>
      </c>
      <c r="U69" s="117">
        <f t="shared" si="86"/>
        <v>134313</v>
      </c>
      <c r="V69" s="117">
        <f t="shared" si="86"/>
        <v>116990</v>
      </c>
      <c r="W69" s="117">
        <f t="shared" si="86"/>
        <v>99824</v>
      </c>
      <c r="X69" s="118">
        <f t="shared" si="86"/>
        <v>108621.14</v>
      </c>
      <c r="Y69" s="119">
        <f t="shared" si="86"/>
        <v>96896.14</v>
      </c>
      <c r="Z69" s="117">
        <f t="shared" si="86"/>
        <v>79858.14</v>
      </c>
      <c r="AA69" s="117">
        <f t="shared" si="86"/>
        <v>70678.14</v>
      </c>
      <c r="AB69" s="118">
        <f t="shared" si="86"/>
        <v>60637.14</v>
      </c>
      <c r="AC69" s="119">
        <f t="shared" si="86"/>
        <v>51379.14</v>
      </c>
      <c r="AD69" s="117">
        <f t="shared" si="86"/>
        <v>44274.14</v>
      </c>
      <c r="AE69" s="117">
        <f t="shared" si="86"/>
        <v>38693.14</v>
      </c>
      <c r="AF69" s="118">
        <f t="shared" si="86"/>
        <v>34208.14</v>
      </c>
      <c r="AG69" s="119">
        <f t="shared" si="86"/>
        <v>28073.14</v>
      </c>
      <c r="AH69" s="117">
        <f t="shared" si="86"/>
        <v>20760.14</v>
      </c>
      <c r="AI69" s="117">
        <f t="shared" si="86"/>
        <v>20760.14</v>
      </c>
      <c r="AJ69" s="117">
        <f t="shared" si="86"/>
        <v>20760.14</v>
      </c>
      <c r="AK69" s="118">
        <f t="shared" si="86"/>
        <v>20760.14</v>
      </c>
      <c r="AL69" s="119">
        <f t="shared" si="86"/>
        <v>20760.14</v>
      </c>
      <c r="AM69" s="117">
        <f t="shared" si="86"/>
        <v>20760.14</v>
      </c>
      <c r="AN69" s="117">
        <f t="shared" si="86"/>
        <v>0</v>
      </c>
      <c r="AO69" s="118">
        <f t="shared" si="86"/>
        <v>0</v>
      </c>
      <c r="AP69" s="119">
        <f t="shared" si="86"/>
        <v>0</v>
      </c>
      <c r="AQ69" s="117">
        <f t="shared" si="86"/>
        <v>0</v>
      </c>
      <c r="AR69" s="117">
        <f t="shared" si="86"/>
        <v>0</v>
      </c>
      <c r="AS69" s="117">
        <f t="shared" si="86"/>
        <v>0</v>
      </c>
      <c r="AT69" s="118">
        <f t="shared" si="86"/>
        <v>0</v>
      </c>
      <c r="AU69" s="119">
        <f t="shared" si="86"/>
        <v>0</v>
      </c>
      <c r="AV69" s="117">
        <f t="shared" si="86"/>
        <v>0</v>
      </c>
      <c r="AW69" s="117">
        <f t="shared" si="86"/>
        <v>0</v>
      </c>
      <c r="AX69" s="115">
        <f t="shared" si="86"/>
        <v>0</v>
      </c>
      <c r="AY69" s="119">
        <f t="shared" si="86"/>
        <v>0</v>
      </c>
      <c r="AZ69" s="117">
        <f t="shared" si="86"/>
        <v>0</v>
      </c>
      <c r="BA69" s="117">
        <f t="shared" si="86"/>
        <v>0</v>
      </c>
      <c r="BB69" s="117">
        <f t="shared" ref="BB69" si="87">SUM(AM33:BB33)</f>
        <v>0</v>
      </c>
      <c r="BC69" s="117">
        <f t="shared" ref="BC69" si="88">SUM(AN33:BC33)</f>
        <v>0</v>
      </c>
      <c r="BD69" s="416">
        <f t="shared" si="3"/>
        <v>3075858.2400000021</v>
      </c>
    </row>
    <row r="70" spans="1:56" ht="13.5" customHeight="1" x14ac:dyDescent="0.25">
      <c r="A70" s="208"/>
      <c r="B70" s="216" t="s">
        <v>64</v>
      </c>
      <c r="C70" s="119">
        <f>SUM($C$57:C57)</f>
        <v>-867.92000000000007</v>
      </c>
      <c r="D70" s="117">
        <f t="shared" ref="D70:Q70" si="89">SUM($C$57:D57)</f>
        <v>7101.2499999999991</v>
      </c>
      <c r="E70" s="117">
        <f t="shared" si="89"/>
        <v>12892.929999999998</v>
      </c>
      <c r="F70" s="117">
        <f t="shared" si="89"/>
        <v>22210.509999999995</v>
      </c>
      <c r="G70" s="118">
        <f t="shared" si="89"/>
        <v>26763.429999999993</v>
      </c>
      <c r="H70" s="119">
        <f t="shared" si="89"/>
        <v>28104.879999999994</v>
      </c>
      <c r="I70" s="117">
        <f t="shared" si="89"/>
        <v>30709.079999999994</v>
      </c>
      <c r="J70" s="117">
        <f t="shared" si="89"/>
        <v>34409.349999999991</v>
      </c>
      <c r="K70" s="118">
        <f t="shared" si="89"/>
        <v>39216.919999999991</v>
      </c>
      <c r="L70" s="119">
        <f>SUM($C$57:L57)</f>
        <v>44909.839999999989</v>
      </c>
      <c r="M70" s="117">
        <f t="shared" si="89"/>
        <v>46972.739999999991</v>
      </c>
      <c r="N70" s="117">
        <f t="shared" si="89"/>
        <v>51136.919999999991</v>
      </c>
      <c r="O70" s="118">
        <f t="shared" si="89"/>
        <v>57017.489999999991</v>
      </c>
      <c r="P70" s="119">
        <f t="shared" si="89"/>
        <v>61259.179999999993</v>
      </c>
      <c r="Q70" s="117">
        <f t="shared" si="89"/>
        <v>62808.549999999996</v>
      </c>
      <c r="R70" s="117">
        <f t="shared" ref="R70:BA70" si="90">SUM(C57:R57)</f>
        <v>62355.759999999995</v>
      </c>
      <c r="S70" s="118">
        <f t="shared" si="90"/>
        <v>70361.61</v>
      </c>
      <c r="T70" s="119">
        <f t="shared" si="90"/>
        <v>62392.44</v>
      </c>
      <c r="U70" s="117">
        <f t="shared" si="90"/>
        <v>56600.76</v>
      </c>
      <c r="V70" s="117">
        <f t="shared" si="90"/>
        <v>47283.180000000008</v>
      </c>
      <c r="W70" s="117">
        <f t="shared" si="90"/>
        <v>42730.26</v>
      </c>
      <c r="X70" s="118">
        <f t="shared" si="90"/>
        <v>34820.47</v>
      </c>
      <c r="Y70" s="119">
        <f t="shared" si="90"/>
        <v>32216.27</v>
      </c>
      <c r="Z70" s="117">
        <f t="shared" si="90"/>
        <v>28515.999999999996</v>
      </c>
      <c r="AA70" s="117">
        <f t="shared" si="90"/>
        <v>23708.429999999997</v>
      </c>
      <c r="AB70" s="118">
        <f t="shared" si="90"/>
        <v>18015.509999999998</v>
      </c>
      <c r="AC70" s="119">
        <f t="shared" si="90"/>
        <v>15952.609999999997</v>
      </c>
      <c r="AD70" s="117">
        <f t="shared" si="90"/>
        <v>11788.429999999997</v>
      </c>
      <c r="AE70" s="117">
        <f t="shared" si="90"/>
        <v>5907.8600000000006</v>
      </c>
      <c r="AF70" s="118">
        <f t="shared" si="90"/>
        <v>1666.17</v>
      </c>
      <c r="AG70" s="119">
        <f t="shared" si="90"/>
        <v>116.80000000000018</v>
      </c>
      <c r="AH70" s="117">
        <f t="shared" si="90"/>
        <v>569.59000000000015</v>
      </c>
      <c r="AI70" s="117">
        <f t="shared" si="90"/>
        <v>-6568.34</v>
      </c>
      <c r="AJ70" s="117">
        <f t="shared" si="90"/>
        <v>-6568.34</v>
      </c>
      <c r="AK70" s="118">
        <f t="shared" si="90"/>
        <v>-6568.34</v>
      </c>
      <c r="AL70" s="119">
        <f t="shared" si="90"/>
        <v>-6568.34</v>
      </c>
      <c r="AM70" s="117">
        <f t="shared" si="90"/>
        <v>-6568.34</v>
      </c>
      <c r="AN70" s="117">
        <f t="shared" si="90"/>
        <v>0</v>
      </c>
      <c r="AO70" s="118">
        <f t="shared" si="90"/>
        <v>0</v>
      </c>
      <c r="AP70" s="119">
        <f t="shared" si="90"/>
        <v>0</v>
      </c>
      <c r="AQ70" s="117">
        <f t="shared" si="90"/>
        <v>0</v>
      </c>
      <c r="AR70" s="117">
        <f t="shared" si="90"/>
        <v>0</v>
      </c>
      <c r="AS70" s="117">
        <f t="shared" si="90"/>
        <v>0</v>
      </c>
      <c r="AT70" s="118">
        <f t="shared" si="90"/>
        <v>0</v>
      </c>
      <c r="AU70" s="119">
        <f t="shared" si="90"/>
        <v>0</v>
      </c>
      <c r="AV70" s="117">
        <f t="shared" si="90"/>
        <v>0</v>
      </c>
      <c r="AW70" s="117">
        <f t="shared" si="90"/>
        <v>0</v>
      </c>
      <c r="AX70" s="115">
        <f t="shared" si="90"/>
        <v>0</v>
      </c>
      <c r="AY70" s="119">
        <f t="shared" si="90"/>
        <v>0</v>
      </c>
      <c r="AZ70" s="117">
        <f t="shared" si="90"/>
        <v>0</v>
      </c>
      <c r="BA70" s="117">
        <f t="shared" si="90"/>
        <v>0</v>
      </c>
      <c r="BB70" s="117">
        <f t="shared" ref="BB70" si="91">SUM(AM57:BB57)</f>
        <v>0</v>
      </c>
      <c r="BC70" s="117">
        <f t="shared" ref="BC70" si="92">SUM(AN57:BC57)</f>
        <v>0</v>
      </c>
      <c r="BD70" s="416">
        <f t="shared" si="3"/>
        <v>1006805.6000000003</v>
      </c>
    </row>
    <row r="71" spans="1:56" ht="13.5" customHeight="1" x14ac:dyDescent="0.25">
      <c r="A71" s="217"/>
      <c r="B71" s="218" t="s">
        <v>65</v>
      </c>
      <c r="C71" s="192">
        <f t="shared" ref="C71:BA71" si="93">C70/C69</f>
        <v>-0.21687156421789108</v>
      </c>
      <c r="D71" s="193">
        <f t="shared" si="93"/>
        <v>0.35387701200976723</v>
      </c>
      <c r="E71" s="193">
        <f t="shared" si="93"/>
        <v>0.34688253336203184</v>
      </c>
      <c r="F71" s="193">
        <f t="shared" si="93"/>
        <v>0.40759960360426484</v>
      </c>
      <c r="G71" s="194">
        <f t="shared" si="93"/>
        <v>0.373493587507152</v>
      </c>
      <c r="H71" s="192">
        <f t="shared" si="93"/>
        <v>0.33610236785458014</v>
      </c>
      <c r="I71" s="193">
        <f t="shared" si="93"/>
        <v>0.32208380093345212</v>
      </c>
      <c r="J71" s="193">
        <f t="shared" si="93"/>
        <v>0.30617931537688076</v>
      </c>
      <c r="K71" s="194">
        <f t="shared" si="93"/>
        <v>0.32260572707155954</v>
      </c>
      <c r="L71" s="192">
        <f t="shared" si="93"/>
        <v>0.34124981003616905</v>
      </c>
      <c r="M71" s="193">
        <f t="shared" si="93"/>
        <v>0.33346637134216461</v>
      </c>
      <c r="N71" s="193">
        <f t="shared" si="93"/>
        <v>0.34559678847310543</v>
      </c>
      <c r="O71" s="194">
        <f t="shared" si="93"/>
        <v>0.37133332899158561</v>
      </c>
      <c r="P71" s="192">
        <f t="shared" si="93"/>
        <v>0.38763536729670378</v>
      </c>
      <c r="Q71" s="193">
        <f t="shared" si="93"/>
        <v>0.38258704497831486</v>
      </c>
      <c r="R71" s="193">
        <f t="shared" si="93"/>
        <v>0.36363072293723497</v>
      </c>
      <c r="S71" s="194">
        <f t="shared" si="93"/>
        <v>0.42012198544295104</v>
      </c>
      <c r="T71" s="192">
        <f t="shared" si="93"/>
        <v>0.41206519872666997</v>
      </c>
      <c r="U71" s="193">
        <f t="shared" si="93"/>
        <v>0.42140939447410153</v>
      </c>
      <c r="V71" s="193">
        <f t="shared" si="93"/>
        <v>0.40416428754594419</v>
      </c>
      <c r="W71" s="193">
        <f t="shared" si="93"/>
        <v>0.42805597852219907</v>
      </c>
      <c r="X71" s="194">
        <f t="shared" si="93"/>
        <v>0.32056807726378128</v>
      </c>
      <c r="Y71" s="192">
        <f t="shared" si="93"/>
        <v>0.33248249104659899</v>
      </c>
      <c r="Z71" s="193">
        <f t="shared" si="93"/>
        <v>0.35708319778046416</v>
      </c>
      <c r="AA71" s="193">
        <f t="shared" si="93"/>
        <v>0.33544218905590889</v>
      </c>
      <c r="AB71" s="194">
        <f t="shared" si="93"/>
        <v>0.29710355732476829</v>
      </c>
      <c r="AC71" s="192">
        <f t="shared" si="93"/>
        <v>0.3104880696718551</v>
      </c>
      <c r="AD71" s="193">
        <f t="shared" si="93"/>
        <v>0.26625994316320989</v>
      </c>
      <c r="AE71" s="193">
        <f t="shared" si="93"/>
        <v>0.15268494622044115</v>
      </c>
      <c r="AF71" s="194">
        <f t="shared" si="93"/>
        <v>4.8706828257835712E-2</v>
      </c>
      <c r="AG71" s="192">
        <f t="shared" si="93"/>
        <v>4.1605605927944002E-3</v>
      </c>
      <c r="AH71" s="193">
        <f t="shared" si="93"/>
        <v>2.7436712854537599E-2</v>
      </c>
      <c r="AI71" s="193">
        <f t="shared" si="93"/>
        <v>-0.31639189331093143</v>
      </c>
      <c r="AJ71" s="193">
        <f t="shared" si="93"/>
        <v>-0.31639189331093143</v>
      </c>
      <c r="AK71" s="194">
        <f t="shared" si="93"/>
        <v>-0.31639189331093143</v>
      </c>
      <c r="AL71" s="192">
        <f t="shared" si="93"/>
        <v>-0.31639189331093143</v>
      </c>
      <c r="AM71" s="193">
        <f t="shared" si="93"/>
        <v>-0.31639189331093143</v>
      </c>
      <c r="AN71" s="193" t="e">
        <f t="shared" si="93"/>
        <v>#DIV/0!</v>
      </c>
      <c r="AO71" s="194" t="e">
        <f t="shared" si="93"/>
        <v>#DIV/0!</v>
      </c>
      <c r="AP71" s="192" t="e">
        <f t="shared" si="93"/>
        <v>#DIV/0!</v>
      </c>
      <c r="AQ71" s="193" t="e">
        <f t="shared" si="93"/>
        <v>#DIV/0!</v>
      </c>
      <c r="AR71" s="193" t="e">
        <f t="shared" si="93"/>
        <v>#DIV/0!</v>
      </c>
      <c r="AS71" s="193" t="e">
        <f t="shared" si="93"/>
        <v>#DIV/0!</v>
      </c>
      <c r="AT71" s="194" t="e">
        <f t="shared" si="93"/>
        <v>#DIV/0!</v>
      </c>
      <c r="AU71" s="192" t="e">
        <f t="shared" si="93"/>
        <v>#DIV/0!</v>
      </c>
      <c r="AV71" s="193" t="e">
        <f t="shared" si="93"/>
        <v>#DIV/0!</v>
      </c>
      <c r="AW71" s="193" t="e">
        <f t="shared" si="93"/>
        <v>#DIV/0!</v>
      </c>
      <c r="AX71" s="332" t="e">
        <f t="shared" si="93"/>
        <v>#DIV/0!</v>
      </c>
      <c r="AY71" s="192" t="e">
        <f t="shared" si="93"/>
        <v>#DIV/0!</v>
      </c>
      <c r="AZ71" s="193" t="e">
        <f t="shared" si="93"/>
        <v>#DIV/0!</v>
      </c>
      <c r="BA71" s="193" t="e">
        <f t="shared" si="93"/>
        <v>#DIV/0!</v>
      </c>
      <c r="BB71" s="193" t="e">
        <f t="shared" ref="BB71:BC71" si="94">BB70/BB69</f>
        <v>#DIV/0!</v>
      </c>
      <c r="BC71" s="193" t="e">
        <f t="shared" si="94"/>
        <v>#DIV/0!</v>
      </c>
      <c r="BD71" s="416" t="e">
        <f t="shared" si="3"/>
        <v>#DIV/0!</v>
      </c>
    </row>
    <row r="72" spans="1:56" ht="13.5" customHeight="1" x14ac:dyDescent="0.25">
      <c r="A72" s="217"/>
      <c r="B72" s="218" t="s">
        <v>66</v>
      </c>
      <c r="C72" s="192" t="e">
        <f>C69/C68</f>
        <v>#DIV/0!</v>
      </c>
      <c r="D72" s="193" t="e">
        <f t="shared" ref="D72:BA72" si="95">D69/D68</f>
        <v>#DIV/0!</v>
      </c>
      <c r="E72" s="193" t="e">
        <f t="shared" si="95"/>
        <v>#DIV/0!</v>
      </c>
      <c r="F72" s="193" t="e">
        <f t="shared" si="95"/>
        <v>#DIV/0!</v>
      </c>
      <c r="G72" s="194" t="e">
        <f t="shared" si="95"/>
        <v>#DIV/0!</v>
      </c>
      <c r="H72" s="192" t="e">
        <f t="shared" si="95"/>
        <v>#DIV/0!</v>
      </c>
      <c r="I72" s="193" t="e">
        <f t="shared" si="95"/>
        <v>#DIV/0!</v>
      </c>
      <c r="J72" s="193" t="e">
        <f t="shared" si="95"/>
        <v>#DIV/0!</v>
      </c>
      <c r="K72" s="194" t="e">
        <f t="shared" si="95"/>
        <v>#DIV/0!</v>
      </c>
      <c r="L72" s="192" t="e">
        <f t="shared" si="95"/>
        <v>#DIV/0!</v>
      </c>
      <c r="M72" s="193" t="e">
        <f t="shared" si="95"/>
        <v>#DIV/0!</v>
      </c>
      <c r="N72" s="193" t="e">
        <f t="shared" si="95"/>
        <v>#DIV/0!</v>
      </c>
      <c r="O72" s="194" t="e">
        <f t="shared" si="95"/>
        <v>#DIV/0!</v>
      </c>
      <c r="P72" s="192" t="e">
        <f t="shared" si="95"/>
        <v>#DIV/0!</v>
      </c>
      <c r="Q72" s="193" t="e">
        <f t="shared" si="95"/>
        <v>#DIV/0!</v>
      </c>
      <c r="R72" s="193" t="e">
        <f t="shared" si="95"/>
        <v>#DIV/0!</v>
      </c>
      <c r="S72" s="194" t="e">
        <f t="shared" si="95"/>
        <v>#DIV/0!</v>
      </c>
      <c r="T72" s="192" t="e">
        <f t="shared" si="95"/>
        <v>#DIV/0!</v>
      </c>
      <c r="U72" s="193" t="e">
        <f t="shared" si="95"/>
        <v>#DIV/0!</v>
      </c>
      <c r="V72" s="193" t="e">
        <f t="shared" si="95"/>
        <v>#DIV/0!</v>
      </c>
      <c r="W72" s="193" t="e">
        <f t="shared" si="95"/>
        <v>#DIV/0!</v>
      </c>
      <c r="X72" s="194" t="e">
        <f t="shared" si="95"/>
        <v>#DIV/0!</v>
      </c>
      <c r="Y72" s="192" t="e">
        <f t="shared" si="95"/>
        <v>#DIV/0!</v>
      </c>
      <c r="Z72" s="193" t="e">
        <f t="shared" si="95"/>
        <v>#DIV/0!</v>
      </c>
      <c r="AA72" s="193" t="e">
        <f t="shared" si="95"/>
        <v>#DIV/0!</v>
      </c>
      <c r="AB72" s="194" t="e">
        <f t="shared" si="95"/>
        <v>#DIV/0!</v>
      </c>
      <c r="AC72" s="192" t="e">
        <f t="shared" si="95"/>
        <v>#DIV/0!</v>
      </c>
      <c r="AD72" s="193" t="e">
        <f t="shared" si="95"/>
        <v>#DIV/0!</v>
      </c>
      <c r="AE72" s="193" t="e">
        <f t="shared" si="95"/>
        <v>#DIV/0!</v>
      </c>
      <c r="AF72" s="194" t="e">
        <f t="shared" si="95"/>
        <v>#DIV/0!</v>
      </c>
      <c r="AG72" s="192" t="e">
        <f t="shared" si="95"/>
        <v>#DIV/0!</v>
      </c>
      <c r="AH72" s="193" t="e">
        <f t="shared" si="95"/>
        <v>#DIV/0!</v>
      </c>
      <c r="AI72" s="193" t="e">
        <f t="shared" si="95"/>
        <v>#DIV/0!</v>
      </c>
      <c r="AJ72" s="193" t="e">
        <f t="shared" si="95"/>
        <v>#DIV/0!</v>
      </c>
      <c r="AK72" s="194" t="e">
        <f t="shared" si="95"/>
        <v>#DIV/0!</v>
      </c>
      <c r="AL72" s="192" t="e">
        <f t="shared" si="95"/>
        <v>#DIV/0!</v>
      </c>
      <c r="AM72" s="193" t="e">
        <f t="shared" si="95"/>
        <v>#DIV/0!</v>
      </c>
      <c r="AN72" s="193" t="e">
        <f t="shared" si="95"/>
        <v>#DIV/0!</v>
      </c>
      <c r="AO72" s="194" t="e">
        <f>AO69/AO68</f>
        <v>#DIV/0!</v>
      </c>
      <c r="AP72" s="192" t="e">
        <f t="shared" si="95"/>
        <v>#DIV/0!</v>
      </c>
      <c r="AQ72" s="193" t="e">
        <f t="shared" si="95"/>
        <v>#DIV/0!</v>
      </c>
      <c r="AR72" s="193" t="e">
        <f t="shared" si="95"/>
        <v>#DIV/0!</v>
      </c>
      <c r="AS72" s="193" t="e">
        <f t="shared" si="95"/>
        <v>#DIV/0!</v>
      </c>
      <c r="AT72" s="194" t="e">
        <f t="shared" si="95"/>
        <v>#DIV/0!</v>
      </c>
      <c r="AU72" s="192" t="e">
        <f t="shared" si="95"/>
        <v>#DIV/0!</v>
      </c>
      <c r="AV72" s="193" t="e">
        <f t="shared" si="95"/>
        <v>#DIV/0!</v>
      </c>
      <c r="AW72" s="193" t="e">
        <f t="shared" si="95"/>
        <v>#DIV/0!</v>
      </c>
      <c r="AX72" s="332" t="e">
        <f t="shared" si="95"/>
        <v>#DIV/0!</v>
      </c>
      <c r="AY72" s="192" t="e">
        <f t="shared" si="95"/>
        <v>#DIV/0!</v>
      </c>
      <c r="AZ72" s="193" t="e">
        <f t="shared" si="95"/>
        <v>#DIV/0!</v>
      </c>
      <c r="BA72" s="193" t="e">
        <f t="shared" si="95"/>
        <v>#DIV/0!</v>
      </c>
      <c r="BB72" s="193" t="e">
        <f t="shared" ref="BB72:BC72" si="96">BB69/BB68</f>
        <v>#DIV/0!</v>
      </c>
      <c r="BC72" s="193" t="e">
        <f t="shared" si="96"/>
        <v>#DIV/0!</v>
      </c>
      <c r="BD72" s="416" t="e">
        <f t="shared" ref="BD72:BD76" si="97">SUM(C72:BC72)</f>
        <v>#DIV/0!</v>
      </c>
    </row>
    <row r="73" spans="1:56" ht="13.5" customHeight="1" x14ac:dyDescent="0.25">
      <c r="A73" s="114"/>
      <c r="B73" s="121" t="s">
        <v>67</v>
      </c>
      <c r="C73" s="119" t="e">
        <f t="shared" ref="C73:Q73" si="98">(C74*7)/C72</f>
        <v>#DIV/0!</v>
      </c>
      <c r="D73" s="117" t="e">
        <f t="shared" si="98"/>
        <v>#DIV/0!</v>
      </c>
      <c r="E73" s="117" t="e">
        <f t="shared" si="98"/>
        <v>#DIV/0!</v>
      </c>
      <c r="F73" s="117" t="e">
        <f t="shared" si="98"/>
        <v>#DIV/0!</v>
      </c>
      <c r="G73" s="118" t="e">
        <f t="shared" si="98"/>
        <v>#DIV/0!</v>
      </c>
      <c r="H73" s="119" t="e">
        <f t="shared" si="98"/>
        <v>#DIV/0!</v>
      </c>
      <c r="I73" s="117" t="e">
        <f t="shared" si="98"/>
        <v>#DIV/0!</v>
      </c>
      <c r="J73" s="117" t="e">
        <f t="shared" si="98"/>
        <v>#DIV/0!</v>
      </c>
      <c r="K73" s="118" t="e">
        <f t="shared" si="98"/>
        <v>#DIV/0!</v>
      </c>
      <c r="L73" s="119" t="e">
        <f t="shared" si="98"/>
        <v>#DIV/0!</v>
      </c>
      <c r="M73" s="117" t="e">
        <f t="shared" si="98"/>
        <v>#DIV/0!</v>
      </c>
      <c r="N73" s="117" t="e">
        <f t="shared" si="98"/>
        <v>#DIV/0!</v>
      </c>
      <c r="O73" s="118" t="e">
        <f t="shared" si="98"/>
        <v>#DIV/0!</v>
      </c>
      <c r="P73" s="119" t="e">
        <f t="shared" si="98"/>
        <v>#DIV/0!</v>
      </c>
      <c r="Q73" s="117" t="e">
        <f t="shared" si="98"/>
        <v>#DIV/0!</v>
      </c>
      <c r="R73" s="117" t="e">
        <f t="shared" ref="R73:BA73" si="99">(16*7)/R72</f>
        <v>#DIV/0!</v>
      </c>
      <c r="S73" s="118" t="e">
        <f t="shared" si="99"/>
        <v>#DIV/0!</v>
      </c>
      <c r="T73" s="119" t="e">
        <f t="shared" si="99"/>
        <v>#DIV/0!</v>
      </c>
      <c r="U73" s="117" t="e">
        <f t="shared" si="99"/>
        <v>#DIV/0!</v>
      </c>
      <c r="V73" s="117" t="e">
        <f t="shared" si="99"/>
        <v>#DIV/0!</v>
      </c>
      <c r="W73" s="117" t="e">
        <f t="shared" si="99"/>
        <v>#DIV/0!</v>
      </c>
      <c r="X73" s="118" t="e">
        <f t="shared" si="99"/>
        <v>#DIV/0!</v>
      </c>
      <c r="Y73" s="119" t="e">
        <f t="shared" si="99"/>
        <v>#DIV/0!</v>
      </c>
      <c r="Z73" s="117" t="e">
        <f t="shared" si="99"/>
        <v>#DIV/0!</v>
      </c>
      <c r="AA73" s="117" t="e">
        <f t="shared" si="99"/>
        <v>#DIV/0!</v>
      </c>
      <c r="AB73" s="118" t="e">
        <f t="shared" si="99"/>
        <v>#DIV/0!</v>
      </c>
      <c r="AC73" s="119" t="e">
        <f t="shared" si="99"/>
        <v>#DIV/0!</v>
      </c>
      <c r="AD73" s="117" t="e">
        <f t="shared" si="99"/>
        <v>#DIV/0!</v>
      </c>
      <c r="AE73" s="117" t="e">
        <f t="shared" si="99"/>
        <v>#DIV/0!</v>
      </c>
      <c r="AF73" s="118" t="e">
        <f t="shared" si="99"/>
        <v>#DIV/0!</v>
      </c>
      <c r="AG73" s="119" t="e">
        <f t="shared" si="99"/>
        <v>#DIV/0!</v>
      </c>
      <c r="AH73" s="117" t="e">
        <f t="shared" si="99"/>
        <v>#DIV/0!</v>
      </c>
      <c r="AI73" s="117" t="e">
        <f t="shared" si="99"/>
        <v>#DIV/0!</v>
      </c>
      <c r="AJ73" s="117" t="e">
        <f t="shared" si="99"/>
        <v>#DIV/0!</v>
      </c>
      <c r="AK73" s="118" t="e">
        <f t="shared" si="99"/>
        <v>#DIV/0!</v>
      </c>
      <c r="AL73" s="119" t="e">
        <f t="shared" si="99"/>
        <v>#DIV/0!</v>
      </c>
      <c r="AM73" s="117" t="e">
        <f t="shared" si="99"/>
        <v>#DIV/0!</v>
      </c>
      <c r="AN73" s="117" t="e">
        <f t="shared" si="99"/>
        <v>#DIV/0!</v>
      </c>
      <c r="AO73" s="118" t="e">
        <f t="shared" si="99"/>
        <v>#DIV/0!</v>
      </c>
      <c r="AP73" s="119" t="e">
        <f t="shared" si="99"/>
        <v>#DIV/0!</v>
      </c>
      <c r="AQ73" s="117" t="e">
        <f t="shared" si="99"/>
        <v>#DIV/0!</v>
      </c>
      <c r="AR73" s="117" t="e">
        <f t="shared" si="99"/>
        <v>#DIV/0!</v>
      </c>
      <c r="AS73" s="117" t="e">
        <f t="shared" si="99"/>
        <v>#DIV/0!</v>
      </c>
      <c r="AT73" s="118" t="e">
        <f t="shared" si="99"/>
        <v>#DIV/0!</v>
      </c>
      <c r="AU73" s="119" t="e">
        <f t="shared" si="99"/>
        <v>#DIV/0!</v>
      </c>
      <c r="AV73" s="117" t="e">
        <f t="shared" si="99"/>
        <v>#DIV/0!</v>
      </c>
      <c r="AW73" s="117" t="e">
        <f t="shared" si="99"/>
        <v>#DIV/0!</v>
      </c>
      <c r="AX73" s="115" t="e">
        <f t="shared" si="99"/>
        <v>#DIV/0!</v>
      </c>
      <c r="AY73" s="119" t="e">
        <f t="shared" si="99"/>
        <v>#DIV/0!</v>
      </c>
      <c r="AZ73" s="117" t="e">
        <f t="shared" si="99"/>
        <v>#DIV/0!</v>
      </c>
      <c r="BA73" s="117" t="e">
        <f t="shared" si="99"/>
        <v>#DIV/0!</v>
      </c>
      <c r="BB73" s="117" t="e">
        <f t="shared" ref="BB73:BC73" si="100">(16*7)/BB72</f>
        <v>#DIV/0!</v>
      </c>
      <c r="BC73" s="117" t="e">
        <f t="shared" si="100"/>
        <v>#DIV/0!</v>
      </c>
      <c r="BD73" s="416" t="e">
        <f t="shared" si="97"/>
        <v>#DIV/0!</v>
      </c>
    </row>
    <row r="74" spans="1:56" ht="13.5" customHeight="1" x14ac:dyDescent="0.25">
      <c r="A74" s="219"/>
      <c r="B74" s="220"/>
      <c r="C74" s="221">
        <v>1</v>
      </c>
      <c r="D74" s="222">
        <v>2</v>
      </c>
      <c r="E74" s="222">
        <v>3</v>
      </c>
      <c r="F74" s="222">
        <v>4</v>
      </c>
      <c r="G74" s="223">
        <v>5</v>
      </c>
      <c r="H74" s="221">
        <v>6</v>
      </c>
      <c r="I74" s="222">
        <v>7</v>
      </c>
      <c r="J74" s="222">
        <v>8</v>
      </c>
      <c r="K74" s="223">
        <v>9</v>
      </c>
      <c r="L74" s="221">
        <v>10</v>
      </c>
      <c r="M74" s="222">
        <v>11</v>
      </c>
      <c r="N74" s="224">
        <v>12</v>
      </c>
      <c r="O74" s="225">
        <v>13</v>
      </c>
      <c r="P74" s="226">
        <v>14</v>
      </c>
      <c r="Q74" s="224">
        <v>15</v>
      </c>
      <c r="R74" s="224">
        <v>16</v>
      </c>
      <c r="S74" s="227" t="s">
        <v>68</v>
      </c>
      <c r="T74" s="226"/>
      <c r="U74" s="224"/>
      <c r="V74" s="224"/>
      <c r="W74" s="224"/>
      <c r="X74" s="225"/>
      <c r="Y74" s="226"/>
      <c r="Z74" s="224"/>
      <c r="AA74" s="224"/>
      <c r="AB74" s="225"/>
      <c r="AC74" s="226"/>
      <c r="AD74" s="224"/>
      <c r="AE74" s="224"/>
      <c r="AF74" s="225"/>
      <c r="AG74" s="226"/>
      <c r="AH74" s="224"/>
      <c r="AI74" s="224"/>
      <c r="AJ74" s="224"/>
      <c r="AK74" s="225"/>
      <c r="AL74" s="226"/>
      <c r="AM74" s="224"/>
      <c r="AN74" s="224"/>
      <c r="AO74" s="225"/>
      <c r="AP74" s="226"/>
      <c r="AQ74" s="224"/>
      <c r="AR74" s="224"/>
      <c r="AS74" s="224"/>
      <c r="AT74" s="225"/>
      <c r="AU74" s="226"/>
      <c r="AV74" s="224"/>
      <c r="AW74" s="224"/>
      <c r="AX74" s="333"/>
      <c r="AY74" s="226"/>
      <c r="AZ74" s="224"/>
      <c r="BA74" s="224"/>
      <c r="BB74" s="224"/>
      <c r="BC74" s="224"/>
      <c r="BD74" s="416">
        <f t="shared" si="97"/>
        <v>136</v>
      </c>
    </row>
    <row r="75" spans="1:56" ht="13.5" customHeight="1" x14ac:dyDescent="0.25">
      <c r="A75" s="228"/>
      <c r="B75" s="229" t="s">
        <v>69</v>
      </c>
      <c r="C75" s="230">
        <f t="shared" ref="C75:R75" si="101">C12*C74*7/C69</f>
        <v>411.16093453273356</v>
      </c>
      <c r="D75" s="231">
        <f t="shared" si="101"/>
        <v>152.78926197239247</v>
      </c>
      <c r="E75" s="231">
        <f t="shared" si="101"/>
        <v>114.07426226861816</v>
      </c>
      <c r="F75" s="231">
        <f>F12*F74*7/F69</f>
        <v>94.844510836651907</v>
      </c>
      <c r="G75" s="232">
        <f t="shared" si="101"/>
        <v>81.770173186150672</v>
      </c>
      <c r="H75" s="230">
        <f t="shared" si="101"/>
        <v>78.077497727816308</v>
      </c>
      <c r="I75" s="231">
        <f t="shared" si="101"/>
        <v>73.86287083748492</v>
      </c>
      <c r="J75" s="231">
        <f t="shared" si="101"/>
        <v>63.126918484112359</v>
      </c>
      <c r="K75" s="232">
        <f t="shared" si="101"/>
        <v>60.89724291108314</v>
      </c>
      <c r="L75" s="230">
        <f t="shared" si="101"/>
        <v>57.160273243974338</v>
      </c>
      <c r="M75" s="231">
        <f t="shared" si="101"/>
        <v>53.683084579233572</v>
      </c>
      <c r="N75" s="231">
        <f t="shared" si="101"/>
        <v>51.717833841329487</v>
      </c>
      <c r="O75" s="232">
        <f t="shared" si="101"/>
        <v>50.683647979784816</v>
      </c>
      <c r="P75" s="230">
        <f t="shared" si="101"/>
        <v>50.252079249270714</v>
      </c>
      <c r="Q75" s="231">
        <f t="shared" si="101"/>
        <v>47.905565640076013</v>
      </c>
      <c r="R75" s="231">
        <f t="shared" si="101"/>
        <v>44.143718312815992</v>
      </c>
      <c r="S75" s="232">
        <f t="shared" ref="S75:BA75" si="102">S12*16*7/S69</f>
        <v>45.198555998065423</v>
      </c>
      <c r="T75" s="230">
        <f t="shared" si="102"/>
        <v>49.994115207312397</v>
      </c>
      <c r="U75" s="231">
        <f t="shared" si="102"/>
        <v>56.359466023393111</v>
      </c>
      <c r="V75" s="231">
        <f t="shared" si="102"/>
        <v>64.704752201042822</v>
      </c>
      <c r="W75" s="231">
        <f t="shared" si="102"/>
        <v>75.831553133514973</v>
      </c>
      <c r="X75" s="232">
        <f t="shared" si="102"/>
        <v>48.284093501504387</v>
      </c>
      <c r="Y75" s="230">
        <f t="shared" si="102"/>
        <v>54.126751385555693</v>
      </c>
      <c r="Z75" s="231">
        <f t="shared" si="102"/>
        <v>65.674873970267754</v>
      </c>
      <c r="AA75" s="231">
        <f t="shared" si="102"/>
        <v>74.205026900821082</v>
      </c>
      <c r="AB75" s="232">
        <f t="shared" si="102"/>
        <v>86.492754770426146</v>
      </c>
      <c r="AC75" s="230">
        <f t="shared" si="102"/>
        <v>102.0778720702604</v>
      </c>
      <c r="AD75" s="231">
        <f t="shared" si="102"/>
        <v>118.45906617271388</v>
      </c>
      <c r="AE75" s="231">
        <f t="shared" si="102"/>
        <v>135.54530027803375</v>
      </c>
      <c r="AF75" s="232">
        <f t="shared" si="102"/>
        <v>153.31652875602117</v>
      </c>
      <c r="AG75" s="230">
        <f t="shared" si="102"/>
        <v>186.82175488741191</v>
      </c>
      <c r="AH75" s="231">
        <f t="shared" si="102"/>
        <v>252.63188398536803</v>
      </c>
      <c r="AI75" s="231">
        <f t="shared" si="102"/>
        <v>252.63188398536803</v>
      </c>
      <c r="AJ75" s="231">
        <f t="shared" si="102"/>
        <v>252.63188398536803</v>
      </c>
      <c r="AK75" s="232">
        <f t="shared" si="102"/>
        <v>252.63188398536803</v>
      </c>
      <c r="AL75" s="230">
        <f t="shared" si="102"/>
        <v>252.63188398536803</v>
      </c>
      <c r="AM75" s="231">
        <f t="shared" si="102"/>
        <v>252.63188398536803</v>
      </c>
      <c r="AN75" s="231" t="e">
        <f t="shared" si="102"/>
        <v>#DIV/0!</v>
      </c>
      <c r="AO75" s="232" t="e">
        <f t="shared" si="102"/>
        <v>#DIV/0!</v>
      </c>
      <c r="AP75" s="230" t="e">
        <f t="shared" si="102"/>
        <v>#DIV/0!</v>
      </c>
      <c r="AQ75" s="231" t="e">
        <f t="shared" si="102"/>
        <v>#DIV/0!</v>
      </c>
      <c r="AR75" s="231" t="e">
        <f t="shared" si="102"/>
        <v>#DIV/0!</v>
      </c>
      <c r="AS75" s="231" t="e">
        <f t="shared" si="102"/>
        <v>#DIV/0!</v>
      </c>
      <c r="AT75" s="232" t="e">
        <f t="shared" si="102"/>
        <v>#DIV/0!</v>
      </c>
      <c r="AU75" s="230" t="e">
        <f t="shared" si="102"/>
        <v>#DIV/0!</v>
      </c>
      <c r="AV75" s="231" t="e">
        <f t="shared" si="102"/>
        <v>#DIV/0!</v>
      </c>
      <c r="AW75" s="231" t="e">
        <f t="shared" si="102"/>
        <v>#DIV/0!</v>
      </c>
      <c r="AX75" s="334" t="e">
        <f t="shared" si="102"/>
        <v>#DIV/0!</v>
      </c>
      <c r="AY75" s="230" t="e">
        <f t="shared" si="102"/>
        <v>#DIV/0!</v>
      </c>
      <c r="AZ75" s="231" t="e">
        <f t="shared" si="102"/>
        <v>#DIV/0!</v>
      </c>
      <c r="BA75" s="231" t="e">
        <f t="shared" si="102"/>
        <v>#DIV/0!</v>
      </c>
      <c r="BB75" s="231" t="e">
        <f t="shared" ref="BB75:BC75" si="103">BB12*16*7/BB69</f>
        <v>#DIV/0!</v>
      </c>
      <c r="BC75" s="231" t="e">
        <f t="shared" si="103"/>
        <v>#DIV/0!</v>
      </c>
      <c r="BD75" s="416" t="e">
        <f t="shared" si="97"/>
        <v>#DIV/0!</v>
      </c>
    </row>
    <row r="76" spans="1:56" ht="13.5" customHeight="1" x14ac:dyDescent="0.25">
      <c r="A76" s="233"/>
      <c r="B76" s="234" t="s">
        <v>70</v>
      </c>
      <c r="C76" s="235">
        <f t="shared" ref="C76:BA76" ca="1" si="104">TODAY( )+C75</f>
        <v>46600.160934532731</v>
      </c>
      <c r="D76" s="236">
        <f t="shared" ca="1" si="104"/>
        <v>46341.789261972393</v>
      </c>
      <c r="E76" s="236">
        <f t="shared" ca="1" si="104"/>
        <v>46303.074262268616</v>
      </c>
      <c r="F76" s="236">
        <f ca="1">TODAY( )+F75</f>
        <v>46283.84451083665</v>
      </c>
      <c r="G76" s="237">
        <f t="shared" ca="1" si="104"/>
        <v>46270.770173186153</v>
      </c>
      <c r="H76" s="235">
        <f t="shared" ca="1" si="104"/>
        <v>46267.07749772782</v>
      </c>
      <c r="I76" s="236">
        <f t="shared" ca="1" si="104"/>
        <v>46262.862870837482</v>
      </c>
      <c r="J76" s="236">
        <f t="shared" ca="1" si="104"/>
        <v>46252.126918484115</v>
      </c>
      <c r="K76" s="237">
        <f t="shared" ca="1" si="104"/>
        <v>46249.89724291108</v>
      </c>
      <c r="L76" s="235">
        <f t="shared" ca="1" si="104"/>
        <v>46246.160273243971</v>
      </c>
      <c r="M76" s="236">
        <f t="shared" ca="1" si="104"/>
        <v>46242.683084579236</v>
      </c>
      <c r="N76" s="236">
        <f t="shared" ca="1" si="104"/>
        <v>46240.717833841329</v>
      </c>
      <c r="O76" s="237">
        <f t="shared" ca="1" si="104"/>
        <v>46239.683647979786</v>
      </c>
      <c r="P76" s="235">
        <f t="shared" ca="1" si="104"/>
        <v>46239.252079249272</v>
      </c>
      <c r="Q76" s="236">
        <f t="shared" ca="1" si="104"/>
        <v>46236.905565640074</v>
      </c>
      <c r="R76" s="236">
        <f t="shared" ca="1" si="104"/>
        <v>46233.143718312815</v>
      </c>
      <c r="S76" s="237">
        <f t="shared" ca="1" si="104"/>
        <v>46234.198555998068</v>
      </c>
      <c r="T76" s="235">
        <f t="shared" ca="1" si="104"/>
        <v>46238.994115207315</v>
      </c>
      <c r="U76" s="236">
        <f t="shared" ca="1" si="104"/>
        <v>46245.359466023394</v>
      </c>
      <c r="V76" s="236">
        <f t="shared" ca="1" si="104"/>
        <v>46253.70475220104</v>
      </c>
      <c r="W76" s="236">
        <f t="shared" ca="1" si="104"/>
        <v>46264.831553133517</v>
      </c>
      <c r="X76" s="237">
        <f t="shared" ca="1" si="104"/>
        <v>46237.284093501505</v>
      </c>
      <c r="Y76" s="235">
        <f t="shared" ca="1" si="104"/>
        <v>46243.126751385556</v>
      </c>
      <c r="Z76" s="236">
        <f t="shared" ca="1" si="104"/>
        <v>46254.674873970267</v>
      </c>
      <c r="AA76" s="236">
        <f t="shared" ca="1" si="104"/>
        <v>46263.205026900818</v>
      </c>
      <c r="AB76" s="237">
        <f t="shared" ca="1" si="104"/>
        <v>46275.492754770428</v>
      </c>
      <c r="AC76" s="235">
        <f t="shared" ca="1" si="104"/>
        <v>46291.077872070258</v>
      </c>
      <c r="AD76" s="236">
        <f t="shared" ca="1" si="104"/>
        <v>46307.459066172712</v>
      </c>
      <c r="AE76" s="236">
        <f t="shared" ca="1" si="104"/>
        <v>46324.545300278034</v>
      </c>
      <c r="AF76" s="237">
        <f t="shared" ca="1" si="104"/>
        <v>46342.316528756019</v>
      </c>
      <c r="AG76" s="235">
        <f t="shared" ca="1" si="104"/>
        <v>46375.821754887409</v>
      </c>
      <c r="AH76" s="236">
        <f t="shared" ca="1" si="104"/>
        <v>46441.63188398537</v>
      </c>
      <c r="AI76" s="236">
        <f t="shared" ca="1" si="104"/>
        <v>46441.63188398537</v>
      </c>
      <c r="AJ76" s="236">
        <f t="shared" ca="1" si="104"/>
        <v>46441.63188398537</v>
      </c>
      <c r="AK76" s="237">
        <f t="shared" ca="1" si="104"/>
        <v>46441.63188398537</v>
      </c>
      <c r="AL76" s="235">
        <f t="shared" ca="1" si="104"/>
        <v>46441.63188398537</v>
      </c>
      <c r="AM76" s="236">
        <f t="shared" ca="1" si="104"/>
        <v>46441.63188398537</v>
      </c>
      <c r="AN76" s="236" t="e">
        <f t="shared" ca="1" si="104"/>
        <v>#DIV/0!</v>
      </c>
      <c r="AO76" s="237" t="e">
        <f t="shared" ca="1" si="104"/>
        <v>#DIV/0!</v>
      </c>
      <c r="AP76" s="235" t="e">
        <f t="shared" ca="1" si="104"/>
        <v>#DIV/0!</v>
      </c>
      <c r="AQ76" s="236" t="e">
        <f t="shared" ca="1" si="104"/>
        <v>#DIV/0!</v>
      </c>
      <c r="AR76" s="236" t="e">
        <f t="shared" ca="1" si="104"/>
        <v>#DIV/0!</v>
      </c>
      <c r="AS76" s="236" t="e">
        <f t="shared" ca="1" si="104"/>
        <v>#DIV/0!</v>
      </c>
      <c r="AT76" s="237" t="e">
        <f t="shared" ca="1" si="104"/>
        <v>#DIV/0!</v>
      </c>
      <c r="AU76" s="235" t="e">
        <f t="shared" ca="1" si="104"/>
        <v>#DIV/0!</v>
      </c>
      <c r="AV76" s="236" t="e">
        <f t="shared" ca="1" si="104"/>
        <v>#DIV/0!</v>
      </c>
      <c r="AW76" s="236" t="e">
        <f t="shared" ca="1" si="104"/>
        <v>#DIV/0!</v>
      </c>
      <c r="AX76" s="335" t="e">
        <f t="shared" ca="1" si="104"/>
        <v>#DIV/0!</v>
      </c>
      <c r="AY76" s="235" t="e">
        <f t="shared" ca="1" si="104"/>
        <v>#DIV/0!</v>
      </c>
      <c r="AZ76" s="236" t="e">
        <f t="shared" ca="1" si="104"/>
        <v>#DIV/0!</v>
      </c>
      <c r="BA76" s="236" t="e">
        <f t="shared" ca="1" si="104"/>
        <v>#DIV/0!</v>
      </c>
      <c r="BB76" s="236" t="e">
        <f t="shared" ref="BB76:BC76" ca="1" si="105">TODAY( )+BB75</f>
        <v>#DIV/0!</v>
      </c>
      <c r="BC76" s="236" t="e">
        <f t="shared" ca="1" si="105"/>
        <v>#DIV/0!</v>
      </c>
      <c r="BD76" s="416" t="e">
        <f t="shared" ca="1" si="97"/>
        <v>#DIV/0!</v>
      </c>
    </row>
  </sheetData>
  <mergeCells count="12">
    <mergeCell ref="AU2:AX2"/>
    <mergeCell ref="T2:X2"/>
    <mergeCell ref="A1:B1"/>
    <mergeCell ref="C2:G2"/>
    <mergeCell ref="H2:K2"/>
    <mergeCell ref="L2:O2"/>
    <mergeCell ref="P2:S2"/>
    <mergeCell ref="Y2:AB2"/>
    <mergeCell ref="AC2:AF2"/>
    <mergeCell ref="AG2:AK2"/>
    <mergeCell ref="AL2:AO2"/>
    <mergeCell ref="AP2:AT2"/>
  </mergeCells>
  <conditionalFormatting sqref="A10:A11">
    <cfRule type="cellIs" dxfId="24" priority="7" operator="greaterThan">
      <formula>0</formula>
    </cfRule>
  </conditionalFormatting>
  <conditionalFormatting sqref="A11:A13">
    <cfRule type="cellIs" dxfId="23" priority="8" operator="between">
      <formula>0</formula>
      <formula>1000000</formula>
    </cfRule>
  </conditionalFormatting>
  <conditionalFormatting sqref="A57:B58 A60 B60:B62 A62">
    <cfRule type="cellIs" dxfId="22" priority="9" operator="lessThan">
      <formula>0</formula>
    </cfRule>
  </conditionalFormatting>
  <conditionalFormatting sqref="C57:BA57">
    <cfRule type="top10" dxfId="21" priority="4" rank="1"/>
  </conditionalFormatting>
  <conditionalFormatting sqref="C34:BD34">
    <cfRule type="cellIs" dxfId="20" priority="6" operator="between">
      <formula>40</formula>
      <formula>100</formula>
    </cfRule>
  </conditionalFormatting>
  <conditionalFormatting sqref="C39:BD39">
    <cfRule type="cellIs" dxfId="19" priority="5" operator="between">
      <formula>40</formula>
      <formula>100</formula>
    </cfRule>
  </conditionalFormatting>
  <conditionalFormatting sqref="BB57:BC57">
    <cfRule type="top10" dxfId="18" priority="1" rank="1"/>
  </conditionalFormatting>
  <pageMargins left="0.7" right="0.7" top="0.75" bottom="0.75" header="0" footer="0"/>
  <pageSetup paperSize="9" orientation="portrait" r:id="rId1"/>
  <drawing r:id="rId2"/>
  <legacyDrawing r:id="rId3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9462-9738-483B-AB74-AE26349716B1}">
  <sheetPr>
    <tabColor rgb="FF0066FF"/>
  </sheetPr>
  <dimension ref="A1:O68"/>
  <sheetViews>
    <sheetView showZeros="0" tabSelected="1" workbookViewId="0">
      <pane xSplit="2" ySplit="3" topLeftCell="C31" activePane="bottomRight" state="frozen"/>
      <selection pane="topRight" activeCell="C1" sqref="C1"/>
      <selection pane="bottomLeft" activeCell="A4" sqref="A4"/>
      <selection pane="bottomRight" activeCell="C33" sqref="C33"/>
    </sheetView>
  </sheetViews>
  <sheetFormatPr defaultColWidth="14.42578125" defaultRowHeight="15" customHeight="1" x14ac:dyDescent="0.25"/>
  <cols>
    <col min="1" max="1" width="24.42578125" style="107" customWidth="1"/>
    <col min="2" max="2" width="20.140625" style="107" customWidth="1"/>
    <col min="3" max="14" width="11.140625" style="107" customWidth="1"/>
    <col min="15" max="16384" width="14.42578125" style="107"/>
  </cols>
  <sheetData>
    <row r="1" spans="1:15" ht="21.75" customHeight="1" x14ac:dyDescent="0.25">
      <c r="A1" s="313" t="s">
        <v>3</v>
      </c>
      <c r="B1" s="246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</row>
    <row r="2" spans="1:15" ht="14.25" customHeight="1" x14ac:dyDescent="0.25">
      <c r="A2" s="314" t="s">
        <v>4</v>
      </c>
      <c r="B2" s="248"/>
      <c r="C2" s="514">
        <v>2025</v>
      </c>
      <c r="D2" s="515"/>
      <c r="E2" s="515"/>
      <c r="F2" s="515"/>
      <c r="G2" s="515"/>
      <c r="H2" s="515"/>
      <c r="I2" s="515"/>
      <c r="J2" s="515"/>
      <c r="K2" s="515"/>
      <c r="L2" s="515"/>
      <c r="M2" s="515"/>
      <c r="N2" s="516"/>
    </row>
    <row r="3" spans="1:15" ht="13.5" customHeight="1" x14ac:dyDescent="0.25">
      <c r="A3" s="249"/>
      <c r="B3" s="250"/>
      <c r="C3" s="251" t="s">
        <v>5</v>
      </c>
      <c r="D3" s="251" t="s">
        <v>6</v>
      </c>
      <c r="E3" s="251" t="s">
        <v>7</v>
      </c>
      <c r="F3" s="251" t="s">
        <v>8</v>
      </c>
      <c r="G3" s="251" t="s">
        <v>9</v>
      </c>
      <c r="H3" s="251" t="s">
        <v>10</v>
      </c>
      <c r="I3" s="251" t="s">
        <v>11</v>
      </c>
      <c r="J3" s="251" t="s">
        <v>12</v>
      </c>
      <c r="K3" s="251" t="s">
        <v>13</v>
      </c>
      <c r="L3" s="251" t="s">
        <v>14</v>
      </c>
      <c r="M3" s="251" t="s">
        <v>15</v>
      </c>
      <c r="N3" s="251" t="s">
        <v>16</v>
      </c>
    </row>
    <row r="4" spans="1:15" ht="13.5" customHeight="1" thickBot="1" x14ac:dyDescent="0.3">
      <c r="A4" s="315" t="s">
        <v>17</v>
      </c>
      <c r="B4" s="316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</row>
    <row r="5" spans="1:15" ht="13.5" customHeight="1" x14ac:dyDescent="0.25">
      <c r="A5" s="253" t="s">
        <v>18</v>
      </c>
      <c r="B5" s="254"/>
      <c r="C5" s="255">
        <f>'PL OZON (нед)'!C5</f>
        <v>239068.58</v>
      </c>
      <c r="D5" s="256">
        <f t="shared" ref="D5:N5" si="0">C12</f>
        <v>167411.57999999999</v>
      </c>
      <c r="E5" s="256">
        <f t="shared" si="0"/>
        <v>117505.57999999999</v>
      </c>
      <c r="F5" s="256">
        <f t="shared" si="0"/>
        <v>85520.579999999987</v>
      </c>
      <c r="G5" s="256">
        <f t="shared" si="0"/>
        <v>67587.579999999987</v>
      </c>
      <c r="H5" s="256">
        <f t="shared" si="0"/>
        <v>46827.439999999988</v>
      </c>
      <c r="I5" s="256">
        <f t="shared" si="0"/>
        <v>46827.439999999988</v>
      </c>
      <c r="J5" s="256">
        <f t="shared" si="0"/>
        <v>46827.439999999988</v>
      </c>
      <c r="K5" s="256">
        <f t="shared" si="0"/>
        <v>46827.439999999988</v>
      </c>
      <c r="L5" s="256">
        <f t="shared" si="0"/>
        <v>46827.439999999988</v>
      </c>
      <c r="M5" s="256">
        <f t="shared" si="0"/>
        <v>46827.439999999988</v>
      </c>
      <c r="N5" s="256">
        <f t="shared" si="0"/>
        <v>46827.439999999988</v>
      </c>
    </row>
    <row r="6" spans="1:15" ht="13.5" customHeight="1" x14ac:dyDescent="0.25">
      <c r="A6" s="253"/>
      <c r="B6" s="257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</row>
    <row r="7" spans="1:15" ht="13.5" customHeight="1" x14ac:dyDescent="0.25">
      <c r="A7" s="253"/>
      <c r="B7" s="258" t="s">
        <v>19</v>
      </c>
      <c r="C7" s="256">
        <f>SUM('PL OZON (нед)'!C7:G7)</f>
        <v>606</v>
      </c>
      <c r="D7" s="256">
        <f>SUM('PL OZON (нед)'!H7:K7)</f>
        <v>390</v>
      </c>
      <c r="E7" s="256">
        <f>SUM('PL OZON (нед)'!L7:O7)</f>
        <v>238</v>
      </c>
      <c r="F7" s="256">
        <f>SUM('PL OZON (нед)'!P7:S7)</f>
        <v>175</v>
      </c>
      <c r="G7" s="256">
        <f>SUM('PL OZON (нед)'!T7:X7)</f>
        <v>131</v>
      </c>
      <c r="H7" s="256">
        <f>SUM('PL OZON (нед)'!Y7:AB7)</f>
        <v>0</v>
      </c>
      <c r="I7" s="256">
        <f>SUM('PL OZON (нед)'!AC7:AF7)</f>
        <v>0</v>
      </c>
      <c r="J7" s="256">
        <f>SUM('PL OZON (нед)'!AG7:AK7)</f>
        <v>0</v>
      </c>
      <c r="K7" s="256">
        <f>SUM('PL OZON (нед)'!AL7:AO7)</f>
        <v>0</v>
      </c>
      <c r="L7" s="256">
        <f>SUM('PL OZON (нед)'!AP7:AT7)</f>
        <v>0</v>
      </c>
      <c r="M7" s="256">
        <f>SUM('PL OZON (нед)'!AU7:AX7)</f>
        <v>0</v>
      </c>
      <c r="N7" s="256">
        <f>SUM('PL OZON (нед)'!AY7:BB7)</f>
        <v>0</v>
      </c>
      <c r="O7" s="107">
        <f>SUM(C7:N7)</f>
        <v>1540</v>
      </c>
    </row>
    <row r="8" spans="1:15" ht="13.5" customHeight="1" x14ac:dyDescent="0.25">
      <c r="A8" s="253"/>
      <c r="B8" s="340" t="s">
        <v>20</v>
      </c>
      <c r="C8" s="256">
        <f t="shared" ref="C8:N8" si="1">C33</f>
        <v>71657</v>
      </c>
      <c r="D8" s="256">
        <f t="shared" si="1"/>
        <v>49906</v>
      </c>
      <c r="E8" s="256">
        <f t="shared" si="1"/>
        <v>31985</v>
      </c>
      <c r="F8" s="256">
        <f t="shared" si="1"/>
        <v>17933</v>
      </c>
      <c r="G8" s="256">
        <f>G33</f>
        <v>20760.14</v>
      </c>
      <c r="H8" s="256">
        <f t="shared" si="1"/>
        <v>0</v>
      </c>
      <c r="I8" s="256">
        <f t="shared" si="1"/>
        <v>0</v>
      </c>
      <c r="J8" s="256">
        <f t="shared" si="1"/>
        <v>0</v>
      </c>
      <c r="K8" s="256">
        <f t="shared" si="1"/>
        <v>0</v>
      </c>
      <c r="L8" s="256">
        <f t="shared" si="1"/>
        <v>0</v>
      </c>
      <c r="M8" s="256">
        <f t="shared" si="1"/>
        <v>0</v>
      </c>
      <c r="N8" s="256">
        <f t="shared" si="1"/>
        <v>0</v>
      </c>
      <c r="O8" s="107">
        <f>SUM(C8:N8)</f>
        <v>192241.14</v>
      </c>
    </row>
    <row r="9" spans="1:15" ht="13.5" customHeight="1" x14ac:dyDescent="0.25">
      <c r="A9" s="253"/>
      <c r="B9" s="254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</row>
    <row r="10" spans="1:15" ht="13.5" customHeight="1" x14ac:dyDescent="0.25">
      <c r="A10" s="253" t="s">
        <v>21</v>
      </c>
      <c r="B10" s="254"/>
      <c r="C10" s="256">
        <f>SUM('PL OZON (нед)'!C10:G10)</f>
        <v>0</v>
      </c>
      <c r="D10" s="256">
        <f>SUM('PL OZON (нед)'!H10:K10)</f>
        <v>0</v>
      </c>
      <c r="E10" s="256">
        <f>SUM('PL OZON (нед)'!L10:O10)</f>
        <v>0</v>
      </c>
      <c r="F10" s="256">
        <f>SUM('PL OZON (нед)'!P10:S10)</f>
        <v>0</v>
      </c>
      <c r="G10" s="256">
        <f>SUM('PL OZON (нед)'!T10:X10)</f>
        <v>0</v>
      </c>
      <c r="H10" s="256">
        <f>SUM('PL OZON (нед)'!Y10:AB10)</f>
        <v>0</v>
      </c>
      <c r="I10" s="256">
        <f>SUM('PL OZON (нед)'!AC10:AF10)</f>
        <v>0</v>
      </c>
      <c r="J10" s="256">
        <f>SUM('PL OZON (нед)'!AG10:AK10)</f>
        <v>0</v>
      </c>
      <c r="K10" s="256">
        <f>SUM('PL OZON (нед)'!AL10:AO10)</f>
        <v>0</v>
      </c>
      <c r="L10" s="256">
        <f>SUM('PL OZON (нед)'!AP10:AT10)</f>
        <v>0</v>
      </c>
      <c r="M10" s="256">
        <f>SUM('PL OZON (нед)'!AU10:AX10)</f>
        <v>0</v>
      </c>
      <c r="N10" s="256">
        <f>SUM('PL OZON (нед)'!AY10:BB10)</f>
        <v>0</v>
      </c>
      <c r="O10" s="107">
        <f t="shared" ref="O10:O11" si="2">SUM(C10:N10)</f>
        <v>0</v>
      </c>
    </row>
    <row r="11" spans="1:15" ht="13.5" customHeight="1" x14ac:dyDescent="0.25">
      <c r="A11" s="259" t="s">
        <v>22</v>
      </c>
      <c r="B11" s="260"/>
      <c r="C11" s="255">
        <f>SUM('PL OZON (нед)'!C11:G11)</f>
        <v>0</v>
      </c>
      <c r="D11" s="255">
        <f>SUM('PL OZON (нед)'!H11:K11)</f>
        <v>0</v>
      </c>
      <c r="E11" s="255">
        <f>SUM('PL OZON (нед)'!L11:O11)</f>
        <v>0</v>
      </c>
      <c r="F11" s="255">
        <f>SUM('PL OZON (нед)'!P11:S11)</f>
        <v>0</v>
      </c>
      <c r="G11" s="255">
        <f>SUM('PL OZON (нед)'!T11:X11)</f>
        <v>0</v>
      </c>
      <c r="H11" s="255">
        <f>SUM('PL OZON (нед)'!Y11:AB11)</f>
        <v>0</v>
      </c>
      <c r="I11" s="255">
        <f>SUM('PL OZON (нед)'!AC11:AF11)</f>
        <v>0</v>
      </c>
      <c r="J11" s="255">
        <f>SUM('PL OZON (нед)'!AG11:AK11)</f>
        <v>0</v>
      </c>
      <c r="K11" s="255">
        <f>SUM('PL OZON (нед)'!AL11:AO11)</f>
        <v>0</v>
      </c>
      <c r="L11" s="255">
        <f>SUM('PL OZON (нед)'!AP11:AT11)</f>
        <v>0</v>
      </c>
      <c r="M11" s="255">
        <f>SUM('PL OZON (нед)'!AU11:AX11)</f>
        <v>0</v>
      </c>
      <c r="N11" s="255">
        <f>SUM('PL OZON (нед)'!AY11:BB11)</f>
        <v>0</v>
      </c>
      <c r="O11" s="107">
        <f t="shared" si="2"/>
        <v>0</v>
      </c>
    </row>
    <row r="12" spans="1:15" ht="13.5" customHeight="1" x14ac:dyDescent="0.25">
      <c r="A12" s="261" t="s">
        <v>23</v>
      </c>
      <c r="B12" s="262"/>
      <c r="C12" s="263">
        <f>C10-C8+C5</f>
        <v>167411.57999999999</v>
      </c>
      <c r="D12" s="263">
        <f t="shared" ref="D12:N12" si="3">D10-D8+D5</f>
        <v>117505.57999999999</v>
      </c>
      <c r="E12" s="263">
        <f t="shared" si="3"/>
        <v>85520.579999999987</v>
      </c>
      <c r="F12" s="263">
        <f t="shared" si="3"/>
        <v>67587.579999999987</v>
      </c>
      <c r="G12" s="263">
        <f t="shared" si="3"/>
        <v>46827.439999999988</v>
      </c>
      <c r="H12" s="263">
        <f t="shared" si="3"/>
        <v>46827.439999999988</v>
      </c>
      <c r="I12" s="263">
        <f t="shared" si="3"/>
        <v>46827.439999999988</v>
      </c>
      <c r="J12" s="263">
        <f t="shared" si="3"/>
        <v>46827.439999999988</v>
      </c>
      <c r="K12" s="263">
        <f t="shared" si="3"/>
        <v>46827.439999999988</v>
      </c>
      <c r="L12" s="263">
        <f t="shared" si="3"/>
        <v>46827.439999999988</v>
      </c>
      <c r="M12" s="263">
        <f t="shared" si="3"/>
        <v>46827.439999999988</v>
      </c>
      <c r="N12" s="263">
        <f t="shared" si="3"/>
        <v>46827.439999999988</v>
      </c>
    </row>
    <row r="13" spans="1:15" ht="13.5" customHeight="1" x14ac:dyDescent="0.25">
      <c r="A13" s="261" t="s">
        <v>24</v>
      </c>
      <c r="B13" s="264"/>
      <c r="C13" s="263">
        <f>'PL OZON (нед)'!G13</f>
        <v>1146</v>
      </c>
      <c r="D13" s="263">
        <f t="shared" ref="D13:N13" si="4">C13-D7-D27+D11+D23</f>
        <v>760</v>
      </c>
      <c r="E13" s="263">
        <f t="shared" si="4"/>
        <v>530</v>
      </c>
      <c r="F13" s="263">
        <f t="shared" si="4"/>
        <v>356</v>
      </c>
      <c r="G13" s="263">
        <f t="shared" si="4"/>
        <v>225</v>
      </c>
      <c r="H13" s="263">
        <f t="shared" si="4"/>
        <v>227</v>
      </c>
      <c r="I13" s="263">
        <f t="shared" si="4"/>
        <v>227</v>
      </c>
      <c r="J13" s="263">
        <f t="shared" si="4"/>
        <v>227</v>
      </c>
      <c r="K13" s="263">
        <f t="shared" si="4"/>
        <v>227</v>
      </c>
      <c r="L13" s="263">
        <f t="shared" si="4"/>
        <v>227</v>
      </c>
      <c r="M13" s="263">
        <f t="shared" si="4"/>
        <v>227</v>
      </c>
      <c r="N13" s="263">
        <f t="shared" si="4"/>
        <v>227</v>
      </c>
    </row>
    <row r="14" spans="1:15" ht="13.5" customHeight="1" thickBot="1" x14ac:dyDescent="0.3">
      <c r="A14" s="175" t="s">
        <v>114</v>
      </c>
      <c r="B14" s="257"/>
      <c r="C14" s="265">
        <f>SUM('PL OZON (нед)'!C14:G14)</f>
        <v>398751</v>
      </c>
      <c r="D14" s="265">
        <f>SUM('PL OZON (нед)'!H14:K14)</f>
        <v>257393</v>
      </c>
      <c r="E14" s="265">
        <f>SUM('PL OZON (нед)'!L14:O14)</f>
        <v>164849</v>
      </c>
      <c r="F14" s="265">
        <f>SUM('PL OZON (нед)'!P14:S14)</f>
        <v>104640</v>
      </c>
      <c r="G14" s="265">
        <f>SUM('PL OZON (нед)'!T14:X14)</f>
        <v>77060</v>
      </c>
      <c r="H14" s="265">
        <f>SUM('PL OZON (нед)'!Y14:AB14)</f>
        <v>0</v>
      </c>
      <c r="I14" s="265">
        <f>SUM('PL OZON (нед)'!AC14:AF14)</f>
        <v>0</v>
      </c>
      <c r="J14" s="265">
        <f>SUM('PL OZON (нед)'!AG14:AK14)</f>
        <v>0</v>
      </c>
      <c r="K14" s="265">
        <f>SUM('PL OZON (нед)'!AL14:AO14)</f>
        <v>0</v>
      </c>
      <c r="L14" s="265">
        <f>SUM('PL OZON (нед)'!AP14:AT14)</f>
        <v>0</v>
      </c>
      <c r="M14" s="265">
        <f>SUM('PL OZON (нед)'!AU14:AX14)</f>
        <v>0</v>
      </c>
      <c r="N14" s="265">
        <f>SUM('PL OZON (нед)'!AY14:BB14)</f>
        <v>0</v>
      </c>
      <c r="O14" s="107">
        <f>SUM(C14:N14)</f>
        <v>1002693</v>
      </c>
    </row>
    <row r="15" spans="1:15" ht="13.5" customHeight="1" thickTop="1" thickBot="1" x14ac:dyDescent="0.3">
      <c r="A15" s="175"/>
      <c r="B15" s="267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107">
        <f t="shared" ref="O15:O17" si="5">SUM(C15:N15)</f>
        <v>0</v>
      </c>
    </row>
    <row r="16" spans="1:15" ht="13.5" customHeight="1" thickTop="1" x14ac:dyDescent="0.25">
      <c r="A16" s="268"/>
      <c r="B16" s="254"/>
      <c r="C16" s="269"/>
      <c r="D16" s="269"/>
      <c r="E16" s="269"/>
      <c r="F16" s="269"/>
      <c r="G16" s="269"/>
      <c r="H16" s="269"/>
      <c r="I16" s="269"/>
      <c r="J16" s="269"/>
      <c r="K16" s="269"/>
      <c r="L16" s="269"/>
      <c r="M16" s="269"/>
      <c r="N16" s="269"/>
      <c r="O16" s="107">
        <f t="shared" si="5"/>
        <v>0</v>
      </c>
    </row>
    <row r="17" spans="1:15" ht="13.5" customHeight="1" thickBot="1" x14ac:dyDescent="0.3">
      <c r="A17" s="363" t="s">
        <v>111</v>
      </c>
      <c r="B17" s="254"/>
      <c r="C17" s="265">
        <f>C14-C20</f>
        <v>150295</v>
      </c>
      <c r="D17" s="265">
        <f t="shared" ref="D17:N17" si="6">D14-D20</f>
        <v>97559</v>
      </c>
      <c r="E17" s="265">
        <f t="shared" si="6"/>
        <v>62491</v>
      </c>
      <c r="F17" s="265">
        <f t="shared" si="6"/>
        <v>41134</v>
      </c>
      <c r="G17" s="265">
        <f t="shared" si="6"/>
        <v>30873</v>
      </c>
      <c r="H17" s="265">
        <f t="shared" si="6"/>
        <v>0</v>
      </c>
      <c r="I17" s="265">
        <f t="shared" si="6"/>
        <v>0</v>
      </c>
      <c r="J17" s="265">
        <f t="shared" si="6"/>
        <v>0</v>
      </c>
      <c r="K17" s="265">
        <f t="shared" si="6"/>
        <v>0</v>
      </c>
      <c r="L17" s="265">
        <f t="shared" si="6"/>
        <v>0</v>
      </c>
      <c r="M17" s="265">
        <f t="shared" si="6"/>
        <v>0</v>
      </c>
      <c r="N17" s="265">
        <f t="shared" si="6"/>
        <v>0</v>
      </c>
      <c r="O17" s="107">
        <f t="shared" si="5"/>
        <v>382352</v>
      </c>
    </row>
    <row r="18" spans="1:15" ht="13.5" customHeight="1" thickTop="1" x14ac:dyDescent="0.25">
      <c r="A18" s="268" t="s">
        <v>26</v>
      </c>
      <c r="B18" s="254"/>
      <c r="C18" s="270">
        <f>IFERROR(C17/C14,0)</f>
        <v>0.37691441526165453</v>
      </c>
      <c r="D18" s="270">
        <f t="shared" ref="D18:O18" si="7">IFERROR(D17/D14,0)</f>
        <v>0.3790274016775903</v>
      </c>
      <c r="E18" s="270">
        <f t="shared" si="7"/>
        <v>0.37908024919775068</v>
      </c>
      <c r="F18" s="270">
        <f t="shared" si="7"/>
        <v>0.39310015290519879</v>
      </c>
      <c r="G18" s="270">
        <f t="shared" si="7"/>
        <v>0.40063586815468466</v>
      </c>
      <c r="H18" s="270">
        <f t="shared" si="7"/>
        <v>0</v>
      </c>
      <c r="I18" s="270">
        <f t="shared" si="7"/>
        <v>0</v>
      </c>
      <c r="J18" s="270">
        <f t="shared" si="7"/>
        <v>0</v>
      </c>
      <c r="K18" s="270">
        <f t="shared" si="7"/>
        <v>0</v>
      </c>
      <c r="L18" s="270">
        <f t="shared" si="7"/>
        <v>0</v>
      </c>
      <c r="M18" s="270">
        <f t="shared" si="7"/>
        <v>0</v>
      </c>
      <c r="N18" s="270">
        <f t="shared" si="7"/>
        <v>0</v>
      </c>
      <c r="O18" s="107">
        <f t="shared" si="7"/>
        <v>0.38132509152851374</v>
      </c>
    </row>
    <row r="19" spans="1:15" ht="13.5" customHeight="1" x14ac:dyDescent="0.25">
      <c r="A19" s="268"/>
      <c r="B19" s="254"/>
      <c r="C19" s="269"/>
      <c r="D19" s="269"/>
      <c r="E19" s="269"/>
      <c r="F19" s="269"/>
      <c r="G19" s="269"/>
      <c r="H19" s="269"/>
      <c r="I19" s="269"/>
      <c r="J19" s="269"/>
      <c r="K19" s="269"/>
      <c r="L19" s="269"/>
      <c r="M19" s="269"/>
      <c r="N19" s="269"/>
    </row>
    <row r="20" spans="1:15" ht="13.5" customHeight="1" thickBot="1" x14ac:dyDescent="0.3">
      <c r="A20" s="266" t="s">
        <v>27</v>
      </c>
      <c r="B20" s="267"/>
      <c r="C20" s="265">
        <f>SUM('PL OZON (нед)'!C20:G20)</f>
        <v>248456</v>
      </c>
      <c r="D20" s="265">
        <f>SUM('PL OZON (нед)'!H20:K20)</f>
        <v>159834</v>
      </c>
      <c r="E20" s="265">
        <f>SUM('PL OZON (нед)'!L20:O20)</f>
        <v>102358</v>
      </c>
      <c r="F20" s="265">
        <f>SUM('PL OZON (нед)'!P20:S20)</f>
        <v>63506</v>
      </c>
      <c r="G20" s="265">
        <f>SUM('PL OZON (нед)'!T20:X20)</f>
        <v>46187</v>
      </c>
      <c r="H20" s="265">
        <f>SUM('PL OZON (нед)'!Y20:AB20)</f>
        <v>0</v>
      </c>
      <c r="I20" s="265">
        <f>SUM('PL OZON (нед)'!AC20:AF20)</f>
        <v>0</v>
      </c>
      <c r="J20" s="265">
        <f>SUM('PL OZON (нед)'!AG20:AK20)</f>
        <v>0</v>
      </c>
      <c r="K20" s="265">
        <f>SUM('PL OZON (нед)'!AL20:AO20)</f>
        <v>0</v>
      </c>
      <c r="L20" s="265">
        <f>SUM('PL OZON (нед)'!AP20:AT20)</f>
        <v>0</v>
      </c>
      <c r="M20" s="265">
        <f>SUM('PL OZON (нед)'!AU20:AX20)</f>
        <v>0</v>
      </c>
      <c r="N20" s="265">
        <f>SUM('PL OZON (нед)'!AY20:BB20)</f>
        <v>0</v>
      </c>
      <c r="O20" s="107">
        <f>SUM(C20:N20)</f>
        <v>620341</v>
      </c>
    </row>
    <row r="21" spans="1:15" ht="13.5" customHeight="1" thickTop="1" x14ac:dyDescent="0.25">
      <c r="A21" s="272"/>
      <c r="B21" s="273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107">
        <f t="shared" ref="O21:O23" si="8">SUM(C21:N21)</f>
        <v>0</v>
      </c>
    </row>
    <row r="22" spans="1:15" ht="13.5" customHeight="1" x14ac:dyDescent="0.25">
      <c r="A22" s="268" t="s">
        <v>28</v>
      </c>
      <c r="B22" s="275"/>
      <c r="C22" s="269">
        <f>SUM('PL OZON (нед)'!C22:G22)</f>
        <v>6905</v>
      </c>
      <c r="D22" s="269">
        <f>SUM('PL OZON (нед)'!H22:K22)</f>
        <v>3051</v>
      </c>
      <c r="E22" s="269">
        <f>SUM('PL OZON (нед)'!L22:O22)</f>
        <v>7250</v>
      </c>
      <c r="F22" s="269">
        <f>SUM('PL OZON (нед)'!P22:S22)</f>
        <v>660</v>
      </c>
      <c r="G22" s="269">
        <f>SUM('PL OZON (нед)'!T22:X22)</f>
        <v>0</v>
      </c>
      <c r="H22" s="269">
        <f>SUM('PL OZON (нед)'!Y22:AB22)</f>
        <v>0</v>
      </c>
      <c r="I22" s="269">
        <f>SUM('PL OZON (нед)'!AC22:AF22)</f>
        <v>0</v>
      </c>
      <c r="J22" s="269">
        <f>SUM('PL OZON (нед)'!AG22:AK22)</f>
        <v>0</v>
      </c>
      <c r="K22" s="269">
        <f>SUM('PL WB (нед)'!AL22:AO22)</f>
        <v>0</v>
      </c>
      <c r="L22" s="269">
        <f>SUM('PL WB (нед)'!AP22:AT22)</f>
        <v>0</v>
      </c>
      <c r="M22" s="269">
        <f>SUM('PL WB (нед)'!AU22:AX22)</f>
        <v>0</v>
      </c>
      <c r="N22" s="269">
        <f>SUM('PL WB (нед)'!AY22:BB22)</f>
        <v>0</v>
      </c>
      <c r="O22" s="107">
        <f t="shared" si="8"/>
        <v>17866</v>
      </c>
    </row>
    <row r="23" spans="1:15" ht="13.5" customHeight="1" x14ac:dyDescent="0.25">
      <c r="A23" s="268" t="s">
        <v>29</v>
      </c>
      <c r="B23" s="275"/>
      <c r="C23" s="269">
        <f>SUM('PL OZON (нед)'!C23:G23)</f>
        <v>11</v>
      </c>
      <c r="D23" s="269">
        <f>SUM('PL OZON (нед)'!H23:K23)</f>
        <v>4</v>
      </c>
      <c r="E23" s="269">
        <f>SUM('PL OZON (нед)'!L23:O23)</f>
        <v>8</v>
      </c>
      <c r="F23" s="269">
        <f>SUM('PL OZON (нед)'!P23:S23)</f>
        <v>1</v>
      </c>
      <c r="G23" s="269">
        <f>SUM('PL OZON (нед)'!T23:X23)</f>
        <v>0</v>
      </c>
      <c r="H23" s="269">
        <f>SUM('PL WB (нед)'!Y23:AB23)</f>
        <v>2</v>
      </c>
      <c r="I23" s="269">
        <f>SUM('PL WB (нед)'!AC23:AF23)</f>
        <v>0</v>
      </c>
      <c r="J23" s="269">
        <f>SUM('PL WB (нед)'!AG23:AK23)</f>
        <v>0</v>
      </c>
      <c r="K23" s="269">
        <f>SUM('PL OZON (нед)'!AL23:AO23)</f>
        <v>0</v>
      </c>
      <c r="L23" s="269">
        <f>SUM('PL OZON (нед)'!AP23:AT23)</f>
        <v>0</v>
      </c>
      <c r="M23" s="269">
        <f>SUM('PL OZON (нед)'!AU23:AX23)</f>
        <v>0</v>
      </c>
      <c r="N23" s="269">
        <f>SUM('PL OZON (нед)'!AY23:BB23)</f>
        <v>0</v>
      </c>
      <c r="O23" s="107">
        <f t="shared" si="8"/>
        <v>26</v>
      </c>
    </row>
    <row r="24" spans="1:15" ht="13.5" customHeight="1" x14ac:dyDescent="0.25">
      <c r="A24" s="268" t="s">
        <v>30</v>
      </c>
      <c r="B24" s="275"/>
      <c r="C24" s="277">
        <f>IFERROR(C22/C14,0)</f>
        <v>1.7316570992925408E-2</v>
      </c>
      <c r="D24" s="277">
        <f t="shared" ref="D24:O24" si="9">IFERROR(D22/D14,0)</f>
        <v>1.1853469208564336E-2</v>
      </c>
      <c r="E24" s="277">
        <f t="shared" si="9"/>
        <v>4.3979641975383531E-2</v>
      </c>
      <c r="F24" s="277">
        <f t="shared" si="9"/>
        <v>6.3073394495412848E-3</v>
      </c>
      <c r="G24" s="277">
        <f t="shared" si="9"/>
        <v>0</v>
      </c>
      <c r="H24" s="277">
        <f t="shared" si="9"/>
        <v>0</v>
      </c>
      <c r="I24" s="277">
        <f t="shared" si="9"/>
        <v>0</v>
      </c>
      <c r="J24" s="277">
        <f t="shared" si="9"/>
        <v>0</v>
      </c>
      <c r="K24" s="277">
        <f t="shared" si="9"/>
        <v>0</v>
      </c>
      <c r="L24" s="277">
        <f t="shared" si="9"/>
        <v>0</v>
      </c>
      <c r="M24" s="277">
        <f t="shared" si="9"/>
        <v>0</v>
      </c>
      <c r="N24" s="277">
        <f t="shared" si="9"/>
        <v>0</v>
      </c>
      <c r="O24" s="107">
        <f t="shared" si="9"/>
        <v>1.7818016082689316E-2</v>
      </c>
    </row>
    <row r="25" spans="1:15" ht="13.5" customHeight="1" x14ac:dyDescent="0.25">
      <c r="A25" s="272"/>
      <c r="B25" s="273"/>
      <c r="C25" s="274"/>
      <c r="D25" s="274"/>
      <c r="E25" s="274"/>
      <c r="F25" s="274"/>
      <c r="G25" s="274"/>
      <c r="H25" s="274"/>
      <c r="I25" s="274"/>
      <c r="J25" s="274"/>
      <c r="K25" s="274"/>
      <c r="L25" s="274"/>
      <c r="M25" s="274"/>
      <c r="N25" s="274"/>
    </row>
    <row r="26" spans="1:15" ht="13.5" hidden="1" customHeight="1" x14ac:dyDescent="0.25">
      <c r="A26" s="276" t="s">
        <v>31</v>
      </c>
      <c r="B26" s="273"/>
      <c r="C26" s="274"/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</row>
    <row r="27" spans="1:15" ht="13.5" customHeight="1" x14ac:dyDescent="0.25">
      <c r="A27" s="276" t="s">
        <v>32</v>
      </c>
      <c r="B27" s="273"/>
      <c r="C27" s="269">
        <f>SUM('PL OZON (нед)'!C27:G27)</f>
        <v>0</v>
      </c>
      <c r="D27" s="269">
        <f>SUM('PL OZON (нед)'!H27:K27)</f>
        <v>0</v>
      </c>
      <c r="E27" s="269">
        <f>SUM('PL OZON (нед)'!L27:O27)</f>
        <v>0</v>
      </c>
      <c r="F27" s="269">
        <f>SUM('PL OZON (нед)'!P27:S27)</f>
        <v>0</v>
      </c>
      <c r="G27" s="269">
        <f>SUM('PL OZON (нед)'!T27:X27)</f>
        <v>0</v>
      </c>
      <c r="H27" s="269">
        <f>SUM('PL OZON (нед)'!Y27:AB27)</f>
        <v>0</v>
      </c>
      <c r="I27" s="269">
        <f>SUM('PL OZON (нед)'!AC27:AF27)</f>
        <v>0</v>
      </c>
      <c r="J27" s="269">
        <f>SUM('PL OZON (нед)'!AG27:AK27)</f>
        <v>0</v>
      </c>
      <c r="K27" s="269">
        <f>SUM('PL OZON (нед)'!AL27:AO27)</f>
        <v>0</v>
      </c>
      <c r="L27" s="269">
        <f>SUM('PL OZON (нед)'!AP27:AT27)</f>
        <v>0</v>
      </c>
      <c r="M27" s="269">
        <f>SUM('PL OZON (нед)'!AU27:AX27)</f>
        <v>0</v>
      </c>
      <c r="N27" s="269">
        <f>SUM('PL OZON (нед)'!AY27:BB27)</f>
        <v>0</v>
      </c>
    </row>
    <row r="28" spans="1:15" ht="13.5" customHeight="1" x14ac:dyDescent="0.25">
      <c r="A28" s="276" t="s">
        <v>33</v>
      </c>
      <c r="B28" s="273"/>
      <c r="C28" s="277">
        <f>IFERROR(C27/C7,0)</f>
        <v>0</v>
      </c>
      <c r="D28" s="277">
        <f t="shared" ref="D28:N28" si="10">IFERROR(D27/D7,0)</f>
        <v>0</v>
      </c>
      <c r="E28" s="277">
        <f t="shared" si="10"/>
        <v>0</v>
      </c>
      <c r="F28" s="277">
        <f t="shared" si="10"/>
        <v>0</v>
      </c>
      <c r="G28" s="277">
        <f t="shared" si="10"/>
        <v>0</v>
      </c>
      <c r="H28" s="277">
        <f t="shared" si="10"/>
        <v>0</v>
      </c>
      <c r="I28" s="277">
        <f t="shared" si="10"/>
        <v>0</v>
      </c>
      <c r="J28" s="277">
        <f t="shared" si="10"/>
        <v>0</v>
      </c>
      <c r="K28" s="277">
        <f t="shared" si="10"/>
        <v>0</v>
      </c>
      <c r="L28" s="277">
        <f t="shared" si="10"/>
        <v>0</v>
      </c>
      <c r="M28" s="277">
        <f t="shared" si="10"/>
        <v>0</v>
      </c>
      <c r="N28" s="277">
        <f t="shared" si="10"/>
        <v>0</v>
      </c>
    </row>
    <row r="29" spans="1:15" ht="13.5" customHeight="1" x14ac:dyDescent="0.25">
      <c r="A29" s="272"/>
      <c r="B29" s="273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</row>
    <row r="30" spans="1:15" ht="13.5" customHeight="1" thickBot="1" x14ac:dyDescent="0.3">
      <c r="A30" s="278" t="s">
        <v>34</v>
      </c>
      <c r="B30" s="279"/>
      <c r="C30" s="280">
        <f t="shared" ref="C30:N30" si="11">C20+C31-SUM(C40:C45)-C41</f>
        <v>114486</v>
      </c>
      <c r="D30" s="280">
        <f t="shared" si="11"/>
        <v>72462</v>
      </c>
      <c r="E30" s="280">
        <f t="shared" si="11"/>
        <v>58108</v>
      </c>
      <c r="F30" s="280">
        <f t="shared" si="11"/>
        <v>37207</v>
      </c>
      <c r="G30" s="280">
        <f t="shared" si="11"/>
        <v>18554</v>
      </c>
      <c r="H30" s="280">
        <f t="shared" si="11"/>
        <v>0</v>
      </c>
      <c r="I30" s="280">
        <f t="shared" si="11"/>
        <v>0</v>
      </c>
      <c r="J30" s="280">
        <f t="shared" si="11"/>
        <v>0</v>
      </c>
      <c r="K30" s="280">
        <f t="shared" si="11"/>
        <v>0</v>
      </c>
      <c r="L30" s="280">
        <f t="shared" si="11"/>
        <v>0</v>
      </c>
      <c r="M30" s="280">
        <f t="shared" si="11"/>
        <v>0</v>
      </c>
      <c r="N30" s="280">
        <f t="shared" si="11"/>
        <v>0</v>
      </c>
      <c r="O30" s="107">
        <f>SUM(C30:N30)</f>
        <v>300817</v>
      </c>
    </row>
    <row r="31" spans="1:15" ht="13.5" customHeight="1" thickTop="1" x14ac:dyDescent="0.25">
      <c r="A31" s="107" t="s">
        <v>35</v>
      </c>
      <c r="B31" s="273"/>
      <c r="C31" s="256">
        <f>SUM('PL OZON (нед)'!C31:G31)</f>
        <v>0</v>
      </c>
      <c r="D31" s="256">
        <f>SUM('PL OZON (нед)'!H31:K31)</f>
        <v>0</v>
      </c>
      <c r="E31" s="256">
        <f>SUM('PL OZON (нед)'!L31:O31)</f>
        <v>0</v>
      </c>
      <c r="F31" s="256">
        <f>SUM('PL OZON (нед)'!P31:S31)</f>
        <v>0</v>
      </c>
      <c r="G31" s="256">
        <f>SUM('PL OZON (нед)'!T31:X31)</f>
        <v>0</v>
      </c>
      <c r="H31" s="256">
        <f>SUM('PL OZON (нед)'!Y31:AB31)</f>
        <v>0</v>
      </c>
      <c r="I31" s="256">
        <f>SUM('PL OZON (нед)'!AC31:AF31)</f>
        <v>0</v>
      </c>
      <c r="J31" s="256">
        <f>SUM('PL OZON (нед)'!AG31:AK31)</f>
        <v>0</v>
      </c>
      <c r="K31" s="256">
        <f>SUM('PL OZON (нед)'!AL31:AO31)</f>
        <v>0</v>
      </c>
      <c r="L31" s="256">
        <f>SUM('PL OZON (нед)'!AP31:AT31)</f>
        <v>0</v>
      </c>
      <c r="M31" s="256">
        <f>SUM('PL OZON (нед)'!AU31:AX31)</f>
        <v>0</v>
      </c>
      <c r="N31" s="256">
        <f>SUM('PL OZON (нед)'!AY31:BB31)</f>
        <v>0</v>
      </c>
    </row>
    <row r="33" spans="1:15" ht="13.5" customHeight="1" thickBot="1" x14ac:dyDescent="0.3">
      <c r="A33" s="266" t="s">
        <v>36</v>
      </c>
      <c r="B33" s="283"/>
      <c r="C33" s="265">
        <f>SUM('PL OZON (нед)'!C33:G33)</f>
        <v>71657</v>
      </c>
      <c r="D33" s="265">
        <f>SUM('PL OZON (нед)'!H33:K33)</f>
        <v>49906</v>
      </c>
      <c r="E33" s="265">
        <f>SUM('PL OZON (нед)'!L33:O33)</f>
        <v>31985</v>
      </c>
      <c r="F33" s="265">
        <f>SUM('PL OZON (нед)'!P33:S33)</f>
        <v>17933</v>
      </c>
      <c r="G33" s="265">
        <f>SUM('PL OZON (нед)'!T33:X33)</f>
        <v>20760.14</v>
      </c>
      <c r="H33" s="265">
        <f>SUM('PL OZON (нед)'!Y33:AB33)</f>
        <v>0</v>
      </c>
      <c r="I33" s="265">
        <f>SUM('PL OZON (нед)'!AC33:AF33)</f>
        <v>0</v>
      </c>
      <c r="J33" s="265">
        <f>SUM('PL OZON (нед)'!AG33:AK33)</f>
        <v>0</v>
      </c>
      <c r="K33" s="265">
        <f>SUM('PL OZON (нед)'!AL33:AO33)</f>
        <v>0</v>
      </c>
      <c r="L33" s="265">
        <f>SUM('PL OZON (нед)'!AP33:AT33)</f>
        <v>0</v>
      </c>
      <c r="M33" s="265">
        <f>SUM('PL OZON (нед)'!AU33:AX33)</f>
        <v>0</v>
      </c>
      <c r="N33" s="265">
        <f>SUM('PL OZON (нед)'!AY33:BB33)</f>
        <v>0</v>
      </c>
      <c r="O33" s="107">
        <f>SUM('PL OZON (нед)'!AZ33:BC33)</f>
        <v>0</v>
      </c>
    </row>
    <row r="34" spans="1:15" ht="13.5" customHeight="1" thickTop="1" x14ac:dyDescent="0.25">
      <c r="A34" s="284" t="s">
        <v>37</v>
      </c>
      <c r="B34" s="285"/>
      <c r="C34" s="286">
        <f>IFERROR(C33/C14,0)</f>
        <v>0.17970362456771269</v>
      </c>
      <c r="D34" s="286">
        <f t="shared" ref="D34:O34" si="12">IFERROR(D33/D14,0)</f>
        <v>0.19389027673635259</v>
      </c>
      <c r="E34" s="286">
        <f t="shared" si="12"/>
        <v>0.19402604808036444</v>
      </c>
      <c r="F34" s="286">
        <f t="shared" si="12"/>
        <v>0.17137805810397552</v>
      </c>
      <c r="G34" s="286">
        <f t="shared" si="12"/>
        <v>0.26940228393459642</v>
      </c>
      <c r="H34" s="286">
        <f t="shared" si="12"/>
        <v>0</v>
      </c>
      <c r="I34" s="286">
        <f t="shared" si="12"/>
        <v>0</v>
      </c>
      <c r="J34" s="286">
        <f t="shared" si="12"/>
        <v>0</v>
      </c>
      <c r="K34" s="286">
        <f t="shared" si="12"/>
        <v>0</v>
      </c>
      <c r="L34" s="286">
        <f t="shared" si="12"/>
        <v>0</v>
      </c>
      <c r="M34" s="286">
        <f t="shared" si="12"/>
        <v>0</v>
      </c>
      <c r="N34" s="286">
        <f t="shared" si="12"/>
        <v>0</v>
      </c>
      <c r="O34" s="107">
        <f t="shared" si="12"/>
        <v>0</v>
      </c>
    </row>
    <row r="35" spans="1:15" ht="13.5" customHeight="1" x14ac:dyDescent="0.25">
      <c r="A35" s="281"/>
      <c r="B35" s="287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</row>
    <row r="36" spans="1:15" ht="13.5" customHeight="1" thickBot="1" x14ac:dyDescent="0.3">
      <c r="A36" s="266" t="s">
        <v>38</v>
      </c>
      <c r="B36" s="283"/>
      <c r="C36" s="265">
        <f>C20-C33</f>
        <v>176799</v>
      </c>
      <c r="D36" s="265">
        <f t="shared" ref="D36:O36" si="13">D20-D33</f>
        <v>109928</v>
      </c>
      <c r="E36" s="265">
        <f t="shared" si="13"/>
        <v>70373</v>
      </c>
      <c r="F36" s="265">
        <f t="shared" si="13"/>
        <v>45573</v>
      </c>
      <c r="G36" s="265">
        <f t="shared" si="13"/>
        <v>25426.86</v>
      </c>
      <c r="H36" s="265">
        <f t="shared" si="13"/>
        <v>0</v>
      </c>
      <c r="I36" s="265">
        <f t="shared" si="13"/>
        <v>0</v>
      </c>
      <c r="J36" s="265">
        <f t="shared" si="13"/>
        <v>0</v>
      </c>
      <c r="K36" s="265">
        <f t="shared" si="13"/>
        <v>0</v>
      </c>
      <c r="L36" s="265">
        <f t="shared" si="13"/>
        <v>0</v>
      </c>
      <c r="M36" s="265">
        <f t="shared" si="13"/>
        <v>0</v>
      </c>
      <c r="N36" s="265">
        <f t="shared" si="13"/>
        <v>0</v>
      </c>
      <c r="O36" s="107">
        <f t="shared" si="13"/>
        <v>620341</v>
      </c>
    </row>
    <row r="37" spans="1:15" ht="13.5" customHeight="1" thickTop="1" x14ac:dyDescent="0.25">
      <c r="A37" s="288"/>
      <c r="B37" s="250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</row>
    <row r="38" spans="1:15" ht="13.5" customHeight="1" thickBot="1" x14ac:dyDescent="0.3">
      <c r="A38" s="266" t="s">
        <v>39</v>
      </c>
      <c r="B38" s="283"/>
      <c r="C38" s="265">
        <f t="shared" ref="C38:N38" si="14">SUM(C40:C51)</f>
        <v>122123</v>
      </c>
      <c r="D38" s="265">
        <f t="shared" si="14"/>
        <v>79457</v>
      </c>
      <c r="E38" s="265">
        <f t="shared" si="14"/>
        <v>41033</v>
      </c>
      <c r="F38" s="265">
        <f t="shared" si="14"/>
        <v>25772</v>
      </c>
      <c r="G38" s="265">
        <f t="shared" si="14"/>
        <v>26601</v>
      </c>
      <c r="H38" s="265">
        <f t="shared" si="14"/>
        <v>0</v>
      </c>
      <c r="I38" s="265">
        <f t="shared" si="14"/>
        <v>0</v>
      </c>
      <c r="J38" s="265">
        <f t="shared" si="14"/>
        <v>0</v>
      </c>
      <c r="K38" s="265">
        <f t="shared" si="14"/>
        <v>0</v>
      </c>
      <c r="L38" s="265">
        <f t="shared" si="14"/>
        <v>0</v>
      </c>
      <c r="M38" s="265">
        <f t="shared" si="14"/>
        <v>0</v>
      </c>
      <c r="N38" s="265">
        <f t="shared" si="14"/>
        <v>0</v>
      </c>
      <c r="O38" s="107">
        <f>SUM(C38:N38)</f>
        <v>294986</v>
      </c>
    </row>
    <row r="39" spans="1:15" ht="13.5" customHeight="1" thickTop="1" x14ac:dyDescent="0.25">
      <c r="A39" s="289" t="s">
        <v>40</v>
      </c>
      <c r="B39" s="290"/>
      <c r="C39" s="286">
        <f>IFERROR(C38/C14,0)</f>
        <v>0.3062638087427994</v>
      </c>
      <c r="D39" s="286">
        <f t="shared" ref="D39:N39" si="15">IFERROR(D38/D14,0)</f>
        <v>0.30869914877249965</v>
      </c>
      <c r="E39" s="286">
        <f t="shared" si="15"/>
        <v>0.24891264126564311</v>
      </c>
      <c r="F39" s="286">
        <f t="shared" si="15"/>
        <v>0.24629204892966361</v>
      </c>
      <c r="G39" s="286">
        <f t="shared" si="15"/>
        <v>0.34519854658707499</v>
      </c>
      <c r="H39" s="286">
        <f t="shared" si="15"/>
        <v>0</v>
      </c>
      <c r="I39" s="286">
        <f t="shared" si="15"/>
        <v>0</v>
      </c>
      <c r="J39" s="286">
        <f t="shared" si="15"/>
        <v>0</v>
      </c>
      <c r="K39" s="286">
        <f t="shared" si="15"/>
        <v>0</v>
      </c>
      <c r="L39" s="286">
        <f t="shared" si="15"/>
        <v>0</v>
      </c>
      <c r="M39" s="286">
        <f t="shared" si="15"/>
        <v>0</v>
      </c>
      <c r="N39" s="286">
        <f t="shared" si="15"/>
        <v>0</v>
      </c>
    </row>
    <row r="40" spans="1:15" ht="13.5" customHeight="1" x14ac:dyDescent="0.25">
      <c r="A40" s="357" t="s">
        <v>102</v>
      </c>
      <c r="B40" s="292"/>
      <c r="C40" s="293">
        <f>SUM('PL OZON (нед)'!C40:G40)</f>
        <v>75794</v>
      </c>
      <c r="D40" s="293">
        <f>SUM('PL OZON (нед)'!H40:K40)</f>
        <v>56956</v>
      </c>
      <c r="E40" s="293">
        <f>SUM('PL OZON (нед)'!L40:O40)</f>
        <v>32152</v>
      </c>
      <c r="F40" s="293">
        <f>SUM('PL OZON (нед)'!P40:S40)</f>
        <v>15426</v>
      </c>
      <c r="G40" s="293">
        <f>SUM('PL OZON (нед)'!T40:X40)</f>
        <v>16406</v>
      </c>
      <c r="H40" s="293">
        <f>SUM('PL OZON (нед)'!Y40:AB40)</f>
        <v>0</v>
      </c>
      <c r="I40" s="293">
        <f>SUM('PL OZON (нед)'!AC40:AF40)</f>
        <v>0</v>
      </c>
      <c r="J40" s="293">
        <f>SUM('PL OZON (нед)'!AG40:AK40)</f>
        <v>0</v>
      </c>
      <c r="K40" s="293">
        <f>SUM('PL OZON (нед)'!AL40:AO40)</f>
        <v>0</v>
      </c>
      <c r="L40" s="293">
        <f>SUM('PL OZON (нед)'!AP40:AT40)</f>
        <v>0</v>
      </c>
      <c r="M40" s="293">
        <f>SUM('PL OZON (нед)'!AU40:AX40)</f>
        <v>0</v>
      </c>
      <c r="N40" s="293">
        <f>SUM('PL OZON (нед)'!AY40:BB40)</f>
        <v>0</v>
      </c>
      <c r="O40" s="107">
        <f t="shared" ref="O40:O51" si="16">SUM(C40:N40)</f>
        <v>196734</v>
      </c>
    </row>
    <row r="41" spans="1:15" ht="13.5" customHeight="1" x14ac:dyDescent="0.25">
      <c r="A41" s="357" t="s">
        <v>103</v>
      </c>
      <c r="B41" s="292"/>
      <c r="C41" s="293">
        <f>SUM('PL OZON (нед)'!C41:G41)</f>
        <v>11847</v>
      </c>
      <c r="D41" s="293">
        <f>SUM('PL OZON (нед)'!H41:K41)</f>
        <v>7915</v>
      </c>
      <c r="E41" s="293">
        <f>SUM('PL OZON (нед)'!L41:O41)</f>
        <v>3217</v>
      </c>
      <c r="F41" s="293">
        <f>SUM('PL OZON (нед)'!P41:S41)</f>
        <v>527</v>
      </c>
      <c r="G41" s="293">
        <f>SUM('PL OZON (нед)'!T41:X41)</f>
        <v>1032</v>
      </c>
      <c r="H41" s="293">
        <f>SUM('PL OZON (нед)'!Y41:AB41)</f>
        <v>0</v>
      </c>
      <c r="I41" s="293">
        <f>SUM('PL OZON (нед)'!AC41:AF41)</f>
        <v>0</v>
      </c>
      <c r="J41" s="293">
        <f>SUM('PL OZON (нед)'!AG41:AK41)</f>
        <v>0</v>
      </c>
      <c r="K41" s="293">
        <f>SUM('PL OZON (нед)'!AL41:AO41)</f>
        <v>0</v>
      </c>
      <c r="L41" s="293">
        <f>SUM('PL OZON (нед)'!AP41:AT41)</f>
        <v>0</v>
      </c>
      <c r="M41" s="293">
        <f>SUM('PL OZON (нед)'!AU41:AX41)</f>
        <v>0</v>
      </c>
      <c r="N41" s="293">
        <f>SUM('PL OZON (нед)'!AY41:BB41)</f>
        <v>0</v>
      </c>
      <c r="O41" s="107">
        <f>SUM(C41:N41)</f>
        <v>24538</v>
      </c>
    </row>
    <row r="42" spans="1:15" ht="13.5" customHeight="1" x14ac:dyDescent="0.25">
      <c r="A42" s="357" t="s">
        <v>108</v>
      </c>
      <c r="B42" s="292"/>
      <c r="C42" s="293">
        <f>SUM('PL OZON (нед)'!C42:G42)</f>
        <v>3613</v>
      </c>
      <c r="D42" s="293">
        <f>SUM('PL OZON (нед)'!H42:K42)</f>
        <v>2391</v>
      </c>
      <c r="E42" s="293">
        <f>SUM('PL OZON (нед)'!L42:O42)</f>
        <v>1321</v>
      </c>
      <c r="F42" s="293">
        <f>SUM('PL OZON (нед)'!P42:S42)</f>
        <v>1097</v>
      </c>
      <c r="G42" s="293">
        <f>SUM('PL OZON (нед)'!T42:X42)</f>
        <v>700</v>
      </c>
      <c r="H42" s="293">
        <f>SUM('PL OZON (нед)'!Y42:AB42)</f>
        <v>0</v>
      </c>
      <c r="I42" s="293">
        <f>SUM('PL OZON (нед)'!AC42:AF42)</f>
        <v>0</v>
      </c>
      <c r="J42" s="293">
        <f>SUM('PL OZON (нед)'!AG42:AK42)</f>
        <v>0</v>
      </c>
      <c r="K42" s="293">
        <f>SUM('PL OZON (нед)'!AL42:AO42)</f>
        <v>0</v>
      </c>
      <c r="L42" s="293">
        <f>SUM('PL OZON (нед)'!AP42:AT42)</f>
        <v>0</v>
      </c>
      <c r="M42" s="293">
        <f>SUM('PL OZON (нед)'!AU42:AX42)</f>
        <v>0</v>
      </c>
      <c r="N42" s="293">
        <f>SUM('PL OZON (нед)'!AY42:BB42)</f>
        <v>0</v>
      </c>
      <c r="O42" s="107">
        <f t="shared" si="16"/>
        <v>9122</v>
      </c>
    </row>
    <row r="43" spans="1:15" ht="13.5" customHeight="1" x14ac:dyDescent="0.25">
      <c r="A43" s="357" t="s">
        <v>104</v>
      </c>
      <c r="B43" s="292"/>
      <c r="C43" s="293">
        <f>SUM('PL OZON (нед)'!C43:G43)</f>
        <v>30069</v>
      </c>
      <c r="D43" s="293">
        <f>SUM('PL OZON (нед)'!H43:K43)</f>
        <v>12195</v>
      </c>
      <c r="E43" s="293">
        <f>SUM('PL OZON (нед)'!L43:O43)</f>
        <v>4343</v>
      </c>
      <c r="F43" s="293">
        <f>SUM('PL OZON (нед)'!P43:S43)</f>
        <v>8722</v>
      </c>
      <c r="G43" s="293">
        <f>SUM('PL OZON (нед)'!T43:X43)</f>
        <v>8463</v>
      </c>
      <c r="H43" s="293">
        <f>SUM('PL OZON (нед)'!Y43:AB43)</f>
        <v>0</v>
      </c>
      <c r="I43" s="293">
        <f>SUM('PL OZON (нед)'!AC43:AF43)</f>
        <v>0</v>
      </c>
      <c r="J43" s="293">
        <f>SUM('PL OZON (нед)'!AG43:AK43)</f>
        <v>0</v>
      </c>
      <c r="K43" s="293">
        <f>SUM('PL OZON (нед)'!AL43:AO43)</f>
        <v>0</v>
      </c>
      <c r="L43" s="293">
        <f>SUM('PL OZON (нед)'!AP43:AT43)</f>
        <v>0</v>
      </c>
      <c r="M43" s="293">
        <f>SUM('PL OZON (нед)'!AU43:AX43)</f>
        <v>0</v>
      </c>
      <c r="N43" s="293">
        <f>SUM('PL OZON (нед)'!AY43:BB43)</f>
        <v>0</v>
      </c>
      <c r="O43" s="107">
        <f t="shared" si="16"/>
        <v>63792</v>
      </c>
    </row>
    <row r="44" spans="1:15" ht="13.5" customHeight="1" x14ac:dyDescent="0.25">
      <c r="A44" s="357" t="s">
        <v>105</v>
      </c>
      <c r="B44" s="292"/>
      <c r="C44" s="293">
        <f>SUM('PL OZON (нед)'!C44:G44)</f>
        <v>0</v>
      </c>
      <c r="D44" s="293">
        <f>SUM('PL OZON (нед)'!H44:K44)</f>
        <v>0</v>
      </c>
      <c r="E44" s="293">
        <f>SUM('PL OZON (нед)'!L44:O44)</f>
        <v>0</v>
      </c>
      <c r="F44" s="293">
        <f>SUM('PL OZON (нед)'!P44:S44)</f>
        <v>0</v>
      </c>
      <c r="G44" s="293">
        <f>SUM('PL OZON (нед)'!T44:X44)</f>
        <v>0</v>
      </c>
      <c r="H44" s="293">
        <f>SUM('PL OZON (нед)'!Y44:AB44)</f>
        <v>0</v>
      </c>
      <c r="I44" s="293">
        <f>SUM('PL OZON (нед)'!AC44:AF44)</f>
        <v>0</v>
      </c>
      <c r="J44" s="293">
        <f>SUM('PL OZON (нед)'!AG44:AK44)</f>
        <v>0</v>
      </c>
      <c r="K44" s="293">
        <f>SUM('PL OZON (нед)'!AL44:AO44)</f>
        <v>0</v>
      </c>
      <c r="L44" s="293">
        <f>SUM('PL OZON (нед)'!AP44:AT44)</f>
        <v>0</v>
      </c>
      <c r="M44" s="293">
        <f>SUM('PL OZON (нед)'!AU44:AX44)</f>
        <v>0</v>
      </c>
      <c r="N44" s="293">
        <f>SUM('PL OZON (нед)'!AY44:BB44)</f>
        <v>0</v>
      </c>
      <c r="O44" s="107">
        <f t="shared" si="16"/>
        <v>0</v>
      </c>
    </row>
    <row r="45" spans="1:15" ht="13.5" customHeight="1" x14ac:dyDescent="0.25">
      <c r="A45" s="357" t="s">
        <v>106</v>
      </c>
      <c r="B45" s="292"/>
      <c r="C45" s="293">
        <f>SUM('PL OZON (нед)'!C45:G45)</f>
        <v>800</v>
      </c>
      <c r="D45" s="293">
        <f>SUM('PL OZON (нед)'!H45:K45)</f>
        <v>0</v>
      </c>
      <c r="E45" s="293">
        <f>SUM('PL OZON (нед)'!L45:O45)</f>
        <v>0</v>
      </c>
      <c r="F45" s="293">
        <f>SUM('PL OZON (нед)'!P45:S45)</f>
        <v>0</v>
      </c>
      <c r="G45" s="293">
        <f>SUM('PL OZON (нед)'!T45:X45)</f>
        <v>0</v>
      </c>
      <c r="H45" s="293">
        <f>SUM('PL OZON (нед)'!Y45:AB45)</f>
        <v>0</v>
      </c>
      <c r="I45" s="293">
        <f>SUM('PL OZON (нед)'!AC45:AF45)</f>
        <v>0</v>
      </c>
      <c r="J45" s="293">
        <f>SUM('PL OZON (нед)'!AG45:AK45)</f>
        <v>0</v>
      </c>
      <c r="K45" s="293">
        <f>SUM('PL OZON (нед)'!AL45:AO45)</f>
        <v>0</v>
      </c>
      <c r="L45" s="293">
        <f>SUM('PL OZON (нед)'!AP45:AT45)</f>
        <v>0</v>
      </c>
      <c r="M45" s="293">
        <f>SUM('PL OZON (нед)'!AU45:AX45)</f>
        <v>0</v>
      </c>
      <c r="N45" s="293">
        <f>SUM('PL OZON (нед)'!AY45:BB45)</f>
        <v>0</v>
      </c>
      <c r="O45" s="107">
        <f t="shared" si="16"/>
        <v>800</v>
      </c>
    </row>
    <row r="46" spans="1:15" ht="13.5" customHeight="1" x14ac:dyDescent="0.25">
      <c r="A46" s="177" t="s">
        <v>112</v>
      </c>
      <c r="B46" s="292"/>
      <c r="C46" s="293">
        <f>SUM('PL OZON (нед)'!C46:G46)</f>
        <v>0</v>
      </c>
      <c r="D46" s="293">
        <f>SUM('PL OZON (нед)'!H46:K46)</f>
        <v>0</v>
      </c>
      <c r="E46" s="293">
        <f>SUM('PL OZON (нед)'!L46:O46)</f>
        <v>0</v>
      </c>
      <c r="F46" s="293">
        <f>SUM('PL OZON (нед)'!P46:S46)</f>
        <v>0</v>
      </c>
      <c r="G46" s="293">
        <f>SUM('PL OZON (нед)'!T46:X46)</f>
        <v>0</v>
      </c>
      <c r="H46" s="293">
        <f>SUM('PL OZON (нед)'!Y46:AB46)</f>
        <v>0</v>
      </c>
      <c r="I46" s="293">
        <f>SUM('PL OZON (нед)'!AC46:AF46)</f>
        <v>0</v>
      </c>
      <c r="J46" s="293">
        <f>SUM('PL OZON (нед)'!AG46:AK46)</f>
        <v>0</v>
      </c>
      <c r="K46" s="293">
        <f>SUM('PL OZON (нед)'!AL46:AO46)</f>
        <v>0</v>
      </c>
      <c r="L46" s="293">
        <f>SUM('PL OZON (нед)'!AP46:AT46)</f>
        <v>0</v>
      </c>
      <c r="M46" s="293">
        <f>SUM('PL OZON (нед)'!AU46:AX46)</f>
        <v>0</v>
      </c>
      <c r="N46" s="293">
        <f>SUM('PL OZON (нед)'!AY46:BB46)</f>
        <v>0</v>
      </c>
      <c r="O46" s="107">
        <f t="shared" si="16"/>
        <v>0</v>
      </c>
    </row>
    <row r="47" spans="1:15" ht="13.5" customHeight="1" x14ac:dyDescent="0.25">
      <c r="A47" s="177" t="s">
        <v>46</v>
      </c>
      <c r="B47" s="292"/>
      <c r="C47" s="293">
        <f>SUM('PL OZON (нед)'!C47:G47)</f>
        <v>0</v>
      </c>
      <c r="D47" s="293">
        <f>SUM('PL OZON (нед)'!H47:K47)</f>
        <v>0</v>
      </c>
      <c r="E47" s="293">
        <f>SUM('PL OZON (нед)'!L47:O47)</f>
        <v>0</v>
      </c>
      <c r="F47" s="293">
        <f>SUM('PL OZON (нед)'!P47:S47)</f>
        <v>0</v>
      </c>
      <c r="G47" s="293">
        <f>SUM('PL OZON (нед)'!T47:X47)</f>
        <v>0</v>
      </c>
      <c r="H47" s="293">
        <f>SUM('PL OZON (нед)'!Y47:AB47)</f>
        <v>0</v>
      </c>
      <c r="I47" s="293">
        <f>SUM('PL OZON (нед)'!AC47:AF47)</f>
        <v>0</v>
      </c>
      <c r="J47" s="293">
        <f>SUM('PL OZON (нед)'!AG47:AK47)</f>
        <v>0</v>
      </c>
      <c r="K47" s="293">
        <f>SUM('PL OZON (нед)'!AL47:AO47)</f>
        <v>0</v>
      </c>
      <c r="L47" s="293">
        <f>SUM('PL OZON (нед)'!AP47:AT47)</f>
        <v>0</v>
      </c>
      <c r="M47" s="293">
        <f>SUM('PL OZON (нед)'!AU47:AX47)</f>
        <v>0</v>
      </c>
      <c r="N47" s="293">
        <f>SUM('PL OZON (нед)'!AY47:BB47)</f>
        <v>0</v>
      </c>
      <c r="O47" s="107">
        <f t="shared" si="16"/>
        <v>0</v>
      </c>
    </row>
    <row r="48" spans="1:15" ht="13.5" customHeight="1" x14ac:dyDescent="0.25">
      <c r="A48" s="177" t="s">
        <v>47</v>
      </c>
      <c r="B48" s="292"/>
      <c r="C48" s="293">
        <f>SUM('PL OZON (нед)'!C48:G48)</f>
        <v>0</v>
      </c>
      <c r="D48" s="293">
        <f>SUM('PL OZON (нед)'!H48:K48)</f>
        <v>0</v>
      </c>
      <c r="E48" s="293">
        <f>SUM('PL OZON (нед)'!L48:O48)</f>
        <v>0</v>
      </c>
      <c r="F48" s="293">
        <f>SUM('PL OZON (нед)'!P48:S48)</f>
        <v>0</v>
      </c>
      <c r="G48" s="293">
        <f>SUM('PL OZON (нед)'!T48:X48)</f>
        <v>0</v>
      </c>
      <c r="H48" s="293">
        <f>SUM('PL OZON (нед)'!Y48:AB48)</f>
        <v>0</v>
      </c>
      <c r="I48" s="293">
        <f>SUM('PL OZON (нед)'!AC48:AF48)</f>
        <v>0</v>
      </c>
      <c r="J48" s="293">
        <f>SUM('PL OZON (нед)'!AG48:AK48)</f>
        <v>0</v>
      </c>
      <c r="K48" s="293">
        <f>SUM('PL OZON (нед)'!AL48:AO48)</f>
        <v>0</v>
      </c>
      <c r="L48" s="293">
        <f>SUM('PL OZON (нед)'!AP48:AT48)</f>
        <v>0</v>
      </c>
      <c r="M48" s="293">
        <f>SUM('PL OZON (нед)'!AU48:AX48)</f>
        <v>0</v>
      </c>
      <c r="N48" s="293">
        <f>SUM('PL OZON (нед)'!AY48:BB48)</f>
        <v>0</v>
      </c>
      <c r="O48" s="107">
        <f t="shared" si="16"/>
        <v>0</v>
      </c>
    </row>
    <row r="49" spans="1:15" ht="13.5" customHeight="1" x14ac:dyDescent="0.25">
      <c r="A49" s="177" t="s">
        <v>48</v>
      </c>
      <c r="B49" s="292"/>
      <c r="C49" s="293">
        <f>SUM('PL OZON (нед)'!C49:G49)</f>
        <v>0</v>
      </c>
      <c r="D49" s="293">
        <f>SUM('PL OZON (нед)'!H49:K49)</f>
        <v>0</v>
      </c>
      <c r="E49" s="293">
        <f>SUM('PL OZON (нед)'!L49:O49)</f>
        <v>0</v>
      </c>
      <c r="F49" s="293">
        <f>SUM('PL OZON (нед)'!P49:S49)</f>
        <v>0</v>
      </c>
      <c r="G49" s="293">
        <f>SUM('PL OZON (нед)'!T49:X49)</f>
        <v>0</v>
      </c>
      <c r="H49" s="293">
        <f>SUM('PL OZON (нед)'!Y49:AB49)</f>
        <v>0</v>
      </c>
      <c r="I49" s="293">
        <f>SUM('PL OZON (нед)'!AC49:AF49)</f>
        <v>0</v>
      </c>
      <c r="J49" s="293">
        <f>SUM('PL OZON (нед)'!AG49:AK49)</f>
        <v>0</v>
      </c>
      <c r="K49" s="293">
        <f>SUM('PL OZON (нед)'!AL49:AO49)</f>
        <v>0</v>
      </c>
      <c r="L49" s="293">
        <f>SUM('PL OZON (нед)'!AP49:AT49)</f>
        <v>0</v>
      </c>
      <c r="M49" s="293">
        <f>SUM('PL OZON (нед)'!AU49:AX49)</f>
        <v>0</v>
      </c>
      <c r="N49" s="293">
        <f>SUM('PL OZON (нед)'!AY49:BB49)</f>
        <v>0</v>
      </c>
      <c r="O49" s="107">
        <f t="shared" si="16"/>
        <v>0</v>
      </c>
    </row>
    <row r="50" spans="1:15" ht="13.5" customHeight="1" x14ac:dyDescent="0.25">
      <c r="A50" s="343" t="s">
        <v>99</v>
      </c>
      <c r="B50" s="292"/>
      <c r="C50" s="293">
        <f>SUM('PL OZON (нед)'!C50:G50)</f>
        <v>0</v>
      </c>
      <c r="D50" s="293">
        <f>SUM('PL OZON (нед)'!H50:K50)</f>
        <v>0</v>
      </c>
      <c r="E50" s="293">
        <f>SUM('PL OZON (нед)'!L50:O50)</f>
        <v>0</v>
      </c>
      <c r="F50" s="293">
        <f>SUM('PL OZON (нед)'!P50:S50)</f>
        <v>0</v>
      </c>
      <c r="G50" s="293">
        <f>SUM('PL OZON (нед)'!T50:X50)</f>
        <v>0</v>
      </c>
      <c r="H50" s="293">
        <f>SUM('PL OZON (нед)'!Y50:AB50)</f>
        <v>0</v>
      </c>
      <c r="I50" s="293">
        <f>SUM('PL OZON (нед)'!AC50:AF50)</f>
        <v>0</v>
      </c>
      <c r="J50" s="293">
        <f>SUM('PL OZON (нед)'!AG50:AK50)</f>
        <v>0</v>
      </c>
      <c r="K50" s="293">
        <f>SUM('PL OZON (нед)'!AL50:AO50)</f>
        <v>0</v>
      </c>
      <c r="L50" s="293">
        <f>SUM('PL OZON (нед)'!AP50:AT50)</f>
        <v>0</v>
      </c>
      <c r="M50" s="293">
        <f>SUM('PL OZON (нед)'!AU50:AX50)</f>
        <v>0</v>
      </c>
      <c r="N50" s="293">
        <f>SUM('PL OZON (нед)'!AY50:BB50)</f>
        <v>0</v>
      </c>
      <c r="O50" s="107">
        <f t="shared" si="16"/>
        <v>0</v>
      </c>
    </row>
    <row r="51" spans="1:15" ht="13.5" customHeight="1" x14ac:dyDescent="0.25">
      <c r="A51" s="177" t="s">
        <v>49</v>
      </c>
      <c r="B51" s="292"/>
      <c r="C51" s="293">
        <f>SUM('PL OZON (нед)'!C51:G51)</f>
        <v>0</v>
      </c>
      <c r="D51" s="293">
        <f>SUM('PL OZON (нед)'!H51:K51)</f>
        <v>0</v>
      </c>
      <c r="E51" s="293">
        <f>SUM('PL OZON (нед)'!L51:O51)</f>
        <v>0</v>
      </c>
      <c r="F51" s="293">
        <f>SUM('PL OZON (нед)'!P51:S51)</f>
        <v>0</v>
      </c>
      <c r="G51" s="293">
        <f>SUM('PL OZON (нед)'!T51:X51)</f>
        <v>0</v>
      </c>
      <c r="H51" s="293">
        <f>SUM('PL OZON (нед)'!Y51:AB51)</f>
        <v>0</v>
      </c>
      <c r="I51" s="293">
        <f>SUM('PL OZON (нед)'!AC51:AF51)</f>
        <v>0</v>
      </c>
      <c r="J51" s="293">
        <f>SUM('PL OZON (нед)'!AG51:AK51)</f>
        <v>0</v>
      </c>
      <c r="K51" s="293">
        <f>SUM('PL OZON (нед)'!AL51:AO51)</f>
        <v>0</v>
      </c>
      <c r="L51" s="293">
        <f>SUM('PL OZON (нед)'!AP51:AT51)</f>
        <v>0</v>
      </c>
      <c r="M51" s="293">
        <f>SUM('PL OZON (нед)'!AU51:AX51)</f>
        <v>0</v>
      </c>
      <c r="N51" s="293">
        <f>SUM('PL OZON (нед)'!AY51:BB51)</f>
        <v>0</v>
      </c>
      <c r="O51" s="107">
        <f t="shared" si="16"/>
        <v>0</v>
      </c>
    </row>
    <row r="52" spans="1:15" ht="13.5" customHeight="1" x14ac:dyDescent="0.25">
      <c r="B52" s="250"/>
      <c r="C52" s="293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</row>
    <row r="53" spans="1:15" ht="15" customHeight="1" thickBot="1" x14ac:dyDescent="0.3">
      <c r="A53" s="294" t="s">
        <v>50</v>
      </c>
      <c r="B53" s="295"/>
      <c r="C53" s="296">
        <f t="shared" ref="C53:N53" si="17">C36+C31-C38</f>
        <v>54676</v>
      </c>
      <c r="D53" s="296">
        <f t="shared" si="17"/>
        <v>30471</v>
      </c>
      <c r="E53" s="296">
        <f t="shared" si="17"/>
        <v>29340</v>
      </c>
      <c r="F53" s="296">
        <f t="shared" si="17"/>
        <v>19801</v>
      </c>
      <c r="G53" s="296">
        <f t="shared" si="17"/>
        <v>-1174.1399999999994</v>
      </c>
      <c r="H53" s="296">
        <f t="shared" si="17"/>
        <v>0</v>
      </c>
      <c r="I53" s="296">
        <f t="shared" si="17"/>
        <v>0</v>
      </c>
      <c r="J53" s="296">
        <f t="shared" si="17"/>
        <v>0</v>
      </c>
      <c r="K53" s="296">
        <f t="shared" si="17"/>
        <v>0</v>
      </c>
      <c r="L53" s="296">
        <f t="shared" si="17"/>
        <v>0</v>
      </c>
      <c r="M53" s="296">
        <f t="shared" si="17"/>
        <v>0</v>
      </c>
      <c r="N53" s="296">
        <f t="shared" si="17"/>
        <v>0</v>
      </c>
      <c r="O53" s="107">
        <f>SUM(C53:N53)</f>
        <v>133113.85999999999</v>
      </c>
    </row>
    <row r="54" spans="1:15" ht="13.5" customHeight="1" thickTop="1" x14ac:dyDescent="0.25">
      <c r="A54" s="249"/>
      <c r="B54" s="257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</row>
    <row r="55" spans="1:15" ht="13.5" customHeight="1" thickBot="1" x14ac:dyDescent="0.3">
      <c r="A55" s="291" t="s">
        <v>51</v>
      </c>
      <c r="B55" s="298" t="s">
        <v>52</v>
      </c>
      <c r="C55" s="265">
        <f t="shared" ref="C55:N55" si="18">C14*7%</f>
        <v>27912.570000000003</v>
      </c>
      <c r="D55" s="265">
        <f t="shared" si="18"/>
        <v>18017.510000000002</v>
      </c>
      <c r="E55" s="265">
        <f t="shared" si="18"/>
        <v>11539.43</v>
      </c>
      <c r="F55" s="265">
        <f t="shared" si="18"/>
        <v>7324.8000000000011</v>
      </c>
      <c r="G55" s="265">
        <f t="shared" si="18"/>
        <v>5394.2000000000007</v>
      </c>
      <c r="H55" s="265">
        <f t="shared" si="18"/>
        <v>0</v>
      </c>
      <c r="I55" s="265">
        <f t="shared" si="18"/>
        <v>0</v>
      </c>
      <c r="J55" s="265">
        <f t="shared" si="18"/>
        <v>0</v>
      </c>
      <c r="K55" s="265">
        <f t="shared" si="18"/>
        <v>0</v>
      </c>
      <c r="L55" s="265">
        <f t="shared" si="18"/>
        <v>0</v>
      </c>
      <c r="M55" s="265">
        <f t="shared" si="18"/>
        <v>0</v>
      </c>
      <c r="N55" s="265">
        <f t="shared" si="18"/>
        <v>0</v>
      </c>
      <c r="O55" s="107">
        <f t="shared" ref="O55" si="19">SUM(C55:N55)</f>
        <v>70188.510000000009</v>
      </c>
    </row>
    <row r="56" spans="1:15" ht="13.5" customHeight="1" thickTop="1" x14ac:dyDescent="0.25">
      <c r="A56" s="249"/>
      <c r="B56" s="250"/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</row>
    <row r="57" spans="1:15" ht="15" customHeight="1" thickBot="1" x14ac:dyDescent="0.3">
      <c r="A57" s="299" t="s">
        <v>53</v>
      </c>
      <c r="B57" s="300"/>
      <c r="C57" s="296">
        <f t="shared" ref="C57:N57" si="20">C53-C55</f>
        <v>26763.429999999997</v>
      </c>
      <c r="D57" s="296">
        <f t="shared" si="20"/>
        <v>12453.489999999998</v>
      </c>
      <c r="E57" s="296">
        <f t="shared" si="20"/>
        <v>17800.57</v>
      </c>
      <c r="F57" s="296">
        <f t="shared" si="20"/>
        <v>12476.199999999999</v>
      </c>
      <c r="G57" s="296">
        <f t="shared" si="20"/>
        <v>-6568.34</v>
      </c>
      <c r="H57" s="296">
        <f t="shared" si="20"/>
        <v>0</v>
      </c>
      <c r="I57" s="296">
        <f t="shared" si="20"/>
        <v>0</v>
      </c>
      <c r="J57" s="296">
        <f t="shared" si="20"/>
        <v>0</v>
      </c>
      <c r="K57" s="296">
        <f t="shared" si="20"/>
        <v>0</v>
      </c>
      <c r="L57" s="296">
        <f t="shared" si="20"/>
        <v>0</v>
      </c>
      <c r="M57" s="296">
        <f t="shared" si="20"/>
        <v>0</v>
      </c>
      <c r="N57" s="296">
        <f t="shared" si="20"/>
        <v>0</v>
      </c>
      <c r="O57" s="107">
        <f>SUM(C57:N57)</f>
        <v>62925.350000000006</v>
      </c>
    </row>
    <row r="58" spans="1:15" ht="13.5" customHeight="1" thickTop="1" x14ac:dyDescent="0.25">
      <c r="A58" s="301" t="s">
        <v>2</v>
      </c>
      <c r="B58" s="302"/>
      <c r="C58" s="303">
        <f t="shared" ref="C58:O58" si="21">IFERROR(C38/C14,0)</f>
        <v>0.3062638087427994</v>
      </c>
      <c r="D58" s="303">
        <f t="shared" si="21"/>
        <v>0.30869914877249965</v>
      </c>
      <c r="E58" s="303">
        <f t="shared" si="21"/>
        <v>0.24891264126564311</v>
      </c>
      <c r="F58" s="303">
        <f t="shared" si="21"/>
        <v>0.24629204892966361</v>
      </c>
      <c r="G58" s="303">
        <f t="shared" si="21"/>
        <v>0.34519854658707499</v>
      </c>
      <c r="H58" s="303">
        <f t="shared" si="21"/>
        <v>0</v>
      </c>
      <c r="I58" s="303">
        <f t="shared" si="21"/>
        <v>0</v>
      </c>
      <c r="J58" s="303">
        <f t="shared" si="21"/>
        <v>0</v>
      </c>
      <c r="K58" s="303">
        <f t="shared" si="21"/>
        <v>0</v>
      </c>
      <c r="L58" s="303">
        <f t="shared" si="21"/>
        <v>0</v>
      </c>
      <c r="M58" s="303">
        <f t="shared" si="21"/>
        <v>0</v>
      </c>
      <c r="N58" s="303">
        <f t="shared" si="21"/>
        <v>0</v>
      </c>
      <c r="O58" s="107">
        <f t="shared" si="21"/>
        <v>0.29419373626822964</v>
      </c>
    </row>
    <row r="59" spans="1:15" ht="13.5" customHeight="1" x14ac:dyDescent="0.25">
      <c r="A59" s="321" t="s">
        <v>96</v>
      </c>
      <c r="B59" s="304"/>
      <c r="C59" s="303">
        <f t="shared" ref="C59:O59" si="22">IFERROR(C57/C14,0)</f>
        <v>6.7118151427833395E-2</v>
      </c>
      <c r="D59" s="303">
        <f t="shared" si="22"/>
        <v>4.8383172813557473E-2</v>
      </c>
      <c r="E59" s="303">
        <f t="shared" si="22"/>
        <v>0.10798106145624177</v>
      </c>
      <c r="F59" s="303">
        <f t="shared" si="22"/>
        <v>0.11922974006116206</v>
      </c>
      <c r="G59" s="303">
        <f t="shared" si="22"/>
        <v>-8.5236698676356082E-2</v>
      </c>
      <c r="H59" s="303">
        <f t="shared" si="22"/>
        <v>0</v>
      </c>
      <c r="I59" s="303">
        <f t="shared" si="22"/>
        <v>0</v>
      </c>
      <c r="J59" s="303">
        <f t="shared" si="22"/>
        <v>0</v>
      </c>
      <c r="K59" s="303">
        <f t="shared" si="22"/>
        <v>0</v>
      </c>
      <c r="L59" s="303">
        <f t="shared" si="22"/>
        <v>0</v>
      </c>
      <c r="M59" s="303">
        <f t="shared" si="22"/>
        <v>0</v>
      </c>
      <c r="N59" s="303">
        <f t="shared" si="22"/>
        <v>0</v>
      </c>
      <c r="O59" s="107">
        <f t="shared" si="22"/>
        <v>6.2756347157105916E-2</v>
      </c>
    </row>
    <row r="60" spans="1:15" ht="15" customHeight="1" thickBot="1" x14ac:dyDescent="0.3">
      <c r="A60" s="294" t="s">
        <v>54</v>
      </c>
      <c r="B60" s="305"/>
      <c r="C60" s="296">
        <f>CF!C38</f>
        <v>0</v>
      </c>
      <c r="D60" s="296">
        <f>CF!D38</f>
        <v>0</v>
      </c>
      <c r="E60" s="296">
        <f>CF!E38</f>
        <v>0</v>
      </c>
      <c r="F60" s="296">
        <f>CF!F38</f>
        <v>0</v>
      </c>
      <c r="G60" s="296">
        <f>CF!G38</f>
        <v>0</v>
      </c>
      <c r="H60" s="296">
        <f>CF!H38</f>
        <v>0</v>
      </c>
      <c r="I60" s="296">
        <f>CF!I38</f>
        <v>0</v>
      </c>
      <c r="J60" s="296">
        <f>CF!J38</f>
        <v>0</v>
      </c>
      <c r="K60" s="296">
        <f>CF!K38</f>
        <v>0</v>
      </c>
      <c r="L60" s="296">
        <f>CF!L38</f>
        <v>0</v>
      </c>
      <c r="M60" s="296">
        <f>CF!M38</f>
        <v>0</v>
      </c>
      <c r="N60" s="296">
        <f>CF!N38</f>
        <v>0</v>
      </c>
    </row>
    <row r="61" spans="1:15" ht="15.75" thickTop="1" x14ac:dyDescent="0.25">
      <c r="A61" s="281"/>
      <c r="B61" s="287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</row>
    <row r="62" spans="1:15" ht="13.5" customHeight="1" x14ac:dyDescent="0.25">
      <c r="A62" s="307" t="s">
        <v>113</v>
      </c>
      <c r="B62" s="308"/>
      <c r="C62" s="309">
        <f>CF!C42</f>
        <v>2426951.8857</v>
      </c>
      <c r="D62" s="309">
        <f>CF!D42</f>
        <v>2920729.7957000001</v>
      </c>
      <c r="E62" s="309">
        <f>CF!E42</f>
        <v>3317903.6557000005</v>
      </c>
      <c r="F62" s="309">
        <f>CF!F42</f>
        <v>3557797.9857000005</v>
      </c>
      <c r="G62" s="309">
        <f>CF!G42</f>
        <v>3319042.2357000005</v>
      </c>
      <c r="H62" s="309">
        <f>CF!H42</f>
        <v>3381991.1357000005</v>
      </c>
      <c r="I62" s="309">
        <f>CF!I42</f>
        <v>3381991.1357000005</v>
      </c>
      <c r="J62" s="309">
        <f>CF!J42</f>
        <v>3381991.1357000005</v>
      </c>
      <c r="K62" s="309">
        <f>CF!K42</f>
        <v>3381991.1357000005</v>
      </c>
      <c r="L62" s="309">
        <f>CF!L42</f>
        <v>3381991.1357000005</v>
      </c>
      <c r="M62" s="309">
        <f>CF!M42</f>
        <v>3381991.1357000005</v>
      </c>
      <c r="N62" s="309">
        <f>CF!N42</f>
        <v>3381991.1357000005</v>
      </c>
    </row>
    <row r="63" spans="1:15" x14ac:dyDescent="0.25">
      <c r="A63" s="281"/>
      <c r="B63" s="287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</row>
    <row r="64" spans="1:15" ht="15.75" thickBot="1" x14ac:dyDescent="0.3">
      <c r="A64" s="294" t="s">
        <v>56</v>
      </c>
      <c r="B64" s="295"/>
      <c r="C64" s="311">
        <f>'PL OZON (нед)'!G64</f>
        <v>319607.51</v>
      </c>
      <c r="D64" s="296">
        <f t="shared" ref="D64:N64" si="23">D57+C64-D60</f>
        <v>332061</v>
      </c>
      <c r="E64" s="296">
        <f t="shared" si="23"/>
        <v>349861.57</v>
      </c>
      <c r="F64" s="296">
        <f t="shared" si="23"/>
        <v>362337.77</v>
      </c>
      <c r="G64" s="296">
        <f t="shared" si="23"/>
        <v>355769.43</v>
      </c>
      <c r="H64" s="296">
        <f t="shared" si="23"/>
        <v>355769.43</v>
      </c>
      <c r="I64" s="296">
        <f t="shared" si="23"/>
        <v>355769.43</v>
      </c>
      <c r="J64" s="296">
        <f t="shared" si="23"/>
        <v>355769.43</v>
      </c>
      <c r="K64" s="296">
        <f t="shared" si="23"/>
        <v>355769.43</v>
      </c>
      <c r="L64" s="296">
        <f t="shared" si="23"/>
        <v>355769.43</v>
      </c>
      <c r="M64" s="296">
        <f t="shared" si="23"/>
        <v>355769.43</v>
      </c>
      <c r="N64" s="296">
        <f t="shared" si="23"/>
        <v>355769.43</v>
      </c>
    </row>
    <row r="66" spans="1:14" ht="13.5" customHeight="1" x14ac:dyDescent="0.25">
      <c r="A66" s="288" t="s">
        <v>57</v>
      </c>
      <c r="B66" s="258"/>
      <c r="C66" s="312">
        <f t="shared" ref="C66:N66" si="24">IFERROR(C41/C7, )</f>
        <v>19.549504950495049</v>
      </c>
      <c r="D66" s="312">
        <f t="shared" si="24"/>
        <v>20.294871794871796</v>
      </c>
      <c r="E66" s="312">
        <f t="shared" si="24"/>
        <v>13.516806722689076</v>
      </c>
      <c r="F66" s="312">
        <f t="shared" si="24"/>
        <v>3.0114285714285716</v>
      </c>
      <c r="G66" s="312">
        <f t="shared" si="24"/>
        <v>7.8778625954198471</v>
      </c>
      <c r="H66" s="312">
        <f t="shared" si="24"/>
        <v>0</v>
      </c>
      <c r="I66" s="312">
        <f t="shared" si="24"/>
        <v>0</v>
      </c>
      <c r="J66" s="312">
        <f t="shared" si="24"/>
        <v>0</v>
      </c>
      <c r="K66" s="312">
        <f t="shared" si="24"/>
        <v>0</v>
      </c>
      <c r="L66" s="312">
        <f t="shared" si="24"/>
        <v>0</v>
      </c>
      <c r="M66" s="312">
        <f t="shared" si="24"/>
        <v>0</v>
      </c>
      <c r="N66" s="312">
        <f t="shared" si="24"/>
        <v>0</v>
      </c>
    </row>
    <row r="67" spans="1:14" ht="13.5" customHeight="1" x14ac:dyDescent="0.25">
      <c r="A67" s="288" t="s">
        <v>58</v>
      </c>
      <c r="B67" s="258"/>
      <c r="C67" s="286">
        <f t="shared" ref="C67:N67" si="25">IFERROR(C41/C15, )</f>
        <v>0</v>
      </c>
      <c r="D67" s="286">
        <f t="shared" si="25"/>
        <v>0</v>
      </c>
      <c r="E67" s="286">
        <f t="shared" si="25"/>
        <v>0</v>
      </c>
      <c r="F67" s="286">
        <f t="shared" si="25"/>
        <v>0</v>
      </c>
      <c r="G67" s="286">
        <f t="shared" si="25"/>
        <v>0</v>
      </c>
      <c r="H67" s="286">
        <f t="shared" si="25"/>
        <v>0</v>
      </c>
      <c r="I67" s="286">
        <f t="shared" si="25"/>
        <v>0</v>
      </c>
      <c r="J67" s="286">
        <f t="shared" si="25"/>
        <v>0</v>
      </c>
      <c r="K67" s="286">
        <f t="shared" si="25"/>
        <v>0</v>
      </c>
      <c r="L67" s="286">
        <f t="shared" si="25"/>
        <v>0</v>
      </c>
      <c r="M67" s="286">
        <f t="shared" si="25"/>
        <v>0</v>
      </c>
      <c r="N67" s="286">
        <f t="shared" si="25"/>
        <v>0</v>
      </c>
    </row>
    <row r="68" spans="1:14" ht="13.5" customHeight="1" x14ac:dyDescent="0.25">
      <c r="A68" s="364" t="s">
        <v>115</v>
      </c>
      <c r="B68" s="258"/>
      <c r="C68" s="256">
        <f t="shared" ref="C68:N68" si="26">IFERROR(C57/(C7-C23), )</f>
        <v>44.980554621848732</v>
      </c>
      <c r="D68" s="256">
        <f t="shared" si="26"/>
        <v>32.262927461139888</v>
      </c>
      <c r="E68" s="256">
        <f t="shared" si="26"/>
        <v>77.393782608695645</v>
      </c>
      <c r="F68" s="256">
        <f t="shared" si="26"/>
        <v>71.702298850574707</v>
      </c>
      <c r="G68" s="256">
        <f t="shared" si="26"/>
        <v>-50.14</v>
      </c>
      <c r="H68" s="256">
        <f t="shared" si="26"/>
        <v>0</v>
      </c>
      <c r="I68" s="256">
        <f t="shared" si="26"/>
        <v>0</v>
      </c>
      <c r="J68" s="256">
        <f t="shared" si="26"/>
        <v>0</v>
      </c>
      <c r="K68" s="256">
        <f t="shared" si="26"/>
        <v>0</v>
      </c>
      <c r="L68" s="256">
        <f t="shared" si="26"/>
        <v>0</v>
      </c>
      <c r="M68" s="256">
        <f t="shared" si="26"/>
        <v>0</v>
      </c>
      <c r="N68" s="256">
        <f t="shared" si="26"/>
        <v>0</v>
      </c>
    </row>
  </sheetData>
  <mergeCells count="1">
    <mergeCell ref="C2:N2"/>
  </mergeCells>
  <conditionalFormatting sqref="A9:N11 B13:B20 A62">
    <cfRule type="cellIs" dxfId="17" priority="17" operator="greaterThan">
      <formula>0</formula>
    </cfRule>
  </conditionalFormatting>
  <conditionalFormatting sqref="A53:N53 A57:N58 C60:N60 A60:B64">
    <cfRule type="cellIs" dxfId="16" priority="18" operator="lessThan">
      <formula>0</formula>
    </cfRule>
  </conditionalFormatting>
  <conditionalFormatting sqref="C7:N7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:N1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7:N17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18:N18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20:N20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3:N33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4:N34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8:N38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39:N39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5:N55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57:N57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8:N58">
    <cfRule type="colorScale" priority="3">
      <colorScale>
        <cfvo type="min"/>
        <cfvo type="max"/>
        <color rgb="FFFCFCFF"/>
        <color rgb="FF63BE7B"/>
      </colorScale>
    </cfRule>
  </conditionalFormatting>
  <conditionalFormatting sqref="C59:N59">
    <cfRule type="colorScale" priority="2">
      <colorScale>
        <cfvo type="min"/>
        <cfvo type="max"/>
        <color rgb="FFFCFCFF"/>
        <color rgb="FF63BE7B"/>
      </colorScale>
    </cfRule>
  </conditionalFormatting>
  <conditionalFormatting sqref="C62:N62">
    <cfRule type="cellIs" dxfId="15" priority="16" operator="lessThan">
      <formula>0</formula>
    </cfRule>
  </conditionalFormatting>
  <conditionalFormatting sqref="C68:N6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paperSize="9" orientation="portrait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CC00"/>
  </sheetPr>
  <dimension ref="A1:BC45"/>
  <sheetViews>
    <sheetView showZeros="0" workbookViewId="0">
      <pane xSplit="2" ySplit="5" topLeftCell="K6" activePane="bottomRight" state="frozen"/>
      <selection pane="topRight" activeCell="C1" sqref="C1"/>
      <selection pane="bottomLeft" activeCell="A6" sqref="A6"/>
      <selection pane="bottomRight" activeCell="Q11" sqref="Q11"/>
    </sheetView>
  </sheetViews>
  <sheetFormatPr defaultColWidth="14.42578125" defaultRowHeight="15" customHeight="1" x14ac:dyDescent="0.25"/>
  <cols>
    <col min="1" max="1" width="21.42578125" customWidth="1"/>
    <col min="2" max="2" width="27.140625" customWidth="1"/>
    <col min="3" max="3" width="12.140625" bestFit="1" customWidth="1"/>
    <col min="4" max="20" width="10.85546875" customWidth="1"/>
    <col min="21" max="21" width="12.140625" bestFit="1" customWidth="1"/>
    <col min="22" max="55" width="10.85546875" customWidth="1"/>
  </cols>
  <sheetData>
    <row r="1" spans="1:55" s="420" customFormat="1" ht="33.75" customHeight="1" x14ac:dyDescent="0.25">
      <c r="A1" s="534" t="s">
        <v>90</v>
      </c>
      <c r="B1" s="535"/>
      <c r="C1" s="423">
        <f>'PL WB (нед)'!C1</f>
        <v>1</v>
      </c>
      <c r="D1" s="423">
        <f>'PL WB (нед)'!D1</f>
        <v>2</v>
      </c>
      <c r="E1" s="423">
        <f>'PL WB (нед)'!E1</f>
        <v>3</v>
      </c>
      <c r="F1" s="423">
        <f>'PL WB (нед)'!F1</f>
        <v>4</v>
      </c>
      <c r="G1" s="423">
        <f>'PL WB (нед)'!G1</f>
        <v>5</v>
      </c>
      <c r="H1" s="423">
        <f>'PL WB (нед)'!H1</f>
        <v>6</v>
      </c>
      <c r="I1" s="423">
        <f>'PL WB (нед)'!I1</f>
        <v>7</v>
      </c>
      <c r="J1" s="423">
        <f>'PL WB (нед)'!J1</f>
        <v>8</v>
      </c>
      <c r="K1" s="423">
        <f>'PL WB (нед)'!K1</f>
        <v>9</v>
      </c>
      <c r="L1" s="423">
        <f>'PL WB (нед)'!L1</f>
        <v>10</v>
      </c>
      <c r="M1" s="423">
        <f>'PL WB (нед)'!M1</f>
        <v>11</v>
      </c>
      <c r="N1" s="423">
        <f>'PL WB (нед)'!N1</f>
        <v>12</v>
      </c>
      <c r="O1" s="423">
        <f>'PL WB (нед)'!O1</f>
        <v>13</v>
      </c>
      <c r="P1" s="423">
        <f>'PL WB (нед)'!P1</f>
        <v>14</v>
      </c>
      <c r="Q1" s="423">
        <f>'PL WB (нед)'!Q1</f>
        <v>15</v>
      </c>
      <c r="R1" s="423">
        <f>'PL WB (нед)'!R1</f>
        <v>16</v>
      </c>
      <c r="S1" s="423">
        <f>'PL WB (нед)'!S1</f>
        <v>17</v>
      </c>
      <c r="T1" s="423">
        <f>'PL WB (нед)'!T1</f>
        <v>18</v>
      </c>
      <c r="U1" s="423">
        <f>'PL WB (нед)'!U1</f>
        <v>19</v>
      </c>
      <c r="V1" s="423">
        <f>'PL WB (нед)'!V1</f>
        <v>20</v>
      </c>
      <c r="W1" s="423">
        <f>'PL WB (нед)'!W1</f>
        <v>21</v>
      </c>
      <c r="X1" s="423">
        <f>'PL WB (нед)'!X1</f>
        <v>22</v>
      </c>
      <c r="Y1" s="423">
        <f>'PL WB (нед)'!Y1</f>
        <v>23</v>
      </c>
      <c r="Z1" s="423">
        <f>'PL WB (нед)'!Z1</f>
        <v>24</v>
      </c>
      <c r="AA1" s="423">
        <f>'PL WB (нед)'!AA1</f>
        <v>25</v>
      </c>
      <c r="AB1" s="423">
        <f>'PL WB (нед)'!AB1</f>
        <v>26</v>
      </c>
      <c r="AC1" s="423">
        <f>'PL WB (нед)'!AC1</f>
        <v>27</v>
      </c>
      <c r="AD1" s="423">
        <f>'PL WB (нед)'!AD1</f>
        <v>28</v>
      </c>
      <c r="AE1" s="423">
        <f>'PL WB (нед)'!AE1</f>
        <v>29</v>
      </c>
      <c r="AF1" s="423">
        <f>'PL WB (нед)'!AF1</f>
        <v>30</v>
      </c>
      <c r="AG1" s="423">
        <f>'PL WB (нед)'!AG1</f>
        <v>31</v>
      </c>
      <c r="AH1" s="423">
        <f>'PL WB (нед)'!AH1</f>
        <v>32</v>
      </c>
      <c r="AI1" s="423">
        <f>'PL WB (нед)'!AI1</f>
        <v>33</v>
      </c>
      <c r="AJ1" s="423">
        <f>'PL WB (нед)'!AJ1</f>
        <v>34</v>
      </c>
      <c r="AK1" s="423">
        <f>'PL WB (нед)'!AK1</f>
        <v>35</v>
      </c>
      <c r="AL1" s="423">
        <f>'PL WB (нед)'!AL1</f>
        <v>36</v>
      </c>
      <c r="AM1" s="423">
        <f>'PL WB (нед)'!AM1</f>
        <v>37</v>
      </c>
      <c r="AN1" s="423">
        <f>'PL WB (нед)'!AN1</f>
        <v>38</v>
      </c>
      <c r="AO1" s="423">
        <f>'PL WB (нед)'!AO1</f>
        <v>39</v>
      </c>
      <c r="AP1" s="423">
        <f>'PL WB (нед)'!AP1</f>
        <v>40</v>
      </c>
      <c r="AQ1" s="423">
        <f>'PL WB (нед)'!AQ1</f>
        <v>41</v>
      </c>
      <c r="AR1" s="423">
        <f>'PL WB (нед)'!AR1</f>
        <v>42</v>
      </c>
      <c r="AS1" s="423">
        <f>'PL WB (нед)'!AS1</f>
        <v>43</v>
      </c>
      <c r="AT1" s="423">
        <f>'PL WB (нед)'!AT1</f>
        <v>44</v>
      </c>
      <c r="AU1" s="423">
        <f>'PL WB (нед)'!AU1</f>
        <v>45</v>
      </c>
      <c r="AV1" s="423">
        <f>'PL WB (нед)'!AV1</f>
        <v>46</v>
      </c>
      <c r="AW1" s="423">
        <f>'PL WB (нед)'!AW1</f>
        <v>47</v>
      </c>
      <c r="AX1" s="423">
        <f>'PL WB (нед)'!AX1</f>
        <v>48</v>
      </c>
      <c r="AY1" s="423">
        <f>'PL WB (нед)'!AY1</f>
        <v>49</v>
      </c>
      <c r="AZ1" s="423">
        <f>'PL WB (нед)'!AZ1</f>
        <v>50</v>
      </c>
      <c r="BA1" s="423">
        <f>'PL WB (нед)'!BA1</f>
        <v>51</v>
      </c>
      <c r="BB1" s="423">
        <f>'PL WB (нед)'!BB1</f>
        <v>52</v>
      </c>
      <c r="BC1" s="424" t="str">
        <f>'PL WB (нед)'!BC1</f>
        <v>Остаток года</v>
      </c>
    </row>
    <row r="2" spans="1:55" ht="13.5" customHeight="1" x14ac:dyDescent="0.25">
      <c r="A2" s="62" t="s">
        <v>91</v>
      </c>
      <c r="B2" s="20"/>
      <c r="C2" s="528" t="s">
        <v>5</v>
      </c>
      <c r="D2" s="529"/>
      <c r="E2" s="529"/>
      <c r="F2" s="529"/>
      <c r="G2" s="530"/>
      <c r="H2" s="528" t="s">
        <v>6</v>
      </c>
      <c r="I2" s="529"/>
      <c r="J2" s="529"/>
      <c r="K2" s="530"/>
      <c r="L2" s="528" t="s">
        <v>7</v>
      </c>
      <c r="M2" s="529"/>
      <c r="N2" s="529"/>
      <c r="O2" s="530"/>
      <c r="P2" s="531" t="s">
        <v>8</v>
      </c>
      <c r="Q2" s="532"/>
      <c r="R2" s="532"/>
      <c r="S2" s="533"/>
      <c r="T2" s="531" t="s">
        <v>9</v>
      </c>
      <c r="U2" s="532"/>
      <c r="V2" s="532"/>
      <c r="W2" s="532"/>
      <c r="X2" s="533"/>
      <c r="Y2" s="528" t="s">
        <v>10</v>
      </c>
      <c r="Z2" s="529"/>
      <c r="AA2" s="529"/>
      <c r="AB2" s="530"/>
      <c r="AC2" s="538" t="s">
        <v>11</v>
      </c>
      <c r="AD2" s="529"/>
      <c r="AE2" s="529"/>
      <c r="AF2" s="533"/>
      <c r="AG2" s="536" t="s">
        <v>12</v>
      </c>
      <c r="AH2" s="532"/>
      <c r="AI2" s="532"/>
      <c r="AJ2" s="532"/>
      <c r="AK2" s="533"/>
      <c r="AL2" s="537" t="s">
        <v>13</v>
      </c>
      <c r="AM2" s="532"/>
      <c r="AN2" s="532"/>
      <c r="AO2" s="533"/>
      <c r="AP2" s="536" t="s">
        <v>14</v>
      </c>
      <c r="AQ2" s="532"/>
      <c r="AR2" s="532"/>
      <c r="AS2" s="532"/>
      <c r="AT2" s="533"/>
      <c r="AU2" s="536" t="s">
        <v>15</v>
      </c>
      <c r="AV2" s="532"/>
      <c r="AW2" s="532"/>
      <c r="AX2" s="533"/>
      <c r="AY2" s="421" t="s">
        <v>16</v>
      </c>
      <c r="AZ2" s="422"/>
      <c r="BA2" s="422"/>
      <c r="BB2" s="422"/>
      <c r="BC2" s="422"/>
    </row>
    <row r="3" spans="1:55" ht="13.5" customHeight="1" x14ac:dyDescent="0.25">
      <c r="A3" s="21"/>
      <c r="B3" s="102"/>
      <c r="C3" s="356" t="str">
        <f>'PL WB (нед)'!C3</f>
        <v>01.01-04.01</v>
      </c>
      <c r="D3" s="356" t="str">
        <f>'PL WB (нед)'!D3</f>
        <v>05.01-11.01</v>
      </c>
      <c r="E3" s="356" t="str">
        <f>'PL WB (нед)'!E3</f>
        <v>12.01-18.01</v>
      </c>
      <c r="F3" s="356" t="str">
        <f>'PL WB (нед)'!F3</f>
        <v>19.01-25.01</v>
      </c>
      <c r="G3" s="356" t="str">
        <f>'PL WB (нед)'!G3</f>
        <v>26.01-01.02</v>
      </c>
      <c r="H3" s="356" t="str">
        <f>'PL WB (нед)'!H3</f>
        <v>02.02-08.02</v>
      </c>
      <c r="I3" s="356" t="str">
        <f>'PL WB (нед)'!I3</f>
        <v>09.02-15.02</v>
      </c>
      <c r="J3" s="356" t="str">
        <f>'PL WB (нед)'!J3</f>
        <v>16.02-22.02</v>
      </c>
      <c r="K3" s="356" t="str">
        <f>'PL WB (нед)'!K3</f>
        <v>23.02-01.03</v>
      </c>
      <c r="L3" s="356" t="str">
        <f>'PL WB (нед)'!L3</f>
        <v>02.03-08.03</v>
      </c>
      <c r="M3" s="356" t="str">
        <f>'PL WB (нед)'!M3</f>
        <v>09.03-15.03</v>
      </c>
      <c r="N3" s="356" t="str">
        <f>'PL WB (нед)'!N3</f>
        <v>16.03-22.03</v>
      </c>
      <c r="O3" s="356" t="str">
        <f>'PL WB (нед)'!O3</f>
        <v>23.03-29.03</v>
      </c>
      <c r="P3" s="356" t="str">
        <f>'PL WB (нед)'!P3</f>
        <v>30.03-05.04</v>
      </c>
      <c r="Q3" s="356" t="str">
        <f>'PL WB (нед)'!Q3</f>
        <v>06.04-12.04</v>
      </c>
      <c r="R3" s="356" t="str">
        <f>'PL WB (нед)'!R3</f>
        <v>13.04-19.04</v>
      </c>
      <c r="S3" s="356" t="str">
        <f>'PL WB (нед)'!S3</f>
        <v>20.04-26.04</v>
      </c>
      <c r="T3" s="356" t="str">
        <f>'PL WB (нед)'!T3</f>
        <v>27.04-01.05</v>
      </c>
      <c r="U3" s="356" t="str">
        <f>'PL WB (нед)'!U3</f>
        <v>04.05-10.05</v>
      </c>
      <c r="V3" s="356" t="str">
        <f>'PL WB (нед)'!V3</f>
        <v>11.05-17.05</v>
      </c>
      <c r="W3" s="356" t="str">
        <f>'PL WB (нед)'!W3</f>
        <v>18.05-24.05</v>
      </c>
      <c r="X3" s="356" t="str">
        <f>'PL WB (нед)'!X3</f>
        <v>25.05-31.05</v>
      </c>
      <c r="Y3" s="356" t="str">
        <f>'PL WB (нед)'!Y3</f>
        <v>01.06-07.06</v>
      </c>
      <c r="Z3" s="356" t="str">
        <f>'PL WB (нед)'!Z3</f>
        <v>08.06-14.06</v>
      </c>
      <c r="AA3" s="356" t="str">
        <f>'PL WB (нед)'!AA3</f>
        <v>15.-06-21.06</v>
      </c>
      <c r="AB3" s="356" t="str">
        <f>'PL WB (нед)'!AB3</f>
        <v>22.06-28.06</v>
      </c>
      <c r="AC3" s="355">
        <f>'PL WB (нед)'!AC3</f>
        <v>0</v>
      </c>
      <c r="AD3" s="355">
        <f>'PL WB (нед)'!AD3</f>
        <v>0</v>
      </c>
      <c r="AE3" s="355">
        <f>'PL WB (нед)'!AE3</f>
        <v>0</v>
      </c>
      <c r="AF3" s="355">
        <f>'PL WB (нед)'!AF3</f>
        <v>0</v>
      </c>
      <c r="AG3" s="355">
        <f>'PL WB (нед)'!AG3</f>
        <v>0</v>
      </c>
      <c r="AH3" s="355">
        <f>'PL WB (нед)'!AH3</f>
        <v>0</v>
      </c>
      <c r="AI3" s="355">
        <f>'PL WB (нед)'!AI3</f>
        <v>0</v>
      </c>
      <c r="AJ3" s="355">
        <f>'PL WB (нед)'!AJ3</f>
        <v>0</v>
      </c>
      <c r="AK3" s="355">
        <f>'PL WB (нед)'!AK3</f>
        <v>0</v>
      </c>
      <c r="AL3" s="355">
        <f>'PL WB (нед)'!AL3</f>
        <v>0</v>
      </c>
      <c r="AM3" s="355">
        <f>'PL WB (нед)'!AM3</f>
        <v>0</v>
      </c>
      <c r="AN3" s="355">
        <f>'PL WB (нед)'!AN3</f>
        <v>0</v>
      </c>
      <c r="AO3" s="355">
        <f>'PL WB (нед)'!AO3</f>
        <v>0</v>
      </c>
      <c r="AP3" s="355">
        <f>'PL WB (нед)'!AP3</f>
        <v>0</v>
      </c>
      <c r="AQ3" s="355">
        <f>'PL WB (нед)'!AQ3</f>
        <v>0</v>
      </c>
      <c r="AR3" s="355">
        <f>'PL WB (нед)'!AR3</f>
        <v>0</v>
      </c>
      <c r="AS3" s="355">
        <f>'PL WB (нед)'!AS3</f>
        <v>0</v>
      </c>
      <c r="AT3" s="355">
        <f>'PL WB (нед)'!AT3</f>
        <v>0</v>
      </c>
      <c r="AU3" s="355">
        <f>'PL WB (нед)'!AU3</f>
        <v>0</v>
      </c>
      <c r="AV3" s="355">
        <f>'PL WB (нед)'!AV3</f>
        <v>0</v>
      </c>
      <c r="AW3" s="355">
        <f>'PL WB (нед)'!AW3</f>
        <v>0</v>
      </c>
      <c r="AX3" s="355">
        <f>'PL WB (нед)'!AX3</f>
        <v>0</v>
      </c>
      <c r="AY3" s="355">
        <f>'PL WB (нед)'!AY3</f>
        <v>0</v>
      </c>
      <c r="AZ3" s="355">
        <f>'PL WB (нед)'!AZ3</f>
        <v>0</v>
      </c>
      <c r="BA3" s="355">
        <f>'PL WB (нед)'!BA3</f>
        <v>0</v>
      </c>
      <c r="BB3" s="355">
        <f>'PL WB (нед)'!BB3</f>
        <v>0</v>
      </c>
      <c r="BC3" s="355" t="s">
        <v>129</v>
      </c>
    </row>
    <row r="4" spans="1:55" ht="13.5" customHeight="1" x14ac:dyDescent="0.25">
      <c r="A4" s="6" t="s">
        <v>72</v>
      </c>
      <c r="B4" s="103"/>
      <c r="C4" s="103">
        <f>'PL WB (нед)'!C10+'PL OZON (нед)'!C10</f>
        <v>192398.77</v>
      </c>
      <c r="D4" s="103">
        <f>'PL WB (нед)'!D10+'PL OZON (нед)'!D10</f>
        <v>0</v>
      </c>
      <c r="E4" s="103">
        <f>'PL WB (нед)'!E10+'PL OZON (нед)'!E10</f>
        <v>0</v>
      </c>
      <c r="F4" s="103">
        <f>'PL WB (нед)'!F10+'PL OZON (нед)'!F10</f>
        <v>0</v>
      </c>
      <c r="G4" s="103">
        <f>'PL WB (нед)'!G10+'PL OZON (нед)'!G10</f>
        <v>0</v>
      </c>
      <c r="H4" s="103">
        <f>'PL WB (нед)'!H10+'PL OZON (нед)'!H10</f>
        <v>0</v>
      </c>
      <c r="I4" s="103">
        <f>'PL WB (нед)'!I10+'PL OZON (нед)'!I10</f>
        <v>0</v>
      </c>
      <c r="J4" s="103">
        <f>'PL WB (нед)'!J10+'PL OZON (нед)'!J10</f>
        <v>0</v>
      </c>
      <c r="K4" s="103">
        <f>'PL WB (нед)'!K10+'PL OZON (нед)'!K10</f>
        <v>0</v>
      </c>
      <c r="L4" s="103">
        <f>'PL WB (нед)'!L10+'PL OZON (нед)'!L10</f>
        <v>0</v>
      </c>
      <c r="M4" s="103">
        <f>'PL WB (нед)'!M10+'PL OZON (нед)'!M10</f>
        <v>0</v>
      </c>
      <c r="N4" s="103">
        <f>'PL WB (нед)'!N10+'PL OZON (нед)'!N10</f>
        <v>0</v>
      </c>
      <c r="O4" s="103">
        <f>'PL WB (нед)'!O10+'PL OZON (нед)'!O10</f>
        <v>0</v>
      </c>
      <c r="P4" s="103">
        <f>'PL WB (нед)'!P10+'PL OZON (нед)'!P10</f>
        <v>0</v>
      </c>
      <c r="Q4" s="103">
        <f>'PL WB (нед)'!Q10+'PL OZON (нед)'!Q10</f>
        <v>0</v>
      </c>
      <c r="R4" s="103">
        <f>'PL WB (нед)'!R10+'PL OZON (нед)'!R10</f>
        <v>0</v>
      </c>
      <c r="S4" s="103">
        <f>'PL WB (нед)'!S10+'PL OZON (нед)'!S10</f>
        <v>0</v>
      </c>
      <c r="T4" s="103">
        <f>'PL WB (нед)'!T10+'PL OZON (нед)'!T10</f>
        <v>0</v>
      </c>
      <c r="U4" s="103">
        <f>'PL WB (нед)'!U10+'PL OZON (нед)'!U10</f>
        <v>0</v>
      </c>
      <c r="V4" s="103">
        <f>'PL WB (нед)'!V10+'PL OZON (нед)'!V10</f>
        <v>470514.9</v>
      </c>
      <c r="W4" s="103">
        <f>'PL WB (нед)'!W10+'PL OZON (нед)'!W10</f>
        <v>0</v>
      </c>
      <c r="X4" s="103">
        <f>'PL WB (нед)'!X10+'PL OZON (нед)'!X10</f>
        <v>0</v>
      </c>
      <c r="Y4" s="103">
        <f>'PL WB (нед)'!Y10+'PL OZON (нед)'!Y10</f>
        <v>0</v>
      </c>
      <c r="Z4" s="103">
        <f>'PL WB (нед)'!Z10+'PL OZON (нед)'!Z10</f>
        <v>0</v>
      </c>
      <c r="AA4" s="103">
        <f>'PL WB (нед)'!AA10+'PL OZON (нед)'!AA10</f>
        <v>0</v>
      </c>
      <c r="AB4" s="103">
        <f>'PL WB (нед)'!AB10+'PL OZON (нед)'!AB10</f>
        <v>0</v>
      </c>
      <c r="AC4" s="103">
        <f>'PL WB (нед)'!AC10+'PL OZON (нед)'!AC10</f>
        <v>0</v>
      </c>
      <c r="AD4" s="103">
        <f>'PL WB (нед)'!AD10+'PL OZON (нед)'!AD10</f>
        <v>0</v>
      </c>
      <c r="AE4" s="103">
        <f>'PL WB (нед)'!AE10+'PL OZON (нед)'!AE10</f>
        <v>0</v>
      </c>
      <c r="AF4" s="103">
        <f>'PL WB (нед)'!AF10+'PL OZON (нед)'!AF10</f>
        <v>0</v>
      </c>
      <c r="AG4" s="103">
        <f>'PL WB (нед)'!AG10+'PL OZON (нед)'!AG10</f>
        <v>0</v>
      </c>
      <c r="AH4" s="103">
        <f>'PL WB (нед)'!AH10+'PL OZON (нед)'!AH10</f>
        <v>0</v>
      </c>
      <c r="AI4" s="103">
        <f>'PL WB (нед)'!AI10+'PL OZON (нед)'!AI10</f>
        <v>0</v>
      </c>
      <c r="AJ4" s="103">
        <f>'PL WB (нед)'!AJ10+'PL OZON (нед)'!AJ10</f>
        <v>0</v>
      </c>
      <c r="AK4" s="103">
        <f>'PL WB (нед)'!AK10+'PL OZON (нед)'!AK10</f>
        <v>0</v>
      </c>
      <c r="AL4" s="103">
        <f>'PL WB (нед)'!AL10+'PL OZON (нед)'!AL10</f>
        <v>0</v>
      </c>
      <c r="AM4" s="103">
        <f>'PL WB (нед)'!AM10+'PL OZON (нед)'!AM10</f>
        <v>0</v>
      </c>
      <c r="AN4" s="103">
        <f>'PL WB (нед)'!AN10+'PL OZON (нед)'!AN10</f>
        <v>0</v>
      </c>
      <c r="AO4" s="103">
        <f>'PL WB (нед)'!AO10+'PL OZON (нед)'!AO10</f>
        <v>0</v>
      </c>
      <c r="AP4" s="103">
        <f>'PL WB (нед)'!AP10+'PL OZON (нед)'!AP10</f>
        <v>0</v>
      </c>
      <c r="AQ4" s="103">
        <f>'PL WB (нед)'!AQ10+'PL OZON (нед)'!AQ10</f>
        <v>0</v>
      </c>
      <c r="AR4" s="103">
        <f>'PL WB (нед)'!AR10+'PL OZON (нед)'!AR10</f>
        <v>0</v>
      </c>
      <c r="AS4" s="103">
        <f>'PL WB (нед)'!AS10+'PL OZON (нед)'!AS10</f>
        <v>0</v>
      </c>
      <c r="AT4" s="103">
        <f>'PL WB (нед)'!AT10+'PL OZON (нед)'!AT10</f>
        <v>0</v>
      </c>
      <c r="AU4" s="103">
        <f>'PL WB (нед)'!AU10+'PL OZON (нед)'!AU10</f>
        <v>0</v>
      </c>
      <c r="AV4" s="103">
        <f>'PL WB (нед)'!AV10+'PL OZON (нед)'!AV10</f>
        <v>0</v>
      </c>
      <c r="AW4" s="103">
        <f>'PL WB (нед)'!AW10+'PL OZON (нед)'!AW10</f>
        <v>0</v>
      </c>
      <c r="AX4" s="103">
        <f>'PL WB (нед)'!AX10+'PL OZON (нед)'!AX10</f>
        <v>0</v>
      </c>
      <c r="AY4" s="103">
        <f>'PL WB (нед)'!AY10+'PL OZON (нед)'!AY10</f>
        <v>0</v>
      </c>
      <c r="AZ4" s="103">
        <f>'PL WB (нед)'!AZ10+'PL OZON (нед)'!AZ10</f>
        <v>0</v>
      </c>
      <c r="BA4" s="103">
        <f>'PL WB (нед)'!BA10+'PL OZON (нед)'!BA10</f>
        <v>0</v>
      </c>
      <c r="BB4" s="103">
        <f>'PL WB (нед)'!BB10+'PL OZON (нед)'!BB10</f>
        <v>0</v>
      </c>
      <c r="BC4" s="103">
        <f>'PL WB (нед)'!BC10+'PL OZON (нед)'!BC10</f>
        <v>0</v>
      </c>
    </row>
    <row r="5" spans="1:55" ht="13.5" customHeight="1" x14ac:dyDescent="0.25">
      <c r="A5" s="23" t="s">
        <v>23</v>
      </c>
      <c r="B5" s="24"/>
      <c r="C5" s="63">
        <f>'PL WB (нед)'!C12+'PL OZON (нед)'!C12</f>
        <v>1750051.4400000002</v>
      </c>
      <c r="D5" s="63">
        <f>'PL WB (нед)'!D12+'PL OZON (нед)'!D12</f>
        <v>1699921.4400000002</v>
      </c>
      <c r="E5" s="63">
        <f>'PL WB (нед)'!E12+'PL OZON (нед)'!E12</f>
        <v>1636488.2800000003</v>
      </c>
      <c r="F5" s="63">
        <f>'PL WB (нед)'!F12+'PL OZON (нед)'!F12</f>
        <v>1578712.0800000003</v>
      </c>
      <c r="G5" s="63">
        <f>'PL WB (нед)'!G12+'PL OZON (нед)'!G12</f>
        <v>1522905.6300000004</v>
      </c>
      <c r="H5" s="63">
        <f>'PL WB (нед)'!H12+'PL OZON (нед)'!H12</f>
        <v>1464964.6300000004</v>
      </c>
      <c r="I5" s="63">
        <f>'PL WB (нед)'!I12+'PL OZON (нед)'!I12</f>
        <v>1407602.5700000003</v>
      </c>
      <c r="J5" s="63">
        <f>'PL WB (нед)'!J12+'PL OZON (нед)'!J12</f>
        <v>1351365.3300000003</v>
      </c>
      <c r="K5" s="63">
        <f>'PL WB (нед)'!K12+'PL OZON (нед)'!K12</f>
        <v>1301418.9100000004</v>
      </c>
      <c r="L5" s="63">
        <f>'PL WB (нед)'!L12+'PL OZON (нед)'!L12</f>
        <v>1251606.9100000004</v>
      </c>
      <c r="M5" s="63">
        <f>'PL WB (нед)'!M12+'PL OZON (нед)'!M12</f>
        <v>1204146.4500000004</v>
      </c>
      <c r="N5" s="63">
        <f>'PL WB (нед)'!N12+'PL OZON (нед)'!N12</f>
        <v>1151058.7000000004</v>
      </c>
      <c r="O5" s="63">
        <f>'PL WB (нед)'!O12+'PL OZON (нед)'!O12</f>
        <v>1109069.5100000005</v>
      </c>
      <c r="P5" s="63">
        <f>'PL WB (нед)'!P12+'PL OZON (нед)'!P12</f>
        <v>1080080.9700000004</v>
      </c>
      <c r="Q5" s="63">
        <f>'PL WB (нед)'!Q12+'PL OZON (нед)'!Q12</f>
        <v>1054386.4100000004</v>
      </c>
      <c r="R5" s="63">
        <f>'PL WB (нед)'!R12+'PL OZON (нед)'!R12</f>
        <v>1028078.6100000002</v>
      </c>
      <c r="S5" s="63">
        <f>'PL WB (нед)'!S12+'PL OZON (нед)'!S12</f>
        <v>1007032.0500000002</v>
      </c>
      <c r="T5" s="63">
        <f>'PL WB (нед)'!T12+'PL OZON (нед)'!T12</f>
        <v>991835.18000000017</v>
      </c>
      <c r="U5" s="63">
        <f>'PL WB (нед)'!U12+'PL OZON (нед)'!U12</f>
        <v>976898.7100000002</v>
      </c>
      <c r="V5" s="63">
        <f>'PL WB (нед)'!V12+'PL OZON (нед)'!V12</f>
        <v>1431659.2200000002</v>
      </c>
      <c r="W5" s="63">
        <f>'PL WB (нед)'!W12+'PL OZON (нед)'!W12</f>
        <v>1418660.11</v>
      </c>
      <c r="X5" s="63">
        <f>'PL WB (нед)'!X12+'PL OZON (нед)'!X12</f>
        <v>1381317.71</v>
      </c>
      <c r="Y5" s="63">
        <f>'PL WB (нед)'!Y12+'PL OZON (нед)'!Y12</f>
        <v>1364710</v>
      </c>
      <c r="Z5" s="63">
        <f>'PL WB (нед)'!Z12+'PL OZON (нед)'!Z12</f>
        <v>1343139.26</v>
      </c>
      <c r="AA5" s="63">
        <f>'PL WB (нед)'!AA12+'PL OZON (нед)'!AA12</f>
        <v>1343139.26</v>
      </c>
      <c r="AB5" s="63">
        <f>'PL WB (нед)'!AB12+'PL OZON (нед)'!AB12</f>
        <v>1343139.26</v>
      </c>
      <c r="AC5" s="63">
        <f>'PL WB (нед)'!AC12+'PL OZON (нед)'!AC12</f>
        <v>1343139.26</v>
      </c>
      <c r="AD5" s="63">
        <f>'PL WB (нед)'!AD12+'PL OZON (нед)'!AD12</f>
        <v>1343139.26</v>
      </c>
      <c r="AE5" s="63">
        <f>'PL WB (нед)'!AE12+'PL OZON (нед)'!AE12</f>
        <v>1343139.26</v>
      </c>
      <c r="AF5" s="63">
        <f>'PL WB (нед)'!AF12+'PL OZON (нед)'!AF12</f>
        <v>1343139.26</v>
      </c>
      <c r="AG5" s="63">
        <f>'PL WB (нед)'!AG12+'PL OZON (нед)'!AG12</f>
        <v>1343139.26</v>
      </c>
      <c r="AH5" s="63">
        <f>'PL WB (нед)'!AH12+'PL OZON (нед)'!AH12</f>
        <v>1343139.26</v>
      </c>
      <c r="AI5" s="63">
        <f>'PL WB (нед)'!AI12+'PL OZON (нед)'!AI12</f>
        <v>1343139.26</v>
      </c>
      <c r="AJ5" s="63">
        <f>'PL WB (нед)'!AJ12+'PL OZON (нед)'!AJ12</f>
        <v>1343139.26</v>
      </c>
      <c r="AK5" s="63">
        <f>'PL WB (нед)'!AK12+'PL OZON (нед)'!AK12</f>
        <v>1343139.26</v>
      </c>
      <c r="AL5" s="63">
        <f>'PL WB (нед)'!AL12+'PL OZON (нед)'!AL12</f>
        <v>1343139.26</v>
      </c>
      <c r="AM5" s="63">
        <f>'PL WB (нед)'!AM12+'PL OZON (нед)'!AM12</f>
        <v>1343139.26</v>
      </c>
      <c r="AN5" s="63">
        <f>'PL WB (нед)'!AN12+'PL OZON (нед)'!AN12</f>
        <v>1343139.26</v>
      </c>
      <c r="AO5" s="63">
        <f>'PL WB (нед)'!AO12+'PL OZON (нед)'!AO12</f>
        <v>1343139.26</v>
      </c>
      <c r="AP5" s="63">
        <f>'PL WB (нед)'!AP12+'PL OZON (нед)'!AP12</f>
        <v>1343139.26</v>
      </c>
      <c r="AQ5" s="63">
        <f>'PL WB (нед)'!AQ12+'PL OZON (нед)'!AQ12</f>
        <v>1343139.26</v>
      </c>
      <c r="AR5" s="63">
        <f>'PL WB (нед)'!AR12+'PL OZON (нед)'!AR12</f>
        <v>1343139.26</v>
      </c>
      <c r="AS5" s="63">
        <f>'PL WB (нед)'!AS12+'PL OZON (нед)'!AS12</f>
        <v>1343139.26</v>
      </c>
      <c r="AT5" s="63">
        <f>'PL WB (нед)'!AT12+'PL OZON (нед)'!AT12</f>
        <v>1343139.26</v>
      </c>
      <c r="AU5" s="63">
        <f>'PL WB (нед)'!AU12+'PL OZON (нед)'!AU12</f>
        <v>1343139.26</v>
      </c>
      <c r="AV5" s="63">
        <f>'PL WB (нед)'!AV12+'PL OZON (нед)'!AV12</f>
        <v>1343139.26</v>
      </c>
      <c r="AW5" s="63">
        <f>'PL WB (нед)'!AW12+'PL OZON (нед)'!AW12</f>
        <v>1343139.26</v>
      </c>
      <c r="AX5" s="63">
        <f>'PL WB (нед)'!AX12+'PL OZON (нед)'!AX12</f>
        <v>1343139.26</v>
      </c>
      <c r="AY5" s="63">
        <f>'PL WB (нед)'!AY12+'PL OZON (нед)'!AY12</f>
        <v>1343139.26</v>
      </c>
      <c r="AZ5" s="63">
        <f>'PL WB (нед)'!AZ12+'PL OZON (нед)'!AZ12</f>
        <v>1343139.26</v>
      </c>
      <c r="BA5" s="63">
        <f>'PL WB (нед)'!BA12+'PL OZON (нед)'!BA12</f>
        <v>1343139.26</v>
      </c>
      <c r="BB5" s="63">
        <f>'PL WB (нед)'!BB12+'PL OZON (нед)'!BB12</f>
        <v>1343139.26</v>
      </c>
      <c r="BC5" s="63">
        <f>'PL WB (нед)'!BC12+'PL OZON (нед)'!BC12</f>
        <v>1378616.53</v>
      </c>
    </row>
    <row r="6" spans="1:55" ht="13.5" customHeight="1" x14ac:dyDescent="0.25">
      <c r="A6" s="6"/>
      <c r="B6" s="7"/>
      <c r="C6" s="15"/>
      <c r="D6" s="9"/>
      <c r="E6" s="9"/>
      <c r="F6" s="9"/>
      <c r="G6" s="9"/>
      <c r="H6" s="15"/>
      <c r="I6" s="9"/>
      <c r="J6" s="9"/>
      <c r="K6" s="7"/>
      <c r="L6" s="9"/>
      <c r="M6" s="9"/>
      <c r="N6" s="9"/>
      <c r="O6" s="7"/>
      <c r="P6" s="9"/>
      <c r="Q6" s="9"/>
      <c r="R6" s="9"/>
      <c r="S6" s="7"/>
      <c r="T6" s="9"/>
      <c r="U6" s="9"/>
      <c r="V6" s="9"/>
      <c r="W6" s="9"/>
      <c r="X6" s="7"/>
      <c r="Y6" s="9"/>
      <c r="Z6" s="9"/>
      <c r="AA6" s="9"/>
      <c r="AB6" s="7"/>
      <c r="AC6" s="9"/>
      <c r="AD6" s="9"/>
      <c r="AE6" s="9"/>
      <c r="AF6" s="7"/>
      <c r="AG6" s="9"/>
      <c r="AH6" s="9"/>
      <c r="AI6" s="9"/>
      <c r="AJ6" s="9"/>
      <c r="AK6" s="7"/>
      <c r="AL6" s="9"/>
      <c r="AM6" s="9"/>
      <c r="AN6" s="9"/>
      <c r="AO6" s="7"/>
      <c r="AP6" s="9"/>
      <c r="AQ6" s="9"/>
      <c r="AR6" s="9"/>
      <c r="AS6" s="9"/>
      <c r="AT6" s="7"/>
      <c r="AU6" s="9"/>
      <c r="AV6" s="9"/>
      <c r="AW6" s="9"/>
      <c r="AX6" s="7"/>
      <c r="AY6" s="9"/>
      <c r="AZ6" s="9"/>
      <c r="BA6" s="9"/>
      <c r="BB6" s="9"/>
      <c r="BC6" s="9"/>
    </row>
    <row r="7" spans="1:55" ht="13.5" customHeight="1" x14ac:dyDescent="0.25">
      <c r="A7" s="26" t="s">
        <v>73</v>
      </c>
      <c r="B7" s="27"/>
      <c r="C7" s="14">
        <v>1967240.9357000005</v>
      </c>
      <c r="D7" s="64">
        <f>C42</f>
        <v>1994177.8957000005</v>
      </c>
      <c r="E7" s="64">
        <f t="shared" ref="E7:BC7" si="0">D42</f>
        <v>2100356.7557000006</v>
      </c>
      <c r="F7" s="64">
        <f t="shared" si="0"/>
        <v>2234359.3557000002</v>
      </c>
      <c r="G7" s="64">
        <f t="shared" si="0"/>
        <v>2340085.2357000005</v>
      </c>
      <c r="H7" s="65">
        <f t="shared" si="0"/>
        <v>2444316.6157000004</v>
      </c>
      <c r="I7" s="64">
        <f t="shared" si="0"/>
        <v>2568251.9457000005</v>
      </c>
      <c r="J7" s="64">
        <f t="shared" si="0"/>
        <v>2701831.7657000003</v>
      </c>
      <c r="K7" s="66">
        <f t="shared" si="0"/>
        <v>2827470.9057000005</v>
      </c>
      <c r="L7" s="64">
        <f t="shared" si="0"/>
        <v>2951779.9657000005</v>
      </c>
      <c r="M7" s="64">
        <f t="shared" si="0"/>
        <v>3065041.8357000006</v>
      </c>
      <c r="N7" s="64">
        <f t="shared" si="0"/>
        <v>3166917.6157000004</v>
      </c>
      <c r="O7" s="66">
        <f t="shared" si="0"/>
        <v>3264799.0757000004</v>
      </c>
      <c r="P7" s="64">
        <f t="shared" si="0"/>
        <v>3357449.8957000007</v>
      </c>
      <c r="Q7" s="64">
        <f t="shared" si="0"/>
        <v>3428328.6757000005</v>
      </c>
      <c r="R7" s="64">
        <f t="shared" si="0"/>
        <v>3485243.3357000006</v>
      </c>
      <c r="S7" s="66">
        <f t="shared" si="0"/>
        <v>3539892.4257000005</v>
      </c>
      <c r="T7" s="64">
        <f>S42</f>
        <v>3601048.8357000006</v>
      </c>
      <c r="U7" s="64">
        <f t="shared" si="0"/>
        <v>3389212.0757000004</v>
      </c>
      <c r="V7" s="64">
        <f t="shared" si="0"/>
        <v>3421065.4957000003</v>
      </c>
      <c r="W7" s="64">
        <f t="shared" si="0"/>
        <v>3295436.4657000001</v>
      </c>
      <c r="X7" s="66">
        <f t="shared" si="0"/>
        <v>3322139.5757000004</v>
      </c>
      <c r="Y7" s="64">
        <f t="shared" si="0"/>
        <v>3365885.2857000004</v>
      </c>
      <c r="Z7" s="64">
        <f t="shared" si="0"/>
        <v>3398661.5357000004</v>
      </c>
      <c r="AA7" s="64">
        <f t="shared" si="0"/>
        <v>3429860.8057000004</v>
      </c>
      <c r="AB7" s="66">
        <f t="shared" si="0"/>
        <v>3429860.8057000004</v>
      </c>
      <c r="AC7" s="64">
        <f t="shared" si="0"/>
        <v>3429860.8057000004</v>
      </c>
      <c r="AD7" s="64">
        <f t="shared" si="0"/>
        <v>3429860.8057000004</v>
      </c>
      <c r="AE7" s="64">
        <f t="shared" si="0"/>
        <v>3429860.8057000004</v>
      </c>
      <c r="AF7" s="66">
        <f t="shared" si="0"/>
        <v>3429860.8057000004</v>
      </c>
      <c r="AG7" s="64">
        <f t="shared" si="0"/>
        <v>3429860.8057000004</v>
      </c>
      <c r="AH7" s="64">
        <f t="shared" si="0"/>
        <v>3429860.8057000004</v>
      </c>
      <c r="AI7" s="64">
        <f t="shared" si="0"/>
        <v>3429860.8057000004</v>
      </c>
      <c r="AJ7" s="64">
        <f t="shared" si="0"/>
        <v>3429860.8057000004</v>
      </c>
      <c r="AK7" s="66">
        <f t="shared" si="0"/>
        <v>3429860.8057000004</v>
      </c>
      <c r="AL7" s="64">
        <f t="shared" si="0"/>
        <v>3429860.8057000004</v>
      </c>
      <c r="AM7" s="64">
        <f t="shared" si="0"/>
        <v>3429860.8057000004</v>
      </c>
      <c r="AN7" s="64">
        <f t="shared" si="0"/>
        <v>3429860.8057000004</v>
      </c>
      <c r="AO7" s="66">
        <f t="shared" si="0"/>
        <v>3429860.8057000004</v>
      </c>
      <c r="AP7" s="64">
        <f t="shared" si="0"/>
        <v>3429860.8057000004</v>
      </c>
      <c r="AQ7" s="64">
        <f t="shared" si="0"/>
        <v>3429860.8057000004</v>
      </c>
      <c r="AR7" s="64">
        <f t="shared" si="0"/>
        <v>3429860.8057000004</v>
      </c>
      <c r="AS7" s="64">
        <f t="shared" si="0"/>
        <v>3429860.8057000004</v>
      </c>
      <c r="AT7" s="66">
        <f t="shared" si="0"/>
        <v>3429860.8057000004</v>
      </c>
      <c r="AU7" s="64">
        <f t="shared" si="0"/>
        <v>3429860.8057000004</v>
      </c>
      <c r="AV7" s="64">
        <f t="shared" si="0"/>
        <v>3429860.8057000004</v>
      </c>
      <c r="AW7" s="64">
        <f t="shared" si="0"/>
        <v>3429860.8057000004</v>
      </c>
      <c r="AX7" s="66">
        <f t="shared" si="0"/>
        <v>3429860.8057000004</v>
      </c>
      <c r="AY7" s="64">
        <f t="shared" si="0"/>
        <v>3429860.8057000004</v>
      </c>
      <c r="AZ7" s="64">
        <f t="shared" si="0"/>
        <v>3429860.8057000004</v>
      </c>
      <c r="BA7" s="64">
        <f t="shared" si="0"/>
        <v>3429860.8057000004</v>
      </c>
      <c r="BB7" s="64">
        <f t="shared" si="0"/>
        <v>3429860.8057000004</v>
      </c>
      <c r="BC7" s="64">
        <f t="shared" si="0"/>
        <v>3429860.8057000004</v>
      </c>
    </row>
    <row r="8" spans="1:55" ht="13.5" customHeight="1" x14ac:dyDescent="0.25">
      <c r="A8" s="30"/>
      <c r="B8" s="31"/>
      <c r="C8" s="15"/>
      <c r="D8" s="9"/>
      <c r="E8" s="9"/>
      <c r="F8" s="9"/>
      <c r="G8" s="9"/>
      <c r="H8" s="15"/>
      <c r="I8" s="9"/>
      <c r="J8" s="9"/>
      <c r="K8" s="7"/>
      <c r="L8" s="9"/>
      <c r="M8" s="9"/>
      <c r="N8" s="9"/>
      <c r="O8" s="7"/>
      <c r="P8" s="9"/>
      <c r="Q8" s="9"/>
      <c r="R8" s="9"/>
      <c r="S8" s="7"/>
      <c r="T8" s="9"/>
      <c r="U8" s="9"/>
      <c r="V8" s="9"/>
      <c r="W8" s="9"/>
      <c r="X8" s="7"/>
      <c r="Y8" s="9"/>
      <c r="Z8" s="9"/>
      <c r="AA8" s="9"/>
      <c r="AB8" s="7"/>
      <c r="AC8" s="9"/>
      <c r="AD8" s="9"/>
      <c r="AE8" s="9"/>
      <c r="AF8" s="7"/>
      <c r="AG8" s="9"/>
      <c r="AH8" s="9"/>
      <c r="AI8" s="9"/>
      <c r="AJ8" s="9"/>
      <c r="AK8" s="7"/>
      <c r="AL8" s="9"/>
      <c r="AM8" s="9"/>
      <c r="AN8" s="9"/>
      <c r="AO8" s="7"/>
      <c r="AP8" s="9"/>
      <c r="AQ8" s="9"/>
      <c r="AR8" s="9"/>
      <c r="AS8" s="9"/>
      <c r="AT8" s="7"/>
      <c r="AU8" s="9"/>
      <c r="AV8" s="9"/>
      <c r="AW8" s="9"/>
      <c r="AX8" s="7"/>
      <c r="AY8" s="9"/>
      <c r="AZ8" s="9"/>
      <c r="BA8" s="9"/>
      <c r="BB8" s="9"/>
      <c r="BC8" s="9"/>
    </row>
    <row r="9" spans="1:55" ht="13.5" customHeight="1" x14ac:dyDescent="0.25">
      <c r="A9" s="67" t="s">
        <v>101</v>
      </c>
      <c r="B9" s="31"/>
      <c r="C9" s="68">
        <f>'PL WB (нед)'!C30+'PL OZON (нед)'!C30</f>
        <v>31286.58</v>
      </c>
      <c r="D9" s="68">
        <f>'PL WB (нед)'!D30+'PL OZON (нед)'!D30</f>
        <v>120536.43</v>
      </c>
      <c r="E9" s="68">
        <f>'PL WB (нед)'!E30+'PL OZON (нед)'!E30</f>
        <v>151466.28</v>
      </c>
      <c r="F9" s="68">
        <f>'PL WB (нед)'!F30+'PL OZON (нед)'!F30</f>
        <v>122932.22</v>
      </c>
      <c r="G9" s="68">
        <f>'PL WB (нед)'!G30+'PL OZON (нед)'!G30</f>
        <v>123720.12000000001</v>
      </c>
      <c r="H9" s="68">
        <f>'PL WB (нед)'!H30+'PL OZON (нед)'!H30</f>
        <v>139323.16</v>
      </c>
      <c r="I9" s="68">
        <f>'PL WB (нед)'!I30+'PL OZON (нед)'!I30</f>
        <v>150601.46</v>
      </c>
      <c r="J9" s="68">
        <f>'PL WB (нед)'!J30+'PL OZON (нед)'!J30</f>
        <v>141210.31</v>
      </c>
      <c r="K9" s="68">
        <f>'PL WB (нед)'!K30+'PL OZON (нед)'!K30</f>
        <v>136883.57</v>
      </c>
      <c r="L9" s="68">
        <f>'PL WB (нед)'!L30+'PL OZON (нед)'!L30</f>
        <v>127200.87000000001</v>
      </c>
      <c r="M9" s="68">
        <f>'PL WB (нед)'!M30+'PL OZON (нед)'!M30</f>
        <v>113873.4</v>
      </c>
      <c r="N9" s="68">
        <f>'PL WB (нед)'!N30+'PL OZON (нед)'!N30</f>
        <v>108573.58000000002</v>
      </c>
      <c r="O9" s="68">
        <f>'PL WB (нед)'!O30+'PL OZON (нед)'!O30</f>
        <v>102452.93</v>
      </c>
      <c r="P9" s="68">
        <f>'PL WB (нед)'!P30+'PL OZON (нед)'!P30</f>
        <v>78088.649999999994</v>
      </c>
      <c r="Q9" s="68">
        <f>'PL WB (нед)'!Q30+'PL OZON (нед)'!Q30</f>
        <v>63328.289999999994</v>
      </c>
      <c r="R9" s="68">
        <f>'PL WB (нед)'!R30+'PL OZON (нед)'!R30</f>
        <v>60942.34</v>
      </c>
      <c r="S9" s="68">
        <f>'PL WB (нед)'!S30+'PL OZON (нед)'!S30</f>
        <v>68157.119999999995</v>
      </c>
      <c r="T9" s="68">
        <f>'PL WB (нед)'!T30+'PL OZON (нед)'!T30</f>
        <v>39384.840000000004</v>
      </c>
      <c r="U9" s="68">
        <f>'PL WB (нед)'!U30+'PL OZON (нед)'!U30</f>
        <v>34982.36</v>
      </c>
      <c r="V9" s="68">
        <f>'PL WB (нед)'!V30+'PL OZON (нед)'!V30</f>
        <v>38461.03</v>
      </c>
      <c r="W9" s="68">
        <f>'PL WB (нед)'!W30+'PL OZON (нед)'!W30</f>
        <v>29314.49</v>
      </c>
      <c r="X9" s="68">
        <f>'PL WB (нед)'!X30+'PL OZON (нед)'!X30</f>
        <v>53039.130000000005</v>
      </c>
      <c r="Y9" s="68">
        <f>'PL WB (нед)'!Y30+'PL OZON (нед)'!Y30</f>
        <v>35573.03</v>
      </c>
      <c r="Z9" s="68">
        <f>'PL WB (нед)'!Z30+'PL OZON (нед)'!Z30</f>
        <v>34562.21</v>
      </c>
      <c r="AA9" s="68">
        <f>'PL WB (нед)'!AA30+'PL OZON (нед)'!AA30</f>
        <v>0</v>
      </c>
      <c r="AB9" s="68">
        <f>'PL WB (нед)'!AB30+'PL OZON (нед)'!AB30</f>
        <v>0</v>
      </c>
      <c r="AC9" s="68">
        <f>'PL WB (нед)'!AC30+'PL OZON (нед)'!AC30</f>
        <v>0</v>
      </c>
      <c r="AD9" s="68">
        <f>'PL WB (нед)'!AD30+'PL OZON (нед)'!AD30</f>
        <v>0</v>
      </c>
      <c r="AE9" s="68">
        <f>'PL WB (нед)'!AE30+'PL OZON (нед)'!AE30</f>
        <v>0</v>
      </c>
      <c r="AF9" s="68">
        <f>'PL WB (нед)'!AF30+'PL OZON (нед)'!AF30</f>
        <v>0</v>
      </c>
      <c r="AG9" s="68">
        <f>'PL WB (нед)'!AG30+'PL OZON (нед)'!AG30</f>
        <v>0</v>
      </c>
      <c r="AH9" s="68">
        <f>'PL WB (нед)'!AH30+'PL OZON (нед)'!AH30</f>
        <v>0</v>
      </c>
      <c r="AI9" s="68">
        <f>'PL WB (нед)'!AI30+'PL OZON (нед)'!AI30</f>
        <v>0</v>
      </c>
      <c r="AJ9" s="68">
        <f>'PL WB (нед)'!AJ30+'PL OZON (нед)'!AJ30</f>
        <v>0</v>
      </c>
      <c r="AK9" s="68">
        <f>'PL WB (нед)'!AK30+'PL OZON (нед)'!AK30</f>
        <v>0</v>
      </c>
      <c r="AL9" s="68">
        <f>'PL WB (нед)'!AL30+'PL OZON (нед)'!AL30</f>
        <v>0</v>
      </c>
      <c r="AM9" s="68">
        <f>'PL WB (нед)'!AM30+'PL OZON (нед)'!AM30</f>
        <v>0</v>
      </c>
      <c r="AN9" s="68">
        <f>'PL WB (нед)'!AN30+'PL OZON (нед)'!AN30</f>
        <v>0</v>
      </c>
      <c r="AO9" s="68">
        <f>'PL WB (нед)'!AO30+'PL OZON (нед)'!AO30</f>
        <v>0</v>
      </c>
      <c r="AP9" s="68">
        <f>'PL WB (нед)'!AP30+'PL OZON (нед)'!AP30</f>
        <v>0</v>
      </c>
      <c r="AQ9" s="68">
        <f>'PL WB (нед)'!AQ30+'PL OZON (нед)'!AQ30</f>
        <v>0</v>
      </c>
      <c r="AR9" s="68">
        <f>'PL WB (нед)'!AR30+'PL OZON (нед)'!AR30</f>
        <v>0</v>
      </c>
      <c r="AS9" s="68">
        <f>'PL WB (нед)'!AS30+'PL OZON (нед)'!AS30</f>
        <v>0</v>
      </c>
      <c r="AT9" s="68">
        <f>'PL WB (нед)'!AT30+'PL OZON (нед)'!AT30</f>
        <v>0</v>
      </c>
      <c r="AU9" s="68">
        <f>'PL WB (нед)'!AU30+'PL OZON (нед)'!AU30</f>
        <v>0</v>
      </c>
      <c r="AV9" s="68">
        <f>'PL WB (нед)'!AV30+'PL OZON (нед)'!AV30</f>
        <v>0</v>
      </c>
      <c r="AW9" s="68">
        <f>'PL WB (нед)'!AW30+'PL OZON (нед)'!AW30</f>
        <v>0</v>
      </c>
      <c r="AX9" s="68">
        <f>'PL WB (нед)'!AX30+'PL OZON (нед)'!AX30</f>
        <v>0</v>
      </c>
      <c r="AY9" s="68">
        <f>'PL WB (нед)'!AY30+'PL OZON (нед)'!AY30</f>
        <v>0</v>
      </c>
      <c r="AZ9" s="68">
        <f>'PL WB (нед)'!AZ30+'PL OZON (нед)'!AZ30</f>
        <v>0</v>
      </c>
      <c r="BA9" s="68">
        <f>'PL WB (нед)'!BA30+'PL OZON (нед)'!BA30</f>
        <v>0</v>
      </c>
      <c r="BB9" s="68">
        <f>'PL WB (нед)'!BB30+'PL OZON (нед)'!BB30</f>
        <v>0</v>
      </c>
      <c r="BC9" s="68">
        <f>'PL WB (нед)'!BC30+'PL OZON (нед)'!BC30</f>
        <v>0</v>
      </c>
    </row>
    <row r="10" spans="1:55" ht="13.5" customHeight="1" x14ac:dyDescent="0.25">
      <c r="A10" s="30"/>
      <c r="B10" s="31"/>
      <c r="C10" s="15"/>
      <c r="D10" s="9"/>
      <c r="E10" s="9"/>
      <c r="F10" s="9"/>
      <c r="G10" s="9"/>
      <c r="H10" s="15"/>
      <c r="I10" s="9"/>
      <c r="J10" s="9"/>
      <c r="K10" s="7"/>
      <c r="L10" s="9"/>
      <c r="M10" s="9"/>
      <c r="N10" s="9"/>
      <c r="O10" s="7"/>
      <c r="P10" s="9"/>
      <c r="Q10" s="9"/>
      <c r="R10" s="9"/>
      <c r="S10" s="7"/>
      <c r="T10" s="9"/>
      <c r="U10" s="9"/>
      <c r="V10" s="9"/>
      <c r="W10" s="9"/>
      <c r="X10" s="7"/>
      <c r="Y10" s="9"/>
      <c r="Z10" s="9"/>
      <c r="AA10" s="9"/>
      <c r="AB10" s="7"/>
      <c r="AC10" s="9"/>
      <c r="AD10" s="9"/>
      <c r="AE10" s="9"/>
      <c r="AF10" s="7"/>
      <c r="AG10" s="9"/>
      <c r="AH10" s="9"/>
      <c r="AI10" s="9"/>
      <c r="AJ10" s="9"/>
      <c r="AK10" s="7"/>
      <c r="AL10" s="9"/>
      <c r="AM10" s="9"/>
      <c r="AN10" s="9"/>
      <c r="AO10" s="7"/>
      <c r="AP10" s="9"/>
      <c r="AQ10" s="9"/>
      <c r="AR10" s="9"/>
      <c r="AS10" s="9"/>
      <c r="AT10" s="7"/>
      <c r="AU10" s="9"/>
      <c r="AV10" s="9"/>
      <c r="AW10" s="9"/>
      <c r="AX10" s="7"/>
      <c r="AY10" s="9"/>
      <c r="AZ10" s="9"/>
      <c r="BA10" s="9"/>
      <c r="BB10" s="9"/>
      <c r="BC10" s="9"/>
    </row>
    <row r="11" spans="1:55" ht="13.5" customHeight="1" x14ac:dyDescent="0.25">
      <c r="A11" s="69" t="s">
        <v>74</v>
      </c>
      <c r="B11" s="27"/>
      <c r="C11" s="65">
        <f>C7+C9</f>
        <v>1998527.5157000006</v>
      </c>
      <c r="D11" s="64">
        <f t="shared" ref="D11:BB11" si="1">D7+D9</f>
        <v>2114714.3257000004</v>
      </c>
      <c r="E11" s="64">
        <f t="shared" si="1"/>
        <v>2251823.0357000004</v>
      </c>
      <c r="F11" s="64">
        <f t="shared" si="1"/>
        <v>2357291.5757000004</v>
      </c>
      <c r="G11" s="64">
        <f t="shared" si="1"/>
        <v>2463805.3557000007</v>
      </c>
      <c r="H11" s="65">
        <f t="shared" si="1"/>
        <v>2583639.7757000006</v>
      </c>
      <c r="I11" s="64">
        <f t="shared" si="1"/>
        <v>2718853.4057000005</v>
      </c>
      <c r="J11" s="64">
        <f t="shared" si="1"/>
        <v>2843042.0757000004</v>
      </c>
      <c r="K11" s="66">
        <f t="shared" si="1"/>
        <v>2964354.4757000003</v>
      </c>
      <c r="L11" s="64">
        <f t="shared" si="1"/>
        <v>3078980.8357000006</v>
      </c>
      <c r="M11" s="64">
        <f t="shared" si="1"/>
        <v>3178915.2357000005</v>
      </c>
      <c r="N11" s="64">
        <f t="shared" si="1"/>
        <v>3275491.1957000005</v>
      </c>
      <c r="O11" s="66">
        <f t="shared" si="1"/>
        <v>3367252.0057000006</v>
      </c>
      <c r="P11" s="64">
        <f t="shared" si="1"/>
        <v>3435538.5457000006</v>
      </c>
      <c r="Q11" s="64">
        <f t="shared" si="1"/>
        <v>3491656.9657000005</v>
      </c>
      <c r="R11" s="64">
        <f t="shared" si="1"/>
        <v>3546185.6757000005</v>
      </c>
      <c r="S11" s="66">
        <f t="shared" si="1"/>
        <v>3608049.5457000006</v>
      </c>
      <c r="T11" s="64">
        <f>T7+T9</f>
        <v>3640433.6757000005</v>
      </c>
      <c r="U11" s="64">
        <f t="shared" si="1"/>
        <v>3424194.4357000003</v>
      </c>
      <c r="V11" s="64">
        <f t="shared" si="1"/>
        <v>3459526.5257000001</v>
      </c>
      <c r="W11" s="64">
        <f t="shared" si="1"/>
        <v>3324750.9557000003</v>
      </c>
      <c r="X11" s="66">
        <f t="shared" si="1"/>
        <v>3375178.7057000003</v>
      </c>
      <c r="Y11" s="64">
        <f t="shared" si="1"/>
        <v>3401458.3157000002</v>
      </c>
      <c r="Z11" s="64">
        <f t="shared" si="1"/>
        <v>3433223.7457000003</v>
      </c>
      <c r="AA11" s="64">
        <f t="shared" si="1"/>
        <v>3429860.8057000004</v>
      </c>
      <c r="AB11" s="66">
        <f t="shared" si="1"/>
        <v>3429860.8057000004</v>
      </c>
      <c r="AC11" s="64">
        <f t="shared" si="1"/>
        <v>3429860.8057000004</v>
      </c>
      <c r="AD11" s="64">
        <f t="shared" si="1"/>
        <v>3429860.8057000004</v>
      </c>
      <c r="AE11" s="64">
        <f t="shared" si="1"/>
        <v>3429860.8057000004</v>
      </c>
      <c r="AF11" s="66">
        <f t="shared" si="1"/>
        <v>3429860.8057000004</v>
      </c>
      <c r="AG11" s="64">
        <f t="shared" si="1"/>
        <v>3429860.8057000004</v>
      </c>
      <c r="AH11" s="64">
        <f t="shared" si="1"/>
        <v>3429860.8057000004</v>
      </c>
      <c r="AI11" s="64">
        <f t="shared" si="1"/>
        <v>3429860.8057000004</v>
      </c>
      <c r="AJ11" s="64">
        <f t="shared" si="1"/>
        <v>3429860.8057000004</v>
      </c>
      <c r="AK11" s="66">
        <f t="shared" si="1"/>
        <v>3429860.8057000004</v>
      </c>
      <c r="AL11" s="64">
        <f t="shared" si="1"/>
        <v>3429860.8057000004</v>
      </c>
      <c r="AM11" s="64">
        <f t="shared" si="1"/>
        <v>3429860.8057000004</v>
      </c>
      <c r="AN11" s="64">
        <f t="shared" si="1"/>
        <v>3429860.8057000004</v>
      </c>
      <c r="AO11" s="66">
        <f t="shared" si="1"/>
        <v>3429860.8057000004</v>
      </c>
      <c r="AP11" s="64">
        <f t="shared" si="1"/>
        <v>3429860.8057000004</v>
      </c>
      <c r="AQ11" s="64">
        <f t="shared" si="1"/>
        <v>3429860.8057000004</v>
      </c>
      <c r="AR11" s="64">
        <f t="shared" si="1"/>
        <v>3429860.8057000004</v>
      </c>
      <c r="AS11" s="64">
        <f t="shared" si="1"/>
        <v>3429860.8057000004</v>
      </c>
      <c r="AT11" s="66">
        <f t="shared" si="1"/>
        <v>3429860.8057000004</v>
      </c>
      <c r="AU11" s="64">
        <f t="shared" si="1"/>
        <v>3429860.8057000004</v>
      </c>
      <c r="AV11" s="64">
        <f t="shared" si="1"/>
        <v>3429860.8057000004</v>
      </c>
      <c r="AW11" s="64">
        <f t="shared" si="1"/>
        <v>3429860.8057000004</v>
      </c>
      <c r="AX11" s="66">
        <f t="shared" si="1"/>
        <v>3429860.8057000004</v>
      </c>
      <c r="AY11" s="64">
        <f t="shared" si="1"/>
        <v>3429860.8057000004</v>
      </c>
      <c r="AZ11" s="64">
        <f t="shared" si="1"/>
        <v>3429860.8057000004</v>
      </c>
      <c r="BA11" s="64">
        <f t="shared" si="1"/>
        <v>3429860.8057000004</v>
      </c>
      <c r="BB11" s="64">
        <f t="shared" si="1"/>
        <v>3429860.8057000004</v>
      </c>
      <c r="BC11" s="64">
        <f t="shared" ref="BC11" si="2">BC7+BC9</f>
        <v>3429860.8057000004</v>
      </c>
    </row>
    <row r="12" spans="1:55" ht="13.5" customHeight="1" x14ac:dyDescent="0.25">
      <c r="A12" s="6"/>
      <c r="B12" s="7"/>
      <c r="C12" s="15"/>
      <c r="D12" s="9"/>
      <c r="E12" s="9"/>
      <c r="F12" s="9"/>
      <c r="G12" s="9"/>
      <c r="H12" s="15"/>
      <c r="I12" s="9"/>
      <c r="J12" s="9"/>
      <c r="K12" s="7"/>
      <c r="L12" s="9"/>
      <c r="M12" s="9"/>
      <c r="N12" s="9"/>
      <c r="O12" s="7"/>
      <c r="P12" s="9"/>
      <c r="Q12" s="9"/>
      <c r="R12" s="9"/>
      <c r="S12" s="7"/>
      <c r="T12" s="9"/>
      <c r="U12" s="9"/>
      <c r="V12" s="9"/>
      <c r="W12" s="9"/>
      <c r="X12" s="7"/>
      <c r="Y12" s="9"/>
      <c r="Z12" s="9"/>
      <c r="AA12" s="9"/>
      <c r="AB12" s="7"/>
      <c r="AC12" s="9"/>
      <c r="AD12" s="9"/>
      <c r="AE12" s="9"/>
      <c r="AF12" s="7"/>
      <c r="AG12" s="9"/>
      <c r="AH12" s="9"/>
      <c r="AI12" s="9"/>
      <c r="AJ12" s="9"/>
      <c r="AK12" s="7"/>
      <c r="AL12" s="9"/>
      <c r="AM12" s="9"/>
      <c r="AN12" s="9"/>
      <c r="AO12" s="7"/>
      <c r="AP12" s="9"/>
      <c r="AQ12" s="9"/>
      <c r="AR12" s="9"/>
      <c r="AS12" s="9"/>
      <c r="AT12" s="7"/>
      <c r="AU12" s="9"/>
      <c r="AV12" s="9"/>
      <c r="AW12" s="9"/>
      <c r="AX12" s="7"/>
      <c r="AY12" s="9"/>
      <c r="AZ12" s="9"/>
      <c r="BA12" s="9"/>
      <c r="BB12" s="9"/>
      <c r="BC12" s="9"/>
    </row>
    <row r="13" spans="1:55" ht="13.5" customHeight="1" x14ac:dyDescent="0.25">
      <c r="A13" s="37" t="s">
        <v>75</v>
      </c>
      <c r="B13" s="38"/>
      <c r="C13" s="70">
        <f t="shared" ref="C13:AH13" si="3">SUM(C14:C19)</f>
        <v>634</v>
      </c>
      <c r="D13" s="70">
        <f t="shared" si="3"/>
        <v>1139</v>
      </c>
      <c r="E13" s="70">
        <f t="shared" si="3"/>
        <v>2225</v>
      </c>
      <c r="F13" s="70">
        <f t="shared" si="3"/>
        <v>2475</v>
      </c>
      <c r="G13" s="70">
        <f t="shared" si="3"/>
        <v>5374</v>
      </c>
      <c r="H13" s="70">
        <f t="shared" si="3"/>
        <v>2254</v>
      </c>
      <c r="I13" s="70">
        <f t="shared" si="3"/>
        <v>3404</v>
      </c>
      <c r="J13" s="70">
        <f t="shared" si="3"/>
        <v>1721</v>
      </c>
      <c r="K13" s="70">
        <f t="shared" si="3"/>
        <v>536</v>
      </c>
      <c r="L13" s="70">
        <f t="shared" si="3"/>
        <v>1608</v>
      </c>
      <c r="M13" s="70">
        <f t="shared" si="3"/>
        <v>840</v>
      </c>
      <c r="N13" s="70">
        <f t="shared" si="3"/>
        <v>330</v>
      </c>
      <c r="O13" s="70">
        <f t="shared" si="3"/>
        <v>439</v>
      </c>
      <c r="P13" s="70">
        <f t="shared" si="3"/>
        <v>108</v>
      </c>
      <c r="Q13" s="70">
        <f t="shared" si="3"/>
        <v>126</v>
      </c>
      <c r="R13" s="70">
        <f t="shared" si="3"/>
        <v>141</v>
      </c>
      <c r="S13" s="70">
        <f t="shared" si="3"/>
        <v>152</v>
      </c>
      <c r="T13" s="70">
        <f t="shared" si="3"/>
        <v>0</v>
      </c>
      <c r="U13" s="70">
        <f t="shared" si="3"/>
        <v>0</v>
      </c>
      <c r="V13" s="70">
        <f t="shared" si="3"/>
        <v>0</v>
      </c>
      <c r="W13" s="70">
        <f t="shared" si="3"/>
        <v>0</v>
      </c>
      <c r="X13" s="70">
        <f t="shared" si="3"/>
        <v>1032</v>
      </c>
      <c r="Y13" s="70">
        <f t="shared" si="3"/>
        <v>0</v>
      </c>
      <c r="Z13" s="70">
        <f t="shared" si="3"/>
        <v>0</v>
      </c>
      <c r="AA13" s="70">
        <f t="shared" si="3"/>
        <v>0</v>
      </c>
      <c r="AB13" s="70">
        <f t="shared" si="3"/>
        <v>0</v>
      </c>
      <c r="AC13" s="70">
        <f t="shared" si="3"/>
        <v>0</v>
      </c>
      <c r="AD13" s="70">
        <f t="shared" si="3"/>
        <v>0</v>
      </c>
      <c r="AE13" s="70">
        <f t="shared" si="3"/>
        <v>0</v>
      </c>
      <c r="AF13" s="70">
        <f t="shared" si="3"/>
        <v>0</v>
      </c>
      <c r="AG13" s="70">
        <f t="shared" si="3"/>
        <v>0</v>
      </c>
      <c r="AH13" s="70">
        <f t="shared" si="3"/>
        <v>0</v>
      </c>
      <c r="AI13" s="70">
        <f t="shared" ref="AI13:BB13" si="4">SUM(AI14:AI19)</f>
        <v>0</v>
      </c>
      <c r="AJ13" s="70">
        <f t="shared" si="4"/>
        <v>0</v>
      </c>
      <c r="AK13" s="70">
        <f t="shared" si="4"/>
        <v>0</v>
      </c>
      <c r="AL13" s="70">
        <f t="shared" si="4"/>
        <v>0</v>
      </c>
      <c r="AM13" s="70">
        <f t="shared" si="4"/>
        <v>0</v>
      </c>
      <c r="AN13" s="70">
        <f t="shared" si="4"/>
        <v>0</v>
      </c>
      <c r="AO13" s="70">
        <f t="shared" si="4"/>
        <v>0</v>
      </c>
      <c r="AP13" s="70">
        <f t="shared" si="4"/>
        <v>0</v>
      </c>
      <c r="AQ13" s="70">
        <f t="shared" si="4"/>
        <v>0</v>
      </c>
      <c r="AR13" s="70">
        <f t="shared" si="4"/>
        <v>0</v>
      </c>
      <c r="AS13" s="70">
        <f t="shared" si="4"/>
        <v>0</v>
      </c>
      <c r="AT13" s="70">
        <f t="shared" si="4"/>
        <v>0</v>
      </c>
      <c r="AU13" s="70">
        <f t="shared" si="4"/>
        <v>0</v>
      </c>
      <c r="AV13" s="70">
        <f t="shared" si="4"/>
        <v>0</v>
      </c>
      <c r="AW13" s="70">
        <f t="shared" si="4"/>
        <v>0</v>
      </c>
      <c r="AX13" s="70">
        <f t="shared" si="4"/>
        <v>0</v>
      </c>
      <c r="AY13" s="70">
        <f t="shared" si="4"/>
        <v>0</v>
      </c>
      <c r="AZ13" s="70">
        <f t="shared" si="4"/>
        <v>0</v>
      </c>
      <c r="BA13" s="70">
        <f t="shared" si="4"/>
        <v>0</v>
      </c>
      <c r="BB13" s="70">
        <f t="shared" si="4"/>
        <v>0</v>
      </c>
      <c r="BC13" s="70">
        <f t="shared" ref="BC13" si="5">SUM(BC14:BC19)</f>
        <v>0</v>
      </c>
    </row>
    <row r="14" spans="1:55" ht="13.5" customHeight="1" x14ac:dyDescent="0.25">
      <c r="A14" s="11" t="s">
        <v>46</v>
      </c>
      <c r="B14" s="41"/>
      <c r="C14" s="8">
        <f>'PL WB (нед)'!C47+'PL OZON (нед)'!C47</f>
        <v>0</v>
      </c>
      <c r="D14" s="8">
        <f>'PL WB (нед)'!D47+'PL OZON (нед)'!D47</f>
        <v>0</v>
      </c>
      <c r="E14" s="8">
        <f>'PL WB (нед)'!E47+'PL OZON (нед)'!E47</f>
        <v>0</v>
      </c>
      <c r="F14" s="8">
        <f>'PL WB (нед)'!F47+'PL OZON (нед)'!F47</f>
        <v>0</v>
      </c>
      <c r="G14" s="8">
        <f>'PL WB (нед)'!G47+'PL OZON (нед)'!G47</f>
        <v>0</v>
      </c>
      <c r="H14" s="8">
        <f>'PL WB (нед)'!H47+'PL OZON (нед)'!H47</f>
        <v>0</v>
      </c>
      <c r="I14" s="8">
        <f>'PL WB (нед)'!I47+'PL OZON (нед)'!I47</f>
        <v>0</v>
      </c>
      <c r="J14" s="8">
        <f>'PL WB (нед)'!J47+'PL OZON (нед)'!J47</f>
        <v>0</v>
      </c>
      <c r="K14" s="8">
        <f>'PL WB (нед)'!K47+'PL OZON (нед)'!K47</f>
        <v>0</v>
      </c>
      <c r="L14" s="8">
        <f>'PL WB (нед)'!L47+'PL OZON (нед)'!L47</f>
        <v>0</v>
      </c>
      <c r="M14" s="8">
        <f>'PL WB (нед)'!M47+'PL OZON (нед)'!M47</f>
        <v>0</v>
      </c>
      <c r="N14" s="8">
        <f>'PL WB (нед)'!N47+'PL OZON (нед)'!N47</f>
        <v>0</v>
      </c>
      <c r="O14" s="8">
        <f>'PL WB (нед)'!O47+'PL OZON (нед)'!O47</f>
        <v>0</v>
      </c>
      <c r="P14" s="8">
        <f>'PL WB (нед)'!P47+'PL OZON (нед)'!P47</f>
        <v>0</v>
      </c>
      <c r="Q14" s="8">
        <f>'PL WB (нед)'!Q47+'PL OZON (нед)'!Q47</f>
        <v>0</v>
      </c>
      <c r="R14" s="8">
        <f>'PL WB (нед)'!R47+'PL OZON (нед)'!R47</f>
        <v>0</v>
      </c>
      <c r="S14" s="8">
        <f>'PL WB (нед)'!S47+'PL OZON (нед)'!S47</f>
        <v>0</v>
      </c>
      <c r="T14" s="8">
        <f>'PL WB (нед)'!T47+'PL OZON (нед)'!T47</f>
        <v>0</v>
      </c>
      <c r="U14" s="8">
        <f>'PL WB (нед)'!U47+'PL OZON (нед)'!U47</f>
        <v>0</v>
      </c>
      <c r="V14" s="8">
        <f>'PL WB (нед)'!V47+'PL OZON (нед)'!V47</f>
        <v>0</v>
      </c>
      <c r="W14" s="8">
        <f>'PL WB (нед)'!W47+'PL OZON (нед)'!W47</f>
        <v>0</v>
      </c>
      <c r="X14" s="8">
        <f>'PL WB (нед)'!X47+'PL OZON (нед)'!X47</f>
        <v>0</v>
      </c>
      <c r="Y14" s="8">
        <f>'PL WB (нед)'!Y47+'PL OZON (нед)'!Y47</f>
        <v>0</v>
      </c>
      <c r="Z14" s="8">
        <f>'PL WB (нед)'!Z47+'PL OZON (нед)'!Z47</f>
        <v>0</v>
      </c>
      <c r="AA14" s="8">
        <f>'PL WB (нед)'!AA47+'PL OZON (нед)'!AA47</f>
        <v>0</v>
      </c>
      <c r="AB14" s="8">
        <f>'PL WB (нед)'!AB47+'PL OZON (нед)'!AB47</f>
        <v>0</v>
      </c>
      <c r="AC14" s="8">
        <f>'PL WB (нед)'!AC47+'PL OZON (нед)'!AC47</f>
        <v>0</v>
      </c>
      <c r="AD14" s="8">
        <f>'PL WB (нед)'!AD47+'PL OZON (нед)'!AD47</f>
        <v>0</v>
      </c>
      <c r="AE14" s="8">
        <f>'PL WB (нед)'!AE47+'PL OZON (нед)'!AE47</f>
        <v>0</v>
      </c>
      <c r="AF14" s="8">
        <f>'PL WB (нед)'!AF47+'PL OZON (нед)'!AF47</f>
        <v>0</v>
      </c>
      <c r="AG14" s="8">
        <f>'PL WB (нед)'!AG47+'PL OZON (нед)'!AG47</f>
        <v>0</v>
      </c>
      <c r="AH14" s="8">
        <f>'PL WB (нед)'!AH47+'PL OZON (нед)'!AH47</f>
        <v>0</v>
      </c>
      <c r="AI14" s="8">
        <f>'PL WB (нед)'!AI47+'PL OZON (нед)'!AI47</f>
        <v>0</v>
      </c>
      <c r="AJ14" s="8">
        <f>'PL WB (нед)'!AJ47+'PL OZON (нед)'!AJ47</f>
        <v>0</v>
      </c>
      <c r="AK14" s="8">
        <f>'PL WB (нед)'!AK47+'PL OZON (нед)'!AK47</f>
        <v>0</v>
      </c>
      <c r="AL14" s="8">
        <f>'PL WB (нед)'!AL47+'PL OZON (нед)'!AL47</f>
        <v>0</v>
      </c>
      <c r="AM14" s="8">
        <f>'PL WB (нед)'!AM47+'PL OZON (нед)'!AM47</f>
        <v>0</v>
      </c>
      <c r="AN14" s="8">
        <f>'PL WB (нед)'!AN47+'PL OZON (нед)'!AN47</f>
        <v>0</v>
      </c>
      <c r="AO14" s="8">
        <f>'PL WB (нед)'!AO47+'PL OZON (нед)'!AO47</f>
        <v>0</v>
      </c>
      <c r="AP14" s="8">
        <f>'PL WB (нед)'!AP47+'PL OZON (нед)'!AP47</f>
        <v>0</v>
      </c>
      <c r="AQ14" s="8">
        <f>'PL WB (нед)'!AQ47+'PL OZON (нед)'!AQ47</f>
        <v>0</v>
      </c>
      <c r="AR14" s="8">
        <f>'PL WB (нед)'!AR47+'PL OZON (нед)'!AR47</f>
        <v>0</v>
      </c>
      <c r="AS14" s="8">
        <f>'PL WB (нед)'!AS47+'PL OZON (нед)'!AS47</f>
        <v>0</v>
      </c>
      <c r="AT14" s="8">
        <f>'PL WB (нед)'!AT47+'PL OZON (нед)'!AT47</f>
        <v>0</v>
      </c>
      <c r="AU14" s="8">
        <f>'PL WB (нед)'!AU47+'PL OZON (нед)'!AU47</f>
        <v>0</v>
      </c>
      <c r="AV14" s="8">
        <f>'PL WB (нед)'!AV47+'PL OZON (нед)'!AV47</f>
        <v>0</v>
      </c>
      <c r="AW14" s="8">
        <f>'PL WB (нед)'!AW47+'PL OZON (нед)'!AW47</f>
        <v>0</v>
      </c>
      <c r="AX14" s="8">
        <f>'PL WB (нед)'!AX47+'PL OZON (нед)'!AX47</f>
        <v>0</v>
      </c>
      <c r="AY14" s="8">
        <f>'PL WB (нед)'!AY47+'PL OZON (нед)'!AY47</f>
        <v>0</v>
      </c>
      <c r="AZ14" s="8">
        <f>'PL WB (нед)'!AZ47+'PL OZON (нед)'!AZ47</f>
        <v>0</v>
      </c>
      <c r="BA14" s="8">
        <f>'PL WB (нед)'!BA47+'PL OZON (нед)'!BA47</f>
        <v>0</v>
      </c>
      <c r="BB14" s="8">
        <f>'PL WB (нед)'!BB47+'PL OZON (нед)'!BB47</f>
        <v>0</v>
      </c>
      <c r="BC14" s="8">
        <f>'PL WB (нед)'!BC47+'PL OZON (нед)'!BC47</f>
        <v>0</v>
      </c>
    </row>
    <row r="15" spans="1:55" ht="13.5" customHeight="1" x14ac:dyDescent="0.25">
      <c r="A15" s="11" t="s">
        <v>47</v>
      </c>
      <c r="B15" s="41"/>
      <c r="C15" s="8">
        <f>'PL WB (нед)'!C48+'PL OZON (нед)'!C48</f>
        <v>0</v>
      </c>
      <c r="D15" s="8">
        <f>'PL WB (нед)'!D48+'PL OZON (нед)'!D48</f>
        <v>0</v>
      </c>
      <c r="E15" s="8">
        <f>'PL WB (нед)'!E48+'PL OZON (нед)'!E48</f>
        <v>0</v>
      </c>
      <c r="F15" s="8">
        <f>'PL WB (нед)'!F48+'PL OZON (нед)'!F48</f>
        <v>0</v>
      </c>
      <c r="G15" s="8">
        <f>'PL WB (нед)'!G48+'PL OZON (нед)'!G48</f>
        <v>0</v>
      </c>
      <c r="H15" s="8">
        <f>'PL WB (нед)'!H48+'PL OZON (нед)'!H48</f>
        <v>0</v>
      </c>
      <c r="I15" s="8">
        <f>'PL WB (нед)'!I48+'PL OZON (нед)'!I48</f>
        <v>0</v>
      </c>
      <c r="J15" s="8">
        <f>'PL WB (нед)'!J48+'PL OZON (нед)'!J48</f>
        <v>0</v>
      </c>
      <c r="K15" s="8">
        <f>'PL WB (нед)'!K48+'PL OZON (нед)'!K48</f>
        <v>0</v>
      </c>
      <c r="L15" s="8">
        <f>'PL WB (нед)'!L48+'PL OZON (нед)'!L48</f>
        <v>0</v>
      </c>
      <c r="M15" s="8">
        <f>'PL WB (нед)'!M48+'PL OZON (нед)'!M48</f>
        <v>0</v>
      </c>
      <c r="N15" s="8">
        <f>'PL WB (нед)'!N48+'PL OZON (нед)'!N48</f>
        <v>0</v>
      </c>
      <c r="O15" s="8">
        <f>'PL WB (нед)'!O48+'PL OZON (нед)'!O48</f>
        <v>0</v>
      </c>
      <c r="P15" s="8">
        <f>'PL WB (нед)'!P48+'PL OZON (нед)'!P48</f>
        <v>0</v>
      </c>
      <c r="Q15" s="8">
        <f>'PL WB (нед)'!Q48+'PL OZON (нед)'!Q48</f>
        <v>0</v>
      </c>
      <c r="R15" s="8">
        <f>'PL WB (нед)'!R48+'PL OZON (нед)'!R48</f>
        <v>0</v>
      </c>
      <c r="S15" s="8">
        <f>'PL WB (нед)'!S48+'PL OZON (нед)'!S48</f>
        <v>0</v>
      </c>
      <c r="T15" s="8">
        <f>'PL WB (нед)'!T48+'PL OZON (нед)'!T48</f>
        <v>0</v>
      </c>
      <c r="U15" s="8">
        <f>'PL WB (нед)'!U48+'PL OZON (нед)'!U48</f>
        <v>0</v>
      </c>
      <c r="V15" s="8">
        <f>'PL WB (нед)'!V48+'PL OZON (нед)'!V48</f>
        <v>0</v>
      </c>
      <c r="W15" s="8">
        <f>'PL WB (нед)'!W48+'PL OZON (нед)'!W48</f>
        <v>0</v>
      </c>
      <c r="X15" s="8">
        <f>'PL WB (нед)'!X48+'PL OZON (нед)'!X48</f>
        <v>0</v>
      </c>
      <c r="Y15" s="8">
        <f>'PL WB (нед)'!Y48+'PL OZON (нед)'!Y48</f>
        <v>0</v>
      </c>
      <c r="Z15" s="8">
        <f>'PL WB (нед)'!Z48+'PL OZON (нед)'!Z48</f>
        <v>0</v>
      </c>
      <c r="AA15" s="8">
        <f>'PL WB (нед)'!AA48+'PL OZON (нед)'!AA48</f>
        <v>0</v>
      </c>
      <c r="AB15" s="8">
        <f>'PL WB (нед)'!AB48+'PL OZON (нед)'!AB48</f>
        <v>0</v>
      </c>
      <c r="AC15" s="8">
        <f>'PL WB (нед)'!AC48+'PL OZON (нед)'!AC48</f>
        <v>0</v>
      </c>
      <c r="AD15" s="8">
        <f>'PL WB (нед)'!AD48+'PL OZON (нед)'!AD48</f>
        <v>0</v>
      </c>
      <c r="AE15" s="8">
        <f>'PL WB (нед)'!AE48+'PL OZON (нед)'!AE48</f>
        <v>0</v>
      </c>
      <c r="AF15" s="8">
        <f>'PL WB (нед)'!AF48+'PL OZON (нед)'!AF48</f>
        <v>0</v>
      </c>
      <c r="AG15" s="8">
        <f>'PL WB (нед)'!AG48+'PL OZON (нед)'!AG48</f>
        <v>0</v>
      </c>
      <c r="AH15" s="8">
        <f>'PL WB (нед)'!AH48+'PL OZON (нед)'!AH48</f>
        <v>0</v>
      </c>
      <c r="AI15" s="8">
        <f>'PL WB (нед)'!AI48+'PL OZON (нед)'!AI48</f>
        <v>0</v>
      </c>
      <c r="AJ15" s="8">
        <f>'PL WB (нед)'!AJ48+'PL OZON (нед)'!AJ48</f>
        <v>0</v>
      </c>
      <c r="AK15" s="8">
        <f>'PL WB (нед)'!AK48+'PL OZON (нед)'!AK48</f>
        <v>0</v>
      </c>
      <c r="AL15" s="8">
        <f>'PL WB (нед)'!AL48+'PL OZON (нед)'!AL48</f>
        <v>0</v>
      </c>
      <c r="AM15" s="8">
        <f>'PL WB (нед)'!AM48+'PL OZON (нед)'!AM48</f>
        <v>0</v>
      </c>
      <c r="AN15" s="8">
        <f>'PL WB (нед)'!AN48+'PL OZON (нед)'!AN48</f>
        <v>0</v>
      </c>
      <c r="AO15" s="8">
        <f>'PL WB (нед)'!AO48+'PL OZON (нед)'!AO48</f>
        <v>0</v>
      </c>
      <c r="AP15" s="8">
        <f>'PL WB (нед)'!AP48+'PL OZON (нед)'!AP48</f>
        <v>0</v>
      </c>
      <c r="AQ15" s="8">
        <f>'PL WB (нед)'!AQ48+'PL OZON (нед)'!AQ48</f>
        <v>0</v>
      </c>
      <c r="AR15" s="8">
        <f>'PL WB (нед)'!AR48+'PL OZON (нед)'!AR48</f>
        <v>0</v>
      </c>
      <c r="AS15" s="8">
        <f>'PL WB (нед)'!AS48+'PL OZON (нед)'!AS48</f>
        <v>0</v>
      </c>
      <c r="AT15" s="8">
        <f>'PL WB (нед)'!AT48+'PL OZON (нед)'!AT48</f>
        <v>0</v>
      </c>
      <c r="AU15" s="8">
        <f>'PL WB (нед)'!AU48+'PL OZON (нед)'!AU48</f>
        <v>0</v>
      </c>
      <c r="AV15" s="8">
        <f>'PL WB (нед)'!AV48+'PL OZON (нед)'!AV48</f>
        <v>0</v>
      </c>
      <c r="AW15" s="8">
        <f>'PL WB (нед)'!AW48+'PL OZON (нед)'!AW48</f>
        <v>0</v>
      </c>
      <c r="AX15" s="8">
        <f>'PL WB (нед)'!AX48+'PL OZON (нед)'!AX48</f>
        <v>0</v>
      </c>
      <c r="AY15" s="8">
        <f>'PL WB (нед)'!AY48+'PL OZON (нед)'!AY48</f>
        <v>0</v>
      </c>
      <c r="AZ15" s="8">
        <f>'PL WB (нед)'!AZ48+'PL OZON (нед)'!AZ48</f>
        <v>0</v>
      </c>
      <c r="BA15" s="8">
        <f>'PL WB (нед)'!BA48+'PL OZON (нед)'!BA48</f>
        <v>0</v>
      </c>
      <c r="BB15" s="8">
        <f>'PL WB (нед)'!BB48+'PL OZON (нед)'!BB48</f>
        <v>0</v>
      </c>
      <c r="BC15" s="8">
        <f>'PL WB (нед)'!BC48+'PL OZON (нед)'!BC48</f>
        <v>0</v>
      </c>
    </row>
    <row r="16" spans="1:55" ht="13.5" customHeight="1" x14ac:dyDescent="0.25">
      <c r="A16" s="11" t="s">
        <v>48</v>
      </c>
      <c r="B16" s="41"/>
      <c r="C16" s="8">
        <f>'PL WB (нед)'!C49+'PL OZON (нед)'!C49</f>
        <v>0</v>
      </c>
      <c r="D16" s="8">
        <f>'PL WB (нед)'!D49+'PL OZON (нед)'!D49</f>
        <v>0</v>
      </c>
      <c r="E16" s="8">
        <f>'PL WB (нед)'!E49+'PL OZON (нед)'!E49</f>
        <v>0</v>
      </c>
      <c r="F16" s="8">
        <f>'PL WB (нед)'!F49+'PL OZON (нед)'!F49</f>
        <v>0</v>
      </c>
      <c r="G16" s="8">
        <f>'PL WB (нед)'!G49+'PL OZON (нед)'!G49</f>
        <v>0</v>
      </c>
      <c r="H16" s="8">
        <f>'PL WB (нед)'!H49+'PL OZON (нед)'!H49</f>
        <v>0</v>
      </c>
      <c r="I16" s="8">
        <f>'PL WB (нед)'!I49+'PL OZON (нед)'!I49</f>
        <v>0</v>
      </c>
      <c r="J16" s="8">
        <f>'PL WB (нед)'!J49+'PL OZON (нед)'!J49</f>
        <v>0</v>
      </c>
      <c r="K16" s="8">
        <f>'PL WB (нед)'!K49+'PL OZON (нед)'!K49</f>
        <v>0</v>
      </c>
      <c r="L16" s="8">
        <f>'PL WB (нед)'!L49+'PL OZON (нед)'!L49</f>
        <v>0</v>
      </c>
      <c r="M16" s="8">
        <f>'PL WB (нед)'!M49+'PL OZON (нед)'!M49</f>
        <v>0</v>
      </c>
      <c r="N16" s="8">
        <f>'PL WB (нед)'!N49+'PL OZON (нед)'!N49</f>
        <v>0</v>
      </c>
      <c r="O16" s="8">
        <f>'PL WB (нед)'!O49+'PL OZON (нед)'!O49</f>
        <v>0</v>
      </c>
      <c r="P16" s="8">
        <f>'PL WB (нед)'!P49+'PL OZON (нед)'!P49</f>
        <v>0</v>
      </c>
      <c r="Q16" s="8">
        <f>'PL WB (нед)'!Q49+'PL OZON (нед)'!Q49</f>
        <v>0</v>
      </c>
      <c r="R16" s="8">
        <f>'PL WB (нед)'!R49+'PL OZON (нед)'!R49</f>
        <v>0</v>
      </c>
      <c r="S16" s="8">
        <f>'PL WB (нед)'!S49+'PL OZON (нед)'!S49</f>
        <v>0</v>
      </c>
      <c r="T16" s="8">
        <f>'PL WB (нед)'!T49+'PL OZON (нед)'!T49</f>
        <v>0</v>
      </c>
      <c r="U16" s="8">
        <f>'PL WB (нед)'!U49+'PL OZON (нед)'!U49</f>
        <v>0</v>
      </c>
      <c r="V16" s="8">
        <f>'PL WB (нед)'!V49+'PL OZON (нед)'!V49</f>
        <v>0</v>
      </c>
      <c r="W16" s="8">
        <f>'PL WB (нед)'!W49+'PL OZON (нед)'!W49</f>
        <v>0</v>
      </c>
      <c r="X16" s="8">
        <f>'PL WB (нед)'!X49+'PL OZON (нед)'!X49</f>
        <v>0</v>
      </c>
      <c r="Y16" s="8">
        <f>'PL WB (нед)'!Y49+'PL OZON (нед)'!Y49</f>
        <v>0</v>
      </c>
      <c r="Z16" s="8">
        <f>'PL WB (нед)'!Z49+'PL OZON (нед)'!Z49</f>
        <v>0</v>
      </c>
      <c r="AA16" s="8">
        <f>'PL WB (нед)'!AA49+'PL OZON (нед)'!AA49</f>
        <v>0</v>
      </c>
      <c r="AB16" s="8">
        <f>'PL WB (нед)'!AB49+'PL OZON (нед)'!AB49</f>
        <v>0</v>
      </c>
      <c r="AC16" s="8">
        <f>'PL WB (нед)'!AC49+'PL OZON (нед)'!AC49</f>
        <v>0</v>
      </c>
      <c r="AD16" s="8">
        <f>'PL WB (нед)'!AD49+'PL OZON (нед)'!AD49</f>
        <v>0</v>
      </c>
      <c r="AE16" s="8">
        <f>'PL WB (нед)'!AE49+'PL OZON (нед)'!AE49</f>
        <v>0</v>
      </c>
      <c r="AF16" s="8">
        <f>'PL WB (нед)'!AF49+'PL OZON (нед)'!AF49</f>
        <v>0</v>
      </c>
      <c r="AG16" s="8">
        <f>'PL WB (нед)'!AG49+'PL OZON (нед)'!AG49</f>
        <v>0</v>
      </c>
      <c r="AH16" s="8">
        <f>'PL WB (нед)'!AH49+'PL OZON (нед)'!AH49</f>
        <v>0</v>
      </c>
      <c r="AI16" s="8">
        <f>'PL WB (нед)'!AI49+'PL OZON (нед)'!AI49</f>
        <v>0</v>
      </c>
      <c r="AJ16" s="8">
        <f>'PL WB (нед)'!AJ49+'PL OZON (нед)'!AJ49</f>
        <v>0</v>
      </c>
      <c r="AK16" s="8">
        <f>'PL WB (нед)'!AK49+'PL OZON (нед)'!AK49</f>
        <v>0</v>
      </c>
      <c r="AL16" s="8">
        <f>'PL WB (нед)'!AL49+'PL OZON (нед)'!AL49</f>
        <v>0</v>
      </c>
      <c r="AM16" s="8">
        <f>'PL WB (нед)'!AM49+'PL OZON (нед)'!AM49</f>
        <v>0</v>
      </c>
      <c r="AN16" s="8">
        <f>'PL WB (нед)'!AN49+'PL OZON (нед)'!AN49</f>
        <v>0</v>
      </c>
      <c r="AO16" s="8">
        <f>'PL WB (нед)'!AO49+'PL OZON (нед)'!AO49</f>
        <v>0</v>
      </c>
      <c r="AP16" s="8">
        <f>'PL WB (нед)'!AP49+'PL OZON (нед)'!AP49</f>
        <v>0</v>
      </c>
      <c r="AQ16" s="8">
        <f>'PL WB (нед)'!AQ49+'PL OZON (нед)'!AQ49</f>
        <v>0</v>
      </c>
      <c r="AR16" s="8">
        <f>'PL WB (нед)'!AR49+'PL OZON (нед)'!AR49</f>
        <v>0</v>
      </c>
      <c r="AS16" s="8">
        <f>'PL WB (нед)'!AS49+'PL OZON (нед)'!AS49</f>
        <v>0</v>
      </c>
      <c r="AT16" s="8">
        <f>'PL WB (нед)'!AT49+'PL OZON (нед)'!AT49</f>
        <v>0</v>
      </c>
      <c r="AU16" s="8">
        <f>'PL WB (нед)'!AU49+'PL OZON (нед)'!AU49</f>
        <v>0</v>
      </c>
      <c r="AV16" s="8">
        <f>'PL WB (нед)'!AV49+'PL OZON (нед)'!AV49</f>
        <v>0</v>
      </c>
      <c r="AW16" s="8">
        <f>'PL WB (нед)'!AW49+'PL OZON (нед)'!AW49</f>
        <v>0</v>
      </c>
      <c r="AX16" s="8">
        <f>'PL WB (нед)'!AX49+'PL OZON (нед)'!AX49</f>
        <v>0</v>
      </c>
      <c r="AY16" s="8">
        <f>'PL WB (нед)'!AY49+'PL OZON (нед)'!AY49</f>
        <v>0</v>
      </c>
      <c r="AZ16" s="8">
        <f>'PL WB (нед)'!AZ49+'PL OZON (нед)'!AZ49</f>
        <v>0</v>
      </c>
      <c r="BA16" s="8">
        <f>'PL WB (нед)'!BA49+'PL OZON (нед)'!BA49</f>
        <v>0</v>
      </c>
      <c r="BB16" s="8">
        <f>'PL WB (нед)'!BB49+'PL OZON (нед)'!BB49</f>
        <v>0</v>
      </c>
      <c r="BC16" s="8">
        <f>'PL WB (нед)'!BC49+'PL OZON (нед)'!BC49</f>
        <v>0</v>
      </c>
    </row>
    <row r="17" spans="1:55" ht="13.5" customHeight="1" x14ac:dyDescent="0.25">
      <c r="A17" s="11" t="s">
        <v>100</v>
      </c>
      <c r="B17" s="41"/>
      <c r="C17" s="8">
        <f>'PL WB (нед)'!C41+'PL OZON (нед)'!C41</f>
        <v>634</v>
      </c>
      <c r="D17" s="8">
        <f>'PL WB (нед)'!D41+'PL OZON (нед)'!D41</f>
        <v>1139</v>
      </c>
      <c r="E17" s="8">
        <f>'PL WB (нед)'!E41+'PL OZON (нед)'!E41</f>
        <v>2225</v>
      </c>
      <c r="F17" s="8">
        <f>'PL WB (нед)'!F41+'PL OZON (нед)'!F41</f>
        <v>2475</v>
      </c>
      <c r="G17" s="8">
        <f>'PL WB (нед)'!G41+'PL OZON (нед)'!G41</f>
        <v>5374</v>
      </c>
      <c r="H17" s="8">
        <f>'PL WB (нед)'!H41+'PL OZON (нед)'!H41</f>
        <v>2254</v>
      </c>
      <c r="I17" s="8">
        <f>'PL WB (нед)'!I41+'PL OZON (нед)'!I41</f>
        <v>3404</v>
      </c>
      <c r="J17" s="8">
        <f>'PL WB (нед)'!J41+'PL OZON (нед)'!J41</f>
        <v>1721</v>
      </c>
      <c r="K17" s="8">
        <f>'PL WB (нед)'!K41+'PL OZON (нед)'!K41</f>
        <v>536</v>
      </c>
      <c r="L17" s="8">
        <f>'PL WB (нед)'!L41+'PL OZON (нед)'!L41</f>
        <v>1608</v>
      </c>
      <c r="M17" s="8">
        <f>'PL WB (нед)'!M41+'PL OZON (нед)'!M41</f>
        <v>840</v>
      </c>
      <c r="N17" s="8">
        <f>'PL WB (нед)'!N41+'PL OZON (нед)'!N41</f>
        <v>330</v>
      </c>
      <c r="O17" s="8">
        <f>'PL WB (нед)'!O41+'PL OZON (нед)'!O41</f>
        <v>439</v>
      </c>
      <c r="P17" s="8">
        <f>'PL WB (нед)'!P41+'PL OZON (нед)'!P41</f>
        <v>108</v>
      </c>
      <c r="Q17" s="8">
        <f>'PL WB (нед)'!Q41+'PL OZON (нед)'!Q41</f>
        <v>126</v>
      </c>
      <c r="R17" s="8">
        <f>'PL WB (нед)'!R41+'PL OZON (нед)'!R41</f>
        <v>141</v>
      </c>
      <c r="S17" s="8">
        <f>'PL WB (нед)'!S41+'PL OZON (нед)'!S41</f>
        <v>152</v>
      </c>
      <c r="T17" s="8">
        <f>'PL WB (нед)'!T41+'PL OZON (нед)'!T41</f>
        <v>0</v>
      </c>
      <c r="U17" s="8">
        <f>'PL WB (нед)'!U41+'PL OZON (нед)'!U41</f>
        <v>0</v>
      </c>
      <c r="V17" s="8">
        <f>'PL WB (нед)'!V41+'PL OZON (нед)'!V41</f>
        <v>0</v>
      </c>
      <c r="W17" s="8">
        <f>'PL WB (нед)'!W41+'PL OZON (нед)'!W41</f>
        <v>0</v>
      </c>
      <c r="X17" s="8">
        <f>'PL WB (нед)'!X41+'PL OZON (нед)'!X41</f>
        <v>1032</v>
      </c>
      <c r="Y17" s="8">
        <f>'PL WB (нед)'!Y41+'PL OZON (нед)'!Y41</f>
        <v>0</v>
      </c>
      <c r="Z17" s="8">
        <f>'PL WB (нед)'!Z41+'PL OZON (нед)'!Z41</f>
        <v>0</v>
      </c>
      <c r="AA17" s="8">
        <f>'PL WB (нед)'!AA41+'PL OZON (нед)'!AA41</f>
        <v>0</v>
      </c>
      <c r="AB17" s="8">
        <f>'PL WB (нед)'!AB41+'PL OZON (нед)'!AB41</f>
        <v>0</v>
      </c>
      <c r="AC17" s="8">
        <f>'PL WB (нед)'!AC41+'PL OZON (нед)'!AC41</f>
        <v>0</v>
      </c>
      <c r="AD17" s="8">
        <f>'PL WB (нед)'!AD41+'PL OZON (нед)'!AD41</f>
        <v>0</v>
      </c>
      <c r="AE17" s="8">
        <f>'PL WB (нед)'!AE41+'PL OZON (нед)'!AE41</f>
        <v>0</v>
      </c>
      <c r="AF17" s="8">
        <f>'PL WB (нед)'!AF41+'PL OZON (нед)'!AF41</f>
        <v>0</v>
      </c>
      <c r="AG17" s="8">
        <f>'PL WB (нед)'!AG41+'PL OZON (нед)'!AG41</f>
        <v>0</v>
      </c>
      <c r="AH17" s="8">
        <f>'PL WB (нед)'!AH41+'PL OZON (нед)'!AH41</f>
        <v>0</v>
      </c>
      <c r="AI17" s="8">
        <f>'PL WB (нед)'!AI41+'PL OZON (нед)'!AI41</f>
        <v>0</v>
      </c>
      <c r="AJ17" s="8">
        <f>'PL WB (нед)'!AJ41+'PL OZON (нед)'!AJ41</f>
        <v>0</v>
      </c>
      <c r="AK17" s="8">
        <f>'PL WB (нед)'!AK41+'PL OZON (нед)'!AK41</f>
        <v>0</v>
      </c>
      <c r="AL17" s="8">
        <f>'PL WB (нед)'!AL41+'PL OZON (нед)'!AL41</f>
        <v>0</v>
      </c>
      <c r="AM17" s="8">
        <f>'PL WB (нед)'!AM41+'PL OZON (нед)'!AM41</f>
        <v>0</v>
      </c>
      <c r="AN17" s="8">
        <f>'PL WB (нед)'!AN41+'PL OZON (нед)'!AN41</f>
        <v>0</v>
      </c>
      <c r="AO17" s="8">
        <f>'PL WB (нед)'!AO41+'PL OZON (нед)'!AO41</f>
        <v>0</v>
      </c>
      <c r="AP17" s="8">
        <f>'PL WB (нед)'!AP41+'PL OZON (нед)'!AP41</f>
        <v>0</v>
      </c>
      <c r="AQ17" s="8">
        <f>'PL WB (нед)'!AQ41+'PL OZON (нед)'!AQ41</f>
        <v>0</v>
      </c>
      <c r="AR17" s="8">
        <f>'PL WB (нед)'!AR41+'PL OZON (нед)'!AR41</f>
        <v>0</v>
      </c>
      <c r="AS17" s="8">
        <f>'PL WB (нед)'!AS41+'PL OZON (нед)'!AS41</f>
        <v>0</v>
      </c>
      <c r="AT17" s="8">
        <f>'PL WB (нед)'!AT41+'PL OZON (нед)'!AT41</f>
        <v>0</v>
      </c>
      <c r="AU17" s="8">
        <f>'PL WB (нед)'!AU41+'PL OZON (нед)'!AU41</f>
        <v>0</v>
      </c>
      <c r="AV17" s="8">
        <f>'PL WB (нед)'!AV41+'PL OZON (нед)'!AV41</f>
        <v>0</v>
      </c>
      <c r="AW17" s="8">
        <f>'PL WB (нед)'!AW41+'PL OZON (нед)'!AW41</f>
        <v>0</v>
      </c>
      <c r="AX17" s="8">
        <f>'PL WB (нед)'!AX41+'PL OZON (нед)'!AX41</f>
        <v>0</v>
      </c>
      <c r="AY17" s="8">
        <f>'PL WB (нед)'!AY41+'PL OZON (нед)'!AY41</f>
        <v>0</v>
      </c>
      <c r="AZ17" s="8">
        <f>'PL WB (нед)'!AZ41+'PL OZON (нед)'!AZ41</f>
        <v>0</v>
      </c>
      <c r="BA17" s="8">
        <f>'PL WB (нед)'!BA41+'PL OZON (нед)'!BA41</f>
        <v>0</v>
      </c>
      <c r="BB17" s="8">
        <f>'PL WB (нед)'!BB41+'PL OZON (нед)'!BB41</f>
        <v>0</v>
      </c>
      <c r="BC17" s="8">
        <f>'PL WB (нед)'!BC41+'PL OZON (нед)'!BC41</f>
        <v>0</v>
      </c>
    </row>
    <row r="18" spans="1:55" ht="13.5" customHeight="1" x14ac:dyDescent="0.25">
      <c r="A18" s="11" t="s">
        <v>99</v>
      </c>
      <c r="B18" s="41"/>
      <c r="C18" s="8">
        <f>'PL WB (нед)'!C51+'PL OZON (нед)'!C51</f>
        <v>0</v>
      </c>
      <c r="D18" s="8">
        <f>'PL WB (нед)'!D51+'PL OZON (нед)'!D51</f>
        <v>0</v>
      </c>
      <c r="E18" s="8">
        <f>'PL WB (нед)'!E51+'PL OZON (нед)'!E51</f>
        <v>0</v>
      </c>
      <c r="F18" s="8">
        <f>'PL WB (нед)'!F51+'PL OZON (нед)'!F51</f>
        <v>0</v>
      </c>
      <c r="G18" s="8">
        <f>'PL WB (нед)'!G51+'PL OZON (нед)'!G51</f>
        <v>0</v>
      </c>
      <c r="H18" s="8">
        <f>'PL WB (нед)'!H51+'PL OZON (нед)'!H51</f>
        <v>0</v>
      </c>
      <c r="I18" s="8">
        <f>'PL WB (нед)'!I50+'PL OZON (нед)'!I50</f>
        <v>0</v>
      </c>
      <c r="J18" s="8">
        <f>'PL WB (нед)'!J50+'PL OZON (нед)'!J50</f>
        <v>0</v>
      </c>
      <c r="K18" s="8">
        <f>'PL WB (нед)'!K50+'PL OZON (нед)'!K50</f>
        <v>0</v>
      </c>
      <c r="L18" s="8">
        <f>'PL WB (нед)'!L50+'PL OZON (нед)'!L50</f>
        <v>0</v>
      </c>
      <c r="M18" s="8">
        <f>'PL WB (нед)'!M50+'PL OZON (нед)'!M50</f>
        <v>0</v>
      </c>
      <c r="N18" s="8">
        <f>'PL WB (нед)'!N50+'PL OZON (нед)'!N50</f>
        <v>0</v>
      </c>
      <c r="O18" s="8">
        <f>'PL WB (нед)'!O50+'PL OZON (нед)'!O50</f>
        <v>0</v>
      </c>
      <c r="P18" s="8">
        <f>'PL WB (нед)'!P50+'PL OZON (нед)'!P50</f>
        <v>0</v>
      </c>
      <c r="Q18" s="8">
        <f>'PL WB (нед)'!Q50+'PL OZON (нед)'!Q50</f>
        <v>0</v>
      </c>
      <c r="R18" s="8">
        <f>'PL WB (нед)'!R50+'PL OZON (нед)'!R50</f>
        <v>0</v>
      </c>
      <c r="S18" s="8">
        <f>'PL WB (нед)'!S50+'PL OZON (нед)'!S50</f>
        <v>0</v>
      </c>
      <c r="T18" s="8">
        <f>'PL WB (нед)'!T50+'PL OZON (нед)'!T50</f>
        <v>0</v>
      </c>
      <c r="U18" s="8">
        <f>'PL WB (нед)'!U50+'PL OZON (нед)'!U50</f>
        <v>0</v>
      </c>
      <c r="V18" s="8">
        <f>'PL WB (нед)'!V50+'PL OZON (нед)'!V50</f>
        <v>0</v>
      </c>
      <c r="W18" s="8">
        <f>'PL WB (нед)'!W50+'PL OZON (нед)'!W50</f>
        <v>0</v>
      </c>
      <c r="X18" s="8">
        <f>'PL WB (нед)'!X50+'PL OZON (нед)'!X50</f>
        <v>0</v>
      </c>
      <c r="Y18" s="8">
        <f>'PL WB (нед)'!Y50+'PL OZON (нед)'!Y50</f>
        <v>0</v>
      </c>
      <c r="Z18" s="8">
        <f>'PL WB (нед)'!Z50+'PL OZON (нед)'!Z50</f>
        <v>0</v>
      </c>
      <c r="AA18" s="8">
        <f>'PL WB (нед)'!AA50+'PL OZON (нед)'!AA50</f>
        <v>0</v>
      </c>
      <c r="AB18" s="8">
        <f>'PL WB (нед)'!AB50+'PL OZON (нед)'!AB50</f>
        <v>0</v>
      </c>
      <c r="AC18" s="8">
        <f>'PL WB (нед)'!AC50+'PL OZON (нед)'!AC50</f>
        <v>0</v>
      </c>
      <c r="AD18" s="8">
        <f>'PL WB (нед)'!AD50+'PL OZON (нед)'!AD50</f>
        <v>0</v>
      </c>
      <c r="AE18" s="8">
        <f>'PL WB (нед)'!AE50+'PL OZON (нед)'!AE50</f>
        <v>0</v>
      </c>
      <c r="AF18" s="8">
        <f>'PL WB (нед)'!AF50+'PL OZON (нед)'!AF50</f>
        <v>0</v>
      </c>
      <c r="AG18" s="8">
        <f>'PL WB (нед)'!AG50+'PL OZON (нед)'!AG50</f>
        <v>0</v>
      </c>
      <c r="AH18" s="8">
        <f>'PL WB (нед)'!AH50+'PL OZON (нед)'!AH50</f>
        <v>0</v>
      </c>
      <c r="AI18" s="8">
        <f>'PL WB (нед)'!AI50+'PL OZON (нед)'!AI50</f>
        <v>0</v>
      </c>
      <c r="AJ18" s="8">
        <f>'PL WB (нед)'!AJ50+'PL OZON (нед)'!AJ50</f>
        <v>0</v>
      </c>
      <c r="AK18" s="8">
        <f>'PL WB (нед)'!AK50+'PL OZON (нед)'!AK50</f>
        <v>0</v>
      </c>
      <c r="AL18" s="8">
        <f>'PL WB (нед)'!AL50+'PL OZON (нед)'!AL50</f>
        <v>0</v>
      </c>
      <c r="AM18" s="8">
        <f>'PL WB (нед)'!AM50+'PL OZON (нед)'!AM50</f>
        <v>0</v>
      </c>
      <c r="AN18" s="8">
        <f>'PL WB (нед)'!AN50+'PL OZON (нед)'!AN50</f>
        <v>0</v>
      </c>
      <c r="AO18" s="8">
        <f>'PL WB (нед)'!AO50+'PL OZON (нед)'!AO50</f>
        <v>0</v>
      </c>
      <c r="AP18" s="8">
        <f>'PL WB (нед)'!AP50+'PL OZON (нед)'!AP50</f>
        <v>0</v>
      </c>
      <c r="AQ18" s="8">
        <f>'PL WB (нед)'!AQ50+'PL OZON (нед)'!AQ50</f>
        <v>0</v>
      </c>
      <c r="AR18" s="8">
        <f>'PL WB (нед)'!AR50+'PL OZON (нед)'!AR50</f>
        <v>0</v>
      </c>
      <c r="AS18" s="8">
        <f>'PL WB (нед)'!AS50+'PL OZON (нед)'!AS50</f>
        <v>0</v>
      </c>
      <c r="AT18" s="8">
        <f>'PL WB (нед)'!AT50+'PL OZON (нед)'!AT50</f>
        <v>0</v>
      </c>
      <c r="AU18" s="8">
        <f>'PL WB (нед)'!AU50+'PL OZON (нед)'!AU50</f>
        <v>0</v>
      </c>
      <c r="AV18" s="8">
        <f>'PL WB (нед)'!AV50+'PL OZON (нед)'!AV50</f>
        <v>0</v>
      </c>
      <c r="AW18" s="8">
        <f>'PL WB (нед)'!AW50+'PL OZON (нед)'!AW50</f>
        <v>0</v>
      </c>
      <c r="AX18" s="8">
        <f>'PL WB (нед)'!AX50+'PL OZON (нед)'!AX50</f>
        <v>0</v>
      </c>
      <c r="AY18" s="8">
        <f>'PL WB (нед)'!AY50+'PL OZON (нед)'!AY50</f>
        <v>0</v>
      </c>
      <c r="AZ18" s="8">
        <f>'PL WB (нед)'!AZ50+'PL OZON (нед)'!AZ50</f>
        <v>0</v>
      </c>
      <c r="BA18" s="8">
        <f>'PL WB (нед)'!BA50+'PL OZON (нед)'!BA50</f>
        <v>0</v>
      </c>
      <c r="BB18" s="8">
        <f>'PL WB (нед)'!BB50+'PL OZON (нед)'!BB50</f>
        <v>0</v>
      </c>
      <c r="BC18" s="8">
        <f>'PL WB (нед)'!BC50+'PL OZON (нед)'!BC50</f>
        <v>0</v>
      </c>
    </row>
    <row r="19" spans="1:55" ht="13.5" customHeight="1" x14ac:dyDescent="0.25">
      <c r="A19" s="11" t="s">
        <v>128</v>
      </c>
      <c r="B19" s="41"/>
      <c r="C19" s="8">
        <f>'PL WB (нед)'!C51+'PL OZON (нед)'!C51</f>
        <v>0</v>
      </c>
      <c r="D19" s="8">
        <f>'PL WB (нед)'!D51+'PL OZON (нед)'!D51</f>
        <v>0</v>
      </c>
      <c r="E19" s="8">
        <f>'PL WB (нед)'!E51+'PL OZON (нед)'!E51</f>
        <v>0</v>
      </c>
      <c r="F19" s="8">
        <f>'PL WB (нед)'!F51+'PL OZON (нед)'!F51</f>
        <v>0</v>
      </c>
      <c r="G19" s="8">
        <f>'PL WB (нед)'!G51+'PL OZON (нед)'!G51</f>
        <v>0</v>
      </c>
      <c r="H19" s="8">
        <f>'PL WB (нед)'!H51+'PL OZON (нед)'!H51</f>
        <v>0</v>
      </c>
      <c r="I19" s="8">
        <f>'PL WB (нед)'!I51+'PL OZON (нед)'!I51</f>
        <v>0</v>
      </c>
      <c r="J19" s="8">
        <f>'PL WB (нед)'!J51+'PL OZON (нед)'!J51</f>
        <v>0</v>
      </c>
      <c r="K19" s="8">
        <f>'PL WB (нед)'!K51+'PL OZON (нед)'!K51</f>
        <v>0</v>
      </c>
      <c r="L19" s="8">
        <f>'PL WB (нед)'!L51+'PL OZON (нед)'!L51</f>
        <v>0</v>
      </c>
      <c r="M19" s="8">
        <f>'PL WB (нед)'!M51+'PL OZON (нед)'!M51</f>
        <v>0</v>
      </c>
      <c r="N19" s="8">
        <f>'PL WB (нед)'!N51+'PL OZON (нед)'!N51</f>
        <v>0</v>
      </c>
      <c r="O19" s="8">
        <f>'PL WB (нед)'!O51+'PL OZON (нед)'!O51</f>
        <v>0</v>
      </c>
      <c r="P19" s="8">
        <f>'PL WB (нед)'!P51+'PL OZON (нед)'!P51</f>
        <v>0</v>
      </c>
      <c r="Q19" s="8">
        <f>'PL WB (нед)'!Q51+'PL OZON (нед)'!Q51</f>
        <v>0</v>
      </c>
      <c r="R19" s="8">
        <f>'PL WB (нед)'!R51+'PL OZON (нед)'!R51</f>
        <v>0</v>
      </c>
      <c r="S19" s="8">
        <f>'PL WB (нед)'!S51+'PL OZON (нед)'!S51</f>
        <v>0</v>
      </c>
      <c r="T19" s="8">
        <f>'PL WB (нед)'!T51+'PL OZON (нед)'!T51</f>
        <v>0</v>
      </c>
      <c r="U19" s="8">
        <f>'PL WB (нед)'!U51+'PL OZON (нед)'!U51</f>
        <v>0</v>
      </c>
      <c r="V19" s="8">
        <f>'PL WB (нед)'!V51+'PL OZON (нед)'!V51</f>
        <v>0</v>
      </c>
      <c r="W19" s="8">
        <f>'PL WB (нед)'!W51+'PL OZON (нед)'!W51</f>
        <v>0</v>
      </c>
      <c r="X19" s="8">
        <f>'PL WB (нед)'!X51+'PL OZON (нед)'!X51</f>
        <v>0</v>
      </c>
      <c r="Y19" s="8">
        <f>'PL WB (нед)'!Y51+'PL OZON (нед)'!Y51</f>
        <v>0</v>
      </c>
      <c r="Z19" s="8">
        <f>'PL WB (нед)'!Z51+'PL OZON (нед)'!Z51</f>
        <v>0</v>
      </c>
      <c r="AA19" s="8">
        <f>'PL WB (нед)'!AA51+'PL OZON (нед)'!AA51</f>
        <v>0</v>
      </c>
      <c r="AB19" s="8">
        <f>'PL WB (нед)'!AB51+'PL OZON (нед)'!AB51</f>
        <v>0</v>
      </c>
      <c r="AC19" s="8">
        <f>'PL WB (нед)'!AC51+'PL OZON (нед)'!AC51</f>
        <v>0</v>
      </c>
      <c r="AD19" s="8">
        <f>'PL WB (нед)'!AD51+'PL OZON (нед)'!AD51</f>
        <v>0</v>
      </c>
      <c r="AE19" s="8">
        <f>'PL WB (нед)'!AE51+'PL OZON (нед)'!AE51</f>
        <v>0</v>
      </c>
      <c r="AF19" s="8">
        <f>'PL WB (нед)'!AF51+'PL OZON (нед)'!AF51</f>
        <v>0</v>
      </c>
      <c r="AG19" s="8">
        <f>'PL WB (нед)'!AG51+'PL OZON (нед)'!AG51</f>
        <v>0</v>
      </c>
      <c r="AH19" s="8">
        <f>'PL WB (нед)'!AH51+'PL OZON (нед)'!AH51</f>
        <v>0</v>
      </c>
      <c r="AI19" s="8">
        <f>'PL WB (нед)'!AI51+'PL OZON (нед)'!AI51</f>
        <v>0</v>
      </c>
      <c r="AJ19" s="8">
        <f>'PL WB (нед)'!AJ51+'PL OZON (нед)'!AJ51</f>
        <v>0</v>
      </c>
      <c r="AK19" s="8">
        <f>'PL WB (нед)'!AK51+'PL OZON (нед)'!AK51</f>
        <v>0</v>
      </c>
      <c r="AL19" s="8">
        <f>'PL WB (нед)'!AL51+'PL OZON (нед)'!AL51</f>
        <v>0</v>
      </c>
      <c r="AM19" s="8">
        <f>'PL WB (нед)'!AM51+'PL OZON (нед)'!AM51</f>
        <v>0</v>
      </c>
      <c r="AN19" s="8">
        <f>'PL WB (нед)'!AN51+'PL OZON (нед)'!AN51</f>
        <v>0</v>
      </c>
      <c r="AO19" s="8">
        <f>'PL WB (нед)'!AO51+'PL OZON (нед)'!AO51</f>
        <v>0</v>
      </c>
      <c r="AP19" s="8">
        <f>'PL WB (нед)'!AP51+'PL OZON (нед)'!AP51</f>
        <v>0</v>
      </c>
      <c r="AQ19" s="8">
        <f>'PL WB (нед)'!AQ51+'PL OZON (нед)'!AQ51</f>
        <v>0</v>
      </c>
      <c r="AR19" s="8">
        <f>'PL WB (нед)'!AR51+'PL OZON (нед)'!AR51</f>
        <v>0</v>
      </c>
      <c r="AS19" s="8">
        <f>'PL WB (нед)'!AS51+'PL OZON (нед)'!AS51</f>
        <v>0</v>
      </c>
      <c r="AT19" s="8">
        <f>'PL WB (нед)'!AT51+'PL OZON (нед)'!AT51</f>
        <v>0</v>
      </c>
      <c r="AU19" s="8">
        <f>'PL WB (нед)'!AU51+'PL OZON (нед)'!AU51</f>
        <v>0</v>
      </c>
      <c r="AV19" s="8">
        <f>'PL WB (нед)'!AV51+'PL OZON (нед)'!AV51</f>
        <v>0</v>
      </c>
      <c r="AW19" s="8">
        <f>'PL WB (нед)'!AW51+'PL OZON (нед)'!AW51</f>
        <v>0</v>
      </c>
      <c r="AX19" s="8">
        <f>'PL WB (нед)'!AX51+'PL OZON (нед)'!AX51</f>
        <v>0</v>
      </c>
      <c r="AY19" s="8">
        <f>'PL WB (нед)'!AY51+'PL OZON (нед)'!AY51</f>
        <v>0</v>
      </c>
      <c r="AZ19" s="8">
        <f>'PL WB (нед)'!AZ51+'PL OZON (нед)'!AZ51</f>
        <v>0</v>
      </c>
      <c r="BA19" s="8">
        <f>'PL WB (нед)'!BA51+'PL OZON (нед)'!BA51</f>
        <v>0</v>
      </c>
      <c r="BB19" s="8">
        <f>'PL WB (нед)'!BB51+'PL OZON (нед)'!BB51</f>
        <v>0</v>
      </c>
      <c r="BC19" s="8">
        <f>'PL WB (нед)'!BC51+'PL OZON (нед)'!BC51</f>
        <v>0</v>
      </c>
    </row>
    <row r="20" spans="1:55" ht="13.5" customHeight="1" x14ac:dyDescent="0.25">
      <c r="A20" s="42"/>
      <c r="B20" s="1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</row>
    <row r="21" spans="1:55" ht="13.5" customHeight="1" x14ac:dyDescent="0.25">
      <c r="A21" s="71" t="s">
        <v>76</v>
      </c>
      <c r="B21" s="72"/>
      <c r="C21" s="70">
        <f>'PL WB (нед)'!C55+'PL OZON (нед)'!C55</f>
        <v>3715.62</v>
      </c>
      <c r="D21" s="70">
        <f>'PL WB (нед)'!D55+'PL OZON (нед)'!D55</f>
        <v>13218.57</v>
      </c>
      <c r="E21" s="70">
        <f>'PL WB (нед)'!E55+'PL OZON (нед)'!E55</f>
        <v>15238.68</v>
      </c>
      <c r="F21" s="70">
        <f>'PL WB (нед)'!F55+'PL OZON (нед)'!F55</f>
        <v>14731.34</v>
      </c>
      <c r="G21" s="70">
        <f>'PL WB (нед)'!G55+'PL OZON (нед)'!G55</f>
        <v>14114.740000000002</v>
      </c>
      <c r="H21" s="70">
        <f>'PL WB (нед)'!H55+'PL OZON (нед)'!H55</f>
        <v>13133.829999999998</v>
      </c>
      <c r="I21" s="70">
        <f>'PL WB (нед)'!I55+'PL OZON (нед)'!I55</f>
        <v>13617.64</v>
      </c>
      <c r="J21" s="70">
        <f>'PL WB (нед)'!J55+'PL OZON (нед)'!J55</f>
        <v>13850.170000000002</v>
      </c>
      <c r="K21" s="70">
        <f>'PL WB (нед)'!K55+'PL OZON (нед)'!K55</f>
        <v>12038.51</v>
      </c>
      <c r="L21" s="70">
        <f>'PL WB (нед)'!L55+'PL OZON (нед)'!L55</f>
        <v>12331</v>
      </c>
      <c r="M21" s="70">
        <f>'PL WB (нед)'!M55+'PL OZON (нед)'!M55</f>
        <v>11157.619999999999</v>
      </c>
      <c r="N21" s="70">
        <f>'PL WB (нед)'!N55+'PL OZON (нед)'!N55</f>
        <v>10362.119999999999</v>
      </c>
      <c r="O21" s="70">
        <f>'PL WB (нед)'!O55+'PL OZON (нед)'!O55</f>
        <v>9363.11</v>
      </c>
      <c r="P21" s="70">
        <f>'PL WB (нед)'!P55+'PL OZON (нед)'!P55</f>
        <v>7101.87</v>
      </c>
      <c r="Q21" s="70">
        <f>'PL WB (нед)'!Q55+'PL OZON (нед)'!Q55</f>
        <v>6287.63</v>
      </c>
      <c r="R21" s="70">
        <f>'PL WB (нед)'!R55+'PL OZON (нед)'!R55</f>
        <v>6152.25</v>
      </c>
      <c r="S21" s="70">
        <f>'PL WB (нед)'!S55+'PL OZON (нед)'!S55</f>
        <v>6848.7099999999991</v>
      </c>
      <c r="T21" s="70">
        <f>'PL WB (нед)'!T55+'PL OZON (нед)'!T55</f>
        <v>3555.6</v>
      </c>
      <c r="U21" s="70">
        <f>'PL WB (нед)'!U55+'PL OZON (нед)'!U55</f>
        <v>3128.94</v>
      </c>
      <c r="V21" s="70">
        <f>'PL WB (нед)'!V55+'PL OZON (нед)'!V55</f>
        <v>3198.06</v>
      </c>
      <c r="W21" s="70">
        <f>'PL WB (нед)'!W55+'PL OZON (нед)'!W55</f>
        <v>2611.38</v>
      </c>
      <c r="X21" s="70">
        <f>'PL WB (нед)'!X55+'PL OZON (нед)'!X55</f>
        <v>8261.42</v>
      </c>
      <c r="Y21" s="70">
        <f>'PL WB (нед)'!Y55+'PL OZON (нед)'!Y55</f>
        <v>2796.7799999999997</v>
      </c>
      <c r="Z21" s="70">
        <f>'PL WB (нед)'!Z55+'PL OZON (нед)'!Z55</f>
        <v>3362.94</v>
      </c>
      <c r="AA21" s="70">
        <f>'PL WB (нед)'!AA55+'PL OZON (нед)'!AA55</f>
        <v>0</v>
      </c>
      <c r="AB21" s="70">
        <f>'PL WB (нед)'!AB55+'PL OZON (нед)'!AB55</f>
        <v>0</v>
      </c>
      <c r="AC21" s="70">
        <f>'PL WB (нед)'!AC55+'PL OZON (нед)'!AC55</f>
        <v>0</v>
      </c>
      <c r="AD21" s="70">
        <f>'PL WB (нед)'!AD55+'PL OZON (нед)'!AD55</f>
        <v>0</v>
      </c>
      <c r="AE21" s="70">
        <f>'PL WB (нед)'!AE55+'PL OZON (нед)'!AE55</f>
        <v>0</v>
      </c>
      <c r="AF21" s="70">
        <f>'PL WB (нед)'!AF55+'PL OZON (нед)'!AF55</f>
        <v>0</v>
      </c>
      <c r="AG21" s="70">
        <f>'PL WB (нед)'!AG55+'PL OZON (нед)'!AG55</f>
        <v>0</v>
      </c>
      <c r="AH21" s="70">
        <f>'PL WB (нед)'!AH55+'PL OZON (нед)'!AH55</f>
        <v>0</v>
      </c>
      <c r="AI21" s="70">
        <f>'PL WB (нед)'!AI55+'PL OZON (нед)'!AI55</f>
        <v>0</v>
      </c>
      <c r="AJ21" s="70">
        <f>'PL WB (нед)'!AJ55+'PL OZON (нед)'!AJ55</f>
        <v>0</v>
      </c>
      <c r="AK21" s="70">
        <f>'PL WB (нед)'!AK55+'PL OZON (нед)'!AK55</f>
        <v>0</v>
      </c>
      <c r="AL21" s="70">
        <f>'PL WB (нед)'!AL55+'PL OZON (нед)'!AL55</f>
        <v>0</v>
      </c>
      <c r="AM21" s="70">
        <f>'PL WB (нед)'!AM55+'PL OZON (нед)'!AM55</f>
        <v>0</v>
      </c>
      <c r="AN21" s="70">
        <f>'PL WB (нед)'!AN55+'PL OZON (нед)'!AN55</f>
        <v>0</v>
      </c>
      <c r="AO21" s="70">
        <f>'PL WB (нед)'!AO55+'PL OZON (нед)'!AO55</f>
        <v>0</v>
      </c>
      <c r="AP21" s="70">
        <f>'PL WB (нед)'!AP55+'PL OZON (нед)'!AP55</f>
        <v>0</v>
      </c>
      <c r="AQ21" s="70">
        <f>'PL WB (нед)'!AQ55+'PL OZON (нед)'!AQ55</f>
        <v>0</v>
      </c>
      <c r="AR21" s="70">
        <f>'PL WB (нед)'!AR55+'PL OZON (нед)'!AR55</f>
        <v>0</v>
      </c>
      <c r="AS21" s="70">
        <f>'PL WB (нед)'!AS55+'PL OZON (нед)'!AS55</f>
        <v>0</v>
      </c>
      <c r="AT21" s="70">
        <f>'PL WB (нед)'!AT55+'PL OZON (нед)'!AT55</f>
        <v>0</v>
      </c>
      <c r="AU21" s="70">
        <f>'PL WB (нед)'!AU55+'PL OZON (нед)'!AU55</f>
        <v>0</v>
      </c>
      <c r="AV21" s="70">
        <f>'PL WB (нед)'!AV55+'PL OZON (нед)'!AV55</f>
        <v>0</v>
      </c>
      <c r="AW21" s="70">
        <f>'PL WB (нед)'!AW55+'PL OZON (нед)'!AW55</f>
        <v>0</v>
      </c>
      <c r="AX21" s="70">
        <f>'PL WB (нед)'!AX55+'PL OZON (нед)'!AX55</f>
        <v>0</v>
      </c>
      <c r="AY21" s="70">
        <f>'PL WB (нед)'!AY55+'PL OZON (нед)'!AY55</f>
        <v>0</v>
      </c>
      <c r="AZ21" s="70">
        <f>'PL WB (нед)'!AZ55+'PL OZON (нед)'!AZ55</f>
        <v>0</v>
      </c>
      <c r="BA21" s="70">
        <f>'PL WB (нед)'!BA55+'PL OZON (нед)'!BA55</f>
        <v>0</v>
      </c>
      <c r="BB21" s="70">
        <f>'PL WB (нед)'!BB55+'PL OZON (нед)'!BB55</f>
        <v>0</v>
      </c>
      <c r="BC21" s="70">
        <f>'PL WB (нед)'!BC55+'PL OZON (нед)'!BC55</f>
        <v>0</v>
      </c>
    </row>
    <row r="22" spans="1:55" ht="13.5" customHeight="1" x14ac:dyDescent="0.25">
      <c r="A22" s="6"/>
      <c r="B22" s="7"/>
      <c r="C22" s="15"/>
      <c r="D22" s="9"/>
      <c r="E22" s="9"/>
      <c r="F22" s="9"/>
      <c r="G22" s="9"/>
      <c r="H22" s="15"/>
      <c r="I22" s="9"/>
      <c r="J22" s="9"/>
      <c r="K22" s="7"/>
      <c r="L22" s="9"/>
      <c r="M22" s="9"/>
      <c r="N22" s="9"/>
      <c r="O22" s="7"/>
      <c r="P22" s="9"/>
      <c r="Q22" s="9"/>
      <c r="R22" s="9"/>
      <c r="S22" s="7"/>
      <c r="T22" s="9"/>
      <c r="U22" s="9"/>
      <c r="V22" s="9"/>
      <c r="W22" s="9"/>
      <c r="X22" s="7"/>
      <c r="Y22" s="9"/>
      <c r="Z22" s="9"/>
      <c r="AA22" s="9"/>
      <c r="AB22" s="7"/>
      <c r="AC22" s="9"/>
      <c r="AD22" s="9"/>
      <c r="AE22" s="9"/>
      <c r="AF22" s="7"/>
      <c r="AG22" s="9"/>
      <c r="AH22" s="9"/>
      <c r="AI22" s="9"/>
      <c r="AJ22" s="9"/>
      <c r="AK22" s="7"/>
      <c r="AL22" s="9"/>
      <c r="AM22" s="9"/>
      <c r="AN22" s="9"/>
      <c r="AO22" s="7"/>
      <c r="AP22" s="9"/>
      <c r="AQ22" s="9"/>
      <c r="AR22" s="9"/>
      <c r="AS22" s="9"/>
      <c r="AT22" s="7"/>
      <c r="AU22" s="9"/>
      <c r="AV22" s="9"/>
      <c r="AW22" s="9"/>
      <c r="AX22" s="7"/>
      <c r="AY22" s="9"/>
      <c r="AZ22" s="9"/>
      <c r="BA22" s="9"/>
      <c r="BB22" s="9"/>
      <c r="BC22" s="9"/>
    </row>
    <row r="23" spans="1:55" ht="13.5" customHeight="1" x14ac:dyDescent="0.25">
      <c r="A23" s="30" t="s">
        <v>77</v>
      </c>
      <c r="B23" s="344"/>
      <c r="C23" s="345"/>
      <c r="D23" s="346"/>
      <c r="E23" s="346"/>
      <c r="F23" s="346"/>
      <c r="G23" s="346"/>
      <c r="H23" s="347"/>
      <c r="I23" s="348"/>
      <c r="J23" s="349"/>
      <c r="K23" s="350"/>
      <c r="L23" s="349"/>
      <c r="M23" s="349"/>
      <c r="N23" s="349"/>
      <c r="O23" s="350"/>
      <c r="P23" s="349"/>
      <c r="Q23" s="349"/>
      <c r="R23" s="349"/>
      <c r="S23" s="350"/>
      <c r="T23" s="349">
        <v>247666</v>
      </c>
      <c r="U23" s="349"/>
      <c r="V23" s="349"/>
      <c r="W23" s="349"/>
      <c r="X23" s="350"/>
      <c r="Y23" s="349"/>
      <c r="Z23" s="349"/>
      <c r="AA23" s="349"/>
      <c r="AB23" s="350"/>
      <c r="AC23" s="349"/>
      <c r="AD23" s="349"/>
      <c r="AE23" s="349"/>
      <c r="AF23" s="350"/>
      <c r="AG23" s="349"/>
      <c r="AH23" s="349"/>
      <c r="AI23" s="349"/>
      <c r="AJ23" s="349"/>
      <c r="AK23" s="350"/>
      <c r="AL23" s="349"/>
      <c r="AM23" s="349"/>
      <c r="AN23" s="349"/>
      <c r="AO23" s="350"/>
      <c r="AP23" s="349"/>
      <c r="AQ23" s="349"/>
      <c r="AR23" s="349"/>
      <c r="AS23" s="349"/>
      <c r="AT23" s="350"/>
      <c r="AU23" s="349"/>
      <c r="AV23" s="348"/>
      <c r="AW23" s="349"/>
      <c r="AX23" s="349"/>
      <c r="AY23" s="354"/>
      <c r="AZ23" s="349"/>
      <c r="BA23" s="349"/>
      <c r="BB23" s="349"/>
      <c r="BC23" s="349"/>
    </row>
    <row r="24" spans="1:55" ht="13.5" customHeight="1" x14ac:dyDescent="0.25">
      <c r="A24" s="30" t="s">
        <v>78</v>
      </c>
      <c r="B24" s="31"/>
      <c r="C24" s="14"/>
      <c r="D24" s="16"/>
      <c r="E24" s="16"/>
      <c r="F24" s="16"/>
      <c r="G24" s="16"/>
      <c r="H24" s="94"/>
      <c r="I24" s="92"/>
      <c r="J24" s="92"/>
      <c r="K24" s="93"/>
      <c r="L24" s="92"/>
      <c r="M24" s="91"/>
      <c r="N24" s="92"/>
      <c r="O24" s="93"/>
      <c r="P24" s="91"/>
      <c r="Q24" s="91"/>
      <c r="R24" s="91"/>
      <c r="S24" s="95"/>
      <c r="T24" s="91"/>
      <c r="U24" s="91"/>
      <c r="V24" s="91"/>
      <c r="W24" s="91"/>
      <c r="X24" s="95"/>
      <c r="Y24" s="91"/>
      <c r="Z24" s="91"/>
      <c r="AA24" s="91"/>
      <c r="AB24" s="95"/>
      <c r="AC24" s="91"/>
      <c r="AD24" s="91"/>
      <c r="AE24" s="91"/>
      <c r="AF24" s="95"/>
      <c r="AG24" s="91"/>
      <c r="AH24" s="91"/>
      <c r="AI24" s="91"/>
      <c r="AJ24" s="91"/>
      <c r="AK24" s="95"/>
      <c r="AL24" s="91"/>
      <c r="AM24" s="91"/>
      <c r="AN24" s="91"/>
      <c r="AO24" s="95"/>
      <c r="AP24" s="91"/>
      <c r="AQ24" s="91"/>
      <c r="AR24" s="91"/>
      <c r="AS24" s="91"/>
      <c r="AT24" s="95"/>
      <c r="AU24" s="91"/>
      <c r="AV24" s="91"/>
      <c r="AW24" s="91"/>
      <c r="AX24" s="95"/>
      <c r="AY24" s="91"/>
      <c r="AZ24" s="91"/>
      <c r="BA24" s="91"/>
      <c r="BB24" s="91"/>
      <c r="BC24" s="91"/>
    </row>
    <row r="25" spans="1:55" ht="13.5" customHeight="1" x14ac:dyDescent="0.25">
      <c r="A25" s="30" t="s">
        <v>79</v>
      </c>
      <c r="B25" s="31"/>
      <c r="C25" s="14"/>
      <c r="D25" s="16"/>
      <c r="E25" s="16"/>
      <c r="F25" s="16"/>
      <c r="G25" s="16"/>
      <c r="H25" s="94"/>
      <c r="I25" s="91"/>
      <c r="J25" s="92"/>
      <c r="K25" s="93"/>
      <c r="L25" s="92"/>
      <c r="M25" s="91"/>
      <c r="N25" s="92"/>
      <c r="O25" s="93"/>
      <c r="P25" s="91"/>
      <c r="Q25" s="91"/>
      <c r="R25" s="91"/>
      <c r="S25" s="95"/>
      <c r="T25" s="91"/>
      <c r="U25" s="91"/>
      <c r="V25" s="91"/>
      <c r="W25" s="91"/>
      <c r="X25" s="95"/>
      <c r="Y25" s="91"/>
      <c r="Z25" s="91"/>
      <c r="AA25" s="91"/>
      <c r="AB25" s="95"/>
      <c r="AC25" s="91"/>
      <c r="AD25" s="91"/>
      <c r="AE25" s="91"/>
      <c r="AF25" s="95"/>
      <c r="AG25" s="91"/>
      <c r="AH25" s="91"/>
      <c r="AI25" s="91"/>
      <c r="AJ25" s="91"/>
      <c r="AK25" s="95"/>
      <c r="AL25" s="91"/>
      <c r="AM25" s="91"/>
      <c r="AN25" s="91"/>
      <c r="AO25" s="95"/>
      <c r="AP25" s="91"/>
      <c r="AQ25" s="91"/>
      <c r="AR25" s="91"/>
      <c r="AS25" s="91"/>
      <c r="AT25" s="95"/>
      <c r="AU25" s="91"/>
      <c r="AV25" s="91"/>
      <c r="AW25" s="91"/>
      <c r="AX25" s="95"/>
      <c r="AY25" s="91"/>
      <c r="AZ25" s="91"/>
      <c r="BA25" s="91"/>
      <c r="BB25" s="91"/>
      <c r="BC25" s="91"/>
    </row>
    <row r="26" spans="1:55" ht="13.5" customHeight="1" x14ac:dyDescent="0.25">
      <c r="A26" s="30" t="s">
        <v>80</v>
      </c>
      <c r="B26" s="344"/>
      <c r="C26" s="351"/>
      <c r="D26" s="346"/>
      <c r="E26" s="346"/>
      <c r="F26" s="346"/>
      <c r="G26" s="346"/>
      <c r="H26" s="352"/>
      <c r="I26" s="349"/>
      <c r="J26" s="349"/>
      <c r="K26" s="350"/>
      <c r="L26" s="349"/>
      <c r="M26" s="348"/>
      <c r="N26" s="349"/>
      <c r="O26" s="350"/>
      <c r="P26" s="348"/>
      <c r="Q26" s="348"/>
      <c r="R26" s="348"/>
      <c r="S26" s="353"/>
      <c r="T26" s="348"/>
      <c r="U26" s="348"/>
      <c r="V26" s="348">
        <v>160892</v>
      </c>
      <c r="W26" s="348"/>
      <c r="X26" s="353"/>
      <c r="Y26" s="348"/>
      <c r="Z26" s="348"/>
      <c r="AA26" s="348"/>
      <c r="AB26" s="348"/>
      <c r="AC26" s="348"/>
      <c r="AD26" s="348"/>
      <c r="AE26" s="348"/>
      <c r="AF26" s="353"/>
      <c r="AG26" s="348"/>
      <c r="AH26" s="348"/>
      <c r="AI26" s="348"/>
      <c r="AJ26" s="348"/>
      <c r="AK26" s="353"/>
      <c r="AL26" s="348"/>
      <c r="AM26" s="348"/>
      <c r="AN26" s="348"/>
      <c r="AO26" s="353"/>
      <c r="AP26" s="348"/>
      <c r="AQ26" s="348"/>
      <c r="AR26" s="348"/>
      <c r="AS26" s="348"/>
      <c r="AT26" s="353"/>
      <c r="AU26" s="348"/>
      <c r="AV26" s="348"/>
      <c r="AW26" s="348"/>
      <c r="AX26" s="353"/>
      <c r="AY26" s="348"/>
      <c r="AZ26" s="348"/>
      <c r="BA26" s="348"/>
      <c r="BB26" s="348"/>
      <c r="BC26" s="348"/>
    </row>
    <row r="27" spans="1:55" ht="13.5" customHeight="1" x14ac:dyDescent="0.25">
      <c r="A27" s="30" t="s">
        <v>81</v>
      </c>
      <c r="B27" s="31"/>
      <c r="C27" s="14"/>
      <c r="D27" s="16"/>
      <c r="E27" s="16"/>
      <c r="F27" s="16"/>
      <c r="G27" s="16"/>
      <c r="H27" s="94"/>
      <c r="I27" s="92"/>
      <c r="J27" s="92"/>
      <c r="K27" s="93"/>
      <c r="L27" s="92"/>
      <c r="M27" s="91"/>
      <c r="N27" s="92"/>
      <c r="O27" s="93"/>
      <c r="P27" s="91"/>
      <c r="Q27" s="91"/>
      <c r="R27" s="91"/>
      <c r="S27" s="95"/>
      <c r="T27" s="91"/>
      <c r="U27" s="91"/>
      <c r="V27" s="91"/>
      <c r="W27" s="91"/>
      <c r="X27" s="95"/>
      <c r="Y27" s="91"/>
      <c r="Z27" s="91"/>
      <c r="AA27" s="91"/>
      <c r="AB27" s="95"/>
      <c r="AC27" s="91"/>
      <c r="AD27" s="91"/>
      <c r="AE27" s="91"/>
      <c r="AF27" s="95"/>
      <c r="AG27" s="91"/>
      <c r="AH27" s="91"/>
      <c r="AI27" s="91"/>
      <c r="AJ27" s="91"/>
      <c r="AK27" s="95"/>
      <c r="AL27" s="91"/>
      <c r="AM27" s="91"/>
      <c r="AN27" s="91"/>
      <c r="AO27" s="95"/>
      <c r="AP27" s="91"/>
      <c r="AQ27" s="91"/>
      <c r="AR27" s="91"/>
      <c r="AS27" s="91"/>
      <c r="AT27" s="95"/>
      <c r="AU27" s="91"/>
      <c r="AV27" s="91"/>
      <c r="AW27" s="91"/>
      <c r="AX27" s="95"/>
      <c r="AY27" s="91"/>
      <c r="AZ27" s="91"/>
      <c r="BA27" s="91"/>
      <c r="BB27" s="91"/>
      <c r="BC27" s="91"/>
    </row>
    <row r="28" spans="1:55" ht="13.5" customHeight="1" x14ac:dyDescent="0.25">
      <c r="A28" s="30"/>
      <c r="B28" s="31"/>
      <c r="C28" s="94"/>
      <c r="D28" s="91"/>
      <c r="E28" s="91"/>
      <c r="F28" s="91"/>
      <c r="G28" s="91"/>
      <c r="H28" s="94"/>
      <c r="I28" s="92"/>
      <c r="J28" s="92"/>
      <c r="K28" s="93"/>
      <c r="L28" s="92"/>
      <c r="M28" s="91"/>
      <c r="N28" s="92"/>
      <c r="O28" s="93"/>
      <c r="P28" s="91"/>
      <c r="Q28" s="91"/>
      <c r="R28" s="91"/>
      <c r="S28" s="95"/>
      <c r="T28" s="91"/>
      <c r="U28" s="91"/>
      <c r="V28" s="91"/>
      <c r="W28" s="91"/>
      <c r="X28" s="95"/>
      <c r="Y28" s="91"/>
      <c r="Z28" s="91"/>
      <c r="AA28" s="91"/>
      <c r="AB28" s="95"/>
      <c r="AC28" s="91"/>
      <c r="AD28" s="91"/>
      <c r="AE28" s="91"/>
      <c r="AF28" s="95"/>
      <c r="AG28" s="91"/>
      <c r="AH28" s="91"/>
      <c r="AI28" s="91"/>
      <c r="AJ28" s="91"/>
      <c r="AK28" s="95"/>
      <c r="AL28" s="91"/>
      <c r="AM28" s="91"/>
      <c r="AN28" s="91"/>
      <c r="AO28" s="95"/>
      <c r="AP28" s="91"/>
      <c r="AQ28" s="91"/>
      <c r="AR28" s="91"/>
      <c r="AS28" s="91"/>
      <c r="AT28" s="95"/>
      <c r="AU28" s="91"/>
      <c r="AV28" s="91"/>
      <c r="AW28" s="91"/>
      <c r="AX28" s="95"/>
      <c r="AY28" s="91"/>
      <c r="AZ28" s="91"/>
      <c r="BA28" s="91"/>
      <c r="BB28" s="91"/>
      <c r="BC28" s="91"/>
    </row>
    <row r="29" spans="1:55" ht="13.5" customHeight="1" x14ac:dyDescent="0.25">
      <c r="A29" s="30" t="s">
        <v>82</v>
      </c>
      <c r="B29" s="31"/>
      <c r="C29" s="14"/>
      <c r="D29" s="16"/>
      <c r="E29" s="16"/>
      <c r="F29" s="16"/>
      <c r="G29" s="16"/>
      <c r="H29" s="94"/>
      <c r="I29" s="92"/>
      <c r="J29" s="92"/>
      <c r="K29" s="95"/>
      <c r="L29" s="92"/>
      <c r="M29" s="91"/>
      <c r="N29" s="92"/>
      <c r="O29" s="93"/>
      <c r="P29" s="91"/>
      <c r="Q29" s="91"/>
      <c r="R29" s="91"/>
      <c r="S29" s="95"/>
      <c r="T29" s="91"/>
      <c r="U29" s="91"/>
      <c r="V29" s="91"/>
      <c r="W29" s="91"/>
      <c r="X29" s="95"/>
      <c r="Y29" s="91"/>
      <c r="Z29" s="91"/>
      <c r="AA29" s="91"/>
      <c r="AB29" s="95"/>
      <c r="AC29" s="91"/>
      <c r="AD29" s="91"/>
      <c r="AE29" s="91"/>
      <c r="AF29" s="95"/>
      <c r="AG29" s="91"/>
      <c r="AH29" s="91"/>
      <c r="AI29" s="91"/>
      <c r="AJ29" s="91"/>
      <c r="AK29" s="95"/>
      <c r="AL29" s="91"/>
      <c r="AM29" s="91"/>
      <c r="AN29" s="91"/>
      <c r="AO29" s="95"/>
      <c r="AP29" s="91"/>
      <c r="AQ29" s="91"/>
      <c r="AR29" s="91"/>
      <c r="AS29" s="91"/>
      <c r="AT29" s="95"/>
      <c r="AU29" s="91"/>
      <c r="AV29" s="91"/>
      <c r="AW29" s="91"/>
      <c r="AX29" s="95"/>
      <c r="AY29" s="91"/>
      <c r="AZ29" s="91"/>
      <c r="BA29" s="91"/>
      <c r="BB29" s="91"/>
      <c r="BC29" s="91"/>
    </row>
    <row r="30" spans="1:55" ht="13.5" customHeight="1" x14ac:dyDescent="0.25">
      <c r="A30" s="44"/>
      <c r="B30" s="45"/>
      <c r="C30" s="96"/>
      <c r="D30" s="97"/>
      <c r="E30" s="97"/>
      <c r="F30" s="97"/>
      <c r="G30" s="97"/>
      <c r="H30" s="96"/>
      <c r="I30" s="97"/>
      <c r="J30" s="97"/>
      <c r="K30" s="98"/>
      <c r="L30" s="97"/>
      <c r="M30" s="97"/>
      <c r="N30" s="97"/>
      <c r="O30" s="98"/>
      <c r="P30" s="97"/>
      <c r="Q30" s="97"/>
      <c r="R30" s="97"/>
      <c r="S30" s="98"/>
      <c r="T30" s="97"/>
      <c r="U30" s="97"/>
      <c r="V30" s="97"/>
      <c r="W30" s="97"/>
      <c r="X30" s="98"/>
      <c r="Y30" s="97"/>
      <c r="Z30" s="97"/>
      <c r="AA30" s="97"/>
      <c r="AB30" s="98"/>
      <c r="AC30" s="97"/>
      <c r="AD30" s="97"/>
      <c r="AE30" s="97"/>
      <c r="AF30" s="98"/>
      <c r="AG30" s="97"/>
      <c r="AH30" s="97"/>
      <c r="AI30" s="97"/>
      <c r="AJ30" s="97"/>
      <c r="AK30" s="98"/>
      <c r="AL30" s="97"/>
      <c r="AM30" s="97"/>
      <c r="AN30" s="97"/>
      <c r="AO30" s="98"/>
      <c r="AP30" s="97"/>
      <c r="AQ30" s="97"/>
      <c r="AR30" s="97"/>
      <c r="AS30" s="97"/>
      <c r="AT30" s="98"/>
      <c r="AU30" s="97"/>
      <c r="AV30" s="97"/>
      <c r="AW30" s="97"/>
      <c r="AX30" s="98"/>
      <c r="AY30" s="97"/>
      <c r="AZ30" s="97"/>
      <c r="BA30" s="97"/>
      <c r="BB30" s="97"/>
      <c r="BC30" s="97"/>
    </row>
    <row r="31" spans="1:55" ht="13.5" customHeight="1" x14ac:dyDescent="0.25">
      <c r="A31" s="46" t="s">
        <v>83</v>
      </c>
      <c r="B31" s="47"/>
      <c r="C31" s="99"/>
      <c r="D31" s="100"/>
      <c r="E31" s="100"/>
      <c r="F31" s="100"/>
      <c r="G31" s="100"/>
      <c r="H31" s="99"/>
      <c r="I31" s="100"/>
      <c r="J31" s="100"/>
      <c r="K31" s="101"/>
      <c r="L31" s="100"/>
      <c r="M31" s="100"/>
      <c r="N31" s="100"/>
      <c r="O31" s="101"/>
      <c r="P31" s="100"/>
      <c r="Q31" s="100"/>
      <c r="R31" s="100"/>
      <c r="S31" s="101"/>
      <c r="T31" s="100"/>
      <c r="U31" s="100"/>
      <c r="V31" s="100"/>
      <c r="W31" s="100"/>
      <c r="X31" s="101"/>
      <c r="Y31" s="100"/>
      <c r="Z31" s="100"/>
      <c r="AA31" s="100"/>
      <c r="AB31" s="101"/>
      <c r="AC31" s="100"/>
      <c r="AD31" s="100"/>
      <c r="AE31" s="100"/>
      <c r="AF31" s="101"/>
      <c r="AG31" s="100"/>
      <c r="AH31" s="100"/>
      <c r="AI31" s="100"/>
      <c r="AJ31" s="100"/>
      <c r="AK31" s="101"/>
      <c r="AL31" s="100"/>
      <c r="AM31" s="100"/>
      <c r="AN31" s="100"/>
      <c r="AO31" s="101"/>
      <c r="AP31" s="100"/>
      <c r="AQ31" s="100"/>
      <c r="AR31" s="100"/>
      <c r="AS31" s="100"/>
      <c r="AT31" s="101"/>
      <c r="AU31" s="100"/>
      <c r="AV31" s="100"/>
      <c r="AW31" s="100"/>
      <c r="AX31" s="101"/>
      <c r="AY31" s="100"/>
      <c r="AZ31" s="100"/>
      <c r="BA31" s="100"/>
      <c r="BB31" s="100"/>
      <c r="BC31" s="100"/>
    </row>
    <row r="33" spans="1:55" ht="13.5" customHeight="1" x14ac:dyDescent="0.25">
      <c r="A33" s="49" t="s">
        <v>55</v>
      </c>
      <c r="B33" s="50"/>
      <c r="C33" s="74">
        <f t="shared" ref="C33:AH33" si="6">C11-C13-C21-SUM(C23:C27)+C29-C31</f>
        <v>1994177.8957000005</v>
      </c>
      <c r="D33" s="74">
        <f t="shared" si="6"/>
        <v>2100356.7557000006</v>
      </c>
      <c r="E33" s="74">
        <f t="shared" si="6"/>
        <v>2234359.3557000002</v>
      </c>
      <c r="F33" s="74">
        <f t="shared" si="6"/>
        <v>2340085.2357000005</v>
      </c>
      <c r="G33" s="74">
        <f t="shared" si="6"/>
        <v>2444316.6157000004</v>
      </c>
      <c r="H33" s="73">
        <f t="shared" si="6"/>
        <v>2568251.9457000005</v>
      </c>
      <c r="I33" s="74">
        <f t="shared" si="6"/>
        <v>2701831.7657000003</v>
      </c>
      <c r="J33" s="74">
        <f t="shared" si="6"/>
        <v>2827470.9057000005</v>
      </c>
      <c r="K33" s="75">
        <f t="shared" si="6"/>
        <v>2951779.9657000005</v>
      </c>
      <c r="L33" s="74">
        <f t="shared" si="6"/>
        <v>3065041.8357000006</v>
      </c>
      <c r="M33" s="74">
        <f t="shared" si="6"/>
        <v>3166917.6157000004</v>
      </c>
      <c r="N33" s="74">
        <f t="shared" si="6"/>
        <v>3264799.0757000004</v>
      </c>
      <c r="O33" s="75">
        <f t="shared" si="6"/>
        <v>3357449.8957000007</v>
      </c>
      <c r="P33" s="74">
        <f t="shared" si="6"/>
        <v>3428328.6757000005</v>
      </c>
      <c r="Q33" s="74">
        <f t="shared" si="6"/>
        <v>3485243.3357000006</v>
      </c>
      <c r="R33" s="74">
        <f t="shared" si="6"/>
        <v>3539892.4257000005</v>
      </c>
      <c r="S33" s="75">
        <f t="shared" si="6"/>
        <v>3601048.8357000006</v>
      </c>
      <c r="T33" s="74">
        <f t="shared" si="6"/>
        <v>3389212.0757000004</v>
      </c>
      <c r="U33" s="74">
        <f t="shared" si="6"/>
        <v>3421065.4957000003</v>
      </c>
      <c r="V33" s="74">
        <f t="shared" si="6"/>
        <v>3295436.4657000001</v>
      </c>
      <c r="W33" s="74">
        <f t="shared" si="6"/>
        <v>3322139.5757000004</v>
      </c>
      <c r="X33" s="75">
        <f t="shared" si="6"/>
        <v>3365885.2857000004</v>
      </c>
      <c r="Y33" s="74">
        <f t="shared" si="6"/>
        <v>3398661.5357000004</v>
      </c>
      <c r="Z33" s="74">
        <f t="shared" si="6"/>
        <v>3429860.8057000004</v>
      </c>
      <c r="AA33" s="74">
        <f t="shared" si="6"/>
        <v>3429860.8057000004</v>
      </c>
      <c r="AB33" s="75">
        <f t="shared" si="6"/>
        <v>3429860.8057000004</v>
      </c>
      <c r="AC33" s="74">
        <f t="shared" si="6"/>
        <v>3429860.8057000004</v>
      </c>
      <c r="AD33" s="74">
        <f t="shared" si="6"/>
        <v>3429860.8057000004</v>
      </c>
      <c r="AE33" s="74">
        <f t="shared" si="6"/>
        <v>3429860.8057000004</v>
      </c>
      <c r="AF33" s="75">
        <f t="shared" si="6"/>
        <v>3429860.8057000004</v>
      </c>
      <c r="AG33" s="74">
        <f t="shared" si="6"/>
        <v>3429860.8057000004</v>
      </c>
      <c r="AH33" s="74">
        <f t="shared" si="6"/>
        <v>3429860.8057000004</v>
      </c>
      <c r="AI33" s="74">
        <f t="shared" ref="AI33:BB33" si="7">AI11-AI13-AI21-SUM(AI23:AI27)+AI29-AI31</f>
        <v>3429860.8057000004</v>
      </c>
      <c r="AJ33" s="74">
        <f t="shared" si="7"/>
        <v>3429860.8057000004</v>
      </c>
      <c r="AK33" s="75">
        <f t="shared" si="7"/>
        <v>3429860.8057000004</v>
      </c>
      <c r="AL33" s="74">
        <f t="shared" si="7"/>
        <v>3429860.8057000004</v>
      </c>
      <c r="AM33" s="74">
        <f t="shared" si="7"/>
        <v>3429860.8057000004</v>
      </c>
      <c r="AN33" s="74">
        <f t="shared" si="7"/>
        <v>3429860.8057000004</v>
      </c>
      <c r="AO33" s="75">
        <f t="shared" si="7"/>
        <v>3429860.8057000004</v>
      </c>
      <c r="AP33" s="74">
        <f t="shared" si="7"/>
        <v>3429860.8057000004</v>
      </c>
      <c r="AQ33" s="74">
        <f t="shared" si="7"/>
        <v>3429860.8057000004</v>
      </c>
      <c r="AR33" s="74">
        <f t="shared" si="7"/>
        <v>3429860.8057000004</v>
      </c>
      <c r="AS33" s="74">
        <f t="shared" si="7"/>
        <v>3429860.8057000004</v>
      </c>
      <c r="AT33" s="75">
        <f t="shared" si="7"/>
        <v>3429860.8057000004</v>
      </c>
      <c r="AU33" s="74">
        <f t="shared" si="7"/>
        <v>3429860.8057000004</v>
      </c>
      <c r="AV33" s="74">
        <f t="shared" si="7"/>
        <v>3429860.8057000004</v>
      </c>
      <c r="AW33" s="74">
        <f t="shared" si="7"/>
        <v>3429860.8057000004</v>
      </c>
      <c r="AX33" s="75">
        <f t="shared" si="7"/>
        <v>3429860.8057000004</v>
      </c>
      <c r="AY33" s="74">
        <f t="shared" si="7"/>
        <v>3429860.8057000004</v>
      </c>
      <c r="AZ33" s="74">
        <f t="shared" si="7"/>
        <v>3429860.8057000004</v>
      </c>
      <c r="BA33" s="74">
        <f t="shared" si="7"/>
        <v>3429860.8057000004</v>
      </c>
      <c r="BB33" s="74">
        <f t="shared" si="7"/>
        <v>3429860.8057000004</v>
      </c>
      <c r="BC33" s="74">
        <f t="shared" ref="BC33" si="8">BC11-BC13-BC21-SUM(BC23:BC27)+BC29-BC31</f>
        <v>3429860.8057000004</v>
      </c>
    </row>
    <row r="34" spans="1:55" ht="13.5" customHeight="1" x14ac:dyDescent="0.25">
      <c r="A34" s="30"/>
      <c r="B34" s="53"/>
      <c r="C34" s="76"/>
      <c r="D34" s="54"/>
      <c r="E34" s="54"/>
      <c r="F34" s="54"/>
      <c r="G34" s="77"/>
      <c r="H34" s="76"/>
      <c r="I34" s="54"/>
      <c r="J34" s="54"/>
      <c r="K34" s="78"/>
      <c r="L34" s="54"/>
      <c r="M34" s="54"/>
      <c r="N34" s="54"/>
      <c r="O34" s="79"/>
      <c r="P34" s="54"/>
      <c r="Q34" s="54"/>
      <c r="R34" s="54"/>
      <c r="S34" s="79"/>
      <c r="T34" s="54"/>
      <c r="U34" s="54"/>
      <c r="V34" s="54"/>
      <c r="W34" s="54"/>
      <c r="X34" s="79"/>
      <c r="Y34" s="54"/>
      <c r="Z34" s="54"/>
      <c r="AA34" s="54"/>
      <c r="AB34" s="79"/>
      <c r="AC34" s="54"/>
      <c r="AD34" s="54"/>
      <c r="AE34" s="54"/>
      <c r="AF34" s="79"/>
      <c r="AG34" s="54"/>
      <c r="AH34" s="54"/>
      <c r="AI34" s="54"/>
      <c r="AJ34" s="54"/>
      <c r="AK34" s="79"/>
      <c r="AL34" s="54"/>
      <c r="AM34" s="54"/>
      <c r="AN34" s="54"/>
      <c r="AO34" s="79"/>
      <c r="AP34" s="54"/>
      <c r="AQ34" s="54"/>
      <c r="AR34" s="54"/>
      <c r="AS34" s="54"/>
      <c r="AT34" s="79"/>
      <c r="AU34" s="54"/>
      <c r="AV34" s="54"/>
      <c r="AW34" s="54"/>
      <c r="AX34" s="79"/>
      <c r="AY34" s="54"/>
      <c r="AZ34" s="54"/>
      <c r="BA34" s="54"/>
      <c r="BB34" s="54"/>
      <c r="BC34" s="54"/>
    </row>
    <row r="35" spans="1:55" ht="13.5" customHeight="1" x14ac:dyDescent="0.25">
      <c r="A35" s="30"/>
      <c r="B35" s="53" t="s">
        <v>84</v>
      </c>
      <c r="C35" s="80">
        <f>283707+SUM(C23:C27)-C4</f>
        <v>91308.23000000001</v>
      </c>
      <c r="D35" s="55">
        <f t="shared" ref="D35:AI35" si="9">C35+SUM(D23:D27)-D4</f>
        <v>91308.23000000001</v>
      </c>
      <c r="E35" s="55">
        <f t="shared" si="9"/>
        <v>91308.23000000001</v>
      </c>
      <c r="F35" s="55">
        <f t="shared" si="9"/>
        <v>91308.23000000001</v>
      </c>
      <c r="G35" s="55">
        <f t="shared" si="9"/>
        <v>91308.23000000001</v>
      </c>
      <c r="H35" s="80">
        <f t="shared" si="9"/>
        <v>91308.23000000001</v>
      </c>
      <c r="I35" s="55">
        <f t="shared" si="9"/>
        <v>91308.23000000001</v>
      </c>
      <c r="J35" s="55">
        <f t="shared" si="9"/>
        <v>91308.23000000001</v>
      </c>
      <c r="K35" s="53">
        <f t="shared" si="9"/>
        <v>91308.23000000001</v>
      </c>
      <c r="L35" s="55">
        <f t="shared" si="9"/>
        <v>91308.23000000001</v>
      </c>
      <c r="M35" s="55">
        <f t="shared" si="9"/>
        <v>91308.23000000001</v>
      </c>
      <c r="N35" s="55">
        <f t="shared" si="9"/>
        <v>91308.23000000001</v>
      </c>
      <c r="O35" s="53">
        <f t="shared" si="9"/>
        <v>91308.23000000001</v>
      </c>
      <c r="P35" s="55">
        <f t="shared" si="9"/>
        <v>91308.23000000001</v>
      </c>
      <c r="Q35" s="55">
        <f t="shared" si="9"/>
        <v>91308.23000000001</v>
      </c>
      <c r="R35" s="55">
        <f t="shared" si="9"/>
        <v>91308.23000000001</v>
      </c>
      <c r="S35" s="53">
        <f t="shared" si="9"/>
        <v>91308.23000000001</v>
      </c>
      <c r="T35" s="55">
        <f t="shared" si="9"/>
        <v>338974.23</v>
      </c>
      <c r="U35" s="55">
        <f t="shared" si="9"/>
        <v>338974.23</v>
      </c>
      <c r="V35" s="55">
        <f t="shared" si="9"/>
        <v>29351.329999999958</v>
      </c>
      <c r="W35" s="55">
        <f t="shared" si="9"/>
        <v>29351.329999999958</v>
      </c>
      <c r="X35" s="53">
        <f t="shared" si="9"/>
        <v>29351.329999999958</v>
      </c>
      <c r="Y35" s="55">
        <f t="shared" si="9"/>
        <v>29351.329999999958</v>
      </c>
      <c r="Z35" s="55">
        <f t="shared" si="9"/>
        <v>29351.329999999958</v>
      </c>
      <c r="AA35" s="55">
        <f t="shared" si="9"/>
        <v>29351.329999999958</v>
      </c>
      <c r="AB35" s="53">
        <f t="shared" si="9"/>
        <v>29351.329999999958</v>
      </c>
      <c r="AC35" s="55">
        <f t="shared" si="9"/>
        <v>29351.329999999958</v>
      </c>
      <c r="AD35" s="55">
        <f t="shared" si="9"/>
        <v>29351.329999999958</v>
      </c>
      <c r="AE35" s="55">
        <f t="shared" si="9"/>
        <v>29351.329999999958</v>
      </c>
      <c r="AF35" s="53">
        <f t="shared" si="9"/>
        <v>29351.329999999958</v>
      </c>
      <c r="AG35" s="55">
        <f t="shared" si="9"/>
        <v>29351.329999999958</v>
      </c>
      <c r="AH35" s="55">
        <f t="shared" si="9"/>
        <v>29351.329999999958</v>
      </c>
      <c r="AI35" s="55">
        <f t="shared" si="9"/>
        <v>29351.329999999958</v>
      </c>
      <c r="AJ35" s="55">
        <f t="shared" ref="AJ35:BC35" si="10">AI35+SUM(AJ23:AJ27)-AJ4</f>
        <v>29351.329999999958</v>
      </c>
      <c r="AK35" s="53">
        <f t="shared" si="10"/>
        <v>29351.329999999958</v>
      </c>
      <c r="AL35" s="55">
        <f t="shared" si="10"/>
        <v>29351.329999999958</v>
      </c>
      <c r="AM35" s="55">
        <f t="shared" si="10"/>
        <v>29351.329999999958</v>
      </c>
      <c r="AN35" s="55">
        <f t="shared" si="10"/>
        <v>29351.329999999958</v>
      </c>
      <c r="AO35" s="53">
        <f t="shared" si="10"/>
        <v>29351.329999999958</v>
      </c>
      <c r="AP35" s="55">
        <f t="shared" si="10"/>
        <v>29351.329999999958</v>
      </c>
      <c r="AQ35" s="55">
        <f t="shared" si="10"/>
        <v>29351.329999999958</v>
      </c>
      <c r="AR35" s="55">
        <f t="shared" si="10"/>
        <v>29351.329999999958</v>
      </c>
      <c r="AS35" s="55">
        <f t="shared" si="10"/>
        <v>29351.329999999958</v>
      </c>
      <c r="AT35" s="53">
        <f t="shared" si="10"/>
        <v>29351.329999999958</v>
      </c>
      <c r="AU35" s="55">
        <f t="shared" si="10"/>
        <v>29351.329999999958</v>
      </c>
      <c r="AV35" s="55">
        <f t="shared" si="10"/>
        <v>29351.329999999958</v>
      </c>
      <c r="AW35" s="55">
        <f t="shared" si="10"/>
        <v>29351.329999999958</v>
      </c>
      <c r="AX35" s="53">
        <f t="shared" si="10"/>
        <v>29351.329999999958</v>
      </c>
      <c r="AY35" s="55">
        <f t="shared" si="10"/>
        <v>29351.329999999958</v>
      </c>
      <c r="AZ35" s="55">
        <f t="shared" si="10"/>
        <v>29351.329999999958</v>
      </c>
      <c r="BA35" s="55">
        <f t="shared" si="10"/>
        <v>29351.329999999958</v>
      </c>
      <c r="BB35" s="55">
        <f t="shared" si="10"/>
        <v>29351.329999999958</v>
      </c>
      <c r="BC35" s="55">
        <f t="shared" si="10"/>
        <v>29351.329999999958</v>
      </c>
    </row>
    <row r="36" spans="1:55" ht="13.5" customHeight="1" x14ac:dyDescent="0.25">
      <c r="A36" s="30"/>
      <c r="B36" s="53" t="s">
        <v>85</v>
      </c>
      <c r="C36" s="80">
        <f t="shared" ref="C36:AH36" si="11">C5+C42+C35</f>
        <v>3835537.5657000006</v>
      </c>
      <c r="D36" s="55">
        <f t="shared" si="11"/>
        <v>3891586.425700001</v>
      </c>
      <c r="E36" s="55">
        <f t="shared" si="11"/>
        <v>3962155.8657000004</v>
      </c>
      <c r="F36" s="55">
        <f t="shared" si="11"/>
        <v>4010105.5457000011</v>
      </c>
      <c r="G36" s="55">
        <f t="shared" si="11"/>
        <v>4058530.4757000008</v>
      </c>
      <c r="H36" s="80">
        <f t="shared" si="11"/>
        <v>4124524.8057000008</v>
      </c>
      <c r="I36" s="55">
        <f t="shared" si="11"/>
        <v>4200742.5657000011</v>
      </c>
      <c r="J36" s="55">
        <f t="shared" si="11"/>
        <v>4270144.4657000015</v>
      </c>
      <c r="K36" s="53">
        <f t="shared" si="11"/>
        <v>4344507.1057000011</v>
      </c>
      <c r="L36" s="55">
        <f t="shared" si="11"/>
        <v>4407956.9757000012</v>
      </c>
      <c r="M36" s="55">
        <f t="shared" si="11"/>
        <v>4462372.2957000015</v>
      </c>
      <c r="N36" s="55">
        <f t="shared" si="11"/>
        <v>4507166.0057000015</v>
      </c>
      <c r="O36" s="53">
        <f t="shared" si="11"/>
        <v>4557827.6357000014</v>
      </c>
      <c r="P36" s="55">
        <f t="shared" si="11"/>
        <v>4599717.8757000016</v>
      </c>
      <c r="Q36" s="55">
        <f t="shared" si="11"/>
        <v>4630937.9757000012</v>
      </c>
      <c r="R36" s="55">
        <f t="shared" si="11"/>
        <v>4659279.2657000013</v>
      </c>
      <c r="S36" s="53">
        <f t="shared" si="11"/>
        <v>4699389.1157000009</v>
      </c>
      <c r="T36" s="55">
        <f t="shared" si="11"/>
        <v>4720021.4857000001</v>
      </c>
      <c r="U36" s="55">
        <f t="shared" si="11"/>
        <v>4736938.4357000012</v>
      </c>
      <c r="V36" s="55">
        <f t="shared" si="11"/>
        <v>4756447.0157000003</v>
      </c>
      <c r="W36" s="55">
        <f t="shared" si="11"/>
        <v>4770151.0157000003</v>
      </c>
      <c r="X36" s="53">
        <f t="shared" si="11"/>
        <v>4776554.3256999999</v>
      </c>
      <c r="Y36" s="55">
        <f t="shared" si="11"/>
        <v>4792722.8657000009</v>
      </c>
      <c r="Z36" s="55">
        <f t="shared" si="11"/>
        <v>4802351.3957000002</v>
      </c>
      <c r="AA36" s="55">
        <f t="shared" si="11"/>
        <v>4802351.3957000002</v>
      </c>
      <c r="AB36" s="53">
        <f t="shared" si="11"/>
        <v>4802351.3957000002</v>
      </c>
      <c r="AC36" s="55">
        <f t="shared" si="11"/>
        <v>4802351.3957000002</v>
      </c>
      <c r="AD36" s="55">
        <f t="shared" si="11"/>
        <v>4802351.3957000002</v>
      </c>
      <c r="AE36" s="55">
        <f t="shared" si="11"/>
        <v>4802351.3957000002</v>
      </c>
      <c r="AF36" s="53">
        <f t="shared" si="11"/>
        <v>4802351.3957000002</v>
      </c>
      <c r="AG36" s="55">
        <f t="shared" si="11"/>
        <v>4802351.3957000002</v>
      </c>
      <c r="AH36" s="55">
        <f t="shared" si="11"/>
        <v>4802351.3957000002</v>
      </c>
      <c r="AI36" s="55">
        <f t="shared" ref="AI36:BA36" si="12">AI5+AI42+AI35</f>
        <v>4802351.3957000002</v>
      </c>
      <c r="AJ36" s="55">
        <f t="shared" si="12"/>
        <v>4802351.3957000002</v>
      </c>
      <c r="AK36" s="53">
        <f t="shared" si="12"/>
        <v>4802351.3957000002</v>
      </c>
      <c r="AL36" s="55">
        <f t="shared" si="12"/>
        <v>4802351.3957000002</v>
      </c>
      <c r="AM36" s="55">
        <f t="shared" si="12"/>
        <v>4802351.3957000002</v>
      </c>
      <c r="AN36" s="55">
        <f t="shared" si="12"/>
        <v>4802351.3957000002</v>
      </c>
      <c r="AO36" s="53">
        <f t="shared" si="12"/>
        <v>4802351.3957000002</v>
      </c>
      <c r="AP36" s="55">
        <f t="shared" si="12"/>
        <v>4802351.3957000002</v>
      </c>
      <c r="AQ36" s="55">
        <f t="shared" si="12"/>
        <v>4802351.3957000002</v>
      </c>
      <c r="AR36" s="55">
        <f t="shared" si="12"/>
        <v>4802351.3957000002</v>
      </c>
      <c r="AS36" s="55">
        <f t="shared" si="12"/>
        <v>4802351.3957000002</v>
      </c>
      <c r="AT36" s="53">
        <f t="shared" si="12"/>
        <v>4802351.3957000002</v>
      </c>
      <c r="AU36" s="55">
        <f t="shared" si="12"/>
        <v>4802351.3957000002</v>
      </c>
      <c r="AV36" s="55">
        <f t="shared" si="12"/>
        <v>4802351.3957000002</v>
      </c>
      <c r="AW36" s="55">
        <f t="shared" si="12"/>
        <v>4802351.3957000002</v>
      </c>
      <c r="AX36" s="53">
        <f t="shared" si="12"/>
        <v>4802351.3957000002</v>
      </c>
      <c r="AY36" s="55">
        <f t="shared" si="12"/>
        <v>4802351.3957000002</v>
      </c>
      <c r="AZ36" s="55">
        <f t="shared" si="12"/>
        <v>4802351.3957000002</v>
      </c>
      <c r="BA36" s="55">
        <f t="shared" si="12"/>
        <v>4802351.3957000002</v>
      </c>
      <c r="BB36" s="55">
        <f>BB5+BB42+BB35</f>
        <v>4802351.3957000002</v>
      </c>
      <c r="BC36" s="55">
        <f>BC5+BC42+BC35</f>
        <v>4837828.6657000007</v>
      </c>
    </row>
    <row r="37" spans="1:55" ht="13.5" customHeight="1" x14ac:dyDescent="0.25">
      <c r="A37" s="81"/>
      <c r="B37" s="82"/>
      <c r="C37" s="83"/>
      <c r="D37" s="84"/>
      <c r="E37" s="84"/>
      <c r="F37" s="84"/>
      <c r="G37" s="84">
        <f>G36-CF!C36</f>
        <v>17364.730000000913</v>
      </c>
      <c r="H37" s="83"/>
      <c r="I37" s="84"/>
      <c r="J37" s="84"/>
      <c r="K37" s="82">
        <f>K36-CF!D36</f>
        <v>31050.170000000857</v>
      </c>
      <c r="L37" s="84"/>
      <c r="M37" s="84"/>
      <c r="N37" s="84"/>
      <c r="O37" s="82"/>
      <c r="P37" s="84"/>
      <c r="Q37" s="84"/>
      <c r="R37" s="84"/>
      <c r="S37" s="82"/>
      <c r="T37" s="84"/>
      <c r="U37" s="84"/>
      <c r="V37" s="84"/>
      <c r="W37" s="84"/>
      <c r="X37" s="82"/>
      <c r="Y37" s="84"/>
      <c r="Z37" s="84"/>
      <c r="AA37" s="84"/>
      <c r="AB37" s="82"/>
      <c r="AC37" s="84"/>
      <c r="AD37" s="84"/>
      <c r="AE37" s="84"/>
      <c r="AF37" s="82"/>
      <c r="AG37" s="84"/>
      <c r="AH37" s="84"/>
      <c r="AI37" s="84"/>
      <c r="AJ37" s="84"/>
      <c r="AK37" s="82"/>
      <c r="AL37" s="84"/>
      <c r="AM37" s="84"/>
      <c r="AN37" s="84"/>
      <c r="AO37" s="82"/>
      <c r="AP37" s="84"/>
      <c r="AQ37" s="84"/>
      <c r="AR37" s="84"/>
      <c r="AS37" s="84"/>
      <c r="AT37" s="82"/>
      <c r="AU37" s="84"/>
      <c r="AV37" s="84"/>
      <c r="AW37" s="84"/>
      <c r="AX37" s="82"/>
      <c r="AY37" s="84"/>
      <c r="AZ37" s="84"/>
      <c r="BA37" s="84"/>
      <c r="BB37" s="84"/>
      <c r="BC37" s="84"/>
    </row>
    <row r="38" spans="1:55" ht="13.5" customHeight="1" x14ac:dyDescent="0.25">
      <c r="A38" s="30" t="s">
        <v>54</v>
      </c>
      <c r="B38" s="53"/>
      <c r="C38" s="80">
        <f t="shared" ref="C38:BB38" si="13">C39+C40</f>
        <v>0</v>
      </c>
      <c r="D38" s="55">
        <f t="shared" si="13"/>
        <v>0</v>
      </c>
      <c r="E38" s="55">
        <f t="shared" si="13"/>
        <v>0</v>
      </c>
      <c r="F38" s="55">
        <f t="shared" si="13"/>
        <v>0</v>
      </c>
      <c r="G38" s="55">
        <f t="shared" si="13"/>
        <v>0</v>
      </c>
      <c r="H38" s="80">
        <f t="shared" si="13"/>
        <v>0</v>
      </c>
      <c r="I38" s="55">
        <f t="shared" si="13"/>
        <v>0</v>
      </c>
      <c r="J38" s="55">
        <f t="shared" si="13"/>
        <v>0</v>
      </c>
      <c r="K38" s="53">
        <f t="shared" si="13"/>
        <v>0</v>
      </c>
      <c r="L38" s="55">
        <f t="shared" si="13"/>
        <v>0</v>
      </c>
      <c r="M38" s="55">
        <f t="shared" si="13"/>
        <v>0</v>
      </c>
      <c r="N38" s="55">
        <f t="shared" si="13"/>
        <v>0</v>
      </c>
      <c r="O38" s="53">
        <f t="shared" si="13"/>
        <v>0</v>
      </c>
      <c r="P38" s="55">
        <f t="shared" si="13"/>
        <v>0</v>
      </c>
      <c r="Q38" s="55">
        <f t="shared" si="13"/>
        <v>0</v>
      </c>
      <c r="R38" s="55">
        <f t="shared" si="13"/>
        <v>0</v>
      </c>
      <c r="S38" s="53">
        <f t="shared" si="13"/>
        <v>0</v>
      </c>
      <c r="T38" s="55">
        <f t="shared" si="13"/>
        <v>0</v>
      </c>
      <c r="U38" s="55">
        <f t="shared" si="13"/>
        <v>0</v>
      </c>
      <c r="V38" s="55">
        <f t="shared" si="13"/>
        <v>0</v>
      </c>
      <c r="W38" s="55">
        <f t="shared" si="13"/>
        <v>0</v>
      </c>
      <c r="X38" s="53">
        <f t="shared" si="13"/>
        <v>0</v>
      </c>
      <c r="Y38" s="55">
        <f t="shared" si="13"/>
        <v>0</v>
      </c>
      <c r="Z38" s="55">
        <f t="shared" si="13"/>
        <v>0</v>
      </c>
      <c r="AA38" s="55">
        <f t="shared" si="13"/>
        <v>0</v>
      </c>
      <c r="AB38" s="53">
        <f t="shared" si="13"/>
        <v>0</v>
      </c>
      <c r="AC38" s="55">
        <f t="shared" si="13"/>
        <v>0</v>
      </c>
      <c r="AD38" s="55">
        <f t="shared" si="13"/>
        <v>0</v>
      </c>
      <c r="AE38" s="55">
        <f t="shared" si="13"/>
        <v>0</v>
      </c>
      <c r="AF38" s="53">
        <f t="shared" si="13"/>
        <v>0</v>
      </c>
      <c r="AG38" s="55">
        <f t="shared" si="13"/>
        <v>0</v>
      </c>
      <c r="AH38" s="55">
        <f t="shared" si="13"/>
        <v>0</v>
      </c>
      <c r="AI38" s="55">
        <f t="shared" si="13"/>
        <v>0</v>
      </c>
      <c r="AJ38" s="55">
        <f t="shared" si="13"/>
        <v>0</v>
      </c>
      <c r="AK38" s="53">
        <f t="shared" si="13"/>
        <v>0</v>
      </c>
      <c r="AL38" s="55">
        <f t="shared" si="13"/>
        <v>0</v>
      </c>
      <c r="AM38" s="55">
        <f t="shared" si="13"/>
        <v>0</v>
      </c>
      <c r="AN38" s="55">
        <f t="shared" si="13"/>
        <v>0</v>
      </c>
      <c r="AO38" s="53">
        <f t="shared" si="13"/>
        <v>0</v>
      </c>
      <c r="AP38" s="55">
        <f t="shared" si="13"/>
        <v>0</v>
      </c>
      <c r="AQ38" s="55">
        <f t="shared" si="13"/>
        <v>0</v>
      </c>
      <c r="AR38" s="55">
        <f t="shared" si="13"/>
        <v>0</v>
      </c>
      <c r="AS38" s="55">
        <f t="shared" si="13"/>
        <v>0</v>
      </c>
      <c r="AT38" s="53">
        <f t="shared" si="13"/>
        <v>0</v>
      </c>
      <c r="AU38" s="55">
        <f t="shared" si="13"/>
        <v>0</v>
      </c>
      <c r="AV38" s="55">
        <f t="shared" si="13"/>
        <v>0</v>
      </c>
      <c r="AW38" s="55">
        <f t="shared" si="13"/>
        <v>0</v>
      </c>
      <c r="AX38" s="53">
        <f t="shared" si="13"/>
        <v>0</v>
      </c>
      <c r="AY38" s="55">
        <f t="shared" si="13"/>
        <v>0</v>
      </c>
      <c r="AZ38" s="55">
        <f t="shared" si="13"/>
        <v>0</v>
      </c>
      <c r="BA38" s="55">
        <f t="shared" si="13"/>
        <v>0</v>
      </c>
      <c r="BB38" s="55">
        <f t="shared" si="13"/>
        <v>0</v>
      </c>
      <c r="BC38" s="55">
        <f t="shared" ref="BC38" si="14">BC39+BC40</f>
        <v>0</v>
      </c>
    </row>
    <row r="39" spans="1:55" ht="32.25" customHeight="1" x14ac:dyDescent="0.25">
      <c r="A39" s="30" t="s">
        <v>87</v>
      </c>
      <c r="B39" s="526" t="s">
        <v>88</v>
      </c>
      <c r="C39" s="14"/>
      <c r="D39" s="16"/>
      <c r="E39" s="16"/>
      <c r="F39" s="16"/>
      <c r="G39" s="16"/>
      <c r="H39" s="90"/>
      <c r="I39" s="92"/>
      <c r="J39" s="92"/>
      <c r="K39" s="93"/>
      <c r="L39" s="92"/>
      <c r="M39" s="92"/>
      <c r="N39" s="92"/>
      <c r="O39" s="93"/>
      <c r="P39" s="92"/>
      <c r="Q39" s="92"/>
      <c r="R39" s="92"/>
      <c r="S39" s="93"/>
      <c r="T39" s="92"/>
      <c r="U39" s="92"/>
      <c r="V39" s="92"/>
      <c r="W39" s="92"/>
      <c r="X39" s="93"/>
      <c r="Y39" s="92"/>
      <c r="Z39" s="92"/>
      <c r="AA39" s="92"/>
      <c r="AB39" s="93"/>
      <c r="AC39" s="92"/>
      <c r="AD39" s="92"/>
      <c r="AE39" s="92"/>
      <c r="AF39" s="93"/>
      <c r="AG39" s="92"/>
      <c r="AH39" s="92"/>
      <c r="AI39" s="92"/>
      <c r="AJ39" s="92"/>
      <c r="AK39" s="93"/>
      <c r="AL39" s="92"/>
      <c r="AM39" s="92"/>
      <c r="AN39" s="92"/>
      <c r="AO39" s="93"/>
      <c r="AP39" s="92"/>
      <c r="AQ39" s="92"/>
      <c r="AR39" s="92"/>
      <c r="AS39" s="92"/>
      <c r="AT39" s="93"/>
      <c r="AU39" s="92"/>
      <c r="AV39" s="92"/>
      <c r="AW39" s="92"/>
      <c r="AX39" s="93"/>
      <c r="AY39" s="92"/>
      <c r="AZ39" s="92"/>
      <c r="BA39" s="92"/>
      <c r="BB39" s="92"/>
      <c r="BC39" s="92"/>
    </row>
    <row r="40" spans="1:55" ht="32.25" customHeight="1" x14ac:dyDescent="0.25">
      <c r="A40" s="30" t="s">
        <v>89</v>
      </c>
      <c r="B40" s="527"/>
      <c r="C40" s="14"/>
      <c r="D40" s="16"/>
      <c r="E40" s="16"/>
      <c r="F40" s="16"/>
      <c r="G40" s="16"/>
      <c r="H40" s="90"/>
      <c r="I40" s="92"/>
      <c r="J40" s="92"/>
      <c r="K40" s="93"/>
      <c r="L40" s="92"/>
      <c r="M40" s="92"/>
      <c r="N40" s="92"/>
      <c r="O40" s="93"/>
      <c r="P40" s="92"/>
      <c r="Q40" s="92"/>
      <c r="R40" s="92"/>
      <c r="S40" s="93"/>
      <c r="T40" s="92"/>
      <c r="U40" s="92"/>
      <c r="V40" s="92"/>
      <c r="W40" s="92"/>
      <c r="X40" s="93"/>
      <c r="Y40" s="92"/>
      <c r="Z40" s="92"/>
      <c r="AA40" s="92"/>
      <c r="AB40" s="93"/>
      <c r="AC40" s="92"/>
      <c r="AD40" s="92"/>
      <c r="AE40" s="92"/>
      <c r="AF40" s="93"/>
      <c r="AG40" s="92"/>
      <c r="AH40" s="92"/>
      <c r="AI40" s="92"/>
      <c r="AJ40" s="92"/>
      <c r="AK40" s="93"/>
      <c r="AL40" s="92"/>
      <c r="AM40" s="92"/>
      <c r="AN40" s="92"/>
      <c r="AO40" s="93"/>
      <c r="AP40" s="92"/>
      <c r="AQ40" s="92"/>
      <c r="AR40" s="92"/>
      <c r="AS40" s="92"/>
      <c r="AT40" s="93"/>
      <c r="AU40" s="92"/>
      <c r="AV40" s="92"/>
      <c r="AW40" s="92"/>
      <c r="AX40" s="93"/>
      <c r="AY40" s="92"/>
      <c r="AZ40" s="92"/>
      <c r="BA40" s="92"/>
      <c r="BB40" s="92"/>
      <c r="BC40" s="92"/>
    </row>
    <row r="41" spans="1:55" ht="13.5" customHeight="1" x14ac:dyDescent="0.25">
      <c r="A41" s="57"/>
      <c r="B41" s="53"/>
      <c r="C41" s="76"/>
      <c r="D41" s="54"/>
      <c r="E41" s="54"/>
      <c r="F41" s="54"/>
      <c r="G41" s="85">
        <f>G42-CF!C42</f>
        <v>17364.730000000447</v>
      </c>
      <c r="H41" s="17"/>
      <c r="I41" s="54"/>
      <c r="J41" s="54"/>
      <c r="K41" s="86">
        <f>K42-CF!D42</f>
        <v>31050.170000000391</v>
      </c>
      <c r="L41" s="54"/>
      <c r="M41" s="85"/>
      <c r="N41" s="54"/>
      <c r="O41" s="86">
        <f>O42-CF!E42</f>
        <v>39546.240000000224</v>
      </c>
      <c r="P41" s="85"/>
      <c r="Q41" s="85"/>
      <c r="R41" s="85"/>
      <c r="S41" s="86">
        <f>S42-CF!F42</f>
        <v>43250.850000000093</v>
      </c>
      <c r="T41" s="85"/>
      <c r="U41" s="85"/>
      <c r="V41" s="85"/>
      <c r="W41" s="85"/>
      <c r="X41" s="86">
        <f>X42-CF!G42</f>
        <v>46843.049999999814</v>
      </c>
      <c r="Y41" s="85"/>
      <c r="Z41" s="85"/>
      <c r="AA41" s="85"/>
      <c r="AB41" s="86">
        <f>AB42-CF!H42</f>
        <v>47869.669999999925</v>
      </c>
      <c r="AC41" s="85"/>
      <c r="AD41" s="85"/>
      <c r="AE41" s="85"/>
      <c r="AF41" s="86">
        <f>AF42-CF!I42</f>
        <v>47869.669999999925</v>
      </c>
      <c r="AG41" s="85"/>
      <c r="AH41" s="85"/>
      <c r="AI41" s="85"/>
      <c r="AJ41" s="85"/>
      <c r="AK41" s="86">
        <f>AK42-CF!J42</f>
        <v>47869.669999999925</v>
      </c>
      <c r="AL41" s="85"/>
      <c r="AM41" s="85"/>
      <c r="AN41" s="85"/>
      <c r="AO41" s="86">
        <f>AO42-CF!K42</f>
        <v>47869.669999999925</v>
      </c>
      <c r="AP41" s="85"/>
      <c r="AQ41" s="85"/>
      <c r="AR41" s="85"/>
      <c r="AS41" s="85"/>
      <c r="AT41" s="86">
        <f>AT42-CF!L42</f>
        <v>47869.669999999925</v>
      </c>
      <c r="AU41" s="85"/>
      <c r="AV41" s="85"/>
      <c r="AW41" s="85"/>
      <c r="AX41" s="86">
        <f>AX42-CF!M42</f>
        <v>47869.669999999925</v>
      </c>
      <c r="AY41" s="85"/>
      <c r="AZ41" s="85"/>
      <c r="BA41" s="85"/>
      <c r="BB41" s="85">
        <f>BB42-CF!N42</f>
        <v>47869.669999999925</v>
      </c>
      <c r="BC41" s="85">
        <f>BC42-CF!O42</f>
        <v>3429860.8057000004</v>
      </c>
    </row>
    <row r="42" spans="1:55" ht="13.5" customHeight="1" x14ac:dyDescent="0.25">
      <c r="A42" s="49" t="s">
        <v>55</v>
      </c>
      <c r="B42" s="58"/>
      <c r="C42" s="73">
        <f t="shared" ref="C42:BA42" si="15">C33-C38</f>
        <v>1994177.8957000005</v>
      </c>
      <c r="D42" s="74">
        <f t="shared" si="15"/>
        <v>2100356.7557000006</v>
      </c>
      <c r="E42" s="74">
        <f t="shared" si="15"/>
        <v>2234359.3557000002</v>
      </c>
      <c r="F42" s="74">
        <f t="shared" si="15"/>
        <v>2340085.2357000005</v>
      </c>
      <c r="G42" s="74">
        <f t="shared" si="15"/>
        <v>2444316.6157000004</v>
      </c>
      <c r="H42" s="73">
        <f t="shared" si="15"/>
        <v>2568251.9457000005</v>
      </c>
      <c r="I42" s="74">
        <f t="shared" si="15"/>
        <v>2701831.7657000003</v>
      </c>
      <c r="J42" s="74">
        <f t="shared" si="15"/>
        <v>2827470.9057000005</v>
      </c>
      <c r="K42" s="75">
        <f t="shared" si="15"/>
        <v>2951779.9657000005</v>
      </c>
      <c r="L42" s="74">
        <f t="shared" si="15"/>
        <v>3065041.8357000006</v>
      </c>
      <c r="M42" s="74">
        <f t="shared" si="15"/>
        <v>3166917.6157000004</v>
      </c>
      <c r="N42" s="74">
        <f t="shared" si="15"/>
        <v>3264799.0757000004</v>
      </c>
      <c r="O42" s="75">
        <f t="shared" si="15"/>
        <v>3357449.8957000007</v>
      </c>
      <c r="P42" s="74">
        <f t="shared" si="15"/>
        <v>3428328.6757000005</v>
      </c>
      <c r="Q42" s="74">
        <f t="shared" si="15"/>
        <v>3485243.3357000006</v>
      </c>
      <c r="R42" s="74">
        <f t="shared" si="15"/>
        <v>3539892.4257000005</v>
      </c>
      <c r="S42" s="75">
        <f t="shared" si="15"/>
        <v>3601048.8357000006</v>
      </c>
      <c r="T42" s="74">
        <f>T33-T38</f>
        <v>3389212.0757000004</v>
      </c>
      <c r="U42" s="74">
        <f>U33-U38</f>
        <v>3421065.4957000003</v>
      </c>
      <c r="V42" s="74">
        <f t="shared" ref="V42:W42" si="16">V33-V38</f>
        <v>3295436.4657000001</v>
      </c>
      <c r="W42" s="74">
        <f t="shared" si="16"/>
        <v>3322139.5757000004</v>
      </c>
      <c r="X42" s="75">
        <f t="shared" si="15"/>
        <v>3365885.2857000004</v>
      </c>
      <c r="Y42" s="74">
        <f t="shared" si="15"/>
        <v>3398661.5357000004</v>
      </c>
      <c r="Z42" s="74">
        <f t="shared" si="15"/>
        <v>3429860.8057000004</v>
      </c>
      <c r="AA42" s="74">
        <f t="shared" si="15"/>
        <v>3429860.8057000004</v>
      </c>
      <c r="AB42" s="75">
        <f t="shared" si="15"/>
        <v>3429860.8057000004</v>
      </c>
      <c r="AC42" s="74">
        <f t="shared" si="15"/>
        <v>3429860.8057000004</v>
      </c>
      <c r="AD42" s="74">
        <f t="shared" si="15"/>
        <v>3429860.8057000004</v>
      </c>
      <c r="AE42" s="74">
        <f t="shared" si="15"/>
        <v>3429860.8057000004</v>
      </c>
      <c r="AF42" s="75">
        <f t="shared" si="15"/>
        <v>3429860.8057000004</v>
      </c>
      <c r="AG42" s="74">
        <f t="shared" si="15"/>
        <v>3429860.8057000004</v>
      </c>
      <c r="AH42" s="74">
        <f t="shared" si="15"/>
        <v>3429860.8057000004</v>
      </c>
      <c r="AI42" s="74">
        <f t="shared" si="15"/>
        <v>3429860.8057000004</v>
      </c>
      <c r="AJ42" s="74">
        <f t="shared" si="15"/>
        <v>3429860.8057000004</v>
      </c>
      <c r="AK42" s="75">
        <f t="shared" si="15"/>
        <v>3429860.8057000004</v>
      </c>
      <c r="AL42" s="74">
        <f t="shared" si="15"/>
        <v>3429860.8057000004</v>
      </c>
      <c r="AM42" s="74">
        <f t="shared" si="15"/>
        <v>3429860.8057000004</v>
      </c>
      <c r="AN42" s="74">
        <f t="shared" si="15"/>
        <v>3429860.8057000004</v>
      </c>
      <c r="AO42" s="75">
        <f t="shared" si="15"/>
        <v>3429860.8057000004</v>
      </c>
      <c r="AP42" s="74">
        <f t="shared" si="15"/>
        <v>3429860.8057000004</v>
      </c>
      <c r="AQ42" s="74">
        <f t="shared" si="15"/>
        <v>3429860.8057000004</v>
      </c>
      <c r="AR42" s="74">
        <f t="shared" si="15"/>
        <v>3429860.8057000004</v>
      </c>
      <c r="AS42" s="74">
        <f t="shared" si="15"/>
        <v>3429860.8057000004</v>
      </c>
      <c r="AT42" s="75">
        <f t="shared" si="15"/>
        <v>3429860.8057000004</v>
      </c>
      <c r="AU42" s="74">
        <f t="shared" si="15"/>
        <v>3429860.8057000004</v>
      </c>
      <c r="AV42" s="74">
        <f t="shared" si="15"/>
        <v>3429860.8057000004</v>
      </c>
      <c r="AW42" s="74">
        <f t="shared" si="15"/>
        <v>3429860.8057000004</v>
      </c>
      <c r="AX42" s="75">
        <f t="shared" si="15"/>
        <v>3429860.8057000004</v>
      </c>
      <c r="AY42" s="74">
        <f t="shared" si="15"/>
        <v>3429860.8057000004</v>
      </c>
      <c r="AZ42" s="74">
        <f t="shared" si="15"/>
        <v>3429860.8057000004</v>
      </c>
      <c r="BA42" s="74">
        <f t="shared" si="15"/>
        <v>3429860.8057000004</v>
      </c>
      <c r="BB42" s="74">
        <f>BB33-BB38</f>
        <v>3429860.8057000004</v>
      </c>
      <c r="BC42" s="74">
        <f>BC33-BC38</f>
        <v>3429860.8057000004</v>
      </c>
    </row>
    <row r="43" spans="1:55" ht="13.5" customHeight="1" x14ac:dyDescent="0.25">
      <c r="A43" s="30"/>
      <c r="B43" s="56" t="s">
        <v>56</v>
      </c>
      <c r="C43" s="80">
        <f>'PL WB (нед)'!C64+'PL OZON (нед)'!C64</f>
        <v>3330259.1134000001</v>
      </c>
      <c r="D43" s="80">
        <f>'PL WB (нед)'!D64+'PL OZON (нед)'!D64</f>
        <v>3387446.9734</v>
      </c>
      <c r="E43" s="80">
        <f>'PL WB (нед)'!E64+'PL OZON (нед)'!E64</f>
        <v>3460241.4134</v>
      </c>
      <c r="F43" s="80">
        <f>'PL WB (нед)'!F64+'PL OZON (нед)'!F64</f>
        <v>3510666.0933999997</v>
      </c>
      <c r="G43" s="80">
        <f>'PL WB (нед)'!G64+'PL OZON (нед)'!G64</f>
        <v>3564465.0233999994</v>
      </c>
      <c r="H43" s="80">
        <f>'PL WB (нед)'!H64+'PL OZON (нед)'!H64</f>
        <v>3632713.3533999994</v>
      </c>
      <c r="I43" s="80">
        <f>'PL WB (нед)'!I64+'PL OZON (нед)'!I64</f>
        <v>3712335.1133999997</v>
      </c>
      <c r="J43" s="80">
        <f>'PL WB (нед)'!J64+'PL OZON (нед)'!J64</f>
        <v>3783458.0133999996</v>
      </c>
      <c r="K43" s="80">
        <f>'PL WB (нед)'!K64+'PL OZON (нед)'!K64</f>
        <v>3858356.6533999993</v>
      </c>
      <c r="L43" s="80">
        <f>'PL WB (нед)'!L64+'PL OZON (нед)'!L64</f>
        <v>3923414.5233999994</v>
      </c>
      <c r="M43" s="80">
        <f>'PL WB (нед)'!M64+'PL OZON (нед)'!M64</f>
        <v>3978669.8433999997</v>
      </c>
      <c r="N43" s="80">
        <f>'PL WB (нед)'!N64+'PL OZON (нед)'!N64</f>
        <v>4023793.5533999992</v>
      </c>
      <c r="O43" s="80">
        <f>'PL WB (нед)'!O64+'PL OZON (нед)'!O64</f>
        <v>4074894.1833999995</v>
      </c>
      <c r="P43" s="80">
        <f>'PL WB (нед)'!P64+'PL OZON (нед)'!P64</f>
        <v>4116892.4233999993</v>
      </c>
      <c r="Q43" s="80">
        <f>'PL WB (нед)'!Q64+'PL OZON (нед)'!Q64</f>
        <v>4148238.5233999989</v>
      </c>
      <c r="R43" s="80">
        <f>'PL WB (нед)'!R64+'PL OZON (нед)'!R64</f>
        <v>4176720.8133999994</v>
      </c>
      <c r="S43" s="80">
        <f>'PL WB (нед)'!S64+'PL OZON (нед)'!S64</f>
        <v>4216982.663399999</v>
      </c>
      <c r="T43" s="80">
        <f>'PL WB (нед)'!T64+'PL OZON (нед)'!T64</f>
        <v>4237615.0333999991</v>
      </c>
      <c r="U43" s="80">
        <f>'PL WB (нед)'!U64+'PL OZON (нед)'!U64</f>
        <v>4254531.9833999993</v>
      </c>
      <c r="V43" s="80">
        <f>'PL WB (нед)'!V64+'PL OZON (нед)'!V64</f>
        <v>4274040.5633999994</v>
      </c>
      <c r="W43" s="80">
        <f>'PL WB (нед)'!W64+'PL OZON (нед)'!W64</f>
        <v>4287744.5633999994</v>
      </c>
      <c r="X43" s="80">
        <f>'PL WB (нед)'!X64+'PL OZON (нед)'!X64</f>
        <v>4295179.873399999</v>
      </c>
      <c r="Y43" s="80">
        <f>'PL WB (нед)'!Y64+'PL OZON (нед)'!Y64</f>
        <v>4311348.413399999</v>
      </c>
      <c r="Z43" s="80">
        <f>'PL WB (нед)'!Z64+'PL OZON (нед)'!Z64</f>
        <v>4320976.9433999993</v>
      </c>
      <c r="AA43" s="80">
        <f>'PL WB (нед)'!AA64+'PL OZON (нед)'!AA64</f>
        <v>4320976.9433999993</v>
      </c>
      <c r="AB43" s="80">
        <f>'PL WB (нед)'!AB64+'PL OZON (нед)'!AB64</f>
        <v>4320976.9433999993</v>
      </c>
      <c r="AC43" s="80">
        <f>'PL WB (нед)'!AC64+'PL OZON (нед)'!AC64</f>
        <v>4320976.9433999993</v>
      </c>
      <c r="AD43" s="80">
        <f>'PL WB (нед)'!AD64+'PL OZON (нед)'!AD64</f>
        <v>4320976.9433999993</v>
      </c>
      <c r="AE43" s="80">
        <f>'PL WB (нед)'!AE64+'PL OZON (нед)'!AE64</f>
        <v>4320976.9433999993</v>
      </c>
      <c r="AF43" s="80">
        <f>'PL WB (нед)'!AF64+'PL OZON (нед)'!AF64</f>
        <v>4320976.9433999993</v>
      </c>
      <c r="AG43" s="80">
        <f>'PL WB (нед)'!AG64+'PL OZON (нед)'!AG64</f>
        <v>4320976.9433999993</v>
      </c>
      <c r="AH43" s="80">
        <f>'PL WB (нед)'!AH64+'PL OZON (нед)'!AH64</f>
        <v>4320976.9433999993</v>
      </c>
      <c r="AI43" s="80">
        <f>'PL WB (нед)'!AI64+'PL OZON (нед)'!AI64</f>
        <v>4320976.9433999993</v>
      </c>
      <c r="AJ43" s="80">
        <f>'PL WB (нед)'!AJ64+'PL OZON (нед)'!AJ64</f>
        <v>4320976.9433999993</v>
      </c>
      <c r="AK43" s="80">
        <f>'PL WB (нед)'!AK64+'PL OZON (нед)'!AK64</f>
        <v>4320976.9433999993</v>
      </c>
      <c r="AL43" s="80">
        <f>'PL WB (нед)'!AL64+'PL OZON (нед)'!AL64</f>
        <v>4320976.9433999993</v>
      </c>
      <c r="AM43" s="80">
        <f>'PL WB (нед)'!AM64+'PL OZON (нед)'!AM64</f>
        <v>4320976.9433999993</v>
      </c>
      <c r="AN43" s="80">
        <f>'PL WB (нед)'!AN64+'PL OZON (нед)'!AN64</f>
        <v>4320976.9433999993</v>
      </c>
      <c r="AO43" s="80">
        <f>'PL WB (нед)'!AO64+'PL OZON (нед)'!AO64</f>
        <v>4320976.9433999993</v>
      </c>
      <c r="AP43" s="80">
        <f>'PL WB (нед)'!AP64+'PL OZON (нед)'!AP64</f>
        <v>4320976.9433999993</v>
      </c>
      <c r="AQ43" s="80">
        <f>'PL WB (нед)'!AQ64+'PL OZON (нед)'!AQ64</f>
        <v>4320976.9433999993</v>
      </c>
      <c r="AR43" s="80">
        <f>'PL WB (нед)'!AR64+'PL OZON (нед)'!AR64</f>
        <v>4320976.9433999993</v>
      </c>
      <c r="AS43" s="80">
        <f>'PL WB (нед)'!AS64+'PL OZON (нед)'!AS64</f>
        <v>4320976.9433999993</v>
      </c>
      <c r="AT43" s="80">
        <f>'PL WB (нед)'!AT64+'PL OZON (нед)'!AT64</f>
        <v>4320976.9433999993</v>
      </c>
      <c r="AU43" s="80">
        <f>'PL WB (нед)'!AU64+'PL OZON (нед)'!AU64</f>
        <v>4320976.9433999993</v>
      </c>
      <c r="AV43" s="80">
        <f>'PL WB (нед)'!AV64+'PL OZON (нед)'!AV64</f>
        <v>4320976.9433999993</v>
      </c>
      <c r="AW43" s="80">
        <f>'PL WB (нед)'!AW64+'PL OZON (нед)'!AW64</f>
        <v>4320976.9433999993</v>
      </c>
      <c r="AX43" s="80">
        <f>'PL WB (нед)'!AX64+'PL OZON (нед)'!AX64</f>
        <v>4320976.9433999993</v>
      </c>
      <c r="AY43" s="80">
        <f>'PL WB (нед)'!AY64+'PL OZON (нед)'!AY64</f>
        <v>4320976.9433999993</v>
      </c>
      <c r="AZ43" s="80">
        <f>'PL WB (нед)'!AZ64+'PL OZON (нед)'!AZ64</f>
        <v>4320976.9433999993</v>
      </c>
      <c r="BA43" s="80">
        <f>'PL WB (нед)'!BA64+'PL OZON (нед)'!BA64</f>
        <v>4320976.9433999993</v>
      </c>
      <c r="BB43" s="80">
        <f>'PL WB (нед)'!BB64+'PL OZON (нед)'!BB64</f>
        <v>4320976.9433999993</v>
      </c>
      <c r="BC43" s="80">
        <f>'PL WB (нед)'!BC64+'PL OZON (нед)'!BC64</f>
        <v>3378818.5034000003</v>
      </c>
    </row>
    <row r="44" spans="1:55" ht="13.5" customHeight="1" x14ac:dyDescent="0.25">
      <c r="A44" s="57"/>
      <c r="B44" s="53"/>
      <c r="C44" s="76"/>
      <c r="D44" s="54"/>
      <c r="E44" s="54"/>
      <c r="F44" s="54"/>
      <c r="G44" s="85">
        <f>G43-'PL OZON'!C64</f>
        <v>3244857.5133999996</v>
      </c>
      <c r="H44" s="76"/>
      <c r="I44" s="54"/>
      <c r="J44" s="54"/>
      <c r="K44" s="86">
        <f>K43-CF!D43</f>
        <v>5770.4399999994785</v>
      </c>
      <c r="L44" s="54"/>
      <c r="M44" s="54"/>
      <c r="N44" s="54"/>
      <c r="O44" s="86">
        <f>O43-CF!E43</f>
        <v>11049.509999999776</v>
      </c>
      <c r="P44" s="54"/>
      <c r="Q44" s="54"/>
      <c r="R44" s="54"/>
      <c r="S44" s="86">
        <f>S43-CF!F43</f>
        <v>14227.11999999918</v>
      </c>
      <c r="T44" s="54"/>
      <c r="U44" s="54"/>
      <c r="V44" s="54"/>
      <c r="W44" s="54"/>
      <c r="X44" s="86">
        <f>X43-CF!G43</f>
        <v>16787.319999999367</v>
      </c>
      <c r="Y44" s="54"/>
      <c r="Z44" s="54"/>
      <c r="AA44" s="54"/>
      <c r="AB44" s="86">
        <f>AB43-CF!H43</f>
        <v>17813.939999999478</v>
      </c>
      <c r="AC44" s="54"/>
      <c r="AD44" s="54"/>
      <c r="AE44" s="54"/>
      <c r="AF44" s="86">
        <f>AF43-CF!I43</f>
        <v>17813.939999999478</v>
      </c>
      <c r="AG44" s="54"/>
      <c r="AH44" s="54"/>
      <c r="AI44" s="54"/>
      <c r="AJ44" s="54"/>
      <c r="AK44" s="86">
        <f>AK43-CF!J43</f>
        <v>17813.939999999478</v>
      </c>
      <c r="AL44" s="54"/>
      <c r="AM44" s="54"/>
      <c r="AN44" s="54"/>
      <c r="AO44" s="86">
        <f>AO43-CF!K43</f>
        <v>17813.939999999478</v>
      </c>
      <c r="AP44" s="54"/>
      <c r="AQ44" s="54"/>
      <c r="AR44" s="54"/>
      <c r="AS44" s="54"/>
      <c r="AT44" s="86">
        <f>AT43-CF!L43</f>
        <v>17813.939999999478</v>
      </c>
      <c r="AU44" s="54"/>
      <c r="AV44" s="54"/>
      <c r="AW44" s="54"/>
      <c r="AX44" s="86">
        <f>AX43-CF!M43</f>
        <v>17813.939999999478</v>
      </c>
      <c r="AY44" s="54"/>
      <c r="AZ44" s="54"/>
      <c r="BA44" s="54"/>
      <c r="BB44" s="54">
        <f>BB43-CF!N43</f>
        <v>17813.939999999478</v>
      </c>
      <c r="BC44" s="54"/>
    </row>
    <row r="45" spans="1:55" ht="13.5" customHeight="1" x14ac:dyDescent="0.25">
      <c r="A45" s="18" t="s">
        <v>92</v>
      </c>
      <c r="B45" s="53"/>
      <c r="C45" s="76"/>
      <c r="D45" s="54"/>
      <c r="E45" s="54"/>
      <c r="F45" s="54"/>
      <c r="G45" s="85"/>
      <c r="H45" s="87"/>
      <c r="I45" s="54"/>
      <c r="J45" s="54"/>
      <c r="K45" s="86"/>
      <c r="L45" s="54"/>
      <c r="M45" s="88"/>
      <c r="N45" s="54"/>
      <c r="O45" s="79"/>
      <c r="P45" s="88"/>
      <c r="Q45" s="88"/>
      <c r="R45" s="88"/>
      <c r="S45" s="89"/>
      <c r="T45" s="88"/>
      <c r="U45" s="88"/>
      <c r="V45" s="88"/>
      <c r="W45" s="88"/>
      <c r="X45" s="89"/>
      <c r="Y45" s="88"/>
      <c r="Z45" s="88"/>
      <c r="AA45" s="88"/>
      <c r="AB45" s="89"/>
      <c r="AC45" s="88"/>
      <c r="AD45" s="88"/>
      <c r="AE45" s="88"/>
      <c r="AF45" s="89"/>
      <c r="AG45" s="88"/>
      <c r="AH45" s="88"/>
      <c r="AI45" s="88"/>
      <c r="AJ45" s="88"/>
      <c r="AK45" s="89"/>
      <c r="AL45" s="88"/>
      <c r="AM45" s="88"/>
      <c r="AN45" s="88"/>
      <c r="AO45" s="89"/>
      <c r="AP45" s="88"/>
      <c r="AQ45" s="88"/>
      <c r="AR45" s="88"/>
      <c r="AS45" s="88"/>
      <c r="AT45" s="89"/>
      <c r="AU45" s="88"/>
      <c r="AV45" s="88"/>
      <c r="AW45" s="88"/>
      <c r="AX45" s="89"/>
      <c r="AY45" s="88"/>
      <c r="AZ45" s="88"/>
      <c r="BA45" s="88"/>
      <c r="BB45" s="88"/>
      <c r="BC45" s="88"/>
    </row>
  </sheetData>
  <mergeCells count="13">
    <mergeCell ref="A1:B1"/>
    <mergeCell ref="AG2:AK2"/>
    <mergeCell ref="AL2:AO2"/>
    <mergeCell ref="AP2:AT2"/>
    <mergeCell ref="AU2:AX2"/>
    <mergeCell ref="Y2:AB2"/>
    <mergeCell ref="AC2:AF2"/>
    <mergeCell ref="T2:X2"/>
    <mergeCell ref="B39:B40"/>
    <mergeCell ref="C2:G2"/>
    <mergeCell ref="H2:K2"/>
    <mergeCell ref="L2:O2"/>
    <mergeCell ref="P2:S2"/>
  </mergeCells>
  <phoneticPr fontId="54" type="noConversion"/>
  <conditionalFormatting sqref="A5">
    <cfRule type="cellIs" dxfId="14" priority="10" operator="between">
      <formula>0</formula>
      <formula>1000000</formula>
    </cfRule>
  </conditionalFormatting>
  <conditionalFormatting sqref="A42">
    <cfRule type="cellIs" dxfId="13" priority="11" operator="lessThan">
      <formula>0</formula>
    </cfRule>
  </conditionalFormatting>
  <conditionalFormatting sqref="A4:BC4">
    <cfRule type="cellIs" dxfId="12" priority="1" operator="greaterThan">
      <formula>0</formula>
    </cfRule>
  </conditionalFormatting>
  <conditionalFormatting sqref="A31:BC33 C42:BC42">
    <cfRule type="cellIs" dxfId="11" priority="3" operator="lessThan">
      <formula>0</formula>
    </cfRule>
  </conditionalFormatting>
  <conditionalFormatting sqref="C5:BC5">
    <cfRule type="cellIs" dxfId="10" priority="2" operator="between">
      <formula>0</formula>
      <formula>1000000</formula>
    </cfRule>
  </conditionalFormatting>
  <conditionalFormatting sqref="E24 K29">
    <cfRule type="notContainsBlanks" dxfId="9" priority="13">
      <formula>LEN(TRIM(I24))&gt;0</formula>
    </cfRule>
  </conditionalFormatting>
  <conditionalFormatting sqref="AF26">
    <cfRule type="notContainsBlanks" dxfId="8" priority="16">
      <formula>LEN(TRIM(AM26))&gt;0</formula>
    </cfRule>
  </conditionalFormatting>
  <conditionalFormatting sqref="AL26">
    <cfRule type="notContainsBlanks" dxfId="7" priority="8">
      <formula>LEN(TRIM(AR26))&gt;0</formula>
    </cfRule>
  </conditionalFormatting>
  <conditionalFormatting sqref="AM26">
    <cfRule type="notContainsBlanks" dxfId="6" priority="15">
      <formula>LEN(TRIM(AR26))&gt;0</formula>
    </cfRule>
  </conditionalFormatting>
  <conditionalFormatting sqref="AV23">
    <cfRule type="notContainsBlanks" dxfId="5" priority="7">
      <formula>LEN(TRIM(BB23))&gt;0</formula>
    </cfRule>
  </conditionalFormatting>
  <pageMargins left="0.7" right="0.7" top="0.75" bottom="0.75" header="0" footer="0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CC00"/>
  </sheetPr>
  <dimension ref="A1:O45"/>
  <sheetViews>
    <sheetView showZero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O11" sqref="O11"/>
    </sheetView>
  </sheetViews>
  <sheetFormatPr defaultColWidth="14.42578125" defaultRowHeight="15" customHeight="1" x14ac:dyDescent="0.25"/>
  <cols>
    <col min="1" max="1" width="21.42578125" customWidth="1"/>
    <col min="2" max="2" width="27.140625" customWidth="1"/>
    <col min="3" max="14" width="10.85546875" customWidth="1"/>
    <col min="15" max="15" width="14.42578125" style="447"/>
  </cols>
  <sheetData>
    <row r="1" spans="1:15" ht="19.5" customHeight="1" x14ac:dyDescent="0.25">
      <c r="A1" s="19" t="s">
        <v>3</v>
      </c>
      <c r="B1" s="1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5" ht="13.5" customHeight="1" x14ac:dyDescent="0.25">
      <c r="A2" s="4" t="s">
        <v>71</v>
      </c>
      <c r="B2" s="20"/>
      <c r="C2" s="539">
        <v>2023</v>
      </c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1"/>
    </row>
    <row r="3" spans="1:15" ht="13.5" customHeight="1" x14ac:dyDescent="0.25">
      <c r="A3" s="21"/>
      <c r="B3" s="22"/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</row>
    <row r="4" spans="1:15" ht="13.5" customHeight="1" x14ac:dyDescent="0.25">
      <c r="A4" s="6" t="s">
        <v>72</v>
      </c>
      <c r="B4" s="7"/>
      <c r="C4" s="9">
        <f>'PL WB'!C10+'PL OZON'!C10</f>
        <v>192398.77</v>
      </c>
      <c r="D4" s="9">
        <f>'PL WB'!D10+'PL OZON'!D10</f>
        <v>0</v>
      </c>
      <c r="E4" s="9">
        <f>'PL WB'!E10+'PL OZON'!E10</f>
        <v>0</v>
      </c>
      <c r="F4" s="9">
        <f>'PL WB'!F10+'PL OZON'!F10</f>
        <v>0</v>
      </c>
      <c r="G4" s="9">
        <f>'PL WB'!G10+'PL OZON'!G10</f>
        <v>470514.9</v>
      </c>
      <c r="H4" s="9">
        <f>'PL WB'!H10+'PL OZON'!H10</f>
        <v>0</v>
      </c>
      <c r="I4" s="9">
        <f>'PL WB'!I10+'PL OZON'!I10</f>
        <v>0</v>
      </c>
      <c r="J4" s="9">
        <f>'PL WB'!J10+'PL OZON'!J10</f>
        <v>0</v>
      </c>
      <c r="K4" s="9">
        <f>'PL WB'!K10+'PL OZON'!K10</f>
        <v>0</v>
      </c>
      <c r="L4" s="9">
        <f>'PL WB'!L10+'PL OZON'!L10</f>
        <v>0</v>
      </c>
      <c r="M4" s="9">
        <f>'PL WB'!M10+'PL OZON'!M10</f>
        <v>0</v>
      </c>
      <c r="N4" s="9">
        <f>'PL WB'!N10+'PL OZON'!N10</f>
        <v>0</v>
      </c>
      <c r="O4" s="448">
        <f>SUM(C4:N4)</f>
        <v>662913.67000000004</v>
      </c>
    </row>
    <row r="5" spans="1:15" ht="13.5" customHeight="1" x14ac:dyDescent="0.25">
      <c r="A5" s="23" t="s">
        <v>23</v>
      </c>
      <c r="B5" s="24"/>
      <c r="C5" s="25">
        <f>'PL WB'!C12+'PL OZON'!C12</f>
        <v>1522905.6300000001</v>
      </c>
      <c r="D5" s="25">
        <f>'PL WB'!D12+'PL OZON'!D12</f>
        <v>1301418.9100000001</v>
      </c>
      <c r="E5" s="25">
        <f>'PL WB'!E12+'PL OZON'!E12</f>
        <v>1109069.51</v>
      </c>
      <c r="F5" s="25">
        <f>'PL WB'!F12+'PL OZON'!F12</f>
        <v>1007032.05</v>
      </c>
      <c r="G5" s="25">
        <f>'PL WB'!G12+'PL OZON'!G12</f>
        <v>1381317.71</v>
      </c>
      <c r="H5" s="25">
        <f>'PL WB'!H12+'PL OZON'!H12</f>
        <v>1343139.26</v>
      </c>
      <c r="I5" s="25">
        <f>'PL WB'!I12+'PL OZON'!I12</f>
        <v>1343139.26</v>
      </c>
      <c r="J5" s="25">
        <f>'PL WB'!J12+'PL OZON'!J12</f>
        <v>1343139.26</v>
      </c>
      <c r="K5" s="25">
        <f>'PL WB'!K12+'PL OZON'!K12</f>
        <v>1343139.26</v>
      </c>
      <c r="L5" s="25">
        <f>'PL WB'!L12+'PL OZON'!L12</f>
        <v>1343139.26</v>
      </c>
      <c r="M5" s="25">
        <f>'PL WB'!M12+'PL OZON'!M12</f>
        <v>1343139.26</v>
      </c>
      <c r="N5" s="25">
        <f>'PL WB'!N12+'PL OZON'!N12</f>
        <v>1343139.26</v>
      </c>
      <c r="O5" s="448"/>
    </row>
    <row r="6" spans="1:15" ht="13.5" customHeight="1" x14ac:dyDescent="0.25">
      <c r="A6" s="6"/>
      <c r="B6" s="7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48"/>
    </row>
    <row r="7" spans="1:15" ht="13.5" customHeight="1" x14ac:dyDescent="0.25">
      <c r="A7" s="26" t="s">
        <v>73</v>
      </c>
      <c r="B7" s="27"/>
      <c r="C7" s="28">
        <f>'CF (нед)'!C7</f>
        <v>1967240.9357000005</v>
      </c>
      <c r="D7" s="29">
        <f t="shared" ref="D7:N7" si="0">C42</f>
        <v>2426951.8857</v>
      </c>
      <c r="E7" s="29">
        <f t="shared" si="0"/>
        <v>2920729.7957000001</v>
      </c>
      <c r="F7" s="29">
        <f t="shared" si="0"/>
        <v>3317903.6557000005</v>
      </c>
      <c r="G7" s="29">
        <f t="shared" si="0"/>
        <v>3557797.9857000005</v>
      </c>
      <c r="H7" s="29">
        <f t="shared" si="0"/>
        <v>3319042.2357000005</v>
      </c>
      <c r="I7" s="29">
        <f t="shared" si="0"/>
        <v>3381991.1357000005</v>
      </c>
      <c r="J7" s="29">
        <f t="shared" si="0"/>
        <v>3381991.1357000005</v>
      </c>
      <c r="K7" s="29">
        <f t="shared" si="0"/>
        <v>3381991.1357000005</v>
      </c>
      <c r="L7" s="29">
        <f t="shared" si="0"/>
        <v>3381991.1357000005</v>
      </c>
      <c r="M7" s="29">
        <f t="shared" si="0"/>
        <v>3381991.1357000005</v>
      </c>
      <c r="N7" s="29">
        <f t="shared" si="0"/>
        <v>3381991.1357000005</v>
      </c>
      <c r="O7" s="448"/>
    </row>
    <row r="8" spans="1:15" ht="13.5" customHeight="1" x14ac:dyDescent="0.25">
      <c r="A8" s="30"/>
      <c r="B8" s="31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448"/>
    </row>
    <row r="9" spans="1:15" ht="13.5" customHeight="1" x14ac:dyDescent="0.25">
      <c r="A9" s="32" t="s">
        <v>118</v>
      </c>
      <c r="B9" s="31"/>
      <c r="C9" s="12">
        <f>'PL WB'!C30+'PL OZON'!C30</f>
        <v>538094.62999999989</v>
      </c>
      <c r="D9" s="12">
        <f>'PL WB'!D30+'PL OZON'!D30</f>
        <v>560103.5</v>
      </c>
      <c r="E9" s="12">
        <f>'PL WB'!E30+'PL OZON'!E30</f>
        <v>448883.78000000009</v>
      </c>
      <c r="F9" s="12">
        <f>'PL WB'!F30+'PL OZON'!F30</f>
        <v>269989.39999999997</v>
      </c>
      <c r="G9" s="12">
        <f>'PL WB'!G30+'PL OZON'!G30</f>
        <v>194149.84999999998</v>
      </c>
      <c r="H9" s="12">
        <f>'PL WB'!H30+'PL OZON'!H30</f>
        <v>70135.239999999991</v>
      </c>
      <c r="I9" s="12">
        <f>'PL WB'!I30+'PL OZON'!I30</f>
        <v>0</v>
      </c>
      <c r="J9" s="12">
        <f>'PL WB'!J30+'PL OZON'!J30</f>
        <v>0</v>
      </c>
      <c r="K9" s="12">
        <f>'PL WB'!K30+'PL OZON'!K30</f>
        <v>0</v>
      </c>
      <c r="L9" s="12">
        <f>'PL WB'!L30+'PL OZON'!L30</f>
        <v>0</v>
      </c>
      <c r="M9" s="12">
        <f>'PL WB'!M30+'PL OZON'!M30</f>
        <v>0</v>
      </c>
      <c r="N9" s="12">
        <f>'PL WB'!N30+'PL OZON'!N30</f>
        <v>0</v>
      </c>
      <c r="O9" s="448">
        <f t="shared" ref="O9:O40" si="1">SUM(C9:N9)</f>
        <v>2081356.3999999997</v>
      </c>
    </row>
    <row r="10" spans="1:15" ht="13.5" customHeight="1" x14ac:dyDescent="0.25">
      <c r="A10" s="30"/>
      <c r="B10" s="31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448"/>
    </row>
    <row r="11" spans="1:15" ht="13.5" customHeight="1" x14ac:dyDescent="0.25">
      <c r="A11" s="33" t="s">
        <v>74</v>
      </c>
      <c r="B11" s="34"/>
      <c r="C11" s="35">
        <f>C7+C9</f>
        <v>2505335.5657000002</v>
      </c>
      <c r="D11" s="36">
        <f>D7+D9</f>
        <v>2987055.3857</v>
      </c>
      <c r="E11" s="36">
        <f t="shared" ref="E11:M11" si="2">E7+E9</f>
        <v>3369613.5757000004</v>
      </c>
      <c r="F11" s="36">
        <f t="shared" si="2"/>
        <v>3587893.0557000004</v>
      </c>
      <c r="G11" s="36">
        <f t="shared" si="2"/>
        <v>3751947.8357000006</v>
      </c>
      <c r="H11" s="36">
        <f t="shared" si="2"/>
        <v>3389177.4757000003</v>
      </c>
      <c r="I11" s="36">
        <f t="shared" si="2"/>
        <v>3381991.1357000005</v>
      </c>
      <c r="J11" s="36">
        <f t="shared" si="2"/>
        <v>3381991.1357000005</v>
      </c>
      <c r="K11" s="36">
        <f>K7+K9</f>
        <v>3381991.1357000005</v>
      </c>
      <c r="L11" s="36">
        <f t="shared" si="2"/>
        <v>3381991.1357000005</v>
      </c>
      <c r="M11" s="36">
        <f t="shared" si="2"/>
        <v>3381991.1357000005</v>
      </c>
      <c r="N11" s="36">
        <f>N7+N9</f>
        <v>3381991.1357000005</v>
      </c>
      <c r="O11" s="36"/>
    </row>
    <row r="12" spans="1:15" ht="13.5" customHeight="1" x14ac:dyDescent="0.25">
      <c r="A12" s="6"/>
      <c r="B12" s="7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448"/>
    </row>
    <row r="13" spans="1:15" ht="13.5" customHeight="1" x14ac:dyDescent="0.25">
      <c r="A13" s="37" t="s">
        <v>75</v>
      </c>
      <c r="B13" s="38"/>
      <c r="C13" s="39">
        <f t="shared" ref="C13:N13" si="3">SUM(C14:C19)</f>
        <v>11847</v>
      </c>
      <c r="D13" s="40">
        <f t="shared" si="3"/>
        <v>7915</v>
      </c>
      <c r="E13" s="40">
        <f t="shared" si="3"/>
        <v>3217</v>
      </c>
      <c r="F13" s="40">
        <f t="shared" si="3"/>
        <v>527</v>
      </c>
      <c r="G13" s="40">
        <f t="shared" si="3"/>
        <v>1032</v>
      </c>
      <c r="H13" s="40">
        <f t="shared" si="3"/>
        <v>0</v>
      </c>
      <c r="I13" s="40">
        <f t="shared" si="3"/>
        <v>0</v>
      </c>
      <c r="J13" s="40">
        <f t="shared" si="3"/>
        <v>0</v>
      </c>
      <c r="K13" s="40">
        <f t="shared" si="3"/>
        <v>0</v>
      </c>
      <c r="L13" s="40">
        <f t="shared" si="3"/>
        <v>0</v>
      </c>
      <c r="M13" s="40">
        <f t="shared" si="3"/>
        <v>0</v>
      </c>
      <c r="N13" s="40">
        <f t="shared" si="3"/>
        <v>0</v>
      </c>
      <c r="O13" s="448">
        <f t="shared" si="1"/>
        <v>24538</v>
      </c>
    </row>
    <row r="14" spans="1:15" ht="13.5" customHeight="1" x14ac:dyDescent="0.25">
      <c r="A14" s="11" t="s">
        <v>46</v>
      </c>
      <c r="B14" s="41"/>
      <c r="C14" s="8">
        <f>'PL WB'!C47+'PL OZON'!C47</f>
        <v>0</v>
      </c>
      <c r="D14" s="8">
        <f>'PL WB'!D47+'PL OZON'!D47</f>
        <v>0</v>
      </c>
      <c r="E14" s="8">
        <f>'PL WB'!E47+'PL OZON'!E47</f>
        <v>0</v>
      </c>
      <c r="F14" s="8">
        <f>'PL WB'!F47+'PL OZON'!F47</f>
        <v>0</v>
      </c>
      <c r="G14" s="8">
        <f>'PL WB'!G47+'PL OZON'!G47</f>
        <v>0</v>
      </c>
      <c r="H14" s="8">
        <f>'PL WB'!H47+'PL OZON'!H47</f>
        <v>0</v>
      </c>
      <c r="I14" s="8">
        <f>'PL WB'!I47+'PL OZON'!I47</f>
        <v>0</v>
      </c>
      <c r="J14" s="8">
        <f>'PL WB'!J47+'PL OZON'!J47</f>
        <v>0</v>
      </c>
      <c r="K14" s="8">
        <f>'PL WB'!K47+'PL OZON'!K47</f>
        <v>0</v>
      </c>
      <c r="L14" s="8">
        <f>'PL WB'!L47+'PL OZON'!L47</f>
        <v>0</v>
      </c>
      <c r="M14" s="8">
        <f>'PL WB'!M47+'PL OZON'!M47</f>
        <v>0</v>
      </c>
      <c r="N14" s="8">
        <f>'PL WB'!N47+'PL OZON'!N47</f>
        <v>0</v>
      </c>
      <c r="O14" s="448">
        <f t="shared" si="1"/>
        <v>0</v>
      </c>
    </row>
    <row r="15" spans="1:15" ht="13.5" customHeight="1" x14ac:dyDescent="0.25">
      <c r="A15" s="11" t="s">
        <v>47</v>
      </c>
      <c r="B15" s="41"/>
      <c r="C15" s="8">
        <f>'PL WB'!C48+'PL OZON'!C48</f>
        <v>0</v>
      </c>
      <c r="D15" s="8">
        <f>'PL WB'!D48+'PL OZON'!D48</f>
        <v>0</v>
      </c>
      <c r="E15" s="8">
        <f>'PL WB'!E48+'PL OZON'!E48</f>
        <v>0</v>
      </c>
      <c r="F15" s="8">
        <f>'PL WB'!F48+'PL OZON'!F48</f>
        <v>0</v>
      </c>
      <c r="G15" s="8">
        <f>'PL WB'!G48+'PL OZON'!G48</f>
        <v>0</v>
      </c>
      <c r="H15" s="8">
        <f>'PL WB'!H48+'PL OZON'!H48</f>
        <v>0</v>
      </c>
      <c r="I15" s="8">
        <f>'PL WB'!I48+'PL OZON'!I48</f>
        <v>0</v>
      </c>
      <c r="J15" s="8">
        <f>'PL WB'!J48+'PL OZON'!J48</f>
        <v>0</v>
      </c>
      <c r="K15" s="8">
        <f>'PL WB'!K48+'PL OZON'!K48</f>
        <v>0</v>
      </c>
      <c r="L15" s="8">
        <f>'PL WB'!L48+'PL OZON'!L48</f>
        <v>0</v>
      </c>
      <c r="M15" s="8">
        <f>'PL WB'!M48+'PL OZON'!M48</f>
        <v>0</v>
      </c>
      <c r="N15" s="8">
        <f>'PL WB'!N48+'PL OZON'!N48</f>
        <v>0</v>
      </c>
      <c r="O15" s="448">
        <f t="shared" si="1"/>
        <v>0</v>
      </c>
    </row>
    <row r="16" spans="1:15" ht="13.5" customHeight="1" x14ac:dyDescent="0.25">
      <c r="A16" s="11" t="s">
        <v>48</v>
      </c>
      <c r="B16" s="41"/>
      <c r="C16" s="8">
        <f>'PL WB'!C49+'PL OZON'!C49</f>
        <v>0</v>
      </c>
      <c r="D16" s="8">
        <f>'PL WB'!D49+'PL OZON'!D49</f>
        <v>0</v>
      </c>
      <c r="E16" s="8">
        <f>'PL WB'!E49+'PL OZON'!E49</f>
        <v>0</v>
      </c>
      <c r="F16" s="8">
        <f>'PL WB'!F49+'PL OZON'!F49</f>
        <v>0</v>
      </c>
      <c r="G16" s="8">
        <f>'PL WB'!G49+'PL OZON'!G49</f>
        <v>0</v>
      </c>
      <c r="H16" s="8">
        <f>'PL WB'!H49+'PL OZON'!H49</f>
        <v>0</v>
      </c>
      <c r="I16" s="8">
        <f>'PL WB'!I49+'PL OZON'!I49</f>
        <v>0</v>
      </c>
      <c r="J16" s="8">
        <f>'PL WB'!J49+'PL OZON'!J49</f>
        <v>0</v>
      </c>
      <c r="K16" s="8">
        <f>'PL WB'!K49+'PL OZON'!K49</f>
        <v>0</v>
      </c>
      <c r="L16" s="8">
        <f>'PL WB'!L49+'PL OZON'!L49</f>
        <v>0</v>
      </c>
      <c r="M16" s="8">
        <f>'PL WB'!M49+'PL OZON'!M49</f>
        <v>0</v>
      </c>
      <c r="N16" s="8">
        <f>'PL WB'!N49+'PL OZON'!N49</f>
        <v>0</v>
      </c>
      <c r="O16" s="448">
        <f t="shared" si="1"/>
        <v>0</v>
      </c>
    </row>
    <row r="17" spans="1:15" ht="13.5" customHeight="1" x14ac:dyDescent="0.25">
      <c r="A17" s="11" t="s">
        <v>100</v>
      </c>
      <c r="B17" s="41"/>
      <c r="C17" s="8">
        <f>'PL WB'!C41+'PL OZON'!C41</f>
        <v>11847</v>
      </c>
      <c r="D17" s="8">
        <f>'PL WB'!D41+'PL OZON'!D41</f>
        <v>7915</v>
      </c>
      <c r="E17" s="8">
        <f>'PL WB'!E41+'PL OZON'!E41</f>
        <v>3217</v>
      </c>
      <c r="F17" s="8">
        <f>'PL WB'!F41+'PL OZON'!F41</f>
        <v>527</v>
      </c>
      <c r="G17" s="8">
        <f>'PL WB'!G41+'PL OZON'!G41</f>
        <v>1032</v>
      </c>
      <c r="H17" s="8">
        <f>'PL WB'!H41+'PL OZON'!H41</f>
        <v>0</v>
      </c>
      <c r="I17" s="8">
        <f>'PL WB'!I41+'PL OZON'!I41</f>
        <v>0</v>
      </c>
      <c r="J17" s="8">
        <f>'PL WB'!J41+'PL OZON'!J41</f>
        <v>0</v>
      </c>
      <c r="K17" s="8">
        <f>'PL WB'!K41+'PL OZON'!K41</f>
        <v>0</v>
      </c>
      <c r="L17" s="8">
        <f>'PL WB'!L41+'PL OZON'!L41</f>
        <v>0</v>
      </c>
      <c r="M17" s="8">
        <f>'PL WB'!M41+'PL OZON'!M41</f>
        <v>0</v>
      </c>
      <c r="N17" s="8">
        <f>'PL WB'!N41+'PL OZON'!N41</f>
        <v>0</v>
      </c>
      <c r="O17" s="448">
        <f>SUM(C17:N17)</f>
        <v>24538</v>
      </c>
    </row>
    <row r="18" spans="1:15" ht="13.5" customHeight="1" x14ac:dyDescent="0.25">
      <c r="A18" s="11" t="s">
        <v>99</v>
      </c>
      <c r="B18" s="41"/>
      <c r="C18" s="8">
        <f>'PL WB'!C50+'PL OZON'!C50</f>
        <v>0</v>
      </c>
      <c r="D18" s="8">
        <f>'PL WB'!D50+'PL OZON'!D50</f>
        <v>0</v>
      </c>
      <c r="E18" s="8">
        <f>'PL WB'!E50+'PL OZON'!E50</f>
        <v>0</v>
      </c>
      <c r="F18" s="8">
        <f>'PL WB'!F50+'PL OZON'!F50</f>
        <v>0</v>
      </c>
      <c r="G18" s="8">
        <f>'PL WB'!G50+'PL OZON'!G50</f>
        <v>0</v>
      </c>
      <c r="H18" s="8">
        <f>'PL WB'!H50+'PL OZON'!H50</f>
        <v>0</v>
      </c>
      <c r="I18" s="8">
        <f>'PL WB'!I50+'PL OZON'!I50</f>
        <v>0</v>
      </c>
      <c r="J18" s="8">
        <f>'PL WB'!J50+'PL OZON'!J50</f>
        <v>0</v>
      </c>
      <c r="K18" s="8">
        <f>'PL WB'!K50+'PL OZON'!K50</f>
        <v>0</v>
      </c>
      <c r="L18" s="8">
        <f>'PL WB'!L50+'PL OZON'!L50</f>
        <v>0</v>
      </c>
      <c r="M18" s="8">
        <f>'PL WB'!M50+'PL OZON'!M50</f>
        <v>0</v>
      </c>
      <c r="N18" s="8">
        <f>'PL WB'!N50+'PL OZON'!N50</f>
        <v>0</v>
      </c>
      <c r="O18" s="448">
        <f t="shared" si="1"/>
        <v>0</v>
      </c>
    </row>
    <row r="19" spans="1:15" ht="13.5" customHeight="1" x14ac:dyDescent="0.25">
      <c r="A19" s="42"/>
      <c r="B19" s="10"/>
      <c r="C19" s="9">
        <f>'PL WB'!C51+'PL OZON'!C51</f>
        <v>0</v>
      </c>
      <c r="D19" s="9">
        <f>'PL WB'!D51+'PL OZON'!D51</f>
        <v>0</v>
      </c>
      <c r="E19" s="9">
        <f>'PL WB'!E51+'PL OZON'!E51</f>
        <v>0</v>
      </c>
      <c r="F19" s="9">
        <f>'PL WB'!F51+'PL OZON'!F51</f>
        <v>0</v>
      </c>
      <c r="G19" s="9">
        <f>'PL WB'!G51+'PL OZON'!G51</f>
        <v>0</v>
      </c>
      <c r="H19" s="9">
        <f>'PL WB'!H51+'PL OZON'!H51</f>
        <v>0</v>
      </c>
      <c r="I19" s="9">
        <f>'PL WB'!I51+'PL OZON'!I51</f>
        <v>0</v>
      </c>
      <c r="J19" s="9">
        <f>'PL WB'!J51+'PL OZON'!J51</f>
        <v>0</v>
      </c>
      <c r="K19" s="9">
        <f>'PL WB'!K51+'PL OZON'!K51</f>
        <v>0</v>
      </c>
      <c r="L19" s="9">
        <f>'PL WB'!L51+'PL OZON'!L51</f>
        <v>0</v>
      </c>
      <c r="M19" s="9">
        <f>'PL WB'!M51+'PL OZON'!M51</f>
        <v>0</v>
      </c>
      <c r="N19" s="9">
        <f>'PL WB'!N51+'PL OZON'!N51</f>
        <v>0</v>
      </c>
      <c r="O19" s="448">
        <f t="shared" si="1"/>
        <v>0</v>
      </c>
    </row>
    <row r="20" spans="1:15" ht="13.5" customHeight="1" x14ac:dyDescent="0.25">
      <c r="A20" s="42"/>
      <c r="B20" s="10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448"/>
    </row>
    <row r="21" spans="1:15" ht="13.5" customHeight="1" x14ac:dyDescent="0.25">
      <c r="A21" s="26" t="s">
        <v>76</v>
      </c>
      <c r="B21" s="27"/>
      <c r="C21" s="43">
        <f>'PL WB'!C55+'PL OZON'!C55</f>
        <v>66536.680000000008</v>
      </c>
      <c r="D21" s="43">
        <f>'PL WB'!D55+'PL OZON'!D55</f>
        <v>58410.590000000004</v>
      </c>
      <c r="E21" s="43">
        <f>'PL WB'!E55+'PL OZON'!E55</f>
        <v>48492.920000000006</v>
      </c>
      <c r="F21" s="43">
        <f>'PL WB'!F55+'PL OZON'!F55</f>
        <v>29568.07</v>
      </c>
      <c r="G21" s="43">
        <f>'PL WB'!G55+'PL OZON'!G55</f>
        <v>23315.600000000002</v>
      </c>
      <c r="H21" s="43">
        <f>'PL WB'!H55+'PL OZON'!H55</f>
        <v>7186.3400000000011</v>
      </c>
      <c r="I21" s="43">
        <f>'PL WB'!I55+'PL OZON'!I55</f>
        <v>0</v>
      </c>
      <c r="J21" s="43">
        <f>'PL WB'!J55+'PL OZON'!J55</f>
        <v>0</v>
      </c>
      <c r="K21" s="43">
        <f>'PL WB'!K55+'PL OZON'!K55</f>
        <v>0</v>
      </c>
      <c r="L21" s="43">
        <f>'PL WB'!L55+'PL OZON'!L55</f>
        <v>0</v>
      </c>
      <c r="M21" s="43">
        <f>'PL WB'!M55+'PL OZON'!M55</f>
        <v>0</v>
      </c>
      <c r="N21" s="43">
        <f>'PL WB'!N55+'PL OZON'!N55</f>
        <v>0</v>
      </c>
      <c r="O21" s="448">
        <f t="shared" si="1"/>
        <v>233510.20000000004</v>
      </c>
    </row>
    <row r="22" spans="1:15" ht="13.5" customHeight="1" x14ac:dyDescent="0.25">
      <c r="A22" s="6"/>
      <c r="B22" s="7"/>
      <c r="C22" s="8"/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448"/>
    </row>
    <row r="23" spans="1:15" ht="13.5" customHeight="1" x14ac:dyDescent="0.25">
      <c r="A23" s="30" t="s">
        <v>77</v>
      </c>
      <c r="B23" s="31"/>
      <c r="C23" s="8">
        <f>SUM('CF (нед)'!C23:G23)</f>
        <v>0</v>
      </c>
      <c r="D23" s="8">
        <f>SUM('CF (нед)'!H23:K23)</f>
        <v>0</v>
      </c>
      <c r="E23" s="8">
        <f>SUM('CF (нед)'!L23:O23)</f>
        <v>0</v>
      </c>
      <c r="F23" s="8">
        <f>SUM('CF (нед)'!P23:S23)</f>
        <v>0</v>
      </c>
      <c r="G23" s="8">
        <f>SUM('CF (нед)'!T23:X23)</f>
        <v>247666</v>
      </c>
      <c r="H23" s="8">
        <f>SUM('CF (нед)'!Y23:AB23)</f>
        <v>0</v>
      </c>
      <c r="I23" s="8">
        <f>SUM('CF (нед)'!AC23:AF23)</f>
        <v>0</v>
      </c>
      <c r="J23" s="8">
        <f>SUM('CF (нед)'!AG23:AK23)</f>
        <v>0</v>
      </c>
      <c r="K23" s="8">
        <f>SUM('CF (нед)'!AL23:AO23)</f>
        <v>0</v>
      </c>
      <c r="L23" s="8">
        <f>SUM('CF (нед)'!AP23:AT23)</f>
        <v>0</v>
      </c>
      <c r="M23" s="8">
        <f>SUM('CF (нед)'!AU23:AX23)</f>
        <v>0</v>
      </c>
      <c r="N23" s="8">
        <f>SUM('CF (нед)'!AY23:BB23)</f>
        <v>0</v>
      </c>
      <c r="O23" s="448">
        <f>SUM(C23:N23)</f>
        <v>247666</v>
      </c>
    </row>
    <row r="24" spans="1:15" ht="13.5" customHeight="1" x14ac:dyDescent="0.25">
      <c r="A24" s="30" t="s">
        <v>78</v>
      </c>
      <c r="B24" s="31"/>
      <c r="C24" s="8">
        <f>SUM('CF (нед)'!C24:G24)</f>
        <v>0</v>
      </c>
      <c r="D24" s="8">
        <f>SUM('CF (нед)'!H24:K24)</f>
        <v>0</v>
      </c>
      <c r="E24" s="8">
        <f>SUM('CF (нед)'!L24:O24)</f>
        <v>0</v>
      </c>
      <c r="F24" s="8">
        <f>SUM('CF (нед)'!P24:S24)</f>
        <v>0</v>
      </c>
      <c r="G24" s="8">
        <f>SUM('CF (нед)'!T24:X24)</f>
        <v>0</v>
      </c>
      <c r="H24" s="8">
        <f>SUM('CF (нед)'!Y24:AB24)</f>
        <v>0</v>
      </c>
      <c r="I24" s="8">
        <f>SUM('CF (нед)'!AC24:AF24)</f>
        <v>0</v>
      </c>
      <c r="J24" s="8">
        <f>SUM('CF (нед)'!AG24:AK24)</f>
        <v>0</v>
      </c>
      <c r="K24" s="8">
        <f>SUM('CF (нед)'!AL24:AO24)</f>
        <v>0</v>
      </c>
      <c r="L24" s="8">
        <f>SUM('CF (нед)'!AP24:AT24)</f>
        <v>0</v>
      </c>
      <c r="M24" s="8">
        <f>SUM('CF (нед)'!AU24:AX24)</f>
        <v>0</v>
      </c>
      <c r="N24" s="8">
        <f>SUM('CF (нед)'!AY24:BB24)</f>
        <v>0</v>
      </c>
      <c r="O24" s="448">
        <f t="shared" si="1"/>
        <v>0</v>
      </c>
    </row>
    <row r="25" spans="1:15" ht="13.5" customHeight="1" x14ac:dyDescent="0.25">
      <c r="A25" s="30" t="s">
        <v>79</v>
      </c>
      <c r="B25" s="31"/>
      <c r="C25" s="8">
        <f>SUM('CF (нед)'!C25:G25)</f>
        <v>0</v>
      </c>
      <c r="D25" s="8">
        <f>SUM('CF (нед)'!H25:K25)</f>
        <v>0</v>
      </c>
      <c r="E25" s="8">
        <f>SUM('CF (нед)'!L25:O25)</f>
        <v>0</v>
      </c>
      <c r="F25" s="8">
        <f>SUM('CF (нед)'!P25:S25)</f>
        <v>0</v>
      </c>
      <c r="G25" s="8">
        <f>SUM('CF (нед)'!T25:X25)</f>
        <v>0</v>
      </c>
      <c r="H25" s="8">
        <f>SUM('CF (нед)'!Y25:AB25)</f>
        <v>0</v>
      </c>
      <c r="I25" s="8">
        <f>SUM('CF (нед)'!AC25:AF25)</f>
        <v>0</v>
      </c>
      <c r="J25" s="8">
        <f>SUM('CF (нед)'!AG25:AK25)</f>
        <v>0</v>
      </c>
      <c r="K25" s="8">
        <f>SUM('CF (нед)'!AL25:AO25)</f>
        <v>0</v>
      </c>
      <c r="L25" s="8">
        <f>SUM('CF (нед)'!AP25:AT25)</f>
        <v>0</v>
      </c>
      <c r="M25" s="8">
        <f>SUM('CF (нед)'!AU25:AX25)</f>
        <v>0</v>
      </c>
      <c r="N25" s="8">
        <f>SUM('CF (нед)'!AY25:BB25)</f>
        <v>0</v>
      </c>
      <c r="O25" s="448">
        <f t="shared" si="1"/>
        <v>0</v>
      </c>
    </row>
    <row r="26" spans="1:15" ht="13.5" customHeight="1" x14ac:dyDescent="0.25">
      <c r="A26" s="30" t="s">
        <v>80</v>
      </c>
      <c r="B26" s="31"/>
      <c r="C26" s="8">
        <f>SUM('CF (нед)'!C26:G26)</f>
        <v>0</v>
      </c>
      <c r="D26" s="8">
        <f>SUM('CF (нед)'!H26:K26)</f>
        <v>0</v>
      </c>
      <c r="E26" s="8">
        <f>SUM('CF (нед)'!L26:O26)</f>
        <v>0</v>
      </c>
      <c r="F26" s="8">
        <f>SUM('CF (нед)'!P26:S26)</f>
        <v>0</v>
      </c>
      <c r="G26" s="8">
        <f>SUM('CF (нед)'!T26:X26)</f>
        <v>160892</v>
      </c>
      <c r="H26" s="8">
        <f>SUM('CF (нед)'!Y26:AB26)</f>
        <v>0</v>
      </c>
      <c r="I26" s="8">
        <f>SUM('CF (нед)'!AC26:AF26)</f>
        <v>0</v>
      </c>
      <c r="J26" s="8">
        <f>SUM('CF (нед)'!AG26:AK26)</f>
        <v>0</v>
      </c>
      <c r="K26" s="8">
        <f>SUM('CF (нед)'!AM26:AO26)</f>
        <v>0</v>
      </c>
      <c r="L26" s="8">
        <f>SUM('CF (нед)'!AP26:AT26)</f>
        <v>0</v>
      </c>
      <c r="M26" s="8">
        <f>SUM('CF (нед)'!AU26:AX26)</f>
        <v>0</v>
      </c>
      <c r="N26" s="8">
        <f>SUM('CF (нед)'!AY26:BB26)</f>
        <v>0</v>
      </c>
      <c r="O26" s="448">
        <f>SUM(C26:N26)</f>
        <v>160892</v>
      </c>
    </row>
    <row r="27" spans="1:15" ht="13.5" customHeight="1" x14ac:dyDescent="0.25">
      <c r="A27" s="30" t="s">
        <v>81</v>
      </c>
      <c r="B27" s="31"/>
      <c r="C27" s="8">
        <f>SUM('CF (нед)'!C27:G27)</f>
        <v>0</v>
      </c>
      <c r="D27" s="8">
        <f>SUM('CF (нед)'!H27:K27)</f>
        <v>0</v>
      </c>
      <c r="E27" s="8">
        <f>SUM('CF (нед)'!L27:O27)</f>
        <v>0</v>
      </c>
      <c r="F27" s="8">
        <f>SUM('CF (нед)'!P27:S27)</f>
        <v>0</v>
      </c>
      <c r="G27" s="8">
        <f>SUM('CF (нед)'!T27:X27)</f>
        <v>0</v>
      </c>
      <c r="H27" s="8">
        <f>SUM('CF (нед)'!Y27:AB27)</f>
        <v>0</v>
      </c>
      <c r="I27" s="8">
        <f>SUM('CF (нед)'!AC27:AF27)</f>
        <v>0</v>
      </c>
      <c r="J27" s="8">
        <f>SUM('CF (нед)'!AG27:AK27)</f>
        <v>0</v>
      </c>
      <c r="K27" s="8">
        <f>SUM('CF (нед)'!AL27:AO27)</f>
        <v>0</v>
      </c>
      <c r="L27" s="8">
        <f>SUM('CF (нед)'!AP27:AT27)</f>
        <v>0</v>
      </c>
      <c r="M27" s="8">
        <f>SUM('CF (нед)'!AU27:AX27)</f>
        <v>0</v>
      </c>
      <c r="N27" s="8">
        <f>SUM('CF (нед)'!AY27:BB27)</f>
        <v>0</v>
      </c>
      <c r="O27" s="448">
        <f t="shared" si="1"/>
        <v>0</v>
      </c>
    </row>
    <row r="28" spans="1:15" ht="13.5" customHeight="1" x14ac:dyDescent="0.25">
      <c r="A28" s="30"/>
      <c r="B28" s="3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448"/>
    </row>
    <row r="29" spans="1:15" ht="13.5" customHeight="1" x14ac:dyDescent="0.25">
      <c r="A29" s="30" t="s">
        <v>82</v>
      </c>
      <c r="B29" s="31"/>
      <c r="C29" s="8">
        <f>SUM('CF (нед)'!C29:G29)</f>
        <v>0</v>
      </c>
      <c r="D29" s="8">
        <f>SUM('CF (нед)'!H29:K29)</f>
        <v>0</v>
      </c>
      <c r="E29" s="8">
        <f>SUM('CF (нед)'!L29:O29)</f>
        <v>0</v>
      </c>
      <c r="F29" s="8">
        <f>SUM('CF (нед)'!P29:S29)</f>
        <v>0</v>
      </c>
      <c r="G29" s="8">
        <f>SUM('CF (нед)'!T29:X29)</f>
        <v>0</v>
      </c>
      <c r="H29" s="8">
        <f>SUM('CF (нед)'!Y29:AB29)</f>
        <v>0</v>
      </c>
      <c r="I29" s="8">
        <f>SUM('CF (нед)'!AC29:AF29)</f>
        <v>0</v>
      </c>
      <c r="J29" s="8">
        <f>SUM('CF (нед)'!AG29:AK29)</f>
        <v>0</v>
      </c>
      <c r="K29" s="8">
        <f>SUM('CF (нед)'!AL29:AO29)</f>
        <v>0</v>
      </c>
      <c r="L29" s="8">
        <f>SUM('CF (нед)'!AP29:AT29)</f>
        <v>0</v>
      </c>
      <c r="M29" s="8">
        <f>SUM('CF (нед)'!AU29:AX29)</f>
        <v>0</v>
      </c>
      <c r="N29" s="8">
        <f>SUM('CF (нед)'!AY29:BB29)</f>
        <v>0</v>
      </c>
      <c r="O29" s="448">
        <f t="shared" si="1"/>
        <v>0</v>
      </c>
    </row>
    <row r="30" spans="1:15" ht="13.5" customHeight="1" x14ac:dyDescent="0.25">
      <c r="A30" s="44"/>
      <c r="B30" s="45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8"/>
    </row>
    <row r="31" spans="1:15" ht="13.5" customHeight="1" x14ac:dyDescent="0.25">
      <c r="A31" s="46" t="s">
        <v>83</v>
      </c>
      <c r="B31" s="47"/>
      <c r="C31" s="48">
        <f>SUM('CF (нед)'!C31:G31)</f>
        <v>0</v>
      </c>
      <c r="D31" s="48">
        <f>SUM('CF (нед)'!H31:K31)</f>
        <v>0</v>
      </c>
      <c r="E31" s="48">
        <f>SUM('CF (нед)'!L31:O31)</f>
        <v>0</v>
      </c>
      <c r="F31" s="48">
        <f>SUM('CF (нед)'!P31:S31)</f>
        <v>0</v>
      </c>
      <c r="G31" s="48">
        <f>SUM('CF (нед)'!T31:X31)</f>
        <v>0</v>
      </c>
      <c r="H31" s="48">
        <f>SUM('CF (нед)'!Y31:AB31)</f>
        <v>0</v>
      </c>
      <c r="I31" s="48">
        <f>SUM('CF (нед)'!AC31:AF31)</f>
        <v>0</v>
      </c>
      <c r="J31" s="48">
        <f>SUM('CF (нед)'!AG31:AK31)</f>
        <v>0</v>
      </c>
      <c r="K31" s="48">
        <f>SUM('CF (нед)'!AL31:AO31)</f>
        <v>0</v>
      </c>
      <c r="L31" s="48">
        <f>SUM('CF (нед)'!AP31:AT31)</f>
        <v>0</v>
      </c>
      <c r="M31" s="48">
        <f>SUM('CF (нед)'!AU31:AX31)</f>
        <v>0</v>
      </c>
      <c r="N31" s="48">
        <f>SUM('CF (нед)'!AY31:BB31)</f>
        <v>0</v>
      </c>
      <c r="O31" s="448">
        <f t="shared" si="1"/>
        <v>0</v>
      </c>
    </row>
    <row r="33" spans="1:15" ht="13.5" customHeight="1" x14ac:dyDescent="0.25">
      <c r="A33" s="49" t="s">
        <v>55</v>
      </c>
      <c r="B33" s="50"/>
      <c r="C33" s="51">
        <f>C11-C13-C21-SUM(C23:C27)+C29-C31</f>
        <v>2426951.8857</v>
      </c>
      <c r="D33" s="52">
        <f t="shared" ref="D33:N33" si="4">D11-D13-D21-SUM(D23:D27)+D29-D31</f>
        <v>2920729.7957000001</v>
      </c>
      <c r="E33" s="52">
        <f t="shared" si="4"/>
        <v>3317903.6557000005</v>
      </c>
      <c r="F33" s="52">
        <f t="shared" si="4"/>
        <v>3557797.9857000005</v>
      </c>
      <c r="G33" s="52">
        <f>G11-G13-G21-SUM(G23:G27)+G29-G31</f>
        <v>3319042.2357000005</v>
      </c>
      <c r="H33" s="52">
        <f t="shared" si="4"/>
        <v>3381991.1357000005</v>
      </c>
      <c r="I33" s="52">
        <f t="shared" si="4"/>
        <v>3381991.1357000005</v>
      </c>
      <c r="J33" s="52">
        <f t="shared" si="4"/>
        <v>3381991.1357000005</v>
      </c>
      <c r="K33" s="52">
        <f t="shared" si="4"/>
        <v>3381991.1357000005</v>
      </c>
      <c r="L33" s="52">
        <f t="shared" si="4"/>
        <v>3381991.1357000005</v>
      </c>
      <c r="M33" s="52">
        <f t="shared" si="4"/>
        <v>3381991.1357000005</v>
      </c>
      <c r="N33" s="52">
        <f t="shared" si="4"/>
        <v>3381991.1357000005</v>
      </c>
      <c r="O33" s="448"/>
    </row>
    <row r="34" spans="1:15" ht="13.5" customHeight="1" x14ac:dyDescent="0.25">
      <c r="A34" s="30"/>
      <c r="B34" s="53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448"/>
    </row>
    <row r="35" spans="1:15" ht="13.5" customHeight="1" x14ac:dyDescent="0.25">
      <c r="A35" s="30"/>
      <c r="B35" s="53" t="s">
        <v>84</v>
      </c>
      <c r="C35" s="55">
        <f>283707+SUM(C23:C27)-C4</f>
        <v>91308.23000000001</v>
      </c>
      <c r="D35" s="55">
        <f t="shared" ref="D35:N35" si="5">C35+SUM(D23:D27)-D4</f>
        <v>91308.23000000001</v>
      </c>
      <c r="E35" s="55">
        <f t="shared" si="5"/>
        <v>91308.23000000001</v>
      </c>
      <c r="F35" s="55">
        <f t="shared" si="5"/>
        <v>91308.23000000001</v>
      </c>
      <c r="G35" s="55">
        <f t="shared" si="5"/>
        <v>29351.329999999958</v>
      </c>
      <c r="H35" s="55">
        <f t="shared" si="5"/>
        <v>29351.329999999958</v>
      </c>
      <c r="I35" s="55">
        <f t="shared" si="5"/>
        <v>29351.329999999958</v>
      </c>
      <c r="J35" s="55">
        <f t="shared" si="5"/>
        <v>29351.329999999958</v>
      </c>
      <c r="K35" s="55">
        <f t="shared" si="5"/>
        <v>29351.329999999958</v>
      </c>
      <c r="L35" s="55">
        <f t="shared" si="5"/>
        <v>29351.329999999958</v>
      </c>
      <c r="M35" s="55">
        <f t="shared" si="5"/>
        <v>29351.329999999958</v>
      </c>
      <c r="N35" s="55">
        <f t="shared" si="5"/>
        <v>29351.329999999958</v>
      </c>
      <c r="O35" s="448"/>
    </row>
    <row r="36" spans="1:15" ht="13.5" customHeight="1" x14ac:dyDescent="0.25">
      <c r="A36" s="30"/>
      <c r="B36" s="53" t="s">
        <v>85</v>
      </c>
      <c r="C36" s="55">
        <f t="shared" ref="C36:N36" si="6">C5+C35+C42</f>
        <v>4041165.7456999999</v>
      </c>
      <c r="D36" s="55">
        <f t="shared" si="6"/>
        <v>4313456.9357000003</v>
      </c>
      <c r="E36" s="55">
        <f t="shared" si="6"/>
        <v>4518281.3957000002</v>
      </c>
      <c r="F36" s="55">
        <f t="shared" si="6"/>
        <v>4656138.2657000003</v>
      </c>
      <c r="G36" s="55">
        <f t="shared" si="6"/>
        <v>4729711.275700001</v>
      </c>
      <c r="H36" s="55">
        <f t="shared" si="6"/>
        <v>4754481.7257000003</v>
      </c>
      <c r="I36" s="55">
        <f t="shared" si="6"/>
        <v>4754481.7257000003</v>
      </c>
      <c r="J36" s="55">
        <f t="shared" si="6"/>
        <v>4754481.7257000003</v>
      </c>
      <c r="K36" s="55">
        <f t="shared" si="6"/>
        <v>4754481.7257000003</v>
      </c>
      <c r="L36" s="55">
        <f t="shared" si="6"/>
        <v>4754481.7257000003</v>
      </c>
      <c r="M36" s="55">
        <f t="shared" si="6"/>
        <v>4754481.7257000003</v>
      </c>
      <c r="N36" s="55">
        <f t="shared" si="6"/>
        <v>4754481.7257000003</v>
      </c>
      <c r="O36" s="448"/>
    </row>
    <row r="37" spans="1:15" ht="13.5" customHeight="1" x14ac:dyDescent="0.25">
      <c r="A37" s="30"/>
      <c r="B37" s="56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448"/>
    </row>
    <row r="38" spans="1:15" ht="13.5" customHeight="1" x14ac:dyDescent="0.25">
      <c r="A38" s="30" t="s">
        <v>86</v>
      </c>
      <c r="B38" s="53"/>
      <c r="C38" s="55">
        <f>SUM('CF (нед)'!C38:G38)</f>
        <v>0</v>
      </c>
      <c r="D38" s="55">
        <f>SUM('CF (нед)'!H38:K38)</f>
        <v>0</v>
      </c>
      <c r="E38" s="55">
        <f>SUM('CF (нед)'!L38:O38)</f>
        <v>0</v>
      </c>
      <c r="F38" s="55">
        <f>SUM('CF (нед)'!P38:S38)</f>
        <v>0</v>
      </c>
      <c r="G38" s="55">
        <f>SUM('CF (нед)'!T38:X38)</f>
        <v>0</v>
      </c>
      <c r="H38" s="55">
        <f>SUM('CF (нед)'!Y38:AB38)</f>
        <v>0</v>
      </c>
      <c r="I38" s="55">
        <f>SUM('CF (нед)'!AC38:AF38)</f>
        <v>0</v>
      </c>
      <c r="J38" s="55">
        <f>SUM('CF (нед)'!AG38:AK38)</f>
        <v>0</v>
      </c>
      <c r="K38" s="55">
        <f>SUM('CF (нед)'!AL38:AO38)</f>
        <v>0</v>
      </c>
      <c r="L38" s="55">
        <f>SUM('CF (нед)'!AP38:AT38)</f>
        <v>0</v>
      </c>
      <c r="M38" s="55">
        <f>SUM('CF (нед)'!AU38:AX38)</f>
        <v>0</v>
      </c>
      <c r="N38" s="55">
        <f>SUM('CF (нед)'!AY38:BB38)</f>
        <v>0</v>
      </c>
      <c r="O38" s="448">
        <f t="shared" si="1"/>
        <v>0</v>
      </c>
    </row>
    <row r="39" spans="1:15" ht="32.25" customHeight="1" x14ac:dyDescent="0.25">
      <c r="A39" s="30" t="s">
        <v>87</v>
      </c>
      <c r="B39" s="526" t="s">
        <v>88</v>
      </c>
      <c r="C39" s="9">
        <f>SUM('CF (нед)'!C39:G39)</f>
        <v>0</v>
      </c>
      <c r="D39" s="9">
        <f>SUM('CF (нед)'!H39:K39)</f>
        <v>0</v>
      </c>
      <c r="E39" s="9">
        <f>SUM('CF (нед)'!L39:O39)</f>
        <v>0</v>
      </c>
      <c r="F39" s="9">
        <f>SUM('CF (нед)'!P39:S39)</f>
        <v>0</v>
      </c>
      <c r="G39" s="9">
        <f>SUM('CF (нед)'!T39:X39)</f>
        <v>0</v>
      </c>
      <c r="H39" s="9">
        <f>SUM('CF (нед)'!Y39:AB39)</f>
        <v>0</v>
      </c>
      <c r="I39" s="9">
        <f>SUM('CF (нед)'!AC39:AF39)</f>
        <v>0</v>
      </c>
      <c r="J39" s="9">
        <f>SUM('CF (нед)'!AG39:AK39)</f>
        <v>0</v>
      </c>
      <c r="K39" s="9">
        <f>SUM('CF (нед)'!AL39:AO39)</f>
        <v>0</v>
      </c>
      <c r="L39" s="9">
        <f>SUM('CF (нед)'!AP39:AT39)</f>
        <v>0</v>
      </c>
      <c r="M39" s="9">
        <f>SUM('CF (нед)'!AU39:AX39)</f>
        <v>0</v>
      </c>
      <c r="N39" s="9">
        <f>SUM('CF (нед)'!AY39:BB39)</f>
        <v>0</v>
      </c>
      <c r="O39" s="448">
        <f t="shared" si="1"/>
        <v>0</v>
      </c>
    </row>
    <row r="40" spans="1:15" ht="32.25" customHeight="1" x14ac:dyDescent="0.25">
      <c r="A40" s="30" t="s">
        <v>89</v>
      </c>
      <c r="B40" s="527"/>
      <c r="C40" s="9">
        <f>SUM('CF (нед)'!C40:G40)</f>
        <v>0</v>
      </c>
      <c r="D40" s="9">
        <f>SUM('CF (нед)'!H40:K40)</f>
        <v>0</v>
      </c>
      <c r="E40" s="9">
        <f>SUM('CF (нед)'!L40:O40)</f>
        <v>0</v>
      </c>
      <c r="F40" s="9">
        <f>SUM('CF (нед)'!P40:S40)</f>
        <v>0</v>
      </c>
      <c r="G40" s="9">
        <f>SUM('CF (нед)'!T40:X40)</f>
        <v>0</v>
      </c>
      <c r="H40" s="9">
        <f>SUM('CF (нед)'!Y40:AB40)</f>
        <v>0</v>
      </c>
      <c r="I40" s="9">
        <f>SUM('CF (нед)'!AC40:AF40)</f>
        <v>0</v>
      </c>
      <c r="J40" s="9">
        <f>SUM('CF (нед)'!AG40:AK40)</f>
        <v>0</v>
      </c>
      <c r="K40" s="9">
        <f>SUM('CF (нед)'!AL40:AO40)</f>
        <v>0</v>
      </c>
      <c r="L40" s="9">
        <f>SUM('CF (нед)'!AP40:AT40)</f>
        <v>0</v>
      </c>
      <c r="M40" s="9">
        <f>SUM('CF (нед)'!AU40:AX40)</f>
        <v>0</v>
      </c>
      <c r="N40" s="9">
        <f>SUM('CF (нед)'!AY40:BB40)</f>
        <v>0</v>
      </c>
      <c r="O40" s="448">
        <f t="shared" si="1"/>
        <v>0</v>
      </c>
    </row>
    <row r="41" spans="1:15" ht="13.5" customHeight="1" x14ac:dyDescent="0.25">
      <c r="A41" s="57"/>
      <c r="B41" s="53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448"/>
    </row>
    <row r="42" spans="1:15" ht="13.5" customHeight="1" x14ac:dyDescent="0.25">
      <c r="A42" s="49" t="s">
        <v>55</v>
      </c>
      <c r="B42" s="58"/>
      <c r="C42" s="51">
        <f>C33-C38</f>
        <v>2426951.8857</v>
      </c>
      <c r="D42" s="52">
        <f>D33-D38</f>
        <v>2920729.7957000001</v>
      </c>
      <c r="E42" s="52">
        <f t="shared" ref="E42:N42" si="7">E33-E38</f>
        <v>3317903.6557000005</v>
      </c>
      <c r="F42" s="52">
        <f>F33-F38</f>
        <v>3557797.9857000005</v>
      </c>
      <c r="G42" s="52">
        <f>G33-G38</f>
        <v>3319042.2357000005</v>
      </c>
      <c r="H42" s="52">
        <f t="shared" si="7"/>
        <v>3381991.1357000005</v>
      </c>
      <c r="I42" s="52">
        <f t="shared" si="7"/>
        <v>3381991.1357000005</v>
      </c>
      <c r="J42" s="52">
        <f t="shared" si="7"/>
        <v>3381991.1357000005</v>
      </c>
      <c r="K42" s="52">
        <f t="shared" si="7"/>
        <v>3381991.1357000005</v>
      </c>
      <c r="L42" s="52">
        <f t="shared" si="7"/>
        <v>3381991.1357000005</v>
      </c>
      <c r="M42" s="52">
        <f t="shared" si="7"/>
        <v>3381991.1357000005</v>
      </c>
      <c r="N42" s="52">
        <f t="shared" si="7"/>
        <v>3381991.1357000005</v>
      </c>
      <c r="O42" s="448"/>
    </row>
    <row r="43" spans="1:15" ht="13.5" customHeight="1" x14ac:dyDescent="0.25">
      <c r="A43" s="30"/>
      <c r="B43" s="56" t="s">
        <v>56</v>
      </c>
      <c r="C43" s="55">
        <f>'PL WB'!C64+'PL OZON'!C64</f>
        <v>3564465.0233999994</v>
      </c>
      <c r="D43" s="55">
        <f>'PL WB'!D64+'PL OZON'!D64</f>
        <v>3852586.2133999998</v>
      </c>
      <c r="E43" s="55">
        <f>'PL WB'!E64+'PL OZON'!E64</f>
        <v>4063844.6733999997</v>
      </c>
      <c r="F43" s="55">
        <f>'PL WB'!F64+'PL OZON'!F64</f>
        <v>4202755.5433999998</v>
      </c>
      <c r="G43" s="55">
        <f>'PL WB'!G64+'PL OZON'!G64</f>
        <v>4278392.5533999996</v>
      </c>
      <c r="H43" s="55">
        <f>'PL WB'!H64+'PL OZON'!H64</f>
        <v>4303163.0033999998</v>
      </c>
      <c r="I43" s="55">
        <f>'PL WB'!I64+'PL OZON'!I64</f>
        <v>4303163.0033999998</v>
      </c>
      <c r="J43" s="55">
        <f>'PL WB'!J64+'PL OZON'!J64</f>
        <v>4303163.0033999998</v>
      </c>
      <c r="K43" s="55">
        <f>'PL WB'!K64+'PL OZON'!K64</f>
        <v>4303163.0033999998</v>
      </c>
      <c r="L43" s="55">
        <f>'PL WB'!L64+'PL OZON'!L64</f>
        <v>4303163.0033999998</v>
      </c>
      <c r="M43" s="55">
        <f>'PL WB'!M64+'PL OZON'!M64</f>
        <v>4303163.0033999998</v>
      </c>
      <c r="N43" s="55">
        <f>'PL WB'!N64+'PL OZON'!N64</f>
        <v>4303163.0033999998</v>
      </c>
      <c r="O43" s="448"/>
    </row>
    <row r="44" spans="1:15" ht="13.5" customHeight="1" x14ac:dyDescent="0.25">
      <c r="A44" s="57"/>
      <c r="B44" s="53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448"/>
    </row>
    <row r="45" spans="1:15" ht="13.5" customHeight="1" x14ac:dyDescent="0.25">
      <c r="A45" s="59" t="s">
        <v>116</v>
      </c>
      <c r="B45" s="60"/>
      <c r="C45" s="61">
        <f>C42-SUM(D23:D27)</f>
        <v>2426951.8857</v>
      </c>
      <c r="D45" s="61">
        <f t="shared" ref="D45:N45" si="8">D42-SUM(E23:E27)</f>
        <v>2920729.7957000001</v>
      </c>
      <c r="E45" s="61">
        <f t="shared" si="8"/>
        <v>3317903.6557000005</v>
      </c>
      <c r="F45" s="61">
        <f t="shared" si="8"/>
        <v>3149239.9857000005</v>
      </c>
      <c r="G45" s="61">
        <f>G42-SUM(H23:H27)</f>
        <v>3319042.2357000005</v>
      </c>
      <c r="H45" s="61">
        <f>H42-SUM(I23:I27)</f>
        <v>3381991.1357000005</v>
      </c>
      <c r="I45" s="61">
        <f t="shared" si="8"/>
        <v>3381991.1357000005</v>
      </c>
      <c r="J45" s="61">
        <f t="shared" si="8"/>
        <v>3381991.1357000005</v>
      </c>
      <c r="K45" s="61">
        <f t="shared" si="8"/>
        <v>3381991.1357000005</v>
      </c>
      <c r="L45" s="61">
        <f t="shared" si="8"/>
        <v>3381991.1357000005</v>
      </c>
      <c r="M45" s="61">
        <f t="shared" si="8"/>
        <v>3381991.1357000005</v>
      </c>
      <c r="N45" s="61">
        <f t="shared" si="8"/>
        <v>2973433.1357000005</v>
      </c>
      <c r="O45" s="448"/>
    </row>
  </sheetData>
  <mergeCells count="2">
    <mergeCell ref="C2:N2"/>
    <mergeCell ref="B39:B40"/>
  </mergeCells>
  <conditionalFormatting sqref="A5 C5:N5">
    <cfRule type="cellIs" dxfId="4" priority="2" operator="between">
      <formula>0</formula>
      <formula>1000000</formula>
    </cfRule>
  </conditionalFormatting>
  <conditionalFormatting sqref="A4:N4">
    <cfRule type="cellIs" dxfId="3" priority="1" operator="greaterThan">
      <formula>0</formula>
    </cfRule>
  </conditionalFormatting>
  <conditionalFormatting sqref="A31:N33 A42 C42:N42">
    <cfRule type="cellIs" dxfId="2" priority="3" operator="lessThan">
      <formula>0</formula>
    </cfRule>
  </conditionalFormatting>
  <conditionalFormatting sqref="C23:N29">
    <cfRule type="cellIs" dxfId="1" priority="4" operator="greaterThan">
      <formula>0</formula>
    </cfRule>
  </conditionalFormatting>
  <pageMargins left="0.7" right="0.7" top="0.75" bottom="0.75" header="0" footer="0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26"/>
  <sheetViews>
    <sheetView workbookViewId="0">
      <selection activeCell="B17" sqref="B17"/>
    </sheetView>
  </sheetViews>
  <sheetFormatPr defaultColWidth="14.42578125" defaultRowHeight="15" customHeight="1" x14ac:dyDescent="0.25"/>
  <cols>
    <col min="1" max="1" width="85.85546875" customWidth="1"/>
  </cols>
  <sheetData>
    <row r="1" spans="1:1" x14ac:dyDescent="0.25">
      <c r="A1" s="542" t="s">
        <v>93</v>
      </c>
    </row>
    <row r="2" spans="1:1" ht="15" customHeight="1" x14ac:dyDescent="0.25">
      <c r="A2" s="542"/>
    </row>
    <row r="3" spans="1:1" ht="15" customHeight="1" x14ac:dyDescent="0.25">
      <c r="A3" s="542"/>
    </row>
    <row r="4" spans="1:1" ht="15" customHeight="1" x14ac:dyDescent="0.25">
      <c r="A4" s="542"/>
    </row>
    <row r="5" spans="1:1" ht="15" customHeight="1" x14ac:dyDescent="0.25">
      <c r="A5" s="542"/>
    </row>
    <row r="6" spans="1:1" ht="15" customHeight="1" x14ac:dyDescent="0.25">
      <c r="A6" s="542"/>
    </row>
    <row r="7" spans="1:1" ht="15" customHeight="1" x14ac:dyDescent="0.25">
      <c r="A7" s="542"/>
    </row>
    <row r="8" spans="1:1" ht="15" customHeight="1" x14ac:dyDescent="0.25">
      <c r="A8" s="542"/>
    </row>
    <row r="9" spans="1:1" ht="15" customHeight="1" x14ac:dyDescent="0.25">
      <c r="A9" s="542"/>
    </row>
    <row r="10" spans="1:1" ht="15" customHeight="1" x14ac:dyDescent="0.25">
      <c r="A10" s="542"/>
    </row>
    <row r="11" spans="1:1" ht="15" customHeight="1" x14ac:dyDescent="0.25">
      <c r="A11" s="542"/>
    </row>
    <row r="12" spans="1:1" ht="15" customHeight="1" x14ac:dyDescent="0.25">
      <c r="A12" s="542"/>
    </row>
    <row r="13" spans="1:1" ht="15" customHeight="1" x14ac:dyDescent="0.25">
      <c r="A13" s="542"/>
    </row>
    <row r="14" spans="1:1" ht="15" customHeight="1" x14ac:dyDescent="0.25">
      <c r="A14" s="542"/>
    </row>
    <row r="15" spans="1:1" ht="15" customHeight="1" x14ac:dyDescent="0.25">
      <c r="A15" s="542"/>
    </row>
    <row r="16" spans="1:1" ht="15" customHeight="1" x14ac:dyDescent="0.25">
      <c r="A16" s="542"/>
    </row>
    <row r="17" spans="1:1" ht="15" customHeight="1" x14ac:dyDescent="0.25">
      <c r="A17" s="542"/>
    </row>
    <row r="18" spans="1:1" ht="15" customHeight="1" x14ac:dyDescent="0.25">
      <c r="A18" s="542"/>
    </row>
    <row r="19" spans="1:1" ht="15" customHeight="1" x14ac:dyDescent="0.25">
      <c r="A19" s="542"/>
    </row>
    <row r="20" spans="1:1" ht="15" customHeight="1" x14ac:dyDescent="0.25">
      <c r="A20" s="542"/>
    </row>
    <row r="21" spans="1:1" ht="15" customHeight="1" x14ac:dyDescent="0.25">
      <c r="A21" s="542"/>
    </row>
    <row r="22" spans="1:1" ht="15" customHeight="1" x14ac:dyDescent="0.25">
      <c r="A22" s="542"/>
    </row>
    <row r="23" spans="1:1" ht="15" customHeight="1" x14ac:dyDescent="0.25">
      <c r="A23" s="542"/>
    </row>
    <row r="24" spans="1:1" ht="15" customHeight="1" x14ac:dyDescent="0.25">
      <c r="A24" s="542"/>
    </row>
    <row r="25" spans="1:1" ht="15" customHeight="1" x14ac:dyDescent="0.25">
      <c r="A25" s="542"/>
    </row>
    <row r="26" spans="1:1" ht="15" customHeight="1" x14ac:dyDescent="0.25">
      <c r="A26" s="542"/>
    </row>
  </sheetData>
  <mergeCells count="1">
    <mergeCell ref="A1:A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"/>
  <sheetViews>
    <sheetView showZeros="0" workbookViewId="0"/>
  </sheetViews>
  <sheetFormatPr defaultColWidth="14.42578125" defaultRowHeight="15" customHeight="1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</sheetData>
  <hyperlinks>
    <hyperlink ref="A1" r:id="rId1" xr:uid="{00000000-0004-0000-00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9330-950E-4A77-B2DB-719B71AB4D25}">
  <dimension ref="A1:E10"/>
  <sheetViews>
    <sheetView workbookViewId="0">
      <selection activeCell="K31" sqref="K31"/>
    </sheetView>
  </sheetViews>
  <sheetFormatPr defaultRowHeight="15" x14ac:dyDescent="0.25"/>
  <cols>
    <col min="1" max="1" width="43.7109375" bestFit="1" customWidth="1"/>
    <col min="2" max="2" width="59.7109375" bestFit="1" customWidth="1"/>
    <col min="3" max="3" width="7.28515625" bestFit="1" customWidth="1"/>
    <col min="4" max="4" width="42.28515625" bestFit="1" customWidth="1"/>
  </cols>
  <sheetData>
    <row r="1" spans="1:5" ht="21" x14ac:dyDescent="0.35">
      <c r="A1" s="484" t="s">
        <v>185</v>
      </c>
      <c r="B1" s="485"/>
      <c r="C1" s="485"/>
      <c r="D1" s="485"/>
      <c r="E1" s="485"/>
    </row>
    <row r="2" spans="1:5" x14ac:dyDescent="0.25">
      <c r="A2" s="486" t="s">
        <v>186</v>
      </c>
      <c r="B2" t="s">
        <v>187</v>
      </c>
    </row>
    <row r="3" spans="1:5" x14ac:dyDescent="0.25">
      <c r="A3" s="486" t="s">
        <v>188</v>
      </c>
      <c r="B3" t="s">
        <v>189</v>
      </c>
    </row>
    <row r="5" spans="1:5" ht="17.25" x14ac:dyDescent="0.3">
      <c r="A5" s="487" t="s">
        <v>190</v>
      </c>
      <c r="B5" s="488"/>
      <c r="C5" s="488"/>
      <c r="D5" s="488"/>
      <c r="E5" s="488"/>
    </row>
    <row r="6" spans="1:5" x14ac:dyDescent="0.25">
      <c r="A6" s="489" t="s">
        <v>191</v>
      </c>
      <c r="B6" s="489" t="s">
        <v>192</v>
      </c>
      <c r="C6" s="489" t="s">
        <v>193</v>
      </c>
      <c r="D6" s="489" t="s">
        <v>194</v>
      </c>
      <c r="E6" s="490"/>
    </row>
    <row r="7" spans="1:5" x14ac:dyDescent="0.25">
      <c r="A7" s="491" t="s">
        <v>195</v>
      </c>
      <c r="B7" s="492" t="s">
        <v>196</v>
      </c>
      <c r="C7" s="493">
        <v>4</v>
      </c>
      <c r="D7" s="492" t="s">
        <v>197</v>
      </c>
      <c r="E7" s="492"/>
    </row>
    <row r="8" spans="1:5" x14ac:dyDescent="0.25">
      <c r="A8" s="494" t="s">
        <v>198</v>
      </c>
      <c r="B8" s="495" t="s">
        <v>199</v>
      </c>
      <c r="C8" s="496">
        <v>3</v>
      </c>
      <c r="D8" s="495" t="s">
        <v>200</v>
      </c>
      <c r="E8" s="495"/>
    </row>
    <row r="9" spans="1:5" x14ac:dyDescent="0.25">
      <c r="A9" s="497" t="s">
        <v>201</v>
      </c>
      <c r="B9" s="498" t="s">
        <v>202</v>
      </c>
      <c r="C9" s="499" t="s">
        <v>203</v>
      </c>
      <c r="D9" s="498" t="s">
        <v>204</v>
      </c>
      <c r="E9" s="498"/>
    </row>
    <row r="10" spans="1:5" x14ac:dyDescent="0.25">
      <c r="A10" s="500" t="s">
        <v>205</v>
      </c>
      <c r="B10" s="501" t="s">
        <v>206</v>
      </c>
      <c r="C10" s="502" t="s">
        <v>207</v>
      </c>
      <c r="D10" s="501" t="s">
        <v>208</v>
      </c>
      <c r="E10" s="5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Дашборд</vt:lpstr>
      <vt:lpstr>PL общ</vt:lpstr>
      <vt:lpstr>PL WB (нед)</vt:lpstr>
      <vt:lpstr>PL WB</vt:lpstr>
      <vt:lpstr>PL OZON (нед)</vt:lpstr>
      <vt:lpstr>PL OZON</vt:lpstr>
      <vt:lpstr>CF (нед)</vt:lpstr>
      <vt:lpstr>CF</vt:lpstr>
      <vt:lpstr>проверка</vt:lpstr>
      <vt:lpstr>Оригинал</vt:lpstr>
      <vt:lpstr>Аудит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S</dc:creator>
  <cp:lastModifiedBy>A S</cp:lastModifiedBy>
  <dcterms:created xsi:type="dcterms:W3CDTF">2025-01-06T12:37:51Z</dcterms:created>
  <dcterms:modified xsi:type="dcterms:W3CDTF">2026-06-16T15:20:28Z</dcterms:modified>
</cp:coreProperties>
</file>