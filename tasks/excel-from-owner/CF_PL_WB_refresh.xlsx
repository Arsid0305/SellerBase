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ИП Сидоренко АЕ\МАРКЕТПЛЕЙСЫ\WB\"/>
    </mc:Choice>
  </mc:AlternateContent>
  <xr:revisionPtr revIDLastSave="0" documentId="13_ncr:1_{3BA0F466-F4AE-405B-A141-07865DF3CFA5}" xr6:coauthVersionLast="47" xr6:coauthVersionMax="47" xr10:uidLastSave="{00000000-0000-0000-0000-000000000000}"/>
  <bookViews>
    <workbookView xWindow="-120" yWindow="-120" windowWidth="29040" windowHeight="15720" tabRatio="697" xr2:uid="{2F13F441-A2D3-44B5-83CE-70ADD6D62CF8}"/>
  </bookViews>
  <sheets>
    <sheet name="Акция 1" sheetId="1" r:id="rId1"/>
    <sheet name="Акция 2" sheetId="3" r:id="rId2"/>
    <sheet name="Акция 3" sheetId="14" r:id="rId3"/>
    <sheet name="Акция 4" sheetId="15" r:id="rId4"/>
    <sheet name="Акция 5" sheetId="16" r:id="rId5"/>
    <sheet name="Акция 6" sheetId="19" state="hidden" r:id="rId6"/>
    <sheet name="Акция 7" sheetId="18" state="hidden" r:id="rId7"/>
    <sheet name="Акция 8" sheetId="21" state="hidden" r:id="rId8"/>
    <sheet name="Акция 9" sheetId="22" state="hidden" r:id="rId9"/>
    <sheet name="Акция 10" sheetId="23" state="hidden" r:id="rId10"/>
    <sheet name="Акция 11" sheetId="20" state="hidden" r:id="rId11"/>
    <sheet name="Рассчет акции" sheetId="2" r:id="rId12"/>
    <sheet name="Шаблон ВБ(сводная)" sheetId="12" r:id="rId13"/>
    <sheet name=" Шаблон ВБ (вставлены зачения)" sheetId="7" r:id="rId14"/>
    <sheet name="Текущая цена на ВБ" sheetId="11" r:id="rId15"/>
  </sheets>
  <externalReferences>
    <externalReference r:id="rId16"/>
  </externalReferences>
  <definedNames>
    <definedName name="_12_18__15_3__утолщенный_шелк_7_100шт">#REF!</definedName>
    <definedName name="_14_20__17_3___утолщенный_шелк_7_100шт">#REF!</definedName>
    <definedName name="_169112569_2038161736993_ACRF1BN101PN_Маска_бандаж_для_лица_розовая">#REF!</definedName>
    <definedName name="_169153168_2038162681926_ACRF1BN101BC_Маска_бандаж_для_лица_черная">#REF!</definedName>
    <definedName name="_169395410_2038172050200_ACRF1BN201GR_Маска_бандаж_для_лица_серая">#REF!</definedName>
    <definedName name="_170899505_2038224716238_AHMA6BW101BG_Набор_мешков_для_стирки_6_шт.">#REF!</definedName>
    <definedName name="_172832355_2038337652454_AHMA7BW101BG_Набор_мешков_для_стирки_7_шт.">#REF!</definedName>
    <definedName name="_173605843_2038430289250_ACRH1MS101RJ_Массажер_для_пальцев_суставов">#REF!</definedName>
    <definedName name="_176170511_2038586639107_ACRF1SK101WH_Скребок_Гуаша_белый_короб">#REF!</definedName>
    <definedName name="_176500218_2038597850744_AHMA1BW101BG_Мешок_для_стирки_бюстгалтеров">#REF!</definedName>
    <definedName name="_176709293_2038605982115_ACRF2RS201NF_Комплект_Гуаша_роллер_и_скребок_бол_нефрит_прем">#REF!</definedName>
    <definedName name="_176721350_2038606201642_AHMA3BW201WH_Комплект_мешков_сетка_мелкая_на_шнурке_3_шт.">#REF!</definedName>
    <definedName name="_176723275_2038606256161_AHMA3BW202WH_Комплект_мешков_сетка_крупная_на_шнурке_3_шт.">#REF!</definedName>
    <definedName name="_177404837_2038627692689_AHMA3BW101BG_Комплект_мешков_для_стирки_3_шт.">#REF!</definedName>
    <definedName name="_177405495_2038627713902_AHMA3BW102BG_Комплект_мешков_для_деликатной_стирки_3_шт.">#REF!</definedName>
    <definedName name="_18_27__23_4___утолщенный_шелк_7_100шт">#REF!</definedName>
    <definedName name="_186800214_2038890789598_ACRA7TB101BC_Таблетница_круглая_7_2">#REF!</definedName>
    <definedName name="_186826338_2038891723249_ACRA7TB201BC_Таблетница_прямоугольная_7_2_черная">#REF!</definedName>
    <definedName name="_188194883_2038931439581_AHMA3BW211WH_Комплект_мешков_сетка_мелкая_на_шнурке_3_шт._с_шаром">#REF!</definedName>
    <definedName name="_199452263_2039291528267_AHMA3BW212WH_Комплект_мешков_сетка_крупная_на_шнурке_3_шт._с_шаром">#REF!</definedName>
    <definedName name="_20_30__26_4___утолщенный_шелк_7_100шт">#REF!</definedName>
    <definedName name="_20_34__30_4___утолщенный_шелк_7_100шт">#REF!</definedName>
    <definedName name="_200946531_2039323172727_AHMA3BW221WH_Комплект_мешков_сетка_крупная_на_шнурке_3_шт._с_цилиндром">#REF!</definedName>
    <definedName name="_200953158_2039323305576_ACRA7TB301BC_Таблетница_прямоугольная_7_3">#REF!</definedName>
    <definedName name="_204260887_2039399347548_AHMA3BW222WH_Комплект_мешков_мелкая_сетка_на_шнурке_3_шт._с_цилиндром">#REF!</definedName>
    <definedName name="_204615141_2039404446068_AHMA2BW201WH_Комплект_мешков_2_шт._серый">#REF!</definedName>
    <definedName name="_205841460_2039422231875_ACRF1SK202NF_Скребок_Гуаша_нефрит">#REF!</definedName>
    <definedName name="_22_34__30_4___утолщенный_шелк_7_100шт">#REF!</definedName>
    <definedName name="_220252787_2039735724354_ACRL1MS101RJ_Массажер_для_ног">#REF!</definedName>
    <definedName name="_223420736_2039813223373_ACRB1MS101RJ_Массажер_для_тела">#REF!</definedName>
    <definedName name="_223671295_2039818580389_ACRB1MS102RJ_Массажер_мяч_оранжевый">#REF!</definedName>
    <definedName name="_236072834_2040278804649_ACRB1MS102BL_Массажер_мяч_голубой">#REF!</definedName>
    <definedName name="_236072835_2040278804496_ACRB1MS102WH_Массажер_мяч_белый">#REF!</definedName>
    <definedName name="_236072836_2040278810534_ACRB1MS102PN_Массажер_мяч_розовый">#REF!</definedName>
    <definedName name="_236074677_2040278862540_AHMA2BW202WH_Комплект_мешков_2_шт._розовый">#REF!</definedName>
    <definedName name="_236929187_2040335626849_AHMA1BW112WH_Мешок_большой_крупная_сетка_60_80">#REF!</definedName>
    <definedName name="_236929188_2040335648124_AHMA1BW111WH_Мешок_большой_мелкая_сетка_60_80">#REF!</definedName>
    <definedName name="_239233529_2040478696884_AHMA1BW302WH_Мешок_для_стирки_обуви_XL___35_см">#REF!</definedName>
    <definedName name="_239235150_2040478720961_AHMA1BW301WH_Мешок_для_стирки_обуви_L___30_см">#REF!</definedName>
    <definedName name="_24_34__30_4___утолщенный_шелк_7_100шт">#REF!</definedName>
    <definedName name="_248267432_2040797652776_AAND1ST201BL_Палочка_для_жевания">#REF!</definedName>
    <definedName name="_251407392_2040900511679_AAND1BL102BL_Мяч_шина_синий">#REF!</definedName>
    <definedName name="_251516159_2040902555480_AAND1BL102RD_Мяч_шина_красный">#REF!</definedName>
    <definedName name="_251537223_2040903539366_AAND1BL101RD_Мяч_регби_красный">#REF!</definedName>
    <definedName name="_251537413_2040903547941_AAND1BL101BL_Мяч_регби_синий">#REF!</definedName>
    <definedName name="_253681275_2040957863936_ACRA7TB401CL_Таблетница_прямоугольная_7_2_цветная">#REF!</definedName>
    <definedName name="_xlnm._FilterDatabase" localSheetId="13" hidden="1">' Шаблон ВБ (вставлены зачения)'!#REF!</definedName>
    <definedName name="_xlnm._FilterDatabase" localSheetId="11" hidden="1">'Рассчет акции'!$A$5:$BM$61</definedName>
    <definedName name="_xlnm._FilterDatabase" localSheetId="14" hidden="1">'Текущая цена на ВБ'!$A$1:$M$87</definedName>
    <definedName name="_xlnm._FilterDatabase" localSheetId="12" hidden="1">'Шаблон ВБ(сводная)'!$A$1:$M$56</definedName>
    <definedName name="A1016__мелкое_отверстие_30_40">#REF!</definedName>
    <definedName name="A1016__толстое_отверстие_30_40">#REF!</definedName>
    <definedName name="A1016__толстое_отверстие_40_50">#REF!</definedName>
    <definedName name="A1016__толстое_отверстие_60_80">#REF!</definedName>
    <definedName name="A1016__тонкое_отверстие_40_50">#REF!</definedName>
    <definedName name="A1016__тонкое_отверстие_50_60">#REF!</definedName>
    <definedName name="A1016__тонкое_отверстие_60_80">#REF!</definedName>
    <definedName name="A1016_толстое_отверстие_50_60">#REF!</definedName>
    <definedName name="Бандаж_лайкра_розовый">#REF!</definedName>
    <definedName name="Бандаж_лайкра_черный">#REF!</definedName>
    <definedName name="Бандаж_силикон_серый">#REF!</definedName>
    <definedName name="Бежевые_трусики_20_20">#REF!</definedName>
    <definedName name="Бежевый_Бюстгальтер_Раковина_18_16">#REF!</definedName>
    <definedName name="Белый__скребок_Гуаша_в_коробке">#REF!</definedName>
    <definedName name="Белый_набор_гуаша_в_коробке">#REF!</definedName>
    <definedName name="Белый_скребок_Гуаша">#REF!</definedName>
    <definedName name="Жевательная_щеткадля_собак">#REF!</definedName>
    <definedName name="Зеленый_набор_гуаша_в_коробке">#REF!</definedName>
    <definedName name="Зеленый_ролик_в_коробке">#REF!</definedName>
    <definedName name="Зеленый_скребок_Гуаша">#REF!</definedName>
    <definedName name="Зеленый_скребок_Гуаша_в_коробке">#REF!</definedName>
    <definedName name="Массажер_для_ног">#REF!</definedName>
    <definedName name="Массажер_для_пальцев">#REF!</definedName>
    <definedName name="Массажер_для_тела">#REF!</definedName>
    <definedName name="Массажер_мячик_белый">#REF!</definedName>
    <definedName name="Массажер_мячик_голубой">#REF!</definedName>
    <definedName name="Массажер_мячик_оранжевый">#REF!</definedName>
    <definedName name="Массажер_мячик_розовый">#REF!</definedName>
    <definedName name="Матовый_пластиковый_пакет_слайдер_18х25_100_шт">#REF!</definedName>
    <definedName name="Матовый_пластиковый_пакет_слайдер_20х25">#REF!</definedName>
    <definedName name="Матовый_пластиковый_пакет_слайдер_20х30">#REF!</definedName>
    <definedName name="Матовый_пластиковый_пакет_слайдер_25х30">#REF!</definedName>
    <definedName name="Мешки_для_мусора_голубой">#REF!</definedName>
    <definedName name="Мешки_для_мусора_зеленый">#REF!</definedName>
    <definedName name="Мешки_для_мусора_красный">#REF!</definedName>
    <definedName name="Мешки_для_мусора_кроричневый">#REF!</definedName>
    <definedName name="Мешки_для_мусора_серый">#REF!</definedName>
    <definedName name="Мешок_бежевый_для_бюстгальтера_цилиндр_17_17">#REF!</definedName>
    <definedName name="мешок_для_мусора_45_50_СМ_двусторонний_провод_2.2__35_шт.">#REF!</definedName>
    <definedName name="мешок_для_мусора_45_50см_39шт_рулон_одностороннего_1.2_шелка">#REF!</definedName>
    <definedName name="мешок_для_мусора_упаковка_45_50_по_30_шт.">#REF!</definedName>
    <definedName name="мешок_для_мусора_упаковка_из_30_штук">#REF!</definedName>
    <definedName name="мешок_для_мусора_утолщенная_двусторонняя_2_х_проводная_проволока_32_шт__45_50_см">#REF!</definedName>
    <definedName name="Мешок_для_стирки_бежевый_20_30">#REF!</definedName>
    <definedName name="Мешок_для_стирки_бежевый_30_40">#REF!</definedName>
    <definedName name="Мешок_для_стирки_бежевый_40_50">#REF!</definedName>
    <definedName name="Мешок_для_стирки_Молния_светло_серого_цвета_с_крупной_сеткой_70_г_форма_шара_25">#REF!</definedName>
    <definedName name="Мешок_для_стирки_Молния_светло_серого_цвета_с_крупной_сеткой_70_г_Цилиндрический_22_33">#REF!</definedName>
    <definedName name="Мешок_для_стирки_на_шнурке_крупная_сетка_30х40__компл">#REF!</definedName>
    <definedName name="Мешок_для_стирки_на_шнурке_крупная_сетка_40х50__компл">#REF!</definedName>
    <definedName name="Мешок_для_стирки_на_шнурке_крупная_сетка_50х60__компл">#REF!</definedName>
    <definedName name="Мешок_для_стирки_на_шнурке_мелкая_сетка_30х40__компл">#REF!</definedName>
    <definedName name="Мешок_для_стирки_на_шнурке_мелкая_сетка_40х50__компл">#REF!</definedName>
    <definedName name="Мешок_для_стирки_на_шнурке_мелкая_сетка_50х60__компл">#REF!</definedName>
    <definedName name="Мешок_для_стирки_обуви_большой_35см">#REF!</definedName>
    <definedName name="Мешок_для_стирки_обуви_средний_30см">#REF!</definedName>
    <definedName name="Мяч_для_шин_с_эластичной_веревкой_красного_цвета">#REF!</definedName>
    <definedName name="Мяч_для_шин_с_эластичной_веревкой_синего_цвета">#REF!</definedName>
    <definedName name="Набор_6_шт._мешков_для_стирки_с_вышивкой">#REF!</definedName>
    <definedName name="Набор_7_шт._мешков__для_стирки_с_вышивкой">#REF!</definedName>
    <definedName name="Нефритовый_скребок_гуаша_большой">#REF!</definedName>
    <definedName name="Нефритовый_скребок_гуаша_маленький__компл">#REF!</definedName>
    <definedName name="Регби_с_эластичной_веревкой_красного_цвета">#REF!</definedName>
    <definedName name="Регби_с_эластичной_веревкой_синего_цвета">#REF!</definedName>
    <definedName name="Розовая_сумка_для_бюстгальтера_в_виде_ракушки_18_15_см">#REF!</definedName>
    <definedName name="Розовая_цилиндрическая_сумка_для_бюстгальтера_17_15_см">#REF!</definedName>
    <definedName name="Розовый__скребок_Гуаша_в_коробке">#REF!</definedName>
    <definedName name="Розовый_набор_гуаша_в_коробке">#REF!</definedName>
    <definedName name="Розовый_скребок_Гуаша">#REF!</definedName>
    <definedName name="Ролик_гуаша_белый">#REF!</definedName>
    <definedName name="Ролик_гуаша_в_коробке_белый">#REF!</definedName>
    <definedName name="Ролик_гуаша_в_коробке_розовый">#REF!</definedName>
    <definedName name="Ролик_гуаша_в_коробке_черный">#REF!</definedName>
    <definedName name="Ролик_гуаша_зеленый">#REF!</definedName>
    <definedName name="Ролик_гуаша_нефрит">#REF!</definedName>
    <definedName name="Ролик_гуаша_нефрит__компл">#REF!</definedName>
    <definedName name="Ролик_гуаша_розовый">#REF!</definedName>
    <definedName name="Ролик_гуаша_черный">#REF!</definedName>
    <definedName name="Серая_сумка_для_бюстгальтера_в_виде_ракушки_18_15_см">#REF!</definedName>
    <definedName name="Серая_цилиндрическая_сумка_для_бюстгальтера_17_15_см">#REF!</definedName>
    <definedName name="Сумка_для_бюстгальтера_Sandwich_4_шт._Молния_светло_серого_цвета">#REF!</definedName>
    <definedName name="Сумка_для_бюстгальтера_Sandwich_светло_серая_цилиндрическая_Молния_светло_серого_цвета">#REF!</definedName>
    <definedName name="Сумка_для_бюстгальтера_Sandwich_Светло_серый_треугольник_Молния_светло_серого_цвета">#REF!</definedName>
    <definedName name="Таблетница_круглая_7_2_черная">#REF!</definedName>
    <definedName name="Таблетница_прямоугольная_7_2">#REF!</definedName>
    <definedName name="Таблетница_прямоугольная_7_2_автомат_цветная">#REF!</definedName>
    <definedName name="Таблетница_прямоугольная_7_2_автомат_черная">#REF!</definedName>
    <definedName name="Таблетница_прямоугольная_7_2_черная">#REF!</definedName>
    <definedName name="Таблетница_прямоугольная_7_3">#REF!</definedName>
    <definedName name="Цилиндр_бежевый_20_3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6" i="2" l="1"/>
  <c r="A3" i="12" l="1"/>
  <c r="B3" i="12"/>
  <c r="C3" i="12"/>
  <c r="D3" i="12"/>
  <c r="E3" i="12"/>
  <c r="F3" i="12"/>
  <c r="G3" i="12"/>
  <c r="H3" i="12"/>
  <c r="I3" i="12"/>
  <c r="K3" i="12"/>
  <c r="A4" i="12"/>
  <c r="B4" i="12"/>
  <c r="C4" i="12"/>
  <c r="D4" i="12"/>
  <c r="E4" i="12"/>
  <c r="F4" i="12"/>
  <c r="G4" i="12"/>
  <c r="H4" i="12"/>
  <c r="I4" i="12"/>
  <c r="K4" i="12"/>
  <c r="A5" i="12"/>
  <c r="B5" i="12"/>
  <c r="C5" i="12"/>
  <c r="D5" i="12"/>
  <c r="E5" i="12"/>
  <c r="F5" i="12"/>
  <c r="G5" i="12"/>
  <c r="H5" i="12"/>
  <c r="I5" i="12"/>
  <c r="K5" i="12"/>
  <c r="A6" i="12"/>
  <c r="B6" i="12"/>
  <c r="C6" i="12"/>
  <c r="D6" i="12"/>
  <c r="E6" i="12"/>
  <c r="F6" i="12"/>
  <c r="G6" i="12"/>
  <c r="H6" i="12"/>
  <c r="I6" i="12"/>
  <c r="K6" i="12"/>
  <c r="A7" i="12"/>
  <c r="B7" i="12"/>
  <c r="C7" i="12"/>
  <c r="D7" i="12"/>
  <c r="E7" i="12"/>
  <c r="F7" i="12"/>
  <c r="G7" i="12"/>
  <c r="H7" i="12"/>
  <c r="I7" i="12"/>
  <c r="K7" i="12"/>
  <c r="A8" i="12"/>
  <c r="B8" i="12"/>
  <c r="C8" i="12"/>
  <c r="D8" i="12"/>
  <c r="E8" i="12"/>
  <c r="F8" i="12"/>
  <c r="G8" i="12"/>
  <c r="H8" i="12"/>
  <c r="I8" i="12"/>
  <c r="K8" i="12"/>
  <c r="A9" i="12"/>
  <c r="B9" i="12"/>
  <c r="C9" i="12"/>
  <c r="D9" i="12"/>
  <c r="E9" i="12"/>
  <c r="F9" i="12"/>
  <c r="G9" i="12"/>
  <c r="H9" i="12"/>
  <c r="I9" i="12"/>
  <c r="K9" i="12"/>
  <c r="A10" i="12"/>
  <c r="B10" i="12"/>
  <c r="C10" i="12"/>
  <c r="D10" i="12"/>
  <c r="E10" i="12"/>
  <c r="F10" i="12"/>
  <c r="G10" i="12"/>
  <c r="H10" i="12"/>
  <c r="I10" i="12"/>
  <c r="K10" i="12"/>
  <c r="A11" i="12"/>
  <c r="B11" i="12"/>
  <c r="C11" i="12"/>
  <c r="D11" i="12"/>
  <c r="E11" i="12"/>
  <c r="F11" i="12"/>
  <c r="G11" i="12"/>
  <c r="H11" i="12"/>
  <c r="I11" i="12"/>
  <c r="K11" i="12"/>
  <c r="A12" i="12"/>
  <c r="B12" i="12"/>
  <c r="C12" i="12"/>
  <c r="D12" i="12"/>
  <c r="E12" i="12"/>
  <c r="F12" i="12"/>
  <c r="G12" i="12"/>
  <c r="H12" i="12"/>
  <c r="I12" i="12"/>
  <c r="K12" i="12"/>
  <c r="A13" i="12"/>
  <c r="B13" i="12"/>
  <c r="C13" i="12"/>
  <c r="D13" i="12"/>
  <c r="E13" i="12"/>
  <c r="F13" i="12"/>
  <c r="G13" i="12"/>
  <c r="H13" i="12"/>
  <c r="I13" i="12"/>
  <c r="K13" i="12"/>
  <c r="A14" i="12"/>
  <c r="B14" i="12"/>
  <c r="C14" i="12"/>
  <c r="D14" i="12"/>
  <c r="E14" i="12"/>
  <c r="F14" i="12"/>
  <c r="G14" i="12"/>
  <c r="H14" i="12"/>
  <c r="I14" i="12"/>
  <c r="K14" i="12"/>
  <c r="A15" i="12"/>
  <c r="B15" i="12"/>
  <c r="C15" i="12"/>
  <c r="D15" i="12"/>
  <c r="E15" i="12"/>
  <c r="F15" i="12"/>
  <c r="G15" i="12"/>
  <c r="H15" i="12"/>
  <c r="I15" i="12"/>
  <c r="K15" i="12"/>
  <c r="A16" i="12"/>
  <c r="B16" i="12"/>
  <c r="C16" i="12"/>
  <c r="D16" i="12"/>
  <c r="E16" i="12"/>
  <c r="F16" i="12"/>
  <c r="G16" i="12"/>
  <c r="H16" i="12"/>
  <c r="I16" i="12"/>
  <c r="K16" i="12"/>
  <c r="A17" i="12"/>
  <c r="B17" i="12"/>
  <c r="C17" i="12"/>
  <c r="D17" i="12"/>
  <c r="E17" i="12"/>
  <c r="F17" i="12"/>
  <c r="G17" i="12"/>
  <c r="H17" i="12"/>
  <c r="I17" i="12"/>
  <c r="K17" i="12"/>
  <c r="A18" i="12"/>
  <c r="B18" i="12"/>
  <c r="C18" i="12"/>
  <c r="D18" i="12"/>
  <c r="E18" i="12"/>
  <c r="F18" i="12"/>
  <c r="G18" i="12"/>
  <c r="H18" i="12"/>
  <c r="I18" i="12"/>
  <c r="K18" i="12"/>
  <c r="A19" i="12"/>
  <c r="B19" i="12"/>
  <c r="C19" i="12"/>
  <c r="D19" i="12"/>
  <c r="E19" i="12"/>
  <c r="F19" i="12"/>
  <c r="G19" i="12"/>
  <c r="H19" i="12"/>
  <c r="I19" i="12"/>
  <c r="K19" i="12"/>
  <c r="A20" i="12"/>
  <c r="B20" i="12"/>
  <c r="C20" i="12"/>
  <c r="D20" i="12"/>
  <c r="E20" i="12"/>
  <c r="F20" i="12"/>
  <c r="G20" i="12"/>
  <c r="H20" i="12"/>
  <c r="I20" i="12"/>
  <c r="K20" i="12"/>
  <c r="A21" i="12"/>
  <c r="B21" i="12"/>
  <c r="C21" i="12"/>
  <c r="D21" i="12"/>
  <c r="E21" i="12"/>
  <c r="F21" i="12"/>
  <c r="G21" i="12"/>
  <c r="H21" i="12"/>
  <c r="I21" i="12"/>
  <c r="K21" i="12"/>
  <c r="A22" i="12"/>
  <c r="B22" i="12"/>
  <c r="C22" i="12"/>
  <c r="D22" i="12"/>
  <c r="E22" i="12"/>
  <c r="F22" i="12"/>
  <c r="G22" i="12"/>
  <c r="H22" i="12"/>
  <c r="I22" i="12"/>
  <c r="K22" i="12"/>
  <c r="A23" i="12"/>
  <c r="B23" i="12"/>
  <c r="C23" i="12"/>
  <c r="D23" i="12"/>
  <c r="E23" i="12"/>
  <c r="F23" i="12"/>
  <c r="G23" i="12"/>
  <c r="H23" i="12"/>
  <c r="I23" i="12"/>
  <c r="K23" i="12"/>
  <c r="A24" i="12"/>
  <c r="B24" i="12"/>
  <c r="C24" i="12"/>
  <c r="D24" i="12"/>
  <c r="E24" i="12"/>
  <c r="F24" i="12"/>
  <c r="G24" i="12"/>
  <c r="H24" i="12"/>
  <c r="I24" i="12"/>
  <c r="K24" i="12"/>
  <c r="A25" i="12"/>
  <c r="B25" i="12"/>
  <c r="C25" i="12"/>
  <c r="D25" i="12"/>
  <c r="E25" i="12"/>
  <c r="F25" i="12"/>
  <c r="G25" i="12"/>
  <c r="H25" i="12"/>
  <c r="I25" i="12"/>
  <c r="K25" i="12"/>
  <c r="A26" i="12"/>
  <c r="B26" i="12"/>
  <c r="C26" i="12"/>
  <c r="D26" i="12"/>
  <c r="E26" i="12"/>
  <c r="F26" i="12"/>
  <c r="G26" i="12"/>
  <c r="H26" i="12"/>
  <c r="I26" i="12"/>
  <c r="K26" i="12"/>
  <c r="A27" i="12"/>
  <c r="B27" i="12"/>
  <c r="C27" i="12"/>
  <c r="D27" i="12"/>
  <c r="E27" i="12"/>
  <c r="F27" i="12"/>
  <c r="G27" i="12"/>
  <c r="H27" i="12"/>
  <c r="I27" i="12"/>
  <c r="K27" i="12"/>
  <c r="A28" i="12"/>
  <c r="B28" i="12"/>
  <c r="C28" i="12"/>
  <c r="D28" i="12"/>
  <c r="E28" i="12"/>
  <c r="F28" i="12"/>
  <c r="G28" i="12"/>
  <c r="H28" i="12"/>
  <c r="I28" i="12"/>
  <c r="K28" i="12"/>
  <c r="A29" i="12"/>
  <c r="B29" i="12"/>
  <c r="C29" i="12"/>
  <c r="D29" i="12"/>
  <c r="E29" i="12"/>
  <c r="F29" i="12"/>
  <c r="G29" i="12"/>
  <c r="H29" i="12"/>
  <c r="I29" i="12"/>
  <c r="K29" i="12"/>
  <c r="A30" i="12"/>
  <c r="B30" i="12"/>
  <c r="C30" i="12"/>
  <c r="D30" i="12"/>
  <c r="E30" i="12"/>
  <c r="F30" i="12"/>
  <c r="G30" i="12"/>
  <c r="H30" i="12"/>
  <c r="I30" i="12"/>
  <c r="K30" i="12"/>
  <c r="A31" i="12"/>
  <c r="B31" i="12"/>
  <c r="C31" i="12"/>
  <c r="D31" i="12"/>
  <c r="E31" i="12"/>
  <c r="F31" i="12"/>
  <c r="G31" i="12"/>
  <c r="H31" i="12"/>
  <c r="I31" i="12"/>
  <c r="K31" i="12"/>
  <c r="A32" i="12"/>
  <c r="B32" i="12"/>
  <c r="C32" i="12"/>
  <c r="D32" i="12"/>
  <c r="E32" i="12"/>
  <c r="F32" i="12"/>
  <c r="G32" i="12"/>
  <c r="H32" i="12"/>
  <c r="I32" i="12"/>
  <c r="K32" i="12"/>
  <c r="A33" i="12"/>
  <c r="B33" i="12"/>
  <c r="C33" i="12"/>
  <c r="D33" i="12"/>
  <c r="E33" i="12"/>
  <c r="F33" i="12"/>
  <c r="G33" i="12"/>
  <c r="H33" i="12"/>
  <c r="I33" i="12"/>
  <c r="K33" i="12"/>
  <c r="A34" i="12"/>
  <c r="B34" i="12"/>
  <c r="C34" i="12"/>
  <c r="D34" i="12"/>
  <c r="E34" i="12"/>
  <c r="F34" i="12"/>
  <c r="G34" i="12"/>
  <c r="H34" i="12"/>
  <c r="I34" i="12"/>
  <c r="K34" i="12"/>
  <c r="A35" i="12"/>
  <c r="B35" i="12"/>
  <c r="C35" i="12"/>
  <c r="D35" i="12"/>
  <c r="E35" i="12"/>
  <c r="F35" i="12"/>
  <c r="G35" i="12"/>
  <c r="H35" i="12"/>
  <c r="I35" i="12"/>
  <c r="K35" i="12"/>
  <c r="A36" i="12"/>
  <c r="B36" i="12"/>
  <c r="C36" i="12"/>
  <c r="D36" i="12"/>
  <c r="E36" i="12"/>
  <c r="F36" i="12"/>
  <c r="G36" i="12"/>
  <c r="H36" i="12"/>
  <c r="I36" i="12"/>
  <c r="K36" i="12"/>
  <c r="A37" i="12"/>
  <c r="B37" i="12"/>
  <c r="C37" i="12"/>
  <c r="D37" i="12"/>
  <c r="E37" i="12"/>
  <c r="F37" i="12"/>
  <c r="G37" i="12"/>
  <c r="H37" i="12"/>
  <c r="I37" i="12"/>
  <c r="K37" i="12"/>
  <c r="A38" i="12"/>
  <c r="B38" i="12"/>
  <c r="C38" i="12"/>
  <c r="D38" i="12"/>
  <c r="E38" i="12"/>
  <c r="F38" i="12"/>
  <c r="G38" i="12"/>
  <c r="H38" i="12"/>
  <c r="I38" i="12"/>
  <c r="K38" i="12"/>
  <c r="A39" i="12"/>
  <c r="B39" i="12"/>
  <c r="C39" i="12"/>
  <c r="D39" i="12"/>
  <c r="E39" i="12"/>
  <c r="F39" i="12"/>
  <c r="G39" i="12"/>
  <c r="H39" i="12"/>
  <c r="I39" i="12"/>
  <c r="K39" i="12"/>
  <c r="A40" i="12"/>
  <c r="B40" i="12"/>
  <c r="C40" i="12"/>
  <c r="D40" i="12"/>
  <c r="E40" i="12"/>
  <c r="F40" i="12"/>
  <c r="G40" i="12"/>
  <c r="H40" i="12"/>
  <c r="I40" i="12"/>
  <c r="K40" i="12"/>
  <c r="A41" i="12"/>
  <c r="B41" i="12"/>
  <c r="C41" i="12"/>
  <c r="D41" i="12"/>
  <c r="E41" i="12"/>
  <c r="F41" i="12"/>
  <c r="G41" i="12"/>
  <c r="H41" i="12"/>
  <c r="I41" i="12"/>
  <c r="K41" i="12"/>
  <c r="A42" i="12"/>
  <c r="B42" i="12"/>
  <c r="C42" i="12"/>
  <c r="D42" i="12"/>
  <c r="E42" i="12"/>
  <c r="F42" i="12"/>
  <c r="G42" i="12"/>
  <c r="H42" i="12"/>
  <c r="I42" i="12"/>
  <c r="K42" i="12"/>
  <c r="A43" i="12"/>
  <c r="B43" i="12"/>
  <c r="C43" i="12"/>
  <c r="D43" i="12"/>
  <c r="E43" i="12"/>
  <c r="F43" i="12"/>
  <c r="G43" i="12"/>
  <c r="H43" i="12"/>
  <c r="I43" i="12"/>
  <c r="K43" i="12"/>
  <c r="A44" i="12"/>
  <c r="B44" i="12"/>
  <c r="C44" i="12"/>
  <c r="D44" i="12"/>
  <c r="E44" i="12"/>
  <c r="F44" i="12"/>
  <c r="G44" i="12"/>
  <c r="H44" i="12"/>
  <c r="I44" i="12"/>
  <c r="K44" i="12"/>
  <c r="A45" i="12"/>
  <c r="B45" i="12"/>
  <c r="C45" i="12"/>
  <c r="D45" i="12"/>
  <c r="E45" i="12"/>
  <c r="F45" i="12"/>
  <c r="G45" i="12"/>
  <c r="H45" i="12"/>
  <c r="I45" i="12"/>
  <c r="K45" i="12"/>
  <c r="A46" i="12"/>
  <c r="B46" i="12"/>
  <c r="C46" i="12"/>
  <c r="D46" i="12"/>
  <c r="E46" i="12"/>
  <c r="F46" i="12"/>
  <c r="G46" i="12"/>
  <c r="H46" i="12"/>
  <c r="I46" i="12"/>
  <c r="K46" i="12"/>
  <c r="A47" i="12"/>
  <c r="B47" i="12"/>
  <c r="C47" i="12"/>
  <c r="D47" i="12"/>
  <c r="E47" i="12"/>
  <c r="F47" i="12"/>
  <c r="G47" i="12"/>
  <c r="H47" i="12"/>
  <c r="I47" i="12"/>
  <c r="K47" i="12"/>
  <c r="A48" i="12"/>
  <c r="B48" i="12"/>
  <c r="C48" i="12"/>
  <c r="D48" i="12"/>
  <c r="E48" i="12"/>
  <c r="F48" i="12"/>
  <c r="G48" i="12"/>
  <c r="H48" i="12"/>
  <c r="I48" i="12"/>
  <c r="K48" i="12"/>
  <c r="A49" i="12"/>
  <c r="B49" i="12"/>
  <c r="C49" i="12"/>
  <c r="D49" i="12"/>
  <c r="E49" i="12"/>
  <c r="F49" i="12"/>
  <c r="G49" i="12"/>
  <c r="H49" i="12"/>
  <c r="I49" i="12"/>
  <c r="K49" i="12"/>
  <c r="A50" i="12"/>
  <c r="B50" i="12"/>
  <c r="C50" i="12"/>
  <c r="D50" i="12"/>
  <c r="E50" i="12"/>
  <c r="F50" i="12"/>
  <c r="G50" i="12"/>
  <c r="H50" i="12"/>
  <c r="I50" i="12"/>
  <c r="K50" i="12"/>
  <c r="A51" i="12"/>
  <c r="B51" i="12"/>
  <c r="C51" i="12"/>
  <c r="D51" i="12"/>
  <c r="E51" i="12"/>
  <c r="F51" i="12"/>
  <c r="G51" i="12"/>
  <c r="H51" i="12"/>
  <c r="I51" i="12"/>
  <c r="K51" i="12"/>
  <c r="A52" i="12"/>
  <c r="B52" i="12"/>
  <c r="C52" i="12"/>
  <c r="D52" i="12"/>
  <c r="E52" i="12"/>
  <c r="F52" i="12"/>
  <c r="G52" i="12"/>
  <c r="H52" i="12"/>
  <c r="I52" i="12"/>
  <c r="K52" i="12"/>
  <c r="A53" i="12"/>
  <c r="B53" i="12"/>
  <c r="C53" i="12"/>
  <c r="D53" i="12"/>
  <c r="E53" i="12"/>
  <c r="F53" i="12"/>
  <c r="G53" i="12"/>
  <c r="H53" i="12"/>
  <c r="I53" i="12"/>
  <c r="K53" i="12"/>
  <c r="A54" i="12"/>
  <c r="B54" i="12"/>
  <c r="C54" i="12"/>
  <c r="D54" i="12"/>
  <c r="E54" i="12"/>
  <c r="F54" i="12"/>
  <c r="G54" i="12"/>
  <c r="H54" i="12"/>
  <c r="I54" i="12"/>
  <c r="K54" i="12"/>
  <c r="A55" i="12"/>
  <c r="B55" i="12"/>
  <c r="C55" i="12"/>
  <c r="D55" i="12"/>
  <c r="E55" i="12"/>
  <c r="F55" i="12"/>
  <c r="G55" i="12"/>
  <c r="H55" i="12"/>
  <c r="I55" i="12"/>
  <c r="K55" i="12"/>
  <c r="A56" i="12"/>
  <c r="B56" i="12"/>
  <c r="C56" i="12"/>
  <c r="D56" i="12"/>
  <c r="E56" i="12"/>
  <c r="F56" i="12"/>
  <c r="G56" i="12"/>
  <c r="H56" i="12"/>
  <c r="I56" i="12"/>
  <c r="K56" i="12"/>
  <c r="A57" i="12"/>
  <c r="B57" i="12"/>
  <c r="C57" i="12"/>
  <c r="D57" i="12"/>
  <c r="E57" i="12"/>
  <c r="F57" i="12"/>
  <c r="G57" i="12"/>
  <c r="H57" i="12"/>
  <c r="I57" i="12"/>
  <c r="K57" i="12"/>
  <c r="A58" i="12"/>
  <c r="B58" i="12"/>
  <c r="C58" i="12"/>
  <c r="D58" i="12"/>
  <c r="E58" i="12"/>
  <c r="F58" i="12"/>
  <c r="G58" i="12"/>
  <c r="H58" i="12"/>
  <c r="I58" i="12"/>
  <c r="K58" i="12"/>
  <c r="A59" i="12"/>
  <c r="B59" i="12"/>
  <c r="C59" i="12"/>
  <c r="D59" i="12"/>
  <c r="E59" i="12"/>
  <c r="F59" i="12"/>
  <c r="G59" i="12"/>
  <c r="H59" i="12"/>
  <c r="I59" i="12"/>
  <c r="K59" i="12"/>
  <c r="A60" i="12"/>
  <c r="B60" i="12"/>
  <c r="C60" i="12"/>
  <c r="D60" i="12"/>
  <c r="E60" i="12"/>
  <c r="F60" i="12"/>
  <c r="G60" i="12"/>
  <c r="H60" i="12"/>
  <c r="I60" i="12"/>
  <c r="K60" i="12"/>
  <c r="A61" i="12"/>
  <c r="B61" i="12"/>
  <c r="C61" i="12"/>
  <c r="D61" i="12"/>
  <c r="E61" i="12"/>
  <c r="F61" i="12"/>
  <c r="G61" i="12"/>
  <c r="H61" i="12"/>
  <c r="I61" i="12"/>
  <c r="K61" i="12"/>
  <c r="A62" i="12"/>
  <c r="B62" i="12"/>
  <c r="C62" i="12"/>
  <c r="D62" i="12"/>
  <c r="E62" i="12"/>
  <c r="F62" i="12"/>
  <c r="G62" i="12"/>
  <c r="H62" i="12"/>
  <c r="I62" i="12"/>
  <c r="K62" i="12"/>
  <c r="A63" i="12"/>
  <c r="B63" i="12"/>
  <c r="C63" i="12"/>
  <c r="D63" i="12"/>
  <c r="E63" i="12"/>
  <c r="F63" i="12"/>
  <c r="G63" i="12"/>
  <c r="H63" i="12"/>
  <c r="I63" i="12"/>
  <c r="K63" i="12"/>
  <c r="A64" i="12"/>
  <c r="B64" i="12"/>
  <c r="C64" i="12"/>
  <c r="D64" i="12"/>
  <c r="E64" i="12"/>
  <c r="F64" i="12"/>
  <c r="G64" i="12"/>
  <c r="H64" i="12"/>
  <c r="I64" i="12"/>
  <c r="K64" i="12"/>
  <c r="A65" i="12"/>
  <c r="B65" i="12"/>
  <c r="C65" i="12"/>
  <c r="D65" i="12"/>
  <c r="E65" i="12"/>
  <c r="F65" i="12"/>
  <c r="G65" i="12"/>
  <c r="H65" i="12"/>
  <c r="I65" i="12"/>
  <c r="K65" i="12"/>
  <c r="A66" i="12"/>
  <c r="B66" i="12"/>
  <c r="C66" i="12"/>
  <c r="D66" i="12"/>
  <c r="E66" i="12"/>
  <c r="F66" i="12"/>
  <c r="G66" i="12"/>
  <c r="H66" i="12"/>
  <c r="I66" i="12"/>
  <c r="K66" i="12"/>
  <c r="A67" i="12"/>
  <c r="B67" i="12"/>
  <c r="C67" i="12"/>
  <c r="D67" i="12"/>
  <c r="E67" i="12"/>
  <c r="F67" i="12"/>
  <c r="G67" i="12"/>
  <c r="H67" i="12"/>
  <c r="I67" i="12"/>
  <c r="K67" i="12"/>
  <c r="A68" i="12"/>
  <c r="B68" i="12"/>
  <c r="C68" i="12"/>
  <c r="D68" i="12"/>
  <c r="E68" i="12"/>
  <c r="F68" i="12"/>
  <c r="G68" i="12"/>
  <c r="H68" i="12"/>
  <c r="I68" i="12"/>
  <c r="K68" i="12"/>
  <c r="A69" i="12"/>
  <c r="B69" i="12"/>
  <c r="C69" i="12"/>
  <c r="D69" i="12"/>
  <c r="E69" i="12"/>
  <c r="F69" i="12"/>
  <c r="G69" i="12"/>
  <c r="H69" i="12"/>
  <c r="I69" i="12"/>
  <c r="K69" i="12"/>
  <c r="A70" i="12"/>
  <c r="B70" i="12"/>
  <c r="C70" i="12"/>
  <c r="D70" i="12"/>
  <c r="E70" i="12"/>
  <c r="F70" i="12"/>
  <c r="G70" i="12"/>
  <c r="H70" i="12"/>
  <c r="I70" i="12"/>
  <c r="K70" i="12"/>
  <c r="A71" i="12"/>
  <c r="B71" i="12"/>
  <c r="C71" i="12"/>
  <c r="D71" i="12"/>
  <c r="E71" i="12"/>
  <c r="F71" i="12"/>
  <c r="G71" i="12"/>
  <c r="H71" i="12"/>
  <c r="I71" i="12"/>
  <c r="K71" i="12"/>
  <c r="A72" i="12"/>
  <c r="B72" i="12"/>
  <c r="C72" i="12"/>
  <c r="D72" i="12"/>
  <c r="E72" i="12"/>
  <c r="F72" i="12"/>
  <c r="G72" i="12"/>
  <c r="H72" i="12"/>
  <c r="I72" i="12"/>
  <c r="K72" i="12"/>
  <c r="A73" i="12"/>
  <c r="B73" i="12"/>
  <c r="C73" i="12"/>
  <c r="D73" i="12"/>
  <c r="E73" i="12"/>
  <c r="F73" i="12"/>
  <c r="G73" i="12"/>
  <c r="H73" i="12"/>
  <c r="I73" i="12"/>
  <c r="K73" i="12"/>
  <c r="A74" i="12"/>
  <c r="B74" i="12"/>
  <c r="C74" i="12"/>
  <c r="D74" i="12"/>
  <c r="E74" i="12"/>
  <c r="F74" i="12"/>
  <c r="G74" i="12"/>
  <c r="H74" i="12"/>
  <c r="I74" i="12"/>
  <c r="K74" i="12"/>
  <c r="A75" i="12"/>
  <c r="B75" i="12"/>
  <c r="C75" i="12"/>
  <c r="D75" i="12"/>
  <c r="E75" i="12"/>
  <c r="F75" i="12"/>
  <c r="G75" i="12"/>
  <c r="H75" i="12"/>
  <c r="I75" i="12"/>
  <c r="K75" i="12"/>
  <c r="A76" i="12"/>
  <c r="B76" i="12"/>
  <c r="C76" i="12"/>
  <c r="D76" i="12"/>
  <c r="E76" i="12"/>
  <c r="F76" i="12"/>
  <c r="G76" i="12"/>
  <c r="H76" i="12"/>
  <c r="I76" i="12"/>
  <c r="K76" i="12"/>
  <c r="A77" i="12"/>
  <c r="B77" i="12"/>
  <c r="C77" i="12"/>
  <c r="D77" i="12"/>
  <c r="E77" i="12"/>
  <c r="F77" i="12"/>
  <c r="G77" i="12"/>
  <c r="H77" i="12"/>
  <c r="I77" i="12"/>
  <c r="K77" i="12"/>
  <c r="A78" i="12"/>
  <c r="B78" i="12"/>
  <c r="C78" i="12"/>
  <c r="D78" i="12"/>
  <c r="E78" i="12"/>
  <c r="F78" i="12"/>
  <c r="G78" i="12"/>
  <c r="H78" i="12"/>
  <c r="I78" i="12"/>
  <c r="K78" i="12"/>
  <c r="A79" i="12"/>
  <c r="B79" i="12"/>
  <c r="C79" i="12"/>
  <c r="D79" i="12"/>
  <c r="E79" i="12"/>
  <c r="F79" i="12"/>
  <c r="G79" i="12"/>
  <c r="H79" i="12"/>
  <c r="I79" i="12"/>
  <c r="K79" i="12"/>
  <c r="A80" i="12"/>
  <c r="B80" i="12"/>
  <c r="C80" i="12"/>
  <c r="D80" i="12"/>
  <c r="E80" i="12"/>
  <c r="F80" i="12"/>
  <c r="G80" i="12"/>
  <c r="H80" i="12"/>
  <c r="I80" i="12"/>
  <c r="K80" i="12"/>
  <c r="A81" i="12"/>
  <c r="B81" i="12"/>
  <c r="C81" i="12"/>
  <c r="D81" i="12"/>
  <c r="E81" i="12"/>
  <c r="F81" i="12"/>
  <c r="G81" i="12"/>
  <c r="H81" i="12"/>
  <c r="I81" i="12"/>
  <c r="K81" i="12"/>
  <c r="A82" i="12"/>
  <c r="B82" i="12"/>
  <c r="C82" i="12"/>
  <c r="D82" i="12"/>
  <c r="E82" i="12"/>
  <c r="F82" i="12"/>
  <c r="G82" i="12"/>
  <c r="H82" i="12"/>
  <c r="I82" i="12"/>
  <c r="K82" i="12"/>
  <c r="A83" i="12"/>
  <c r="B83" i="12"/>
  <c r="C83" i="12"/>
  <c r="D83" i="12"/>
  <c r="E83" i="12"/>
  <c r="F83" i="12"/>
  <c r="G83" i="12"/>
  <c r="H83" i="12"/>
  <c r="I83" i="12"/>
  <c r="K83" i="12"/>
  <c r="A84" i="12"/>
  <c r="B84" i="12"/>
  <c r="C84" i="12"/>
  <c r="D84" i="12"/>
  <c r="E84" i="12"/>
  <c r="F84" i="12"/>
  <c r="G84" i="12"/>
  <c r="H84" i="12"/>
  <c r="I84" i="12"/>
  <c r="K84" i="12"/>
  <c r="A85" i="12"/>
  <c r="B85" i="12"/>
  <c r="C85" i="12"/>
  <c r="D85" i="12"/>
  <c r="E85" i="12"/>
  <c r="F85" i="12"/>
  <c r="G85" i="12"/>
  <c r="H85" i="12"/>
  <c r="I85" i="12"/>
  <c r="K85" i="12"/>
  <c r="A86" i="12"/>
  <c r="B86" i="12"/>
  <c r="C86" i="12"/>
  <c r="D86" i="12"/>
  <c r="E86" i="12"/>
  <c r="F86" i="12"/>
  <c r="G86" i="12"/>
  <c r="H86" i="12"/>
  <c r="I86" i="12"/>
  <c r="K86" i="12"/>
  <c r="A87" i="12"/>
  <c r="B87" i="12"/>
  <c r="C87" i="12"/>
  <c r="D87" i="12"/>
  <c r="E87" i="12"/>
  <c r="F87" i="12"/>
  <c r="G87" i="12"/>
  <c r="H87" i="12"/>
  <c r="I87" i="12"/>
  <c r="K87" i="12"/>
  <c r="A85" i="2" l="1"/>
  <c r="B85" i="2"/>
  <c r="C85" i="2"/>
  <c r="D85" i="2"/>
  <c r="I85" i="2" s="1"/>
  <c r="J85" i="2"/>
  <c r="BL85" i="2"/>
  <c r="A74" i="2"/>
  <c r="B74" i="2"/>
  <c r="C74" i="2"/>
  <c r="D74" i="2"/>
  <c r="J74" i="2"/>
  <c r="BL74" i="2"/>
  <c r="A75" i="2"/>
  <c r="B75" i="2"/>
  <c r="C75" i="2"/>
  <c r="D75" i="2"/>
  <c r="J75" i="2"/>
  <c r="BL75" i="2"/>
  <c r="A76" i="2"/>
  <c r="B76" i="2"/>
  <c r="C76" i="2"/>
  <c r="D76" i="2"/>
  <c r="J76" i="2"/>
  <c r="BL76" i="2"/>
  <c r="A77" i="2"/>
  <c r="B77" i="2"/>
  <c r="C77" i="2"/>
  <c r="D77" i="2"/>
  <c r="J77" i="2"/>
  <c r="BL77" i="2"/>
  <c r="A78" i="2"/>
  <c r="B78" i="2"/>
  <c r="C78" i="2"/>
  <c r="D78" i="2"/>
  <c r="J78" i="2"/>
  <c r="BL78" i="2"/>
  <c r="A79" i="2"/>
  <c r="B79" i="2"/>
  <c r="C79" i="2"/>
  <c r="D79" i="2"/>
  <c r="J79" i="2"/>
  <c r="BL79" i="2"/>
  <c r="A80" i="2"/>
  <c r="B80" i="2"/>
  <c r="C80" i="2"/>
  <c r="D80" i="2"/>
  <c r="J80" i="2"/>
  <c r="BL80" i="2"/>
  <c r="A81" i="2"/>
  <c r="B81" i="2"/>
  <c r="C81" i="2"/>
  <c r="D81" i="2"/>
  <c r="J81" i="2"/>
  <c r="BL81" i="2"/>
  <c r="A82" i="2"/>
  <c r="B82" i="2"/>
  <c r="C82" i="2"/>
  <c r="D82" i="2"/>
  <c r="J82" i="2"/>
  <c r="BL82" i="2"/>
  <c r="A83" i="2"/>
  <c r="B83" i="2"/>
  <c r="C83" i="2"/>
  <c r="D83" i="2"/>
  <c r="J83" i="2"/>
  <c r="BL83" i="2"/>
  <c r="A84" i="2"/>
  <c r="B84" i="2"/>
  <c r="C84" i="2"/>
  <c r="D84" i="2"/>
  <c r="J84" i="2"/>
  <c r="BL84" i="2"/>
  <c r="AA75" i="2" l="1"/>
  <c r="X75" i="2"/>
  <c r="AA77" i="2"/>
  <c r="X77" i="2"/>
  <c r="AA82" i="2"/>
  <c r="X82" i="2"/>
  <c r="AA74" i="2"/>
  <c r="X74" i="2"/>
  <c r="AA79" i="2"/>
  <c r="X79" i="2"/>
  <c r="AA76" i="2"/>
  <c r="X76" i="2"/>
  <c r="AA78" i="2"/>
  <c r="X78" i="2"/>
  <c r="AA83" i="2"/>
  <c r="X83" i="2"/>
  <c r="AA80" i="2"/>
  <c r="X80" i="2"/>
  <c r="X84" i="2"/>
  <c r="AA84" i="2"/>
  <c r="X81" i="2"/>
  <c r="AA81" i="2"/>
  <c r="AA85" i="2"/>
  <c r="X85" i="2"/>
  <c r="R82" i="2"/>
  <c r="U82" i="2"/>
  <c r="R79" i="2"/>
  <c r="U79" i="2"/>
  <c r="R75" i="2"/>
  <c r="U75" i="2"/>
  <c r="R78" i="2"/>
  <c r="U78" i="2"/>
  <c r="R83" i="2"/>
  <c r="U83" i="2"/>
  <c r="U74" i="2"/>
  <c r="R74" i="2"/>
  <c r="U80" i="2"/>
  <c r="R80" i="2"/>
  <c r="R77" i="2"/>
  <c r="U77" i="2"/>
  <c r="R84" i="2"/>
  <c r="U84" i="2"/>
  <c r="R76" i="2"/>
  <c r="U76" i="2"/>
  <c r="R81" i="2"/>
  <c r="U81" i="2"/>
  <c r="U85" i="2"/>
  <c r="R85" i="2"/>
  <c r="AD80" i="2"/>
  <c r="AG80" i="2"/>
  <c r="AD84" i="2"/>
  <c r="AG84" i="2"/>
  <c r="AD77" i="2"/>
  <c r="AG77" i="2"/>
  <c r="AG82" i="2"/>
  <c r="AD82" i="2"/>
  <c r="AD74" i="2"/>
  <c r="AG74" i="2"/>
  <c r="AD79" i="2"/>
  <c r="AG79" i="2"/>
  <c r="AD78" i="2"/>
  <c r="AG78" i="2"/>
  <c r="AG83" i="2"/>
  <c r="AD83" i="2"/>
  <c r="AD75" i="2"/>
  <c r="AG75" i="2"/>
  <c r="AD76" i="2"/>
  <c r="AG76" i="2"/>
  <c r="AD81" i="2"/>
  <c r="AG81" i="2"/>
  <c r="AG85" i="2"/>
  <c r="AD85" i="2"/>
  <c r="W83" i="2"/>
  <c r="W80" i="2"/>
  <c r="W82" i="2"/>
  <c r="W79" i="2"/>
  <c r="W76" i="2"/>
  <c r="W77" i="2"/>
  <c r="W74" i="2"/>
  <c r="W78" i="2"/>
  <c r="W75" i="2"/>
  <c r="W84" i="2"/>
  <c r="W81" i="2"/>
  <c r="W85" i="2"/>
  <c r="AF79" i="2"/>
  <c r="AL82" i="2"/>
  <c r="AO80" i="2"/>
  <c r="AL74" i="2"/>
  <c r="T79" i="2"/>
  <c r="AR83" i="2"/>
  <c r="AC78" i="2"/>
  <c r="AL77" i="2"/>
  <c r="AJ82" i="2"/>
  <c r="AI82" i="2"/>
  <c r="T82" i="2"/>
  <c r="AL81" i="2"/>
  <c r="AM79" i="2"/>
  <c r="AL79" i="2"/>
  <c r="Z75" i="2"/>
  <c r="N81" i="2"/>
  <c r="AI79" i="2"/>
  <c r="AR76" i="2"/>
  <c r="AU81" i="2"/>
  <c r="AP76" i="2"/>
  <c r="AC74" i="2"/>
  <c r="AS81" i="2"/>
  <c r="AO76" i="2"/>
  <c r="AR81" i="2"/>
  <c r="AP81" i="2"/>
  <c r="AI85" i="2"/>
  <c r="AC76" i="2"/>
  <c r="BN85" i="2"/>
  <c r="T85" i="2"/>
  <c r="Z76" i="2"/>
  <c r="BM85" i="2"/>
  <c r="AL76" i="2"/>
  <c r="Q85" i="2"/>
  <c r="Z85" i="2"/>
  <c r="AV85" i="2"/>
  <c r="AM76" i="2"/>
  <c r="AC85" i="2"/>
  <c r="AR85" i="2"/>
  <c r="N85" i="2"/>
  <c r="Q76" i="2"/>
  <c r="AP85" i="2"/>
  <c r="BM76" i="2"/>
  <c r="O76" i="2"/>
  <c r="AJ74" i="2"/>
  <c r="AO85" i="2"/>
  <c r="K85" i="2"/>
  <c r="AO81" i="2"/>
  <c r="AI74" i="2"/>
  <c r="AM85" i="2"/>
  <c r="AF85" i="2"/>
  <c r="AC84" i="2"/>
  <c r="AM81" i="2"/>
  <c r="AV76" i="2"/>
  <c r="AJ85" i="2"/>
  <c r="Q84" i="2"/>
  <c r="AM83" i="2"/>
  <c r="BN84" i="2"/>
  <c r="AO83" i="2"/>
  <c r="AP79" i="2"/>
  <c r="O79" i="2"/>
  <c r="AU76" i="2"/>
  <c r="N76" i="2"/>
  <c r="AU85" i="2"/>
  <c r="AU84" i="2"/>
  <c r="AL83" i="2"/>
  <c r="AM84" i="2"/>
  <c r="AS79" i="2"/>
  <c r="AL84" i="2"/>
  <c r="AR79" i="2"/>
  <c r="Q79" i="2"/>
  <c r="AF84" i="2"/>
  <c r="AO79" i="2"/>
  <c r="N79" i="2"/>
  <c r="AS76" i="2"/>
  <c r="AP74" i="2"/>
  <c r="AS85" i="2"/>
  <c r="AL85" i="2"/>
  <c r="O85" i="2"/>
  <c r="AP83" i="2"/>
  <c r="BM79" i="2"/>
  <c r="BN79" i="2"/>
  <c r="AC79" i="2"/>
  <c r="Z84" i="2"/>
  <c r="AR84" i="2"/>
  <c r="N84" i="2"/>
  <c r="Z83" i="2"/>
  <c r="AM78" i="2"/>
  <c r="AP84" i="2"/>
  <c r="AV79" i="2"/>
  <c r="AL78" i="2"/>
  <c r="AS84" i="2"/>
  <c r="O84" i="2"/>
  <c r="Z79" i="2"/>
  <c r="AO78" i="2"/>
  <c r="AO84" i="2"/>
  <c r="AU79" i="2"/>
  <c r="BN81" i="2"/>
  <c r="AL80" i="2"/>
  <c r="AV84" i="2"/>
  <c r="BM81" i="2"/>
  <c r="AV74" i="2"/>
  <c r="AR78" i="2"/>
  <c r="AU74" i="2"/>
  <c r="Q74" i="2"/>
  <c r="O81" i="2"/>
  <c r="AP78" i="2"/>
  <c r="AP75" i="2"/>
  <c r="AS74" i="2"/>
  <c r="O74" i="2"/>
  <c r="AO75" i="2"/>
  <c r="AR74" i="2"/>
  <c r="N74" i="2"/>
  <c r="Z78" i="2"/>
  <c r="AF74" i="2"/>
  <c r="AC81" i="2"/>
  <c r="AF76" i="2"/>
  <c r="BN74" i="2"/>
  <c r="Z74" i="2"/>
  <c r="BM84" i="2"/>
  <c r="Z81" i="2"/>
  <c r="BM74" i="2"/>
  <c r="AM80" i="2"/>
  <c r="BN76" i="2"/>
  <c r="T74" i="2"/>
  <c r="AJ77" i="2"/>
  <c r="T77" i="2"/>
  <c r="AI77" i="2"/>
  <c r="AM75" i="2"/>
  <c r="AL75" i="2"/>
  <c r="AJ75" i="2"/>
  <c r="T75" i="2"/>
  <c r="AJ80" i="2"/>
  <c r="T80" i="2"/>
  <c r="Q77" i="2"/>
  <c r="Q80" i="2"/>
  <c r="AU77" i="2"/>
  <c r="O77" i="2"/>
  <c r="AJ78" i="2"/>
  <c r="T78" i="2"/>
  <c r="BN77" i="2"/>
  <c r="N77" i="2"/>
  <c r="AV82" i="2"/>
  <c r="AF82" i="2"/>
  <c r="AU82" i="2"/>
  <c r="O82" i="2"/>
  <c r="AI75" i="2"/>
  <c r="Q83" i="2"/>
  <c r="AV80" i="2"/>
  <c r="AF80" i="2"/>
  <c r="AU80" i="2"/>
  <c r="O80" i="2"/>
  <c r="Q82" i="2"/>
  <c r="AI83" i="2"/>
  <c r="BM82" i="2"/>
  <c r="AS82" i="2"/>
  <c r="AC82" i="2"/>
  <c r="AR82" i="2"/>
  <c r="AI78" i="2"/>
  <c r="BM77" i="2"/>
  <c r="AS77" i="2"/>
  <c r="AC77" i="2"/>
  <c r="AJ83" i="2"/>
  <c r="T83" i="2"/>
  <c r="BN82" i="2"/>
  <c r="N82" i="2"/>
  <c r="AV77" i="2"/>
  <c r="AF77" i="2"/>
  <c r="AV83" i="2"/>
  <c r="AF83" i="2"/>
  <c r="AP82" i="2"/>
  <c r="Z82" i="2"/>
  <c r="AJ81" i="2"/>
  <c r="T81" i="2"/>
  <c r="BN80" i="2"/>
  <c r="N80" i="2"/>
  <c r="AR77" i="2"/>
  <c r="AU83" i="2"/>
  <c r="O83" i="2"/>
  <c r="AO82" i="2"/>
  <c r="AI81" i="2"/>
  <c r="BM80" i="2"/>
  <c r="AS80" i="2"/>
  <c r="AC80" i="2"/>
  <c r="AI80" i="2"/>
  <c r="Q78" i="2"/>
  <c r="AU75" i="2"/>
  <c r="O75" i="2"/>
  <c r="AO74" i="2"/>
  <c r="AJ84" i="2"/>
  <c r="T84" i="2"/>
  <c r="BN83" i="2"/>
  <c r="N83" i="2"/>
  <c r="AR80" i="2"/>
  <c r="AV78" i="2"/>
  <c r="AF78" i="2"/>
  <c r="AP77" i="2"/>
  <c r="Z77" i="2"/>
  <c r="AJ76" i="2"/>
  <c r="T76" i="2"/>
  <c r="BN75" i="2"/>
  <c r="N75" i="2"/>
  <c r="AI84" i="2"/>
  <c r="BM83" i="2"/>
  <c r="AS83" i="2"/>
  <c r="AT83" i="2" s="1"/>
  <c r="AC83" i="2"/>
  <c r="AM82" i="2"/>
  <c r="AN82" i="2" s="1"/>
  <c r="Q81" i="2"/>
  <c r="AI76" i="2"/>
  <c r="BM75" i="2"/>
  <c r="AS75" i="2"/>
  <c r="AC75" i="2"/>
  <c r="AM74" i="2"/>
  <c r="AN74" i="2" s="1"/>
  <c r="Q75" i="2"/>
  <c r="AV75" i="2"/>
  <c r="AF75" i="2"/>
  <c r="AU78" i="2"/>
  <c r="O78" i="2"/>
  <c r="AO77" i="2"/>
  <c r="AV81" i="2"/>
  <c r="AW81" i="2" s="1"/>
  <c r="AF81" i="2"/>
  <c r="AP80" i="2"/>
  <c r="AQ80" i="2" s="1"/>
  <c r="Z80" i="2"/>
  <c r="AJ79" i="2"/>
  <c r="AK79" i="2" s="1"/>
  <c r="BN78" i="2"/>
  <c r="N78" i="2"/>
  <c r="AR75" i="2"/>
  <c r="BM78" i="2"/>
  <c r="AS78" i="2"/>
  <c r="AM77" i="2"/>
  <c r="AN77" i="2" s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6" i="2"/>
  <c r="AK82" i="2" l="1"/>
  <c r="AN79" i="2"/>
  <c r="AQ74" i="2"/>
  <c r="AN81" i="2"/>
  <c r="AT76" i="2"/>
  <c r="AT85" i="2"/>
  <c r="AB75" i="2"/>
  <c r="AH79" i="2"/>
  <c r="AH76" i="2"/>
  <c r="AH85" i="2"/>
  <c r="AE79" i="2"/>
  <c r="AB85" i="2"/>
  <c r="Y76" i="2"/>
  <c r="Y77" i="2"/>
  <c r="Y79" i="2"/>
  <c r="Y82" i="2"/>
  <c r="AT78" i="2"/>
  <c r="Y75" i="2"/>
  <c r="Y83" i="2"/>
  <c r="Y78" i="2"/>
  <c r="Y74" i="2"/>
  <c r="Y85" i="2"/>
  <c r="Y81" i="2"/>
  <c r="Y84" i="2"/>
  <c r="Y80" i="2"/>
  <c r="AT79" i="2"/>
  <c r="AQ81" i="2"/>
  <c r="V82" i="2"/>
  <c r="V75" i="2"/>
  <c r="AE81" i="2"/>
  <c r="AE83" i="2"/>
  <c r="AE78" i="2"/>
  <c r="V79" i="2"/>
  <c r="V83" i="2"/>
  <c r="V84" i="2"/>
  <c r="AK80" i="2"/>
  <c r="AE85" i="2"/>
  <c r="AE74" i="2"/>
  <c r="AE76" i="2"/>
  <c r="AK85" i="2"/>
  <c r="AW84" i="2"/>
  <c r="AH74" i="2"/>
  <c r="AN85" i="2"/>
  <c r="AN76" i="2"/>
  <c r="AQ84" i="2"/>
  <c r="AB81" i="2"/>
  <c r="AQ76" i="2"/>
  <c r="AT80" i="2"/>
  <c r="S84" i="2"/>
  <c r="AW76" i="2"/>
  <c r="S85" i="2"/>
  <c r="AH75" i="2"/>
  <c r="AE77" i="2"/>
  <c r="S76" i="2"/>
  <c r="V77" i="2"/>
  <c r="V85" i="2"/>
  <c r="V76" i="2"/>
  <c r="AK75" i="2"/>
  <c r="AE82" i="2"/>
  <c r="AB78" i="2"/>
  <c r="AH77" i="2"/>
  <c r="M81" i="2"/>
  <c r="AW79" i="2"/>
  <c r="AH78" i="2"/>
  <c r="M76" i="2"/>
  <c r="AT84" i="2"/>
  <c r="AB76" i="2"/>
  <c r="AK74" i="2"/>
  <c r="AE84" i="2"/>
  <c r="M85" i="2"/>
  <c r="AT82" i="2"/>
  <c r="V80" i="2"/>
  <c r="AW85" i="2"/>
  <c r="AQ78" i="2"/>
  <c r="AH84" i="2"/>
  <c r="S79" i="2"/>
  <c r="AT75" i="2"/>
  <c r="AN84" i="2"/>
  <c r="AQ85" i="2"/>
  <c r="AH80" i="2"/>
  <c r="AN78" i="2"/>
  <c r="AT81" i="2"/>
  <c r="AE75" i="2"/>
  <c r="V78" i="2"/>
  <c r="V81" i="2"/>
  <c r="S74" i="2"/>
  <c r="BA85" i="2"/>
  <c r="AB84" i="2"/>
  <c r="AB83" i="2"/>
  <c r="M84" i="2"/>
  <c r="AK83" i="2"/>
  <c r="AQ79" i="2"/>
  <c r="AQ82" i="2"/>
  <c r="AK77" i="2"/>
  <c r="M79" i="2"/>
  <c r="AB80" i="2"/>
  <c r="BA79" i="2"/>
  <c r="AQ83" i="2"/>
  <c r="AK78" i="2"/>
  <c r="AB82" i="2"/>
  <c r="AW74" i="2"/>
  <c r="AB79" i="2"/>
  <c r="AN83" i="2"/>
  <c r="AH83" i="2"/>
  <c r="V74" i="2"/>
  <c r="M74" i="2"/>
  <c r="AK76" i="2"/>
  <c r="AB77" i="2"/>
  <c r="AW82" i="2"/>
  <c r="AN80" i="2"/>
  <c r="AN75" i="2"/>
  <c r="AB74" i="2"/>
  <c r="M80" i="2"/>
  <c r="AT74" i="2"/>
  <c r="AW83" i="2"/>
  <c r="AQ75" i="2"/>
  <c r="AK84" i="2"/>
  <c r="AT77" i="2"/>
  <c r="BA76" i="2"/>
  <c r="BA81" i="2"/>
  <c r="S81" i="2"/>
  <c r="AK81" i="2"/>
  <c r="AH82" i="2"/>
  <c r="M83" i="2"/>
  <c r="BA82" i="2"/>
  <c r="S82" i="2"/>
  <c r="BA84" i="2"/>
  <c r="AW80" i="2"/>
  <c r="S75" i="2"/>
  <c r="BA75" i="2"/>
  <c r="AH81" i="2"/>
  <c r="AQ77" i="2"/>
  <c r="M78" i="2"/>
  <c r="M75" i="2"/>
  <c r="AW78" i="2"/>
  <c r="AW75" i="2"/>
  <c r="M77" i="2"/>
  <c r="BA78" i="2"/>
  <c r="S78" i="2"/>
  <c r="BA83" i="2"/>
  <c r="S83" i="2"/>
  <c r="AW77" i="2"/>
  <c r="BA74" i="2"/>
  <c r="BA80" i="2"/>
  <c r="S80" i="2"/>
  <c r="AE80" i="2"/>
  <c r="M82" i="2"/>
  <c r="BA77" i="2"/>
  <c r="S77" i="2"/>
  <c r="BB85" i="2" l="1"/>
  <c r="BC85" i="2" s="1"/>
  <c r="BB79" i="2"/>
  <c r="BC79" i="2" s="1"/>
  <c r="BD85" i="2"/>
  <c r="BD79" i="2"/>
  <c r="BJ79" i="2" s="1"/>
  <c r="BB84" i="2"/>
  <c r="BC84" i="2" s="1"/>
  <c r="BD84" i="2"/>
  <c r="BJ84" i="2" s="1"/>
  <c r="BB83" i="2"/>
  <c r="BC83" i="2" s="1"/>
  <c r="BD83" i="2"/>
  <c r="BJ83" i="2" s="1"/>
  <c r="BD82" i="2"/>
  <c r="BJ82" i="2" s="1"/>
  <c r="BB82" i="2"/>
  <c r="BC82" i="2" s="1"/>
  <c r="BD77" i="2"/>
  <c r="BJ77" i="2" s="1"/>
  <c r="BB77" i="2"/>
  <c r="BC77" i="2" s="1"/>
  <c r="BB75" i="2"/>
  <c r="BC75" i="2" s="1"/>
  <c r="BD75" i="2"/>
  <c r="BJ75" i="2" s="1"/>
  <c r="BB78" i="2"/>
  <c r="BC78" i="2" s="1"/>
  <c r="BD78" i="2"/>
  <c r="BJ78" i="2" s="1"/>
  <c r="BD74" i="2"/>
  <c r="BJ74" i="2" s="1"/>
  <c r="BB74" i="2"/>
  <c r="BC74" i="2" s="1"/>
  <c r="BB80" i="2"/>
  <c r="BC80" i="2" s="1"/>
  <c r="BD80" i="2"/>
  <c r="BJ80" i="2" s="1"/>
  <c r="BB81" i="2"/>
  <c r="BC81" i="2" s="1"/>
  <c r="BD81" i="2"/>
  <c r="BJ81" i="2" s="1"/>
  <c r="BB76" i="2"/>
  <c r="BC76" i="2" s="1"/>
  <c r="BD76" i="2"/>
  <c r="BJ76" i="2" s="1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I44" i="2" s="1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I9" i="2" s="1"/>
  <c r="C9" i="2"/>
  <c r="B9" i="2"/>
  <c r="A9" i="2"/>
  <c r="D8" i="2"/>
  <c r="I8" i="2" s="1"/>
  <c r="C8" i="2"/>
  <c r="B8" i="2"/>
  <c r="A8" i="2"/>
  <c r="D7" i="2"/>
  <c r="C7" i="2"/>
  <c r="B7" i="2"/>
  <c r="A7" i="2"/>
  <c r="D6" i="2"/>
  <c r="C6" i="2"/>
  <c r="B6" i="2"/>
  <c r="A6" i="2"/>
  <c r="AA16" i="2" l="1"/>
  <c r="X16" i="2"/>
  <c r="X40" i="2"/>
  <c r="AA40" i="2"/>
  <c r="AA68" i="2"/>
  <c r="X68" i="2"/>
  <c r="X8" i="2"/>
  <c r="AA8" i="2"/>
  <c r="AA12" i="2"/>
  <c r="X12" i="2"/>
  <c r="X20" i="2"/>
  <c r="AA20" i="2"/>
  <c r="AA24" i="2"/>
  <c r="X24" i="2"/>
  <c r="AA28" i="2"/>
  <c r="X28" i="2"/>
  <c r="AA36" i="2"/>
  <c r="X36" i="2"/>
  <c r="AA44" i="2"/>
  <c r="X44" i="2"/>
  <c r="AA48" i="2"/>
  <c r="X48" i="2"/>
  <c r="X52" i="2"/>
  <c r="AA52" i="2"/>
  <c r="AA56" i="2"/>
  <c r="X56" i="2"/>
  <c r="X60" i="2"/>
  <c r="AA60" i="2"/>
  <c r="X64" i="2"/>
  <c r="AA64" i="2"/>
  <c r="AA13" i="2"/>
  <c r="X13" i="2"/>
  <c r="AA41" i="2"/>
  <c r="X41" i="2"/>
  <c r="AA6" i="2"/>
  <c r="X6" i="2"/>
  <c r="AA10" i="2"/>
  <c r="X10" i="2"/>
  <c r="X14" i="2"/>
  <c r="AA14" i="2"/>
  <c r="AA18" i="2"/>
  <c r="X18" i="2"/>
  <c r="AA26" i="2"/>
  <c r="X26" i="2"/>
  <c r="AA30" i="2"/>
  <c r="X30" i="2"/>
  <c r="AA34" i="2"/>
  <c r="X34" i="2"/>
  <c r="AA38" i="2"/>
  <c r="X38" i="2"/>
  <c r="AA42" i="2"/>
  <c r="X42" i="2"/>
  <c r="AA46" i="2"/>
  <c r="X46" i="2"/>
  <c r="AA54" i="2"/>
  <c r="X54" i="2"/>
  <c r="AA58" i="2"/>
  <c r="X58" i="2"/>
  <c r="AA62" i="2"/>
  <c r="X62" i="2"/>
  <c r="X66" i="2"/>
  <c r="AA66" i="2"/>
  <c r="X70" i="2"/>
  <c r="AA70" i="2"/>
  <c r="AA7" i="2"/>
  <c r="X7" i="2"/>
  <c r="X11" i="2"/>
  <c r="AA11" i="2"/>
  <c r="AA15" i="2"/>
  <c r="X15" i="2"/>
  <c r="AA19" i="2"/>
  <c r="X19" i="2"/>
  <c r="AA23" i="2"/>
  <c r="X23" i="2"/>
  <c r="X27" i="2"/>
  <c r="AA27" i="2"/>
  <c r="AA35" i="2"/>
  <c r="X35" i="2"/>
  <c r="AA39" i="2"/>
  <c r="X39" i="2"/>
  <c r="AA43" i="2"/>
  <c r="X43" i="2"/>
  <c r="X47" i="2"/>
  <c r="AA47" i="2"/>
  <c r="X51" i="2"/>
  <c r="AA51" i="2"/>
  <c r="AA55" i="2"/>
  <c r="X55" i="2"/>
  <c r="AA59" i="2"/>
  <c r="X59" i="2"/>
  <c r="AA63" i="2"/>
  <c r="X63" i="2"/>
  <c r="X67" i="2"/>
  <c r="AA67" i="2"/>
  <c r="AA71" i="2"/>
  <c r="X71" i="2"/>
  <c r="AA32" i="2"/>
  <c r="X32" i="2"/>
  <c r="AA72" i="2"/>
  <c r="X72" i="2"/>
  <c r="AA9" i="2"/>
  <c r="X9" i="2"/>
  <c r="AA17" i="2"/>
  <c r="X17" i="2"/>
  <c r="X21" i="2"/>
  <c r="AA21" i="2"/>
  <c r="AA25" i="2"/>
  <c r="X25" i="2"/>
  <c r="AA29" i="2"/>
  <c r="X29" i="2"/>
  <c r="AA33" i="2"/>
  <c r="X33" i="2"/>
  <c r="X37" i="2"/>
  <c r="AA37" i="2"/>
  <c r="X45" i="2"/>
  <c r="AA45" i="2"/>
  <c r="X49" i="2"/>
  <c r="AA49" i="2"/>
  <c r="AA53" i="2"/>
  <c r="X53" i="2"/>
  <c r="AA57" i="2"/>
  <c r="X57" i="2"/>
  <c r="AA61" i="2"/>
  <c r="X61" i="2"/>
  <c r="AA65" i="2"/>
  <c r="X65" i="2"/>
  <c r="X69" i="2"/>
  <c r="AA69" i="2"/>
  <c r="AA73" i="2"/>
  <c r="X73" i="2"/>
  <c r="AA22" i="2"/>
  <c r="X22" i="2"/>
  <c r="AA50" i="2"/>
  <c r="X50" i="2"/>
  <c r="X31" i="2"/>
  <c r="AA31" i="2"/>
  <c r="R20" i="2"/>
  <c r="U20" i="2"/>
  <c r="U36" i="2"/>
  <c r="R36" i="2"/>
  <c r="U56" i="2"/>
  <c r="R56" i="2"/>
  <c r="U13" i="2"/>
  <c r="R13" i="2"/>
  <c r="R17" i="2"/>
  <c r="U17" i="2"/>
  <c r="R25" i="2"/>
  <c r="U25" i="2"/>
  <c r="U29" i="2"/>
  <c r="R29" i="2"/>
  <c r="U37" i="2"/>
  <c r="R37" i="2"/>
  <c r="R45" i="2"/>
  <c r="U45" i="2"/>
  <c r="U53" i="2"/>
  <c r="R53" i="2"/>
  <c r="U61" i="2"/>
  <c r="R61" i="2"/>
  <c r="R73" i="2"/>
  <c r="U73" i="2"/>
  <c r="U6" i="2"/>
  <c r="R6" i="2"/>
  <c r="R14" i="2"/>
  <c r="U14" i="2"/>
  <c r="U22" i="2"/>
  <c r="R22" i="2"/>
  <c r="R30" i="2"/>
  <c r="U30" i="2"/>
  <c r="U38" i="2"/>
  <c r="R38" i="2"/>
  <c r="R50" i="2"/>
  <c r="U50" i="2"/>
  <c r="R62" i="2"/>
  <c r="U62" i="2"/>
  <c r="R8" i="2"/>
  <c r="U8" i="2"/>
  <c r="U24" i="2"/>
  <c r="R24" i="2"/>
  <c r="U40" i="2"/>
  <c r="R40" i="2"/>
  <c r="R52" i="2"/>
  <c r="U52" i="2"/>
  <c r="U68" i="2"/>
  <c r="R68" i="2"/>
  <c r="U10" i="2"/>
  <c r="R10" i="2"/>
  <c r="R26" i="2"/>
  <c r="U26" i="2"/>
  <c r="R16" i="2"/>
  <c r="U16" i="2"/>
  <c r="R32" i="2"/>
  <c r="U32" i="2"/>
  <c r="R44" i="2"/>
  <c r="U44" i="2"/>
  <c r="R60" i="2"/>
  <c r="U60" i="2"/>
  <c r="R64" i="2"/>
  <c r="U64" i="2"/>
  <c r="R9" i="2"/>
  <c r="U9" i="2"/>
  <c r="U21" i="2"/>
  <c r="R21" i="2"/>
  <c r="R33" i="2"/>
  <c r="U33" i="2"/>
  <c r="R41" i="2"/>
  <c r="U41" i="2"/>
  <c r="R49" i="2"/>
  <c r="U49" i="2"/>
  <c r="R57" i="2"/>
  <c r="U57" i="2"/>
  <c r="R65" i="2"/>
  <c r="U65" i="2"/>
  <c r="U69" i="2"/>
  <c r="R69" i="2"/>
  <c r="R18" i="2"/>
  <c r="U18" i="2"/>
  <c r="R34" i="2"/>
  <c r="U34" i="2"/>
  <c r="U42" i="2"/>
  <c r="R42" i="2"/>
  <c r="R46" i="2"/>
  <c r="U46" i="2"/>
  <c r="R54" i="2"/>
  <c r="U54" i="2"/>
  <c r="R58" i="2"/>
  <c r="U58" i="2"/>
  <c r="R66" i="2"/>
  <c r="U66" i="2"/>
  <c r="U70" i="2"/>
  <c r="R70" i="2"/>
  <c r="R7" i="2"/>
  <c r="U7" i="2"/>
  <c r="R11" i="2"/>
  <c r="U11" i="2"/>
  <c r="R15" i="2"/>
  <c r="U15" i="2"/>
  <c r="R19" i="2"/>
  <c r="U19" i="2"/>
  <c r="R23" i="2"/>
  <c r="U23" i="2"/>
  <c r="R27" i="2"/>
  <c r="U27" i="2"/>
  <c r="R31" i="2"/>
  <c r="U31" i="2"/>
  <c r="R35" i="2"/>
  <c r="U35" i="2"/>
  <c r="R39" i="2"/>
  <c r="U39" i="2"/>
  <c r="R43" i="2"/>
  <c r="U43" i="2"/>
  <c r="R47" i="2"/>
  <c r="U47" i="2"/>
  <c r="R51" i="2"/>
  <c r="U51" i="2"/>
  <c r="R55" i="2"/>
  <c r="U55" i="2"/>
  <c r="R59" i="2"/>
  <c r="U59" i="2"/>
  <c r="R63" i="2"/>
  <c r="U63" i="2"/>
  <c r="R67" i="2"/>
  <c r="U67" i="2"/>
  <c r="R71" i="2"/>
  <c r="U71" i="2"/>
  <c r="R12" i="2"/>
  <c r="U12" i="2"/>
  <c r="R28" i="2"/>
  <c r="U28" i="2"/>
  <c r="R48" i="2"/>
  <c r="U48" i="2"/>
  <c r="O72" i="2"/>
  <c r="U72" i="2"/>
  <c r="R72" i="2"/>
  <c r="I52" i="2"/>
  <c r="I58" i="2"/>
  <c r="I53" i="2"/>
  <c r="I45" i="2"/>
  <c r="I55" i="2"/>
  <c r="I57" i="2"/>
  <c r="I49" i="2"/>
  <c r="I68" i="2"/>
  <c r="I39" i="2"/>
  <c r="I46" i="2"/>
  <c r="I50" i="2"/>
  <c r="I72" i="2"/>
  <c r="I56" i="2"/>
  <c r="I54" i="2"/>
  <c r="I78" i="2"/>
  <c r="K78" i="2" s="1"/>
  <c r="I69" i="2"/>
  <c r="I71" i="2"/>
  <c r="I18" i="2"/>
  <c r="I51" i="2"/>
  <c r="AD65" i="2"/>
  <c r="AG65" i="2"/>
  <c r="AD13" i="2"/>
  <c r="AG13" i="2"/>
  <c r="AD33" i="2"/>
  <c r="AG33" i="2"/>
  <c r="AD41" i="2"/>
  <c r="AG41" i="2"/>
  <c r="AD73" i="2"/>
  <c r="AG73" i="2"/>
  <c r="AG21" i="2"/>
  <c r="AD21" i="2"/>
  <c r="AD57" i="2"/>
  <c r="AG57" i="2"/>
  <c r="AD29" i="2"/>
  <c r="AG29" i="2"/>
  <c r="AG37" i="2"/>
  <c r="AD37" i="2"/>
  <c r="AD10" i="2"/>
  <c r="AG10" i="2"/>
  <c r="AG66" i="2"/>
  <c r="AD66" i="2"/>
  <c r="AD9" i="2"/>
  <c r="AG9" i="2"/>
  <c r="AD49" i="2"/>
  <c r="AG49" i="2"/>
  <c r="AD22" i="2"/>
  <c r="AG22" i="2"/>
  <c r="AD46" i="2"/>
  <c r="AG46" i="2"/>
  <c r="AG69" i="2"/>
  <c r="AD69" i="2"/>
  <c r="AD14" i="2"/>
  <c r="AG14" i="2"/>
  <c r="AD30" i="2"/>
  <c r="AG30" i="2"/>
  <c r="AD42" i="2"/>
  <c r="AG42" i="2"/>
  <c r="AG54" i="2"/>
  <c r="AD54" i="2"/>
  <c r="AG70" i="2"/>
  <c r="AD70" i="2"/>
  <c r="AG19" i="2"/>
  <c r="AD19" i="2"/>
  <c r="AD17" i="2"/>
  <c r="AG17" i="2"/>
  <c r="AG53" i="2"/>
  <c r="AD53" i="2"/>
  <c r="AG6" i="2"/>
  <c r="AD6" i="2"/>
  <c r="AD18" i="2"/>
  <c r="AG18" i="2"/>
  <c r="AD34" i="2"/>
  <c r="AG34" i="2"/>
  <c r="AG38" i="2"/>
  <c r="AD38" i="2"/>
  <c r="AG50" i="2"/>
  <c r="AD50" i="2"/>
  <c r="AD58" i="2"/>
  <c r="AG58" i="2"/>
  <c r="AG7" i="2"/>
  <c r="AD7" i="2"/>
  <c r="AD11" i="2"/>
  <c r="AG11" i="2"/>
  <c r="AD15" i="2"/>
  <c r="AG15" i="2"/>
  <c r="AG23" i="2"/>
  <c r="AD23" i="2"/>
  <c r="AD27" i="2"/>
  <c r="AG27" i="2"/>
  <c r="AD31" i="2"/>
  <c r="AG31" i="2"/>
  <c r="AD35" i="2"/>
  <c r="AG35" i="2"/>
  <c r="AG39" i="2"/>
  <c r="AD39" i="2"/>
  <c r="AD43" i="2"/>
  <c r="AG43" i="2"/>
  <c r="AD47" i="2"/>
  <c r="AG47" i="2"/>
  <c r="AD51" i="2"/>
  <c r="AG51" i="2"/>
  <c r="AG55" i="2"/>
  <c r="AD55" i="2"/>
  <c r="AD59" i="2"/>
  <c r="AG59" i="2"/>
  <c r="AD63" i="2"/>
  <c r="AG63" i="2"/>
  <c r="AG67" i="2"/>
  <c r="AD67" i="2"/>
  <c r="AG71" i="2"/>
  <c r="AD71" i="2"/>
  <c r="AD25" i="2"/>
  <c r="AG25" i="2"/>
  <c r="AD45" i="2"/>
  <c r="AG45" i="2"/>
  <c r="AD26" i="2"/>
  <c r="AG26" i="2"/>
  <c r="AD62" i="2"/>
  <c r="AG62" i="2"/>
  <c r="AD61" i="2"/>
  <c r="AG61" i="2"/>
  <c r="AG8" i="2"/>
  <c r="AD8" i="2"/>
  <c r="AD12" i="2"/>
  <c r="AG12" i="2"/>
  <c r="AD16" i="2"/>
  <c r="AG16" i="2"/>
  <c r="AG20" i="2"/>
  <c r="AD20" i="2"/>
  <c r="AG24" i="2"/>
  <c r="AD24" i="2"/>
  <c r="AD28" i="2"/>
  <c r="AG28" i="2"/>
  <c r="AD32" i="2"/>
  <c r="AG32" i="2"/>
  <c r="AG36" i="2"/>
  <c r="AD36" i="2"/>
  <c r="AG40" i="2"/>
  <c r="AD40" i="2"/>
  <c r="AD44" i="2"/>
  <c r="AG44" i="2"/>
  <c r="AD48" i="2"/>
  <c r="AG48" i="2"/>
  <c r="AD52" i="2"/>
  <c r="AG52" i="2"/>
  <c r="AG56" i="2"/>
  <c r="AD56" i="2"/>
  <c r="AD60" i="2"/>
  <c r="AG60" i="2"/>
  <c r="AD64" i="2"/>
  <c r="AG64" i="2"/>
  <c r="AG68" i="2"/>
  <c r="AD68" i="2"/>
  <c r="AD72" i="2"/>
  <c r="AG72" i="2"/>
  <c r="W9" i="2"/>
  <c r="W45" i="2"/>
  <c r="W25" i="2"/>
  <c r="W53" i="2"/>
  <c r="W69" i="2"/>
  <c r="W21" i="2"/>
  <c r="W33" i="2"/>
  <c r="W65" i="2"/>
  <c r="W30" i="2"/>
  <c r="W17" i="2"/>
  <c r="W41" i="2"/>
  <c r="W61" i="2"/>
  <c r="W6" i="2"/>
  <c r="W22" i="2"/>
  <c r="W42" i="2"/>
  <c r="W70" i="2"/>
  <c r="W13" i="2"/>
  <c r="W37" i="2"/>
  <c r="W73" i="2"/>
  <c r="W11" i="2"/>
  <c r="W15" i="2"/>
  <c r="W19" i="2"/>
  <c r="W23" i="2"/>
  <c r="W27" i="2"/>
  <c r="W31" i="2"/>
  <c r="W35" i="2"/>
  <c r="W39" i="2"/>
  <c r="W43" i="2"/>
  <c r="W47" i="2"/>
  <c r="W51" i="2"/>
  <c r="W55" i="2"/>
  <c r="W59" i="2"/>
  <c r="W63" i="2"/>
  <c r="W67" i="2"/>
  <c r="W71" i="2"/>
  <c r="W29" i="2"/>
  <c r="W57" i="2"/>
  <c r="W49" i="2"/>
  <c r="W10" i="2"/>
  <c r="W14" i="2"/>
  <c r="W18" i="2"/>
  <c r="W26" i="2"/>
  <c r="W34" i="2"/>
  <c r="W38" i="2"/>
  <c r="W46" i="2"/>
  <c r="W50" i="2"/>
  <c r="W54" i="2"/>
  <c r="W58" i="2"/>
  <c r="W62" i="2"/>
  <c r="W66" i="2"/>
  <c r="W7" i="2"/>
  <c r="W8" i="2"/>
  <c r="W12" i="2"/>
  <c r="W16" i="2"/>
  <c r="W20" i="2"/>
  <c r="W24" i="2"/>
  <c r="W28" i="2"/>
  <c r="W32" i="2"/>
  <c r="W36" i="2"/>
  <c r="W40" i="2"/>
  <c r="W44" i="2"/>
  <c r="W48" i="2"/>
  <c r="W52" i="2"/>
  <c r="W56" i="2"/>
  <c r="W60" i="2"/>
  <c r="W64" i="2"/>
  <c r="W68" i="2"/>
  <c r="W72" i="2"/>
  <c r="I6" i="2"/>
  <c r="BE85" i="2"/>
  <c r="BI85" i="2" s="1"/>
  <c r="BJ85" i="2"/>
  <c r="N9" i="2"/>
  <c r="N6" i="2"/>
  <c r="N7" i="2"/>
  <c r="N8" i="2"/>
  <c r="BE79" i="2"/>
  <c r="BE77" i="2"/>
  <c r="BE82" i="2"/>
  <c r="BE75" i="2"/>
  <c r="BE76" i="2"/>
  <c r="BI76" i="2" s="1"/>
  <c r="BK76" i="2" s="1"/>
  <c r="BE83" i="2"/>
  <c r="BE74" i="2"/>
  <c r="BE81" i="2"/>
  <c r="BE84" i="2"/>
  <c r="BE80" i="2"/>
  <c r="BI80" i="2" s="1"/>
  <c r="BK80" i="2" s="1"/>
  <c r="BE78" i="2"/>
  <c r="N15" i="2"/>
  <c r="N13" i="2"/>
  <c r="N14" i="2"/>
  <c r="AM6" i="2"/>
  <c r="AL7" i="2"/>
  <c r="AM7" i="2"/>
  <c r="AL11" i="2"/>
  <c r="AM11" i="2"/>
  <c r="AL19" i="2"/>
  <c r="AM19" i="2"/>
  <c r="AL23" i="2"/>
  <c r="AM23" i="2"/>
  <c r="AL31" i="2"/>
  <c r="AM31" i="2"/>
  <c r="AM35" i="2"/>
  <c r="AL35" i="2"/>
  <c r="AM43" i="2"/>
  <c r="AL43" i="2"/>
  <c r="AL47" i="2"/>
  <c r="AM47" i="2"/>
  <c r="AM55" i="2"/>
  <c r="AL55" i="2"/>
  <c r="AL59" i="2"/>
  <c r="AM59" i="2"/>
  <c r="AL71" i="2"/>
  <c r="AM71" i="2"/>
  <c r="AL8" i="2"/>
  <c r="AM8" i="2"/>
  <c r="AM12" i="2"/>
  <c r="AL12" i="2"/>
  <c r="AL16" i="2"/>
  <c r="AM16" i="2"/>
  <c r="AL20" i="2"/>
  <c r="AM20" i="2"/>
  <c r="AL24" i="2"/>
  <c r="AM24" i="2"/>
  <c r="AM28" i="2"/>
  <c r="AL28" i="2"/>
  <c r="AL32" i="2"/>
  <c r="AM32" i="2"/>
  <c r="AL36" i="2"/>
  <c r="AM36" i="2"/>
  <c r="AL40" i="2"/>
  <c r="AM40" i="2"/>
  <c r="AL44" i="2"/>
  <c r="AM44" i="2"/>
  <c r="AL48" i="2"/>
  <c r="AM48" i="2"/>
  <c r="AL52" i="2"/>
  <c r="AM52" i="2"/>
  <c r="AL56" i="2"/>
  <c r="AM56" i="2"/>
  <c r="AL60" i="2"/>
  <c r="AM60" i="2"/>
  <c r="AL64" i="2"/>
  <c r="AM64" i="2"/>
  <c r="AL68" i="2"/>
  <c r="AM68" i="2"/>
  <c r="AL72" i="2"/>
  <c r="AM72" i="2"/>
  <c r="AL15" i="2"/>
  <c r="AM15" i="2"/>
  <c r="AL27" i="2"/>
  <c r="AM27" i="2"/>
  <c r="AL39" i="2"/>
  <c r="AM39" i="2"/>
  <c r="AL51" i="2"/>
  <c r="AM51" i="2"/>
  <c r="AM63" i="2"/>
  <c r="AL63" i="2"/>
  <c r="AL67" i="2"/>
  <c r="AM67" i="2"/>
  <c r="AL9" i="2"/>
  <c r="AM9" i="2"/>
  <c r="AM13" i="2"/>
  <c r="AL13" i="2"/>
  <c r="AL17" i="2"/>
  <c r="AM17" i="2"/>
  <c r="AL21" i="2"/>
  <c r="AM21" i="2"/>
  <c r="AL25" i="2"/>
  <c r="AM25" i="2"/>
  <c r="AM29" i="2"/>
  <c r="AL29" i="2"/>
  <c r="AL33" i="2"/>
  <c r="AM33" i="2"/>
  <c r="AL37" i="2"/>
  <c r="AM37" i="2"/>
  <c r="AL41" i="2"/>
  <c r="AM41" i="2"/>
  <c r="AL45" i="2"/>
  <c r="AM45" i="2"/>
  <c r="AL49" i="2"/>
  <c r="AM49" i="2"/>
  <c r="AL53" i="2"/>
  <c r="AM53" i="2"/>
  <c r="AL57" i="2"/>
  <c r="AM57" i="2"/>
  <c r="AL61" i="2"/>
  <c r="AM61" i="2"/>
  <c r="AM65" i="2"/>
  <c r="AL65" i="2"/>
  <c r="AL69" i="2"/>
  <c r="AM69" i="2"/>
  <c r="AL73" i="2"/>
  <c r="AM73" i="2"/>
  <c r="AL10" i="2"/>
  <c r="AM10" i="2"/>
  <c r="AM14" i="2"/>
  <c r="AL14" i="2"/>
  <c r="AL18" i="2"/>
  <c r="AM18" i="2"/>
  <c r="AL22" i="2"/>
  <c r="AM22" i="2"/>
  <c r="AL26" i="2"/>
  <c r="AM26" i="2"/>
  <c r="AL30" i="2"/>
  <c r="AM30" i="2"/>
  <c r="AM34" i="2"/>
  <c r="AL34" i="2"/>
  <c r="AL38" i="2"/>
  <c r="AM38" i="2"/>
  <c r="AL42" i="2"/>
  <c r="AM42" i="2"/>
  <c r="AL46" i="2"/>
  <c r="AM46" i="2"/>
  <c r="AL50" i="2"/>
  <c r="AM50" i="2"/>
  <c r="AL54" i="2"/>
  <c r="AM54" i="2"/>
  <c r="AL58" i="2"/>
  <c r="AM58" i="2"/>
  <c r="AL62" i="2"/>
  <c r="AM62" i="2"/>
  <c r="AL66" i="2"/>
  <c r="AM66" i="2"/>
  <c r="AM70" i="2"/>
  <c r="AL70" i="2"/>
  <c r="AU25" i="2"/>
  <c r="AV25" i="2"/>
  <c r="AC25" i="2"/>
  <c r="AF25" i="2"/>
  <c r="AI25" i="2"/>
  <c r="AJ25" i="2"/>
  <c r="AR25" i="2"/>
  <c r="AS25" i="2"/>
  <c r="AP25" i="2"/>
  <c r="AO25" i="2"/>
  <c r="AV57" i="2"/>
  <c r="AC57" i="2"/>
  <c r="AF57" i="2"/>
  <c r="AI57" i="2"/>
  <c r="AJ57" i="2"/>
  <c r="AR57" i="2"/>
  <c r="AO57" i="2"/>
  <c r="AP57" i="2"/>
  <c r="AS57" i="2"/>
  <c r="AU57" i="2"/>
  <c r="AF38" i="2"/>
  <c r="AI38" i="2"/>
  <c r="AJ38" i="2"/>
  <c r="AO38" i="2"/>
  <c r="AR38" i="2"/>
  <c r="AC38" i="2"/>
  <c r="AP38" i="2"/>
  <c r="AS38" i="2"/>
  <c r="AU38" i="2"/>
  <c r="AV38" i="2"/>
  <c r="AO14" i="2"/>
  <c r="AP14" i="2"/>
  <c r="AR14" i="2"/>
  <c r="AS14" i="2"/>
  <c r="AU14" i="2"/>
  <c r="AC14" i="2"/>
  <c r="AV14" i="2"/>
  <c r="AF14" i="2"/>
  <c r="AI14" i="2"/>
  <c r="AJ14" i="2"/>
  <c r="AJ46" i="2"/>
  <c r="AO46" i="2"/>
  <c r="AP46" i="2"/>
  <c r="AR46" i="2"/>
  <c r="AS46" i="2"/>
  <c r="AU46" i="2"/>
  <c r="AV46" i="2"/>
  <c r="AI46" i="2"/>
  <c r="AC46" i="2"/>
  <c r="AF46" i="2"/>
  <c r="AF21" i="2"/>
  <c r="AI21" i="2"/>
  <c r="AJ21" i="2"/>
  <c r="AO21" i="2"/>
  <c r="AC21" i="2"/>
  <c r="AP21" i="2"/>
  <c r="AR21" i="2"/>
  <c r="AS21" i="2"/>
  <c r="AU21" i="2"/>
  <c r="AV21" i="2"/>
  <c r="AF41" i="2"/>
  <c r="AI41" i="2"/>
  <c r="AJ41" i="2"/>
  <c r="AO41" i="2"/>
  <c r="AP41" i="2"/>
  <c r="AR41" i="2"/>
  <c r="AU41" i="2"/>
  <c r="AC41" i="2"/>
  <c r="AS41" i="2"/>
  <c r="AV41" i="2"/>
  <c r="AI42" i="2"/>
  <c r="AJ42" i="2"/>
  <c r="AO42" i="2"/>
  <c r="AP42" i="2"/>
  <c r="AR42" i="2"/>
  <c r="AS42" i="2"/>
  <c r="AU42" i="2"/>
  <c r="AF42" i="2"/>
  <c r="AV42" i="2"/>
  <c r="AC42" i="2"/>
  <c r="AU23" i="2"/>
  <c r="AV23" i="2"/>
  <c r="AC23" i="2"/>
  <c r="AF23" i="2"/>
  <c r="AI23" i="2"/>
  <c r="AJ23" i="2"/>
  <c r="AO23" i="2"/>
  <c r="AP23" i="2"/>
  <c r="AR23" i="2"/>
  <c r="AS23" i="2"/>
  <c r="AU27" i="2"/>
  <c r="AV27" i="2"/>
  <c r="AC27" i="2"/>
  <c r="AF27" i="2"/>
  <c r="AI27" i="2"/>
  <c r="AJ27" i="2"/>
  <c r="AO27" i="2"/>
  <c r="AP27" i="2"/>
  <c r="AR27" i="2"/>
  <c r="AS27" i="2"/>
  <c r="AU31" i="2"/>
  <c r="AV31" i="2"/>
  <c r="AC31" i="2"/>
  <c r="AF31" i="2"/>
  <c r="AI31" i="2"/>
  <c r="AJ31" i="2"/>
  <c r="AO31" i="2"/>
  <c r="AP31" i="2"/>
  <c r="AR31" i="2"/>
  <c r="AS31" i="2"/>
  <c r="AC35" i="2"/>
  <c r="AF35" i="2"/>
  <c r="AI35" i="2"/>
  <c r="AJ35" i="2"/>
  <c r="AO35" i="2"/>
  <c r="AR35" i="2"/>
  <c r="AS35" i="2"/>
  <c r="AP35" i="2"/>
  <c r="AU35" i="2"/>
  <c r="AV35" i="2"/>
  <c r="AF39" i="2"/>
  <c r="AI39" i="2"/>
  <c r="AJ39" i="2"/>
  <c r="AO39" i="2"/>
  <c r="AP39" i="2"/>
  <c r="AS39" i="2"/>
  <c r="AR39" i="2"/>
  <c r="AU39" i="2"/>
  <c r="AV39" i="2"/>
  <c r="AC39" i="2"/>
  <c r="AI43" i="2"/>
  <c r="AJ43" i="2"/>
  <c r="AO43" i="2"/>
  <c r="AP43" i="2"/>
  <c r="AR43" i="2"/>
  <c r="AU43" i="2"/>
  <c r="AV43" i="2"/>
  <c r="AC43" i="2"/>
  <c r="AF43" i="2"/>
  <c r="AS43" i="2"/>
  <c r="AO47" i="2"/>
  <c r="AP47" i="2"/>
  <c r="AR47" i="2"/>
  <c r="AS47" i="2"/>
  <c r="AU47" i="2"/>
  <c r="AV47" i="2"/>
  <c r="AC47" i="2"/>
  <c r="AF47" i="2"/>
  <c r="AI47" i="2"/>
  <c r="AJ47" i="2"/>
  <c r="AS51" i="2"/>
  <c r="AU51" i="2"/>
  <c r="AV51" i="2"/>
  <c r="AC51" i="2"/>
  <c r="AF51" i="2"/>
  <c r="AJ51" i="2"/>
  <c r="AI51" i="2"/>
  <c r="AO51" i="2"/>
  <c r="AP51" i="2"/>
  <c r="AR51" i="2"/>
  <c r="AV55" i="2"/>
  <c r="AC55" i="2"/>
  <c r="AF55" i="2"/>
  <c r="AI55" i="2"/>
  <c r="AJ55" i="2"/>
  <c r="AO55" i="2"/>
  <c r="AP55" i="2"/>
  <c r="AR55" i="2"/>
  <c r="AS55" i="2"/>
  <c r="AU55" i="2"/>
  <c r="AV59" i="2"/>
  <c r="AC59" i="2"/>
  <c r="AF59" i="2"/>
  <c r="AI59" i="2"/>
  <c r="AJ59" i="2"/>
  <c r="AO59" i="2"/>
  <c r="AP59" i="2"/>
  <c r="AR59" i="2"/>
  <c r="AS59" i="2"/>
  <c r="AU59" i="2"/>
  <c r="AR63" i="2"/>
  <c r="AS63" i="2"/>
  <c r="AU63" i="2"/>
  <c r="AC63" i="2"/>
  <c r="AV63" i="2"/>
  <c r="AF63" i="2"/>
  <c r="AI63" i="2"/>
  <c r="AO63" i="2"/>
  <c r="AJ63" i="2"/>
  <c r="AP63" i="2"/>
  <c r="AP67" i="2"/>
  <c r="AR67" i="2"/>
  <c r="AS67" i="2"/>
  <c r="AU67" i="2"/>
  <c r="AV67" i="2"/>
  <c r="AC67" i="2"/>
  <c r="AF67" i="2"/>
  <c r="AI67" i="2"/>
  <c r="AJ67" i="2"/>
  <c r="AO67" i="2"/>
  <c r="AO71" i="2"/>
  <c r="AP71" i="2"/>
  <c r="AR71" i="2"/>
  <c r="AS71" i="2"/>
  <c r="AU71" i="2"/>
  <c r="AV71" i="2"/>
  <c r="AC71" i="2"/>
  <c r="AF71" i="2"/>
  <c r="AI71" i="2"/>
  <c r="AJ71" i="2"/>
  <c r="AO13" i="2"/>
  <c r="AP13" i="2"/>
  <c r="AR13" i="2"/>
  <c r="AS13" i="2"/>
  <c r="AU13" i="2"/>
  <c r="AC13" i="2"/>
  <c r="AV13" i="2"/>
  <c r="AF13" i="2"/>
  <c r="AI13" i="2"/>
  <c r="AJ13" i="2"/>
  <c r="N45" i="2"/>
  <c r="AI45" i="2"/>
  <c r="AJ45" i="2"/>
  <c r="AO45" i="2"/>
  <c r="AP45" i="2"/>
  <c r="AR45" i="2"/>
  <c r="AS45" i="2"/>
  <c r="AV45" i="2"/>
  <c r="AF45" i="2"/>
  <c r="AU45" i="2"/>
  <c r="AC45" i="2"/>
  <c r="AU30" i="2"/>
  <c r="AV30" i="2"/>
  <c r="AC30" i="2"/>
  <c r="AF30" i="2"/>
  <c r="AI30" i="2"/>
  <c r="AJ30" i="2"/>
  <c r="AO30" i="2"/>
  <c r="AP30" i="2"/>
  <c r="AR30" i="2"/>
  <c r="AS30" i="2"/>
  <c r="AI17" i="2"/>
  <c r="AJ17" i="2"/>
  <c r="AO17" i="2"/>
  <c r="AP17" i="2"/>
  <c r="AR17" i="2"/>
  <c r="AS17" i="2"/>
  <c r="AU17" i="2"/>
  <c r="AC17" i="2"/>
  <c r="AF17" i="2"/>
  <c r="AV17" i="2"/>
  <c r="AS61" i="2"/>
  <c r="AU61" i="2"/>
  <c r="AC61" i="2"/>
  <c r="AV61" i="2"/>
  <c r="AF61" i="2"/>
  <c r="AI61" i="2"/>
  <c r="AJ61" i="2"/>
  <c r="AO61" i="2"/>
  <c r="AP61" i="2"/>
  <c r="AR61" i="2"/>
  <c r="AP10" i="2"/>
  <c r="AR10" i="2"/>
  <c r="AS10" i="2"/>
  <c r="AU10" i="2"/>
  <c r="AV10" i="2"/>
  <c r="AC10" i="2"/>
  <c r="AF10" i="2"/>
  <c r="AI10" i="2"/>
  <c r="AJ10" i="2"/>
  <c r="AO10" i="2"/>
  <c r="AO70" i="2"/>
  <c r="AP70" i="2"/>
  <c r="AR70" i="2"/>
  <c r="AS70" i="2"/>
  <c r="AU70" i="2"/>
  <c r="AC70" i="2"/>
  <c r="AV70" i="2"/>
  <c r="AF70" i="2"/>
  <c r="AI70" i="2"/>
  <c r="AJ70" i="2"/>
  <c r="AI19" i="2"/>
  <c r="AJ19" i="2"/>
  <c r="AO19" i="2"/>
  <c r="AP19" i="2"/>
  <c r="AR19" i="2"/>
  <c r="AU19" i="2"/>
  <c r="AV19" i="2"/>
  <c r="AC19" i="2"/>
  <c r="AF19" i="2"/>
  <c r="AS19" i="2"/>
  <c r="AP49" i="2"/>
  <c r="AR49" i="2"/>
  <c r="AS49" i="2"/>
  <c r="AU49" i="2"/>
  <c r="AV49" i="2"/>
  <c r="AC49" i="2"/>
  <c r="AF49" i="2"/>
  <c r="AI49" i="2"/>
  <c r="AJ49" i="2"/>
  <c r="AO49" i="2"/>
  <c r="AO66" i="2"/>
  <c r="AP66" i="2"/>
  <c r="AR66" i="2"/>
  <c r="AS66" i="2"/>
  <c r="AU66" i="2"/>
  <c r="AV66" i="2"/>
  <c r="AC66" i="2"/>
  <c r="AF66" i="2"/>
  <c r="AI66" i="2"/>
  <c r="AJ66" i="2"/>
  <c r="AR65" i="2"/>
  <c r="AS65" i="2"/>
  <c r="AU65" i="2"/>
  <c r="AC65" i="2"/>
  <c r="AV65" i="2"/>
  <c r="AF65" i="2"/>
  <c r="AJ65" i="2"/>
  <c r="AI65" i="2"/>
  <c r="AO65" i="2"/>
  <c r="AP65" i="2"/>
  <c r="AI18" i="2"/>
  <c r="AJ18" i="2"/>
  <c r="AO18" i="2"/>
  <c r="AP18" i="2"/>
  <c r="AR18" i="2"/>
  <c r="AS18" i="2"/>
  <c r="AU18" i="2"/>
  <c r="AF18" i="2"/>
  <c r="AV18" i="2"/>
  <c r="AC18" i="2"/>
  <c r="AU54" i="2"/>
  <c r="AV54" i="2"/>
  <c r="AC54" i="2"/>
  <c r="AF54" i="2"/>
  <c r="AI54" i="2"/>
  <c r="AJ54" i="2"/>
  <c r="AO54" i="2"/>
  <c r="AP54" i="2"/>
  <c r="AR54" i="2"/>
  <c r="AS54" i="2"/>
  <c r="AO8" i="2"/>
  <c r="AP8" i="2"/>
  <c r="AR8" i="2"/>
  <c r="AS8" i="2"/>
  <c r="AU8" i="2"/>
  <c r="AC8" i="2"/>
  <c r="AV8" i="2"/>
  <c r="AI8" i="2"/>
  <c r="AF8" i="2"/>
  <c r="AJ8" i="2"/>
  <c r="AV56" i="2"/>
  <c r="AC56" i="2"/>
  <c r="AF56" i="2"/>
  <c r="AI56" i="2"/>
  <c r="AJ56" i="2"/>
  <c r="AO56" i="2"/>
  <c r="AR56" i="2"/>
  <c r="AP56" i="2"/>
  <c r="AS56" i="2"/>
  <c r="AU56" i="2"/>
  <c r="AO72" i="2"/>
  <c r="AP72" i="2"/>
  <c r="AR72" i="2"/>
  <c r="AS72" i="2"/>
  <c r="AU72" i="2"/>
  <c r="AC72" i="2"/>
  <c r="AV72" i="2"/>
  <c r="AF72" i="2"/>
  <c r="AI72" i="2"/>
  <c r="AJ72" i="2"/>
  <c r="AP9" i="2"/>
  <c r="AR9" i="2"/>
  <c r="AS9" i="2"/>
  <c r="AU9" i="2"/>
  <c r="AV9" i="2"/>
  <c r="AC9" i="2"/>
  <c r="AI9" i="2"/>
  <c r="AJ9" i="2"/>
  <c r="AO9" i="2"/>
  <c r="AF9" i="2"/>
  <c r="AV33" i="2"/>
  <c r="AC33" i="2"/>
  <c r="AF33" i="2"/>
  <c r="AI33" i="2"/>
  <c r="AJ33" i="2"/>
  <c r="AP33" i="2"/>
  <c r="AU33" i="2"/>
  <c r="AS33" i="2"/>
  <c r="AO33" i="2"/>
  <c r="AR33" i="2"/>
  <c r="AU53" i="2"/>
  <c r="AV53" i="2"/>
  <c r="AC53" i="2"/>
  <c r="AF53" i="2"/>
  <c r="AI53" i="2"/>
  <c r="AJ53" i="2"/>
  <c r="AO53" i="2"/>
  <c r="AS53" i="2"/>
  <c r="AP53" i="2"/>
  <c r="AR53" i="2"/>
  <c r="AC22" i="2"/>
  <c r="AU22" i="2"/>
  <c r="AV22" i="2"/>
  <c r="AF22" i="2"/>
  <c r="AI22" i="2"/>
  <c r="AJ22" i="2"/>
  <c r="AO22" i="2"/>
  <c r="AP22" i="2"/>
  <c r="AR22" i="2"/>
  <c r="AS22" i="2"/>
  <c r="AU58" i="2"/>
  <c r="AC58" i="2"/>
  <c r="AV58" i="2"/>
  <c r="AF58" i="2"/>
  <c r="AI58" i="2"/>
  <c r="AJ58" i="2"/>
  <c r="AO58" i="2"/>
  <c r="AS58" i="2"/>
  <c r="AR58" i="2"/>
  <c r="AP58" i="2"/>
  <c r="AO7" i="2"/>
  <c r="AP7" i="2"/>
  <c r="AR7" i="2"/>
  <c r="AS7" i="2"/>
  <c r="AU7" i="2"/>
  <c r="AV7" i="2"/>
  <c r="AC7" i="2"/>
  <c r="AI7" i="2"/>
  <c r="AF7" i="2"/>
  <c r="AJ7" i="2"/>
  <c r="AO15" i="2"/>
  <c r="AP15" i="2"/>
  <c r="AR15" i="2"/>
  <c r="AS15" i="2"/>
  <c r="AU15" i="2"/>
  <c r="AC15" i="2"/>
  <c r="AI15" i="2"/>
  <c r="AJ15" i="2"/>
  <c r="AV15" i="2"/>
  <c r="AF15" i="2"/>
  <c r="AP12" i="2"/>
  <c r="AR12" i="2"/>
  <c r="AS12" i="2"/>
  <c r="AU12" i="2"/>
  <c r="AV12" i="2"/>
  <c r="AC12" i="2"/>
  <c r="AI12" i="2"/>
  <c r="AO12" i="2"/>
  <c r="AF12" i="2"/>
  <c r="AJ12" i="2"/>
  <c r="AJ16" i="2"/>
  <c r="AO16" i="2"/>
  <c r="AP16" i="2"/>
  <c r="AR16" i="2"/>
  <c r="AS16" i="2"/>
  <c r="AU16" i="2"/>
  <c r="AC16" i="2"/>
  <c r="AF16" i="2"/>
  <c r="AI16" i="2"/>
  <c r="AV16" i="2"/>
  <c r="AU24" i="2"/>
  <c r="AV24" i="2"/>
  <c r="AC24" i="2"/>
  <c r="AF24" i="2"/>
  <c r="AI24" i="2"/>
  <c r="AJ24" i="2"/>
  <c r="AO24" i="2"/>
  <c r="AP24" i="2"/>
  <c r="AR24" i="2"/>
  <c r="AS24" i="2"/>
  <c r="AU28" i="2"/>
  <c r="AV28" i="2"/>
  <c r="AC28" i="2"/>
  <c r="AF28" i="2"/>
  <c r="AI28" i="2"/>
  <c r="AJ28" i="2"/>
  <c r="AP28" i="2"/>
  <c r="AR28" i="2"/>
  <c r="AS28" i="2"/>
  <c r="AO28" i="2"/>
  <c r="AF36" i="2"/>
  <c r="AI36" i="2"/>
  <c r="AJ36" i="2"/>
  <c r="AP36" i="2"/>
  <c r="AS36" i="2"/>
  <c r="AU36" i="2"/>
  <c r="AV36" i="2"/>
  <c r="AC36" i="2"/>
  <c r="AO36" i="2"/>
  <c r="AR36" i="2"/>
  <c r="AI44" i="2"/>
  <c r="AJ44" i="2"/>
  <c r="AO44" i="2"/>
  <c r="AP44" i="2"/>
  <c r="AR44" i="2"/>
  <c r="AS44" i="2"/>
  <c r="AU44" i="2"/>
  <c r="AC44" i="2"/>
  <c r="AF44" i="2"/>
  <c r="AV44" i="2"/>
  <c r="AO48" i="2"/>
  <c r="AP48" i="2"/>
  <c r="AR48" i="2"/>
  <c r="AS48" i="2"/>
  <c r="AU48" i="2"/>
  <c r="AV48" i="2"/>
  <c r="AC48" i="2"/>
  <c r="AF48" i="2"/>
  <c r="AI48" i="2"/>
  <c r="AJ48" i="2"/>
  <c r="AS52" i="2"/>
  <c r="AU52" i="2"/>
  <c r="AV52" i="2"/>
  <c r="AC52" i="2"/>
  <c r="AF52" i="2"/>
  <c r="AI52" i="2"/>
  <c r="AJ52" i="2"/>
  <c r="AO52" i="2"/>
  <c r="AP52" i="2"/>
  <c r="AR52" i="2"/>
  <c r="AV60" i="2"/>
  <c r="AC60" i="2"/>
  <c r="AF60" i="2"/>
  <c r="AI60" i="2"/>
  <c r="AJ60" i="2"/>
  <c r="AO60" i="2"/>
  <c r="AP60" i="2"/>
  <c r="AR60" i="2"/>
  <c r="AS60" i="2"/>
  <c r="AU60" i="2"/>
  <c r="AF37" i="2"/>
  <c r="AI37" i="2"/>
  <c r="AJ37" i="2"/>
  <c r="AO37" i="2"/>
  <c r="AP37" i="2"/>
  <c r="AR37" i="2"/>
  <c r="AC37" i="2"/>
  <c r="AS37" i="2"/>
  <c r="AU37" i="2"/>
  <c r="AV37" i="2"/>
  <c r="AO73" i="2"/>
  <c r="AP73" i="2"/>
  <c r="AR73" i="2"/>
  <c r="AS73" i="2"/>
  <c r="AU73" i="2"/>
  <c r="AV73" i="2"/>
  <c r="AC73" i="2"/>
  <c r="AI73" i="2"/>
  <c r="AF73" i="2"/>
  <c r="AJ73" i="2"/>
  <c r="AV26" i="2"/>
  <c r="AC26" i="2"/>
  <c r="AF26" i="2"/>
  <c r="AI26" i="2"/>
  <c r="AJ26" i="2"/>
  <c r="AO26" i="2"/>
  <c r="AP26" i="2"/>
  <c r="AR26" i="2"/>
  <c r="AS26" i="2"/>
  <c r="AU26" i="2"/>
  <c r="AS62" i="2"/>
  <c r="AU62" i="2"/>
  <c r="AV62" i="2"/>
  <c r="AC62" i="2"/>
  <c r="AF62" i="2"/>
  <c r="AI62" i="2"/>
  <c r="AJ62" i="2"/>
  <c r="AO62" i="2"/>
  <c r="AP62" i="2"/>
  <c r="AR62" i="2"/>
  <c r="AO11" i="2"/>
  <c r="AP11" i="2"/>
  <c r="AR11" i="2"/>
  <c r="AS11" i="2"/>
  <c r="AU11" i="2"/>
  <c r="AV11" i="2"/>
  <c r="AC11" i="2"/>
  <c r="AI11" i="2"/>
  <c r="AF11" i="2"/>
  <c r="AJ11" i="2"/>
  <c r="AF20" i="2"/>
  <c r="AI20" i="2"/>
  <c r="AJ20" i="2"/>
  <c r="AO20" i="2"/>
  <c r="AP20" i="2"/>
  <c r="AS20" i="2"/>
  <c r="AU20" i="2"/>
  <c r="AV20" i="2"/>
  <c r="AC20" i="2"/>
  <c r="AR20" i="2"/>
  <c r="AI40" i="2"/>
  <c r="AJ40" i="2"/>
  <c r="AO40" i="2"/>
  <c r="AP40" i="2"/>
  <c r="AS40" i="2"/>
  <c r="AC40" i="2"/>
  <c r="AF40" i="2"/>
  <c r="AR40" i="2"/>
  <c r="AU40" i="2"/>
  <c r="AV40" i="2"/>
  <c r="AR64" i="2"/>
  <c r="AS64" i="2"/>
  <c r="AU64" i="2"/>
  <c r="AV64" i="2"/>
  <c r="AC64" i="2"/>
  <c r="AF64" i="2"/>
  <c r="AJ64" i="2"/>
  <c r="AI64" i="2"/>
  <c r="AO64" i="2"/>
  <c r="AP64" i="2"/>
  <c r="AS29" i="2"/>
  <c r="AU29" i="2"/>
  <c r="AC29" i="2"/>
  <c r="AV29" i="2"/>
  <c r="AF29" i="2"/>
  <c r="AI29" i="2"/>
  <c r="AJ29" i="2"/>
  <c r="AO29" i="2"/>
  <c r="AR29" i="2"/>
  <c r="AP29" i="2"/>
  <c r="AO69" i="2"/>
  <c r="AP69" i="2"/>
  <c r="AR69" i="2"/>
  <c r="AS69" i="2"/>
  <c r="AU69" i="2"/>
  <c r="AV69" i="2"/>
  <c r="AC69" i="2"/>
  <c r="AJ69" i="2"/>
  <c r="AF69" i="2"/>
  <c r="AI69" i="2"/>
  <c r="AJ6" i="2"/>
  <c r="AI6" i="2"/>
  <c r="AF6" i="2"/>
  <c r="AV6" i="2"/>
  <c r="AU6" i="2"/>
  <c r="AR6" i="2"/>
  <c r="AL6" i="2"/>
  <c r="AP6" i="2"/>
  <c r="AS6" i="2"/>
  <c r="AO6" i="2"/>
  <c r="AC34" i="2"/>
  <c r="AF34" i="2"/>
  <c r="AI34" i="2"/>
  <c r="AJ34" i="2"/>
  <c r="AO34" i="2"/>
  <c r="AP34" i="2"/>
  <c r="AR34" i="2"/>
  <c r="AS34" i="2"/>
  <c r="AU34" i="2"/>
  <c r="AV34" i="2"/>
  <c r="AP50" i="2"/>
  <c r="AR50" i="2"/>
  <c r="AS50" i="2"/>
  <c r="AU50" i="2"/>
  <c r="AV50" i="2"/>
  <c r="AC50" i="2"/>
  <c r="AF50" i="2"/>
  <c r="AO50" i="2"/>
  <c r="AI50" i="2"/>
  <c r="AJ50" i="2"/>
  <c r="AV32" i="2"/>
  <c r="AC32" i="2"/>
  <c r="AF32" i="2"/>
  <c r="AI32" i="2"/>
  <c r="AJ32" i="2"/>
  <c r="AR32" i="2"/>
  <c r="AO32" i="2"/>
  <c r="AP32" i="2"/>
  <c r="AS32" i="2"/>
  <c r="AU32" i="2"/>
  <c r="AO68" i="2"/>
  <c r="AP68" i="2"/>
  <c r="AR68" i="2"/>
  <c r="AS68" i="2"/>
  <c r="AU68" i="2"/>
  <c r="AV68" i="2"/>
  <c r="AC68" i="2"/>
  <c r="AI68" i="2"/>
  <c r="AF68" i="2"/>
  <c r="AJ68" i="2"/>
  <c r="O7" i="2"/>
  <c r="T7" i="2"/>
  <c r="Q7" i="2"/>
  <c r="Z7" i="2"/>
  <c r="N11" i="2"/>
  <c r="Z11" i="2"/>
  <c r="O11" i="2"/>
  <c r="Q11" i="2"/>
  <c r="T11" i="2"/>
  <c r="T15" i="2"/>
  <c r="Z15" i="2"/>
  <c r="O15" i="2"/>
  <c r="Q15" i="2"/>
  <c r="T19" i="2"/>
  <c r="N19" i="2"/>
  <c r="Q19" i="2"/>
  <c r="Z19" i="2"/>
  <c r="O19" i="2"/>
  <c r="Q47" i="2"/>
  <c r="O8" i="2"/>
  <c r="Q8" i="2"/>
  <c r="T8" i="2"/>
  <c r="Z8" i="2"/>
  <c r="T12" i="2"/>
  <c r="N12" i="2"/>
  <c r="Q12" i="2"/>
  <c r="Z12" i="2"/>
  <c r="O12" i="2"/>
  <c r="N16" i="2"/>
  <c r="T16" i="2"/>
  <c r="O16" i="2"/>
  <c r="Q16" i="2"/>
  <c r="Z16" i="2"/>
  <c r="Q9" i="2"/>
  <c r="T9" i="2"/>
  <c r="Z9" i="2"/>
  <c r="O9" i="2"/>
  <c r="O13" i="2"/>
  <c r="Q13" i="2"/>
  <c r="Z13" i="2"/>
  <c r="T13" i="2"/>
  <c r="N17" i="2"/>
  <c r="O17" i="2"/>
  <c r="Q17" i="2"/>
  <c r="T17" i="2"/>
  <c r="Z17" i="2"/>
  <c r="Q21" i="2"/>
  <c r="Q65" i="2"/>
  <c r="N10" i="2"/>
  <c r="O10" i="2"/>
  <c r="T10" i="2"/>
  <c r="Q10" i="2"/>
  <c r="Z10" i="2"/>
  <c r="Q18" i="2"/>
  <c r="Z18" i="2"/>
  <c r="N18" i="2"/>
  <c r="O18" i="2"/>
  <c r="T18" i="2"/>
  <c r="Q14" i="2"/>
  <c r="T14" i="2"/>
  <c r="Z14" i="2"/>
  <c r="O14" i="2"/>
  <c r="T73" i="2"/>
  <c r="O6" i="2"/>
  <c r="Q41" i="2"/>
  <c r="Q57" i="2"/>
  <c r="T37" i="2"/>
  <c r="Z69" i="2"/>
  <c r="Q53" i="2"/>
  <c r="Z29" i="2"/>
  <c r="T49" i="2"/>
  <c r="Q49" i="2"/>
  <c r="T33" i="2"/>
  <c r="Z58" i="2"/>
  <c r="T41" i="2"/>
  <c r="T29" i="2"/>
  <c r="T65" i="2"/>
  <c r="Z37" i="2"/>
  <c r="Z49" i="2"/>
  <c r="T25" i="2"/>
  <c r="T20" i="2"/>
  <c r="Q20" i="2"/>
  <c r="Z20" i="2"/>
  <c r="T24" i="2"/>
  <c r="Z24" i="2"/>
  <c r="Q24" i="2"/>
  <c r="Z28" i="2"/>
  <c r="Q28" i="2"/>
  <c r="T28" i="2"/>
  <c r="T32" i="2"/>
  <c r="Q32" i="2"/>
  <c r="Z32" i="2"/>
  <c r="Z36" i="2"/>
  <c r="Q36" i="2"/>
  <c r="T36" i="2"/>
  <c r="T40" i="2"/>
  <c r="Q40" i="2"/>
  <c r="Z40" i="2"/>
  <c r="Q44" i="2"/>
  <c r="T48" i="2"/>
  <c r="Q48" i="2"/>
  <c r="Z48" i="2"/>
  <c r="Z52" i="2"/>
  <c r="Q52" i="2"/>
  <c r="Q56" i="2"/>
  <c r="Z56" i="2"/>
  <c r="T56" i="2"/>
  <c r="Q60" i="2"/>
  <c r="Z60" i="2"/>
  <c r="Z64" i="2"/>
  <c r="Q64" i="2"/>
  <c r="T64" i="2"/>
  <c r="Z68" i="2"/>
  <c r="Z72" i="2"/>
  <c r="T68" i="2"/>
  <c r="T22" i="2"/>
  <c r="Q22" i="2"/>
  <c r="Z22" i="2"/>
  <c r="T26" i="2"/>
  <c r="Q26" i="2"/>
  <c r="Z26" i="2"/>
  <c r="Z30" i="2"/>
  <c r="T30" i="2"/>
  <c r="Q30" i="2"/>
  <c r="Q34" i="2"/>
  <c r="T34" i="2"/>
  <c r="Z38" i="2"/>
  <c r="Q38" i="2"/>
  <c r="T38" i="2"/>
  <c r="Q42" i="2"/>
  <c r="Q46" i="2"/>
  <c r="T46" i="2"/>
  <c r="Z46" i="2"/>
  <c r="Q50" i="2"/>
  <c r="T50" i="2"/>
  <c r="Z50" i="2"/>
  <c r="Z54" i="2"/>
  <c r="Q58" i="2"/>
  <c r="T58" i="2"/>
  <c r="Q62" i="2"/>
  <c r="T62" i="2"/>
  <c r="Z62" i="2"/>
  <c r="Q66" i="2"/>
  <c r="T66" i="2"/>
  <c r="Z66" i="2"/>
  <c r="Z70" i="2"/>
  <c r="T71" i="2"/>
  <c r="Q68" i="2"/>
  <c r="T52" i="2"/>
  <c r="Q23" i="2"/>
  <c r="T23" i="2"/>
  <c r="Z23" i="2"/>
  <c r="Q27" i="2"/>
  <c r="Z27" i="2"/>
  <c r="T27" i="2"/>
  <c r="Z31" i="2"/>
  <c r="Q31" i="2"/>
  <c r="T31" i="2"/>
  <c r="T35" i="2"/>
  <c r="Z35" i="2"/>
  <c r="Q35" i="2"/>
  <c r="Q39" i="2"/>
  <c r="T39" i="2"/>
  <c r="Z39" i="2"/>
  <c r="T43" i="2"/>
  <c r="Q43" i="2"/>
  <c r="Z43" i="2"/>
  <c r="Z47" i="2"/>
  <c r="T47" i="2"/>
  <c r="Z51" i="2"/>
  <c r="Q51" i="2"/>
  <c r="Q55" i="2"/>
  <c r="T55" i="2"/>
  <c r="Z55" i="2"/>
  <c r="Z59" i="2"/>
  <c r="Q59" i="2"/>
  <c r="Q63" i="2"/>
  <c r="T63" i="2"/>
  <c r="Z67" i="2"/>
  <c r="T67" i="2"/>
  <c r="Q71" i="2"/>
  <c r="Z71" i="2"/>
  <c r="T70" i="2"/>
  <c r="Q67" i="2"/>
  <c r="T51" i="2"/>
  <c r="Q70" i="2"/>
  <c r="Z63" i="2"/>
  <c r="T60" i="2"/>
  <c r="T59" i="2"/>
  <c r="Z44" i="2"/>
  <c r="T44" i="2"/>
  <c r="T54" i="2"/>
  <c r="T72" i="2"/>
  <c r="Q54" i="2"/>
  <c r="Z42" i="2"/>
  <c r="Z34" i="2"/>
  <c r="Q72" i="2"/>
  <c r="T42" i="2"/>
  <c r="Z21" i="2"/>
  <c r="T21" i="2"/>
  <c r="Z25" i="2"/>
  <c r="Q25" i="2"/>
  <c r="Q29" i="2"/>
  <c r="Z33" i="2"/>
  <c r="Q37" i="2"/>
  <c r="Z41" i="2"/>
  <c r="Q45" i="2"/>
  <c r="T45" i="2"/>
  <c r="Z53" i="2"/>
  <c r="T53" i="2"/>
  <c r="Z57" i="2"/>
  <c r="Z61" i="2"/>
  <c r="Q61" i="2"/>
  <c r="T61" i="2"/>
  <c r="Z65" i="2"/>
  <c r="T69" i="2"/>
  <c r="Q69" i="2"/>
  <c r="Q73" i="2"/>
  <c r="Z73" i="2"/>
  <c r="T57" i="2"/>
  <c r="Z45" i="2"/>
  <c r="Q33" i="2"/>
  <c r="M6" i="2" l="1"/>
  <c r="I83" i="2"/>
  <c r="K83" i="2" s="1"/>
  <c r="BI83" i="2" s="1"/>
  <c r="BK83" i="2" s="1"/>
  <c r="I32" i="2"/>
  <c r="I41" i="2"/>
  <c r="I34" i="2"/>
  <c r="I25" i="2"/>
  <c r="I82" i="2"/>
  <c r="K82" i="2" s="1"/>
  <c r="BI82" i="2" s="1"/>
  <c r="BK82" i="2" s="1"/>
  <c r="I36" i="2"/>
  <c r="I13" i="2"/>
  <c r="I40" i="2"/>
  <c r="I27" i="2"/>
  <c r="I63" i="2"/>
  <c r="I21" i="2"/>
  <c r="I79" i="2"/>
  <c r="K79" i="2" s="1"/>
  <c r="BI79" i="2" s="1"/>
  <c r="BK79" i="2" s="1"/>
  <c r="I77" i="2"/>
  <c r="K77" i="2" s="1"/>
  <c r="BI77" i="2" s="1"/>
  <c r="BK77" i="2" s="1"/>
  <c r="I67" i="2"/>
  <c r="I30" i="2"/>
  <c r="I61" i="2"/>
  <c r="I84" i="2"/>
  <c r="K84" i="2" s="1"/>
  <c r="BI84" i="2" s="1"/>
  <c r="BK84" i="2" s="1"/>
  <c r="BI78" i="2"/>
  <c r="BK78" i="2" s="1"/>
  <c r="I48" i="2"/>
  <c r="I37" i="2"/>
  <c r="I59" i="2"/>
  <c r="I23" i="2"/>
  <c r="I38" i="2"/>
  <c r="I70" i="2"/>
  <c r="I43" i="2"/>
  <c r="I73" i="2"/>
  <c r="I11" i="2"/>
  <c r="I10" i="2"/>
  <c r="I22" i="2"/>
  <c r="I76" i="2"/>
  <c r="K76" i="2" s="1"/>
  <c r="I17" i="2"/>
  <c r="I29" i="2"/>
  <c r="I26" i="2"/>
  <c r="I80" i="2"/>
  <c r="K80" i="2" s="1"/>
  <c r="I35" i="2"/>
  <c r="I65" i="2"/>
  <c r="I12" i="2"/>
  <c r="I15" i="2"/>
  <c r="I16" i="2"/>
  <c r="I33" i="2"/>
  <c r="I60" i="2"/>
  <c r="I66" i="2"/>
  <c r="I42" i="2"/>
  <c r="I28" i="2"/>
  <c r="I14" i="2"/>
  <c r="I31" i="2"/>
  <c r="I81" i="2"/>
  <c r="K81" i="2" s="1"/>
  <c r="BI81" i="2" s="1"/>
  <c r="BK81" i="2" s="1"/>
  <c r="I24" i="2"/>
  <c r="I64" i="2"/>
  <c r="I62" i="2"/>
  <c r="I75" i="2"/>
  <c r="K75" i="2" s="1"/>
  <c r="BI75" i="2" s="1"/>
  <c r="BK75" i="2" s="1"/>
  <c r="V62" i="2"/>
  <c r="AB57" i="2"/>
  <c r="Y6" i="2"/>
  <c r="Y69" i="2"/>
  <c r="Y62" i="2"/>
  <c r="Y20" i="2"/>
  <c r="Y18" i="2"/>
  <c r="Y63" i="2"/>
  <c r="Y44" i="2"/>
  <c r="Y46" i="2"/>
  <c r="Y47" i="2"/>
  <c r="Y13" i="2"/>
  <c r="Y30" i="2"/>
  <c r="Y56" i="2"/>
  <c r="Y16" i="2"/>
  <c r="Y50" i="2"/>
  <c r="Y49" i="2"/>
  <c r="Y51" i="2"/>
  <c r="Y22" i="2"/>
  <c r="Y32" i="2"/>
  <c r="Y21" i="2"/>
  <c r="Y8" i="2"/>
  <c r="Y61" i="2"/>
  <c r="Y53" i="2"/>
  <c r="Y73" i="2"/>
  <c r="Y26" i="2"/>
  <c r="Y37" i="2"/>
  <c r="Y17" i="2"/>
  <c r="Y60" i="2"/>
  <c r="Y14" i="2"/>
  <c r="Y59" i="2"/>
  <c r="Y27" i="2"/>
  <c r="Y10" i="2"/>
  <c r="Y55" i="2"/>
  <c r="Y33" i="2"/>
  <c r="Y48" i="2"/>
  <c r="Y58" i="2"/>
  <c r="Y70" i="2"/>
  <c r="Y65" i="2"/>
  <c r="Y12" i="2"/>
  <c r="Y54" i="2"/>
  <c r="Y23" i="2"/>
  <c r="Y42" i="2"/>
  <c r="Y72" i="2"/>
  <c r="Y40" i="2"/>
  <c r="Y19" i="2"/>
  <c r="Y68" i="2"/>
  <c r="Y36" i="2"/>
  <c r="Y7" i="2"/>
  <c r="Y57" i="2"/>
  <c r="Y15" i="2"/>
  <c r="Y64" i="2"/>
  <c r="Y38" i="2"/>
  <c r="Y29" i="2"/>
  <c r="Y43" i="2"/>
  <c r="Y11" i="2"/>
  <c r="Y41" i="2"/>
  <c r="Y25" i="2"/>
  <c r="Y28" i="2"/>
  <c r="Y34" i="2"/>
  <c r="Y71" i="2"/>
  <c r="Y39" i="2"/>
  <c r="Y24" i="2"/>
  <c r="Y66" i="2"/>
  <c r="Y67" i="2"/>
  <c r="Y35" i="2"/>
  <c r="Y45" i="2"/>
  <c r="Y52" i="2"/>
  <c r="Y31" i="2"/>
  <c r="Y9" i="2"/>
  <c r="AB61" i="2"/>
  <c r="BK85" i="2"/>
  <c r="AB37" i="2"/>
  <c r="S21" i="2"/>
  <c r="AB73" i="2"/>
  <c r="V21" i="2"/>
  <c r="AB39" i="2"/>
  <c r="AE58" i="2"/>
  <c r="AN25" i="2"/>
  <c r="AN45" i="2"/>
  <c r="AN7" i="2"/>
  <c r="AN50" i="2"/>
  <c r="AN18" i="2"/>
  <c r="AN53" i="2"/>
  <c r="AN21" i="2"/>
  <c r="AN27" i="2"/>
  <c r="AN48" i="2"/>
  <c r="AN46" i="2"/>
  <c r="AN14" i="2"/>
  <c r="AN49" i="2"/>
  <c r="AN15" i="2"/>
  <c r="AN70" i="2"/>
  <c r="AN38" i="2"/>
  <c r="AN73" i="2"/>
  <c r="AN41" i="2"/>
  <c r="AN68" i="2"/>
  <c r="AN36" i="2"/>
  <c r="AN34" i="2"/>
  <c r="AN67" i="2"/>
  <c r="AN63" i="2"/>
  <c r="AN28" i="2"/>
  <c r="AN58" i="2"/>
  <c r="AN26" i="2"/>
  <c r="AN29" i="2"/>
  <c r="AN51" i="2"/>
  <c r="AN56" i="2"/>
  <c r="AN24" i="2"/>
  <c r="AN47" i="2"/>
  <c r="AN43" i="2"/>
  <c r="AN66" i="2"/>
  <c r="AN69" i="2"/>
  <c r="AN37" i="2"/>
  <c r="AN64" i="2"/>
  <c r="AN32" i="2"/>
  <c r="AN59" i="2"/>
  <c r="AN11" i="2"/>
  <c r="AN55" i="2"/>
  <c r="AN62" i="2"/>
  <c r="AN30" i="2"/>
  <c r="AN65" i="2"/>
  <c r="AN33" i="2"/>
  <c r="AN60" i="2"/>
  <c r="AN61" i="2"/>
  <c r="AN54" i="2"/>
  <c r="AN22" i="2"/>
  <c r="AN57" i="2"/>
  <c r="AN39" i="2"/>
  <c r="AN52" i="2"/>
  <c r="AN20" i="2"/>
  <c r="AN16" i="2"/>
  <c r="AN35" i="2"/>
  <c r="AN12" i="2"/>
  <c r="AN17" i="2"/>
  <c r="AN44" i="2"/>
  <c r="AN31" i="2"/>
  <c r="AN42" i="2"/>
  <c r="AN10" i="2"/>
  <c r="AN13" i="2"/>
  <c r="AN72" i="2"/>
  <c r="AN40" i="2"/>
  <c r="AN8" i="2"/>
  <c r="AN23" i="2"/>
  <c r="AN9" i="2"/>
  <c r="AN71" i="2"/>
  <c r="AN19" i="2"/>
  <c r="V41" i="2"/>
  <c r="AB42" i="2"/>
  <c r="S57" i="2"/>
  <c r="AB58" i="2"/>
  <c r="AQ59" i="2"/>
  <c r="AQ47" i="2"/>
  <c r="AW35" i="2"/>
  <c r="AB45" i="2"/>
  <c r="AH57" i="2"/>
  <c r="AQ51" i="2"/>
  <c r="AW27" i="2"/>
  <c r="AB69" i="2"/>
  <c r="AW59" i="2"/>
  <c r="AQ28" i="2"/>
  <c r="AW65" i="2"/>
  <c r="AW57" i="2"/>
  <c r="AB53" i="2"/>
  <c r="AQ63" i="2"/>
  <c r="AW70" i="2"/>
  <c r="AW10" i="2"/>
  <c r="AK13" i="2"/>
  <c r="AK31" i="2"/>
  <c r="AK45" i="2"/>
  <c r="AK73" i="2"/>
  <c r="AE23" i="2"/>
  <c r="AE37" i="2"/>
  <c r="AE31" i="2"/>
  <c r="BA54" i="2"/>
  <c r="V45" i="2"/>
  <c r="S49" i="2"/>
  <c r="V29" i="2"/>
  <c r="V49" i="2"/>
  <c r="S41" i="2"/>
  <c r="BA7" i="2"/>
  <c r="AE39" i="2"/>
  <c r="AH67" i="2"/>
  <c r="AH63" i="2"/>
  <c r="AH41" i="2"/>
  <c r="AH46" i="2"/>
  <c r="AH59" i="2"/>
  <c r="AH27" i="2"/>
  <c r="AH12" i="2"/>
  <c r="AK10" i="2"/>
  <c r="AK17" i="2"/>
  <c r="AK14" i="2"/>
  <c r="AK52" i="2"/>
  <c r="AK46" i="2"/>
  <c r="AT49" i="2"/>
  <c r="BA40" i="2"/>
  <c r="AW52" i="2"/>
  <c r="AW53" i="2"/>
  <c r="AW60" i="2"/>
  <c r="AW19" i="2"/>
  <c r="AT17" i="2"/>
  <c r="AT39" i="2"/>
  <c r="AT38" i="2"/>
  <c r="AT14" i="2"/>
  <c r="AT65" i="2"/>
  <c r="AT52" i="2"/>
  <c r="AT43" i="2"/>
  <c r="AQ12" i="2"/>
  <c r="AQ49" i="2"/>
  <c r="AQ29" i="2"/>
  <c r="AQ35" i="2"/>
  <c r="AQ38" i="2"/>
  <c r="AQ62" i="2"/>
  <c r="BA35" i="2"/>
  <c r="AW62" i="2"/>
  <c r="AT11" i="2"/>
  <c r="BA18" i="2"/>
  <c r="BA9" i="2"/>
  <c r="AW26" i="2"/>
  <c r="AK7" i="2"/>
  <c r="AE33" i="2"/>
  <c r="AT67" i="2"/>
  <c r="AT63" i="2"/>
  <c r="AK38" i="2"/>
  <c r="AK51" i="2"/>
  <c r="AH42" i="2"/>
  <c r="AQ46" i="2"/>
  <c r="S53" i="2"/>
  <c r="AQ69" i="2"/>
  <c r="AQ18" i="2"/>
  <c r="AQ66" i="2"/>
  <c r="AH51" i="2"/>
  <c r="AT47" i="2"/>
  <c r="AK26" i="2"/>
  <c r="AK68" i="2"/>
  <c r="AH62" i="2"/>
  <c r="AW36" i="2"/>
  <c r="AQ15" i="2"/>
  <c r="AQ7" i="2"/>
  <c r="AW33" i="2"/>
  <c r="AK56" i="2"/>
  <c r="AH61" i="2"/>
  <c r="AW30" i="2"/>
  <c r="AK55" i="2"/>
  <c r="AE51" i="2"/>
  <c r="AQ31" i="2"/>
  <c r="AK23" i="2"/>
  <c r="AW38" i="2"/>
  <c r="AQ57" i="2"/>
  <c r="AK27" i="2"/>
  <c r="AH23" i="2"/>
  <c r="AW72" i="2"/>
  <c r="AE70" i="2"/>
  <c r="AE61" i="2"/>
  <c r="AH43" i="2"/>
  <c r="AK42" i="2"/>
  <c r="BA38" i="2"/>
  <c r="AW48" i="2"/>
  <c r="AK36" i="2"/>
  <c r="AE28" i="2"/>
  <c r="AW24" i="2"/>
  <c r="AK53" i="2"/>
  <c r="AW9" i="2"/>
  <c r="AT54" i="2"/>
  <c r="AK65" i="2"/>
  <c r="AQ19" i="2"/>
  <c r="AT70" i="2"/>
  <c r="AT10" i="2"/>
  <c r="AQ30" i="2"/>
  <c r="AE63" i="2"/>
  <c r="AH47" i="2"/>
  <c r="AQ39" i="2"/>
  <c r="AK35" i="2"/>
  <c r="BA14" i="2"/>
  <c r="AK40" i="2"/>
  <c r="BA37" i="2"/>
  <c r="BA12" i="2"/>
  <c r="BA17" i="2"/>
  <c r="AT28" i="2"/>
  <c r="AE16" i="2"/>
  <c r="AB49" i="2"/>
  <c r="AH40" i="2"/>
  <c r="BA29" i="2"/>
  <c r="BA45" i="2"/>
  <c r="BA51" i="2"/>
  <c r="BA28" i="2"/>
  <c r="AB29" i="2"/>
  <c r="BA15" i="2"/>
  <c r="AT58" i="2"/>
  <c r="AE56" i="2"/>
  <c r="BA43" i="2"/>
  <c r="AK12" i="2"/>
  <c r="BA22" i="2"/>
  <c r="BA24" i="2"/>
  <c r="BA31" i="2"/>
  <c r="BA73" i="2"/>
  <c r="BA39" i="2"/>
  <c r="BA23" i="2"/>
  <c r="BA58" i="2"/>
  <c r="V25" i="2"/>
  <c r="BA10" i="2"/>
  <c r="BA8" i="2"/>
  <c r="BA69" i="2"/>
  <c r="BA71" i="2"/>
  <c r="AB16" i="2"/>
  <c r="BA49" i="2"/>
  <c r="AQ32" i="2"/>
  <c r="BA70" i="2"/>
  <c r="BA32" i="2"/>
  <c r="BA16" i="2"/>
  <c r="BA19" i="2"/>
  <c r="BA27" i="2"/>
  <c r="BA68" i="2"/>
  <c r="BA46" i="2"/>
  <c r="BA57" i="2"/>
  <c r="BA72" i="2"/>
  <c r="BA55" i="2"/>
  <c r="BA66" i="2"/>
  <c r="BA26" i="2"/>
  <c r="BA60" i="2"/>
  <c r="BA48" i="2"/>
  <c r="BA41" i="2"/>
  <c r="BA34" i="2"/>
  <c r="BA25" i="2"/>
  <c r="BA67" i="2"/>
  <c r="BA47" i="2"/>
  <c r="AK32" i="2"/>
  <c r="BA62" i="2"/>
  <c r="BA42" i="2"/>
  <c r="BA20" i="2"/>
  <c r="BA61" i="2"/>
  <c r="BA63" i="2"/>
  <c r="BA30" i="2"/>
  <c r="BA21" i="2"/>
  <c r="BA33" i="2"/>
  <c r="BA50" i="2"/>
  <c r="BA65" i="2"/>
  <c r="BA13" i="2"/>
  <c r="BA64" i="2"/>
  <c r="BA56" i="2"/>
  <c r="BA36" i="2"/>
  <c r="BA59" i="2"/>
  <c r="BA52" i="2"/>
  <c r="BA44" i="2"/>
  <c r="BA53" i="2"/>
  <c r="S11" i="2"/>
  <c r="BA11" i="2"/>
  <c r="AB44" i="2"/>
  <c r="AB25" i="2"/>
  <c r="S65" i="2"/>
  <c r="AK44" i="2"/>
  <c r="AK19" i="2"/>
  <c r="AT23" i="2"/>
  <c r="AN6" i="2"/>
  <c r="AQ25" i="2"/>
  <c r="AW22" i="2"/>
  <c r="AH9" i="2"/>
  <c r="AQ56" i="2"/>
  <c r="AK54" i="2"/>
  <c r="AQ50" i="2"/>
  <c r="AQ36" i="2"/>
  <c r="AQ55" i="2"/>
  <c r="V33" i="2"/>
  <c r="S16" i="2"/>
  <c r="AT40" i="2"/>
  <c r="AT7" i="2"/>
  <c r="AT32" i="2"/>
  <c r="AH50" i="2"/>
  <c r="AK6" i="2"/>
  <c r="AQ17" i="2"/>
  <c r="AE30" i="2"/>
  <c r="AE72" i="2"/>
  <c r="AE50" i="2"/>
  <c r="AK34" i="2"/>
  <c r="AK69" i="2"/>
  <c r="AE11" i="2"/>
  <c r="AQ73" i="2"/>
  <c r="AK48" i="2"/>
  <c r="AE44" i="2"/>
  <c r="AK28" i="2"/>
  <c r="AT16" i="2"/>
  <c r="AT22" i="2"/>
  <c r="AE68" i="2"/>
  <c r="AW50" i="2"/>
  <c r="AH34" i="2"/>
  <c r="AW11" i="2"/>
  <c r="AT60" i="2"/>
  <c r="AH24" i="2"/>
  <c r="AQ16" i="2"/>
  <c r="AT12" i="2"/>
  <c r="AQ65" i="2"/>
  <c r="AK66" i="2"/>
  <c r="AE34" i="2"/>
  <c r="AQ22" i="2"/>
  <c r="AE18" i="2"/>
  <c r="AT30" i="2"/>
  <c r="AH45" i="2"/>
  <c r="AE38" i="2"/>
  <c r="AE59" i="2"/>
  <c r="AE27" i="2"/>
  <c r="AH14" i="2"/>
  <c r="V17" i="2"/>
  <c r="AH29" i="2"/>
  <c r="AE64" i="2"/>
  <c r="AW28" i="2"/>
  <c r="AK58" i="2"/>
  <c r="AK22" i="2"/>
  <c r="AQ72" i="2"/>
  <c r="AQ10" i="2"/>
  <c r="AW45" i="2"/>
  <c r="AW71" i="2"/>
  <c r="AT21" i="2"/>
  <c r="AT62" i="2"/>
  <c r="AW56" i="2"/>
  <c r="AH65" i="2"/>
  <c r="AE17" i="2"/>
  <c r="AW55" i="2"/>
  <c r="AW25" i="2"/>
  <c r="V9" i="2"/>
  <c r="AW68" i="2"/>
  <c r="AT50" i="2"/>
  <c r="AW64" i="2"/>
  <c r="AT26" i="2"/>
  <c r="AQ37" i="2"/>
  <c r="AK60" i="2"/>
  <c r="AT48" i="2"/>
  <c r="AK15" i="2"/>
  <c r="AH22" i="2"/>
  <c r="AW18" i="2"/>
  <c r="AW66" i="2"/>
  <c r="AW49" i="2"/>
  <c r="AT61" i="2"/>
  <c r="AH17" i="2"/>
  <c r="AT45" i="2"/>
  <c r="AE13" i="2"/>
  <c r="AH35" i="2"/>
  <c r="AE42" i="2"/>
  <c r="AE41" i="2"/>
  <c r="AW14" i="2"/>
  <c r="AE57" i="2"/>
  <c r="AE32" i="2"/>
  <c r="AW69" i="2"/>
  <c r="AE29" i="2"/>
  <c r="AQ26" i="2"/>
  <c r="AE52" i="2"/>
  <c r="AK16" i="2"/>
  <c r="AE7" i="2"/>
  <c r="AH58" i="2"/>
  <c r="AE53" i="2"/>
  <c r="AH8" i="2"/>
  <c r="AW13" i="2"/>
  <c r="AT71" i="2"/>
  <c r="AT55" i="2"/>
  <c r="AQ43" i="2"/>
  <c r="AK39" i="2"/>
  <c r="AW31" i="2"/>
  <c r="AW41" i="2"/>
  <c r="AE21" i="2"/>
  <c r="AT46" i="2"/>
  <c r="AT68" i="2"/>
  <c r="AW32" i="2"/>
  <c r="AQ6" i="2"/>
  <c r="AT69" i="2"/>
  <c r="AW29" i="2"/>
  <c r="AT64" i="2"/>
  <c r="AT20" i="2"/>
  <c r="AE73" i="2"/>
  <c r="AH60" i="2"/>
  <c r="AQ48" i="2"/>
  <c r="AT24" i="2"/>
  <c r="AH16" i="2"/>
  <c r="AE15" i="2"/>
  <c r="AW7" i="2"/>
  <c r="AE22" i="2"/>
  <c r="AT56" i="2"/>
  <c r="AK8" i="2"/>
  <c r="AT18" i="2"/>
  <c r="AT66" i="2"/>
  <c r="AQ61" i="2"/>
  <c r="AW17" i="2"/>
  <c r="AK30" i="2"/>
  <c r="AQ45" i="2"/>
  <c r="AW47" i="2"/>
  <c r="AE35" i="2"/>
  <c r="AT41" i="2"/>
  <c r="AQ21" i="2"/>
  <c r="AT36" i="2"/>
  <c r="AW15" i="2"/>
  <c r="AE65" i="2"/>
  <c r="AK70" i="2"/>
  <c r="AH30" i="2"/>
  <c r="AT13" i="2"/>
  <c r="AQ71" i="2"/>
  <c r="AT59" i="2"/>
  <c r="AH39" i="2"/>
  <c r="AT27" i="2"/>
  <c r="AQ23" i="2"/>
  <c r="AH38" i="2"/>
  <c r="AQ68" i="2"/>
  <c r="AW34" i="2"/>
  <c r="AW40" i="2"/>
  <c r="AE20" i="2"/>
  <c r="AW73" i="2"/>
  <c r="AK37" i="2"/>
  <c r="AE60" i="2"/>
  <c r="AQ24" i="2"/>
  <c r="AT15" i="2"/>
  <c r="AT33" i="2"/>
  <c r="AQ9" i="2"/>
  <c r="AK72" i="2"/>
  <c r="AT19" i="2"/>
  <c r="AH10" i="2"/>
  <c r="AQ67" i="2"/>
  <c r="AW42" i="2"/>
  <c r="AQ41" i="2"/>
  <c r="AQ14" i="2"/>
  <c r="AB50" i="2"/>
  <c r="AK50" i="2"/>
  <c r="AK11" i="2"/>
  <c r="AK62" i="2"/>
  <c r="AE36" i="2"/>
  <c r="AW58" i="2"/>
  <c r="AQ33" i="2"/>
  <c r="AH72" i="2"/>
  <c r="AW8" i="2"/>
  <c r="AH54" i="2"/>
  <c r="AH19" i="2"/>
  <c r="AK61" i="2"/>
  <c r="AQ13" i="2"/>
  <c r="AK43" i="2"/>
  <c r="AT31" i="2"/>
  <c r="S47" i="2"/>
  <c r="S8" i="2"/>
  <c r="AB19" i="2"/>
  <c r="AT34" i="2"/>
  <c r="AT6" i="2"/>
  <c r="AQ64" i="2"/>
  <c r="AW20" i="2"/>
  <c r="AH11" i="2"/>
  <c r="AT73" i="2"/>
  <c r="AH37" i="2"/>
  <c r="AH44" i="2"/>
  <c r="AW16" i="2"/>
  <c r="AE12" i="2"/>
  <c r="AE8" i="2"/>
  <c r="AE54" i="2"/>
  <c r="AH70" i="2"/>
  <c r="AQ27" i="2"/>
  <c r="AT42" i="2"/>
  <c r="AK21" i="2"/>
  <c r="AT25" i="2"/>
  <c r="AW6" i="2"/>
  <c r="AT29" i="2"/>
  <c r="AE40" i="2"/>
  <c r="AH26" i="2"/>
  <c r="AK24" i="2"/>
  <c r="AW12" i="2"/>
  <c r="V42" i="2"/>
  <c r="AK9" i="2"/>
  <c r="AK18" i="2"/>
  <c r="AE19" i="2"/>
  <c r="AK67" i="2"/>
  <c r="AK63" i="2"/>
  <c r="AW39" i="2"/>
  <c r="AT35" i="2"/>
  <c r="AQ42" i="2"/>
  <c r="AK41" i="2"/>
  <c r="AH21" i="2"/>
  <c r="S17" i="2"/>
  <c r="V19" i="2"/>
  <c r="AQ34" i="2"/>
  <c r="AH69" i="2"/>
  <c r="AK64" i="2"/>
  <c r="AQ20" i="2"/>
  <c r="AE62" i="2"/>
  <c r="AE26" i="2"/>
  <c r="AQ52" i="2"/>
  <c r="AH48" i="2"/>
  <c r="AW44" i="2"/>
  <c r="AT53" i="2"/>
  <c r="AH56" i="2"/>
  <c r="AT8" i="2"/>
  <c r="AW54" i="2"/>
  <c r="AK49" i="2"/>
  <c r="AE10" i="2"/>
  <c r="AW61" i="2"/>
  <c r="AE45" i="2"/>
  <c r="AK71" i="2"/>
  <c r="AK59" i="2"/>
  <c r="AH55" i="2"/>
  <c r="AW51" i="2"/>
  <c r="AT57" i="2"/>
  <c r="AK25" i="2"/>
  <c r="AH68" i="2"/>
  <c r="AQ53" i="2"/>
  <c r="AH71" i="2"/>
  <c r="AE55" i="2"/>
  <c r="AT51" i="2"/>
  <c r="AH64" i="2"/>
  <c r="AQ40" i="2"/>
  <c r="AW37" i="2"/>
  <c r="AQ60" i="2"/>
  <c r="AE48" i="2"/>
  <c r="AT44" i="2"/>
  <c r="AH28" i="2"/>
  <c r="AE24" i="2"/>
  <c r="AE9" i="2"/>
  <c r="AQ8" i="2"/>
  <c r="AH25" i="2"/>
  <c r="AK29" i="2"/>
  <c r="AK20" i="2"/>
  <c r="AT37" i="2"/>
  <c r="AQ44" i="2"/>
  <c r="AH15" i="2"/>
  <c r="AH7" i="2"/>
  <c r="AQ58" i="2"/>
  <c r="AK33" i="2"/>
  <c r="AT72" i="2"/>
  <c r="AH66" i="2"/>
  <c r="AH49" i="2"/>
  <c r="AH13" i="2"/>
  <c r="AE71" i="2"/>
  <c r="AE67" i="2"/>
  <c r="AK47" i="2"/>
  <c r="AE43" i="2"/>
  <c r="AH31" i="2"/>
  <c r="AW23" i="2"/>
  <c r="AW21" i="2"/>
  <c r="AE46" i="2"/>
  <c r="AK57" i="2"/>
  <c r="AH33" i="2"/>
  <c r="AE25" i="2"/>
  <c r="AQ11" i="2"/>
  <c r="AE66" i="2"/>
  <c r="AE49" i="2"/>
  <c r="AW67" i="2"/>
  <c r="AW63" i="2"/>
  <c r="AW43" i="2"/>
  <c r="AW46" i="2"/>
  <c r="AH32" i="2"/>
  <c r="AE69" i="2"/>
  <c r="AH20" i="2"/>
  <c r="AH73" i="2"/>
  <c r="AH52" i="2"/>
  <c r="AH36" i="2"/>
  <c r="AH53" i="2"/>
  <c r="AT9" i="2"/>
  <c r="AQ54" i="2"/>
  <c r="AH18" i="2"/>
  <c r="AQ70" i="2"/>
  <c r="AE47" i="2"/>
  <c r="AE14" i="2"/>
  <c r="M19" i="2"/>
  <c r="V73" i="2"/>
  <c r="AB14" i="2"/>
  <c r="V70" i="2"/>
  <c r="V65" i="2"/>
  <c r="AB18" i="2"/>
  <c r="S13" i="2"/>
  <c r="AB17" i="2"/>
  <c r="V14" i="2"/>
  <c r="AB13" i="2"/>
  <c r="M8" i="2"/>
  <c r="M17" i="2"/>
  <c r="V7" i="2"/>
  <c r="V18" i="2"/>
  <c r="S18" i="2"/>
  <c r="S9" i="2"/>
  <c r="V13" i="2"/>
  <c r="V16" i="2"/>
  <c r="M10" i="2"/>
  <c r="M9" i="2"/>
  <c r="M15" i="2"/>
  <c r="M11" i="2"/>
  <c r="M16" i="2"/>
  <c r="S10" i="2"/>
  <c r="M13" i="2"/>
  <c r="S7" i="2"/>
  <c r="AB9" i="2"/>
  <c r="V11" i="2"/>
  <c r="S19" i="2"/>
  <c r="AB15" i="2"/>
  <c r="V15" i="2"/>
  <c r="M12" i="2"/>
  <c r="V8" i="2"/>
  <c r="AB11" i="2"/>
  <c r="V10" i="2"/>
  <c r="AB12" i="2"/>
  <c r="V71" i="2"/>
  <c r="S14" i="2"/>
  <c r="AB8" i="2"/>
  <c r="S15" i="2"/>
  <c r="S12" i="2"/>
  <c r="M14" i="2"/>
  <c r="M18" i="2"/>
  <c r="M7" i="2"/>
  <c r="AB56" i="2"/>
  <c r="V12" i="2"/>
  <c r="AB7" i="2"/>
  <c r="AB10" i="2"/>
  <c r="AB68" i="2"/>
  <c r="AB52" i="2"/>
  <c r="V39" i="2"/>
  <c r="AB51" i="2"/>
  <c r="AB62" i="2"/>
  <c r="V40" i="2"/>
  <c r="V37" i="2"/>
  <c r="V36" i="2"/>
  <c r="AB46" i="2"/>
  <c r="V26" i="2"/>
  <c r="V47" i="2"/>
  <c r="V48" i="2"/>
  <c r="S39" i="2"/>
  <c r="S66" i="2"/>
  <c r="S70" i="2"/>
  <c r="S60" i="2"/>
  <c r="S28" i="2"/>
  <c r="V27" i="2"/>
  <c r="S35" i="2"/>
  <c r="S73" i="2"/>
  <c r="S54" i="2"/>
  <c r="S29" i="2"/>
  <c r="AB55" i="2"/>
  <c r="S69" i="2"/>
  <c r="S38" i="2"/>
  <c r="AB24" i="2"/>
  <c r="V61" i="2"/>
  <c r="S37" i="2"/>
  <c r="S43" i="2"/>
  <c r="V53" i="2"/>
  <c r="S61" i="2"/>
  <c r="V30" i="2"/>
  <c r="V67" i="2"/>
  <c r="S45" i="2"/>
  <c r="S67" i="2"/>
  <c r="S62" i="2"/>
  <c r="AB31" i="2"/>
  <c r="S23" i="2"/>
  <c r="AB59" i="2"/>
  <c r="AB47" i="2"/>
  <c r="V31" i="2"/>
  <c r="AB23" i="2"/>
  <c r="S50" i="2"/>
  <c r="V24" i="2"/>
  <c r="V57" i="2"/>
  <c r="S25" i="2"/>
  <c r="V72" i="2"/>
  <c r="V43" i="2"/>
  <c r="AB35" i="2"/>
  <c r="AB41" i="2"/>
  <c r="AB21" i="2"/>
  <c r="S34" i="2"/>
  <c r="S72" i="2"/>
  <c r="AB54" i="2"/>
  <c r="S58" i="2"/>
  <c r="AB38" i="2"/>
  <c r="AB30" i="2"/>
  <c r="S24" i="2"/>
  <c r="AB20" i="2"/>
  <c r="S33" i="2"/>
  <c r="AB71" i="2"/>
  <c r="S51" i="2"/>
  <c r="S68" i="2"/>
  <c r="S46" i="2"/>
  <c r="V34" i="2"/>
  <c r="AB40" i="2"/>
  <c r="AB66" i="2"/>
  <c r="V38" i="2"/>
  <c r="V22" i="2"/>
  <c r="AB72" i="2"/>
  <c r="S40" i="2"/>
  <c r="AB28" i="2"/>
  <c r="S31" i="2"/>
  <c r="V66" i="2"/>
  <c r="S30" i="2"/>
  <c r="S48" i="2"/>
  <c r="V69" i="2"/>
  <c r="AB27" i="2"/>
  <c r="V58" i="2"/>
  <c r="V68" i="2"/>
  <c r="AB64" i="2"/>
  <c r="AB33" i="2"/>
  <c r="V63" i="2"/>
  <c r="V59" i="2"/>
  <c r="S32" i="2"/>
  <c r="AB63" i="2"/>
  <c r="S71" i="2"/>
  <c r="V46" i="2"/>
  <c r="V56" i="2"/>
  <c r="V28" i="2"/>
  <c r="AB65" i="2"/>
  <c r="V55" i="2"/>
  <c r="S64" i="2"/>
  <c r="V44" i="2"/>
  <c r="AB36" i="2"/>
  <c r="V54" i="2"/>
  <c r="S63" i="2"/>
  <c r="AB70" i="2"/>
  <c r="AB26" i="2"/>
  <c r="S36" i="2"/>
  <c r="V32" i="2"/>
  <c r="V60" i="2"/>
  <c r="S59" i="2"/>
  <c r="V51" i="2"/>
  <c r="S27" i="2"/>
  <c r="V23" i="2"/>
  <c r="AB22" i="2"/>
  <c r="AB60" i="2"/>
  <c r="S52" i="2"/>
  <c r="S44" i="2"/>
  <c r="S55" i="2"/>
  <c r="V35" i="2"/>
  <c r="S42" i="2"/>
  <c r="V20" i="2"/>
  <c r="V50" i="2"/>
  <c r="S26" i="2"/>
  <c r="AB48" i="2"/>
  <c r="AB34" i="2"/>
  <c r="S56" i="2"/>
  <c r="AB67" i="2"/>
  <c r="AB43" i="2"/>
  <c r="V52" i="2"/>
  <c r="S22" i="2"/>
  <c r="V64" i="2"/>
  <c r="AB32" i="2"/>
  <c r="S20" i="2"/>
  <c r="BB69" i="2" l="1"/>
  <c r="BB47" i="2"/>
  <c r="BB41" i="2"/>
  <c r="BB21" i="2"/>
  <c r="BB46" i="2"/>
  <c r="BB70" i="2"/>
  <c r="BB72" i="2"/>
  <c r="BB71" i="2"/>
  <c r="BB67" i="2"/>
  <c r="BB65" i="2"/>
  <c r="BB57" i="2"/>
  <c r="BB68" i="2"/>
  <c r="BB66" i="2"/>
  <c r="BB73" i="2"/>
  <c r="BB49" i="2"/>
  <c r="BD49" i="2"/>
  <c r="BJ49" i="2" s="1"/>
  <c r="BB15" i="2"/>
  <c r="BB14" i="2"/>
  <c r="BB13" i="2"/>
  <c r="BB9" i="2"/>
  <c r="BB40" i="2"/>
  <c r="BB44" i="2"/>
  <c r="BB37" i="2"/>
  <c r="BB33" i="2"/>
  <c r="BB26" i="2"/>
  <c r="BB29" i="2"/>
  <c r="BB54" i="2"/>
  <c r="BB61" i="2"/>
  <c r="BB19" i="2"/>
  <c r="BB48" i="2"/>
  <c r="BB24" i="2"/>
  <c r="BB62" i="2"/>
  <c r="BB28" i="2"/>
  <c r="BB39" i="2"/>
  <c r="BB17" i="2"/>
  <c r="BB64" i="2"/>
  <c r="BB45" i="2"/>
  <c r="BB27" i="2"/>
  <c r="BB36" i="2"/>
  <c r="BB59" i="2"/>
  <c r="BB30" i="2"/>
  <c r="BB35" i="2"/>
  <c r="BB32" i="2"/>
  <c r="BB50" i="2"/>
  <c r="BB11" i="2"/>
  <c r="BB31" i="2"/>
  <c r="BB56" i="2"/>
  <c r="BB16" i="2"/>
  <c r="BB43" i="2"/>
  <c r="BB51" i="2"/>
  <c r="BB58" i="2"/>
  <c r="BB10" i="2"/>
  <c r="BB23" i="2"/>
  <c r="BB20" i="2"/>
  <c r="BB12" i="2"/>
  <c r="BB63" i="2"/>
  <c r="BB22" i="2"/>
  <c r="BB52" i="2"/>
  <c r="BB53" i="2"/>
  <c r="BB42" i="2"/>
  <c r="BB55" i="2"/>
  <c r="BB18" i="2"/>
  <c r="BB34" i="2"/>
  <c r="BB8" i="2"/>
  <c r="BB7" i="2"/>
  <c r="BB60" i="2"/>
  <c r="BB38" i="2"/>
  <c r="BB25" i="2"/>
  <c r="BC49" i="2" l="1"/>
  <c r="N22" i="2"/>
  <c r="O22" i="2"/>
  <c r="N26" i="2"/>
  <c r="O26" i="2"/>
  <c r="N30" i="2"/>
  <c r="O30" i="2"/>
  <c r="N34" i="2"/>
  <c r="O34" i="2"/>
  <c r="N38" i="2"/>
  <c r="O38" i="2"/>
  <c r="N42" i="2"/>
  <c r="O42" i="2"/>
  <c r="N46" i="2"/>
  <c r="O46" i="2"/>
  <c r="N50" i="2"/>
  <c r="O50" i="2"/>
  <c r="N54" i="2"/>
  <c r="O54" i="2"/>
  <c r="N58" i="2"/>
  <c r="O58" i="2"/>
  <c r="O62" i="2"/>
  <c r="N62" i="2"/>
  <c r="N66" i="2"/>
  <c r="O66" i="2"/>
  <c r="N70" i="2"/>
  <c r="O70" i="2"/>
  <c r="N27" i="2"/>
  <c r="O27" i="2"/>
  <c r="N39" i="2"/>
  <c r="O39" i="2"/>
  <c r="N47" i="2"/>
  <c r="O47" i="2"/>
  <c r="O71" i="2"/>
  <c r="N71" i="2"/>
  <c r="N24" i="2"/>
  <c r="O24" i="2"/>
  <c r="N28" i="2"/>
  <c r="O28" i="2"/>
  <c r="O32" i="2"/>
  <c r="N32" i="2"/>
  <c r="N36" i="2"/>
  <c r="O36" i="2"/>
  <c r="N40" i="2"/>
  <c r="O40" i="2"/>
  <c r="N44" i="2"/>
  <c r="O44" i="2"/>
  <c r="N48" i="2"/>
  <c r="O48" i="2"/>
  <c r="N60" i="2"/>
  <c r="O60" i="2"/>
  <c r="N72" i="2"/>
  <c r="M72" i="2" s="1"/>
  <c r="N63" i="2"/>
  <c r="O63" i="2"/>
  <c r="N64" i="2"/>
  <c r="O64" i="2"/>
  <c r="N21" i="2"/>
  <c r="O21" i="2"/>
  <c r="N25" i="2"/>
  <c r="O25" i="2"/>
  <c r="N29" i="2"/>
  <c r="O29" i="2"/>
  <c r="N33" i="2"/>
  <c r="O33" i="2"/>
  <c r="N37" i="2"/>
  <c r="O37" i="2"/>
  <c r="N41" i="2"/>
  <c r="O41" i="2"/>
  <c r="O45" i="2"/>
  <c r="N49" i="2"/>
  <c r="O49" i="2"/>
  <c r="N53" i="2"/>
  <c r="O53" i="2"/>
  <c r="N57" i="2"/>
  <c r="O57" i="2"/>
  <c r="N61" i="2"/>
  <c r="O61" i="2"/>
  <c r="N65" i="2"/>
  <c r="O65" i="2"/>
  <c r="N69" i="2"/>
  <c r="O69" i="2"/>
  <c r="N73" i="2"/>
  <c r="O73" i="2"/>
  <c r="N68" i="2"/>
  <c r="O68" i="2"/>
  <c r="N55" i="2"/>
  <c r="O55" i="2"/>
  <c r="N20" i="2"/>
  <c r="O20" i="2"/>
  <c r="N52" i="2"/>
  <c r="O52" i="2"/>
  <c r="N23" i="2"/>
  <c r="O23" i="2"/>
  <c r="N31" i="2"/>
  <c r="O31" i="2"/>
  <c r="N35" i="2"/>
  <c r="O35" i="2"/>
  <c r="N43" i="2"/>
  <c r="O43" i="2"/>
  <c r="N51" i="2"/>
  <c r="O51" i="2"/>
  <c r="N59" i="2"/>
  <c r="O59" i="2"/>
  <c r="N67" i="2"/>
  <c r="O67" i="2"/>
  <c r="N56" i="2"/>
  <c r="O56" i="2"/>
  <c r="Z6" i="2"/>
  <c r="T6" i="2"/>
  <c r="Q6" i="2"/>
  <c r="AC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O86" i="2" l="1"/>
  <c r="BA6" i="2"/>
  <c r="BE49" i="2"/>
  <c r="M43" i="2"/>
  <c r="M49" i="2"/>
  <c r="M48" i="2"/>
  <c r="M30" i="2"/>
  <c r="M67" i="2"/>
  <c r="M52" i="2"/>
  <c r="M61" i="2"/>
  <c r="M29" i="2"/>
  <c r="M28" i="2"/>
  <c r="M42" i="2"/>
  <c r="M35" i="2"/>
  <c r="M68" i="2"/>
  <c r="M45" i="2"/>
  <c r="M44" i="2"/>
  <c r="M58" i="2"/>
  <c r="M26" i="2"/>
  <c r="M59" i="2"/>
  <c r="M20" i="2"/>
  <c r="M57" i="2"/>
  <c r="M25" i="2"/>
  <c r="M24" i="2"/>
  <c r="M70" i="2"/>
  <c r="M38" i="2"/>
  <c r="M31" i="2"/>
  <c r="M73" i="2"/>
  <c r="M41" i="2"/>
  <c r="M40" i="2"/>
  <c r="M47" i="2"/>
  <c r="M54" i="2"/>
  <c r="M22" i="2"/>
  <c r="M65" i="2"/>
  <c r="M33" i="2"/>
  <c r="M63" i="2"/>
  <c r="M27" i="2"/>
  <c r="M46" i="2"/>
  <c r="AB6" i="2"/>
  <c r="M51" i="2"/>
  <c r="M55" i="2"/>
  <c r="M53" i="2"/>
  <c r="M21" i="2"/>
  <c r="M60" i="2"/>
  <c r="M66" i="2"/>
  <c r="M34" i="2"/>
  <c r="V6" i="2"/>
  <c r="M62" i="2"/>
  <c r="M71" i="2"/>
  <c r="M56" i="2"/>
  <c r="M23" i="2"/>
  <c r="M69" i="2"/>
  <c r="M37" i="2"/>
  <c r="M64" i="2"/>
  <c r="M36" i="2"/>
  <c r="M39" i="2"/>
  <c r="M50" i="2"/>
  <c r="M32" i="2"/>
  <c r="BD32" i="2"/>
  <c r="BJ32" i="2" s="1"/>
  <c r="AE6" i="2"/>
  <c r="BD61" i="2"/>
  <c r="BJ61" i="2" s="1"/>
  <c r="BD57" i="2"/>
  <c r="BJ57" i="2" s="1"/>
  <c r="BD48" i="2"/>
  <c r="BJ48" i="2" s="1"/>
  <c r="BD9" i="2"/>
  <c r="BJ9" i="2" s="1"/>
  <c r="BD13" i="2"/>
  <c r="BJ13" i="2" s="1"/>
  <c r="BD72" i="2"/>
  <c r="BJ72" i="2" s="1"/>
  <c r="BM71" i="2"/>
  <c r="BN71" i="2"/>
  <c r="BN70" i="2"/>
  <c r="BM70" i="2"/>
  <c r="BM69" i="2"/>
  <c r="BN69" i="2"/>
  <c r="BM68" i="2"/>
  <c r="BN68" i="2"/>
  <c r="BN67" i="2"/>
  <c r="BM67" i="2"/>
  <c r="BM66" i="2"/>
  <c r="BN66" i="2"/>
  <c r="BM65" i="2"/>
  <c r="BN65" i="2"/>
  <c r="BM64" i="2"/>
  <c r="BN64" i="2"/>
  <c r="BN63" i="2"/>
  <c r="BM63" i="2"/>
  <c r="BM62" i="2"/>
  <c r="BN62" i="2"/>
  <c r="BM61" i="2"/>
  <c r="BN61" i="2"/>
  <c r="BM60" i="2"/>
  <c r="BN60" i="2"/>
  <c r="BM59" i="2"/>
  <c r="BN59" i="2"/>
  <c r="BN58" i="2"/>
  <c r="BM58" i="2"/>
  <c r="BM57" i="2"/>
  <c r="BN57" i="2"/>
  <c r="BM56" i="2"/>
  <c r="BN56" i="2"/>
  <c r="BN55" i="2"/>
  <c r="BM55" i="2"/>
  <c r="BM54" i="2"/>
  <c r="BN54" i="2"/>
  <c r="BM53" i="2"/>
  <c r="BN53" i="2"/>
  <c r="BN52" i="2"/>
  <c r="BM52" i="2"/>
  <c r="BM51" i="2"/>
  <c r="BN51" i="2"/>
  <c r="BM50" i="2"/>
  <c r="BN50" i="2"/>
  <c r="BN49" i="2"/>
  <c r="BM49" i="2"/>
  <c r="BM48" i="2"/>
  <c r="BN48" i="2"/>
  <c r="BM47" i="2"/>
  <c r="BN47" i="2"/>
  <c r="BM46" i="2"/>
  <c r="BN46" i="2"/>
  <c r="BM45" i="2"/>
  <c r="BN45" i="2"/>
  <c r="BN44" i="2"/>
  <c r="BM44" i="2"/>
  <c r="BM43" i="2"/>
  <c r="BN43" i="2"/>
  <c r="BM42" i="2"/>
  <c r="BN42" i="2"/>
  <c r="BN41" i="2"/>
  <c r="BM41" i="2"/>
  <c r="BM40" i="2"/>
  <c r="BN40" i="2"/>
  <c r="BM39" i="2"/>
  <c r="BN39" i="2"/>
  <c r="BM38" i="2"/>
  <c r="BN38" i="2"/>
  <c r="BN37" i="2"/>
  <c r="BM37" i="2"/>
  <c r="BM36" i="2"/>
  <c r="BN36" i="2"/>
  <c r="BM35" i="2"/>
  <c r="BN35" i="2"/>
  <c r="BM34" i="2"/>
  <c r="BN34" i="2"/>
  <c r="BN33" i="2"/>
  <c r="BM33" i="2"/>
  <c r="BM32" i="2"/>
  <c r="BN32" i="2"/>
  <c r="BM31" i="2"/>
  <c r="BN31" i="2"/>
  <c r="BN30" i="2"/>
  <c r="BM30" i="2"/>
  <c r="BM29" i="2"/>
  <c r="BN29" i="2"/>
  <c r="BM28" i="2"/>
  <c r="BN28" i="2"/>
  <c r="BN27" i="2"/>
  <c r="BM27" i="2"/>
  <c r="BD27" i="2"/>
  <c r="BM26" i="2"/>
  <c r="BN26" i="2"/>
  <c r="BM25" i="2"/>
  <c r="BN25" i="2"/>
  <c r="BM24" i="2"/>
  <c r="BN24" i="2"/>
  <c r="BM23" i="2"/>
  <c r="BN23" i="2"/>
  <c r="BN22" i="2"/>
  <c r="BM22" i="2"/>
  <c r="BM21" i="2"/>
  <c r="BN21" i="2"/>
  <c r="BM20" i="2"/>
  <c r="BN20" i="2"/>
  <c r="BN19" i="2"/>
  <c r="BM19" i="2"/>
  <c r="BM18" i="2"/>
  <c r="BN18" i="2"/>
  <c r="BM17" i="2"/>
  <c r="BN17" i="2"/>
  <c r="BM16" i="2"/>
  <c r="BN16" i="2"/>
  <c r="BM15" i="2"/>
  <c r="BN15" i="2"/>
  <c r="BN14" i="2"/>
  <c r="BM14" i="2"/>
  <c r="BM13" i="2"/>
  <c r="BN13" i="2"/>
  <c r="BM12" i="2"/>
  <c r="BN12" i="2"/>
  <c r="BM11" i="2"/>
  <c r="BN11" i="2"/>
  <c r="BN10" i="2"/>
  <c r="BM10" i="2"/>
  <c r="BM9" i="2"/>
  <c r="BN9" i="2"/>
  <c r="BM8" i="2"/>
  <c r="BN8" i="2"/>
  <c r="BM7" i="2"/>
  <c r="BN7" i="2"/>
  <c r="BM73" i="2"/>
  <c r="BN73" i="2"/>
  <c r="BM72" i="2"/>
  <c r="BN72" i="2"/>
  <c r="BD71" i="2"/>
  <c r="BJ71" i="2" s="1"/>
  <c r="BD6" i="2" l="1"/>
  <c r="BJ6" i="2" s="1"/>
  <c r="BJ27" i="2"/>
  <c r="BD14" i="2"/>
  <c r="BD25" i="2"/>
  <c r="BJ25" i="2" s="1"/>
  <c r="BD70" i="2"/>
  <c r="BJ70" i="2" s="1"/>
  <c r="BD43" i="2"/>
  <c r="BJ43" i="2" s="1"/>
  <c r="BD59" i="2"/>
  <c r="BJ59" i="2" s="1"/>
  <c r="BD55" i="2"/>
  <c r="BD60" i="2"/>
  <c r="BJ60" i="2" s="1"/>
  <c r="BD54" i="2"/>
  <c r="BJ54" i="2" s="1"/>
  <c r="BD31" i="2"/>
  <c r="BJ31" i="2" s="1"/>
  <c r="BD18" i="2"/>
  <c r="BD11" i="2"/>
  <c r="BJ11" i="2" s="1"/>
  <c r="BD7" i="2"/>
  <c r="BJ7" i="2" s="1"/>
  <c r="BD15" i="2"/>
  <c r="BJ15" i="2" s="1"/>
  <c r="BD39" i="2"/>
  <c r="BJ39" i="2" s="1"/>
  <c r="BD41" i="2"/>
  <c r="BJ41" i="2" s="1"/>
  <c r="BD51" i="2"/>
  <c r="BJ51" i="2" s="1"/>
  <c r="BD53" i="2"/>
  <c r="BJ53" i="2" s="1"/>
  <c r="BD66" i="2"/>
  <c r="BJ66" i="2" s="1"/>
  <c r="BD35" i="2"/>
  <c r="BD36" i="2"/>
  <c r="BJ36" i="2" s="1"/>
  <c r="BD37" i="2"/>
  <c r="BJ37" i="2" s="1"/>
  <c r="BD50" i="2"/>
  <c r="BJ50" i="2" s="1"/>
  <c r="BJ35" i="2" l="1"/>
  <c r="BJ55" i="2"/>
  <c r="BJ14" i="2"/>
  <c r="BJ18" i="2"/>
  <c r="BC61" i="2"/>
  <c r="BC59" i="2"/>
  <c r="BC72" i="2"/>
  <c r="BC70" i="2"/>
  <c r="BC71" i="2"/>
  <c r="BC32" i="2"/>
  <c r="BC48" i="2"/>
  <c r="BC57" i="2"/>
  <c r="BC14" i="2"/>
  <c r="BC9" i="2"/>
  <c r="BD56" i="2"/>
  <c r="BD38" i="2"/>
  <c r="BJ38" i="2" s="1"/>
  <c r="BD58" i="2"/>
  <c r="BJ58" i="2" s="1"/>
  <c r="BD68" i="2"/>
  <c r="BJ68" i="2" s="1"/>
  <c r="BD26" i="2"/>
  <c r="BJ26" i="2" s="1"/>
  <c r="BD40" i="2"/>
  <c r="BJ40" i="2" s="1"/>
  <c r="BD73" i="2"/>
  <c r="BD69" i="2"/>
  <c r="BJ69" i="2" s="1"/>
  <c r="BD45" i="2"/>
  <c r="BJ45" i="2" s="1"/>
  <c r="BD30" i="2"/>
  <c r="BJ30" i="2" s="1"/>
  <c r="BD12" i="2"/>
  <c r="BJ12" i="2" s="1"/>
  <c r="BD46" i="2"/>
  <c r="BJ46" i="2" s="1"/>
  <c r="BD23" i="2"/>
  <c r="BD47" i="2"/>
  <c r="BJ47" i="2" s="1"/>
  <c r="BD10" i="2"/>
  <c r="BJ10" i="2" s="1"/>
  <c r="BD16" i="2"/>
  <c r="BJ16" i="2" s="1"/>
  <c r="BD33" i="2"/>
  <c r="BD21" i="2"/>
  <c r="BJ21" i="2" s="1"/>
  <c r="BD20" i="2"/>
  <c r="BJ20" i="2" s="1"/>
  <c r="BD17" i="2"/>
  <c r="BD44" i="2"/>
  <c r="BJ44" i="2" s="1"/>
  <c r="BD28" i="2"/>
  <c r="BJ28" i="2" s="1"/>
  <c r="BD63" i="2"/>
  <c r="BJ63" i="2" s="1"/>
  <c r="BD52" i="2"/>
  <c r="BJ52" i="2" s="1"/>
  <c r="BD22" i="2"/>
  <c r="BD42" i="2"/>
  <c r="BJ42" i="2" s="1"/>
  <c r="BD29" i="2"/>
  <c r="BD64" i="2"/>
  <c r="BD65" i="2"/>
  <c r="BJ65" i="2" s="1"/>
  <c r="BD19" i="2"/>
  <c r="BJ19" i="2" s="1"/>
  <c r="BD8" i="2"/>
  <c r="BJ8" i="2" s="1"/>
  <c r="BD67" i="2"/>
  <c r="BJ67" i="2" s="1"/>
  <c r="BD34" i="2"/>
  <c r="BJ34" i="2" s="1"/>
  <c r="BD24" i="2"/>
  <c r="BD62" i="2"/>
  <c r="L14" i="12" l="1"/>
  <c r="L36" i="12"/>
  <c r="L4" i="12"/>
  <c r="L7" i="12"/>
  <c r="L25" i="12"/>
  <c r="L10" i="12"/>
  <c r="L17" i="12"/>
  <c r="L13" i="12"/>
  <c r="L16" i="12"/>
  <c r="L46" i="12"/>
  <c r="L35" i="12"/>
  <c r="L3" i="12"/>
  <c r="L20" i="12"/>
  <c r="L15" i="12"/>
  <c r="L21" i="12"/>
  <c r="L18" i="12"/>
  <c r="BJ62" i="2"/>
  <c r="L87" i="12" s="1"/>
  <c r="BJ24" i="2"/>
  <c r="L65" i="12" s="1"/>
  <c r="BJ23" i="2"/>
  <c r="BJ73" i="2"/>
  <c r="BJ33" i="2"/>
  <c r="L86" i="12" s="1"/>
  <c r="BJ56" i="2"/>
  <c r="L42" i="12" s="1"/>
  <c r="BJ64" i="2"/>
  <c r="L56" i="12" s="1"/>
  <c r="BJ29" i="2"/>
  <c r="L11" i="12" s="1"/>
  <c r="BJ22" i="2"/>
  <c r="L74" i="12" s="1"/>
  <c r="BJ17" i="2"/>
  <c r="L40" i="12" s="1"/>
  <c r="BE61" i="2"/>
  <c r="BE9" i="2"/>
  <c r="BE57" i="2"/>
  <c r="BE32" i="2"/>
  <c r="BE72" i="2"/>
  <c r="BE14" i="2"/>
  <c r="BE48" i="2"/>
  <c r="BE71" i="2"/>
  <c r="BE70" i="2"/>
  <c r="BE59" i="2"/>
  <c r="BC69" i="2"/>
  <c r="BC60" i="2"/>
  <c r="BC7" i="2"/>
  <c r="BC63" i="2"/>
  <c r="BC73" i="2"/>
  <c r="BC16" i="2"/>
  <c r="BC52" i="2"/>
  <c r="BC40" i="2"/>
  <c r="BC15" i="2"/>
  <c r="BC28" i="2"/>
  <c r="BC35" i="2"/>
  <c r="BC47" i="2"/>
  <c r="BC64" i="2"/>
  <c r="BC53" i="2"/>
  <c r="BC65" i="2"/>
  <c r="BC62" i="2"/>
  <c r="BC44" i="2"/>
  <c r="BC55" i="2"/>
  <c r="BC23" i="2"/>
  <c r="BC26" i="2"/>
  <c r="BC24" i="2"/>
  <c r="BC31" i="2"/>
  <c r="BC46" i="2"/>
  <c r="BC68" i="2"/>
  <c r="BC43" i="2"/>
  <c r="BC11" i="2"/>
  <c r="BC29" i="2"/>
  <c r="BC20" i="2"/>
  <c r="BC51" i="2"/>
  <c r="BC12" i="2"/>
  <c r="BC58" i="2"/>
  <c r="BC37" i="2"/>
  <c r="BC33" i="2"/>
  <c r="BC10" i="2"/>
  <c r="BC17" i="2"/>
  <c r="BC41" i="2"/>
  <c r="BC42" i="2"/>
  <c r="BC25" i="2"/>
  <c r="BC36" i="2"/>
  <c r="BC13" i="2"/>
  <c r="BC30" i="2"/>
  <c r="BC38" i="2"/>
  <c r="BC19" i="2"/>
  <c r="BC18" i="2"/>
  <c r="BC39" i="2"/>
  <c r="BC54" i="2"/>
  <c r="BC34" i="2"/>
  <c r="BC27" i="2"/>
  <c r="BC66" i="2"/>
  <c r="BC67" i="2"/>
  <c r="BC21" i="2"/>
  <c r="BC50" i="2"/>
  <c r="BC8" i="2"/>
  <c r="BC22" i="2"/>
  <c r="BC45" i="2"/>
  <c r="BC56" i="2"/>
  <c r="L49" i="12" l="1"/>
  <c r="L29" i="12"/>
  <c r="L27" i="12"/>
  <c r="L5" i="12"/>
  <c r="L8" i="12"/>
  <c r="L39" i="12"/>
  <c r="L12" i="12"/>
  <c r="L9" i="12"/>
  <c r="L6" i="12"/>
  <c r="L23" i="12"/>
  <c r="L64" i="12"/>
  <c r="L51" i="12"/>
  <c r="L53" i="12"/>
  <c r="L70" i="12"/>
  <c r="L32" i="12"/>
  <c r="L33" i="12"/>
  <c r="L81" i="12"/>
  <c r="L63" i="12"/>
  <c r="L83" i="12"/>
  <c r="L26" i="12"/>
  <c r="L34" i="12"/>
  <c r="L19" i="12"/>
  <c r="L28" i="12"/>
  <c r="L58" i="12"/>
  <c r="L24" i="12"/>
  <c r="L85" i="12"/>
  <c r="L38" i="12"/>
  <c r="L44" i="12"/>
  <c r="L45" i="12"/>
  <c r="L78" i="12"/>
  <c r="L82" i="12"/>
  <c r="L37" i="12"/>
  <c r="L55" i="12"/>
  <c r="L48" i="12"/>
  <c r="L60" i="12"/>
  <c r="L84" i="12"/>
  <c r="L47" i="12"/>
  <c r="L76" i="12"/>
  <c r="L54" i="12"/>
  <c r="L43" i="12"/>
  <c r="L61" i="12"/>
  <c r="L68" i="12"/>
  <c r="L59" i="12"/>
  <c r="L22" i="12"/>
  <c r="L67" i="12"/>
  <c r="L50" i="12"/>
  <c r="L57" i="12"/>
  <c r="L77" i="12"/>
  <c r="L62" i="12"/>
  <c r="L66" i="12"/>
  <c r="L30" i="12"/>
  <c r="L31" i="12"/>
  <c r="L41" i="12"/>
  <c r="L52" i="12"/>
  <c r="L71" i="12"/>
  <c r="L73" i="12"/>
  <c r="L69" i="12"/>
  <c r="L79" i="12"/>
  <c r="L80" i="12"/>
  <c r="L75" i="12"/>
  <c r="L72" i="12"/>
  <c r="BE13" i="2"/>
  <c r="BE22" i="2"/>
  <c r="BE52" i="2"/>
  <c r="BE8" i="2"/>
  <c r="BE42" i="2"/>
  <c r="BE31" i="2"/>
  <c r="BE16" i="2"/>
  <c r="BE66" i="2"/>
  <c r="BE27" i="2"/>
  <c r="BE69" i="2"/>
  <c r="BE34" i="2"/>
  <c r="BE58" i="2"/>
  <c r="BE12" i="2"/>
  <c r="BE18" i="2"/>
  <c r="BE64" i="2"/>
  <c r="BE19" i="2"/>
  <c r="BE20" i="2"/>
  <c r="BE29" i="2"/>
  <c r="BE35" i="2"/>
  <c r="BE30" i="2"/>
  <c r="BE28" i="2"/>
  <c r="BE56" i="2"/>
  <c r="BE43" i="2"/>
  <c r="BE36" i="2"/>
  <c r="BE40" i="2"/>
  <c r="BE25" i="2"/>
  <c r="BE50" i="2"/>
  <c r="BE41" i="2"/>
  <c r="BE24" i="2"/>
  <c r="BE73" i="2"/>
  <c r="BE33" i="2"/>
  <c r="BE44" i="2"/>
  <c r="BE37" i="2"/>
  <c r="BE54" i="2"/>
  <c r="BE65" i="2"/>
  <c r="BE39" i="2"/>
  <c r="BE53" i="2"/>
  <c r="BE47" i="2"/>
  <c r="BE38" i="2"/>
  <c r="BE15" i="2"/>
  <c r="BE45" i="2"/>
  <c r="BE68" i="2"/>
  <c r="BE46" i="2"/>
  <c r="BE11" i="2"/>
  <c r="BE51" i="2"/>
  <c r="BE21" i="2"/>
  <c r="BE17" i="2"/>
  <c r="BE26" i="2"/>
  <c r="BE63" i="2"/>
  <c r="BE60" i="2"/>
  <c r="BE62" i="2"/>
  <c r="BE55" i="2"/>
  <c r="BE67" i="2"/>
  <c r="BE10" i="2"/>
  <c r="BE23" i="2"/>
  <c r="BE7" i="2"/>
  <c r="BL6" i="2"/>
  <c r="BM6" i="2"/>
  <c r="BN6" i="2"/>
  <c r="AH6" i="2" l="1"/>
  <c r="S6" i="2"/>
  <c r="BB6" i="2" l="1"/>
  <c r="BC6" i="2" s="1"/>
  <c r="BE6" i="2" l="1"/>
  <c r="C2" i="12"/>
  <c r="L2" i="12" s="1"/>
  <c r="B2" i="12"/>
  <c r="H2" i="12"/>
  <c r="D2" i="12"/>
  <c r="I2" i="12"/>
  <c r="E2" i="12"/>
  <c r="A2" i="12"/>
  <c r="F2" i="12"/>
  <c r="G2" i="12"/>
  <c r="K2" i="12"/>
  <c r="K26" i="2" l="1"/>
  <c r="BI26" i="2" s="1"/>
  <c r="K39" i="2"/>
  <c r="BI39" i="2" s="1"/>
  <c r="K27" i="2"/>
  <c r="BI27" i="2" s="1"/>
  <c r="K64" i="2"/>
  <c r="BI64" i="2" s="1"/>
  <c r="K61" i="2"/>
  <c r="BI61" i="2" s="1"/>
  <c r="K9" i="2"/>
  <c r="BI9" i="2" s="1"/>
  <c r="BK9" i="2" s="1"/>
  <c r="K55" i="2"/>
  <c r="BI55" i="2" s="1"/>
  <c r="K41" i="2"/>
  <c r="BI41" i="2" s="1"/>
  <c r="K71" i="2"/>
  <c r="BI71" i="2" s="1"/>
  <c r="BK71" i="2" s="1"/>
  <c r="K49" i="2"/>
  <c r="BI49" i="2" s="1"/>
  <c r="K42" i="2"/>
  <c r="BI42" i="2" s="1"/>
  <c r="K68" i="2"/>
  <c r="BI68" i="2" s="1"/>
  <c r="K52" i="2"/>
  <c r="BI52" i="2" s="1"/>
  <c r="K57" i="2"/>
  <c r="BI57" i="2" s="1"/>
  <c r="K56" i="2"/>
  <c r="BI56" i="2" s="1"/>
  <c r="K28" i="2"/>
  <c r="BI28" i="2" s="1"/>
  <c r="K29" i="2"/>
  <c r="BI29" i="2" s="1"/>
  <c r="K18" i="2"/>
  <c r="BI18" i="2" s="1"/>
  <c r="K32" i="2"/>
  <c r="BI32" i="2" s="1"/>
  <c r="K66" i="2"/>
  <c r="BI66" i="2" s="1"/>
  <c r="K34" i="2"/>
  <c r="BI34" i="2" s="1"/>
  <c r="K6" i="2"/>
  <c r="BI6" i="2" s="1"/>
  <c r="K53" i="2"/>
  <c r="BI53" i="2" s="1"/>
  <c r="K38" i="2"/>
  <c r="BI38" i="2" s="1"/>
  <c r="BK38" i="2" s="1"/>
  <c r="K54" i="2"/>
  <c r="BI54" i="2" s="1"/>
  <c r="K59" i="2"/>
  <c r="BI59" i="2" s="1"/>
  <c r="K69" i="2"/>
  <c r="BI69" i="2" s="1"/>
  <c r="K40" i="2"/>
  <c r="BI40" i="2" s="1"/>
  <c r="K25" i="2"/>
  <c r="BI25" i="2" s="1"/>
  <c r="K24" i="2"/>
  <c r="BI24" i="2" s="1"/>
  <c r="K70" i="2"/>
  <c r="BI70" i="2" s="1"/>
  <c r="K62" i="2"/>
  <c r="BI62" i="2" s="1"/>
  <c r="K15" i="2"/>
  <c r="BI15" i="2" s="1"/>
  <c r="K8" i="2"/>
  <c r="BI8" i="2" s="1"/>
  <c r="K44" i="2"/>
  <c r="BI44" i="2" s="1"/>
  <c r="K17" i="2"/>
  <c r="BI17" i="2" s="1"/>
  <c r="K73" i="2"/>
  <c r="BI73" i="2" s="1"/>
  <c r="K14" i="2"/>
  <c r="BI14" i="2" s="1"/>
  <c r="K16" i="2"/>
  <c r="BI16" i="2" s="1"/>
  <c r="K46" i="2"/>
  <c r="BI46" i="2" s="1"/>
  <c r="K21" i="2"/>
  <c r="BI21" i="2" s="1"/>
  <c r="BK21" i="2" s="1"/>
  <c r="K11" i="2"/>
  <c r="BI11" i="2" s="1"/>
  <c r="K35" i="2"/>
  <c r="BI35" i="2" s="1"/>
  <c r="K12" i="2"/>
  <c r="BI12" i="2" s="1"/>
  <c r="BK12" i="2" s="1"/>
  <c r="K10" i="2"/>
  <c r="BI10" i="2" s="1"/>
  <c r="K60" i="2"/>
  <c r="BI60" i="2" s="1"/>
  <c r="K72" i="2"/>
  <c r="BI72" i="2" s="1"/>
  <c r="K22" i="2"/>
  <c r="BI22" i="2" s="1"/>
  <c r="K23" i="2"/>
  <c r="BI23" i="2" s="1"/>
  <c r="K43" i="2"/>
  <c r="BI43" i="2" s="1"/>
  <c r="K67" i="2"/>
  <c r="BI67" i="2" s="1"/>
  <c r="K31" i="2"/>
  <c r="BI31" i="2" s="1"/>
  <c r="K51" i="2"/>
  <c r="BI51" i="2" s="1"/>
  <c r="K30" i="2"/>
  <c r="BI30" i="2" s="1"/>
  <c r="K36" i="2"/>
  <c r="BI36" i="2" s="1"/>
  <c r="K37" i="2"/>
  <c r="BI37" i="2" s="1"/>
  <c r="K63" i="2"/>
  <c r="BI63" i="2" s="1"/>
  <c r="K48" i="2"/>
  <c r="BI48" i="2" s="1"/>
  <c r="K58" i="2"/>
  <c r="BI58" i="2" s="1"/>
  <c r="K33" i="2"/>
  <c r="BI33" i="2" s="1"/>
  <c r="BK33" i="2" s="1"/>
  <c r="K65" i="2"/>
  <c r="BI65" i="2" s="1"/>
  <c r="K45" i="2"/>
  <c r="BI45" i="2" s="1"/>
  <c r="K50" i="2"/>
  <c r="BI50" i="2" s="1"/>
  <c r="J7" i="12" l="1"/>
  <c r="M7" i="12" s="1"/>
  <c r="J5" i="12"/>
  <c r="M5" i="12" s="1"/>
  <c r="J14" i="12"/>
  <c r="M14" i="12" s="1"/>
  <c r="J10" i="12"/>
  <c r="M10" i="12" s="1"/>
  <c r="J60" i="12"/>
  <c r="M60" i="12" s="1"/>
  <c r="J35" i="12"/>
  <c r="M35" i="12" s="1"/>
  <c r="J58" i="12"/>
  <c r="M58" i="12" s="1"/>
  <c r="BK42" i="2"/>
  <c r="BK30" i="2"/>
  <c r="J16" i="12"/>
  <c r="M16" i="12" s="1"/>
  <c r="J70" i="12"/>
  <c r="M70" i="12" s="1"/>
  <c r="J61" i="12"/>
  <c r="M61" i="12" s="1"/>
  <c r="J12" i="12"/>
  <c r="M12" i="12" s="1"/>
  <c r="J87" i="12"/>
  <c r="M87" i="12" s="1"/>
  <c r="J84" i="12"/>
  <c r="M84" i="12" s="1"/>
  <c r="J13" i="12"/>
  <c r="M13" i="12" s="1"/>
  <c r="BK65" i="2"/>
  <c r="J40" i="12"/>
  <c r="M40" i="12" s="1"/>
  <c r="J73" i="12"/>
  <c r="M73" i="12" s="1"/>
  <c r="J79" i="12"/>
  <c r="M79" i="12" s="1"/>
  <c r="J75" i="12"/>
  <c r="M75" i="12" s="1"/>
  <c r="J17" i="12"/>
  <c r="M17" i="12" s="1"/>
  <c r="J57" i="12"/>
  <c r="M57" i="12" s="1"/>
  <c r="J4" i="12"/>
  <c r="M4" i="12" s="1"/>
  <c r="J9" i="12"/>
  <c r="M9" i="12" s="1"/>
  <c r="J62" i="12"/>
  <c r="M62" i="12" s="1"/>
  <c r="J83" i="12"/>
  <c r="M83" i="12" s="1"/>
  <c r="J52" i="12"/>
  <c r="M52" i="12" s="1"/>
  <c r="J11" i="12"/>
  <c r="M11" i="12" s="1"/>
  <c r="J56" i="12"/>
  <c r="M56" i="12" s="1"/>
  <c r="J20" i="12"/>
  <c r="M20" i="12" s="1"/>
  <c r="J27" i="12"/>
  <c r="M27" i="12" s="1"/>
  <c r="J34" i="12"/>
  <c r="M34" i="12" s="1"/>
  <c r="J55" i="12"/>
  <c r="M55" i="12" s="1"/>
  <c r="J85" i="12"/>
  <c r="M85" i="12" s="1"/>
  <c r="J86" i="12"/>
  <c r="M86" i="12" s="1"/>
  <c r="J68" i="12"/>
  <c r="M68" i="12" s="1"/>
  <c r="J53" i="12"/>
  <c r="M53" i="12" s="1"/>
  <c r="J29" i="12"/>
  <c r="M29" i="12" s="1"/>
  <c r="BK49" i="2"/>
  <c r="BK55" i="2"/>
  <c r="BK6" i="2"/>
  <c r="K13" i="2"/>
  <c r="BK39" i="2"/>
  <c r="BK27" i="2"/>
  <c r="BK52" i="2"/>
  <c r="BK15" i="2"/>
  <c r="BK23" i="2"/>
  <c r="BK32" i="2"/>
  <c r="BK29" i="2"/>
  <c r="BK8" i="2"/>
  <c r="BK22" i="2"/>
  <c r="BK46" i="2"/>
  <c r="BK61" i="2"/>
  <c r="BK54" i="2"/>
  <c r="BK24" i="2"/>
  <c r="BK36" i="2"/>
  <c r="BK62" i="2"/>
  <c r="BK25" i="2"/>
  <c r="BK69" i="2"/>
  <c r="BK18" i="2"/>
  <c r="BK70" i="2"/>
  <c r="BK58" i="2"/>
  <c r="BK28" i="2"/>
  <c r="BK48" i="2"/>
  <c r="BK31" i="2"/>
  <c r="BK73" i="2"/>
  <c r="BK53" i="2"/>
  <c r="BK56" i="2"/>
  <c r="BK59" i="2"/>
  <c r="BK68" i="2"/>
  <c r="BK60" i="2"/>
  <c r="BK14" i="2"/>
  <c r="BK63" i="2"/>
  <c r="BK67" i="2"/>
  <c r="BK35" i="2"/>
  <c r="BK17" i="2"/>
  <c r="BK40" i="2"/>
  <c r="BK57" i="2"/>
  <c r="BK41" i="2"/>
  <c r="BK66" i="2"/>
  <c r="BK45" i="2"/>
  <c r="BK26" i="2"/>
  <c r="BK72" i="2"/>
  <c r="BK64" i="2"/>
  <c r="BK51" i="2"/>
  <c r="BK16" i="2"/>
  <c r="BK10" i="2"/>
  <c r="BK50" i="2"/>
  <c r="BK37" i="2"/>
  <c r="BK43" i="2"/>
  <c r="BK11" i="2"/>
  <c r="BK44" i="2"/>
  <c r="BK34" i="2"/>
  <c r="BI13" i="2" l="1"/>
  <c r="J77" i="12" s="1"/>
  <c r="M77" i="12" s="1"/>
  <c r="J48" i="12"/>
  <c r="M48" i="12" s="1"/>
  <c r="J50" i="12"/>
  <c r="M50" i="12" s="1"/>
  <c r="J80" i="12" l="1"/>
  <c r="M80" i="12" s="1"/>
  <c r="J82" i="12"/>
  <c r="M82" i="12" s="1"/>
  <c r="J78" i="12"/>
  <c r="M78" i="12" s="1"/>
  <c r="J81" i="12"/>
  <c r="M81" i="12" s="1"/>
  <c r="J32" i="12"/>
  <c r="M32" i="12" s="1"/>
  <c r="J8" i="12"/>
  <c r="M8" i="12" s="1"/>
  <c r="J15" i="12"/>
  <c r="M15" i="12" s="1"/>
  <c r="J33" i="12"/>
  <c r="M33" i="12" s="1"/>
  <c r="J59" i="12"/>
  <c r="M59" i="12" s="1"/>
  <c r="J47" i="12"/>
  <c r="M47" i="12" s="1"/>
  <c r="J54" i="12"/>
  <c r="M54" i="12" s="1"/>
  <c r="J49" i="12"/>
  <c r="M49" i="12" s="1"/>
  <c r="J46" i="12"/>
  <c r="M46" i="12" s="1"/>
  <c r="BK13" i="2"/>
  <c r="J51" i="12"/>
  <c r="M51" i="12" s="1"/>
  <c r="J44" i="12" l="1"/>
  <c r="M44" i="12" s="1"/>
  <c r="J28" i="12"/>
  <c r="M28" i="12" s="1"/>
  <c r="J31" i="12"/>
  <c r="M31" i="12" s="1"/>
  <c r="I7" i="2"/>
  <c r="K7" i="2" s="1"/>
  <c r="BI7" i="2" s="1"/>
  <c r="J37" i="12" s="1"/>
  <c r="M37" i="12" s="1"/>
  <c r="J45" i="12" l="1"/>
  <c r="M45" i="12" s="1"/>
  <c r="J43" i="12"/>
  <c r="M43" i="12" s="1"/>
  <c r="J42" i="12"/>
  <c r="M42" i="12" s="1"/>
  <c r="J39" i="12"/>
  <c r="M39" i="12" s="1"/>
  <c r="J2" i="12"/>
  <c r="M2" i="12" s="1"/>
  <c r="J41" i="12"/>
  <c r="M41" i="12" s="1"/>
  <c r="J3" i="12"/>
  <c r="M3" i="12" s="1"/>
  <c r="BK7" i="2"/>
  <c r="I19" i="2" l="1"/>
  <c r="K19" i="2" s="1"/>
  <c r="BI19" i="2" s="1"/>
  <c r="J26" i="12" l="1"/>
  <c r="M26" i="12" s="1"/>
  <c r="J24" i="12"/>
  <c r="M24" i="12" s="1"/>
  <c r="J21" i="12"/>
  <c r="M21" i="12" s="1"/>
  <c r="BK19" i="2"/>
  <c r="I20" i="2"/>
  <c r="K20" i="2" s="1"/>
  <c r="BI20" i="2" s="1"/>
  <c r="J63" i="12" s="1"/>
  <c r="M63" i="12" s="1"/>
  <c r="J65" i="12" l="1"/>
  <c r="M65" i="12" s="1"/>
  <c r="J64" i="12"/>
  <c r="M64" i="12" s="1"/>
  <c r="J66" i="12"/>
  <c r="M66" i="12" s="1"/>
  <c r="J67" i="12"/>
  <c r="M67" i="12" s="1"/>
  <c r="BK20" i="2"/>
  <c r="I47" i="2"/>
  <c r="K47" i="2" s="1"/>
  <c r="BI47" i="2" s="1"/>
  <c r="J71" i="12" s="1"/>
  <c r="M71" i="12" s="1"/>
  <c r="J76" i="12" l="1"/>
  <c r="M76" i="12" s="1"/>
  <c r="J74" i="12"/>
  <c r="M74" i="12" s="1"/>
  <c r="J72" i="12"/>
  <c r="M72" i="12" s="1"/>
  <c r="J69" i="12"/>
  <c r="M69" i="12" s="1"/>
  <c r="J19" i="12"/>
  <c r="M19" i="12" s="1"/>
  <c r="J6" i="12"/>
  <c r="M6" i="12" s="1"/>
  <c r="BK47" i="2"/>
  <c r="J18" i="12"/>
  <c r="M18" i="12" s="1"/>
  <c r="L74" i="2" l="1"/>
  <c r="I74" i="2"/>
  <c r="K74" i="2" s="1"/>
  <c r="BI74" i="2" s="1"/>
  <c r="J30" i="12" s="1"/>
  <c r="M30" i="12" s="1"/>
  <c r="J36" i="12" l="1"/>
  <c r="M36" i="12" s="1"/>
  <c r="J38" i="12"/>
  <c r="M38" i="12" s="1"/>
  <c r="J23" i="12"/>
  <c r="M23" i="12" s="1"/>
  <c r="J25" i="12"/>
  <c r="M25" i="12" s="1"/>
  <c r="J22" i="12"/>
  <c r="M22" i="12" s="1"/>
  <c r="BK74" i="2"/>
  <c r="BF74" i="2" l="1"/>
  <c r="P74" i="2" l="1"/>
  <c r="BG74" i="2" s="1"/>
  <c r="L14" i="2" l="1"/>
  <c r="L56" i="2"/>
  <c r="L24" i="2"/>
  <c r="L79" i="2"/>
  <c r="BF83" i="2"/>
  <c r="L23" i="2"/>
  <c r="P62" i="2"/>
  <c r="BG62" i="2" s="1"/>
  <c r="P36" i="2"/>
  <c r="BG36" i="2" s="1"/>
  <c r="L42" i="2"/>
  <c r="P70" i="2"/>
  <c r="BG70" i="2" s="1"/>
  <c r="L70" i="2"/>
  <c r="P66" i="2"/>
  <c r="BG66" i="2" s="1"/>
  <c r="P85" i="2"/>
  <c r="BG85" i="2" s="1"/>
  <c r="L52" i="2"/>
  <c r="BF81" i="2"/>
  <c r="L76" i="2"/>
  <c r="P33" i="2"/>
  <c r="BG33" i="2" s="1"/>
  <c r="P23" i="2"/>
  <c r="BG23" i="2" s="1"/>
  <c r="L62" i="2"/>
  <c r="L41" i="2"/>
  <c r="P52" i="2"/>
  <c r="BG52" i="2" s="1"/>
  <c r="P56" i="2"/>
  <c r="BG56" i="2" s="1"/>
  <c r="P18" i="2"/>
  <c r="BG18" i="2" s="1"/>
  <c r="P9" i="2"/>
  <c r="BG9" i="2" s="1"/>
  <c r="P7" i="2"/>
  <c r="BG7" i="2" s="1"/>
  <c r="P83" i="2"/>
  <c r="BG83" i="2" s="1"/>
  <c r="P81" i="2"/>
  <c r="BG81" i="2" s="1"/>
  <c r="L83" i="2"/>
  <c r="P40" i="2"/>
  <c r="BG40" i="2" s="1"/>
  <c r="P41" i="2"/>
  <c r="BG41" i="2" s="1"/>
  <c r="L40" i="2"/>
  <c r="P46" i="2"/>
  <c r="BG46" i="2" s="1"/>
  <c r="P71" i="2"/>
  <c r="BG71" i="2" s="1"/>
  <c r="BF85" i="2"/>
  <c r="L71" i="2"/>
  <c r="P53" i="2"/>
  <c r="BG53" i="2" s="1"/>
  <c r="P54" i="2"/>
  <c r="BG54" i="2" s="1"/>
  <c r="P27" i="2"/>
  <c r="BG27" i="2" s="1"/>
  <c r="L53" i="2"/>
  <c r="L50" i="2"/>
  <c r="P39" i="2"/>
  <c r="BG39" i="2" s="1"/>
  <c r="P12" i="2"/>
  <c r="BG12" i="2" s="1"/>
  <c r="P51" i="2"/>
  <c r="BG51" i="2" s="1"/>
  <c r="L39" i="2"/>
  <c r="BF78" i="2"/>
  <c r="L20" i="2"/>
  <c r="P60" i="2"/>
  <c r="BG60" i="2" s="1"/>
  <c r="L78" i="2"/>
  <c r="P64" i="2"/>
  <c r="BG64" i="2" s="1"/>
  <c r="P10" i="2"/>
  <c r="BG10" i="2" s="1"/>
  <c r="L13" i="2"/>
  <c r="L11" i="2"/>
  <c r="BF76" i="2"/>
  <c r="L30" i="2"/>
  <c r="L9" i="2"/>
  <c r="L36" i="2"/>
  <c r="L66" i="2"/>
  <c r="L7" i="2"/>
  <c r="L33" i="2"/>
  <c r="P16" i="2"/>
  <c r="BG16" i="2" s="1"/>
  <c r="L46" i="2"/>
  <c r="L85" i="2"/>
  <c r="P58" i="2"/>
  <c r="BG58" i="2" s="1"/>
  <c r="P61" i="2"/>
  <c r="BG61" i="2" s="1"/>
  <c r="L57" i="2"/>
  <c r="L54" i="2"/>
  <c r="L27" i="2"/>
  <c r="P78" i="2"/>
  <c r="BG78" i="2" s="1"/>
  <c r="L12" i="2"/>
  <c r="P20" i="2"/>
  <c r="BG20" i="2" s="1"/>
  <c r="P13" i="2"/>
  <c r="BG13" i="2" s="1"/>
  <c r="P72" i="2"/>
  <c r="BG72" i="2" s="1"/>
  <c r="L60" i="2"/>
  <c r="P79" i="2"/>
  <c r="BG79" i="2" s="1"/>
  <c r="L64" i="2"/>
  <c r="L10" i="2"/>
  <c r="L55" i="2"/>
  <c r="P30" i="2"/>
  <c r="BG30" i="2" s="1"/>
  <c r="P76" i="2"/>
  <c r="BG76" i="2" s="1"/>
  <c r="L81" i="2"/>
  <c r="P37" i="2"/>
  <c r="BG37" i="2" s="1"/>
  <c r="L18" i="2"/>
  <c r="L16" i="2"/>
  <c r="L37" i="2"/>
  <c r="P57" i="2"/>
  <c r="BG57" i="2" s="1"/>
  <c r="P21" i="2"/>
  <c r="BG21" i="2" s="1"/>
  <c r="L58" i="2"/>
  <c r="P50" i="2"/>
  <c r="BG50" i="2" s="1"/>
  <c r="L61" i="2"/>
  <c r="L21" i="2"/>
  <c r="P8" i="2"/>
  <c r="BG8" i="2" s="1"/>
  <c r="L51" i="2"/>
  <c r="L8" i="2"/>
  <c r="L72" i="2"/>
  <c r="P42" i="2"/>
  <c r="BG42" i="2" s="1"/>
  <c r="P11" i="2"/>
  <c r="BG11" i="2" s="1"/>
  <c r="BF79" i="2"/>
  <c r="P14" i="2"/>
  <c r="BG14" i="2" s="1"/>
  <c r="P24" i="2"/>
  <c r="BG24" i="2" s="1"/>
  <c r="P55" i="2"/>
  <c r="BG55" i="2" s="1"/>
  <c r="L59" i="2" l="1"/>
  <c r="P22" i="2"/>
  <c r="BG22" i="2" s="1"/>
  <c r="P63" i="2"/>
  <c r="BG63" i="2" s="1"/>
  <c r="P59" i="2"/>
  <c r="BG59" i="2" s="1"/>
  <c r="P28" i="2"/>
  <c r="BG28" i="2" s="1"/>
  <c r="L28" i="2"/>
  <c r="P77" i="2"/>
  <c r="BG77" i="2" s="1"/>
  <c r="P25" i="2"/>
  <c r="BG25" i="2" s="1"/>
  <c r="P34" i="2"/>
  <c r="BG34" i="2" s="1"/>
  <c r="P43" i="2"/>
  <c r="BG43" i="2" s="1"/>
  <c r="P45" i="2"/>
  <c r="BG45" i="2" s="1"/>
  <c r="BF14" i="2"/>
  <c r="BF77" i="2"/>
  <c r="BF82" i="2"/>
  <c r="P29" i="2"/>
  <c r="BG29" i="2" s="1"/>
  <c r="L25" i="2"/>
  <c r="L34" i="2"/>
  <c r="BF9" i="2"/>
  <c r="BF57" i="2"/>
  <c r="P32" i="2"/>
  <c r="BG32" i="2" s="1"/>
  <c r="L77" i="2"/>
  <c r="L82" i="2"/>
  <c r="L29" i="2"/>
  <c r="P68" i="2"/>
  <c r="BG68" i="2" s="1"/>
  <c r="P75" i="2"/>
  <c r="BG75" i="2" s="1"/>
  <c r="P15" i="2"/>
  <c r="BG15" i="2" s="1"/>
  <c r="P17" i="2"/>
  <c r="BG17" i="2" s="1"/>
  <c r="L44" i="2"/>
  <c r="P48" i="2"/>
  <c r="BG48" i="2" s="1"/>
  <c r="L45" i="2"/>
  <c r="P82" i="2"/>
  <c r="BG82" i="2" s="1"/>
  <c r="BF48" i="2"/>
  <c r="L32" i="2"/>
  <c r="L68" i="2"/>
  <c r="BF75" i="2"/>
  <c r="L15" i="2"/>
  <c r="L17" i="2"/>
  <c r="P44" i="2"/>
  <c r="BG44" i="2" s="1"/>
  <c r="L65" i="2"/>
  <c r="L48" i="2"/>
  <c r="BF32" i="2"/>
  <c r="L75" i="2"/>
  <c r="P38" i="2"/>
  <c r="BG38" i="2" s="1"/>
  <c r="P67" i="2"/>
  <c r="BG67" i="2" s="1"/>
  <c r="P84" i="2"/>
  <c r="BG84" i="2" s="1"/>
  <c r="L38" i="2"/>
  <c r="L67" i="2"/>
  <c r="BF80" i="2"/>
  <c r="P26" i="2"/>
  <c r="BG26" i="2" s="1"/>
  <c r="BF84" i="2"/>
  <c r="P73" i="2"/>
  <c r="BG73" i="2" s="1"/>
  <c r="L22" i="2"/>
  <c r="P80" i="2"/>
  <c r="BG80" i="2" s="1"/>
  <c r="L80" i="2"/>
  <c r="L26" i="2"/>
  <c r="P19" i="2"/>
  <c r="BG19" i="2" s="1"/>
  <c r="L84" i="2"/>
  <c r="L73" i="2"/>
  <c r="BF59" i="2"/>
  <c r="P31" i="2"/>
  <c r="BG31" i="2" s="1"/>
  <c r="P69" i="2"/>
  <c r="BG69" i="2" s="1"/>
  <c r="L19" i="2"/>
  <c r="L63" i="2"/>
  <c r="L43" i="2"/>
  <c r="BF70" i="2"/>
  <c r="BF72" i="2"/>
  <c r="BF61" i="2"/>
  <c r="L31" i="2"/>
  <c r="L69" i="2"/>
  <c r="BF49" i="2"/>
  <c r="P65" i="2"/>
  <c r="BG65" i="2" s="1"/>
  <c r="P47" i="2"/>
  <c r="BG47" i="2" s="1"/>
  <c r="P49" i="2"/>
  <c r="BG49" i="2" s="1"/>
  <c r="P35" i="2"/>
  <c r="BG35" i="2" s="1"/>
  <c r="BF71" i="2"/>
  <c r="L47" i="2"/>
  <c r="P6" i="2"/>
  <c r="L6" i="2"/>
  <c r="L49" i="2"/>
  <c r="L35" i="2"/>
  <c r="BG6" i="2" l="1"/>
  <c r="P86" i="2"/>
  <c r="BF18" i="2"/>
  <c r="BF20" i="2"/>
  <c r="BF47" i="2"/>
  <c r="BF68" i="2"/>
  <c r="BF40" i="2"/>
  <c r="BF51" i="2"/>
  <c r="BF11" i="2"/>
  <c r="BF43" i="2"/>
  <c r="BF56" i="2"/>
  <c r="BF45" i="2"/>
  <c r="BF36" i="2"/>
  <c r="BF46" i="2"/>
  <c r="BF52" i="2"/>
  <c r="BF38" i="2"/>
  <c r="BF30" i="2"/>
  <c r="BF15" i="2"/>
  <c r="BF13" i="2"/>
  <c r="BF16" i="2"/>
  <c r="BF29" i="2"/>
  <c r="BF22" i="2"/>
  <c r="BF25" i="2"/>
  <c r="BF31" i="2"/>
  <c r="BF8" i="2"/>
  <c r="BF42" i="2"/>
  <c r="BF24" i="2"/>
  <c r="BF73" i="2"/>
  <c r="BF64" i="2"/>
  <c r="BF50" i="2"/>
  <c r="BF26" i="2"/>
  <c r="BF63" i="2"/>
  <c r="BF21" i="2"/>
  <c r="BF17" i="2"/>
  <c r="BF23" i="2"/>
  <c r="BF7" i="2"/>
  <c r="BF41" i="2"/>
  <c r="BF10" i="2"/>
  <c r="BF66" i="2"/>
  <c r="BF33" i="2"/>
  <c r="BF44" i="2"/>
  <c r="BF69" i="2"/>
  <c r="BF19" i="2"/>
  <c r="BF67" i="2"/>
  <c r="BF37" i="2"/>
  <c r="BF39" i="2"/>
  <c r="BF28" i="2"/>
  <c r="BF55" i="2"/>
  <c r="BF27" i="2"/>
  <c r="BF58" i="2"/>
  <c r="BF35" i="2"/>
  <c r="BF60" i="2"/>
  <c r="BF62" i="2"/>
  <c r="BF34" i="2"/>
  <c r="BF65" i="2"/>
  <c r="BF54" i="2"/>
  <c r="BF12" i="2"/>
  <c r="BF53" i="2"/>
  <c r="BF6" i="2" l="1"/>
</calcChain>
</file>

<file path=xl/sharedStrings.xml><?xml version="1.0" encoding="utf-8"?>
<sst xmlns="http://schemas.openxmlformats.org/spreadsheetml/2006/main" count="2537" uniqueCount="424">
  <si>
    <t>Скидка акции</t>
  </si>
  <si>
    <t>Цена плановая акции</t>
  </si>
  <si>
    <t>Арт. Поставщика</t>
  </si>
  <si>
    <t>Номенклатура</t>
  </si>
  <si>
    <t>Арт. WB</t>
  </si>
  <si>
    <t>Штрихкод</t>
  </si>
  <si>
    <t>Данные с листа Юнит ВБ (подтягиваются автоматически)</t>
  </si>
  <si>
    <t>Товар уже участвует в акции</t>
  </si>
  <si>
    <t>Бренд</t>
  </si>
  <si>
    <t>Предмет</t>
  </si>
  <si>
    <t>Наименование</t>
  </si>
  <si>
    <t>Артикул поставщика</t>
  </si>
  <si>
    <t>Артикул WB</t>
  </si>
  <si>
    <t>Последний баркод</t>
  </si>
  <si>
    <t>Количество дней на сайте</t>
  </si>
  <si>
    <t>Оборачиваемость</t>
  </si>
  <si>
    <t>Остаток товара на складах Wb (шт.)</t>
  </si>
  <si>
    <t>Остаток товара на складе продавца Wb (шт.)</t>
  </si>
  <si>
    <t>Плановая цена для акции</t>
  </si>
  <si>
    <t>Текущая розничная цена</t>
  </si>
  <si>
    <t>Текущая скидка на сайте, %</t>
  </si>
  <si>
    <t>Загружаемая скидка для участия в акции</t>
  </si>
  <si>
    <t>Да</t>
  </si>
  <si>
    <t>AROLS</t>
  </si>
  <si>
    <t>Бандажи косметические</t>
  </si>
  <si>
    <t>ACRF1BN101PN</t>
  </si>
  <si>
    <t>2038161736993</t>
  </si>
  <si>
    <t/>
  </si>
  <si>
    <t>ACRF1BN101BC</t>
  </si>
  <si>
    <t>2038162681926</t>
  </si>
  <si>
    <t>AROLS HOME</t>
  </si>
  <si>
    <t>Мешки для стирки</t>
  </si>
  <si>
    <t>AHMA6BW101BG</t>
  </si>
  <si>
    <t>2038224716238</t>
  </si>
  <si>
    <t>Массажеры механические</t>
  </si>
  <si>
    <t>ACRH1MS101RJ</t>
  </si>
  <si>
    <t>2038430289250</t>
  </si>
  <si>
    <t>AHMA1BW101BG</t>
  </si>
  <si>
    <t>2038597850744</t>
  </si>
  <si>
    <t>AHMA3BW201WH</t>
  </si>
  <si>
    <t>2038606201642</t>
  </si>
  <si>
    <t>AHMA3BW202WH</t>
  </si>
  <si>
    <t>2038606256161</t>
  </si>
  <si>
    <t>AHMA3BW101BG</t>
  </si>
  <si>
    <t>2038627692689</t>
  </si>
  <si>
    <t>Таблетницы</t>
  </si>
  <si>
    <t>AHMA2BW202WH</t>
  </si>
  <si>
    <t>2040278862540</t>
  </si>
  <si>
    <t>AHMA1BW302WH</t>
  </si>
  <si>
    <t>2040478696884</t>
  </si>
  <si>
    <t>AHMA1BW301WH</t>
  </si>
  <si>
    <t>2040478720961</t>
  </si>
  <si>
    <t>ACRF1BN201GR</t>
  </si>
  <si>
    <t>2038172050200</t>
  </si>
  <si>
    <t>AHMA7BW101BG</t>
  </si>
  <si>
    <t>2038337652454</t>
  </si>
  <si>
    <t>AHMA3BW102BG</t>
  </si>
  <si>
    <t>2038627713902</t>
  </si>
  <si>
    <t>ACRA7TB101BC</t>
  </si>
  <si>
    <t>2038890789598</t>
  </si>
  <si>
    <t>ACRA7TB201BC</t>
  </si>
  <si>
    <t>2038891723249</t>
  </si>
  <si>
    <t>AHMA2BW201WH</t>
  </si>
  <si>
    <t>2039404446068</t>
  </si>
  <si>
    <t>ACRB1MS101RJ</t>
  </si>
  <si>
    <t>2039813223373</t>
  </si>
  <si>
    <t>2039818580389</t>
  </si>
  <si>
    <t>2040278804649</t>
  </si>
  <si>
    <t>2040278804496</t>
  </si>
  <si>
    <t>2040278810534</t>
  </si>
  <si>
    <t>Большой мешок для стирки - 60*80 сетка крупная</t>
  </si>
  <si>
    <t>AHMA1BW112WH</t>
  </si>
  <si>
    <t>2040335626849</t>
  </si>
  <si>
    <t>AHMA1BW111WH</t>
  </si>
  <si>
    <t>2040335648124</t>
  </si>
  <si>
    <t>DOG JOY</t>
  </si>
  <si>
    <t>Игрушки для животных</t>
  </si>
  <si>
    <t>Прочная игрушка-мяч для собак средних-крупных пород</t>
  </si>
  <si>
    <t>AAND1BL102BL</t>
  </si>
  <si>
    <t>2040900511679</t>
  </si>
  <si>
    <t>AAND1BL102RD</t>
  </si>
  <si>
    <t>2040902555480</t>
  </si>
  <si>
    <t>AAND1BL101RD</t>
  </si>
  <si>
    <t>2040903539366</t>
  </si>
  <si>
    <t>AAND1BL101BL</t>
  </si>
  <si>
    <t>2040903547941</t>
  </si>
  <si>
    <t>ACRA7TB401CL</t>
  </si>
  <si>
    <t>2040957863936</t>
  </si>
  <si>
    <t>Скакалки</t>
  </si>
  <si>
    <t>ACRB1SK101BC</t>
  </si>
  <si>
    <t>2041473034138</t>
  </si>
  <si>
    <t>ACRB1SK101RD</t>
  </si>
  <si>
    <t>2041473034145</t>
  </si>
  <si>
    <t>ACRB1SK101BL</t>
  </si>
  <si>
    <t>2041473034169</t>
  </si>
  <si>
    <t>ACRB1SK201BC</t>
  </si>
  <si>
    <t>2041473042966</t>
  </si>
  <si>
    <t>ACRA7TB101CL</t>
  </si>
  <si>
    <t>2041532808502</t>
  </si>
  <si>
    <t>Ножи для пиццы</t>
  </si>
  <si>
    <t>AKTA2KN102YL</t>
  </si>
  <si>
    <t>2041533038113</t>
  </si>
  <si>
    <t>Шпатели кондитерские</t>
  </si>
  <si>
    <t>AKTA2KN101YL</t>
  </si>
  <si>
    <t>2041533399818</t>
  </si>
  <si>
    <t>AKTA2KN101BL</t>
  </si>
  <si>
    <t>2041533587000</t>
  </si>
  <si>
    <t>Пробки для бутылок</t>
  </si>
  <si>
    <t>AKTA4ST101CL</t>
  </si>
  <si>
    <t>2041533648312</t>
  </si>
  <si>
    <t>AAND1RP301BG</t>
  </si>
  <si>
    <t>2041534216404</t>
  </si>
  <si>
    <t>AAND1RP301YL</t>
  </si>
  <si>
    <t>2041534288661</t>
  </si>
  <si>
    <t>ACRB1MS101PN</t>
  </si>
  <si>
    <t>2041591042329</t>
  </si>
  <si>
    <t>ACRB1MS101BL</t>
  </si>
  <si>
    <t>2041591055954</t>
  </si>
  <si>
    <t>29</t>
  </si>
  <si>
    <t>Цена продажи в Акции</t>
  </si>
  <si>
    <t>Цена в карточке в Акции</t>
  </si>
  <si>
    <t>Номер акции</t>
  </si>
  <si>
    <t>Выбор Акции</t>
  </si>
  <si>
    <t>АКЦИЯ</t>
  </si>
  <si>
    <t>дата</t>
  </si>
  <si>
    <t>Цена продажи Акции МАКС</t>
  </si>
  <si>
    <t>Цена в карточке</t>
  </si>
  <si>
    <t>Цена продажи</t>
  </si>
  <si>
    <t>Категория</t>
  </si>
  <si>
    <t>Артикул продавца</t>
  </si>
  <si>
    <t>Остатки WB</t>
  </si>
  <si>
    <t>Остатки продавца</t>
  </si>
  <si>
    <t>Текущая цена</t>
  </si>
  <si>
    <t>Текущая скидка</t>
  </si>
  <si>
    <t>Новая скидка</t>
  </si>
  <si>
    <t>2042160422832</t>
  </si>
  <si>
    <t>AAND1ST202BL</t>
  </si>
  <si>
    <t>2042253544953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</si>
  <si>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</si>
  <si>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</si>
  <si>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</si>
  <si>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</si>
  <si>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</si>
  <si>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</si>
  <si>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</si>
  <si>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</si>
  <si>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</si>
  <si>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</si>
  <si>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15</t>
  </si>
  <si>
    <t>16</t>
  </si>
  <si>
    <t>17</t>
  </si>
  <si>
    <t>24</t>
  </si>
  <si>
    <t>25</t>
  </si>
  <si>
    <t>26</t>
  </si>
  <si>
    <t>27</t>
  </si>
  <si>
    <t>28</t>
  </si>
  <si>
    <t>30</t>
  </si>
  <si>
    <t>ВНЕСТИ ИЗМЕНЕНИЯ В ШАБЛОН ЦЕН!</t>
  </si>
  <si>
    <t>Для установки в акции</t>
  </si>
  <si>
    <t>Скидка Новая</t>
  </si>
  <si>
    <t>Цена новая</t>
  </si>
  <si>
    <t>Скидка Акции (вручную)</t>
  </si>
  <si>
    <t>БУДУТ УЧАСТВОВАТЬ (ПОСТАВИТЬ ЗНАК *)</t>
  </si>
  <si>
    <t>ЖЕЛАЕМАЯ ЦЕНА</t>
  </si>
  <si>
    <t>Скидка</t>
  </si>
  <si>
    <t>Маржа</t>
  </si>
  <si>
    <t>Цена продажи плановая</t>
  </si>
  <si>
    <t>ЦЕНА ТЕКУЩАЯ НА ВБ</t>
  </si>
  <si>
    <t>AHMA4BW401BG</t>
  </si>
  <si>
    <t>2041532752478</t>
  </si>
  <si>
    <t>Цена Видит покупатель</t>
  </si>
  <si>
    <t>подтягивается с листа текущая цена</t>
  </si>
  <si>
    <t>Вставляем из</t>
  </si>
  <si>
    <t>перед сохранением листа</t>
  </si>
  <si>
    <t>2041680530447</t>
  </si>
  <si>
    <t>2042676873814</t>
  </si>
  <si>
    <t>AKTA4ST102CL</t>
  </si>
  <si>
    <t>2042678197468</t>
  </si>
  <si>
    <t>ACRL1MS101RJ</t>
  </si>
  <si>
    <t>2039735724354</t>
  </si>
  <si>
    <t>AKTA2KN102GN</t>
  </si>
  <si>
    <t>2042777181566</t>
  </si>
  <si>
    <t>Прессы для чеснока</t>
  </si>
  <si>
    <t>AKTA1PR101GR</t>
  </si>
  <si>
    <t>2042987041841</t>
  </si>
  <si>
    <t>Консервные ножи</t>
  </si>
  <si>
    <t>AKTA1KN101GR</t>
  </si>
  <si>
    <t>2042988749289</t>
  </si>
  <si>
    <t>ACRB1MS103PN</t>
  </si>
  <si>
    <t>2042985583893</t>
  </si>
  <si>
    <t>ACRB1MS103BL</t>
  </si>
  <si>
    <t>2042986356632</t>
  </si>
  <si>
    <t>ACRB1MS103LI</t>
  </si>
  <si>
    <t>2042986372359</t>
  </si>
  <si>
    <t>ACRB1MS103RJ</t>
  </si>
  <si>
    <t>2042986377583</t>
  </si>
  <si>
    <t>2043048226719</t>
  </si>
  <si>
    <t>Массажный мяч мфр для йоги - фитнеса пилатеса гимнастики</t>
  </si>
  <si>
    <t>Чеснокодавка металлическая – пресс для чеснока измельчитель</t>
  </si>
  <si>
    <t>Остатки</t>
  </si>
  <si>
    <t>2043369663040</t>
  </si>
  <si>
    <t>AKTA4ST103CL</t>
  </si>
  <si>
    <t>2043369755509</t>
  </si>
  <si>
    <t>МАРЖА текущая</t>
  </si>
  <si>
    <t>МАРЖА акции</t>
  </si>
  <si>
    <t>"Цена текущая на ВБ"</t>
  </si>
  <si>
    <t>ACRB1MS109RJ</t>
  </si>
  <si>
    <t>2044025291485</t>
  </si>
  <si>
    <t>ACRB1MS109LI</t>
  </si>
  <si>
    <t>2044025354937</t>
  </si>
  <si>
    <t>ACRB1MS107BС</t>
  </si>
  <si>
    <t>2044025344532</t>
  </si>
  <si>
    <t>ACRB1MS109BС</t>
  </si>
  <si>
    <t>2044025347953</t>
  </si>
  <si>
    <t>ACRB1MS107RJ</t>
  </si>
  <si>
    <t>2044025288003</t>
  </si>
  <si>
    <t>ACRB1MS107PN</t>
  </si>
  <si>
    <t>2044025316447</t>
  </si>
  <si>
    <t>ACRB1MS109BL</t>
  </si>
  <si>
    <t>2044025342057</t>
  </si>
  <si>
    <t>ACRB1MS109PN</t>
  </si>
  <si>
    <t>2044025321588</t>
  </si>
  <si>
    <t>ACRB1MS107WH</t>
  </si>
  <si>
    <t>2044025326637</t>
  </si>
  <si>
    <t>ACRB1MS109WH</t>
  </si>
  <si>
    <t>2044025333093</t>
  </si>
  <si>
    <t>ACRB1MS107BL</t>
  </si>
  <si>
    <t>2044025338661</t>
  </si>
  <si>
    <t>2044025155923</t>
  </si>
  <si>
    <t>ACRA7TB301GR</t>
  </si>
  <si>
    <t>ACRB1MS106WH</t>
  </si>
  <si>
    <t>ACRA7TB301CL</t>
  </si>
  <si>
    <t>ACRA7TB401BC</t>
  </si>
  <si>
    <t>ACRA7TB301WH</t>
  </si>
  <si>
    <t>ACRB1MS106BL</t>
  </si>
  <si>
    <t>ACRB1MS106PN</t>
  </si>
  <si>
    <t>ACRB1MS106BС</t>
  </si>
  <si>
    <t>ACRB1MS106RJ</t>
  </si>
  <si>
    <t>Массажный мяч мфр 6 см для йоги фитнеса пилатеса</t>
  </si>
  <si>
    <t>Статус</t>
  </si>
  <si>
    <t>ACRA7TB201CL</t>
  </si>
  <si>
    <t>ACRA7TB201WH</t>
  </si>
  <si>
    <t>2044516485386</t>
  </si>
  <si>
    <t>ACRA7TB201LI</t>
  </si>
  <si>
    <t>2044516498812</t>
  </si>
  <si>
    <t>Массажный мяч для мфр йоги пилатеса с шипами жесткий 7 см</t>
  </si>
  <si>
    <t>Массажный мяч с шипами для мфр йоги пилатеса жесткий 9 см</t>
  </si>
  <si>
    <t>Нет</t>
  </si>
  <si>
    <t>Мешок для стирки белья - сетка крупная - 3 штуки</t>
  </si>
  <si>
    <t>7</t>
  </si>
  <si>
    <t>12</t>
  </si>
  <si>
    <t>13</t>
  </si>
  <si>
    <t>14</t>
  </si>
  <si>
    <t>18</t>
  </si>
  <si>
    <t>19</t>
  </si>
  <si>
    <t>20</t>
  </si>
  <si>
    <t>21</t>
  </si>
  <si>
    <t>22</t>
  </si>
  <si>
    <t>23</t>
  </si>
  <si>
    <t>31</t>
  </si>
  <si>
    <t>1889</t>
  </si>
  <si>
    <t>Эспандеры</t>
  </si>
  <si>
    <t>ACRB5FR200CL</t>
  </si>
  <si>
    <t>2046392546618</t>
  </si>
  <si>
    <t>ACRB4FR300CL</t>
  </si>
  <si>
    <t>2046392546632</t>
  </si>
  <si>
    <t>ACRB5FR400CL</t>
  </si>
  <si>
    <t>2046392546656</t>
  </si>
  <si>
    <t>Капы</t>
  </si>
  <si>
    <t>ACRF1KP101RD</t>
  </si>
  <si>
    <t>2046391283446</t>
  </si>
  <si>
    <t>ACRF1KP103BC</t>
  </si>
  <si>
    <t>2046391283415</t>
  </si>
  <si>
    <t>ACRF1KP101GN</t>
  </si>
  <si>
    <t>2046391283569</t>
  </si>
  <si>
    <t>ACRF1KP101BC</t>
  </si>
  <si>
    <t>2046391283330</t>
  </si>
  <si>
    <t>ACRF1KP102RD</t>
  </si>
  <si>
    <t>2046391283507</t>
  </si>
  <si>
    <t>ACRF1KP102BC</t>
  </si>
  <si>
    <t>2046391283385</t>
  </si>
  <si>
    <t>ACRF1KP101BL</t>
  </si>
  <si>
    <t>2046391283545</t>
  </si>
  <si>
    <t>ACRF1KP102GN</t>
  </si>
  <si>
    <t>2046391283613</t>
  </si>
  <si>
    <t>1070</t>
  </si>
  <si>
    <t>Таблетница органайзер на неделю 7 дней 14 приемов</t>
  </si>
  <si>
    <t>*</t>
  </si>
  <si>
    <t>Цена со скидкой</t>
  </si>
  <si>
    <t>Наличие ошибки</t>
  </si>
  <si>
    <t>1084</t>
  </si>
  <si>
    <t>ACRB3FR101CL</t>
  </si>
  <si>
    <t>2048933027488</t>
  </si>
  <si>
    <t>Маска-бандаж для лица подбородка косметический</t>
  </si>
  <si>
    <t>Бандаж для лица и подбородка многоразовый</t>
  </si>
  <si>
    <t>Бандаж для лица и подбородка многоразовый силиконовый</t>
  </si>
  <si>
    <t>Мешок для стирки белья -7 штук</t>
  </si>
  <si>
    <t>Массажер для пальцев рук роликовый механический</t>
  </si>
  <si>
    <t>Мешок для стирки бюстгальтера</t>
  </si>
  <si>
    <t>Мешки для стирки одежды - сетка мелкая - 3 штуки</t>
  </si>
  <si>
    <t>Мешок для стирки одежды - 3 штуки</t>
  </si>
  <si>
    <t>Мешки для стирки белья - 3 штуки</t>
  </si>
  <si>
    <t>Таблетница на неделю 2 приема круглая черная</t>
  </si>
  <si>
    <t>Мешки для стирки бюстгальтера - набор 2 штуки</t>
  </si>
  <si>
    <t>Массажер для шеи спины тела ручной роликовый</t>
  </si>
  <si>
    <t>Массажный мяч мфр для йоги пилатеса с шипами жесткий 6 см</t>
  </si>
  <si>
    <t>Мешок для стирки обуви 35 см</t>
  </si>
  <si>
    <t>Мешок для стирки обуви 30 см</t>
  </si>
  <si>
    <t>Прочная игрушка-мяч для собак средних-мелких пород</t>
  </si>
  <si>
    <t>Скакалка спортивная взрослая скоростная</t>
  </si>
  <si>
    <t>Скакалка спортивная скоростная</t>
  </si>
  <si>
    <t>Таблетница на неделю 2 приема круглая цветная</t>
  </si>
  <si>
    <t>Нож для пиццы - теста - овощей</t>
  </si>
  <si>
    <t>Шпатель скребок кондитерский для теста</t>
  </si>
  <si>
    <t>Пробка силиконовая многоразовая для бутылки 4 шт. Стоппер</t>
  </si>
  <si>
    <t>Прочный канат для собак крупных - средних пород - 55 см</t>
  </si>
  <si>
    <t>Таблетница на неделю 2 приема круглая серая</t>
  </si>
  <si>
    <t>Мяч массажный мфр для йоги - фитнеса пилатеса</t>
  </si>
  <si>
    <t>Таблетница на неделю 2 приема утро-вечер</t>
  </si>
  <si>
    <t>Таблетница на неделю 2 приема - контейнер для таблеток</t>
  </si>
  <si>
    <t>Фитнес резинки тканевые 5 шт эспандер для ног ягодиц</t>
  </si>
  <si>
    <t>Набор фитнес резинок латексных 4 шт эспандер для йоги</t>
  </si>
  <si>
    <t>Валюта</t>
  </si>
  <si>
    <t>RUB</t>
  </si>
  <si>
    <t>Набор тканевых фитнес резинок 3 шт для ягодиц и ног</t>
  </si>
  <si>
    <t>Новая цена, RUB</t>
  </si>
  <si>
    <t>1227</t>
  </si>
  <si>
    <t>860</t>
  </si>
  <si>
    <t>1799</t>
  </si>
  <si>
    <t>884</t>
  </si>
  <si>
    <t>2141</t>
  </si>
  <si>
    <t>1013</t>
  </si>
  <si>
    <t>856</t>
  </si>
  <si>
    <t>Не участвует: не добавлен или цена выше плановой</t>
  </si>
  <si>
    <t>Участвует: добавлен, цена равна или ниже плановой</t>
  </si>
  <si>
    <t>43</t>
  </si>
  <si>
    <t>Прочный канат для собак средних - мелких пород 55 см</t>
  </si>
  <si>
    <t>1741</t>
  </si>
  <si>
    <t>1313</t>
  </si>
  <si>
    <t>56</t>
  </si>
  <si>
    <t>Повышаем заказы (автоматические скидки)</t>
  </si>
  <si>
    <t>995</t>
  </si>
  <si>
    <t>55</t>
  </si>
  <si>
    <t>45</t>
  </si>
  <si>
    <t>52</t>
  </si>
  <si>
    <t>50</t>
  </si>
  <si>
    <t>51</t>
  </si>
  <si>
    <t>40</t>
  </si>
  <si>
    <t>46</t>
  </si>
  <si>
    <t>48</t>
  </si>
  <si>
    <t>54</t>
  </si>
  <si>
    <t>53</t>
  </si>
  <si>
    <t>956</t>
  </si>
  <si>
    <t>38</t>
  </si>
  <si>
    <t>913</t>
  </si>
  <si>
    <t>1235</t>
  </si>
  <si>
    <t>908</t>
  </si>
  <si>
    <t>930</t>
  </si>
  <si>
    <t>49</t>
  </si>
  <si>
    <t>47</t>
  </si>
  <si>
    <t>1318</t>
  </si>
  <si>
    <t>Жаркие скидки (автоматические скидки)</t>
  </si>
  <si>
    <t>17.06-19.07</t>
  </si>
  <si>
    <t>41</t>
  </si>
  <si>
    <t>37</t>
  </si>
  <si>
    <t>32</t>
  </si>
  <si>
    <t>35</t>
  </si>
  <si>
    <t>42</t>
  </si>
  <si>
    <t>33</t>
  </si>
  <si>
    <t>Жаркие скидки-2 (автоматические скидки)</t>
  </si>
  <si>
    <t>10.06-.25.06</t>
  </si>
  <si>
    <t>39</t>
  </si>
  <si>
    <t>64</t>
  </si>
  <si>
    <t>62</t>
  </si>
  <si>
    <t>63</t>
  </si>
  <si>
    <t>44</t>
  </si>
  <si>
    <t>59</t>
  </si>
  <si>
    <t>76</t>
  </si>
  <si>
    <t>Спортивные скидки (автоматические скидки)</t>
  </si>
  <si>
    <t>16.06-29.06</t>
  </si>
  <si>
    <t>1713</t>
  </si>
  <si>
    <t>1378</t>
  </si>
  <si>
    <t>1785</t>
  </si>
  <si>
    <t>988</t>
  </si>
  <si>
    <t>823</t>
  </si>
  <si>
    <t>1432</t>
  </si>
  <si>
    <t>1020</t>
  </si>
  <si>
    <t>898</t>
  </si>
  <si>
    <t>1447</t>
  </si>
  <si>
    <t>1617</t>
  </si>
  <si>
    <t>1847</t>
  </si>
  <si>
    <t>1730</t>
  </si>
  <si>
    <t>855</t>
  </si>
  <si>
    <t>3495</t>
  </si>
  <si>
    <t>1243</t>
  </si>
  <si>
    <t>1742</t>
  </si>
  <si>
    <t>2077</t>
  </si>
  <si>
    <t>572</t>
  </si>
  <si>
    <t>1303</t>
  </si>
  <si>
    <t>1153</t>
  </si>
  <si>
    <t>1277</t>
  </si>
  <si>
    <t>1502</t>
  </si>
  <si>
    <t>992</t>
  </si>
  <si>
    <t>868</t>
  </si>
  <si>
    <t>920</t>
  </si>
  <si>
    <t>847</t>
  </si>
  <si>
    <t>1208</t>
  </si>
  <si>
    <t>922</t>
  </si>
  <si>
    <t>1250</t>
  </si>
  <si>
    <t>1170</t>
  </si>
  <si>
    <t>1615</t>
  </si>
  <si>
    <t>1455</t>
  </si>
  <si>
    <t>1135</t>
  </si>
  <si>
    <t>1262</t>
  </si>
  <si>
    <t>837</t>
  </si>
  <si>
    <t>1115</t>
  </si>
  <si>
    <t>997</t>
  </si>
  <si>
    <t>1398</t>
  </si>
  <si>
    <t>2707</t>
  </si>
  <si>
    <t>718</t>
  </si>
  <si>
    <t>1665</t>
  </si>
  <si>
    <t>2010</t>
  </si>
  <si>
    <t>1813</t>
  </si>
  <si>
    <t>2472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</si>
</sst>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1"/>
      <name val="Calibri"/>
      <family val="2"/>
    </font>
    <font>
      <sz val="11"/>
      <color rgb="FF90EE90"/>
      <name val="Calibri"/>
      <family val="2"/>
    </font>
    <font>
      <sz val="11"/>
      <color rgb="FFFF3344"/>
      <name val="Calibri"/>
      <family val="2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B8D4A0"/>
      </patternFill>
    </fill>
    <fill>
      <patternFill patternType="solid">
        <fgColor rgb="FFFCEAAD"/>
      </patternFill>
    </fill>
    <fill>
      <patternFill patternType="solid">
        <fgColor rgb="FFFF9999"/>
        <bgColor indexed="64"/>
      </patternFill>
    </fill>
    <fill>
      <patternFill patternType="solid">
        <fgColor rgb="FFFF3344"/>
      </patternFill>
    </fill>
    <fill>
      <patternFill patternType="solid">
        <fgColor rgb="FF90EE90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EFDEB"/>
      </patternFill>
    </fill>
    <fill>
      <patternFill patternType="solid">
        <fgColor rgb="FFFCFDEB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1FFDD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FF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hair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202">
    <xf numFmtId="0" fontId="0" fillId="0" borderId="0" xfId="0"/>
    <xf numFmtId="0" fontId="4" fillId="0" borderId="0" xfId="0" applyFont="1" applyAlignment="1">
      <alignment vertical="center"/>
    </xf>
    <xf numFmtId="9" fontId="3" fillId="2" borderId="2" xfId="1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3" fillId="0" borderId="2" xfId="1" quotePrefix="1" applyFont="1" applyBorder="1" applyAlignment="1">
      <alignment horizontal="center" vertical="center" wrapText="1"/>
    </xf>
    <xf numFmtId="9" fontId="5" fillId="0" borderId="6" xfId="0" applyNumberFormat="1" applyFont="1" applyBorder="1" applyAlignment="1">
      <alignment horizontal="center" vertical="center"/>
    </xf>
    <xf numFmtId="9" fontId="5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1" applyAlignment="1">
      <alignment horizontal="center" vertical="center"/>
    </xf>
    <xf numFmtId="1" fontId="5" fillId="0" borderId="0" xfId="0" applyNumberFormat="1" applyFont="1" applyAlignment="1">
      <alignment vertical="center"/>
    </xf>
    <xf numFmtId="9" fontId="1" fillId="0" borderId="0" xfId="1" applyNumberFormat="1" applyAlignment="1">
      <alignment horizontal="center" vertical="center"/>
    </xf>
    <xf numFmtId="3" fontId="1" fillId="0" borderId="0" xfId="1" applyNumberFormat="1" applyAlignment="1">
      <alignment horizontal="center" vertical="center"/>
    </xf>
    <xf numFmtId="0" fontId="3" fillId="0" borderId="3" xfId="1" quotePrefix="1" applyFont="1" applyBorder="1" applyAlignment="1">
      <alignment horizontal="center" vertical="center" wrapText="1"/>
    </xf>
    <xf numFmtId="3" fontId="5" fillId="0" borderId="14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3" fontId="3" fillId="2" borderId="17" xfId="1" applyNumberFormat="1" applyFont="1" applyFill="1" applyBorder="1" applyAlignment="1">
      <alignment horizontal="center" vertical="top" wrapText="1"/>
    </xf>
    <xf numFmtId="3" fontId="3" fillId="2" borderId="18" xfId="1" applyNumberFormat="1" applyFont="1" applyFill="1" applyBorder="1" applyAlignment="1">
      <alignment horizontal="center" vertical="top" wrapText="1"/>
    </xf>
    <xf numFmtId="3" fontId="5" fillId="0" borderId="22" xfId="1" applyNumberFormat="1" applyFont="1" applyBorder="1" applyAlignment="1">
      <alignment horizontal="center" vertical="center"/>
    </xf>
    <xf numFmtId="0" fontId="4" fillId="4" borderId="16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4" borderId="15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center" vertical="top" wrapText="1"/>
    </xf>
    <xf numFmtId="1" fontId="4" fillId="4" borderId="7" xfId="0" applyNumberFormat="1" applyFont="1" applyFill="1" applyBorder="1" applyAlignment="1">
      <alignment horizontal="center" vertical="top" wrapText="1"/>
    </xf>
    <xf numFmtId="9" fontId="4" fillId="4" borderId="7" xfId="0" applyNumberFormat="1" applyFont="1" applyFill="1" applyBorder="1" applyAlignment="1">
      <alignment horizontal="center" vertical="top" wrapText="1"/>
    </xf>
    <xf numFmtId="1" fontId="0" fillId="5" borderId="0" xfId="0" applyNumberFormat="1" applyFill="1" applyAlignment="1">
      <alignment horizontal="center"/>
    </xf>
    <xf numFmtId="0" fontId="4" fillId="3" borderId="16" xfId="0" applyFont="1" applyFill="1" applyBorder="1" applyAlignment="1">
      <alignment vertical="center" wrapText="1"/>
    </xf>
    <xf numFmtId="1" fontId="1" fillId="0" borderId="0" xfId="1" applyNumberFormat="1" applyAlignment="1">
      <alignment horizontal="center" vertical="center"/>
    </xf>
    <xf numFmtId="0" fontId="3" fillId="0" borderId="17" xfId="1" quotePrefix="1" applyFont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top"/>
    </xf>
    <xf numFmtId="0" fontId="4" fillId="3" borderId="15" xfId="0" applyFont="1" applyFill="1" applyBorder="1" applyAlignment="1">
      <alignment vertical="top"/>
    </xf>
    <xf numFmtId="9" fontId="3" fillId="7" borderId="2" xfId="1" applyNumberFormat="1" applyFont="1" applyFill="1" applyBorder="1" applyAlignment="1">
      <alignment horizontal="center" vertical="top" wrapText="1"/>
    </xf>
    <xf numFmtId="0" fontId="4" fillId="3" borderId="0" xfId="0" applyFont="1" applyFill="1" applyAlignment="1">
      <alignment horizontal="left" vertical="top"/>
    </xf>
    <xf numFmtId="3" fontId="5" fillId="0" borderId="13" xfId="0" applyNumberFormat="1" applyFont="1" applyBorder="1" applyAlignment="1">
      <alignment horizontal="center" vertical="center"/>
    </xf>
    <xf numFmtId="1" fontId="4" fillId="7" borderId="0" xfId="0" applyNumberFormat="1" applyFont="1" applyFill="1" applyAlignment="1">
      <alignment vertical="center" wrapText="1"/>
    </xf>
    <xf numFmtId="1" fontId="4" fillId="7" borderId="15" xfId="0" applyNumberFormat="1" applyFont="1" applyFill="1" applyBorder="1" applyAlignment="1">
      <alignment horizontal="center" vertical="center"/>
    </xf>
    <xf numFmtId="1" fontId="3" fillId="7" borderId="2" xfId="1" applyNumberFormat="1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top" wrapText="1"/>
    </xf>
    <xf numFmtId="3" fontId="4" fillId="0" borderId="31" xfId="1" applyNumberFormat="1" applyFont="1" applyBorder="1" applyAlignment="1">
      <alignment horizontal="center" vertical="center"/>
    </xf>
    <xf numFmtId="9" fontId="4" fillId="7" borderId="15" xfId="0" applyNumberFormat="1" applyFont="1" applyFill="1" applyBorder="1" applyAlignment="1">
      <alignment horizontal="center" vertical="center"/>
    </xf>
    <xf numFmtId="9" fontId="3" fillId="0" borderId="2" xfId="1" quotePrefix="1" applyNumberFormat="1" applyFont="1" applyBorder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9" fontId="3" fillId="10" borderId="2" xfId="1" applyNumberFormat="1" applyFont="1" applyFill="1" applyBorder="1" applyAlignment="1">
      <alignment horizontal="center" vertical="top" wrapText="1"/>
    </xf>
    <xf numFmtId="1" fontId="0" fillId="6" borderId="0" xfId="0" applyNumberFormat="1" applyFill="1" applyAlignment="1">
      <alignment horizontal="left"/>
    </xf>
    <xf numFmtId="0" fontId="4" fillId="4" borderId="16" xfId="0" applyFont="1" applyFill="1" applyBorder="1" applyAlignment="1">
      <alignment vertical="center"/>
    </xf>
    <xf numFmtId="9" fontId="4" fillId="10" borderId="0" xfId="0" applyNumberFormat="1" applyFont="1" applyFill="1" applyAlignment="1">
      <alignment horizontal="center" vertical="top"/>
    </xf>
    <xf numFmtId="9" fontId="4" fillId="7" borderId="16" xfId="0" applyNumberFormat="1" applyFont="1" applyFill="1" applyBorder="1" applyAlignment="1">
      <alignment vertical="center" wrapText="1"/>
    </xf>
    <xf numFmtId="1" fontId="4" fillId="7" borderId="16" xfId="0" applyNumberFormat="1" applyFont="1" applyFill="1" applyBorder="1" applyAlignment="1">
      <alignment vertical="center" wrapText="1"/>
    </xf>
    <xf numFmtId="3" fontId="4" fillId="2" borderId="18" xfId="0" applyNumberFormat="1" applyFont="1" applyFill="1" applyBorder="1" applyAlignment="1">
      <alignment horizontal="center" vertical="center" wrapText="1"/>
    </xf>
    <xf numFmtId="3" fontId="1" fillId="0" borderId="24" xfId="1" applyNumberForma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9" fontId="6" fillId="0" borderId="0" xfId="1" applyNumberFormat="1" applyFont="1" applyAlignment="1">
      <alignment horizontal="center" vertical="center"/>
    </xf>
    <xf numFmtId="3" fontId="5" fillId="0" borderId="30" xfId="0" applyNumberFormat="1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3" fontId="3" fillId="0" borderId="2" xfId="1" quotePrefix="1" applyNumberFormat="1" applyFont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9" fontId="4" fillId="10" borderId="0" xfId="0" applyNumberFormat="1" applyFont="1" applyFill="1" applyAlignment="1">
      <alignment vertical="top"/>
    </xf>
    <xf numFmtId="9" fontId="4" fillId="3" borderId="3" xfId="0" applyNumberFormat="1" applyFont="1" applyFill="1" applyBorder="1" applyAlignment="1">
      <alignment horizontal="center" vertical="center" wrapText="1"/>
    </xf>
    <xf numFmtId="9" fontId="3" fillId="0" borderId="8" xfId="1" quotePrefix="1" applyNumberFormat="1" applyFont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Alignment="1">
      <alignment horizontal="right"/>
    </xf>
    <xf numFmtId="3" fontId="4" fillId="10" borderId="37" xfId="0" applyNumberFormat="1" applyFont="1" applyFill="1" applyBorder="1" applyAlignment="1">
      <alignment vertical="center" wrapText="1"/>
    </xf>
    <xf numFmtId="9" fontId="4" fillId="10" borderId="38" xfId="0" applyNumberFormat="1" applyFont="1" applyFill="1" applyBorder="1" applyAlignment="1">
      <alignment vertical="center" wrapText="1"/>
    </xf>
    <xf numFmtId="9" fontId="4" fillId="10" borderId="39" xfId="0" applyNumberFormat="1" applyFont="1" applyFill="1" applyBorder="1" applyAlignment="1">
      <alignment vertical="center" wrapText="1"/>
    </xf>
    <xf numFmtId="3" fontId="4" fillId="10" borderId="28" xfId="0" applyNumberFormat="1" applyFont="1" applyFill="1" applyBorder="1" applyAlignment="1">
      <alignment vertical="center" wrapText="1"/>
    </xf>
    <xf numFmtId="9" fontId="4" fillId="10" borderId="29" xfId="0" applyNumberFormat="1" applyFont="1" applyFill="1" applyBorder="1" applyAlignment="1">
      <alignment vertical="center" wrapText="1"/>
    </xf>
    <xf numFmtId="3" fontId="4" fillId="10" borderId="25" xfId="0" applyNumberFormat="1" applyFont="1" applyFill="1" applyBorder="1" applyAlignment="1">
      <alignment horizontal="left" vertical="top"/>
    </xf>
    <xf numFmtId="9" fontId="4" fillId="10" borderId="26" xfId="0" applyNumberFormat="1" applyFont="1" applyFill="1" applyBorder="1" applyAlignment="1">
      <alignment horizontal="center" vertical="center"/>
    </xf>
    <xf numFmtId="3" fontId="3" fillId="10" borderId="17" xfId="1" applyNumberFormat="1" applyFont="1" applyFill="1" applyBorder="1" applyAlignment="1">
      <alignment horizontal="center" vertical="top" wrapText="1"/>
    </xf>
    <xf numFmtId="9" fontId="3" fillId="10" borderId="18" xfId="1" applyNumberFormat="1" applyFont="1" applyFill="1" applyBorder="1" applyAlignment="1">
      <alignment horizontal="center" vertical="top" wrapText="1"/>
    </xf>
    <xf numFmtId="3" fontId="5" fillId="7" borderId="12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top" wrapText="1"/>
    </xf>
    <xf numFmtId="3" fontId="3" fillId="7" borderId="5" xfId="1" applyNumberFormat="1" applyFont="1" applyFill="1" applyBorder="1" applyAlignment="1">
      <alignment horizontal="center" vertical="top" wrapText="1"/>
    </xf>
    <xf numFmtId="0" fontId="4" fillId="4" borderId="38" xfId="0" applyFont="1" applyFill="1" applyBorder="1" applyAlignment="1">
      <alignment vertical="center"/>
    </xf>
    <xf numFmtId="0" fontId="4" fillId="4" borderId="38" xfId="0" applyFont="1" applyFill="1" applyBorder="1" applyAlignment="1">
      <alignment vertical="center" wrapText="1"/>
    </xf>
    <xf numFmtId="3" fontId="4" fillId="4" borderId="32" xfId="0" applyNumberFormat="1" applyFont="1" applyFill="1" applyBorder="1" applyAlignment="1">
      <alignment horizontal="center" vertical="top" wrapText="1"/>
    </xf>
    <xf numFmtId="0" fontId="1" fillId="0" borderId="0" xfId="1" applyAlignment="1">
      <alignment horizontal="left" vertical="center" wrapText="1"/>
    </xf>
    <xf numFmtId="3" fontId="4" fillId="0" borderId="1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" fillId="12" borderId="6" xfId="1" applyFill="1" applyBorder="1" applyAlignment="1">
      <alignment horizontal="center" vertical="center"/>
    </xf>
    <xf numFmtId="9" fontId="4" fillId="0" borderId="10" xfId="0" applyNumberFormat="1" applyFont="1" applyBorder="1" applyAlignment="1">
      <alignment horizontal="center" vertical="center"/>
    </xf>
    <xf numFmtId="3" fontId="4" fillId="3" borderId="46" xfId="0" applyNumberFormat="1" applyFont="1" applyFill="1" applyBorder="1" applyAlignment="1">
      <alignment horizontal="center" vertical="center" wrapText="1"/>
    </xf>
    <xf numFmtId="3" fontId="3" fillId="0" borderId="45" xfId="1" quotePrefix="1" applyNumberFormat="1" applyFont="1" applyBorder="1" applyAlignment="1">
      <alignment horizontal="center" vertical="center" wrapText="1"/>
    </xf>
    <xf numFmtId="3" fontId="4" fillId="0" borderId="47" xfId="0" applyNumberFormat="1" applyFont="1" applyBorder="1" applyAlignment="1">
      <alignment horizontal="center" vertical="center"/>
    </xf>
    <xf numFmtId="3" fontId="6" fillId="0" borderId="0" xfId="1" applyNumberFormat="1" applyFont="1" applyAlignment="1">
      <alignment horizontal="center" vertical="center"/>
    </xf>
    <xf numFmtId="9" fontId="4" fillId="7" borderId="0" xfId="0" applyNumberFormat="1" applyFont="1" applyFill="1" applyAlignment="1">
      <alignment vertical="center"/>
    </xf>
    <xf numFmtId="9" fontId="3" fillId="0" borderId="5" xfId="1" quotePrefix="1" applyNumberFormat="1" applyFont="1" applyBorder="1" applyAlignment="1">
      <alignment horizontal="center" vertical="center" wrapText="1"/>
    </xf>
    <xf numFmtId="0" fontId="4" fillId="4" borderId="9" xfId="0" applyFont="1" applyFill="1" applyBorder="1" applyAlignment="1">
      <alignment vertical="center" wrapText="1"/>
    </xf>
    <xf numFmtId="0" fontId="4" fillId="3" borderId="34" xfId="0" applyFont="1" applyFill="1" applyBorder="1" applyAlignment="1">
      <alignment vertical="center" wrapText="1"/>
    </xf>
    <xf numFmtId="9" fontId="4" fillId="3" borderId="16" xfId="0" applyNumberFormat="1" applyFont="1" applyFill="1" applyBorder="1" applyAlignment="1">
      <alignment vertical="center"/>
    </xf>
    <xf numFmtId="0" fontId="4" fillId="3" borderId="35" xfId="0" applyFont="1" applyFill="1" applyBorder="1" applyAlignment="1">
      <alignment vertical="center" wrapText="1"/>
    </xf>
    <xf numFmtId="0" fontId="4" fillId="4" borderId="24" xfId="0" applyFont="1" applyFill="1" applyBorder="1" applyAlignment="1">
      <alignment vertical="center" wrapText="1"/>
    </xf>
    <xf numFmtId="0" fontId="4" fillId="3" borderId="28" xfId="0" applyFont="1" applyFill="1" applyBorder="1" applyAlignment="1">
      <alignment vertical="center"/>
    </xf>
    <xf numFmtId="9" fontId="4" fillId="3" borderId="0" xfId="0" applyNumberFormat="1" applyFont="1" applyFill="1" applyAlignment="1">
      <alignment horizontal="center" vertical="top"/>
    </xf>
    <xf numFmtId="0" fontId="4" fillId="3" borderId="29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3" borderId="25" xfId="0" applyFont="1" applyFill="1" applyBorder="1" applyAlignment="1">
      <alignment vertical="center" wrapText="1"/>
    </xf>
    <xf numFmtId="9" fontId="4" fillId="3" borderId="15" xfId="0" applyNumberFormat="1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vertical="center" wrapText="1"/>
    </xf>
    <xf numFmtId="3" fontId="4" fillId="3" borderId="13" xfId="0" applyNumberFormat="1" applyFont="1" applyFill="1" applyBorder="1" applyAlignment="1">
      <alignment horizontal="center" vertical="top" wrapText="1"/>
    </xf>
    <xf numFmtId="3" fontId="4" fillId="3" borderId="32" xfId="0" applyNumberFormat="1" applyFont="1" applyFill="1" applyBorder="1" applyAlignment="1">
      <alignment horizontal="center" vertical="top" wrapText="1"/>
    </xf>
    <xf numFmtId="9" fontId="4" fillId="3" borderId="7" xfId="0" applyNumberFormat="1" applyFont="1" applyFill="1" applyBorder="1" applyAlignment="1">
      <alignment horizontal="center" vertical="top" wrapText="1"/>
    </xf>
    <xf numFmtId="3" fontId="4" fillId="3" borderId="26" xfId="0" applyNumberFormat="1" applyFont="1" applyFill="1" applyBorder="1" applyAlignment="1">
      <alignment horizontal="center" vertical="top" wrapText="1"/>
    </xf>
    <xf numFmtId="0" fontId="3" fillId="0" borderId="18" xfId="1" quotePrefix="1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7" fillId="0" borderId="48" xfId="0" applyFont="1" applyBorder="1" applyAlignment="1">
      <alignment horizontal="left" vertical="top" wrapText="1"/>
    </xf>
    <xf numFmtId="0" fontId="7" fillId="15" borderId="48" xfId="0" applyFont="1" applyFill="1" applyBorder="1" applyAlignment="1">
      <alignment horizontal="left" vertical="top"/>
    </xf>
    <xf numFmtId="0" fontId="7" fillId="16" borderId="48" xfId="0" applyFont="1" applyFill="1" applyBorder="1" applyAlignment="1">
      <alignment horizontal="left" vertical="top"/>
    </xf>
    <xf numFmtId="0" fontId="0" fillId="0" borderId="48" xfId="0" applyBorder="1" applyAlignment="1">
      <alignment horizontal="left"/>
    </xf>
    <xf numFmtId="0" fontId="0" fillId="15" borderId="48" xfId="0" applyFill="1" applyBorder="1" applyAlignment="1">
      <alignment horizontal="left"/>
    </xf>
    <xf numFmtId="0" fontId="0" fillId="16" borderId="48" xfId="0" applyFill="1" applyBorder="1" applyAlignment="1">
      <alignment horizontal="left"/>
    </xf>
    <xf numFmtId="0" fontId="0" fillId="0" borderId="48" xfId="0" applyBorder="1" applyAlignment="1">
      <alignment vertical="top" wrapText="1"/>
    </xf>
    <xf numFmtId="0" fontId="5" fillId="13" borderId="41" xfId="1" applyFont="1" applyFill="1" applyBorder="1" applyAlignment="1">
      <alignment horizontal="center" vertical="center"/>
    </xf>
    <xf numFmtId="0" fontId="5" fillId="13" borderId="41" xfId="1" applyFont="1" applyFill="1" applyBorder="1" applyAlignment="1">
      <alignment horizontal="left" vertical="center" wrapText="1"/>
    </xf>
    <xf numFmtId="1" fontId="5" fillId="13" borderId="41" xfId="1" applyNumberFormat="1" applyFont="1" applyFill="1" applyBorder="1" applyAlignment="1">
      <alignment horizontal="center" vertical="center"/>
    </xf>
    <xf numFmtId="0" fontId="5" fillId="13" borderId="1" xfId="1" applyFont="1" applyFill="1" applyBorder="1" applyAlignment="1">
      <alignment horizontal="center" vertical="center"/>
    </xf>
    <xf numFmtId="0" fontId="5" fillId="13" borderId="1" xfId="1" applyFont="1" applyFill="1" applyBorder="1" applyAlignment="1">
      <alignment horizontal="left" vertical="center" wrapText="1"/>
    </xf>
    <xf numFmtId="1" fontId="5" fillId="13" borderId="1" xfId="1" applyNumberFormat="1" applyFont="1" applyFill="1" applyBorder="1" applyAlignment="1">
      <alignment horizontal="center" vertical="center"/>
    </xf>
    <xf numFmtId="0" fontId="5" fillId="17" borderId="1" xfId="1" applyFont="1" applyFill="1" applyBorder="1" applyAlignment="1">
      <alignment horizontal="center" vertical="center"/>
    </xf>
    <xf numFmtId="0" fontId="5" fillId="17" borderId="1" xfId="1" applyFont="1" applyFill="1" applyBorder="1" applyAlignment="1">
      <alignment horizontal="left" vertical="center" wrapText="1"/>
    </xf>
    <xf numFmtId="1" fontId="5" fillId="17" borderId="1" xfId="1" applyNumberFormat="1" applyFont="1" applyFill="1" applyBorder="1" applyAlignment="1">
      <alignment horizontal="center" vertical="center"/>
    </xf>
    <xf numFmtId="0" fontId="5" fillId="18" borderId="1" xfId="1" applyFont="1" applyFill="1" applyBorder="1" applyAlignment="1">
      <alignment horizontal="center" vertical="center"/>
    </xf>
    <xf numFmtId="0" fontId="5" fillId="18" borderId="1" xfId="1" applyFont="1" applyFill="1" applyBorder="1" applyAlignment="1">
      <alignment horizontal="left" vertical="center" wrapText="1"/>
    </xf>
    <xf numFmtId="1" fontId="5" fillId="18" borderId="1" xfId="1" applyNumberFormat="1" applyFont="1" applyFill="1" applyBorder="1" applyAlignment="1">
      <alignment horizontal="center" vertical="center"/>
    </xf>
    <xf numFmtId="0" fontId="5" fillId="10" borderId="1" xfId="1" applyFont="1" applyFill="1" applyBorder="1" applyAlignment="1">
      <alignment horizontal="center" vertical="center"/>
    </xf>
    <xf numFmtId="0" fontId="5" fillId="10" borderId="1" xfId="1" applyFont="1" applyFill="1" applyBorder="1" applyAlignment="1">
      <alignment horizontal="left" vertical="center" wrapText="1"/>
    </xf>
    <xf numFmtId="1" fontId="5" fillId="10" borderId="1" xfId="1" applyNumberFormat="1" applyFont="1" applyFill="1" applyBorder="1" applyAlignment="1">
      <alignment horizontal="center" vertical="center"/>
    </xf>
    <xf numFmtId="0" fontId="5" fillId="14" borderId="1" xfId="1" applyFont="1" applyFill="1" applyBorder="1" applyAlignment="1">
      <alignment horizontal="center" vertical="center"/>
    </xf>
    <xf numFmtId="0" fontId="5" fillId="14" borderId="1" xfId="1" applyFont="1" applyFill="1" applyBorder="1" applyAlignment="1">
      <alignment horizontal="left" vertical="center" wrapText="1"/>
    </xf>
    <xf numFmtId="1" fontId="5" fillId="14" borderId="1" xfId="1" applyNumberFormat="1" applyFont="1" applyFill="1" applyBorder="1" applyAlignment="1">
      <alignment horizontal="center" vertical="center"/>
    </xf>
    <xf numFmtId="3" fontId="3" fillId="0" borderId="5" xfId="1" quotePrefix="1" applyNumberFormat="1" applyFont="1" applyBorder="1" applyAlignment="1">
      <alignment horizontal="center" vertical="center" wrapText="1"/>
    </xf>
    <xf numFmtId="9" fontId="4" fillId="7" borderId="16" xfId="2" applyFont="1" applyFill="1" applyBorder="1" applyAlignment="1">
      <alignment vertical="center" wrapText="1"/>
    </xf>
    <xf numFmtId="9" fontId="4" fillId="7" borderId="0" xfId="2" applyFont="1" applyFill="1" applyBorder="1" applyAlignment="1">
      <alignment vertical="center" wrapText="1"/>
    </xf>
    <xf numFmtId="9" fontId="4" fillId="7" borderId="15" xfId="2" applyFont="1" applyFill="1" applyBorder="1" applyAlignment="1">
      <alignment horizontal="center" vertical="center"/>
    </xf>
    <xf numFmtId="9" fontId="3" fillId="7" borderId="3" xfId="2" applyFont="1" applyFill="1" applyBorder="1" applyAlignment="1">
      <alignment horizontal="center" vertical="top" wrapText="1"/>
    </xf>
    <xf numFmtId="9" fontId="1" fillId="0" borderId="0" xfId="2" applyFont="1" applyAlignment="1">
      <alignment horizontal="center" vertical="center"/>
    </xf>
    <xf numFmtId="9" fontId="3" fillId="0" borderId="3" xfId="1" quotePrefix="1" applyNumberFormat="1" applyFont="1" applyBorder="1" applyAlignment="1">
      <alignment horizontal="center" vertical="center" wrapText="1"/>
    </xf>
    <xf numFmtId="3" fontId="4" fillId="3" borderId="17" xfId="0" applyNumberFormat="1" applyFont="1" applyFill="1" applyBorder="1" applyAlignment="1">
      <alignment horizontal="center" vertical="center" wrapText="1"/>
    </xf>
    <xf numFmtId="3" fontId="3" fillId="0" borderId="8" xfId="1" quotePrefix="1" applyNumberFormat="1" applyFont="1" applyBorder="1" applyAlignment="1">
      <alignment horizontal="center" vertical="center" wrapText="1"/>
    </xf>
    <xf numFmtId="1" fontId="4" fillId="10" borderId="38" xfId="0" applyNumberFormat="1" applyFont="1" applyFill="1" applyBorder="1" applyAlignment="1">
      <alignment vertical="center" wrapText="1"/>
    </xf>
    <xf numFmtId="1" fontId="4" fillId="10" borderId="0" xfId="0" applyNumberFormat="1" applyFont="1" applyFill="1" applyAlignment="1">
      <alignment vertical="center" wrapText="1"/>
    </xf>
    <xf numFmtId="1" fontId="4" fillId="10" borderId="15" xfId="0" applyNumberFormat="1" applyFont="1" applyFill="1" applyBorder="1" applyAlignment="1">
      <alignment horizontal="center" vertical="center"/>
    </xf>
    <xf numFmtId="1" fontId="3" fillId="10" borderId="2" xfId="1" applyNumberFormat="1" applyFont="1" applyFill="1" applyBorder="1" applyAlignment="1">
      <alignment horizontal="center" vertical="top" wrapText="1"/>
    </xf>
    <xf numFmtId="1" fontId="3" fillId="0" borderId="3" xfId="1" quotePrefix="1" applyNumberFormat="1" applyFont="1" applyBorder="1" applyAlignment="1">
      <alignment horizontal="center" vertical="center" wrapText="1"/>
    </xf>
    <xf numFmtId="1" fontId="5" fillId="11" borderId="1" xfId="0" applyNumberFormat="1" applyFont="1" applyFill="1" applyBorder="1" applyAlignment="1">
      <alignment horizontal="center" vertical="center"/>
    </xf>
    <xf numFmtId="9" fontId="4" fillId="4" borderId="39" xfId="0" applyNumberFormat="1" applyFont="1" applyFill="1" applyBorder="1" applyAlignment="1">
      <alignment vertical="center" wrapText="1"/>
    </xf>
    <xf numFmtId="9" fontId="4" fillId="4" borderId="40" xfId="0" applyNumberFormat="1" applyFont="1" applyFill="1" applyBorder="1" applyAlignment="1">
      <alignment horizontal="center" vertical="top" wrapText="1"/>
    </xf>
    <xf numFmtId="1" fontId="5" fillId="0" borderId="27" xfId="3" applyNumberFormat="1" applyFont="1" applyBorder="1" applyAlignment="1">
      <alignment horizontal="center" vertical="center"/>
    </xf>
    <xf numFmtId="0" fontId="5" fillId="19" borderId="1" xfId="1" applyFont="1" applyFill="1" applyBorder="1" applyAlignment="1">
      <alignment horizontal="center" vertical="center"/>
    </xf>
    <xf numFmtId="0" fontId="5" fillId="19" borderId="1" xfId="1" applyFont="1" applyFill="1" applyBorder="1" applyAlignment="1">
      <alignment horizontal="left" vertical="center" wrapText="1"/>
    </xf>
    <xf numFmtId="1" fontId="5" fillId="19" borderId="1" xfId="1" applyNumberFormat="1" applyFont="1" applyFill="1" applyBorder="1" applyAlignment="1">
      <alignment horizontal="center" vertical="center"/>
    </xf>
    <xf numFmtId="0" fontId="5" fillId="20" borderId="1" xfId="1" applyFont="1" applyFill="1" applyBorder="1" applyAlignment="1">
      <alignment horizontal="center" vertical="center"/>
    </xf>
    <xf numFmtId="0" fontId="5" fillId="20" borderId="1" xfId="1" applyFont="1" applyFill="1" applyBorder="1" applyAlignment="1">
      <alignment horizontal="left" vertical="center" wrapText="1"/>
    </xf>
    <xf numFmtId="1" fontId="5" fillId="20" borderId="1" xfId="1" applyNumberFormat="1" applyFont="1" applyFill="1" applyBorder="1" applyAlignment="1">
      <alignment horizontal="center" vertical="center"/>
    </xf>
    <xf numFmtId="0" fontId="5" fillId="20" borderId="0" xfId="1" applyFont="1" applyFill="1" applyAlignment="1">
      <alignment horizontal="center" vertical="center"/>
    </xf>
    <xf numFmtId="0" fontId="10" fillId="20" borderId="0" xfId="0" applyFont="1" applyFill="1" applyAlignment="1">
      <alignment horizontal="center" vertical="center"/>
    </xf>
    <xf numFmtId="0" fontId="5" fillId="21" borderId="1" xfId="1" applyFont="1" applyFill="1" applyBorder="1" applyAlignment="1">
      <alignment horizontal="center" vertical="center"/>
    </xf>
    <xf numFmtId="0" fontId="5" fillId="21" borderId="1" xfId="1" applyFont="1" applyFill="1" applyBorder="1" applyAlignment="1">
      <alignment horizontal="left" vertical="center" wrapText="1"/>
    </xf>
    <xf numFmtId="1" fontId="5" fillId="21" borderId="1" xfId="1" applyNumberFormat="1" applyFont="1" applyFill="1" applyBorder="1" applyAlignment="1">
      <alignment horizontal="center" vertical="center"/>
    </xf>
    <xf numFmtId="0" fontId="5" fillId="22" borderId="1" xfId="1" applyFont="1" applyFill="1" applyBorder="1" applyAlignment="1">
      <alignment horizontal="center" vertical="center"/>
    </xf>
    <xf numFmtId="0" fontId="5" fillId="22" borderId="1" xfId="1" applyFont="1" applyFill="1" applyBorder="1" applyAlignment="1">
      <alignment horizontal="left" vertical="center" wrapText="1"/>
    </xf>
    <xf numFmtId="1" fontId="5" fillId="22" borderId="1" xfId="1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37" xfId="0" applyFont="1" applyFill="1" applyBorder="1" applyAlignment="1">
      <alignment vertical="center"/>
    </xf>
    <xf numFmtId="0" fontId="4" fillId="4" borderId="28" xfId="0" applyFont="1" applyFill="1" applyBorder="1" applyAlignment="1">
      <alignment vertical="top"/>
    </xf>
    <xf numFmtId="9" fontId="4" fillId="4" borderId="29" xfId="0" applyNumberFormat="1" applyFont="1" applyFill="1" applyBorder="1" applyAlignment="1">
      <alignment vertical="center" wrapText="1"/>
    </xf>
    <xf numFmtId="0" fontId="4" fillId="4" borderId="49" xfId="0" applyFont="1" applyFill="1" applyBorder="1" applyAlignment="1">
      <alignment vertical="top"/>
    </xf>
    <xf numFmtId="0" fontId="4" fillId="4" borderId="50" xfId="0" applyFont="1" applyFill="1" applyBorder="1" applyAlignment="1">
      <alignment vertical="center" wrapText="1"/>
    </xf>
    <xf numFmtId="9" fontId="4" fillId="4" borderId="51" xfId="0" applyNumberFormat="1" applyFont="1" applyFill="1" applyBorder="1" applyAlignment="1">
      <alignment vertical="center" wrapText="1"/>
    </xf>
    <xf numFmtId="3" fontId="4" fillId="2" borderId="19" xfId="0" applyNumberFormat="1" applyFont="1" applyFill="1" applyBorder="1" applyAlignment="1">
      <alignment horizontal="center" vertical="top" wrapText="1"/>
    </xf>
    <xf numFmtId="3" fontId="4" fillId="2" borderId="4" xfId="0" applyNumberFormat="1" applyFont="1" applyFill="1" applyBorder="1" applyAlignment="1">
      <alignment horizontal="center" vertical="top" wrapText="1"/>
    </xf>
    <xf numFmtId="3" fontId="4" fillId="2" borderId="20" xfId="0" applyNumberFormat="1" applyFont="1" applyFill="1" applyBorder="1" applyAlignment="1">
      <alignment horizontal="center" vertical="top" wrapText="1"/>
    </xf>
    <xf numFmtId="3" fontId="4" fillId="2" borderId="3" xfId="0" applyNumberFormat="1" applyFont="1" applyFill="1" applyBorder="1" applyAlignment="1">
      <alignment horizontal="center" vertical="center" wrapText="1"/>
    </xf>
    <xf numFmtId="3" fontId="4" fillId="2" borderId="20" xfId="0" applyNumberFormat="1" applyFont="1" applyFill="1" applyBorder="1" applyAlignment="1">
      <alignment horizontal="center" vertical="center" wrapText="1"/>
    </xf>
    <xf numFmtId="3" fontId="4" fillId="2" borderId="19" xfId="0" applyNumberFormat="1" applyFont="1" applyFill="1" applyBorder="1" applyAlignment="1">
      <alignment horizontal="center" vertical="center" wrapText="1"/>
    </xf>
    <xf numFmtId="0" fontId="4" fillId="12" borderId="4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42" xfId="0" applyFont="1" applyFill="1" applyBorder="1" applyAlignment="1">
      <alignment horizontal="center" vertical="center" wrapText="1"/>
    </xf>
    <xf numFmtId="9" fontId="4" fillId="3" borderId="21" xfId="0" applyNumberFormat="1" applyFont="1" applyFill="1" applyBorder="1" applyAlignment="1">
      <alignment horizontal="center" vertical="center" wrapText="1"/>
    </xf>
    <xf numFmtId="9" fontId="4" fillId="3" borderId="23" xfId="0" applyNumberFormat="1" applyFont="1" applyFill="1" applyBorder="1" applyAlignment="1">
      <alignment horizontal="center" vertical="center" wrapText="1"/>
    </xf>
    <xf numFmtId="9" fontId="4" fillId="3" borderId="11" xfId="0" applyNumberFormat="1" applyFont="1" applyFill="1" applyBorder="1" applyAlignment="1">
      <alignment horizontal="center" vertical="center" wrapText="1"/>
    </xf>
    <xf numFmtId="3" fontId="4" fillId="7" borderId="16" xfId="0" applyNumberFormat="1" applyFont="1" applyFill="1" applyBorder="1" applyAlignment="1">
      <alignment horizontal="center" vertical="center" textRotation="90" wrapText="1"/>
    </xf>
    <xf numFmtId="3" fontId="4" fillId="7" borderId="0" xfId="0" applyNumberFormat="1" applyFont="1" applyFill="1" applyAlignment="1">
      <alignment horizontal="center" vertical="center" textRotation="90" wrapText="1"/>
    </xf>
    <xf numFmtId="3" fontId="4" fillId="7" borderId="15" xfId="0" applyNumberFormat="1" applyFont="1" applyFill="1" applyBorder="1" applyAlignment="1">
      <alignment horizontal="center" vertical="center" textRotation="90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3" fontId="4" fillId="3" borderId="43" xfId="0" applyNumberFormat="1" applyFont="1" applyFill="1" applyBorder="1" applyAlignment="1">
      <alignment horizontal="center" vertical="center" wrapText="1"/>
    </xf>
    <xf numFmtId="3" fontId="4" fillId="3" borderId="44" xfId="0" applyNumberFormat="1" applyFont="1" applyFill="1" applyBorder="1" applyAlignment="1">
      <alignment horizontal="center" vertical="center" wrapText="1"/>
    </xf>
    <xf numFmtId="3" fontId="4" fillId="3" borderId="45" xfId="0" applyNumberFormat="1" applyFont="1" applyFill="1" applyBorder="1" applyAlignment="1">
      <alignment horizontal="center" vertical="center" wrapText="1"/>
    </xf>
    <xf numFmtId="9" fontId="4" fillId="3" borderId="9" xfId="0" applyNumberFormat="1" applyFont="1" applyFill="1" applyBorder="1" applyAlignment="1">
      <alignment horizontal="center" vertical="center" wrapText="1"/>
    </xf>
    <xf numFmtId="9" fontId="4" fillId="3" borderId="24" xfId="0" applyNumberFormat="1" applyFont="1" applyFill="1" applyBorder="1" applyAlignment="1">
      <alignment horizontal="center" vertical="center" wrapText="1"/>
    </xf>
    <xf numFmtId="9" fontId="4" fillId="3" borderId="8" xfId="0" applyNumberFormat="1" applyFont="1" applyFill="1" applyBorder="1" applyAlignment="1">
      <alignment horizontal="center" vertical="center" wrapText="1"/>
    </xf>
    <xf numFmtId="3" fontId="4" fillId="3" borderId="36" xfId="0" applyNumberFormat="1" applyFont="1" applyFill="1" applyBorder="1" applyAlignment="1">
      <alignment horizontal="center" vertical="center" wrapText="1"/>
    </xf>
    <xf numFmtId="3" fontId="4" fillId="3" borderId="33" xfId="0" applyNumberFormat="1" applyFont="1" applyFill="1" applyBorder="1" applyAlignment="1">
      <alignment horizontal="center" vertical="center" wrapText="1"/>
    </xf>
    <xf numFmtId="3" fontId="4" fillId="3" borderId="32" xfId="0" applyNumberFormat="1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 xr:uid="{F374E3B3-30C9-464A-8333-B5F13A08763B}"/>
    <cellStyle name="Процентный" xfId="2" builtinId="5"/>
    <cellStyle name="Финансовый" xfId="3" builtinId="3"/>
  </cellStyles>
  <dxfs count="230">
    <dxf>
      <font>
        <color rgb="FFCD0003"/>
        <family val="2"/>
      </font>
      <fill>
        <patternFill patternType="solid">
          <bgColor rgb="FFF6C5C6"/>
        </patternFill>
      </fill>
    </dxf>
    <dxf>
      <font>
        <color rgb="FF000000"/>
        <family val="2"/>
      </font>
      <fill>
        <patternFill patternType="solid">
          <bgColor rgb="FFFDEE98"/>
        </patternFill>
      </fill>
    </dxf>
    <dxf>
      <font>
        <color rgb="FF000000"/>
        <family val="2"/>
      </font>
      <fill>
        <patternFill patternType="solid">
          <bgColor rgb="FFFDEE98"/>
        </patternFill>
      </fill>
    </dxf>
    <dxf>
      <font>
        <color rgb="FFCD0003"/>
        <family val="2"/>
      </font>
      <fill>
        <patternFill patternType="solid">
          <bgColor rgb="FFF6C5C6"/>
        </patternFill>
      </fill>
    </dxf>
    <dxf>
      <font>
        <color rgb="FFCD0003"/>
        <family val="2"/>
      </font>
      <fill>
        <patternFill patternType="solid">
          <bgColor rgb="FFF6C5C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rgb="FFCCCCFF"/>
        </patternFill>
      </fill>
    </dxf>
  </dxfs>
  <tableStyles count="0" defaultTableStyle="TableStyleMedium2" defaultPivotStyle="PivotStyleLight16"/>
  <colors>
    <mruColors>
      <color rgb="FFCCFFFF"/>
      <color rgb="FFCCCCFF"/>
      <color rgb="FF99CCFF"/>
      <color rgb="FFFF99CC"/>
      <color rgb="FF00CC99"/>
      <color rgb="FFFFFF99"/>
      <color rgb="FFFFCC99"/>
      <color rgb="FFCCECFF"/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&#1048;&#1055;%20&#1057;&#1080;&#1076;&#1086;&#1088;&#1077;&#1085;&#1082;&#1086;%20&#1040;&#1045;\&#1052;&#1040;&#1056;&#1050;&#1045;&#1058;&#1055;&#1051;&#1045;&#1049;&#1057;&#1067;\UNIT%20&#1055;&#1051;&#1040;&#1053;.xlsx" TargetMode="External"/><Relationship Id="rId1" Type="http://schemas.openxmlformats.org/officeDocument/2006/relationships/externalLinkPath" Target="/WORK/&#1048;&#1055;%20&#1057;&#1080;&#1076;&#1086;&#1088;&#1077;&#1085;&#1082;&#1086;%20&#1040;&#1045;/&#1052;&#1040;&#1056;&#1050;&#1045;&#1058;&#1055;&#1051;&#1045;&#1049;&#1057;&#1067;/UNIT%20&#1055;&#1051;&#1040;&#105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Юнит"/>
      <sheetName val="Юнит Карго"/>
      <sheetName val="Расчет Карго"/>
      <sheetName val="Себес"/>
      <sheetName val="Себес 1С текущ"/>
      <sheetName val="Структура артикула"/>
      <sheetName val="Тарифы ОЗОН"/>
      <sheetName val="Тарифы ВБ"/>
      <sheetName val="Нормативное время доставки"/>
    </sheetNames>
    <sheetDataSet>
      <sheetData sheetId="0">
        <row r="1">
          <cell r="AJ1" t="str">
            <v>Маржинальность</v>
          </cell>
          <cell r="AN1" t="str">
            <v>ЖЕЛАЕМАЯ ЦЕНА</v>
          </cell>
          <cell r="AR1" t="str">
            <v>ЖЕЛАЕМАЯ МАРЖА</v>
          </cell>
          <cell r="AU1" t="str">
            <v>Маржа акции</v>
          </cell>
        </row>
        <row r="3">
          <cell r="A3" t="str">
            <v>Код WB</v>
          </cell>
          <cell r="E3" t="str">
            <v>Штрихкод</v>
          </cell>
        </row>
        <row r="4">
          <cell r="A4" t="str">
            <v>1</v>
          </cell>
          <cell r="E4" t="str">
            <v>5</v>
          </cell>
          <cell r="AJ4" t="str">
            <v>36</v>
          </cell>
          <cell r="AN4" t="str">
            <v>40</v>
          </cell>
          <cell r="AR4" t="str">
            <v>44</v>
          </cell>
          <cell r="AU4" t="str">
            <v>47</v>
          </cell>
        </row>
        <row r="5">
          <cell r="A5">
            <v>169112569</v>
          </cell>
          <cell r="C5" t="str">
            <v>ACRF1BN101PN</v>
          </cell>
          <cell r="D5" t="str">
            <v>Бандаж для лица розовый</v>
          </cell>
          <cell r="E5">
            <v>2038161736993</v>
          </cell>
          <cell r="AJ5">
            <v>0.22147728613569312</v>
          </cell>
          <cell r="AN5">
            <v>829</v>
          </cell>
          <cell r="AR5">
            <v>0.29258595898673095</v>
          </cell>
          <cell r="AU5">
            <v>0.2216672386058981</v>
          </cell>
        </row>
        <row r="6">
          <cell r="A6">
            <v>169153168</v>
          </cell>
          <cell r="C6" t="str">
            <v>ACRF1BN101BC</v>
          </cell>
          <cell r="D6" t="str">
            <v>Бандаж для лица черный</v>
          </cell>
          <cell r="E6">
            <v>2038162681926</v>
          </cell>
          <cell r="AJ6">
            <v>0.24928306420891602</v>
          </cell>
          <cell r="AN6">
            <v>829</v>
          </cell>
          <cell r="AR6">
            <v>0.31760109684802124</v>
          </cell>
          <cell r="AU6">
            <v>0.2494655620469298</v>
          </cell>
        </row>
        <row r="7">
          <cell r="A7">
            <v>169395410</v>
          </cell>
          <cell r="C7" t="str">
            <v>ACRF1BN201GR</v>
          </cell>
          <cell r="D7" t="str">
            <v>Бандаж для лица серый</v>
          </cell>
          <cell r="E7">
            <v>2038172050200</v>
          </cell>
          <cell r="AJ7">
            <v>0.22775012045136964</v>
          </cell>
          <cell r="AN7">
            <v>1159</v>
          </cell>
          <cell r="AR7">
            <v>0.29670269706278835</v>
          </cell>
          <cell r="AU7">
            <v>0.22761571856054705</v>
          </cell>
        </row>
        <row r="8">
          <cell r="A8">
            <v>172832355</v>
          </cell>
          <cell r="C8" t="str">
            <v>AHMA7BW101BG</v>
          </cell>
          <cell r="D8" t="str">
            <v>Мешки 7 шт.</v>
          </cell>
          <cell r="E8">
            <v>2038337652454</v>
          </cell>
          <cell r="AJ8">
            <v>0.26913927068917537</v>
          </cell>
          <cell r="AN8">
            <v>2119</v>
          </cell>
          <cell r="AR8">
            <v>0.27600049581651753</v>
          </cell>
          <cell r="AU8">
            <v>0.26913927068917537</v>
          </cell>
        </row>
        <row r="9">
          <cell r="A9">
            <v>176500218</v>
          </cell>
          <cell r="C9" t="str">
            <v>AHMA1BW101BG</v>
          </cell>
          <cell r="D9" t="str">
            <v>Мешок для бюстгалтеров</v>
          </cell>
          <cell r="E9">
            <v>2038597850744</v>
          </cell>
          <cell r="AJ9">
            <v>0.19328634730978919</v>
          </cell>
          <cell r="AN9">
            <v>599</v>
          </cell>
          <cell r="AR9">
            <v>0.26732668435812096</v>
          </cell>
          <cell r="AU9">
            <v>0.19355971044622347</v>
          </cell>
        </row>
        <row r="10">
          <cell r="A10">
            <v>177404837</v>
          </cell>
          <cell r="C10" t="str">
            <v>AHMA3BW101BG</v>
          </cell>
          <cell r="D10" t="str">
            <v>Мешки 3 шт.</v>
          </cell>
          <cell r="E10">
            <v>2038627692689</v>
          </cell>
          <cell r="AJ10">
            <v>0.23436899374097256</v>
          </cell>
          <cell r="AN10">
            <v>1259</v>
          </cell>
          <cell r="AR10">
            <v>0.241441334392375</v>
          </cell>
          <cell r="AU10">
            <v>0.23425733547351532</v>
          </cell>
        </row>
        <row r="11">
          <cell r="A11">
            <v>177405495</v>
          </cell>
          <cell r="C11" t="str">
            <v>AHMA3BW102BG</v>
          </cell>
          <cell r="D11" t="str">
            <v>Мешки/деликат 3 шт.</v>
          </cell>
          <cell r="E11">
            <v>2038627713902</v>
          </cell>
          <cell r="AJ11">
            <v>0.23489233699786036</v>
          </cell>
          <cell r="AN11">
            <v>1119</v>
          </cell>
          <cell r="AR11">
            <v>0.24160115090351111</v>
          </cell>
          <cell r="AU11">
            <v>0.23476686630056767</v>
          </cell>
        </row>
        <row r="12">
          <cell r="A12">
            <v>176721350</v>
          </cell>
          <cell r="C12" t="str">
            <v>AHMA3BW201WH</v>
          </cell>
          <cell r="D12" t="str">
            <v>Мешки/шнурок мелк 3 шт.</v>
          </cell>
          <cell r="E12">
            <v>2038606201642</v>
          </cell>
          <cell r="AJ12">
            <v>0.18082062226991713</v>
          </cell>
          <cell r="AN12">
            <v>839</v>
          </cell>
          <cell r="AR12">
            <v>0.25386337924050206</v>
          </cell>
          <cell r="AU12">
            <v>0.18062268848451946</v>
          </cell>
        </row>
        <row r="13">
          <cell r="A13">
            <v>176723275</v>
          </cell>
          <cell r="C13" t="str">
            <v>AHMA3BW202WH</v>
          </cell>
          <cell r="D13" t="str">
            <v>Мешки/шнурок крупн 3 шт.</v>
          </cell>
          <cell r="E13">
            <v>2038606256161</v>
          </cell>
          <cell r="AJ13">
            <v>0.22132677060417419</v>
          </cell>
          <cell r="AN13">
            <v>839</v>
          </cell>
          <cell r="AR13">
            <v>0.221495703435973</v>
          </cell>
          <cell r="AU13">
            <v>0.221495703435973</v>
          </cell>
        </row>
        <row r="14">
          <cell r="A14">
            <v>204615141</v>
          </cell>
          <cell r="C14" t="str">
            <v>AHMA2BW201WH</v>
          </cell>
          <cell r="D14" t="str">
            <v>Мешки 2 шт. серый</v>
          </cell>
          <cell r="E14">
            <v>2039404446068</v>
          </cell>
          <cell r="AJ14">
            <v>0.16289094605569107</v>
          </cell>
          <cell r="AN14">
            <v>659</v>
          </cell>
          <cell r="AR14">
            <v>0.2336651956456971</v>
          </cell>
          <cell r="AU14">
            <v>0.16263438784366951</v>
          </cell>
        </row>
        <row r="15">
          <cell r="A15">
            <v>236074677</v>
          </cell>
          <cell r="C15" t="str">
            <v>AHMA2BW202WH</v>
          </cell>
          <cell r="D15" t="str">
            <v>Мешки 2 шт. розовый</v>
          </cell>
          <cell r="E15">
            <v>2040278862540</v>
          </cell>
          <cell r="AJ15">
            <v>0.17474666666666661</v>
          </cell>
          <cell r="AN15">
            <v>759</v>
          </cell>
          <cell r="AR15">
            <v>0.18370223978919625</v>
          </cell>
          <cell r="AU15">
            <v>0.17474666666666661</v>
          </cell>
        </row>
        <row r="16">
          <cell r="A16">
            <v>236929187</v>
          </cell>
          <cell r="C16" t="str">
            <v>AHMA1BW112WH</v>
          </cell>
          <cell r="D16" t="str">
            <v>Мешок 60*80 крупн</v>
          </cell>
          <cell r="E16">
            <v>2040335626849</v>
          </cell>
          <cell r="AJ16">
            <v>0.23967963111737531</v>
          </cell>
          <cell r="AN16">
            <v>669</v>
          </cell>
          <cell r="AR16">
            <v>0.23967963111737531</v>
          </cell>
          <cell r="AU16">
            <v>0.23967963111737531</v>
          </cell>
        </row>
        <row r="17">
          <cell r="A17">
            <v>236929188</v>
          </cell>
          <cell r="C17" t="str">
            <v>AHMA1BW111WH</v>
          </cell>
          <cell r="D17" t="str">
            <v>Мешок 60*80 мелк</v>
          </cell>
          <cell r="E17">
            <v>2040335648124</v>
          </cell>
          <cell r="AJ17">
            <v>0.23978648119773474</v>
          </cell>
          <cell r="AN17">
            <v>669</v>
          </cell>
          <cell r="AR17">
            <v>0.23958013933860095</v>
          </cell>
          <cell r="AU17">
            <v>0</v>
          </cell>
        </row>
        <row r="18">
          <cell r="A18">
            <v>239235150</v>
          </cell>
          <cell r="C18" t="str">
            <v>AHMA1BW301WH</v>
          </cell>
          <cell r="D18" t="str">
            <v>Мешок для обуви L - 30 см</v>
          </cell>
          <cell r="E18">
            <v>2040478720961</v>
          </cell>
          <cell r="AJ18">
            <v>9.7321506682867431E-2</v>
          </cell>
          <cell r="AN18">
            <v>499</v>
          </cell>
          <cell r="AR18">
            <v>0.10599871743486969</v>
          </cell>
          <cell r="AU18">
            <v>9.7658623481781323E-2</v>
          </cell>
        </row>
        <row r="19">
          <cell r="A19">
            <v>239233529</v>
          </cell>
          <cell r="C19" t="str">
            <v>AHMA1BW302WH</v>
          </cell>
          <cell r="D19" t="str">
            <v>Мешок для обуви XL - 35 см</v>
          </cell>
          <cell r="E19">
            <v>2040478696884</v>
          </cell>
          <cell r="AJ19">
            <v>8.3696638176638152E-2</v>
          </cell>
          <cell r="AN19">
            <v>709</v>
          </cell>
          <cell r="AR19">
            <v>9.2052242595204517E-2</v>
          </cell>
          <cell r="AU19">
            <v>8.3696638176638152E-2</v>
          </cell>
        </row>
        <row r="20">
          <cell r="A20">
            <v>173605843</v>
          </cell>
          <cell r="C20" t="str">
            <v>ACRH1MS101RJ</v>
          </cell>
          <cell r="D20" t="str">
            <v>Массажер для пальцев</v>
          </cell>
          <cell r="E20">
            <v>2038430289250</v>
          </cell>
          <cell r="AJ20">
            <v>-4.2963170163170139E-2</v>
          </cell>
          <cell r="AN20">
            <v>409</v>
          </cell>
          <cell r="AR20">
            <v>0.11356733496332523</v>
          </cell>
          <cell r="AU20">
            <v>-4.3530495626822104E-2</v>
          </cell>
        </row>
        <row r="21">
          <cell r="A21">
            <v>223420736</v>
          </cell>
          <cell r="C21" t="str">
            <v>ACRB1MS101RJ</v>
          </cell>
          <cell r="D21" t="str">
            <v>Массажер для тела оранжевый</v>
          </cell>
          <cell r="E21">
            <v>2039813223373</v>
          </cell>
          <cell r="AJ21">
            <v>0.24772840340439237</v>
          </cell>
          <cell r="AN21">
            <v>919</v>
          </cell>
          <cell r="AR21">
            <v>0.26094323955172843</v>
          </cell>
          <cell r="AU21">
            <v>0.24757695576918809</v>
          </cell>
        </row>
        <row r="22">
          <cell r="A22">
            <v>275208801</v>
          </cell>
          <cell r="C22" t="str">
            <v>ACRB1MS101PN</v>
          </cell>
          <cell r="D22" t="str">
            <v>Массажер для тела розовый</v>
          </cell>
          <cell r="E22">
            <v>2041591042329</v>
          </cell>
          <cell r="AJ22">
            <v>0.16754243535877283</v>
          </cell>
          <cell r="AN22">
            <v>919</v>
          </cell>
          <cell r="AR22">
            <v>0.32866241256587436</v>
          </cell>
          <cell r="AU22">
            <v>0.16775276848005324</v>
          </cell>
        </row>
        <row r="23">
          <cell r="A23">
            <v>275208802</v>
          </cell>
          <cell r="C23" t="str">
            <v>ACRB1MS101BL</v>
          </cell>
          <cell r="D23" t="str">
            <v>Массажер для тела голубой</v>
          </cell>
          <cell r="E23">
            <v>2041591055954</v>
          </cell>
          <cell r="AJ23">
            <v>0.25414505184206126</v>
          </cell>
          <cell r="AN23">
            <v>919</v>
          </cell>
          <cell r="AR23">
            <v>0.2540715094102704</v>
          </cell>
          <cell r="AU23">
            <v>0</v>
          </cell>
        </row>
        <row r="24">
          <cell r="A24">
            <v>236072835</v>
          </cell>
          <cell r="C24" t="str">
            <v>ACRB1MS106WH</v>
          </cell>
          <cell r="D24" t="str">
            <v>Мяч с шипами белый 6 см</v>
          </cell>
          <cell r="E24">
            <v>2040278804496</v>
          </cell>
          <cell r="AJ24">
            <v>0.23274028356283011</v>
          </cell>
          <cell r="AN24">
            <v>599</v>
          </cell>
          <cell r="AR24">
            <v>0.23506836274959864</v>
          </cell>
          <cell r="AU24">
            <v>0.23274028356283011</v>
          </cell>
        </row>
        <row r="25">
          <cell r="A25">
            <v>236072836</v>
          </cell>
          <cell r="C25" t="str">
            <v>ACRB1MS106PN</v>
          </cell>
          <cell r="D25" t="str">
            <v>Мяч с шипами розовый 6 см</v>
          </cell>
          <cell r="E25">
            <v>2040278810534</v>
          </cell>
          <cell r="AJ25">
            <v>0.23029977949900407</v>
          </cell>
          <cell r="AN25">
            <v>599</v>
          </cell>
          <cell r="AR25">
            <v>0.23754208562105117</v>
          </cell>
          <cell r="AU25">
            <v>0.23053576608264698</v>
          </cell>
        </row>
        <row r="26">
          <cell r="A26">
            <v>236072834</v>
          </cell>
          <cell r="C26" t="str">
            <v>ACRB1MS106BL</v>
          </cell>
          <cell r="D26" t="str">
            <v>Мяч с шипами голубой 6 см</v>
          </cell>
          <cell r="E26">
            <v>2040278804649</v>
          </cell>
          <cell r="AJ26">
            <v>0.19973588341962115</v>
          </cell>
          <cell r="AN26">
            <v>599</v>
          </cell>
          <cell r="AR26">
            <v>0.26581320415193593</v>
          </cell>
          <cell r="AU26">
            <v>0.20000387025139382</v>
          </cell>
        </row>
        <row r="27">
          <cell r="A27">
            <v>223671295</v>
          </cell>
          <cell r="C27" t="str">
            <v>ACRB1MS106RJ</v>
          </cell>
          <cell r="D27" t="str">
            <v>Мяч с шипами оранжевый 6 см</v>
          </cell>
          <cell r="E27">
            <v>2039818580389</v>
          </cell>
          <cell r="AJ27">
            <v>9.9849835856568342E-2</v>
          </cell>
          <cell r="AN27">
            <v>599</v>
          </cell>
          <cell r="AR27">
            <v>0.33295711066278738</v>
          </cell>
          <cell r="AU27">
            <v>0.10023505635037039</v>
          </cell>
        </row>
        <row r="28">
          <cell r="A28">
            <v>370591238</v>
          </cell>
          <cell r="C28" t="str">
            <v>ACRB1MS106BС</v>
          </cell>
          <cell r="D28" t="str">
            <v>Мяч с шипами черный 6 см</v>
          </cell>
          <cell r="E28">
            <v>2043369663040</v>
          </cell>
          <cell r="AJ28">
            <v>0.25419858025201875</v>
          </cell>
          <cell r="AN28">
            <v>599</v>
          </cell>
          <cell r="AR28">
            <v>0.25397293704008278</v>
          </cell>
          <cell r="AU28">
            <v>0</v>
          </cell>
        </row>
        <row r="29">
          <cell r="A29">
            <v>419145391</v>
          </cell>
          <cell r="C29" t="str">
            <v>ACRB1MS107WH</v>
          </cell>
          <cell r="D29" t="str">
            <v>Мяч с шипами белый 7 см</v>
          </cell>
          <cell r="E29">
            <v>2044025326637</v>
          </cell>
          <cell r="AJ29">
            <v>0.24701467991356557</v>
          </cell>
          <cell r="AN29">
            <v>619</v>
          </cell>
          <cell r="AR29">
            <v>0.24723535368419128</v>
          </cell>
          <cell r="AU29">
            <v>0</v>
          </cell>
        </row>
        <row r="30">
          <cell r="A30">
            <v>419145389</v>
          </cell>
          <cell r="C30" t="str">
            <v>ACRB1MS107PN</v>
          </cell>
          <cell r="D30" t="str">
            <v>Мяч с шипами розовый 7 см</v>
          </cell>
          <cell r="E30">
            <v>2044025316447</v>
          </cell>
          <cell r="AJ30">
            <v>0.24334595413482749</v>
          </cell>
          <cell r="AN30">
            <v>619</v>
          </cell>
          <cell r="AR30">
            <v>0.25111102412037867</v>
          </cell>
          <cell r="AU30">
            <v>0.24334595413482749</v>
          </cell>
        </row>
        <row r="31">
          <cell r="A31">
            <v>419145748</v>
          </cell>
          <cell r="C31" t="str">
            <v>ACRB1MS107BL</v>
          </cell>
          <cell r="D31" t="str">
            <v>Мяч с шипами голубой 7 см</v>
          </cell>
          <cell r="E31">
            <v>2044025338661</v>
          </cell>
          <cell r="AJ31">
            <v>0.20786038309926691</v>
          </cell>
          <cell r="AN31">
            <v>619</v>
          </cell>
          <cell r="AR31">
            <v>0.28462417436270504</v>
          </cell>
          <cell r="AU31">
            <v>0.20759921144758484</v>
          </cell>
        </row>
        <row r="32">
          <cell r="A32">
            <v>419141548</v>
          </cell>
          <cell r="C32" t="str">
            <v>ACRB1MS107RJ</v>
          </cell>
          <cell r="D32" t="str">
            <v>Мяч с шипами оранжевый 7 см</v>
          </cell>
          <cell r="E32">
            <v>2044025288003</v>
          </cell>
          <cell r="AJ32">
            <v>0.23253286762907291</v>
          </cell>
          <cell r="AN32">
            <v>619</v>
          </cell>
          <cell r="AR32">
            <v>0.26205409358726084</v>
          </cell>
          <cell r="AU32">
            <v>0.23276810106326218</v>
          </cell>
        </row>
        <row r="33">
          <cell r="A33">
            <v>419145985</v>
          </cell>
          <cell r="C33" t="str">
            <v>ACRB1MS107BС</v>
          </cell>
          <cell r="D33" t="str">
            <v>Мяч с шипами черный 7 см</v>
          </cell>
          <cell r="E33">
            <v>2044025344532</v>
          </cell>
          <cell r="AJ33">
            <v>0.20705747088861309</v>
          </cell>
          <cell r="AN33">
            <v>619</v>
          </cell>
          <cell r="AR33">
            <v>0.28530811620438518</v>
          </cell>
          <cell r="AU33">
            <v>0.20705747088861309</v>
          </cell>
        </row>
        <row r="34">
          <cell r="A34">
            <v>419145390</v>
          </cell>
          <cell r="C34" t="str">
            <v>ACRB1MS109PN</v>
          </cell>
          <cell r="D34" t="str">
            <v>Мяч с шипами розовый 9 см</v>
          </cell>
          <cell r="E34">
            <v>2044025321588</v>
          </cell>
          <cell r="AJ34">
            <v>0.24842954903049505</v>
          </cell>
          <cell r="AN34">
            <v>709</v>
          </cell>
          <cell r="AR34">
            <v>0.24833341779622572</v>
          </cell>
          <cell r="AU34">
            <v>0</v>
          </cell>
        </row>
        <row r="35">
          <cell r="A35">
            <v>419145749</v>
          </cell>
          <cell r="C35" t="str">
            <v>ACRB1MS109BL</v>
          </cell>
          <cell r="D35" t="str">
            <v>Мяч с шипами голубой 9 см</v>
          </cell>
          <cell r="E35">
            <v>2044025342057</v>
          </cell>
          <cell r="AJ35">
            <v>0.11298031305759476</v>
          </cell>
          <cell r="AN35">
            <v>709</v>
          </cell>
          <cell r="AR35">
            <v>0.35128732470736829</v>
          </cell>
          <cell r="AU35">
            <v>0.11265480720622331</v>
          </cell>
        </row>
        <row r="36">
          <cell r="A36">
            <v>419141549</v>
          </cell>
          <cell r="C36" t="str">
            <v>ACRB1MS109RJ</v>
          </cell>
          <cell r="D36" t="str">
            <v>Мяч с шипами оранжевый 9 см</v>
          </cell>
          <cell r="E36">
            <v>2044025291485</v>
          </cell>
          <cell r="AJ36">
            <v>0.24842954903049505</v>
          </cell>
          <cell r="AN36">
            <v>709</v>
          </cell>
          <cell r="AR36">
            <v>0.24833341779622572</v>
          </cell>
          <cell r="AU36">
            <v>0</v>
          </cell>
        </row>
        <row r="37">
          <cell r="A37">
            <v>419145986</v>
          </cell>
          <cell r="C37" t="str">
            <v>ACRB1MS109BС</v>
          </cell>
          <cell r="D37" t="str">
            <v>Мяч с шипами черный 9 см</v>
          </cell>
          <cell r="E37">
            <v>2044025347953</v>
          </cell>
          <cell r="AJ37">
            <v>0.23486354363806758</v>
          </cell>
          <cell r="AN37">
            <v>709</v>
          </cell>
          <cell r="AR37">
            <v>0.26231604120948382</v>
          </cell>
          <cell r="AU37">
            <v>0.23486354363806758</v>
          </cell>
        </row>
        <row r="38">
          <cell r="A38">
            <v>419146579</v>
          </cell>
          <cell r="C38" t="str">
            <v>ACRB1MS109LI</v>
          </cell>
          <cell r="D38" t="str">
            <v>Мяч с шипами фиолетовый 9 см</v>
          </cell>
          <cell r="E38">
            <v>2044025354937</v>
          </cell>
          <cell r="AJ38">
            <v>0.24510437780274077</v>
          </cell>
          <cell r="AN38">
            <v>709</v>
          </cell>
          <cell r="AR38">
            <v>0.25186639381879272</v>
          </cell>
          <cell r="AU38">
            <v>0.24510437780274077</v>
          </cell>
        </row>
        <row r="39">
          <cell r="A39">
            <v>340734340</v>
          </cell>
          <cell r="C39" t="str">
            <v>ACRB1MS103PN</v>
          </cell>
          <cell r="D39" t="str">
            <v>Мяч гладкий розовый</v>
          </cell>
          <cell r="E39">
            <v>2042985583893</v>
          </cell>
          <cell r="AJ39">
            <v>0.13306744639376211</v>
          </cell>
          <cell r="AN39">
            <v>519</v>
          </cell>
          <cell r="AR39">
            <v>0.14228053949903652</v>
          </cell>
          <cell r="AU39">
            <v>0.13306744639376211</v>
          </cell>
        </row>
        <row r="40">
          <cell r="A40">
            <v>340741532</v>
          </cell>
          <cell r="C40" t="str">
            <v>ACRB1MS103BL</v>
          </cell>
          <cell r="D40" t="str">
            <v>Мяч гладкий голубой</v>
          </cell>
          <cell r="E40">
            <v>2042986356632</v>
          </cell>
          <cell r="AJ40">
            <v>0.13306744639376211</v>
          </cell>
          <cell r="AN40">
            <v>519</v>
          </cell>
          <cell r="AR40">
            <v>0.14228053949903652</v>
          </cell>
          <cell r="AU40">
            <v>0.13306744639376211</v>
          </cell>
        </row>
        <row r="41">
          <cell r="A41">
            <v>340743352</v>
          </cell>
          <cell r="C41" t="str">
            <v>ACRB1MS103LI</v>
          </cell>
          <cell r="D41" t="str">
            <v>Мяч гладкий сиреневый</v>
          </cell>
          <cell r="E41">
            <v>2042986372359</v>
          </cell>
          <cell r="AJ41">
            <v>0.13306744639376211</v>
          </cell>
          <cell r="AN41">
            <v>519</v>
          </cell>
          <cell r="AR41">
            <v>0.14228053949903652</v>
          </cell>
          <cell r="AU41">
            <v>0.13306744639376211</v>
          </cell>
        </row>
        <row r="42">
          <cell r="A42">
            <v>340743911</v>
          </cell>
          <cell r="C42" t="str">
            <v>ACRB1MS103RJ</v>
          </cell>
          <cell r="D42" t="str">
            <v>Мяч гладкий оранжевый</v>
          </cell>
          <cell r="E42">
            <v>2042986377583</v>
          </cell>
          <cell r="AJ42">
            <v>0.12690484061393142</v>
          </cell>
          <cell r="AN42">
            <v>519</v>
          </cell>
          <cell r="AR42">
            <v>0.14361664739884386</v>
          </cell>
          <cell r="AU42">
            <v>0.12658866141732278</v>
          </cell>
        </row>
        <row r="43">
          <cell r="A43">
            <v>820643010</v>
          </cell>
          <cell r="C43" t="str">
            <v>ACRB3FR101CL</v>
          </cell>
          <cell r="D43" t="str">
            <v>Набор эластичных лент 3 шт. в мешке</v>
          </cell>
          <cell r="E43">
            <v>2048933027488</v>
          </cell>
          <cell r="AJ43">
            <v>0.17080371555072743</v>
          </cell>
          <cell r="AN43">
            <v>1499</v>
          </cell>
          <cell r="AR43">
            <v>0.17880591788181394</v>
          </cell>
          <cell r="AU43">
            <v>0.17070132899854287</v>
          </cell>
        </row>
        <row r="44">
          <cell r="A44">
            <v>550539998</v>
          </cell>
          <cell r="C44" t="str">
            <v>ACRB5FR200CL</v>
          </cell>
          <cell r="D44" t="str">
            <v>Набор эластичных лент 5 шт. в мешке</v>
          </cell>
          <cell r="E44">
            <v>2046392546618</v>
          </cell>
          <cell r="AJ44">
            <v>0.23669593382715043</v>
          </cell>
          <cell r="AN44">
            <v>1379</v>
          </cell>
          <cell r="AR44">
            <v>0.11341953279337032</v>
          </cell>
          <cell r="AU44">
            <v>0.23661055155299118</v>
          </cell>
        </row>
        <row r="45">
          <cell r="A45">
            <v>550539999</v>
          </cell>
          <cell r="C45" t="str">
            <v>ACRB4FR300CL</v>
          </cell>
          <cell r="D45" t="str">
            <v>Набор эластичных лент 4 шт.</v>
          </cell>
          <cell r="E45">
            <v>2046392546632</v>
          </cell>
          <cell r="AJ45">
            <v>0.1218646646646646</v>
          </cell>
          <cell r="AN45">
            <v>1019</v>
          </cell>
          <cell r="AR45">
            <v>0.13772600588812553</v>
          </cell>
          <cell r="AU45">
            <v>0.1218646646646646</v>
          </cell>
        </row>
        <row r="46">
          <cell r="A46">
            <v>550540000</v>
          </cell>
          <cell r="C46" t="str">
            <v>ACRB5FR400CL</v>
          </cell>
          <cell r="D46" t="str">
            <v>Набор эластичных лент 5 шт.</v>
          </cell>
          <cell r="E46">
            <v>2046392546656</v>
          </cell>
          <cell r="AJ46">
            <v>0.38109853137516686</v>
          </cell>
          <cell r="AN46">
            <v>0</v>
          </cell>
          <cell r="AR46" t="e">
            <v>#DIV/0!</v>
          </cell>
          <cell r="AU46">
            <v>0</v>
          </cell>
        </row>
        <row r="47">
          <cell r="A47">
            <v>271440668</v>
          </cell>
          <cell r="C47" t="str">
            <v>ACRB1SK101BC</v>
          </cell>
          <cell r="D47" t="str">
            <v>Скакалка черная</v>
          </cell>
          <cell r="E47">
            <v>2041473034138</v>
          </cell>
          <cell r="AJ47">
            <v>0.24419834162520723</v>
          </cell>
          <cell r="AN47">
            <v>1219</v>
          </cell>
          <cell r="AR47">
            <v>0.25151205906480717</v>
          </cell>
          <cell r="AU47">
            <v>0.24419834162520723</v>
          </cell>
        </row>
        <row r="48">
          <cell r="A48">
            <v>271440669</v>
          </cell>
          <cell r="C48" t="str">
            <v>ACRB1SK101RD</v>
          </cell>
          <cell r="D48" t="str">
            <v>Скакалка красная</v>
          </cell>
          <cell r="E48">
            <v>2041473034145</v>
          </cell>
          <cell r="AJ48">
            <v>0.203668100753815</v>
          </cell>
          <cell r="AN48">
            <v>1219</v>
          </cell>
          <cell r="AR48">
            <v>0.28184262510254304</v>
          </cell>
          <cell r="AU48">
            <v>0.20380161764705881</v>
          </cell>
        </row>
        <row r="49">
          <cell r="A49">
            <v>271440670</v>
          </cell>
          <cell r="C49" t="str">
            <v>ACRB1SK101BL</v>
          </cell>
          <cell r="D49" t="str">
            <v>Скакалка синяя</v>
          </cell>
          <cell r="E49">
            <v>2041473034169</v>
          </cell>
          <cell r="AJ49">
            <v>0.203668100753815</v>
          </cell>
          <cell r="AN49">
            <v>1219</v>
          </cell>
          <cell r="AR49">
            <v>0.28184262510254304</v>
          </cell>
          <cell r="AU49">
            <v>0.20380161764705881</v>
          </cell>
        </row>
        <row r="50">
          <cell r="A50">
            <v>550445272</v>
          </cell>
          <cell r="C50" t="str">
            <v>ACRF1KP101BC</v>
          </cell>
          <cell r="D50" t="str">
            <v>Капа черный/красный - черная коробка</v>
          </cell>
          <cell r="E50">
            <v>2046391283330</v>
          </cell>
          <cell r="AJ50">
            <v>0</v>
          </cell>
          <cell r="AN50">
            <v>0</v>
          </cell>
          <cell r="AR50" t="e">
            <v>#DIV/0!</v>
          </cell>
          <cell r="AU50">
            <v>0</v>
          </cell>
        </row>
        <row r="51">
          <cell r="A51">
            <v>550445274</v>
          </cell>
          <cell r="C51" t="str">
            <v>ACRF1KP102BC</v>
          </cell>
          <cell r="D51" t="str">
            <v>Капа черный/белый-черная коробка</v>
          </cell>
          <cell r="E51">
            <v>2046391283385</v>
          </cell>
          <cell r="AJ51">
            <v>0</v>
          </cell>
          <cell r="AN51">
            <v>0</v>
          </cell>
          <cell r="AR51" t="e">
            <v>#DIV/0!</v>
          </cell>
          <cell r="AU51">
            <v>0</v>
          </cell>
        </row>
        <row r="52">
          <cell r="A52">
            <v>550445275</v>
          </cell>
          <cell r="C52" t="str">
            <v>ACRF1KP103BC</v>
          </cell>
          <cell r="D52" t="str">
            <v>Капа белый/черный</v>
          </cell>
          <cell r="E52">
            <v>2046391283415</v>
          </cell>
          <cell r="AJ52">
            <v>0</v>
          </cell>
          <cell r="AN52">
            <v>0</v>
          </cell>
          <cell r="AR52" t="e">
            <v>#DIV/0!</v>
          </cell>
          <cell r="AU52">
            <v>0</v>
          </cell>
        </row>
        <row r="53">
          <cell r="A53">
            <v>550445277</v>
          </cell>
          <cell r="C53" t="str">
            <v>ACRF1KP101RD</v>
          </cell>
          <cell r="D53" t="str">
            <v>Капа белый/красный</v>
          </cell>
          <cell r="E53">
            <v>2046391283446</v>
          </cell>
          <cell r="AJ53">
            <v>0</v>
          </cell>
          <cell r="AN53">
            <v>0</v>
          </cell>
          <cell r="AR53" t="e">
            <v>#DIV/0!</v>
          </cell>
          <cell r="AU53">
            <v>0</v>
          </cell>
        </row>
        <row r="54">
          <cell r="A54">
            <v>550445279</v>
          </cell>
          <cell r="C54" t="str">
            <v>ACRF1KP102RD</v>
          </cell>
          <cell r="D54" t="str">
            <v>Капа красный/белый</v>
          </cell>
          <cell r="E54">
            <v>2046391283507</v>
          </cell>
          <cell r="AJ54">
            <v>0</v>
          </cell>
          <cell r="AN54">
            <v>0</v>
          </cell>
          <cell r="AR54" t="e">
            <v>#DIV/0!</v>
          </cell>
          <cell r="AU54">
            <v>0</v>
          </cell>
        </row>
        <row r="55">
          <cell r="A55">
            <v>550445280</v>
          </cell>
          <cell r="C55" t="str">
            <v>ACRF1KP101BL</v>
          </cell>
          <cell r="D55" t="str">
            <v>Капа синий/белый</v>
          </cell>
          <cell r="E55">
            <v>2046391283545</v>
          </cell>
          <cell r="AJ55">
            <v>0</v>
          </cell>
          <cell r="AN55">
            <v>0</v>
          </cell>
          <cell r="AR55" t="e">
            <v>#DIV/0!</v>
          </cell>
          <cell r="AU55">
            <v>0</v>
          </cell>
        </row>
        <row r="56">
          <cell r="A56">
            <v>550445281</v>
          </cell>
          <cell r="C56" t="str">
            <v>ACRF1KP101GN</v>
          </cell>
          <cell r="D56" t="str">
            <v>Капа зеленый/белый</v>
          </cell>
          <cell r="E56">
            <v>2046391283569</v>
          </cell>
          <cell r="AJ56">
            <v>0</v>
          </cell>
          <cell r="AN56">
            <v>0</v>
          </cell>
          <cell r="AR56" t="e">
            <v>#DIV/0!</v>
          </cell>
          <cell r="AU56">
            <v>0</v>
          </cell>
        </row>
        <row r="57">
          <cell r="A57">
            <v>550445283</v>
          </cell>
          <cell r="C57" t="str">
            <v>ACRF1KP102GN</v>
          </cell>
          <cell r="D57" t="str">
            <v>Капа зеленый/черный</v>
          </cell>
          <cell r="E57">
            <v>2046391283613</v>
          </cell>
          <cell r="AJ57">
            <v>0</v>
          </cell>
          <cell r="AN57">
            <v>0</v>
          </cell>
          <cell r="AR57" t="e">
            <v>#DIV/0!</v>
          </cell>
          <cell r="AU57">
            <v>0</v>
          </cell>
        </row>
        <row r="58">
          <cell r="A58">
            <v>186826338</v>
          </cell>
          <cell r="C58" t="str">
            <v>ACRA7TB201BC</v>
          </cell>
          <cell r="D58" t="str">
            <v>Таблетница прям 7*2 черн</v>
          </cell>
          <cell r="E58">
            <v>2038891723249</v>
          </cell>
          <cell r="AJ58">
            <v>0.21908919275286617</v>
          </cell>
          <cell r="AN58">
            <v>869</v>
          </cell>
          <cell r="AR58">
            <v>0.21974365609670707</v>
          </cell>
          <cell r="AU58">
            <v>0.21892538841939915</v>
          </cell>
        </row>
        <row r="59">
          <cell r="A59">
            <v>419130077</v>
          </cell>
          <cell r="C59" t="str">
            <v>ACRA7TB201CL</v>
          </cell>
          <cell r="D59" t="str">
            <v>Таблетница прям 7*2 черн/цветн</v>
          </cell>
          <cell r="E59">
            <v>2044025155923</v>
          </cell>
          <cell r="AJ59">
            <v>0.21491903764902048</v>
          </cell>
          <cell r="AN59">
            <v>869</v>
          </cell>
          <cell r="AR59">
            <v>0.22298324182743204</v>
          </cell>
          <cell r="AU59">
            <v>0.21475254615604011</v>
          </cell>
        </row>
        <row r="60">
          <cell r="A60">
            <v>448248943</v>
          </cell>
          <cell r="C60" t="str">
            <v>ACRA7TB201WH</v>
          </cell>
          <cell r="D60" t="str">
            <v>Таблетница прям 7*2 бел/цветн</v>
          </cell>
          <cell r="E60">
            <v>2044516485386</v>
          </cell>
          <cell r="AJ60">
            <v>0.21491903764902048</v>
          </cell>
          <cell r="AN60">
            <v>869</v>
          </cell>
          <cell r="AR60">
            <v>0.22298324182743204</v>
          </cell>
          <cell r="AU60">
            <v>0.21475254615604011</v>
          </cell>
        </row>
        <row r="61">
          <cell r="A61">
            <v>448254852</v>
          </cell>
          <cell r="C61" t="str">
            <v>ACRA7TB201LI</v>
          </cell>
          <cell r="D61" t="str">
            <v>Таблетница прям 7*2 сирен/цветн</v>
          </cell>
          <cell r="E61">
            <v>2044516498812</v>
          </cell>
          <cell r="AJ61">
            <v>0.21491903764902048</v>
          </cell>
          <cell r="AN61">
            <v>869</v>
          </cell>
          <cell r="AR61">
            <v>0.22298324182743204</v>
          </cell>
          <cell r="AU61">
            <v>0.21475254615604011</v>
          </cell>
        </row>
        <row r="62">
          <cell r="A62">
            <v>186800214</v>
          </cell>
          <cell r="C62" t="str">
            <v>ACRA7TB101BC</v>
          </cell>
          <cell r="D62" t="str">
            <v>Таблетница круглая 7*2 черн</v>
          </cell>
          <cell r="E62">
            <v>2038890789598</v>
          </cell>
          <cell r="AJ62">
            <v>3.7556458635703928E-2</v>
          </cell>
          <cell r="AN62">
            <v>1299</v>
          </cell>
          <cell r="AR62">
            <v>0.36196896073903007</v>
          </cell>
          <cell r="AU62">
            <v>3.7772285368802956E-2</v>
          </cell>
        </row>
        <row r="63">
          <cell r="A63">
            <v>298193176</v>
          </cell>
          <cell r="C63" t="str">
            <v>ACRA7TB101CL</v>
          </cell>
          <cell r="D63" t="str">
            <v>Таблетница круглая 7*2 черн/цвет</v>
          </cell>
          <cell r="E63">
            <v>2042160422832</v>
          </cell>
          <cell r="AJ63">
            <v>1.1169044006069835E-2</v>
          </cell>
          <cell r="AN63">
            <v>1299</v>
          </cell>
          <cell r="AR63">
            <v>0.37063778290993077</v>
          </cell>
          <cell r="AU63">
            <v>1.1401365360303499E-2</v>
          </cell>
        </row>
        <row r="64">
          <cell r="A64">
            <v>278515093</v>
          </cell>
          <cell r="C64" t="str">
            <v>ACRA7TB301GR</v>
          </cell>
          <cell r="D64" t="str">
            <v>Таблетница круглая 7*2 сер</v>
          </cell>
          <cell r="E64">
            <v>2041680530447</v>
          </cell>
          <cell r="AJ64">
            <v>0.20447265730387867</v>
          </cell>
          <cell r="AN64">
            <v>979</v>
          </cell>
          <cell r="AR64">
            <v>0.28302822249876008</v>
          </cell>
          <cell r="AU64">
            <v>0.20447265730387867</v>
          </cell>
        </row>
        <row r="65">
          <cell r="A65">
            <v>345168494</v>
          </cell>
          <cell r="C65" t="str">
            <v>ACRA7TB301CL</v>
          </cell>
          <cell r="D65" t="str">
            <v>Таблетница круглая 7*2 сер /цвет</v>
          </cell>
          <cell r="E65">
            <v>2043048226719</v>
          </cell>
          <cell r="AJ65">
            <v>0.24536205348429932</v>
          </cell>
          <cell r="AN65">
            <v>979</v>
          </cell>
          <cell r="AR65">
            <v>0.25235529093594078</v>
          </cell>
          <cell r="AU65">
            <v>0.24536205348429932</v>
          </cell>
        </row>
        <row r="66">
          <cell r="A66">
            <v>273516556</v>
          </cell>
          <cell r="C66" t="str">
            <v>ACRA7TB301WH</v>
          </cell>
          <cell r="D66" t="str">
            <v>Таблетница круглая 7*2 бел</v>
          </cell>
          <cell r="E66">
            <v>2041532808502</v>
          </cell>
          <cell r="AJ66">
            <v>0.24536205348429932</v>
          </cell>
          <cell r="AN66">
            <v>979</v>
          </cell>
          <cell r="AR66">
            <v>0.25235529093594078</v>
          </cell>
          <cell r="AU66">
            <v>0.24536205348429932</v>
          </cell>
        </row>
        <row r="67">
          <cell r="A67">
            <v>321907864</v>
          </cell>
          <cell r="C67" t="str">
            <v>ACRA7TB401BC</v>
          </cell>
          <cell r="D67" t="str">
            <v>Таблетница автомат 7*2 черн</v>
          </cell>
          <cell r="E67">
            <v>2042676873814</v>
          </cell>
          <cell r="AJ67">
            <v>0.223378688196437</v>
          </cell>
          <cell r="AN67">
            <v>0</v>
          </cell>
          <cell r="AR67" t="e">
            <v>#DIV/0!</v>
          </cell>
          <cell r="AU67">
            <v>0</v>
          </cell>
        </row>
        <row r="68">
          <cell r="A68">
            <v>271441230</v>
          </cell>
          <cell r="C68" t="str">
            <v>ACRB1SK201BC</v>
          </cell>
          <cell r="D68" t="str">
            <v>Скакалка со счетчиком</v>
          </cell>
          <cell r="E68">
            <v>2041473042966</v>
          </cell>
          <cell r="AJ68">
            <v>0.21651847851981265</v>
          </cell>
          <cell r="AN68">
            <v>0</v>
          </cell>
          <cell r="AR68" t="e">
            <v>#DIV/0!</v>
          </cell>
          <cell r="AU68">
            <v>0</v>
          </cell>
        </row>
        <row r="69">
          <cell r="A69">
            <v>251537223</v>
          </cell>
          <cell r="C69" t="str">
            <v>AAND1BL101RD</v>
          </cell>
          <cell r="D69" t="str">
            <v>Мяч регби красный</v>
          </cell>
          <cell r="E69">
            <v>2040903539366</v>
          </cell>
          <cell r="AJ69">
            <v>0.27235538982682883</v>
          </cell>
          <cell r="AN69">
            <v>619</v>
          </cell>
          <cell r="AR69">
            <v>0.27979240480455447</v>
          </cell>
          <cell r="AU69">
            <v>0.27235538982682883</v>
          </cell>
        </row>
        <row r="70">
          <cell r="A70">
            <v>251537413</v>
          </cell>
          <cell r="C70" t="str">
            <v>AAND1BL101BL</v>
          </cell>
          <cell r="D70" t="str">
            <v>Мяч регби синий</v>
          </cell>
          <cell r="E70">
            <v>2040903547941</v>
          </cell>
          <cell r="AJ70">
            <v>0.23317687916490895</v>
          </cell>
          <cell r="AN70">
            <v>619</v>
          </cell>
          <cell r="AR70">
            <v>0.30184603969954632</v>
          </cell>
          <cell r="AU70">
            <v>0.23317687916490895</v>
          </cell>
        </row>
        <row r="71">
          <cell r="A71">
            <v>251516159</v>
          </cell>
          <cell r="C71" t="str">
            <v>AAND1BL102RD</v>
          </cell>
          <cell r="D71" t="str">
            <v>Мяч шина красный</v>
          </cell>
          <cell r="E71">
            <v>2040902555480</v>
          </cell>
          <cell r="AJ71">
            <v>0.23515090362155155</v>
          </cell>
          <cell r="AN71">
            <v>639</v>
          </cell>
          <cell r="AR71">
            <v>0.23504216354387103</v>
          </cell>
          <cell r="AU71">
            <v>0</v>
          </cell>
        </row>
        <row r="72">
          <cell r="A72">
            <v>251407392</v>
          </cell>
          <cell r="C72" t="str">
            <v>AAND1BL102BL</v>
          </cell>
          <cell r="D72" t="str">
            <v>Мяч шина синий</v>
          </cell>
          <cell r="E72">
            <v>2040900511679</v>
          </cell>
          <cell r="AJ72">
            <v>0.29594011134215065</v>
          </cell>
          <cell r="AN72">
            <v>639</v>
          </cell>
          <cell r="AR72">
            <v>0.19472867371601504</v>
          </cell>
          <cell r="AU72">
            <v>0.29594011134215065</v>
          </cell>
        </row>
        <row r="73">
          <cell r="A73">
            <v>302564795</v>
          </cell>
          <cell r="C73" t="str">
            <v>AAND1ST202BL</v>
          </cell>
          <cell r="D73" t="str">
            <v>Палочка для жевания</v>
          </cell>
          <cell r="E73">
            <v>2042253544953</v>
          </cell>
          <cell r="AJ73">
            <v>0.9069372693726937</v>
          </cell>
          <cell r="AN73">
            <v>0</v>
          </cell>
          <cell r="AR73" t="e">
            <v>#DIV/0!</v>
          </cell>
          <cell r="AU73">
            <v>0</v>
          </cell>
        </row>
        <row r="74">
          <cell r="A74">
            <v>273588520</v>
          </cell>
          <cell r="C74" t="str">
            <v>AAND1RP301BG</v>
          </cell>
          <cell r="D74" t="str">
            <v>Канат бол бежевый 55см/520гр</v>
          </cell>
          <cell r="E74">
            <v>2041534216404</v>
          </cell>
          <cell r="AJ74">
            <v>-9.7010348381777037E-2</v>
          </cell>
          <cell r="AN74">
            <v>1459</v>
          </cell>
          <cell r="AR74">
            <v>0.24706275531185745</v>
          </cell>
          <cell r="AU74">
            <v>-9.7222103092783507E-2</v>
          </cell>
        </row>
        <row r="75">
          <cell r="A75">
            <v>273589771</v>
          </cell>
          <cell r="C75" t="str">
            <v>AAND1RP301YL</v>
          </cell>
          <cell r="D75" t="str">
            <v>Канат мал желтый 55см/330гр</v>
          </cell>
          <cell r="E75">
            <v>2041534288661</v>
          </cell>
          <cell r="AJ75">
            <v>0.14206859344894027</v>
          </cell>
          <cell r="AN75">
            <v>1059</v>
          </cell>
          <cell r="AR75">
            <v>0.15769329556185083</v>
          </cell>
          <cell r="AU75">
            <v>0.14206859344894027</v>
          </cell>
        </row>
        <row r="76">
          <cell r="A76">
            <v>273556717</v>
          </cell>
          <cell r="C76" t="str">
            <v>AKTA4ST101CL</v>
          </cell>
          <cell r="D76" t="str">
            <v>Набор пробок 4 шт. в коробке нежн</v>
          </cell>
          <cell r="E76">
            <v>2041533648312</v>
          </cell>
          <cell r="AJ76">
            <v>0.11532487828103302</v>
          </cell>
          <cell r="AN76">
            <v>699</v>
          </cell>
          <cell r="AR76">
            <v>0.32301458742312167</v>
          </cell>
          <cell r="AU76">
            <v>0.1156376134525183</v>
          </cell>
        </row>
        <row r="77">
          <cell r="A77">
            <v>370594147</v>
          </cell>
          <cell r="C77" t="str">
            <v>AKTA4ST103CL</v>
          </cell>
          <cell r="D77" t="str">
            <v>Набор пробок 4 шт. в коробке ярк</v>
          </cell>
          <cell r="E77">
            <v>2043369755509</v>
          </cell>
          <cell r="AJ77">
            <v>0.23443538104764669</v>
          </cell>
          <cell r="AN77">
            <v>699</v>
          </cell>
          <cell r="AR77">
            <v>0.24159999514844346</v>
          </cell>
          <cell r="AU77">
            <v>0.23463641128433815</v>
          </cell>
        </row>
        <row r="78">
          <cell r="A78">
            <v>321959186</v>
          </cell>
          <cell r="C78" t="str">
            <v>AKTA4ST102CL</v>
          </cell>
          <cell r="D78" t="str">
            <v>Набор пробок 4 шт.</v>
          </cell>
          <cell r="E78">
            <v>2042678197468</v>
          </cell>
          <cell r="AJ78">
            <v>0.15728064516129039</v>
          </cell>
          <cell r="AN78">
            <v>699</v>
          </cell>
          <cell r="AR78">
            <v>0.27202781115879832</v>
          </cell>
          <cell r="AU78">
            <v>0.15702090756302525</v>
          </cell>
        </row>
        <row r="79">
          <cell r="A79">
            <v>273546535</v>
          </cell>
          <cell r="C79" t="str">
            <v>AKTA2KN101YL</v>
          </cell>
          <cell r="D79" t="str">
            <v>Шпатель желтый</v>
          </cell>
          <cell r="E79">
            <v>2041533399818</v>
          </cell>
          <cell r="AJ79">
            <v>0.29482838468720812</v>
          </cell>
          <cell r="AN79">
            <v>919</v>
          </cell>
          <cell r="AR79">
            <v>0.18977279651795423</v>
          </cell>
          <cell r="AU79">
            <v>0.29482838468720812</v>
          </cell>
        </row>
        <row r="80">
          <cell r="A80">
            <v>273551028</v>
          </cell>
          <cell r="C80" t="str">
            <v>AKTA2KN101BL</v>
          </cell>
          <cell r="D80" t="str">
            <v>Шпатель голубой</v>
          </cell>
          <cell r="E80">
            <v>2041533587000</v>
          </cell>
          <cell r="AJ80">
            <v>0.14448140645011068</v>
          </cell>
          <cell r="AN80">
            <v>0</v>
          </cell>
          <cell r="AR80" t="e">
            <v>#DIV/0!</v>
          </cell>
          <cell r="AU80">
            <v>0</v>
          </cell>
        </row>
        <row r="81">
          <cell r="A81">
            <v>273527791</v>
          </cell>
          <cell r="C81" t="str">
            <v>AKTA2KN102YL</v>
          </cell>
          <cell r="D81" t="str">
            <v>Нож для пиццы желтый</v>
          </cell>
          <cell r="E81">
            <v>2041533038113</v>
          </cell>
          <cell r="AJ81">
            <v>0.23797769250447676</v>
          </cell>
          <cell r="AN81">
            <v>799</v>
          </cell>
          <cell r="AR81">
            <v>0.25287479349186476</v>
          </cell>
          <cell r="AU81">
            <v>0.23815468030690531</v>
          </cell>
        </row>
        <row r="82">
          <cell r="A82">
            <v>327442631</v>
          </cell>
          <cell r="C82" t="str">
            <v>AKTA2KN102GN</v>
          </cell>
          <cell r="D82" t="str">
            <v>Нож для пиццы зеленый</v>
          </cell>
          <cell r="E82">
            <v>2042777181566</v>
          </cell>
          <cell r="AJ82">
            <v>0.23066384755938399</v>
          </cell>
          <cell r="AN82">
            <v>799</v>
          </cell>
          <cell r="AR82">
            <v>0.25937251564455566</v>
          </cell>
          <cell r="AU82">
            <v>0.23048125326370755</v>
          </cell>
        </row>
        <row r="83">
          <cell r="A83">
            <v>340948906</v>
          </cell>
          <cell r="C83" t="str">
            <v>AKTA1KN101GR</v>
          </cell>
          <cell r="D83" t="str">
            <v>Консервный нож</v>
          </cell>
          <cell r="E83">
            <v>2042988749289</v>
          </cell>
          <cell r="AJ83">
            <v>0.2682921473701485</v>
          </cell>
          <cell r="AN83">
            <v>1219</v>
          </cell>
          <cell r="AR83">
            <v>0.26845499589827726</v>
          </cell>
          <cell r="AU83">
            <v>0</v>
          </cell>
        </row>
        <row r="84">
          <cell r="A84">
            <v>340802685</v>
          </cell>
          <cell r="C84" t="str">
            <v>AKTA1PR101GR</v>
          </cell>
          <cell r="D84" t="str">
            <v>Чеснокодавка</v>
          </cell>
          <cell r="E84">
            <v>2042987041841</v>
          </cell>
          <cell r="AJ84">
            <v>0.22568803269118501</v>
          </cell>
          <cell r="AN84">
            <v>1049</v>
          </cell>
          <cell r="AR84">
            <v>0.23992198284080074</v>
          </cell>
          <cell r="AU84">
            <v>0.22582505836575875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67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CFEC78-9136-4249-AB71-A3D0985ED21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67392d9-d875-4e25-a487-4e0e21fc9572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4F3C-F7EA-4334-8E99-E4B7A7BFD4CF}">
  <dimension ref="A1:Q66"/>
  <sheetViews>
    <sheetView tabSelected="1" workbookViewId="0">
      <selection sqref="A1:XFD1048576"/>
    </sheetView>
  </sheetViews>
  <sheetFormatPr defaultRowHeight="15" x14ac:dyDescent="0.25"/>
  <sheetData>
    <row r="1" spans="1:1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322</v>
      </c>
      <c r="O1" t="s">
        <v>20</v>
      </c>
      <c r="P1" t="s">
        <v>21</v>
      </c>
      <c r="Q1" t="s">
        <v>239</v>
      </c>
    </row>
    <row r="2" spans="1:17" x14ac:dyDescent="0.25">
      <c r="A2" t="s">
        <v>22</v>
      </c>
      <c r="B2" t="s">
        <v>23</v>
      </c>
      <c r="C2" t="s">
        <v>24</v>
      </c>
      <c r="D2" t="s">
        <v>293</v>
      </c>
      <c r="E2" t="s">
        <v>25</v>
      </c>
      <c r="F2">
        <v>169112569</v>
      </c>
      <c r="G2" t="s">
        <v>26</v>
      </c>
      <c r="H2">
        <v>1070.8293655755162</v>
      </c>
      <c r="I2">
        <v>984</v>
      </c>
      <c r="J2">
        <v>128</v>
      </c>
      <c r="K2">
        <v>0</v>
      </c>
      <c r="L2" s="41">
        <v>746</v>
      </c>
      <c r="M2">
        <v>1258</v>
      </c>
      <c r="N2" t="s">
        <v>323</v>
      </c>
      <c r="O2">
        <v>41</v>
      </c>
      <c r="P2" s="42" t="s">
        <v>363</v>
      </c>
      <c r="Q2" s="109" t="s">
        <v>334</v>
      </c>
    </row>
    <row r="3" spans="1:17" x14ac:dyDescent="0.25">
      <c r="A3" t="s">
        <v>22</v>
      </c>
      <c r="B3" t="s">
        <v>23</v>
      </c>
      <c r="C3" t="s">
        <v>24</v>
      </c>
      <c r="D3" t="s">
        <v>294</v>
      </c>
      <c r="E3" t="s">
        <v>28</v>
      </c>
      <c r="F3">
        <v>169153168</v>
      </c>
      <c r="G3" t="s">
        <v>29</v>
      </c>
      <c r="H3">
        <v>1070.5835345875446</v>
      </c>
      <c r="I3">
        <v>999</v>
      </c>
      <c r="J3">
        <v>216</v>
      </c>
      <c r="K3">
        <v>0</v>
      </c>
      <c r="L3" s="41">
        <v>746</v>
      </c>
      <c r="M3">
        <v>1258</v>
      </c>
      <c r="N3" t="s">
        <v>323</v>
      </c>
      <c r="O3">
        <v>41</v>
      </c>
      <c r="P3" s="42" t="s">
        <v>363</v>
      </c>
      <c r="Q3" s="109" t="s">
        <v>334</v>
      </c>
    </row>
    <row r="4" spans="1:17" x14ac:dyDescent="0.25">
      <c r="A4" t="s">
        <v>22</v>
      </c>
      <c r="B4" t="s">
        <v>23</v>
      </c>
      <c r="C4" t="s">
        <v>24</v>
      </c>
      <c r="D4" t="s">
        <v>295</v>
      </c>
      <c r="E4" t="s">
        <v>52</v>
      </c>
      <c r="F4">
        <v>169395410</v>
      </c>
      <c r="G4" t="s">
        <v>53</v>
      </c>
      <c r="H4">
        <v>1067.6334882612157</v>
      </c>
      <c r="I4">
        <v>999</v>
      </c>
      <c r="J4">
        <v>202</v>
      </c>
      <c r="K4">
        <v>0</v>
      </c>
      <c r="L4" s="41">
        <v>1045</v>
      </c>
      <c r="M4">
        <v>1656</v>
      </c>
      <c r="N4" t="s">
        <v>323</v>
      </c>
      <c r="O4">
        <v>37</v>
      </c>
      <c r="P4" s="42" t="s">
        <v>364</v>
      </c>
      <c r="Q4" s="109" t="s">
        <v>334</v>
      </c>
    </row>
    <row r="5" spans="1:17" x14ac:dyDescent="0.25">
      <c r="A5" t="s">
        <v>22</v>
      </c>
      <c r="B5" t="s">
        <v>30</v>
      </c>
      <c r="C5" t="s">
        <v>31</v>
      </c>
      <c r="D5" t="s">
        <v>296</v>
      </c>
      <c r="E5" t="s">
        <v>54</v>
      </c>
      <c r="F5">
        <v>172832355</v>
      </c>
      <c r="G5" t="s">
        <v>55</v>
      </c>
      <c r="H5">
        <v>1041.6680132959068</v>
      </c>
      <c r="I5">
        <v>269</v>
      </c>
      <c r="J5">
        <v>139</v>
      </c>
      <c r="K5">
        <v>0</v>
      </c>
      <c r="L5" s="41">
        <v>2097</v>
      </c>
      <c r="M5">
        <v>3027</v>
      </c>
      <c r="N5" t="s">
        <v>323</v>
      </c>
      <c r="O5">
        <v>31</v>
      </c>
      <c r="P5" s="42" t="s">
        <v>259</v>
      </c>
      <c r="Q5" s="109" t="s">
        <v>334</v>
      </c>
    </row>
    <row r="6" spans="1:17" x14ac:dyDescent="0.25">
      <c r="A6" t="s">
        <v>22</v>
      </c>
      <c r="B6" t="s">
        <v>23</v>
      </c>
      <c r="C6" t="s">
        <v>34</v>
      </c>
      <c r="D6" t="s">
        <v>297</v>
      </c>
      <c r="E6" t="s">
        <v>35</v>
      </c>
      <c r="F6">
        <v>173605843</v>
      </c>
      <c r="G6" t="s">
        <v>36</v>
      </c>
      <c r="H6">
        <v>1035.8926902586607</v>
      </c>
      <c r="I6">
        <v>999</v>
      </c>
      <c r="J6">
        <v>535</v>
      </c>
      <c r="K6">
        <v>0</v>
      </c>
      <c r="L6" s="41">
        <v>337</v>
      </c>
      <c r="M6">
        <v>585</v>
      </c>
      <c r="N6" t="s">
        <v>323</v>
      </c>
      <c r="O6">
        <v>43</v>
      </c>
      <c r="P6" s="42" t="s">
        <v>335</v>
      </c>
      <c r="Q6" s="109" t="s">
        <v>334</v>
      </c>
    </row>
    <row r="7" spans="1:17" x14ac:dyDescent="0.25">
      <c r="A7" t="s">
        <v>22</v>
      </c>
      <c r="B7" t="s">
        <v>30</v>
      </c>
      <c r="C7" t="s">
        <v>31</v>
      </c>
      <c r="D7" t="s">
        <v>298</v>
      </c>
      <c r="E7" t="s">
        <v>37</v>
      </c>
      <c r="F7">
        <v>176500218</v>
      </c>
      <c r="G7" t="s">
        <v>38</v>
      </c>
      <c r="H7">
        <v>1013.6890304642908</v>
      </c>
      <c r="I7">
        <v>726</v>
      </c>
      <c r="J7">
        <v>320</v>
      </c>
      <c r="K7">
        <v>0</v>
      </c>
      <c r="L7" s="41">
        <v>539</v>
      </c>
      <c r="M7">
        <v>792</v>
      </c>
      <c r="N7" t="s">
        <v>323</v>
      </c>
      <c r="O7">
        <v>40</v>
      </c>
      <c r="P7" s="42" t="s">
        <v>347</v>
      </c>
      <c r="Q7" s="109" t="s">
        <v>334</v>
      </c>
    </row>
    <row r="8" spans="1:17" x14ac:dyDescent="0.25">
      <c r="A8" t="s">
        <v>22</v>
      </c>
      <c r="B8" t="s">
        <v>30</v>
      </c>
      <c r="C8" t="s">
        <v>31</v>
      </c>
      <c r="D8" t="s">
        <v>299</v>
      </c>
      <c r="E8" t="s">
        <v>39</v>
      </c>
      <c r="F8">
        <v>176721350</v>
      </c>
      <c r="G8" t="s">
        <v>40</v>
      </c>
      <c r="H8">
        <v>1011.7207757618371</v>
      </c>
      <c r="I8">
        <v>334</v>
      </c>
      <c r="J8">
        <v>258</v>
      </c>
      <c r="K8">
        <v>0</v>
      </c>
      <c r="L8" s="41">
        <v>757</v>
      </c>
      <c r="M8">
        <v>1199</v>
      </c>
      <c r="N8" t="s">
        <v>323</v>
      </c>
      <c r="O8">
        <v>37</v>
      </c>
      <c r="P8" s="42" t="s">
        <v>364</v>
      </c>
      <c r="Q8" s="109" t="s">
        <v>334</v>
      </c>
    </row>
    <row r="9" spans="1:17" x14ac:dyDescent="0.25">
      <c r="A9" t="s">
        <v>22</v>
      </c>
      <c r="B9" t="s">
        <v>30</v>
      </c>
      <c r="C9" t="s">
        <v>31</v>
      </c>
      <c r="D9" t="s">
        <v>300</v>
      </c>
      <c r="E9" t="s">
        <v>43</v>
      </c>
      <c r="F9">
        <v>177404837</v>
      </c>
      <c r="G9" t="s">
        <v>44</v>
      </c>
      <c r="H9">
        <v>1007.6769609789603</v>
      </c>
      <c r="I9">
        <v>502</v>
      </c>
      <c r="J9">
        <v>146</v>
      </c>
      <c r="K9">
        <v>0</v>
      </c>
      <c r="L9" s="41">
        <v>1246</v>
      </c>
      <c r="M9">
        <v>1799</v>
      </c>
      <c r="N9" t="s">
        <v>323</v>
      </c>
      <c r="O9">
        <v>31</v>
      </c>
      <c r="P9" s="42" t="s">
        <v>259</v>
      </c>
      <c r="Q9" s="109" t="s">
        <v>334</v>
      </c>
    </row>
    <row r="10" spans="1:17" x14ac:dyDescent="0.25">
      <c r="A10" t="s">
        <v>22</v>
      </c>
      <c r="B10" t="s">
        <v>30</v>
      </c>
      <c r="C10" t="s">
        <v>31</v>
      </c>
      <c r="D10" t="s">
        <v>301</v>
      </c>
      <c r="E10" t="s">
        <v>56</v>
      </c>
      <c r="F10">
        <v>177405495</v>
      </c>
      <c r="G10" t="s">
        <v>57</v>
      </c>
      <c r="H10">
        <v>1007.6704682290593</v>
      </c>
      <c r="I10">
        <v>999</v>
      </c>
      <c r="J10">
        <v>264</v>
      </c>
      <c r="K10">
        <v>0</v>
      </c>
      <c r="L10" s="41">
        <v>1108</v>
      </c>
      <c r="M10">
        <v>1599</v>
      </c>
      <c r="N10" t="s">
        <v>323</v>
      </c>
      <c r="O10">
        <v>31</v>
      </c>
      <c r="P10" s="42" t="s">
        <v>259</v>
      </c>
      <c r="Q10" s="109" t="s">
        <v>334</v>
      </c>
    </row>
    <row r="11" spans="1:17" x14ac:dyDescent="0.25">
      <c r="A11" t="s">
        <v>22</v>
      </c>
      <c r="B11" t="s">
        <v>23</v>
      </c>
      <c r="C11" t="s">
        <v>45</v>
      </c>
      <c r="D11" t="s">
        <v>302</v>
      </c>
      <c r="E11" t="s">
        <v>58</v>
      </c>
      <c r="F11">
        <v>186800214</v>
      </c>
      <c r="G11" t="s">
        <v>59</v>
      </c>
      <c r="H11">
        <v>960.6261477494121</v>
      </c>
      <c r="I11">
        <v>168</v>
      </c>
      <c r="J11">
        <v>180</v>
      </c>
      <c r="K11">
        <v>0</v>
      </c>
      <c r="L11" s="41">
        <v>827</v>
      </c>
      <c r="M11">
        <v>1273</v>
      </c>
      <c r="N11" t="s">
        <v>323</v>
      </c>
      <c r="O11">
        <v>40</v>
      </c>
      <c r="P11" s="42" t="s">
        <v>347</v>
      </c>
      <c r="Q11" s="109" t="s">
        <v>334</v>
      </c>
    </row>
    <row r="12" spans="1:17" x14ac:dyDescent="0.25">
      <c r="A12" t="s">
        <v>22</v>
      </c>
      <c r="B12" t="s">
        <v>30</v>
      </c>
      <c r="C12" t="s">
        <v>31</v>
      </c>
      <c r="D12" t="s">
        <v>303</v>
      </c>
      <c r="E12" t="s">
        <v>62</v>
      </c>
      <c r="F12">
        <v>204615141</v>
      </c>
      <c r="G12" t="s">
        <v>63</v>
      </c>
      <c r="H12">
        <v>876.64918097255611</v>
      </c>
      <c r="I12">
        <v>602</v>
      </c>
      <c r="J12">
        <v>222</v>
      </c>
      <c r="K12">
        <v>0</v>
      </c>
      <c r="L12" s="41">
        <v>598</v>
      </c>
      <c r="M12">
        <v>941</v>
      </c>
      <c r="N12" t="s">
        <v>323</v>
      </c>
      <c r="O12">
        <v>37</v>
      </c>
      <c r="P12" s="42" t="s">
        <v>364</v>
      </c>
      <c r="Q12" s="109" t="s">
        <v>334</v>
      </c>
    </row>
    <row r="13" spans="1:17" x14ac:dyDescent="0.25">
      <c r="A13" t="s">
        <v>22</v>
      </c>
      <c r="B13" t="s">
        <v>23</v>
      </c>
      <c r="C13" t="s">
        <v>34</v>
      </c>
      <c r="D13" t="s">
        <v>304</v>
      </c>
      <c r="E13" t="s">
        <v>64</v>
      </c>
      <c r="F13">
        <v>223420736</v>
      </c>
      <c r="G13" t="s">
        <v>65</v>
      </c>
      <c r="H13">
        <v>799.77997874846744</v>
      </c>
      <c r="I13">
        <v>368</v>
      </c>
      <c r="J13">
        <v>56</v>
      </c>
      <c r="K13">
        <v>0</v>
      </c>
      <c r="L13" s="41">
        <v>901</v>
      </c>
      <c r="M13">
        <v>1313</v>
      </c>
      <c r="N13" t="s">
        <v>323</v>
      </c>
      <c r="O13">
        <v>32</v>
      </c>
      <c r="P13" s="42" t="s">
        <v>365</v>
      </c>
      <c r="Q13" s="109" t="s">
        <v>334</v>
      </c>
    </row>
    <row r="14" spans="1:17" x14ac:dyDescent="0.25">
      <c r="A14" t="s">
        <v>22</v>
      </c>
      <c r="B14" t="s">
        <v>23</v>
      </c>
      <c r="C14" t="s">
        <v>34</v>
      </c>
      <c r="D14" t="s">
        <v>305</v>
      </c>
      <c r="E14" t="s">
        <v>237</v>
      </c>
      <c r="F14">
        <v>223671295</v>
      </c>
      <c r="G14" t="s">
        <v>66</v>
      </c>
      <c r="H14">
        <v>798.78908655724535</v>
      </c>
      <c r="I14">
        <v>823</v>
      </c>
      <c r="J14">
        <v>447</v>
      </c>
      <c r="K14">
        <v>0</v>
      </c>
      <c r="L14" s="41">
        <v>431</v>
      </c>
      <c r="M14">
        <v>856</v>
      </c>
      <c r="N14" t="s">
        <v>323</v>
      </c>
      <c r="O14">
        <v>50</v>
      </c>
      <c r="P14" s="42" t="s">
        <v>345</v>
      </c>
      <c r="Q14" s="109" t="s">
        <v>334</v>
      </c>
    </row>
    <row r="15" spans="1:17" x14ac:dyDescent="0.25">
      <c r="A15" t="s">
        <v>22</v>
      </c>
      <c r="B15" t="s">
        <v>23</v>
      </c>
      <c r="C15" t="s">
        <v>34</v>
      </c>
      <c r="D15" t="s">
        <v>305</v>
      </c>
      <c r="E15" t="s">
        <v>234</v>
      </c>
      <c r="F15">
        <v>236072834</v>
      </c>
      <c r="G15" t="s">
        <v>67</v>
      </c>
      <c r="H15">
        <v>743.62141749999194</v>
      </c>
      <c r="I15">
        <v>443</v>
      </c>
      <c r="J15">
        <v>254</v>
      </c>
      <c r="K15">
        <v>0</v>
      </c>
      <c r="L15" s="41">
        <v>545</v>
      </c>
      <c r="M15">
        <v>856</v>
      </c>
      <c r="N15" t="s">
        <v>323</v>
      </c>
      <c r="O15">
        <v>37</v>
      </c>
      <c r="P15" s="42" t="s">
        <v>364</v>
      </c>
      <c r="Q15" s="109" t="s">
        <v>334</v>
      </c>
    </row>
    <row r="16" spans="1:17" x14ac:dyDescent="0.25">
      <c r="A16" t="s">
        <v>22</v>
      </c>
      <c r="B16" t="s">
        <v>23</v>
      </c>
      <c r="C16" t="s">
        <v>34</v>
      </c>
      <c r="D16" t="s">
        <v>238</v>
      </c>
      <c r="E16" t="s">
        <v>235</v>
      </c>
      <c r="F16">
        <v>236072836</v>
      </c>
      <c r="G16" t="s">
        <v>69</v>
      </c>
      <c r="H16">
        <v>743.62141749991167</v>
      </c>
      <c r="I16">
        <v>638</v>
      </c>
      <c r="J16">
        <v>300</v>
      </c>
      <c r="K16">
        <v>0</v>
      </c>
      <c r="L16" s="41">
        <v>593</v>
      </c>
      <c r="M16">
        <v>856</v>
      </c>
      <c r="N16" t="s">
        <v>323</v>
      </c>
      <c r="O16">
        <v>31</v>
      </c>
      <c r="P16" s="42" t="s">
        <v>259</v>
      </c>
      <c r="Q16" s="109" t="s">
        <v>334</v>
      </c>
    </row>
    <row r="17" spans="1:17" x14ac:dyDescent="0.25">
      <c r="A17" t="s">
        <v>22</v>
      </c>
      <c r="B17" t="s">
        <v>30</v>
      </c>
      <c r="C17" t="s">
        <v>31</v>
      </c>
      <c r="D17" t="s">
        <v>303</v>
      </c>
      <c r="E17" t="s">
        <v>46</v>
      </c>
      <c r="F17">
        <v>236074677</v>
      </c>
      <c r="G17" t="s">
        <v>47</v>
      </c>
      <c r="H17">
        <v>743.60893504187186</v>
      </c>
      <c r="I17">
        <v>152</v>
      </c>
      <c r="J17">
        <v>18</v>
      </c>
      <c r="K17">
        <v>0</v>
      </c>
      <c r="L17" s="41">
        <v>750</v>
      </c>
      <c r="M17">
        <v>1084</v>
      </c>
      <c r="N17" t="s">
        <v>323</v>
      </c>
      <c r="O17">
        <v>31</v>
      </c>
      <c r="P17" s="42" t="s">
        <v>259</v>
      </c>
      <c r="Q17" s="109" t="s">
        <v>334</v>
      </c>
    </row>
    <row r="18" spans="1:17" x14ac:dyDescent="0.25">
      <c r="A18" t="s">
        <v>22</v>
      </c>
      <c r="B18" t="s">
        <v>30</v>
      </c>
      <c r="C18" t="s">
        <v>31</v>
      </c>
      <c r="D18" t="s">
        <v>306</v>
      </c>
      <c r="E18" t="s">
        <v>48</v>
      </c>
      <c r="F18">
        <v>239233529</v>
      </c>
      <c r="G18" t="s">
        <v>49</v>
      </c>
      <c r="H18">
        <v>728.44923739287242</v>
      </c>
      <c r="I18">
        <v>290</v>
      </c>
      <c r="J18">
        <v>55</v>
      </c>
      <c r="K18">
        <v>0</v>
      </c>
      <c r="L18" s="41">
        <v>702</v>
      </c>
      <c r="M18">
        <v>1013</v>
      </c>
      <c r="N18" t="s">
        <v>323</v>
      </c>
      <c r="O18">
        <v>31</v>
      </c>
      <c r="P18" s="42" t="s">
        <v>259</v>
      </c>
      <c r="Q18" s="109" t="s">
        <v>334</v>
      </c>
    </row>
    <row r="19" spans="1:17" x14ac:dyDescent="0.25">
      <c r="A19" t="s">
        <v>22</v>
      </c>
      <c r="B19" t="s">
        <v>30</v>
      </c>
      <c r="C19" t="s">
        <v>31</v>
      </c>
      <c r="D19" t="s">
        <v>307</v>
      </c>
      <c r="E19" t="s">
        <v>50</v>
      </c>
      <c r="F19">
        <v>239235150</v>
      </c>
      <c r="G19" t="s">
        <v>51</v>
      </c>
      <c r="H19">
        <v>728.43920021235635</v>
      </c>
      <c r="I19">
        <v>18</v>
      </c>
      <c r="J19">
        <v>1</v>
      </c>
      <c r="K19">
        <v>0</v>
      </c>
      <c r="L19" s="41">
        <v>494</v>
      </c>
      <c r="M19">
        <v>713</v>
      </c>
      <c r="N19" t="s">
        <v>323</v>
      </c>
      <c r="O19">
        <v>31</v>
      </c>
      <c r="P19" s="42" t="s">
        <v>259</v>
      </c>
      <c r="Q19" s="109" t="s">
        <v>334</v>
      </c>
    </row>
    <row r="20" spans="1:17" x14ac:dyDescent="0.25">
      <c r="A20" t="s">
        <v>22</v>
      </c>
      <c r="B20" t="s">
        <v>75</v>
      </c>
      <c r="C20" t="s">
        <v>76</v>
      </c>
      <c r="D20" t="s">
        <v>308</v>
      </c>
      <c r="E20" t="s">
        <v>82</v>
      </c>
      <c r="F20">
        <v>251537223</v>
      </c>
      <c r="G20" t="s">
        <v>83</v>
      </c>
      <c r="H20">
        <v>677.72436685651849</v>
      </c>
      <c r="I20">
        <v>286</v>
      </c>
      <c r="J20">
        <v>152</v>
      </c>
      <c r="K20">
        <v>0</v>
      </c>
      <c r="L20" s="41">
        <v>612</v>
      </c>
      <c r="M20">
        <v>884</v>
      </c>
      <c r="N20" t="s">
        <v>323</v>
      </c>
      <c r="O20">
        <v>31</v>
      </c>
      <c r="P20" s="42" t="s">
        <v>259</v>
      </c>
      <c r="Q20" s="109" t="s">
        <v>334</v>
      </c>
    </row>
    <row r="21" spans="1:17" x14ac:dyDescent="0.25">
      <c r="A21" t="s">
        <v>22</v>
      </c>
      <c r="B21" t="s">
        <v>75</v>
      </c>
      <c r="C21" t="s">
        <v>76</v>
      </c>
      <c r="D21" t="s">
        <v>308</v>
      </c>
      <c r="E21" t="s">
        <v>84</v>
      </c>
      <c r="F21">
        <v>251537413</v>
      </c>
      <c r="G21" t="s">
        <v>85</v>
      </c>
      <c r="H21">
        <v>677.72268747878331</v>
      </c>
      <c r="I21">
        <v>877</v>
      </c>
      <c r="J21">
        <v>188</v>
      </c>
      <c r="K21">
        <v>0</v>
      </c>
      <c r="L21" s="41">
        <v>558</v>
      </c>
      <c r="M21">
        <v>884</v>
      </c>
      <c r="N21" t="s">
        <v>323</v>
      </c>
      <c r="O21">
        <v>37</v>
      </c>
      <c r="P21" s="42" t="s">
        <v>364</v>
      </c>
      <c r="Q21" s="109" t="s">
        <v>334</v>
      </c>
    </row>
    <row r="22" spans="1:17" x14ac:dyDescent="0.25">
      <c r="A22" t="s">
        <v>22</v>
      </c>
      <c r="B22" t="s">
        <v>23</v>
      </c>
      <c r="C22" t="s">
        <v>88</v>
      </c>
      <c r="D22" t="s">
        <v>309</v>
      </c>
      <c r="E22" t="s">
        <v>89</v>
      </c>
      <c r="F22">
        <v>271440668</v>
      </c>
      <c r="G22" t="s">
        <v>90</v>
      </c>
      <c r="H22">
        <v>609.73853393474417</v>
      </c>
      <c r="I22">
        <v>983</v>
      </c>
      <c r="J22">
        <v>130</v>
      </c>
      <c r="K22">
        <v>0</v>
      </c>
      <c r="L22" s="41">
        <v>1206</v>
      </c>
      <c r="M22">
        <v>1741</v>
      </c>
      <c r="N22" t="s">
        <v>323</v>
      </c>
      <c r="O22">
        <v>35</v>
      </c>
      <c r="P22" s="42" t="s">
        <v>366</v>
      </c>
      <c r="Q22" s="109" t="s">
        <v>334</v>
      </c>
    </row>
    <row r="23" spans="1:17" x14ac:dyDescent="0.25">
      <c r="A23" t="s">
        <v>22</v>
      </c>
      <c r="B23" t="s">
        <v>23</v>
      </c>
      <c r="C23" t="s">
        <v>88</v>
      </c>
      <c r="D23" t="s">
        <v>310</v>
      </c>
      <c r="E23" t="s">
        <v>91</v>
      </c>
      <c r="F23">
        <v>271440669</v>
      </c>
      <c r="G23" t="s">
        <v>92</v>
      </c>
      <c r="H23">
        <v>609.73853393481966</v>
      </c>
      <c r="I23">
        <v>440</v>
      </c>
      <c r="J23">
        <v>128</v>
      </c>
      <c r="K23">
        <v>0</v>
      </c>
      <c r="L23" s="41">
        <v>1088</v>
      </c>
      <c r="M23">
        <v>1575</v>
      </c>
      <c r="N23" t="s">
        <v>323</v>
      </c>
      <c r="O23">
        <v>49</v>
      </c>
      <c r="P23" s="42" t="s">
        <v>358</v>
      </c>
      <c r="Q23" s="109" t="s">
        <v>334</v>
      </c>
    </row>
    <row r="24" spans="1:17" x14ac:dyDescent="0.25">
      <c r="A24" t="s">
        <v>22</v>
      </c>
      <c r="B24" t="s">
        <v>23</v>
      </c>
      <c r="C24" t="s">
        <v>88</v>
      </c>
      <c r="D24" t="s">
        <v>310</v>
      </c>
      <c r="E24" t="s">
        <v>93</v>
      </c>
      <c r="F24">
        <v>271440670</v>
      </c>
      <c r="G24" t="s">
        <v>94</v>
      </c>
      <c r="H24">
        <v>609.73853393489094</v>
      </c>
      <c r="I24">
        <v>999</v>
      </c>
      <c r="J24">
        <v>100</v>
      </c>
      <c r="K24">
        <v>0</v>
      </c>
      <c r="L24" s="41">
        <v>1088</v>
      </c>
      <c r="M24">
        <v>1467</v>
      </c>
      <c r="N24" t="s">
        <v>323</v>
      </c>
      <c r="O24">
        <v>45</v>
      </c>
      <c r="P24" s="42" t="s">
        <v>343</v>
      </c>
      <c r="Q24" s="109" t="s">
        <v>334</v>
      </c>
    </row>
    <row r="25" spans="1:17" x14ac:dyDescent="0.25">
      <c r="A25" t="s">
        <v>22</v>
      </c>
      <c r="B25" t="s">
        <v>23</v>
      </c>
      <c r="C25" t="s">
        <v>45</v>
      </c>
      <c r="D25" t="s">
        <v>311</v>
      </c>
      <c r="E25" t="s">
        <v>233</v>
      </c>
      <c r="F25">
        <v>273516556</v>
      </c>
      <c r="G25" t="s">
        <v>98</v>
      </c>
      <c r="H25">
        <v>603.82667045400092</v>
      </c>
      <c r="I25">
        <v>338</v>
      </c>
      <c r="J25">
        <v>112</v>
      </c>
      <c r="K25">
        <v>0</v>
      </c>
      <c r="L25" s="41">
        <v>969</v>
      </c>
      <c r="M25">
        <v>1399</v>
      </c>
      <c r="N25" t="s">
        <v>323</v>
      </c>
      <c r="O25">
        <v>31</v>
      </c>
      <c r="P25" s="42" t="s">
        <v>259</v>
      </c>
      <c r="Q25" s="109" t="s">
        <v>334</v>
      </c>
    </row>
    <row r="26" spans="1:17" x14ac:dyDescent="0.25">
      <c r="A26" t="s">
        <v>22</v>
      </c>
      <c r="B26" t="s">
        <v>30</v>
      </c>
      <c r="C26" t="s">
        <v>99</v>
      </c>
      <c r="D26" t="s">
        <v>312</v>
      </c>
      <c r="E26" t="s">
        <v>100</v>
      </c>
      <c r="F26">
        <v>273527791</v>
      </c>
      <c r="G26" t="s">
        <v>101</v>
      </c>
      <c r="H26">
        <v>603.81171633822566</v>
      </c>
      <c r="I26">
        <v>999</v>
      </c>
      <c r="J26">
        <v>122</v>
      </c>
      <c r="K26">
        <v>0</v>
      </c>
      <c r="L26" s="41">
        <v>782</v>
      </c>
      <c r="M26">
        <v>1141</v>
      </c>
      <c r="N26" t="s">
        <v>323</v>
      </c>
      <c r="O26">
        <v>32</v>
      </c>
      <c r="P26" s="42" t="s">
        <v>365</v>
      </c>
      <c r="Q26" s="109" t="s">
        <v>334</v>
      </c>
    </row>
    <row r="27" spans="1:17" x14ac:dyDescent="0.25">
      <c r="A27" t="s">
        <v>22</v>
      </c>
      <c r="B27" t="s">
        <v>30</v>
      </c>
      <c r="C27" t="s">
        <v>102</v>
      </c>
      <c r="D27" t="s">
        <v>313</v>
      </c>
      <c r="E27" t="s">
        <v>103</v>
      </c>
      <c r="F27">
        <v>273546535</v>
      </c>
      <c r="G27" t="s">
        <v>104</v>
      </c>
      <c r="H27">
        <v>603.79163825947705</v>
      </c>
      <c r="I27">
        <v>999</v>
      </c>
      <c r="J27">
        <v>78</v>
      </c>
      <c r="K27">
        <v>0</v>
      </c>
      <c r="L27" s="41">
        <v>1071</v>
      </c>
      <c r="M27">
        <v>1822</v>
      </c>
      <c r="N27" t="s">
        <v>323</v>
      </c>
      <c r="O27">
        <v>42</v>
      </c>
      <c r="P27" s="42" t="s">
        <v>367</v>
      </c>
      <c r="Q27" s="109" t="s">
        <v>334</v>
      </c>
    </row>
    <row r="28" spans="1:17" x14ac:dyDescent="0.25">
      <c r="A28" t="s">
        <v>22</v>
      </c>
      <c r="B28" t="s">
        <v>30</v>
      </c>
      <c r="C28" t="s">
        <v>107</v>
      </c>
      <c r="D28" t="s">
        <v>314</v>
      </c>
      <c r="E28" t="s">
        <v>108</v>
      </c>
      <c r="F28">
        <v>273556717</v>
      </c>
      <c r="G28" t="s">
        <v>109</v>
      </c>
      <c r="H28">
        <v>603.78279571720441</v>
      </c>
      <c r="I28">
        <v>193</v>
      </c>
      <c r="J28">
        <v>134</v>
      </c>
      <c r="K28">
        <v>0</v>
      </c>
      <c r="L28" s="41">
        <v>521</v>
      </c>
      <c r="M28">
        <v>877</v>
      </c>
      <c r="N28" t="s">
        <v>323</v>
      </c>
      <c r="O28">
        <v>41</v>
      </c>
      <c r="P28" s="42" t="s">
        <v>363</v>
      </c>
      <c r="Q28" s="109" t="s">
        <v>334</v>
      </c>
    </row>
    <row r="29" spans="1:17" x14ac:dyDescent="0.25">
      <c r="A29" t="s">
        <v>22</v>
      </c>
      <c r="B29" t="s">
        <v>75</v>
      </c>
      <c r="C29" t="s">
        <v>76</v>
      </c>
      <c r="D29" t="s">
        <v>315</v>
      </c>
      <c r="E29" t="s">
        <v>110</v>
      </c>
      <c r="F29">
        <v>273588520</v>
      </c>
      <c r="G29" t="s">
        <v>111</v>
      </c>
      <c r="H29">
        <v>603.75229660319724</v>
      </c>
      <c r="I29">
        <v>203</v>
      </c>
      <c r="J29">
        <v>6</v>
      </c>
      <c r="K29">
        <v>0</v>
      </c>
      <c r="L29" s="41">
        <v>970</v>
      </c>
      <c r="M29">
        <v>1828</v>
      </c>
      <c r="N29" t="s">
        <v>323</v>
      </c>
      <c r="O29">
        <v>47</v>
      </c>
      <c r="P29" s="42" t="s">
        <v>359</v>
      </c>
      <c r="Q29" s="109" t="s">
        <v>334</v>
      </c>
    </row>
    <row r="30" spans="1:17" x14ac:dyDescent="0.25">
      <c r="A30" t="s">
        <v>22</v>
      </c>
      <c r="B30" t="s">
        <v>75</v>
      </c>
      <c r="C30" t="s">
        <v>76</v>
      </c>
      <c r="D30" t="s">
        <v>336</v>
      </c>
      <c r="E30" t="s">
        <v>112</v>
      </c>
      <c r="F30">
        <v>273589771</v>
      </c>
      <c r="G30" t="s">
        <v>113</v>
      </c>
      <c r="H30">
        <v>603.74927069506714</v>
      </c>
      <c r="I30">
        <v>94</v>
      </c>
      <c r="J30">
        <v>10</v>
      </c>
      <c r="K30">
        <v>0</v>
      </c>
      <c r="L30" s="41">
        <v>1038</v>
      </c>
      <c r="M30">
        <v>657</v>
      </c>
      <c r="N30" t="s">
        <v>323</v>
      </c>
      <c r="O30">
        <v>40</v>
      </c>
      <c r="P30" s="42" t="s">
        <v>347</v>
      </c>
      <c r="Q30" s="109" t="s">
        <v>334</v>
      </c>
    </row>
    <row r="31" spans="1:17" x14ac:dyDescent="0.25">
      <c r="A31" t="s">
        <v>22</v>
      </c>
      <c r="B31" t="s">
        <v>23</v>
      </c>
      <c r="C31" t="s">
        <v>34</v>
      </c>
      <c r="D31" t="s">
        <v>304</v>
      </c>
      <c r="E31" t="s">
        <v>114</v>
      </c>
      <c r="F31">
        <v>275208801</v>
      </c>
      <c r="G31" t="s">
        <v>115</v>
      </c>
      <c r="H31">
        <v>598.67484315721276</v>
      </c>
      <c r="I31">
        <v>215</v>
      </c>
      <c r="J31">
        <v>58</v>
      </c>
      <c r="K31">
        <v>0</v>
      </c>
      <c r="L31" s="41">
        <v>725</v>
      </c>
      <c r="M31">
        <v>1313</v>
      </c>
      <c r="N31" t="s">
        <v>323</v>
      </c>
      <c r="O31">
        <v>45</v>
      </c>
      <c r="P31" s="42" t="s">
        <v>343</v>
      </c>
      <c r="Q31" s="109" t="s">
        <v>334</v>
      </c>
    </row>
    <row r="32" spans="1:17" x14ac:dyDescent="0.25">
      <c r="A32" t="s">
        <v>22</v>
      </c>
      <c r="B32" t="s">
        <v>23</v>
      </c>
      <c r="C32" t="s">
        <v>45</v>
      </c>
      <c r="D32" t="s">
        <v>316</v>
      </c>
      <c r="E32" t="s">
        <v>229</v>
      </c>
      <c r="F32">
        <v>278515093</v>
      </c>
      <c r="G32" t="s">
        <v>174</v>
      </c>
      <c r="H32">
        <v>591.60185519486436</v>
      </c>
      <c r="I32">
        <v>999</v>
      </c>
      <c r="J32">
        <v>337</v>
      </c>
      <c r="K32">
        <v>0</v>
      </c>
      <c r="L32" s="41">
        <v>873</v>
      </c>
      <c r="M32">
        <v>1399</v>
      </c>
      <c r="N32" t="s">
        <v>323</v>
      </c>
      <c r="O32">
        <v>38</v>
      </c>
      <c r="P32" s="42" t="s">
        <v>353</v>
      </c>
      <c r="Q32" s="109" t="s">
        <v>334</v>
      </c>
    </row>
    <row r="33" spans="1:17" x14ac:dyDescent="0.25">
      <c r="A33" t="s">
        <v>22</v>
      </c>
      <c r="B33" t="s">
        <v>23</v>
      </c>
      <c r="C33" t="s">
        <v>45</v>
      </c>
      <c r="D33" t="s">
        <v>311</v>
      </c>
      <c r="E33" t="s">
        <v>97</v>
      </c>
      <c r="F33">
        <v>298193176</v>
      </c>
      <c r="G33" t="s">
        <v>135</v>
      </c>
      <c r="H33">
        <v>558.88364969670965</v>
      </c>
      <c r="I33">
        <v>259</v>
      </c>
      <c r="J33">
        <v>157</v>
      </c>
      <c r="K33">
        <v>0</v>
      </c>
      <c r="L33" s="41">
        <v>791</v>
      </c>
      <c r="M33">
        <v>1318</v>
      </c>
      <c r="N33" t="s">
        <v>323</v>
      </c>
      <c r="O33">
        <v>40</v>
      </c>
      <c r="P33" s="42" t="s">
        <v>347</v>
      </c>
      <c r="Q33" s="109" t="s">
        <v>334</v>
      </c>
    </row>
    <row r="34" spans="1:17" x14ac:dyDescent="0.25">
      <c r="A34" t="s">
        <v>22</v>
      </c>
      <c r="B34" t="s">
        <v>30</v>
      </c>
      <c r="C34" t="s">
        <v>107</v>
      </c>
      <c r="D34" t="s">
        <v>314</v>
      </c>
      <c r="E34" t="s">
        <v>176</v>
      </c>
      <c r="F34">
        <v>321959186</v>
      </c>
      <c r="G34" t="s">
        <v>177</v>
      </c>
      <c r="H34">
        <v>505.56215156493295</v>
      </c>
      <c r="I34">
        <v>246</v>
      </c>
      <c r="J34">
        <v>31</v>
      </c>
      <c r="K34">
        <v>0</v>
      </c>
      <c r="L34" s="41">
        <v>595</v>
      </c>
      <c r="M34">
        <v>999</v>
      </c>
      <c r="N34" t="s">
        <v>323</v>
      </c>
      <c r="O34">
        <v>41</v>
      </c>
      <c r="P34" s="42" t="s">
        <v>363</v>
      </c>
      <c r="Q34" s="109" t="s">
        <v>334</v>
      </c>
    </row>
    <row r="35" spans="1:17" x14ac:dyDescent="0.25">
      <c r="A35" t="s">
        <v>22</v>
      </c>
      <c r="B35" t="s">
        <v>30</v>
      </c>
      <c r="C35" t="s">
        <v>99</v>
      </c>
      <c r="D35" t="s">
        <v>312</v>
      </c>
      <c r="E35" t="s">
        <v>180</v>
      </c>
      <c r="F35">
        <v>327442631</v>
      </c>
      <c r="G35" t="s">
        <v>181</v>
      </c>
      <c r="H35">
        <v>497.81653019279543</v>
      </c>
      <c r="I35">
        <v>999</v>
      </c>
      <c r="J35">
        <v>82</v>
      </c>
      <c r="K35">
        <v>0</v>
      </c>
      <c r="L35" s="41">
        <v>766</v>
      </c>
      <c r="M35">
        <v>1141</v>
      </c>
      <c r="N35" t="s">
        <v>323</v>
      </c>
      <c r="O35">
        <v>33</v>
      </c>
      <c r="P35" s="42" t="s">
        <v>368</v>
      </c>
      <c r="Q35" s="109" t="s">
        <v>334</v>
      </c>
    </row>
    <row r="36" spans="1:17" x14ac:dyDescent="0.25">
      <c r="A36" t="s">
        <v>22</v>
      </c>
      <c r="B36" t="s">
        <v>23</v>
      </c>
      <c r="C36" t="s">
        <v>34</v>
      </c>
      <c r="D36" t="s">
        <v>317</v>
      </c>
      <c r="E36" t="s">
        <v>188</v>
      </c>
      <c r="F36">
        <v>340734340</v>
      </c>
      <c r="G36" t="s">
        <v>189</v>
      </c>
      <c r="H36">
        <v>479.79856056054786</v>
      </c>
      <c r="I36">
        <v>999</v>
      </c>
      <c r="J36">
        <v>4</v>
      </c>
      <c r="K36">
        <v>0</v>
      </c>
      <c r="L36" s="41">
        <v>513</v>
      </c>
      <c r="M36">
        <v>741</v>
      </c>
      <c r="N36" t="s">
        <v>323</v>
      </c>
      <c r="O36">
        <v>31</v>
      </c>
      <c r="P36" s="42" t="s">
        <v>259</v>
      </c>
      <c r="Q36" s="109" t="s">
        <v>334</v>
      </c>
    </row>
    <row r="37" spans="1:17" x14ac:dyDescent="0.25">
      <c r="A37" t="s">
        <v>22</v>
      </c>
      <c r="B37" t="s">
        <v>23</v>
      </c>
      <c r="C37" t="s">
        <v>34</v>
      </c>
      <c r="D37" t="s">
        <v>197</v>
      </c>
      <c r="E37" t="s">
        <v>190</v>
      </c>
      <c r="F37">
        <v>340741532</v>
      </c>
      <c r="G37" t="s">
        <v>191</v>
      </c>
      <c r="H37">
        <v>479.78515340754728</v>
      </c>
      <c r="I37">
        <v>999</v>
      </c>
      <c r="J37">
        <v>60</v>
      </c>
      <c r="K37">
        <v>0</v>
      </c>
      <c r="L37" s="41">
        <v>513</v>
      </c>
      <c r="M37">
        <v>741</v>
      </c>
      <c r="N37" t="s">
        <v>323</v>
      </c>
      <c r="O37">
        <v>31</v>
      </c>
      <c r="P37" s="42" t="s">
        <v>259</v>
      </c>
      <c r="Q37" s="109" t="s">
        <v>334</v>
      </c>
    </row>
    <row r="38" spans="1:17" x14ac:dyDescent="0.25">
      <c r="A38" t="s">
        <v>22</v>
      </c>
      <c r="B38" t="s">
        <v>23</v>
      </c>
      <c r="C38" t="s">
        <v>34</v>
      </c>
      <c r="D38" t="s">
        <v>197</v>
      </c>
      <c r="E38" t="s">
        <v>192</v>
      </c>
      <c r="F38">
        <v>340743352</v>
      </c>
      <c r="G38" t="s">
        <v>193</v>
      </c>
      <c r="H38">
        <v>479.78394970492559</v>
      </c>
      <c r="I38">
        <v>216</v>
      </c>
      <c r="J38">
        <v>27</v>
      </c>
      <c r="K38">
        <v>0</v>
      </c>
      <c r="L38" s="41">
        <v>513</v>
      </c>
      <c r="M38">
        <v>741</v>
      </c>
      <c r="N38" t="s">
        <v>323</v>
      </c>
      <c r="O38">
        <v>31</v>
      </c>
      <c r="P38" s="42" t="s">
        <v>259</v>
      </c>
      <c r="Q38" s="109" t="s">
        <v>334</v>
      </c>
    </row>
    <row r="39" spans="1:17" x14ac:dyDescent="0.25">
      <c r="A39" t="s">
        <v>22</v>
      </c>
      <c r="B39" t="s">
        <v>23</v>
      </c>
      <c r="C39" t="s">
        <v>34</v>
      </c>
      <c r="D39" t="s">
        <v>197</v>
      </c>
      <c r="E39" t="s">
        <v>194</v>
      </c>
      <c r="F39">
        <v>340743911</v>
      </c>
      <c r="G39" t="s">
        <v>195</v>
      </c>
      <c r="H39">
        <v>479.78296748562684</v>
      </c>
      <c r="I39">
        <v>416</v>
      </c>
      <c r="J39">
        <v>13</v>
      </c>
      <c r="K39">
        <v>0</v>
      </c>
      <c r="L39" s="41">
        <v>508</v>
      </c>
      <c r="M39">
        <v>741</v>
      </c>
      <c r="N39" t="s">
        <v>323</v>
      </c>
      <c r="O39">
        <v>32</v>
      </c>
      <c r="P39" s="42" t="s">
        <v>365</v>
      </c>
      <c r="Q39" s="109" t="s">
        <v>334</v>
      </c>
    </row>
    <row r="40" spans="1:17" x14ac:dyDescent="0.25">
      <c r="A40" t="s">
        <v>22</v>
      </c>
      <c r="B40" t="s">
        <v>30</v>
      </c>
      <c r="C40" t="s">
        <v>182</v>
      </c>
      <c r="D40" t="s">
        <v>198</v>
      </c>
      <c r="E40" t="s">
        <v>183</v>
      </c>
      <c r="F40">
        <v>340802685</v>
      </c>
      <c r="G40" t="s">
        <v>184</v>
      </c>
      <c r="H40">
        <v>479.74271345394459</v>
      </c>
      <c r="I40">
        <v>999</v>
      </c>
      <c r="J40">
        <v>19</v>
      </c>
      <c r="K40">
        <v>0</v>
      </c>
      <c r="L40" s="41">
        <v>1028</v>
      </c>
      <c r="M40">
        <v>1499</v>
      </c>
      <c r="N40" t="s">
        <v>323</v>
      </c>
      <c r="O40">
        <v>32</v>
      </c>
      <c r="P40" s="42" t="s">
        <v>365</v>
      </c>
      <c r="Q40" s="109" t="s">
        <v>334</v>
      </c>
    </row>
    <row r="41" spans="1:17" x14ac:dyDescent="0.25">
      <c r="A41" t="s">
        <v>22</v>
      </c>
      <c r="B41" t="s">
        <v>23</v>
      </c>
      <c r="C41" t="s">
        <v>45</v>
      </c>
      <c r="D41" t="s">
        <v>311</v>
      </c>
      <c r="E41" t="s">
        <v>231</v>
      </c>
      <c r="F41">
        <v>345168494</v>
      </c>
      <c r="G41" t="s">
        <v>196</v>
      </c>
      <c r="H41">
        <v>474.8116849635241</v>
      </c>
      <c r="I41">
        <v>587</v>
      </c>
      <c r="J41">
        <v>196</v>
      </c>
      <c r="K41">
        <v>0</v>
      </c>
      <c r="L41" s="41">
        <v>969</v>
      </c>
      <c r="M41">
        <v>1399</v>
      </c>
      <c r="N41" t="s">
        <v>323</v>
      </c>
      <c r="O41">
        <v>31</v>
      </c>
      <c r="P41" s="42" t="s">
        <v>259</v>
      </c>
      <c r="Q41" s="109" t="s">
        <v>334</v>
      </c>
    </row>
    <row r="42" spans="1:17" x14ac:dyDescent="0.25">
      <c r="A42" t="s">
        <v>22</v>
      </c>
      <c r="B42" t="s">
        <v>30</v>
      </c>
      <c r="C42" t="s">
        <v>107</v>
      </c>
      <c r="D42" t="s">
        <v>314</v>
      </c>
      <c r="E42" t="s">
        <v>201</v>
      </c>
      <c r="F42">
        <v>370594147</v>
      </c>
      <c r="G42" t="s">
        <v>202</v>
      </c>
      <c r="H42">
        <v>451.66419783078533</v>
      </c>
      <c r="I42">
        <v>244</v>
      </c>
      <c r="J42">
        <v>106</v>
      </c>
      <c r="K42">
        <v>0</v>
      </c>
      <c r="L42" s="41">
        <v>692</v>
      </c>
      <c r="M42">
        <v>999</v>
      </c>
      <c r="N42" t="s">
        <v>323</v>
      </c>
      <c r="O42">
        <v>31</v>
      </c>
      <c r="P42" s="42" t="s">
        <v>259</v>
      </c>
      <c r="Q42" s="109" t="s">
        <v>334</v>
      </c>
    </row>
    <row r="43" spans="1:17" x14ac:dyDescent="0.25">
      <c r="A43" t="s">
        <v>22</v>
      </c>
      <c r="B43" t="s">
        <v>23</v>
      </c>
      <c r="C43" t="s">
        <v>45</v>
      </c>
      <c r="D43" t="s">
        <v>318</v>
      </c>
      <c r="E43" t="s">
        <v>240</v>
      </c>
      <c r="F43">
        <v>419130077</v>
      </c>
      <c r="G43" t="s">
        <v>228</v>
      </c>
      <c r="H43">
        <v>397.74175363573414</v>
      </c>
      <c r="I43">
        <v>999</v>
      </c>
      <c r="J43">
        <v>266</v>
      </c>
      <c r="K43">
        <v>0</v>
      </c>
      <c r="L43" s="41">
        <v>859</v>
      </c>
      <c r="M43">
        <v>1241</v>
      </c>
      <c r="N43" t="s">
        <v>323</v>
      </c>
      <c r="O43">
        <v>31</v>
      </c>
      <c r="P43" s="42" t="s">
        <v>259</v>
      </c>
      <c r="Q43" s="109" t="s">
        <v>334</v>
      </c>
    </row>
    <row r="44" spans="1:17" x14ac:dyDescent="0.25">
      <c r="A44" t="s">
        <v>22</v>
      </c>
      <c r="B44" t="s">
        <v>23</v>
      </c>
      <c r="C44" t="s">
        <v>34</v>
      </c>
      <c r="D44" t="s">
        <v>245</v>
      </c>
      <c r="E44" t="s">
        <v>214</v>
      </c>
      <c r="F44">
        <v>419141548</v>
      </c>
      <c r="G44" t="s">
        <v>215</v>
      </c>
      <c r="H44">
        <v>397.70804622355382</v>
      </c>
      <c r="I44">
        <v>258</v>
      </c>
      <c r="J44">
        <v>76</v>
      </c>
      <c r="K44">
        <v>0</v>
      </c>
      <c r="L44" s="41">
        <v>593</v>
      </c>
      <c r="M44">
        <v>884</v>
      </c>
      <c r="N44" t="s">
        <v>323</v>
      </c>
      <c r="O44">
        <v>33</v>
      </c>
      <c r="P44" s="42" t="s">
        <v>368</v>
      </c>
      <c r="Q44" s="109" t="s">
        <v>334</v>
      </c>
    </row>
    <row r="45" spans="1:17" x14ac:dyDescent="0.25">
      <c r="A45" t="s">
        <v>22</v>
      </c>
      <c r="B45" t="s">
        <v>23</v>
      </c>
      <c r="C45" t="s">
        <v>34</v>
      </c>
      <c r="D45" t="s">
        <v>245</v>
      </c>
      <c r="E45" t="s">
        <v>216</v>
      </c>
      <c r="F45">
        <v>419145389</v>
      </c>
      <c r="G45" t="s">
        <v>217</v>
      </c>
      <c r="H45">
        <v>397.69708983545746</v>
      </c>
      <c r="I45">
        <v>717</v>
      </c>
      <c r="J45">
        <v>118</v>
      </c>
      <c r="K45">
        <v>0</v>
      </c>
      <c r="L45" s="41">
        <v>612</v>
      </c>
      <c r="M45">
        <v>884</v>
      </c>
      <c r="N45" t="s">
        <v>323</v>
      </c>
      <c r="O45">
        <v>31</v>
      </c>
      <c r="P45" s="42" t="s">
        <v>259</v>
      </c>
      <c r="Q45" s="109" t="s">
        <v>334</v>
      </c>
    </row>
    <row r="46" spans="1:17" x14ac:dyDescent="0.25">
      <c r="A46" t="s">
        <v>22</v>
      </c>
      <c r="B46" t="s">
        <v>23</v>
      </c>
      <c r="C46" t="s">
        <v>34</v>
      </c>
      <c r="D46" t="s">
        <v>245</v>
      </c>
      <c r="E46" t="s">
        <v>226</v>
      </c>
      <c r="F46">
        <v>419145748</v>
      </c>
      <c r="G46" t="s">
        <v>227</v>
      </c>
      <c r="H46">
        <v>397.69529231381807</v>
      </c>
      <c r="I46">
        <v>999</v>
      </c>
      <c r="J46">
        <v>109</v>
      </c>
      <c r="K46">
        <v>0</v>
      </c>
      <c r="L46" s="41">
        <v>553</v>
      </c>
      <c r="M46">
        <v>930</v>
      </c>
      <c r="N46" t="s">
        <v>323</v>
      </c>
      <c r="O46">
        <v>41</v>
      </c>
      <c r="P46" s="42" t="s">
        <v>363</v>
      </c>
      <c r="Q46" s="109" t="s">
        <v>334</v>
      </c>
    </row>
    <row r="47" spans="1:17" x14ac:dyDescent="0.25">
      <c r="A47" t="s">
        <v>22</v>
      </c>
      <c r="B47" t="s">
        <v>23</v>
      </c>
      <c r="C47" t="s">
        <v>34</v>
      </c>
      <c r="D47" t="s">
        <v>246</v>
      </c>
      <c r="E47" t="s">
        <v>218</v>
      </c>
      <c r="F47">
        <v>419145749</v>
      </c>
      <c r="G47" t="s">
        <v>219</v>
      </c>
      <c r="H47">
        <v>397.69529231373718</v>
      </c>
      <c r="I47">
        <v>816</v>
      </c>
      <c r="J47">
        <v>106</v>
      </c>
      <c r="K47">
        <v>0</v>
      </c>
      <c r="L47" s="41">
        <v>502</v>
      </c>
      <c r="M47">
        <v>1013</v>
      </c>
      <c r="N47" t="s">
        <v>323</v>
      </c>
      <c r="O47">
        <v>51</v>
      </c>
      <c r="P47" s="42" t="s">
        <v>346</v>
      </c>
      <c r="Q47" s="109" t="s">
        <v>334</v>
      </c>
    </row>
    <row r="48" spans="1:17" x14ac:dyDescent="0.25">
      <c r="A48" t="s">
        <v>22</v>
      </c>
      <c r="B48" t="s">
        <v>23</v>
      </c>
      <c r="C48" t="s">
        <v>34</v>
      </c>
      <c r="D48" t="s">
        <v>245</v>
      </c>
      <c r="E48" t="s">
        <v>210</v>
      </c>
      <c r="F48">
        <v>419145985</v>
      </c>
      <c r="G48" t="s">
        <v>211</v>
      </c>
      <c r="H48">
        <v>397.69387151190216</v>
      </c>
      <c r="I48">
        <v>999</v>
      </c>
      <c r="J48">
        <v>90</v>
      </c>
      <c r="K48">
        <v>0</v>
      </c>
      <c r="L48" s="41">
        <v>552</v>
      </c>
      <c r="M48">
        <v>810</v>
      </c>
      <c r="N48" t="s">
        <v>323</v>
      </c>
      <c r="O48">
        <v>40</v>
      </c>
      <c r="P48" s="42" t="s">
        <v>347</v>
      </c>
      <c r="Q48" s="109" t="s">
        <v>334</v>
      </c>
    </row>
    <row r="49" spans="1:17" x14ac:dyDescent="0.25">
      <c r="A49" t="s">
        <v>22</v>
      </c>
      <c r="B49" t="s">
        <v>23</v>
      </c>
      <c r="C49" t="s">
        <v>34</v>
      </c>
      <c r="D49" t="s">
        <v>246</v>
      </c>
      <c r="E49" t="s">
        <v>212</v>
      </c>
      <c r="F49">
        <v>419145986</v>
      </c>
      <c r="G49" t="s">
        <v>213</v>
      </c>
      <c r="H49">
        <v>397.69387151187289</v>
      </c>
      <c r="I49">
        <v>999</v>
      </c>
      <c r="J49">
        <v>119</v>
      </c>
      <c r="K49">
        <v>0</v>
      </c>
      <c r="L49" s="41">
        <v>681</v>
      </c>
      <c r="M49">
        <v>1013</v>
      </c>
      <c r="N49" t="s">
        <v>323</v>
      </c>
      <c r="O49">
        <v>33</v>
      </c>
      <c r="P49" s="42" t="s">
        <v>368</v>
      </c>
      <c r="Q49" s="109" t="s">
        <v>334</v>
      </c>
    </row>
    <row r="50" spans="1:17" x14ac:dyDescent="0.25">
      <c r="A50" t="s">
        <v>22</v>
      </c>
      <c r="B50" t="s">
        <v>23</v>
      </c>
      <c r="C50" t="s">
        <v>34</v>
      </c>
      <c r="D50" t="s">
        <v>246</v>
      </c>
      <c r="E50" t="s">
        <v>208</v>
      </c>
      <c r="F50">
        <v>419146579</v>
      </c>
      <c r="G50" t="s">
        <v>209</v>
      </c>
      <c r="H50">
        <v>397.69225251003013</v>
      </c>
      <c r="I50">
        <v>999</v>
      </c>
      <c r="J50">
        <v>120</v>
      </c>
      <c r="K50">
        <v>0</v>
      </c>
      <c r="L50" s="41">
        <v>702</v>
      </c>
      <c r="M50">
        <v>1013</v>
      </c>
      <c r="N50" t="s">
        <v>323</v>
      </c>
      <c r="O50">
        <v>31</v>
      </c>
      <c r="P50" s="42" t="s">
        <v>259</v>
      </c>
      <c r="Q50" s="109" t="s">
        <v>334</v>
      </c>
    </row>
    <row r="51" spans="1:17" x14ac:dyDescent="0.25">
      <c r="A51" t="s">
        <v>22</v>
      </c>
      <c r="B51" t="s">
        <v>23</v>
      </c>
      <c r="C51" t="s">
        <v>45</v>
      </c>
      <c r="D51" t="s">
        <v>319</v>
      </c>
      <c r="E51" t="s">
        <v>241</v>
      </c>
      <c r="F51">
        <v>448248943</v>
      </c>
      <c r="G51" t="s">
        <v>242</v>
      </c>
      <c r="H51">
        <v>360.66582160299822</v>
      </c>
      <c r="I51">
        <v>773</v>
      </c>
      <c r="J51">
        <v>221</v>
      </c>
      <c r="K51">
        <v>0</v>
      </c>
      <c r="L51" s="41">
        <v>859</v>
      </c>
      <c r="M51">
        <v>1241</v>
      </c>
      <c r="N51" t="s">
        <v>323</v>
      </c>
      <c r="O51">
        <v>31</v>
      </c>
      <c r="P51" s="42" t="s">
        <v>259</v>
      </c>
      <c r="Q51" s="109" t="s">
        <v>334</v>
      </c>
    </row>
    <row r="52" spans="1:17" x14ac:dyDescent="0.25">
      <c r="A52" t="s">
        <v>22</v>
      </c>
      <c r="B52" t="s">
        <v>23</v>
      </c>
      <c r="C52" t="s">
        <v>45</v>
      </c>
      <c r="D52" t="s">
        <v>318</v>
      </c>
      <c r="E52" t="s">
        <v>243</v>
      </c>
      <c r="F52">
        <v>448254852</v>
      </c>
      <c r="G52" t="s">
        <v>244</v>
      </c>
      <c r="H52">
        <v>360.66130602519206</v>
      </c>
      <c r="I52">
        <v>627</v>
      </c>
      <c r="J52">
        <v>208</v>
      </c>
      <c r="K52">
        <v>0</v>
      </c>
      <c r="L52" s="41">
        <v>859</v>
      </c>
      <c r="M52">
        <v>1241</v>
      </c>
      <c r="N52" t="s">
        <v>323</v>
      </c>
      <c r="O52">
        <v>31</v>
      </c>
      <c r="P52" s="42" t="s">
        <v>259</v>
      </c>
      <c r="Q52" s="109" t="s">
        <v>334</v>
      </c>
    </row>
    <row r="53" spans="1:17" x14ac:dyDescent="0.25">
      <c r="A53" t="s">
        <v>22</v>
      </c>
      <c r="B53" t="s">
        <v>23</v>
      </c>
      <c r="C53" t="s">
        <v>261</v>
      </c>
      <c r="D53" t="s">
        <v>320</v>
      </c>
      <c r="E53" t="s">
        <v>262</v>
      </c>
      <c r="F53">
        <v>550539998</v>
      </c>
      <c r="G53" t="s">
        <v>263</v>
      </c>
      <c r="H53">
        <v>260.69089644108828</v>
      </c>
      <c r="I53">
        <v>999</v>
      </c>
      <c r="J53">
        <v>59</v>
      </c>
      <c r="K53">
        <v>0</v>
      </c>
      <c r="L53" s="41">
        <v>1624</v>
      </c>
      <c r="M53">
        <v>2542</v>
      </c>
      <c r="N53" t="s">
        <v>323</v>
      </c>
      <c r="O53">
        <v>46</v>
      </c>
      <c r="P53" s="42" t="s">
        <v>348</v>
      </c>
      <c r="Q53" s="109" t="s">
        <v>334</v>
      </c>
    </row>
    <row r="54" spans="1:17" x14ac:dyDescent="0.25">
      <c r="A54" t="s">
        <v>22</v>
      </c>
      <c r="B54" t="s">
        <v>23</v>
      </c>
      <c r="C54" t="s">
        <v>261</v>
      </c>
      <c r="D54" t="s">
        <v>321</v>
      </c>
      <c r="E54" t="s">
        <v>264</v>
      </c>
      <c r="F54">
        <v>550539999</v>
      </c>
      <c r="G54" t="s">
        <v>265</v>
      </c>
      <c r="H54">
        <v>260.69089644115996</v>
      </c>
      <c r="I54">
        <v>999</v>
      </c>
      <c r="J54">
        <v>40</v>
      </c>
      <c r="K54">
        <v>0</v>
      </c>
      <c r="L54" s="41">
        <v>999</v>
      </c>
      <c r="M54">
        <v>1456</v>
      </c>
      <c r="N54" t="s">
        <v>323</v>
      </c>
      <c r="O54">
        <v>38</v>
      </c>
      <c r="P54" s="42" t="s">
        <v>353</v>
      </c>
      <c r="Q54" s="109" t="s">
        <v>334</v>
      </c>
    </row>
    <row r="55" spans="1:17" x14ac:dyDescent="0.25">
      <c r="A55" t="s">
        <v>22</v>
      </c>
      <c r="B55" t="s">
        <v>23</v>
      </c>
      <c r="C55" t="s">
        <v>261</v>
      </c>
      <c r="D55" t="s">
        <v>324</v>
      </c>
      <c r="E55" t="s">
        <v>291</v>
      </c>
      <c r="F55">
        <v>820643010</v>
      </c>
      <c r="G55" t="s">
        <v>292</v>
      </c>
      <c r="H55">
        <v>127.7770314442745</v>
      </c>
      <c r="I55">
        <v>520</v>
      </c>
      <c r="J55">
        <v>89</v>
      </c>
      <c r="K55">
        <v>0</v>
      </c>
      <c r="L55" s="41">
        <v>1483</v>
      </c>
      <c r="M55">
        <v>2141</v>
      </c>
      <c r="N55" t="s">
        <v>323</v>
      </c>
      <c r="O55">
        <v>41</v>
      </c>
      <c r="P55" s="42" t="s">
        <v>363</v>
      </c>
      <c r="Q55" s="109" t="s">
        <v>334</v>
      </c>
    </row>
    <row r="56" spans="1:17" x14ac:dyDescent="0.25">
      <c r="L56" s="41"/>
      <c r="P56" s="42"/>
      <c r="Q56" s="109"/>
    </row>
    <row r="57" spans="1:17" x14ac:dyDescent="0.25">
      <c r="L57" s="41"/>
      <c r="P57" s="42"/>
      <c r="Q57" s="109"/>
    </row>
    <row r="58" spans="1:17" x14ac:dyDescent="0.25">
      <c r="L58" s="41"/>
      <c r="P58" s="42"/>
      <c r="Q58" s="109"/>
    </row>
    <row r="59" spans="1:17" x14ac:dyDescent="0.25">
      <c r="L59" s="41"/>
      <c r="P59" s="42"/>
      <c r="Q59" s="109"/>
    </row>
    <row r="60" spans="1:17" x14ac:dyDescent="0.25">
      <c r="L60" s="41"/>
      <c r="P60" s="42"/>
      <c r="Q60" s="109"/>
    </row>
    <row r="61" spans="1:17" x14ac:dyDescent="0.25">
      <c r="L61" s="41"/>
      <c r="P61" s="42"/>
      <c r="Q61" s="109"/>
    </row>
    <row r="62" spans="1:17" x14ac:dyDescent="0.25">
      <c r="L62" s="41"/>
      <c r="P62" s="42"/>
      <c r="Q62" s="109"/>
    </row>
    <row r="63" spans="1:17" x14ac:dyDescent="0.25">
      <c r="L63" s="41"/>
      <c r="P63" s="42"/>
      <c r="Q63" s="109"/>
    </row>
    <row r="64" spans="1:17" x14ac:dyDescent="0.25">
      <c r="L64" s="41"/>
      <c r="P64" s="42"/>
      <c r="Q64" s="109"/>
    </row>
    <row r="65" spans="12:17" x14ac:dyDescent="0.25">
      <c r="L65" s="41"/>
      <c r="P65" s="42"/>
      <c r="Q65" s="109"/>
    </row>
    <row r="66" spans="12:17" x14ac:dyDescent="0.25">
      <c r="L66" s="41"/>
      <c r="P66" s="42"/>
      <c r="Q66" s="10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5385-6FA3-4C0A-B0C2-E954CE0872B5}">
  <dimension ref="A1:U66"/>
  <sheetViews>
    <sheetView workbookViewId="0">
      <selection sqref="A1:XFD1048576"/>
    </sheetView>
  </sheetViews>
  <sheetFormatPr defaultRowHeight="15" x14ac:dyDescent="0.25"/>
  <sheetData>
    <row r="1" spans="1:1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322</v>
      </c>
      <c r="O1" t="s">
        <v>20</v>
      </c>
      <c r="P1" t="s">
        <v>21</v>
      </c>
      <c r="Q1" t="s">
        <v>239</v>
      </c>
    </row>
    <row r="2" spans="1:17" x14ac:dyDescent="0.25">
      <c r="A2" t="s">
        <v>22</v>
      </c>
      <c r="B2" t="s">
        <v>30</v>
      </c>
      <c r="C2" t="s">
        <v>31</v>
      </c>
      <c r="D2" t="s">
        <v>248</v>
      </c>
      <c r="E2" t="s">
        <v>41</v>
      </c>
      <c r="F2">
        <v>176723275</v>
      </c>
      <c r="G2" t="s">
        <v>42</v>
      </c>
      <c r="H2">
        <v>1011.7111119237389</v>
      </c>
      <c r="I2">
        <v>87</v>
      </c>
      <c r="J2">
        <v>92</v>
      </c>
      <c r="K2">
        <v>0</v>
      </c>
      <c r="L2" s="41">
        <v>839</v>
      </c>
      <c r="M2">
        <v>1199</v>
      </c>
      <c r="N2" t="s">
        <v>323</v>
      </c>
      <c r="O2">
        <v>30</v>
      </c>
      <c r="P2" s="42" t="s">
        <v>156</v>
      </c>
      <c r="Q2" s="109" t="s">
        <v>334</v>
      </c>
    </row>
    <row r="3" spans="1:17" x14ac:dyDescent="0.25">
      <c r="A3" t="s">
        <v>22</v>
      </c>
      <c r="B3" t="s">
        <v>23</v>
      </c>
      <c r="C3" t="s">
        <v>45</v>
      </c>
      <c r="D3" t="s">
        <v>286</v>
      </c>
      <c r="E3" t="s">
        <v>60</v>
      </c>
      <c r="F3">
        <v>186826338</v>
      </c>
      <c r="G3" t="s">
        <v>61</v>
      </c>
      <c r="H3">
        <v>960.48538456112601</v>
      </c>
      <c r="I3">
        <v>273</v>
      </c>
      <c r="J3">
        <v>457</v>
      </c>
      <c r="K3">
        <v>0</v>
      </c>
      <c r="L3" s="41">
        <v>868</v>
      </c>
      <c r="M3">
        <v>1241</v>
      </c>
      <c r="N3" t="s">
        <v>323</v>
      </c>
      <c r="O3">
        <v>30</v>
      </c>
      <c r="P3" s="42" t="s">
        <v>156</v>
      </c>
      <c r="Q3" s="109" t="s">
        <v>334</v>
      </c>
    </row>
    <row r="4" spans="1:17" x14ac:dyDescent="0.25">
      <c r="A4" t="s">
        <v>22</v>
      </c>
      <c r="B4" t="s">
        <v>23</v>
      </c>
      <c r="C4" t="s">
        <v>34</v>
      </c>
      <c r="D4" t="s">
        <v>238</v>
      </c>
      <c r="E4" t="s">
        <v>230</v>
      </c>
      <c r="F4">
        <v>236072835</v>
      </c>
      <c r="G4" t="s">
        <v>68</v>
      </c>
      <c r="H4">
        <v>743.62222068352412</v>
      </c>
      <c r="I4">
        <v>256</v>
      </c>
      <c r="J4">
        <v>427</v>
      </c>
      <c r="K4">
        <v>0</v>
      </c>
      <c r="L4" s="41">
        <v>597</v>
      </c>
      <c r="M4">
        <v>856</v>
      </c>
      <c r="N4" t="s">
        <v>323</v>
      </c>
      <c r="O4">
        <v>31</v>
      </c>
      <c r="P4" s="42" t="s">
        <v>259</v>
      </c>
      <c r="Q4" s="109" t="s">
        <v>334</v>
      </c>
    </row>
    <row r="5" spans="1:17" x14ac:dyDescent="0.25">
      <c r="A5" t="s">
        <v>22</v>
      </c>
      <c r="B5" t="s">
        <v>30</v>
      </c>
      <c r="C5" t="s">
        <v>31</v>
      </c>
      <c r="D5" t="s">
        <v>70</v>
      </c>
      <c r="E5" t="s">
        <v>71</v>
      </c>
      <c r="F5">
        <v>236929187</v>
      </c>
      <c r="G5" t="s">
        <v>72</v>
      </c>
      <c r="H5">
        <v>739.71473226222304</v>
      </c>
      <c r="I5">
        <v>72</v>
      </c>
      <c r="J5">
        <v>94</v>
      </c>
      <c r="K5">
        <v>0</v>
      </c>
      <c r="L5" s="41">
        <v>669</v>
      </c>
      <c r="M5">
        <v>956</v>
      </c>
      <c r="N5" t="s">
        <v>323</v>
      </c>
      <c r="O5">
        <v>30</v>
      </c>
      <c r="P5" s="42" t="s">
        <v>156</v>
      </c>
      <c r="Q5" s="109" t="s">
        <v>334</v>
      </c>
    </row>
    <row r="6" spans="1:17" x14ac:dyDescent="0.25">
      <c r="A6" t="s">
        <v>22</v>
      </c>
      <c r="B6" t="s">
        <v>75</v>
      </c>
      <c r="C6" t="s">
        <v>76</v>
      </c>
      <c r="D6" t="s">
        <v>77</v>
      </c>
      <c r="E6" t="s">
        <v>78</v>
      </c>
      <c r="F6">
        <v>251407392</v>
      </c>
      <c r="G6" t="s">
        <v>79</v>
      </c>
      <c r="H6">
        <v>678.51668023543914</v>
      </c>
      <c r="I6">
        <v>643</v>
      </c>
      <c r="J6">
        <v>192</v>
      </c>
      <c r="K6">
        <v>0</v>
      </c>
      <c r="L6" s="41">
        <v>741</v>
      </c>
      <c r="M6">
        <v>913</v>
      </c>
      <c r="N6" t="s">
        <v>323</v>
      </c>
      <c r="O6">
        <v>30</v>
      </c>
      <c r="P6" s="42" t="s">
        <v>156</v>
      </c>
      <c r="Q6" s="109" t="s">
        <v>334</v>
      </c>
    </row>
    <row r="7" spans="1:17" x14ac:dyDescent="0.25">
      <c r="L7" s="41"/>
      <c r="P7" s="42"/>
      <c r="Q7" s="109"/>
    </row>
    <row r="8" spans="1:17" x14ac:dyDescent="0.25">
      <c r="L8" s="41"/>
      <c r="P8" s="42"/>
      <c r="Q8" s="109"/>
    </row>
    <row r="9" spans="1:17" x14ac:dyDescent="0.25">
      <c r="L9" s="41"/>
      <c r="P9" s="42"/>
      <c r="Q9" s="109"/>
    </row>
    <row r="10" spans="1:17" x14ac:dyDescent="0.25">
      <c r="L10" s="41"/>
      <c r="P10" s="42"/>
      <c r="Q10" s="109"/>
    </row>
    <row r="11" spans="1:17" x14ac:dyDescent="0.25">
      <c r="L11" s="41"/>
      <c r="P11" s="42"/>
      <c r="Q11" s="109"/>
    </row>
    <row r="12" spans="1:17" x14ac:dyDescent="0.25">
      <c r="L12" s="41"/>
      <c r="P12" s="42"/>
      <c r="Q12" s="109"/>
    </row>
    <row r="13" spans="1:17" x14ac:dyDescent="0.25">
      <c r="L13" s="41"/>
      <c r="P13" s="42"/>
      <c r="Q13" s="109"/>
    </row>
    <row r="14" spans="1:17" x14ac:dyDescent="0.25">
      <c r="L14" s="41"/>
      <c r="P14" s="42"/>
      <c r="Q14" s="109"/>
    </row>
    <row r="15" spans="1:17" x14ac:dyDescent="0.25">
      <c r="L15" s="41"/>
      <c r="P15" s="42"/>
      <c r="Q15" s="109"/>
    </row>
    <row r="16" spans="1:17" x14ac:dyDescent="0.25">
      <c r="L16" s="41"/>
      <c r="P16" s="42"/>
      <c r="Q16" s="109"/>
    </row>
    <row r="17" spans="12:17" x14ac:dyDescent="0.25">
      <c r="L17" s="41"/>
      <c r="P17" s="42"/>
      <c r="Q17" s="109"/>
    </row>
    <row r="18" spans="12:17" x14ac:dyDescent="0.25">
      <c r="L18" s="41"/>
      <c r="P18" s="42"/>
      <c r="Q18" s="109"/>
    </row>
    <row r="19" spans="12:17" x14ac:dyDescent="0.25">
      <c r="L19" s="41"/>
      <c r="P19" s="42"/>
      <c r="Q19" s="109"/>
    </row>
    <row r="20" spans="12:17" x14ac:dyDescent="0.25">
      <c r="L20" s="41"/>
      <c r="P20" s="42"/>
      <c r="Q20" s="109"/>
    </row>
    <row r="21" spans="12:17" x14ac:dyDescent="0.25">
      <c r="L21" s="41"/>
      <c r="P21" s="42"/>
      <c r="Q21" s="109"/>
    </row>
    <row r="22" spans="12:17" x14ac:dyDescent="0.25">
      <c r="L22" s="41"/>
      <c r="P22" s="42"/>
      <c r="Q22" s="109"/>
    </row>
    <row r="23" spans="12:17" x14ac:dyDescent="0.25">
      <c r="L23" s="41"/>
      <c r="P23" s="42"/>
      <c r="Q23" s="109"/>
    </row>
    <row r="24" spans="12:17" x14ac:dyDescent="0.25">
      <c r="L24" s="41"/>
      <c r="P24" s="42"/>
      <c r="Q24" s="109"/>
    </row>
    <row r="25" spans="12:17" x14ac:dyDescent="0.25">
      <c r="L25" s="41"/>
      <c r="P25" s="42"/>
      <c r="Q25" s="109"/>
    </row>
    <row r="26" spans="12:17" x14ac:dyDescent="0.25">
      <c r="L26" s="41"/>
      <c r="P26" s="42"/>
      <c r="Q26" s="109"/>
    </row>
    <row r="27" spans="12:17" x14ac:dyDescent="0.25">
      <c r="L27" s="41"/>
      <c r="P27" s="42"/>
      <c r="Q27" s="109"/>
    </row>
    <row r="28" spans="12:17" x14ac:dyDescent="0.25">
      <c r="L28" s="41"/>
      <c r="P28" s="42"/>
      <c r="Q28" s="109"/>
    </row>
    <row r="29" spans="12:17" x14ac:dyDescent="0.25">
      <c r="L29" s="41"/>
      <c r="P29" s="42"/>
      <c r="Q29" s="109"/>
    </row>
    <row r="30" spans="12:17" x14ac:dyDescent="0.25">
      <c r="L30" s="41"/>
      <c r="P30" s="42"/>
      <c r="Q30" s="109"/>
    </row>
    <row r="31" spans="12:17" x14ac:dyDescent="0.25">
      <c r="L31" s="41"/>
      <c r="P31" s="42"/>
      <c r="Q31" s="109"/>
    </row>
    <row r="32" spans="12:17" x14ac:dyDescent="0.25">
      <c r="L32" s="41"/>
      <c r="P32" s="42"/>
      <c r="Q32" s="109"/>
    </row>
    <row r="33" spans="12:21" x14ac:dyDescent="0.25">
      <c r="L33" s="41"/>
      <c r="P33" s="42"/>
      <c r="Q33" s="109"/>
    </row>
    <row r="34" spans="12:21" x14ac:dyDescent="0.25">
      <c r="L34" s="41"/>
      <c r="T34" s="42"/>
      <c r="U34" s="109"/>
    </row>
    <row r="35" spans="12:21" x14ac:dyDescent="0.25">
      <c r="L35" s="41"/>
      <c r="T35" s="42"/>
      <c r="U35" s="109"/>
    </row>
    <row r="36" spans="12:21" x14ac:dyDescent="0.25">
      <c r="L36" s="41"/>
      <c r="T36" s="42"/>
      <c r="U36" s="109"/>
    </row>
    <row r="37" spans="12:21" x14ac:dyDescent="0.25">
      <c r="L37" s="41"/>
      <c r="T37" s="42"/>
      <c r="U37" s="109"/>
    </row>
    <row r="38" spans="12:21" x14ac:dyDescent="0.25">
      <c r="L38" s="41"/>
      <c r="T38" s="42"/>
      <c r="U38" s="109"/>
    </row>
    <row r="39" spans="12:21" x14ac:dyDescent="0.25">
      <c r="L39" s="41"/>
      <c r="T39" s="42"/>
      <c r="U39" s="109"/>
    </row>
    <row r="40" spans="12:21" x14ac:dyDescent="0.25">
      <c r="L40" s="41"/>
      <c r="T40" s="42"/>
      <c r="U40" s="109"/>
    </row>
    <row r="41" spans="12:21" x14ac:dyDescent="0.25">
      <c r="L41" s="41"/>
      <c r="T41" s="42"/>
      <c r="U41" s="109"/>
    </row>
    <row r="42" spans="12:21" x14ac:dyDescent="0.25">
      <c r="L42" s="41"/>
      <c r="T42" s="42"/>
      <c r="U42" s="109"/>
    </row>
    <row r="43" spans="12:21" x14ac:dyDescent="0.25">
      <c r="L43" s="41"/>
      <c r="T43" s="42"/>
      <c r="U43" s="109"/>
    </row>
    <row r="44" spans="12:21" x14ac:dyDescent="0.25">
      <c r="L44" s="41"/>
      <c r="T44" s="42"/>
      <c r="U44" s="109"/>
    </row>
    <row r="45" spans="12:21" x14ac:dyDescent="0.25">
      <c r="L45" s="41"/>
      <c r="T45" s="42"/>
      <c r="U45" s="109"/>
    </row>
    <row r="46" spans="12:21" x14ac:dyDescent="0.25">
      <c r="L46" s="41"/>
      <c r="T46" s="42"/>
      <c r="U46" s="109"/>
    </row>
    <row r="47" spans="12:21" x14ac:dyDescent="0.25">
      <c r="L47" s="41"/>
      <c r="T47" s="42"/>
      <c r="U47" s="109"/>
    </row>
    <row r="48" spans="12:21" x14ac:dyDescent="0.25">
      <c r="L48" s="41"/>
      <c r="T48" s="42"/>
      <c r="U48" s="109"/>
    </row>
    <row r="49" spans="12:21" x14ac:dyDescent="0.25">
      <c r="L49" s="41"/>
      <c r="T49" s="42"/>
      <c r="U49" s="109"/>
    </row>
    <row r="50" spans="12:21" x14ac:dyDescent="0.25">
      <c r="L50" s="41"/>
      <c r="T50" s="42"/>
      <c r="U50" s="109"/>
    </row>
    <row r="51" spans="12:21" x14ac:dyDescent="0.25">
      <c r="L51" s="41"/>
      <c r="T51" s="42"/>
      <c r="U51" s="109"/>
    </row>
    <row r="52" spans="12:21" x14ac:dyDescent="0.25">
      <c r="L52" s="41"/>
      <c r="T52" s="42"/>
      <c r="U52" s="109"/>
    </row>
    <row r="53" spans="12:21" x14ac:dyDescent="0.25">
      <c r="L53" s="41"/>
      <c r="T53" s="42"/>
      <c r="U53" s="109"/>
    </row>
    <row r="54" spans="12:21" x14ac:dyDescent="0.25">
      <c r="L54" s="41"/>
      <c r="T54" s="42"/>
      <c r="U54" s="109"/>
    </row>
    <row r="55" spans="12:21" x14ac:dyDescent="0.25">
      <c r="L55" s="41"/>
      <c r="T55" s="42"/>
      <c r="U55" s="109"/>
    </row>
    <row r="56" spans="12:21" x14ac:dyDescent="0.25">
      <c r="L56" s="41"/>
      <c r="T56" s="42"/>
      <c r="U56" s="109"/>
    </row>
    <row r="57" spans="12:21" x14ac:dyDescent="0.25">
      <c r="L57" s="41"/>
      <c r="T57" s="42"/>
      <c r="U57" s="109"/>
    </row>
    <row r="58" spans="12:21" x14ac:dyDescent="0.25">
      <c r="L58" s="41"/>
      <c r="T58" s="42"/>
      <c r="U58" s="109"/>
    </row>
    <row r="59" spans="12:21" x14ac:dyDescent="0.25">
      <c r="L59" s="41"/>
      <c r="T59" s="42"/>
      <c r="U59" s="109"/>
    </row>
    <row r="60" spans="12:21" x14ac:dyDescent="0.25">
      <c r="L60" s="41"/>
      <c r="T60" s="42"/>
      <c r="U60" s="109"/>
    </row>
    <row r="61" spans="12:21" x14ac:dyDescent="0.25">
      <c r="L61" s="41"/>
      <c r="T61" s="42"/>
      <c r="U61" s="109"/>
    </row>
    <row r="62" spans="12:21" x14ac:dyDescent="0.25">
      <c r="L62" s="41"/>
      <c r="T62" s="42"/>
      <c r="U62" s="109"/>
    </row>
    <row r="63" spans="12:21" x14ac:dyDescent="0.25">
      <c r="L63" s="41"/>
      <c r="T63" s="42"/>
      <c r="U63" s="109"/>
    </row>
    <row r="64" spans="12:21" x14ac:dyDescent="0.25">
      <c r="L64" s="41"/>
      <c r="P64" s="42"/>
      <c r="Q64" s="109"/>
    </row>
    <row r="65" spans="12:17" x14ac:dyDescent="0.25">
      <c r="L65" s="41"/>
      <c r="P65" s="42"/>
      <c r="Q65" s="109"/>
    </row>
    <row r="66" spans="12:17" x14ac:dyDescent="0.25">
      <c r="L66" s="41"/>
      <c r="P66" s="42"/>
      <c r="Q66" s="10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9E93-0B46-427D-9C56-1067FD542044}">
  <dimension ref="A1:U66"/>
  <sheetViews>
    <sheetView workbookViewId="0">
      <selection sqref="A1:XFD1048576"/>
    </sheetView>
  </sheetViews>
  <sheetFormatPr defaultRowHeight="15" x14ac:dyDescent="0.25"/>
  <sheetData>
    <row r="1" spans="1:21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322</v>
      </c>
      <c r="O1" t="s">
        <v>20</v>
      </c>
      <c r="P1" t="s">
        <v>21</v>
      </c>
      <c r="Q1" t="s">
        <v>239</v>
      </c>
    </row>
    <row r="2" spans="1:21" x14ac:dyDescent="0.25">
      <c r="A2" t="s">
        <v>247</v>
      </c>
      <c r="B2" t="s">
        <v>23</v>
      </c>
      <c r="C2" t="s">
        <v>24</v>
      </c>
      <c r="D2" t="s">
        <v>293</v>
      </c>
      <c r="E2" t="s">
        <v>25</v>
      </c>
      <c r="F2">
        <v>169112569</v>
      </c>
      <c r="G2" t="s">
        <v>26</v>
      </c>
      <c r="H2">
        <v>1070.8310624772846</v>
      </c>
      <c r="I2">
        <v>984</v>
      </c>
      <c r="J2">
        <v>128</v>
      </c>
      <c r="K2">
        <v>0</v>
      </c>
      <c r="L2" s="41">
        <v>594</v>
      </c>
      <c r="M2">
        <v>1258</v>
      </c>
      <c r="N2" t="s">
        <v>323</v>
      </c>
      <c r="O2">
        <v>41</v>
      </c>
      <c r="P2" t="s">
        <v>351</v>
      </c>
      <c r="Q2" t="s">
        <v>333</v>
      </c>
      <c r="T2" s="42"/>
      <c r="U2" s="109"/>
    </row>
    <row r="3" spans="1:21" x14ac:dyDescent="0.25">
      <c r="A3" t="s">
        <v>247</v>
      </c>
      <c r="B3" t="s">
        <v>23</v>
      </c>
      <c r="C3" t="s">
        <v>24</v>
      </c>
      <c r="D3" t="s">
        <v>294</v>
      </c>
      <c r="E3" t="s">
        <v>28</v>
      </c>
      <c r="F3">
        <v>169153168</v>
      </c>
      <c r="G3" t="s">
        <v>29</v>
      </c>
      <c r="H3">
        <v>1070.5852314893211</v>
      </c>
      <c r="I3">
        <v>999</v>
      </c>
      <c r="J3">
        <v>216</v>
      </c>
      <c r="K3">
        <v>0</v>
      </c>
      <c r="L3" s="41">
        <v>562</v>
      </c>
      <c r="M3">
        <v>1258</v>
      </c>
      <c r="N3" t="s">
        <v>323</v>
      </c>
      <c r="O3">
        <v>41</v>
      </c>
      <c r="P3" t="s">
        <v>339</v>
      </c>
      <c r="Q3" t="s">
        <v>333</v>
      </c>
      <c r="T3" s="42"/>
      <c r="U3" s="109"/>
    </row>
    <row r="4" spans="1:21" x14ac:dyDescent="0.25">
      <c r="A4" t="s">
        <v>247</v>
      </c>
      <c r="B4" t="s">
        <v>23</v>
      </c>
      <c r="C4" t="s">
        <v>24</v>
      </c>
      <c r="D4" t="s">
        <v>295</v>
      </c>
      <c r="E4" t="s">
        <v>52</v>
      </c>
      <c r="F4">
        <v>169395410</v>
      </c>
      <c r="G4" t="s">
        <v>53</v>
      </c>
      <c r="H4">
        <v>1067.6351851631032</v>
      </c>
      <c r="I4">
        <v>999</v>
      </c>
      <c r="J4">
        <v>202</v>
      </c>
      <c r="K4">
        <v>0</v>
      </c>
      <c r="L4" s="41">
        <v>1011</v>
      </c>
      <c r="M4">
        <v>1656</v>
      </c>
      <c r="N4" t="s">
        <v>323</v>
      </c>
      <c r="O4">
        <v>37</v>
      </c>
      <c r="P4" t="s">
        <v>371</v>
      </c>
      <c r="Q4" t="s">
        <v>333</v>
      </c>
      <c r="T4" s="42"/>
      <c r="U4" s="109"/>
    </row>
    <row r="5" spans="1:21" x14ac:dyDescent="0.25">
      <c r="A5" t="s">
        <v>247</v>
      </c>
      <c r="B5" t="s">
        <v>30</v>
      </c>
      <c r="C5" t="s">
        <v>31</v>
      </c>
      <c r="D5" t="s">
        <v>296</v>
      </c>
      <c r="E5" t="s">
        <v>54</v>
      </c>
      <c r="F5">
        <v>172832355</v>
      </c>
      <c r="G5" t="s">
        <v>55</v>
      </c>
      <c r="H5">
        <v>1041.6697101978095</v>
      </c>
      <c r="I5">
        <v>269</v>
      </c>
      <c r="J5">
        <v>139</v>
      </c>
      <c r="K5">
        <v>0</v>
      </c>
      <c r="L5" s="41">
        <v>1101</v>
      </c>
      <c r="M5">
        <v>3027</v>
      </c>
      <c r="N5" t="s">
        <v>323</v>
      </c>
      <c r="O5">
        <v>31</v>
      </c>
      <c r="P5" t="s">
        <v>372</v>
      </c>
      <c r="Q5" t="s">
        <v>333</v>
      </c>
      <c r="T5" s="42"/>
      <c r="U5" s="109"/>
    </row>
    <row r="6" spans="1:21" x14ac:dyDescent="0.25">
      <c r="A6" t="s">
        <v>22</v>
      </c>
      <c r="B6" t="s">
        <v>23</v>
      </c>
      <c r="C6" t="s">
        <v>34</v>
      </c>
      <c r="D6" t="s">
        <v>297</v>
      </c>
      <c r="E6" t="s">
        <v>35</v>
      </c>
      <c r="F6">
        <v>173605843</v>
      </c>
      <c r="G6" t="s">
        <v>36</v>
      </c>
      <c r="H6">
        <v>1035.8943871605641</v>
      </c>
      <c r="I6">
        <v>999</v>
      </c>
      <c r="J6">
        <v>535</v>
      </c>
      <c r="K6">
        <v>0</v>
      </c>
      <c r="L6" s="41">
        <v>343</v>
      </c>
      <c r="M6">
        <v>585</v>
      </c>
      <c r="N6" t="s">
        <v>323</v>
      </c>
      <c r="O6">
        <v>43</v>
      </c>
      <c r="P6" t="s">
        <v>335</v>
      </c>
      <c r="Q6" t="s">
        <v>334</v>
      </c>
      <c r="T6" s="42"/>
      <c r="U6" s="109"/>
    </row>
    <row r="7" spans="1:21" x14ac:dyDescent="0.25">
      <c r="A7" t="s">
        <v>22</v>
      </c>
      <c r="B7" t="s">
        <v>30</v>
      </c>
      <c r="C7" t="s">
        <v>31</v>
      </c>
      <c r="D7" t="s">
        <v>298</v>
      </c>
      <c r="E7" t="s">
        <v>37</v>
      </c>
      <c r="F7">
        <v>176500218</v>
      </c>
      <c r="G7" t="s">
        <v>38</v>
      </c>
      <c r="H7">
        <v>1013.6907273661958</v>
      </c>
      <c r="I7">
        <v>726</v>
      </c>
      <c r="J7">
        <v>320</v>
      </c>
      <c r="K7">
        <v>0</v>
      </c>
      <c r="L7" s="41">
        <v>475</v>
      </c>
      <c r="M7">
        <v>792</v>
      </c>
      <c r="N7" t="s">
        <v>323</v>
      </c>
      <c r="O7">
        <v>40</v>
      </c>
      <c r="P7" t="s">
        <v>347</v>
      </c>
      <c r="Q7" t="s">
        <v>334</v>
      </c>
      <c r="T7" s="42"/>
      <c r="U7" s="109"/>
    </row>
    <row r="8" spans="1:21" x14ac:dyDescent="0.25">
      <c r="A8" t="s">
        <v>247</v>
      </c>
      <c r="B8" t="s">
        <v>30</v>
      </c>
      <c r="C8" t="s">
        <v>31</v>
      </c>
      <c r="D8" t="s">
        <v>299</v>
      </c>
      <c r="E8" t="s">
        <v>39</v>
      </c>
      <c r="F8">
        <v>176721350</v>
      </c>
      <c r="G8" t="s">
        <v>40</v>
      </c>
      <c r="H8">
        <v>1011.7224726637529</v>
      </c>
      <c r="I8">
        <v>334</v>
      </c>
      <c r="J8">
        <v>258</v>
      </c>
      <c r="K8">
        <v>0</v>
      </c>
      <c r="L8" s="41">
        <v>577</v>
      </c>
      <c r="M8">
        <v>1199</v>
      </c>
      <c r="N8" t="s">
        <v>323</v>
      </c>
      <c r="O8">
        <v>37</v>
      </c>
      <c r="P8" t="s">
        <v>344</v>
      </c>
      <c r="Q8" t="s">
        <v>333</v>
      </c>
      <c r="T8" s="42"/>
      <c r="U8" s="109"/>
    </row>
    <row r="9" spans="1:21" x14ac:dyDescent="0.25">
      <c r="A9" t="s">
        <v>247</v>
      </c>
      <c r="B9" t="s">
        <v>30</v>
      </c>
      <c r="C9" t="s">
        <v>31</v>
      </c>
      <c r="D9" t="s">
        <v>248</v>
      </c>
      <c r="E9" t="s">
        <v>41</v>
      </c>
      <c r="F9">
        <v>176723275</v>
      </c>
      <c r="G9" t="s">
        <v>42</v>
      </c>
      <c r="H9">
        <v>1011.7120056409998</v>
      </c>
      <c r="I9">
        <v>87</v>
      </c>
      <c r="J9">
        <v>92</v>
      </c>
      <c r="K9">
        <v>0</v>
      </c>
      <c r="L9" s="41">
        <v>752</v>
      </c>
      <c r="M9">
        <v>1199</v>
      </c>
      <c r="N9" t="s">
        <v>323</v>
      </c>
      <c r="O9">
        <v>30</v>
      </c>
      <c r="P9" t="s">
        <v>353</v>
      </c>
      <c r="Q9" t="s">
        <v>333</v>
      </c>
      <c r="T9" s="42"/>
      <c r="U9" s="109"/>
    </row>
    <row r="10" spans="1:21" x14ac:dyDescent="0.25">
      <c r="A10" t="s">
        <v>247</v>
      </c>
      <c r="B10" t="s">
        <v>30</v>
      </c>
      <c r="C10" t="s">
        <v>31</v>
      </c>
      <c r="D10" t="s">
        <v>300</v>
      </c>
      <c r="E10" t="s">
        <v>43</v>
      </c>
      <c r="F10">
        <v>177404837</v>
      </c>
      <c r="G10" t="s">
        <v>44</v>
      </c>
      <c r="H10">
        <v>1007.6786578813307</v>
      </c>
      <c r="I10">
        <v>502</v>
      </c>
      <c r="J10">
        <v>146</v>
      </c>
      <c r="K10">
        <v>0</v>
      </c>
      <c r="L10" s="41">
        <v>696</v>
      </c>
      <c r="M10">
        <v>1799</v>
      </c>
      <c r="N10" t="s">
        <v>323</v>
      </c>
      <c r="O10">
        <v>31</v>
      </c>
      <c r="P10" t="s">
        <v>373</v>
      </c>
      <c r="Q10" t="s">
        <v>333</v>
      </c>
      <c r="T10" s="42"/>
      <c r="U10" s="109"/>
    </row>
    <row r="11" spans="1:21" x14ac:dyDescent="0.25">
      <c r="A11" t="s">
        <v>247</v>
      </c>
      <c r="B11" t="s">
        <v>30</v>
      </c>
      <c r="C11" t="s">
        <v>31</v>
      </c>
      <c r="D11" t="s">
        <v>301</v>
      </c>
      <c r="E11" t="s">
        <v>56</v>
      </c>
      <c r="F11">
        <v>177405495</v>
      </c>
      <c r="G11" t="s">
        <v>57</v>
      </c>
      <c r="H11">
        <v>1007.6721651314357</v>
      </c>
      <c r="I11">
        <v>999</v>
      </c>
      <c r="J11">
        <v>264</v>
      </c>
      <c r="K11">
        <v>0</v>
      </c>
      <c r="L11" s="41">
        <v>842</v>
      </c>
      <c r="M11">
        <v>1599</v>
      </c>
      <c r="N11" t="s">
        <v>323</v>
      </c>
      <c r="O11">
        <v>31</v>
      </c>
      <c r="P11" t="s">
        <v>349</v>
      </c>
      <c r="Q11" t="s">
        <v>333</v>
      </c>
      <c r="T11" s="42"/>
      <c r="U11" s="109"/>
    </row>
    <row r="12" spans="1:21" x14ac:dyDescent="0.25">
      <c r="A12" t="s">
        <v>247</v>
      </c>
      <c r="B12" t="s">
        <v>23</v>
      </c>
      <c r="C12" t="s">
        <v>45</v>
      </c>
      <c r="D12" t="s">
        <v>302</v>
      </c>
      <c r="E12" t="s">
        <v>58</v>
      </c>
      <c r="F12">
        <v>186800214</v>
      </c>
      <c r="G12" t="s">
        <v>59</v>
      </c>
      <c r="H12">
        <v>960.62784465178447</v>
      </c>
      <c r="I12">
        <v>168</v>
      </c>
      <c r="J12">
        <v>180</v>
      </c>
      <c r="K12">
        <v>0</v>
      </c>
      <c r="L12" s="41">
        <v>696</v>
      </c>
      <c r="M12">
        <v>1273</v>
      </c>
      <c r="N12" t="s">
        <v>323</v>
      </c>
      <c r="O12">
        <v>40</v>
      </c>
      <c r="P12" t="s">
        <v>348</v>
      </c>
      <c r="Q12" t="s">
        <v>333</v>
      </c>
      <c r="T12" s="42"/>
      <c r="U12" s="109"/>
    </row>
    <row r="13" spans="1:21" x14ac:dyDescent="0.25">
      <c r="A13" t="s">
        <v>247</v>
      </c>
      <c r="B13" t="s">
        <v>23</v>
      </c>
      <c r="C13" t="s">
        <v>45</v>
      </c>
      <c r="D13" t="s">
        <v>286</v>
      </c>
      <c r="E13" t="s">
        <v>60</v>
      </c>
      <c r="F13">
        <v>186826338</v>
      </c>
      <c r="G13" t="s">
        <v>61</v>
      </c>
      <c r="H13">
        <v>960.48627827862936</v>
      </c>
      <c r="I13">
        <v>273</v>
      </c>
      <c r="J13">
        <v>457</v>
      </c>
      <c r="K13">
        <v>0</v>
      </c>
      <c r="L13" s="41">
        <v>638</v>
      </c>
      <c r="M13">
        <v>1241</v>
      </c>
      <c r="N13" t="s">
        <v>323</v>
      </c>
      <c r="O13">
        <v>30</v>
      </c>
      <c r="P13" t="s">
        <v>358</v>
      </c>
      <c r="Q13" t="s">
        <v>333</v>
      </c>
      <c r="T13" s="42"/>
      <c r="U13" s="109"/>
    </row>
    <row r="14" spans="1:21" x14ac:dyDescent="0.25">
      <c r="A14" t="s">
        <v>247</v>
      </c>
      <c r="B14" t="s">
        <v>30</v>
      </c>
      <c r="C14" t="s">
        <v>31</v>
      </c>
      <c r="D14" t="s">
        <v>303</v>
      </c>
      <c r="E14" t="s">
        <v>62</v>
      </c>
      <c r="F14">
        <v>204615141</v>
      </c>
      <c r="G14" t="s">
        <v>63</v>
      </c>
      <c r="H14">
        <v>876.65087787501398</v>
      </c>
      <c r="I14">
        <v>602</v>
      </c>
      <c r="J14">
        <v>222</v>
      </c>
      <c r="K14">
        <v>0</v>
      </c>
      <c r="L14" s="41">
        <v>446</v>
      </c>
      <c r="M14">
        <v>941</v>
      </c>
      <c r="N14" t="s">
        <v>323</v>
      </c>
      <c r="O14">
        <v>37</v>
      </c>
      <c r="P14" t="s">
        <v>351</v>
      </c>
      <c r="Q14" t="s">
        <v>333</v>
      </c>
      <c r="T14" s="42"/>
      <c r="U14" s="109"/>
    </row>
    <row r="15" spans="1:21" x14ac:dyDescent="0.25">
      <c r="A15" t="s">
        <v>247</v>
      </c>
      <c r="B15" t="s">
        <v>23</v>
      </c>
      <c r="C15" t="s">
        <v>34</v>
      </c>
      <c r="D15" t="s">
        <v>304</v>
      </c>
      <c r="E15" t="s">
        <v>64</v>
      </c>
      <c r="F15">
        <v>223420736</v>
      </c>
      <c r="G15" t="s">
        <v>65</v>
      </c>
      <c r="H15">
        <v>799.78167565083913</v>
      </c>
      <c r="I15">
        <v>368</v>
      </c>
      <c r="J15">
        <v>56</v>
      </c>
      <c r="K15">
        <v>0</v>
      </c>
      <c r="L15" s="41">
        <v>771</v>
      </c>
      <c r="M15">
        <v>1313</v>
      </c>
      <c r="N15" t="s">
        <v>323</v>
      </c>
      <c r="O15">
        <v>32</v>
      </c>
      <c r="P15" t="s">
        <v>367</v>
      </c>
      <c r="Q15" t="s">
        <v>333</v>
      </c>
      <c r="T15" s="42"/>
      <c r="U15" s="109"/>
    </row>
    <row r="16" spans="1:21" x14ac:dyDescent="0.25">
      <c r="A16" t="s">
        <v>247</v>
      </c>
      <c r="B16" t="s">
        <v>23</v>
      </c>
      <c r="C16" t="s">
        <v>34</v>
      </c>
      <c r="D16" t="s">
        <v>305</v>
      </c>
      <c r="E16" t="s">
        <v>237</v>
      </c>
      <c r="F16">
        <v>223671295</v>
      </c>
      <c r="G16" t="s">
        <v>66</v>
      </c>
      <c r="H16">
        <v>798.79078345868913</v>
      </c>
      <c r="I16">
        <v>823</v>
      </c>
      <c r="J16">
        <v>447</v>
      </c>
      <c r="K16">
        <v>0</v>
      </c>
      <c r="L16" s="41">
        <v>324</v>
      </c>
      <c r="M16">
        <v>856</v>
      </c>
      <c r="N16" t="s">
        <v>323</v>
      </c>
      <c r="O16">
        <v>50</v>
      </c>
      <c r="P16" t="s">
        <v>374</v>
      </c>
      <c r="Q16" t="s">
        <v>333</v>
      </c>
      <c r="T16" s="42"/>
      <c r="U16" s="109"/>
    </row>
    <row r="17" spans="1:21" x14ac:dyDescent="0.25">
      <c r="A17" t="s">
        <v>247</v>
      </c>
      <c r="B17" t="s">
        <v>23</v>
      </c>
      <c r="C17" t="s">
        <v>34</v>
      </c>
      <c r="D17" t="s">
        <v>305</v>
      </c>
      <c r="E17" t="s">
        <v>234</v>
      </c>
      <c r="F17">
        <v>236072834</v>
      </c>
      <c r="G17" t="s">
        <v>67</v>
      </c>
      <c r="H17">
        <v>743.62311440143912</v>
      </c>
      <c r="I17">
        <v>443</v>
      </c>
      <c r="J17">
        <v>254</v>
      </c>
      <c r="K17">
        <v>0</v>
      </c>
      <c r="L17" s="41">
        <v>410</v>
      </c>
      <c r="M17">
        <v>856</v>
      </c>
      <c r="N17" t="s">
        <v>323</v>
      </c>
      <c r="O17">
        <v>37</v>
      </c>
      <c r="P17" t="s">
        <v>344</v>
      </c>
      <c r="Q17" t="s">
        <v>333</v>
      </c>
      <c r="T17" s="42"/>
      <c r="U17" s="109"/>
    </row>
    <row r="18" spans="1:21" x14ac:dyDescent="0.25">
      <c r="A18" t="s">
        <v>247</v>
      </c>
      <c r="B18" t="s">
        <v>23</v>
      </c>
      <c r="C18" t="s">
        <v>34</v>
      </c>
      <c r="D18" t="s">
        <v>238</v>
      </c>
      <c r="E18" t="s">
        <v>230</v>
      </c>
      <c r="F18">
        <v>236072835</v>
      </c>
      <c r="G18" t="s">
        <v>68</v>
      </c>
      <c r="H18">
        <v>743.62311440151268</v>
      </c>
      <c r="I18">
        <v>256</v>
      </c>
      <c r="J18">
        <v>427</v>
      </c>
      <c r="K18">
        <v>0</v>
      </c>
      <c r="L18" s="41">
        <v>488</v>
      </c>
      <c r="M18">
        <v>856</v>
      </c>
      <c r="N18" t="s">
        <v>323</v>
      </c>
      <c r="O18">
        <v>31</v>
      </c>
      <c r="P18" t="s">
        <v>335</v>
      </c>
      <c r="Q18" t="s">
        <v>333</v>
      </c>
      <c r="T18" s="42"/>
      <c r="U18" s="109"/>
    </row>
    <row r="19" spans="1:21" x14ac:dyDescent="0.25">
      <c r="A19" t="s">
        <v>247</v>
      </c>
      <c r="B19" t="s">
        <v>23</v>
      </c>
      <c r="C19" t="s">
        <v>34</v>
      </c>
      <c r="D19" t="s">
        <v>238</v>
      </c>
      <c r="E19" t="s">
        <v>235</v>
      </c>
      <c r="F19">
        <v>236072836</v>
      </c>
      <c r="G19" t="s">
        <v>69</v>
      </c>
      <c r="H19">
        <v>743.62311440153053</v>
      </c>
      <c r="I19">
        <v>638</v>
      </c>
      <c r="J19">
        <v>300</v>
      </c>
      <c r="K19">
        <v>0</v>
      </c>
      <c r="L19" s="41">
        <v>485</v>
      </c>
      <c r="M19">
        <v>856</v>
      </c>
      <c r="N19" t="s">
        <v>323</v>
      </c>
      <c r="O19">
        <v>31</v>
      </c>
      <c r="P19" t="s">
        <v>375</v>
      </c>
      <c r="Q19" t="s">
        <v>333</v>
      </c>
      <c r="T19" s="42"/>
      <c r="U19" s="109"/>
    </row>
    <row r="20" spans="1:21" x14ac:dyDescent="0.25">
      <c r="A20" t="s">
        <v>247</v>
      </c>
      <c r="B20" t="s">
        <v>30</v>
      </c>
      <c r="C20" t="s">
        <v>31</v>
      </c>
      <c r="D20" t="s">
        <v>303</v>
      </c>
      <c r="E20" t="s">
        <v>46</v>
      </c>
      <c r="F20">
        <v>236074677</v>
      </c>
      <c r="G20" t="s">
        <v>47</v>
      </c>
      <c r="H20">
        <v>743.61063194347628</v>
      </c>
      <c r="I20">
        <v>152</v>
      </c>
      <c r="J20">
        <v>18</v>
      </c>
      <c r="K20">
        <v>0</v>
      </c>
      <c r="L20" s="41">
        <v>582</v>
      </c>
      <c r="M20">
        <v>1084</v>
      </c>
      <c r="N20" t="s">
        <v>323</v>
      </c>
      <c r="O20">
        <v>31</v>
      </c>
      <c r="P20" t="s">
        <v>359</v>
      </c>
      <c r="Q20" t="s">
        <v>333</v>
      </c>
      <c r="T20" s="42"/>
      <c r="U20" s="109"/>
    </row>
    <row r="21" spans="1:21" x14ac:dyDescent="0.25">
      <c r="A21" t="s">
        <v>247</v>
      </c>
      <c r="B21" t="s">
        <v>30</v>
      </c>
      <c r="C21" t="s">
        <v>31</v>
      </c>
      <c r="D21" t="s">
        <v>70</v>
      </c>
      <c r="E21" t="s">
        <v>71</v>
      </c>
      <c r="F21">
        <v>236929187</v>
      </c>
      <c r="G21" t="s">
        <v>72</v>
      </c>
      <c r="H21">
        <v>739.71562598032199</v>
      </c>
      <c r="I21">
        <v>72</v>
      </c>
      <c r="J21">
        <v>94</v>
      </c>
      <c r="K21">
        <v>0</v>
      </c>
      <c r="L21" s="41">
        <v>595</v>
      </c>
      <c r="M21">
        <v>956</v>
      </c>
      <c r="N21" t="s">
        <v>323</v>
      </c>
      <c r="O21">
        <v>30</v>
      </c>
      <c r="P21" t="s">
        <v>353</v>
      </c>
      <c r="Q21" t="s">
        <v>333</v>
      </c>
      <c r="T21" s="42"/>
      <c r="U21" s="109"/>
    </row>
    <row r="22" spans="1:21" x14ac:dyDescent="0.25">
      <c r="A22" t="s">
        <v>247</v>
      </c>
      <c r="B22" t="s">
        <v>30</v>
      </c>
      <c r="C22" t="s">
        <v>31</v>
      </c>
      <c r="D22" t="s">
        <v>306</v>
      </c>
      <c r="E22" t="s">
        <v>48</v>
      </c>
      <c r="F22">
        <v>239233529</v>
      </c>
      <c r="G22" t="s">
        <v>49</v>
      </c>
      <c r="H22">
        <v>728.45093429450492</v>
      </c>
      <c r="I22">
        <v>290</v>
      </c>
      <c r="J22">
        <v>55</v>
      </c>
      <c r="K22">
        <v>0</v>
      </c>
      <c r="L22" s="41">
        <v>501</v>
      </c>
      <c r="M22">
        <v>1013</v>
      </c>
      <c r="N22" t="s">
        <v>323</v>
      </c>
      <c r="O22">
        <v>31</v>
      </c>
      <c r="P22" t="s">
        <v>346</v>
      </c>
      <c r="Q22" t="s">
        <v>333</v>
      </c>
      <c r="T22" s="42"/>
      <c r="U22" s="109"/>
    </row>
    <row r="23" spans="1:21" x14ac:dyDescent="0.25">
      <c r="A23" t="s">
        <v>247</v>
      </c>
      <c r="B23" t="s">
        <v>30</v>
      </c>
      <c r="C23" t="s">
        <v>31</v>
      </c>
      <c r="D23" t="s">
        <v>307</v>
      </c>
      <c r="E23" t="s">
        <v>50</v>
      </c>
      <c r="F23">
        <v>239235150</v>
      </c>
      <c r="G23" t="s">
        <v>51</v>
      </c>
      <c r="H23">
        <v>728.44089711397521</v>
      </c>
      <c r="I23">
        <v>18</v>
      </c>
      <c r="J23">
        <v>1</v>
      </c>
      <c r="K23">
        <v>0</v>
      </c>
      <c r="L23" s="41">
        <v>346</v>
      </c>
      <c r="M23">
        <v>713</v>
      </c>
      <c r="N23" t="s">
        <v>323</v>
      </c>
      <c r="O23">
        <v>31</v>
      </c>
      <c r="P23" t="s">
        <v>344</v>
      </c>
      <c r="Q23" t="s">
        <v>333</v>
      </c>
      <c r="T23" s="42"/>
      <c r="U23" s="109"/>
    </row>
    <row r="24" spans="1:21" x14ac:dyDescent="0.25">
      <c r="A24" t="s">
        <v>247</v>
      </c>
      <c r="B24" t="s">
        <v>75</v>
      </c>
      <c r="C24" t="s">
        <v>76</v>
      </c>
      <c r="D24" t="s">
        <v>77</v>
      </c>
      <c r="E24" t="s">
        <v>78</v>
      </c>
      <c r="F24">
        <v>251407392</v>
      </c>
      <c r="G24" t="s">
        <v>79</v>
      </c>
      <c r="H24">
        <v>678.51757395360153</v>
      </c>
      <c r="I24">
        <v>643</v>
      </c>
      <c r="J24">
        <v>192</v>
      </c>
      <c r="K24">
        <v>0</v>
      </c>
      <c r="L24" s="41">
        <v>599</v>
      </c>
      <c r="M24">
        <v>913</v>
      </c>
      <c r="N24" t="s">
        <v>323</v>
      </c>
      <c r="O24">
        <v>30</v>
      </c>
      <c r="P24" t="s">
        <v>366</v>
      </c>
      <c r="Q24" t="s">
        <v>333</v>
      </c>
      <c r="T24" s="42"/>
      <c r="U24" s="109"/>
    </row>
    <row r="25" spans="1:21" x14ac:dyDescent="0.25">
      <c r="A25" t="s">
        <v>247</v>
      </c>
      <c r="B25" t="s">
        <v>75</v>
      </c>
      <c r="C25" t="s">
        <v>76</v>
      </c>
      <c r="D25" t="s">
        <v>308</v>
      </c>
      <c r="E25" t="s">
        <v>82</v>
      </c>
      <c r="F25">
        <v>251537223</v>
      </c>
      <c r="G25" t="s">
        <v>83</v>
      </c>
      <c r="H25">
        <v>677.72606375826319</v>
      </c>
      <c r="I25">
        <v>286</v>
      </c>
      <c r="J25">
        <v>152</v>
      </c>
      <c r="K25">
        <v>0</v>
      </c>
      <c r="L25" s="41">
        <v>420</v>
      </c>
      <c r="M25">
        <v>884</v>
      </c>
      <c r="N25" t="s">
        <v>323</v>
      </c>
      <c r="O25">
        <v>31</v>
      </c>
      <c r="P25" t="s">
        <v>351</v>
      </c>
      <c r="Q25" t="s">
        <v>333</v>
      </c>
      <c r="T25" s="42"/>
      <c r="U25" s="109"/>
    </row>
    <row r="26" spans="1:21" x14ac:dyDescent="0.25">
      <c r="A26" t="s">
        <v>247</v>
      </c>
      <c r="B26" t="s">
        <v>75</v>
      </c>
      <c r="C26" t="s">
        <v>76</v>
      </c>
      <c r="D26" t="s">
        <v>308</v>
      </c>
      <c r="E26" t="s">
        <v>84</v>
      </c>
      <c r="F26">
        <v>251537413</v>
      </c>
      <c r="G26" t="s">
        <v>85</v>
      </c>
      <c r="H26">
        <v>677.72438438051756</v>
      </c>
      <c r="I26">
        <v>877</v>
      </c>
      <c r="J26">
        <v>188</v>
      </c>
      <c r="K26">
        <v>0</v>
      </c>
      <c r="L26" s="41">
        <v>420</v>
      </c>
      <c r="M26">
        <v>884</v>
      </c>
      <c r="N26" t="s">
        <v>323</v>
      </c>
      <c r="O26">
        <v>37</v>
      </c>
      <c r="P26" t="s">
        <v>351</v>
      </c>
      <c r="Q26" t="s">
        <v>333</v>
      </c>
      <c r="T26" s="42"/>
      <c r="U26" s="109"/>
    </row>
    <row r="27" spans="1:21" x14ac:dyDescent="0.25">
      <c r="A27" t="s">
        <v>247</v>
      </c>
      <c r="B27" t="s">
        <v>23</v>
      </c>
      <c r="C27" t="s">
        <v>88</v>
      </c>
      <c r="D27" t="s">
        <v>309</v>
      </c>
      <c r="E27" t="s">
        <v>89</v>
      </c>
      <c r="F27">
        <v>271440668</v>
      </c>
      <c r="G27" t="s">
        <v>90</v>
      </c>
      <c r="H27">
        <v>609.74023083647933</v>
      </c>
      <c r="I27">
        <v>983</v>
      </c>
      <c r="J27">
        <v>130</v>
      </c>
      <c r="K27">
        <v>0</v>
      </c>
      <c r="L27" s="41">
        <v>916</v>
      </c>
      <c r="M27">
        <v>1741</v>
      </c>
      <c r="N27" t="s">
        <v>323</v>
      </c>
      <c r="O27">
        <v>35</v>
      </c>
      <c r="P27" t="s">
        <v>349</v>
      </c>
      <c r="Q27" t="s">
        <v>333</v>
      </c>
      <c r="T27" s="42"/>
      <c r="U27" s="109"/>
    </row>
    <row r="28" spans="1:21" x14ac:dyDescent="0.25">
      <c r="A28" t="s">
        <v>22</v>
      </c>
      <c r="B28" t="s">
        <v>23</v>
      </c>
      <c r="C28" t="s">
        <v>88</v>
      </c>
      <c r="D28" t="s">
        <v>310</v>
      </c>
      <c r="E28" t="s">
        <v>91</v>
      </c>
      <c r="F28">
        <v>271440669</v>
      </c>
      <c r="G28" t="s">
        <v>92</v>
      </c>
      <c r="H28">
        <v>609.74023083652639</v>
      </c>
      <c r="I28">
        <v>440</v>
      </c>
      <c r="J28">
        <v>128</v>
      </c>
      <c r="K28">
        <v>0</v>
      </c>
      <c r="L28" s="41">
        <v>819</v>
      </c>
      <c r="M28">
        <v>1575</v>
      </c>
      <c r="N28" t="s">
        <v>323</v>
      </c>
      <c r="O28">
        <v>49</v>
      </c>
      <c r="P28" t="s">
        <v>358</v>
      </c>
      <c r="Q28" t="s">
        <v>334</v>
      </c>
      <c r="T28" s="42"/>
      <c r="U28" s="109"/>
    </row>
    <row r="29" spans="1:21" x14ac:dyDescent="0.25">
      <c r="A29" t="s">
        <v>22</v>
      </c>
      <c r="B29" t="s">
        <v>23</v>
      </c>
      <c r="C29" t="s">
        <v>88</v>
      </c>
      <c r="D29" t="s">
        <v>310</v>
      </c>
      <c r="E29" t="s">
        <v>93</v>
      </c>
      <c r="F29">
        <v>271440670</v>
      </c>
      <c r="G29" t="s">
        <v>94</v>
      </c>
      <c r="H29">
        <v>609.74023083659586</v>
      </c>
      <c r="I29">
        <v>999</v>
      </c>
      <c r="J29">
        <v>100</v>
      </c>
      <c r="K29">
        <v>0</v>
      </c>
      <c r="L29" s="41">
        <v>819</v>
      </c>
      <c r="M29">
        <v>1467</v>
      </c>
      <c r="N29" t="s">
        <v>323</v>
      </c>
      <c r="O29">
        <v>45</v>
      </c>
      <c r="P29" t="s">
        <v>343</v>
      </c>
      <c r="Q29" t="s">
        <v>334</v>
      </c>
      <c r="T29" s="42"/>
      <c r="U29" s="109"/>
    </row>
    <row r="30" spans="1:21" x14ac:dyDescent="0.25">
      <c r="A30" t="s">
        <v>247</v>
      </c>
      <c r="B30" t="s">
        <v>23</v>
      </c>
      <c r="C30" t="s">
        <v>45</v>
      </c>
      <c r="D30" t="s">
        <v>311</v>
      </c>
      <c r="E30" t="s">
        <v>233</v>
      </c>
      <c r="F30">
        <v>273516556</v>
      </c>
      <c r="G30" t="s">
        <v>98</v>
      </c>
      <c r="H30">
        <v>603.82836735568719</v>
      </c>
      <c r="I30">
        <v>338</v>
      </c>
      <c r="J30">
        <v>112</v>
      </c>
      <c r="K30">
        <v>0</v>
      </c>
      <c r="L30" s="41">
        <v>747</v>
      </c>
      <c r="M30">
        <v>1399</v>
      </c>
      <c r="N30" t="s">
        <v>323</v>
      </c>
      <c r="O30">
        <v>31</v>
      </c>
      <c r="P30" t="s">
        <v>359</v>
      </c>
      <c r="Q30" t="s">
        <v>333</v>
      </c>
      <c r="T30" s="42"/>
      <c r="U30" s="109"/>
    </row>
    <row r="31" spans="1:21" x14ac:dyDescent="0.25">
      <c r="A31" t="s">
        <v>247</v>
      </c>
      <c r="B31" t="s">
        <v>30</v>
      </c>
      <c r="C31" t="s">
        <v>99</v>
      </c>
      <c r="D31" t="s">
        <v>312</v>
      </c>
      <c r="E31" t="s">
        <v>100</v>
      </c>
      <c r="F31">
        <v>273527791</v>
      </c>
      <c r="G31" t="s">
        <v>101</v>
      </c>
      <c r="H31">
        <v>603.81341323990318</v>
      </c>
      <c r="I31">
        <v>999</v>
      </c>
      <c r="J31">
        <v>122</v>
      </c>
      <c r="K31">
        <v>0</v>
      </c>
      <c r="L31" s="41">
        <v>518</v>
      </c>
      <c r="M31">
        <v>1141</v>
      </c>
      <c r="N31" t="s">
        <v>323</v>
      </c>
      <c r="O31">
        <v>32</v>
      </c>
      <c r="P31" t="s">
        <v>342</v>
      </c>
      <c r="Q31" t="s">
        <v>333</v>
      </c>
      <c r="T31" s="42"/>
      <c r="U31" s="109"/>
    </row>
    <row r="32" spans="1:21" x14ac:dyDescent="0.25">
      <c r="A32" t="s">
        <v>247</v>
      </c>
      <c r="B32" t="s">
        <v>30</v>
      </c>
      <c r="C32" t="s">
        <v>102</v>
      </c>
      <c r="D32" t="s">
        <v>313</v>
      </c>
      <c r="E32" t="s">
        <v>103</v>
      </c>
      <c r="F32">
        <v>273546535</v>
      </c>
      <c r="G32" t="s">
        <v>104</v>
      </c>
      <c r="H32">
        <v>603.79333516115412</v>
      </c>
      <c r="I32">
        <v>999</v>
      </c>
      <c r="J32">
        <v>78</v>
      </c>
      <c r="K32">
        <v>0</v>
      </c>
      <c r="L32" s="41">
        <v>951</v>
      </c>
      <c r="M32">
        <v>1822</v>
      </c>
      <c r="N32" t="s">
        <v>323</v>
      </c>
      <c r="O32">
        <v>42</v>
      </c>
      <c r="P32" t="s">
        <v>349</v>
      </c>
      <c r="Q32" t="s">
        <v>333</v>
      </c>
      <c r="T32" s="42"/>
      <c r="U32" s="109"/>
    </row>
    <row r="33" spans="1:21" x14ac:dyDescent="0.25">
      <c r="A33" t="s">
        <v>247</v>
      </c>
      <c r="B33" t="s">
        <v>30</v>
      </c>
      <c r="C33" t="s">
        <v>107</v>
      </c>
      <c r="D33" t="s">
        <v>314</v>
      </c>
      <c r="E33" t="s">
        <v>108</v>
      </c>
      <c r="F33">
        <v>273556717</v>
      </c>
      <c r="G33" t="s">
        <v>109</v>
      </c>
      <c r="H33">
        <v>603.78449261886874</v>
      </c>
      <c r="I33">
        <v>193</v>
      </c>
      <c r="J33">
        <v>134</v>
      </c>
      <c r="K33">
        <v>0</v>
      </c>
      <c r="L33" s="41">
        <v>410</v>
      </c>
      <c r="M33">
        <v>877</v>
      </c>
      <c r="N33" t="s">
        <v>323</v>
      </c>
      <c r="O33">
        <v>41</v>
      </c>
      <c r="P33" t="s">
        <v>350</v>
      </c>
      <c r="Q33" t="s">
        <v>333</v>
      </c>
      <c r="T33" s="42"/>
      <c r="U33" s="109"/>
    </row>
    <row r="34" spans="1:21" x14ac:dyDescent="0.25">
      <c r="A34" t="s">
        <v>247</v>
      </c>
      <c r="B34" t="s">
        <v>75</v>
      </c>
      <c r="C34" t="s">
        <v>76</v>
      </c>
      <c r="D34" t="s">
        <v>315</v>
      </c>
      <c r="E34" t="s">
        <v>110</v>
      </c>
      <c r="F34">
        <v>273588520</v>
      </c>
      <c r="G34" t="s">
        <v>111</v>
      </c>
      <c r="H34">
        <v>603.75399350485554</v>
      </c>
      <c r="I34">
        <v>203</v>
      </c>
      <c r="J34">
        <v>6</v>
      </c>
      <c r="K34">
        <v>0</v>
      </c>
      <c r="L34" s="41">
        <v>950</v>
      </c>
      <c r="M34">
        <v>1828</v>
      </c>
      <c r="N34" t="s">
        <v>323</v>
      </c>
      <c r="O34">
        <v>47</v>
      </c>
      <c r="P34" t="s">
        <v>349</v>
      </c>
      <c r="Q34" t="s">
        <v>333</v>
      </c>
      <c r="T34" s="42"/>
      <c r="U34" s="109"/>
    </row>
    <row r="35" spans="1:21" x14ac:dyDescent="0.25">
      <c r="A35" t="s">
        <v>247</v>
      </c>
      <c r="B35" t="s">
        <v>75</v>
      </c>
      <c r="C35" t="s">
        <v>76</v>
      </c>
      <c r="D35" t="s">
        <v>336</v>
      </c>
      <c r="E35" t="s">
        <v>112</v>
      </c>
      <c r="F35">
        <v>273589771</v>
      </c>
      <c r="G35" t="s">
        <v>113</v>
      </c>
      <c r="H35">
        <v>603.75096759672056</v>
      </c>
      <c r="I35">
        <v>94</v>
      </c>
      <c r="J35">
        <v>10</v>
      </c>
      <c r="K35">
        <v>0</v>
      </c>
      <c r="L35" s="41">
        <v>318</v>
      </c>
      <c r="M35">
        <v>657</v>
      </c>
      <c r="N35" t="s">
        <v>323</v>
      </c>
      <c r="O35">
        <v>40</v>
      </c>
      <c r="P35" t="s">
        <v>344</v>
      </c>
      <c r="Q35" t="s">
        <v>333</v>
      </c>
      <c r="T35" s="42"/>
      <c r="U35" s="109"/>
    </row>
    <row r="36" spans="1:21" x14ac:dyDescent="0.25">
      <c r="A36" t="s">
        <v>247</v>
      </c>
      <c r="B36" t="s">
        <v>23</v>
      </c>
      <c r="C36" t="s">
        <v>34</v>
      </c>
      <c r="D36" t="s">
        <v>304</v>
      </c>
      <c r="E36" t="s">
        <v>114</v>
      </c>
      <c r="F36">
        <v>275208801</v>
      </c>
      <c r="G36" t="s">
        <v>115</v>
      </c>
      <c r="H36">
        <v>598.67654005882571</v>
      </c>
      <c r="I36">
        <v>215</v>
      </c>
      <c r="J36">
        <v>58</v>
      </c>
      <c r="K36">
        <v>0</v>
      </c>
      <c r="L36" s="41">
        <v>545</v>
      </c>
      <c r="M36">
        <v>1313</v>
      </c>
      <c r="N36" t="s">
        <v>323</v>
      </c>
      <c r="O36">
        <v>45</v>
      </c>
      <c r="P36" t="s">
        <v>376</v>
      </c>
      <c r="Q36" t="s">
        <v>333</v>
      </c>
      <c r="T36" s="42"/>
      <c r="U36" s="109"/>
    </row>
    <row r="37" spans="1:21" x14ac:dyDescent="0.25">
      <c r="A37" t="s">
        <v>247</v>
      </c>
      <c r="B37" t="s">
        <v>23</v>
      </c>
      <c r="C37" t="s">
        <v>45</v>
      </c>
      <c r="D37" t="s">
        <v>316</v>
      </c>
      <c r="E37" t="s">
        <v>229</v>
      </c>
      <c r="F37">
        <v>278515093</v>
      </c>
      <c r="G37" t="s">
        <v>174</v>
      </c>
      <c r="H37">
        <v>591.60355209603631</v>
      </c>
      <c r="I37">
        <v>999</v>
      </c>
      <c r="J37">
        <v>337</v>
      </c>
      <c r="K37">
        <v>0</v>
      </c>
      <c r="L37" s="41">
        <v>664</v>
      </c>
      <c r="M37">
        <v>1399</v>
      </c>
      <c r="N37" t="s">
        <v>323</v>
      </c>
      <c r="O37">
        <v>38</v>
      </c>
      <c r="P37" t="s">
        <v>351</v>
      </c>
      <c r="Q37" t="s">
        <v>333</v>
      </c>
      <c r="T37" s="42"/>
      <c r="U37" s="109"/>
    </row>
    <row r="38" spans="1:21" x14ac:dyDescent="0.25">
      <c r="A38" t="s">
        <v>22</v>
      </c>
      <c r="B38" t="s">
        <v>23</v>
      </c>
      <c r="C38" t="s">
        <v>45</v>
      </c>
      <c r="D38" t="s">
        <v>311</v>
      </c>
      <c r="E38" t="s">
        <v>97</v>
      </c>
      <c r="F38">
        <v>298193176</v>
      </c>
      <c r="G38" t="s">
        <v>135</v>
      </c>
      <c r="H38">
        <v>558.88534659786899</v>
      </c>
      <c r="I38">
        <v>259</v>
      </c>
      <c r="J38">
        <v>157</v>
      </c>
      <c r="K38">
        <v>0</v>
      </c>
      <c r="L38" s="41">
        <v>791</v>
      </c>
      <c r="M38">
        <v>1318</v>
      </c>
      <c r="N38" t="s">
        <v>323</v>
      </c>
      <c r="O38">
        <v>40</v>
      </c>
      <c r="P38" t="s">
        <v>347</v>
      </c>
      <c r="Q38" t="s">
        <v>334</v>
      </c>
      <c r="T38" s="42"/>
      <c r="U38" s="109"/>
    </row>
    <row r="39" spans="1:21" x14ac:dyDescent="0.25">
      <c r="A39" t="s">
        <v>247</v>
      </c>
      <c r="B39" t="s">
        <v>30</v>
      </c>
      <c r="C39" t="s">
        <v>107</v>
      </c>
      <c r="D39" t="s">
        <v>314</v>
      </c>
      <c r="E39" t="s">
        <v>176</v>
      </c>
      <c r="F39">
        <v>321959186</v>
      </c>
      <c r="G39" t="s">
        <v>177</v>
      </c>
      <c r="H39">
        <v>505.56384846612394</v>
      </c>
      <c r="I39">
        <v>246</v>
      </c>
      <c r="J39">
        <v>31</v>
      </c>
      <c r="K39">
        <v>0</v>
      </c>
      <c r="L39" s="41">
        <v>536</v>
      </c>
      <c r="M39">
        <v>999</v>
      </c>
      <c r="N39" t="s">
        <v>323</v>
      </c>
      <c r="O39">
        <v>41</v>
      </c>
      <c r="P39" t="s">
        <v>359</v>
      </c>
      <c r="Q39" t="s">
        <v>333</v>
      </c>
      <c r="T39" s="42"/>
      <c r="U39" s="109"/>
    </row>
    <row r="40" spans="1:21" x14ac:dyDescent="0.25">
      <c r="A40" t="s">
        <v>247</v>
      </c>
      <c r="B40" t="s">
        <v>30</v>
      </c>
      <c r="C40" t="s">
        <v>99</v>
      </c>
      <c r="D40" t="s">
        <v>312</v>
      </c>
      <c r="E40" t="s">
        <v>180</v>
      </c>
      <c r="F40">
        <v>327442631</v>
      </c>
      <c r="G40" t="s">
        <v>181</v>
      </c>
      <c r="H40">
        <v>497.81822709397784</v>
      </c>
      <c r="I40">
        <v>999</v>
      </c>
      <c r="J40">
        <v>82</v>
      </c>
      <c r="K40">
        <v>0</v>
      </c>
      <c r="L40" s="41">
        <v>531</v>
      </c>
      <c r="M40">
        <v>1141</v>
      </c>
      <c r="N40" t="s">
        <v>323</v>
      </c>
      <c r="O40">
        <v>33</v>
      </c>
      <c r="P40" t="s">
        <v>350</v>
      </c>
      <c r="Q40" t="s">
        <v>333</v>
      </c>
      <c r="T40" s="42"/>
      <c r="U40" s="109"/>
    </row>
    <row r="41" spans="1:21" x14ac:dyDescent="0.25">
      <c r="A41" t="s">
        <v>247</v>
      </c>
      <c r="B41" t="s">
        <v>23</v>
      </c>
      <c r="C41" t="s">
        <v>34</v>
      </c>
      <c r="D41" t="s">
        <v>317</v>
      </c>
      <c r="E41" t="s">
        <v>188</v>
      </c>
      <c r="F41">
        <v>340734340</v>
      </c>
      <c r="G41" t="s">
        <v>189</v>
      </c>
      <c r="H41">
        <v>479.80025746183469</v>
      </c>
      <c r="I41">
        <v>999</v>
      </c>
      <c r="J41">
        <v>4</v>
      </c>
      <c r="K41">
        <v>0</v>
      </c>
      <c r="L41" s="41">
        <v>351</v>
      </c>
      <c r="M41">
        <v>741</v>
      </c>
      <c r="N41" t="s">
        <v>323</v>
      </c>
      <c r="O41">
        <v>31</v>
      </c>
      <c r="P41" t="s">
        <v>351</v>
      </c>
      <c r="Q41" t="s">
        <v>333</v>
      </c>
      <c r="T41" s="42"/>
      <c r="U41" s="109"/>
    </row>
    <row r="42" spans="1:21" x14ac:dyDescent="0.25">
      <c r="A42" t="s">
        <v>247</v>
      </c>
      <c r="B42" t="s">
        <v>23</v>
      </c>
      <c r="C42" t="s">
        <v>34</v>
      </c>
      <c r="D42" t="s">
        <v>197</v>
      </c>
      <c r="E42" t="s">
        <v>190</v>
      </c>
      <c r="F42">
        <v>340741532</v>
      </c>
      <c r="G42" t="s">
        <v>191</v>
      </c>
      <c r="H42">
        <v>479.78685030883815</v>
      </c>
      <c r="I42">
        <v>999</v>
      </c>
      <c r="J42">
        <v>60</v>
      </c>
      <c r="K42">
        <v>0</v>
      </c>
      <c r="L42" s="41">
        <v>351</v>
      </c>
      <c r="M42">
        <v>741</v>
      </c>
      <c r="N42" t="s">
        <v>323</v>
      </c>
      <c r="O42">
        <v>31</v>
      </c>
      <c r="P42" t="s">
        <v>351</v>
      </c>
      <c r="Q42" t="s">
        <v>333</v>
      </c>
      <c r="T42" s="42"/>
      <c r="U42" s="109"/>
    </row>
    <row r="43" spans="1:21" x14ac:dyDescent="0.25">
      <c r="A43" t="s">
        <v>247</v>
      </c>
      <c r="B43" t="s">
        <v>23</v>
      </c>
      <c r="C43" t="s">
        <v>34</v>
      </c>
      <c r="D43" t="s">
        <v>197</v>
      </c>
      <c r="E43" t="s">
        <v>192</v>
      </c>
      <c r="F43">
        <v>340743352</v>
      </c>
      <c r="G43" t="s">
        <v>193</v>
      </c>
      <c r="H43">
        <v>479.78564660620623</v>
      </c>
      <c r="I43">
        <v>216</v>
      </c>
      <c r="J43">
        <v>27</v>
      </c>
      <c r="K43">
        <v>0</v>
      </c>
      <c r="L43" s="41">
        <v>351</v>
      </c>
      <c r="M43">
        <v>741</v>
      </c>
      <c r="N43" t="s">
        <v>323</v>
      </c>
      <c r="O43">
        <v>31</v>
      </c>
      <c r="P43" t="s">
        <v>351</v>
      </c>
      <c r="Q43" t="s">
        <v>333</v>
      </c>
      <c r="T43" s="42"/>
      <c r="U43" s="109"/>
    </row>
    <row r="44" spans="1:21" x14ac:dyDescent="0.25">
      <c r="A44" t="s">
        <v>247</v>
      </c>
      <c r="B44" t="s">
        <v>23</v>
      </c>
      <c r="C44" t="s">
        <v>34</v>
      </c>
      <c r="D44" t="s">
        <v>197</v>
      </c>
      <c r="E44" t="s">
        <v>194</v>
      </c>
      <c r="F44">
        <v>340743911</v>
      </c>
      <c r="G44" t="s">
        <v>195</v>
      </c>
      <c r="H44">
        <v>479.78466438690799</v>
      </c>
      <c r="I44">
        <v>416</v>
      </c>
      <c r="J44">
        <v>13</v>
      </c>
      <c r="K44">
        <v>0</v>
      </c>
      <c r="L44" s="41">
        <v>363</v>
      </c>
      <c r="M44">
        <v>741</v>
      </c>
      <c r="N44" t="s">
        <v>323</v>
      </c>
      <c r="O44">
        <v>32</v>
      </c>
      <c r="P44" t="s">
        <v>346</v>
      </c>
      <c r="Q44" t="s">
        <v>333</v>
      </c>
      <c r="T44" s="42"/>
      <c r="U44" s="109"/>
    </row>
    <row r="45" spans="1:21" x14ac:dyDescent="0.25">
      <c r="A45" t="s">
        <v>247</v>
      </c>
      <c r="B45" t="s">
        <v>30</v>
      </c>
      <c r="C45" t="s">
        <v>182</v>
      </c>
      <c r="D45" t="s">
        <v>198</v>
      </c>
      <c r="E45" t="s">
        <v>183</v>
      </c>
      <c r="F45">
        <v>340802685</v>
      </c>
      <c r="G45" t="s">
        <v>184</v>
      </c>
      <c r="H45">
        <v>479.74441035522204</v>
      </c>
      <c r="I45">
        <v>999</v>
      </c>
      <c r="J45">
        <v>19</v>
      </c>
      <c r="K45">
        <v>0</v>
      </c>
      <c r="L45" s="41">
        <v>360</v>
      </c>
      <c r="M45">
        <v>1499</v>
      </c>
      <c r="N45" t="s">
        <v>323</v>
      </c>
      <c r="O45">
        <v>32</v>
      </c>
      <c r="P45" t="s">
        <v>377</v>
      </c>
      <c r="Q45" t="s">
        <v>333</v>
      </c>
      <c r="T45" s="42"/>
      <c r="U45" s="109"/>
    </row>
    <row r="46" spans="1:21" x14ac:dyDescent="0.25">
      <c r="A46" t="s">
        <v>247</v>
      </c>
      <c r="B46" t="s">
        <v>23</v>
      </c>
      <c r="C46" t="s">
        <v>45</v>
      </c>
      <c r="D46" t="s">
        <v>311</v>
      </c>
      <c r="E46" t="s">
        <v>231</v>
      </c>
      <c r="F46">
        <v>345168494</v>
      </c>
      <c r="G46" t="s">
        <v>196</v>
      </c>
      <c r="H46">
        <v>474.81338186464012</v>
      </c>
      <c r="I46">
        <v>587</v>
      </c>
      <c r="J46">
        <v>196</v>
      </c>
      <c r="K46">
        <v>0</v>
      </c>
      <c r="L46" s="41">
        <v>719</v>
      </c>
      <c r="M46">
        <v>1399</v>
      </c>
      <c r="N46" t="s">
        <v>323</v>
      </c>
      <c r="O46">
        <v>31</v>
      </c>
      <c r="P46" t="s">
        <v>358</v>
      </c>
      <c r="Q46" t="s">
        <v>333</v>
      </c>
      <c r="T46" s="42"/>
      <c r="U46" s="109"/>
    </row>
    <row r="47" spans="1:21" x14ac:dyDescent="0.25">
      <c r="A47" t="s">
        <v>247</v>
      </c>
      <c r="B47" t="s">
        <v>30</v>
      </c>
      <c r="C47" t="s">
        <v>107</v>
      </c>
      <c r="D47" t="s">
        <v>314</v>
      </c>
      <c r="E47" t="s">
        <v>201</v>
      </c>
      <c r="F47">
        <v>370594147</v>
      </c>
      <c r="G47" t="s">
        <v>202</v>
      </c>
      <c r="H47">
        <v>451.66589473189606</v>
      </c>
      <c r="I47">
        <v>244</v>
      </c>
      <c r="J47">
        <v>106</v>
      </c>
      <c r="K47">
        <v>0</v>
      </c>
      <c r="L47" s="41">
        <v>536</v>
      </c>
      <c r="M47">
        <v>999</v>
      </c>
      <c r="N47" t="s">
        <v>323</v>
      </c>
      <c r="O47">
        <v>31</v>
      </c>
      <c r="P47" t="s">
        <v>359</v>
      </c>
      <c r="Q47" t="s">
        <v>333</v>
      </c>
      <c r="T47" s="42"/>
      <c r="U47" s="109"/>
    </row>
    <row r="48" spans="1:21" x14ac:dyDescent="0.25">
      <c r="A48" t="s">
        <v>247</v>
      </c>
      <c r="B48" t="s">
        <v>23</v>
      </c>
      <c r="C48" t="s">
        <v>45</v>
      </c>
      <c r="D48" t="s">
        <v>318</v>
      </c>
      <c r="E48" t="s">
        <v>240</v>
      </c>
      <c r="F48">
        <v>419130077</v>
      </c>
      <c r="G48" t="s">
        <v>228</v>
      </c>
      <c r="H48">
        <v>397.74345053685352</v>
      </c>
      <c r="I48">
        <v>999</v>
      </c>
      <c r="J48">
        <v>266</v>
      </c>
      <c r="K48">
        <v>0</v>
      </c>
      <c r="L48" s="41">
        <v>680</v>
      </c>
      <c r="M48">
        <v>1241</v>
      </c>
      <c r="N48" t="s">
        <v>323</v>
      </c>
      <c r="O48">
        <v>31</v>
      </c>
      <c r="P48" t="s">
        <v>348</v>
      </c>
      <c r="Q48" t="s">
        <v>333</v>
      </c>
      <c r="T48" s="42"/>
      <c r="U48" s="109"/>
    </row>
    <row r="49" spans="1:21" x14ac:dyDescent="0.25">
      <c r="A49" t="s">
        <v>247</v>
      </c>
      <c r="B49" t="s">
        <v>23</v>
      </c>
      <c r="C49" t="s">
        <v>34</v>
      </c>
      <c r="D49" t="s">
        <v>245</v>
      </c>
      <c r="E49" t="s">
        <v>214</v>
      </c>
      <c r="F49">
        <v>419141548</v>
      </c>
      <c r="G49" t="s">
        <v>215</v>
      </c>
      <c r="H49">
        <v>397.70974312465523</v>
      </c>
      <c r="I49">
        <v>258</v>
      </c>
      <c r="J49">
        <v>76</v>
      </c>
      <c r="K49">
        <v>0</v>
      </c>
      <c r="L49" s="41">
        <v>420</v>
      </c>
      <c r="M49">
        <v>884</v>
      </c>
      <c r="N49" t="s">
        <v>323</v>
      </c>
      <c r="O49">
        <v>33</v>
      </c>
      <c r="P49" t="s">
        <v>351</v>
      </c>
      <c r="Q49" t="s">
        <v>333</v>
      </c>
      <c r="T49" s="42"/>
      <c r="U49" s="109"/>
    </row>
    <row r="50" spans="1:21" x14ac:dyDescent="0.25">
      <c r="A50" t="s">
        <v>247</v>
      </c>
      <c r="B50" t="s">
        <v>23</v>
      </c>
      <c r="C50" t="s">
        <v>34</v>
      </c>
      <c r="D50" t="s">
        <v>245</v>
      </c>
      <c r="E50" t="s">
        <v>216</v>
      </c>
      <c r="F50">
        <v>419145389</v>
      </c>
      <c r="G50" t="s">
        <v>217</v>
      </c>
      <c r="H50">
        <v>397.69878673657689</v>
      </c>
      <c r="I50">
        <v>717</v>
      </c>
      <c r="J50">
        <v>118</v>
      </c>
      <c r="K50">
        <v>0</v>
      </c>
      <c r="L50" s="41">
        <v>433</v>
      </c>
      <c r="M50">
        <v>884</v>
      </c>
      <c r="N50" t="s">
        <v>323</v>
      </c>
      <c r="O50">
        <v>31</v>
      </c>
      <c r="P50" t="s">
        <v>346</v>
      </c>
      <c r="Q50" t="s">
        <v>333</v>
      </c>
      <c r="T50" s="42"/>
      <c r="U50" s="109"/>
    </row>
    <row r="51" spans="1:21" x14ac:dyDescent="0.25">
      <c r="A51" t="s">
        <v>247</v>
      </c>
      <c r="B51" t="s">
        <v>23</v>
      </c>
      <c r="C51" t="s">
        <v>34</v>
      </c>
      <c r="D51" t="s">
        <v>245</v>
      </c>
      <c r="E51" t="s">
        <v>226</v>
      </c>
      <c r="F51">
        <v>419145748</v>
      </c>
      <c r="G51" t="s">
        <v>227</v>
      </c>
      <c r="H51">
        <v>397.6969892149362</v>
      </c>
      <c r="I51">
        <v>999</v>
      </c>
      <c r="J51">
        <v>109</v>
      </c>
      <c r="K51">
        <v>0</v>
      </c>
      <c r="L51" s="41">
        <v>504</v>
      </c>
      <c r="M51">
        <v>930</v>
      </c>
      <c r="N51" t="s">
        <v>323</v>
      </c>
      <c r="O51">
        <v>41</v>
      </c>
      <c r="P51" t="s">
        <v>348</v>
      </c>
      <c r="Q51" t="s">
        <v>333</v>
      </c>
      <c r="T51" s="42"/>
      <c r="U51" s="109"/>
    </row>
    <row r="52" spans="1:21" x14ac:dyDescent="0.25">
      <c r="A52" t="s">
        <v>247</v>
      </c>
      <c r="B52" t="s">
        <v>23</v>
      </c>
      <c r="C52" t="s">
        <v>34</v>
      </c>
      <c r="D52" t="s">
        <v>246</v>
      </c>
      <c r="E52" t="s">
        <v>218</v>
      </c>
      <c r="F52">
        <v>419145749</v>
      </c>
      <c r="G52" t="s">
        <v>219</v>
      </c>
      <c r="H52">
        <v>397.69698921485559</v>
      </c>
      <c r="I52">
        <v>816</v>
      </c>
      <c r="J52">
        <v>106</v>
      </c>
      <c r="K52">
        <v>0</v>
      </c>
      <c r="L52" s="41">
        <v>475</v>
      </c>
      <c r="M52">
        <v>1013</v>
      </c>
      <c r="N52" t="s">
        <v>323</v>
      </c>
      <c r="O52">
        <v>51</v>
      </c>
      <c r="P52" t="s">
        <v>350</v>
      </c>
      <c r="Q52" t="s">
        <v>333</v>
      </c>
      <c r="T52" s="42"/>
      <c r="U52" s="109"/>
    </row>
    <row r="53" spans="1:21" x14ac:dyDescent="0.25">
      <c r="A53" t="s">
        <v>247</v>
      </c>
      <c r="B53" t="s">
        <v>23</v>
      </c>
      <c r="C53" t="s">
        <v>34</v>
      </c>
      <c r="D53" t="s">
        <v>245</v>
      </c>
      <c r="E53" t="s">
        <v>210</v>
      </c>
      <c r="F53">
        <v>419145985</v>
      </c>
      <c r="G53" t="s">
        <v>211</v>
      </c>
      <c r="H53">
        <v>397.69556841302284</v>
      </c>
      <c r="I53">
        <v>999</v>
      </c>
      <c r="J53">
        <v>90</v>
      </c>
      <c r="K53">
        <v>0</v>
      </c>
      <c r="L53" s="41">
        <v>420</v>
      </c>
      <c r="M53">
        <v>810</v>
      </c>
      <c r="N53" t="s">
        <v>323</v>
      </c>
      <c r="O53">
        <v>40</v>
      </c>
      <c r="P53" t="s">
        <v>358</v>
      </c>
      <c r="Q53" t="s">
        <v>333</v>
      </c>
      <c r="T53" s="42"/>
      <c r="U53" s="109"/>
    </row>
    <row r="54" spans="1:21" x14ac:dyDescent="0.25">
      <c r="A54" t="s">
        <v>247</v>
      </c>
      <c r="B54" t="s">
        <v>23</v>
      </c>
      <c r="C54" t="s">
        <v>34</v>
      </c>
      <c r="D54" t="s">
        <v>246</v>
      </c>
      <c r="E54" t="s">
        <v>212</v>
      </c>
      <c r="F54">
        <v>419145986</v>
      </c>
      <c r="G54" t="s">
        <v>213</v>
      </c>
      <c r="H54">
        <v>397.69556841298032</v>
      </c>
      <c r="I54">
        <v>999</v>
      </c>
      <c r="J54">
        <v>119</v>
      </c>
      <c r="K54">
        <v>0</v>
      </c>
      <c r="L54" s="41">
        <v>481</v>
      </c>
      <c r="M54">
        <v>1013</v>
      </c>
      <c r="N54" t="s">
        <v>323</v>
      </c>
      <c r="O54">
        <v>33</v>
      </c>
      <c r="P54" t="s">
        <v>351</v>
      </c>
      <c r="Q54" t="s">
        <v>333</v>
      </c>
      <c r="T54" s="42"/>
      <c r="U54" s="109"/>
    </row>
    <row r="55" spans="1:21" x14ac:dyDescent="0.25">
      <c r="A55" t="s">
        <v>247</v>
      </c>
      <c r="B55" t="s">
        <v>23</v>
      </c>
      <c r="C55" t="s">
        <v>34</v>
      </c>
      <c r="D55" t="s">
        <v>246</v>
      </c>
      <c r="E55" t="s">
        <v>208</v>
      </c>
      <c r="F55">
        <v>419146579</v>
      </c>
      <c r="G55" t="s">
        <v>209</v>
      </c>
      <c r="H55">
        <v>397.69394941113137</v>
      </c>
      <c r="I55">
        <v>999</v>
      </c>
      <c r="J55">
        <v>120</v>
      </c>
      <c r="K55">
        <v>0</v>
      </c>
      <c r="L55" s="41">
        <v>481</v>
      </c>
      <c r="M55">
        <v>1013</v>
      </c>
      <c r="N55" t="s">
        <v>323</v>
      </c>
      <c r="O55">
        <v>31</v>
      </c>
      <c r="P55" t="s">
        <v>351</v>
      </c>
      <c r="Q55" t="s">
        <v>333</v>
      </c>
      <c r="T55" s="42"/>
      <c r="U55" s="109"/>
    </row>
    <row r="56" spans="1:21" x14ac:dyDescent="0.25">
      <c r="A56" t="s">
        <v>247</v>
      </c>
      <c r="B56" t="s">
        <v>23</v>
      </c>
      <c r="C56" t="s">
        <v>45</v>
      </c>
      <c r="D56" t="s">
        <v>319</v>
      </c>
      <c r="E56" t="s">
        <v>241</v>
      </c>
      <c r="F56">
        <v>448248943</v>
      </c>
      <c r="G56" t="s">
        <v>242</v>
      </c>
      <c r="H56">
        <v>360.66751850409736</v>
      </c>
      <c r="I56">
        <v>773</v>
      </c>
      <c r="J56">
        <v>221</v>
      </c>
      <c r="K56">
        <v>0</v>
      </c>
      <c r="L56" s="41">
        <v>673</v>
      </c>
      <c r="M56">
        <v>1241</v>
      </c>
      <c r="N56" t="s">
        <v>323</v>
      </c>
      <c r="O56">
        <v>31</v>
      </c>
      <c r="P56" t="s">
        <v>348</v>
      </c>
      <c r="Q56" t="s">
        <v>333</v>
      </c>
      <c r="T56" s="42"/>
      <c r="U56" s="109"/>
    </row>
    <row r="57" spans="1:21" x14ac:dyDescent="0.25">
      <c r="A57" t="s">
        <v>247</v>
      </c>
      <c r="B57" t="s">
        <v>23</v>
      </c>
      <c r="C57" t="s">
        <v>45</v>
      </c>
      <c r="D57" t="s">
        <v>318</v>
      </c>
      <c r="E57" t="s">
        <v>243</v>
      </c>
      <c r="F57">
        <v>448254852</v>
      </c>
      <c r="G57" t="s">
        <v>244</v>
      </c>
      <c r="H57">
        <v>360.66300292630189</v>
      </c>
      <c r="I57">
        <v>627</v>
      </c>
      <c r="J57">
        <v>208</v>
      </c>
      <c r="K57">
        <v>0</v>
      </c>
      <c r="L57" s="41">
        <v>673</v>
      </c>
      <c r="M57">
        <v>1241</v>
      </c>
      <c r="N57" t="s">
        <v>323</v>
      </c>
      <c r="O57">
        <v>31</v>
      </c>
      <c r="P57" t="s">
        <v>348</v>
      </c>
      <c r="Q57" t="s">
        <v>333</v>
      </c>
      <c r="T57" s="42"/>
      <c r="U57" s="109"/>
    </row>
    <row r="58" spans="1:21" x14ac:dyDescent="0.25">
      <c r="A58" t="s">
        <v>22</v>
      </c>
      <c r="B58" t="s">
        <v>23</v>
      </c>
      <c r="C58" t="s">
        <v>261</v>
      </c>
      <c r="D58" t="s">
        <v>320</v>
      </c>
      <c r="E58" t="s">
        <v>262</v>
      </c>
      <c r="F58">
        <v>550539998</v>
      </c>
      <c r="G58" t="s">
        <v>263</v>
      </c>
      <c r="H58">
        <v>260.69259334219174</v>
      </c>
      <c r="I58">
        <v>999</v>
      </c>
      <c r="J58">
        <v>59</v>
      </c>
      <c r="K58">
        <v>0</v>
      </c>
      <c r="L58" s="41">
        <v>1440</v>
      </c>
      <c r="M58">
        <v>2542</v>
      </c>
      <c r="N58" t="s">
        <v>323</v>
      </c>
      <c r="O58">
        <v>46</v>
      </c>
      <c r="P58" t="s">
        <v>348</v>
      </c>
      <c r="Q58" t="s">
        <v>334</v>
      </c>
      <c r="T58" s="42"/>
      <c r="U58" s="109"/>
    </row>
    <row r="59" spans="1:21" x14ac:dyDescent="0.25">
      <c r="A59" t="s">
        <v>247</v>
      </c>
      <c r="B59" t="s">
        <v>23</v>
      </c>
      <c r="C59" t="s">
        <v>261</v>
      </c>
      <c r="D59" t="s">
        <v>321</v>
      </c>
      <c r="E59" t="s">
        <v>264</v>
      </c>
      <c r="F59">
        <v>550539999</v>
      </c>
      <c r="G59" t="s">
        <v>265</v>
      </c>
      <c r="H59">
        <v>260.69259334226729</v>
      </c>
      <c r="I59">
        <v>999</v>
      </c>
      <c r="J59">
        <v>40</v>
      </c>
      <c r="K59">
        <v>0</v>
      </c>
      <c r="L59" s="41">
        <v>750</v>
      </c>
      <c r="M59">
        <v>1456</v>
      </c>
      <c r="N59" t="s">
        <v>323</v>
      </c>
      <c r="O59">
        <v>38</v>
      </c>
      <c r="P59" t="s">
        <v>358</v>
      </c>
      <c r="Q59" t="s">
        <v>333</v>
      </c>
      <c r="T59" s="42"/>
      <c r="U59" s="109"/>
    </row>
    <row r="60" spans="1:21" x14ac:dyDescent="0.25">
      <c r="A60" t="s">
        <v>247</v>
      </c>
      <c r="B60" t="s">
        <v>23</v>
      </c>
      <c r="C60" t="s">
        <v>261</v>
      </c>
      <c r="D60" t="s">
        <v>324</v>
      </c>
      <c r="E60" t="s">
        <v>291</v>
      </c>
      <c r="F60">
        <v>820643010</v>
      </c>
      <c r="G60" t="s">
        <v>292</v>
      </c>
      <c r="H60">
        <v>127.77872834535823</v>
      </c>
      <c r="I60">
        <v>520</v>
      </c>
      <c r="J60">
        <v>89</v>
      </c>
      <c r="K60">
        <v>0</v>
      </c>
      <c r="L60" s="41">
        <v>1043</v>
      </c>
      <c r="M60">
        <v>2141</v>
      </c>
      <c r="N60" t="s">
        <v>323</v>
      </c>
      <c r="O60">
        <v>41</v>
      </c>
      <c r="P60" t="s">
        <v>344</v>
      </c>
      <c r="Q60" t="s">
        <v>333</v>
      </c>
      <c r="T60" s="42"/>
      <c r="U60" s="109"/>
    </row>
    <row r="61" spans="1:21" x14ac:dyDescent="0.25">
      <c r="L61" s="41"/>
      <c r="T61" s="42"/>
      <c r="U61" s="109"/>
    </row>
    <row r="62" spans="1:21" x14ac:dyDescent="0.25">
      <c r="L62" s="41"/>
      <c r="T62" s="42"/>
      <c r="U62" s="109"/>
    </row>
    <row r="63" spans="1:21" x14ac:dyDescent="0.25">
      <c r="L63" s="41"/>
      <c r="T63" s="42"/>
      <c r="U63" s="109"/>
    </row>
    <row r="64" spans="1:21" x14ac:dyDescent="0.25">
      <c r="L64" s="41"/>
      <c r="T64" s="42"/>
      <c r="U64" s="109"/>
    </row>
    <row r="65" spans="12:21" x14ac:dyDescent="0.25">
      <c r="L65" s="41"/>
      <c r="T65" s="42"/>
      <c r="U65" s="109"/>
    </row>
    <row r="66" spans="12:21" x14ac:dyDescent="0.25">
      <c r="L66" s="41"/>
      <c r="T66" s="42"/>
      <c r="U66" s="109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E0434-A321-454B-8238-F03B1264EA2F}">
  <dimension ref="A1:Q7"/>
  <sheetViews>
    <sheetView workbookViewId="0">
      <selection sqref="A1:XFD1048576"/>
    </sheetView>
  </sheetViews>
  <sheetFormatPr defaultRowHeight="15" x14ac:dyDescent="0.25"/>
  <sheetData>
    <row r="1" spans="1:1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322</v>
      </c>
      <c r="O1" t="s">
        <v>20</v>
      </c>
      <c r="P1" t="s">
        <v>21</v>
      </c>
      <c r="Q1" t="s">
        <v>239</v>
      </c>
    </row>
    <row r="2" spans="1:17" x14ac:dyDescent="0.25">
      <c r="A2" t="s">
        <v>22</v>
      </c>
      <c r="B2" t="s">
        <v>23</v>
      </c>
      <c r="C2" t="s">
        <v>88</v>
      </c>
      <c r="D2" t="s">
        <v>309</v>
      </c>
      <c r="E2" t="s">
        <v>89</v>
      </c>
      <c r="F2">
        <v>271440668</v>
      </c>
      <c r="G2" t="s">
        <v>90</v>
      </c>
      <c r="H2">
        <v>609.74101149321405</v>
      </c>
      <c r="I2">
        <v>983</v>
      </c>
      <c r="J2">
        <v>130</v>
      </c>
      <c r="K2">
        <v>0</v>
      </c>
      <c r="L2" s="41">
        <v>1146</v>
      </c>
      <c r="M2">
        <v>1741</v>
      </c>
      <c r="N2" t="s">
        <v>323</v>
      </c>
      <c r="O2">
        <v>35</v>
      </c>
      <c r="P2" s="42" t="s">
        <v>366</v>
      </c>
      <c r="Q2" s="109" t="s">
        <v>334</v>
      </c>
    </row>
    <row r="3" spans="1:17" x14ac:dyDescent="0.25">
      <c r="A3" t="s">
        <v>22</v>
      </c>
      <c r="B3" t="s">
        <v>23</v>
      </c>
      <c r="C3" t="s">
        <v>88</v>
      </c>
      <c r="D3" t="s">
        <v>310</v>
      </c>
      <c r="E3" t="s">
        <v>91</v>
      </c>
      <c r="F3">
        <v>271440669</v>
      </c>
      <c r="G3" t="s">
        <v>92</v>
      </c>
      <c r="H3">
        <v>609.74101149336764</v>
      </c>
      <c r="I3">
        <v>440</v>
      </c>
      <c r="J3">
        <v>128</v>
      </c>
      <c r="K3">
        <v>0</v>
      </c>
      <c r="L3" s="41">
        <v>813</v>
      </c>
      <c r="M3">
        <v>1575</v>
      </c>
      <c r="N3" t="s">
        <v>323</v>
      </c>
      <c r="O3">
        <v>49</v>
      </c>
      <c r="P3" s="42" t="s">
        <v>358</v>
      </c>
      <c r="Q3" s="109" t="s">
        <v>334</v>
      </c>
    </row>
    <row r="4" spans="1:17" x14ac:dyDescent="0.25">
      <c r="A4" t="s">
        <v>22</v>
      </c>
      <c r="B4" t="s">
        <v>23</v>
      </c>
      <c r="C4" t="s">
        <v>88</v>
      </c>
      <c r="D4" t="s">
        <v>310</v>
      </c>
      <c r="E4" t="s">
        <v>93</v>
      </c>
      <c r="F4">
        <v>271440670</v>
      </c>
      <c r="G4" t="s">
        <v>94</v>
      </c>
      <c r="H4">
        <v>609.74101149343755</v>
      </c>
      <c r="I4">
        <v>999</v>
      </c>
      <c r="J4">
        <v>100</v>
      </c>
      <c r="K4">
        <v>0</v>
      </c>
      <c r="L4" s="41">
        <v>813</v>
      </c>
      <c r="M4">
        <v>1467</v>
      </c>
      <c r="N4" t="s">
        <v>323</v>
      </c>
      <c r="O4">
        <v>45</v>
      </c>
      <c r="P4" s="42" t="s">
        <v>343</v>
      </c>
      <c r="Q4" s="109" t="s">
        <v>334</v>
      </c>
    </row>
    <row r="5" spans="1:17" x14ac:dyDescent="0.25">
      <c r="A5" t="s">
        <v>22</v>
      </c>
      <c r="B5" t="s">
        <v>23</v>
      </c>
      <c r="C5" t="s">
        <v>261</v>
      </c>
      <c r="D5" t="s">
        <v>320</v>
      </c>
      <c r="E5" t="s">
        <v>262</v>
      </c>
      <c r="F5">
        <v>550539998</v>
      </c>
      <c r="G5" t="s">
        <v>263</v>
      </c>
      <c r="H5">
        <v>260.69337399570708</v>
      </c>
      <c r="I5">
        <v>999</v>
      </c>
      <c r="J5">
        <v>59</v>
      </c>
      <c r="K5">
        <v>0</v>
      </c>
      <c r="L5" s="41">
        <v>1387</v>
      </c>
      <c r="M5">
        <v>2542</v>
      </c>
      <c r="N5" t="s">
        <v>323</v>
      </c>
      <c r="O5">
        <v>46</v>
      </c>
      <c r="P5" s="42" t="s">
        <v>348</v>
      </c>
      <c r="Q5" s="109" t="s">
        <v>334</v>
      </c>
    </row>
    <row r="6" spans="1:17" x14ac:dyDescent="0.25">
      <c r="A6" t="s">
        <v>22</v>
      </c>
      <c r="B6" t="s">
        <v>23</v>
      </c>
      <c r="C6" t="s">
        <v>261</v>
      </c>
      <c r="D6" t="s">
        <v>321</v>
      </c>
      <c r="E6" t="s">
        <v>264</v>
      </c>
      <c r="F6">
        <v>550539999</v>
      </c>
      <c r="G6" t="s">
        <v>265</v>
      </c>
      <c r="H6">
        <v>260.6933739958501</v>
      </c>
      <c r="I6">
        <v>999</v>
      </c>
      <c r="J6">
        <v>40</v>
      </c>
      <c r="K6">
        <v>0</v>
      </c>
      <c r="L6" s="41">
        <v>910</v>
      </c>
      <c r="M6">
        <v>1456</v>
      </c>
      <c r="N6" t="s">
        <v>323</v>
      </c>
      <c r="O6">
        <v>38</v>
      </c>
      <c r="P6" s="42" t="s">
        <v>353</v>
      </c>
      <c r="Q6" s="109" t="s">
        <v>334</v>
      </c>
    </row>
    <row r="7" spans="1:17" x14ac:dyDescent="0.25">
      <c r="A7" t="s">
        <v>22</v>
      </c>
      <c r="B7" t="s">
        <v>23</v>
      </c>
      <c r="C7" t="s">
        <v>261</v>
      </c>
      <c r="D7" t="s">
        <v>324</v>
      </c>
      <c r="E7" t="s">
        <v>291</v>
      </c>
      <c r="F7">
        <v>820643010</v>
      </c>
      <c r="G7" t="s">
        <v>292</v>
      </c>
      <c r="H7">
        <v>127.7795089989486</v>
      </c>
      <c r="I7">
        <v>520</v>
      </c>
      <c r="J7">
        <v>89</v>
      </c>
      <c r="K7">
        <v>0</v>
      </c>
      <c r="L7" s="41">
        <v>1265</v>
      </c>
      <c r="M7">
        <v>2141</v>
      </c>
      <c r="N7" t="s">
        <v>323</v>
      </c>
      <c r="O7">
        <v>41</v>
      </c>
      <c r="P7" s="42" t="s">
        <v>363</v>
      </c>
      <c r="Q7" s="109" t="s">
        <v>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B0B1-5C08-48EE-BA3B-18C9CA467089}">
  <dimension ref="L2:Q60"/>
  <sheetViews>
    <sheetView workbookViewId="0">
      <selection sqref="A1:X1048576"/>
    </sheetView>
  </sheetViews>
  <sheetFormatPr defaultRowHeight="15" x14ac:dyDescent="0.25"/>
  <sheetData>
    <row r="2" spans="12:17" x14ac:dyDescent="0.25">
      <c r="L2" s="41"/>
      <c r="P2" s="42"/>
      <c r="Q2" s="109"/>
    </row>
    <row r="3" spans="12:17" x14ac:dyDescent="0.25">
      <c r="L3" s="41"/>
      <c r="P3" s="42"/>
      <c r="Q3" s="110"/>
    </row>
    <row r="4" spans="12:17" x14ac:dyDescent="0.25">
      <c r="L4" s="41"/>
      <c r="P4" s="42"/>
      <c r="Q4" s="109"/>
    </row>
    <row r="5" spans="12:17" x14ac:dyDescent="0.25">
      <c r="L5" s="41"/>
      <c r="P5" s="42"/>
      <c r="Q5" s="110"/>
    </row>
    <row r="6" spans="12:17" x14ac:dyDescent="0.25">
      <c r="L6" s="41"/>
      <c r="P6" s="42"/>
      <c r="Q6" s="110"/>
    </row>
    <row r="7" spans="12:17" x14ac:dyDescent="0.25">
      <c r="L7" s="41"/>
      <c r="P7" s="42"/>
      <c r="Q7" s="110"/>
    </row>
    <row r="8" spans="12:17" x14ac:dyDescent="0.25">
      <c r="L8" s="41"/>
      <c r="P8" s="42"/>
      <c r="Q8" s="109"/>
    </row>
    <row r="9" spans="12:17" x14ac:dyDescent="0.25">
      <c r="L9" s="41"/>
      <c r="P9" s="42"/>
      <c r="Q9" s="109"/>
    </row>
    <row r="10" spans="12:17" x14ac:dyDescent="0.25">
      <c r="L10" s="41"/>
      <c r="P10" s="42"/>
      <c r="Q10" s="110"/>
    </row>
    <row r="11" spans="12:17" x14ac:dyDescent="0.25">
      <c r="L11" s="41"/>
      <c r="P11" s="42"/>
      <c r="Q11" s="110"/>
    </row>
    <row r="12" spans="12:17" x14ac:dyDescent="0.25">
      <c r="L12" s="41"/>
      <c r="P12" s="42"/>
      <c r="Q12" s="110"/>
    </row>
    <row r="13" spans="12:17" x14ac:dyDescent="0.25">
      <c r="L13" s="41"/>
      <c r="P13" s="42"/>
      <c r="Q13" s="110"/>
    </row>
    <row r="14" spans="12:17" x14ac:dyDescent="0.25">
      <c r="L14" s="41"/>
      <c r="P14" s="42"/>
      <c r="Q14" s="110"/>
    </row>
    <row r="15" spans="12:17" x14ac:dyDescent="0.25">
      <c r="L15" s="41"/>
      <c r="P15" s="42"/>
      <c r="Q15" s="110"/>
    </row>
    <row r="16" spans="12:17" x14ac:dyDescent="0.25">
      <c r="L16" s="41"/>
      <c r="P16" s="42"/>
      <c r="Q16" s="109"/>
    </row>
    <row r="17" spans="12:17" x14ac:dyDescent="0.25">
      <c r="L17" s="41"/>
      <c r="P17" s="42"/>
      <c r="Q17" s="110"/>
    </row>
    <row r="18" spans="12:17" x14ac:dyDescent="0.25">
      <c r="L18" s="41"/>
      <c r="P18" s="42"/>
      <c r="Q18" s="110"/>
    </row>
    <row r="19" spans="12:17" x14ac:dyDescent="0.25">
      <c r="L19" s="41"/>
      <c r="P19" s="42"/>
      <c r="Q19" s="110"/>
    </row>
    <row r="20" spans="12:17" x14ac:dyDescent="0.25">
      <c r="L20" s="41"/>
      <c r="P20" s="42"/>
      <c r="Q20" s="109"/>
    </row>
    <row r="21" spans="12:17" x14ac:dyDescent="0.25">
      <c r="L21" s="41"/>
      <c r="P21" s="42"/>
      <c r="Q21" s="110"/>
    </row>
    <row r="22" spans="12:17" x14ac:dyDescent="0.25">
      <c r="L22" s="41"/>
      <c r="P22" s="42"/>
      <c r="Q22" s="109"/>
    </row>
    <row r="23" spans="12:17" x14ac:dyDescent="0.25">
      <c r="L23" s="41"/>
      <c r="P23" s="42"/>
      <c r="Q23" s="110"/>
    </row>
    <row r="24" spans="12:17" x14ac:dyDescent="0.25">
      <c r="L24" s="41"/>
      <c r="P24" s="42"/>
      <c r="Q24" s="110"/>
    </row>
    <row r="25" spans="12:17" x14ac:dyDescent="0.25">
      <c r="L25" s="41"/>
      <c r="P25" s="42"/>
      <c r="Q25" s="110"/>
    </row>
    <row r="26" spans="12:17" x14ac:dyDescent="0.25">
      <c r="L26" s="41"/>
      <c r="P26" s="42"/>
      <c r="Q26" s="110"/>
    </row>
    <row r="27" spans="12:17" x14ac:dyDescent="0.25">
      <c r="L27" s="41"/>
      <c r="P27" s="42"/>
      <c r="Q27" s="110"/>
    </row>
    <row r="28" spans="12:17" x14ac:dyDescent="0.25">
      <c r="L28" s="41"/>
      <c r="P28" s="42"/>
      <c r="Q28" s="110"/>
    </row>
    <row r="29" spans="12:17" x14ac:dyDescent="0.25">
      <c r="L29" s="41"/>
      <c r="P29" s="42"/>
      <c r="Q29" s="110"/>
    </row>
    <row r="30" spans="12:17" x14ac:dyDescent="0.25">
      <c r="L30" s="41"/>
      <c r="P30" s="42"/>
      <c r="Q30" s="110"/>
    </row>
    <row r="31" spans="12:17" x14ac:dyDescent="0.25">
      <c r="L31" s="41"/>
      <c r="P31" s="42"/>
      <c r="Q31" s="110"/>
    </row>
    <row r="32" spans="12:17" x14ac:dyDescent="0.25">
      <c r="L32" s="41"/>
      <c r="P32" s="42"/>
      <c r="Q32" s="110"/>
    </row>
    <row r="33" spans="12:17" x14ac:dyDescent="0.25">
      <c r="L33" s="41"/>
      <c r="P33" s="42"/>
      <c r="Q33" s="109"/>
    </row>
    <row r="34" spans="12:17" x14ac:dyDescent="0.25">
      <c r="L34" s="41"/>
      <c r="P34" s="42"/>
      <c r="Q34" s="110"/>
    </row>
    <row r="35" spans="12:17" x14ac:dyDescent="0.25">
      <c r="L35" s="41"/>
      <c r="P35" s="42"/>
      <c r="Q35" s="110"/>
    </row>
    <row r="36" spans="12:17" x14ac:dyDescent="0.25">
      <c r="L36" s="41"/>
      <c r="P36" s="42"/>
      <c r="Q36" s="109"/>
    </row>
    <row r="37" spans="12:17" x14ac:dyDescent="0.25">
      <c r="L37" s="41"/>
      <c r="P37" s="42"/>
      <c r="Q37" s="110"/>
    </row>
    <row r="38" spans="12:17" x14ac:dyDescent="0.25">
      <c r="L38" s="41"/>
      <c r="P38" s="42"/>
      <c r="Q38" s="110"/>
    </row>
    <row r="39" spans="12:17" x14ac:dyDescent="0.25">
      <c r="L39" s="41"/>
      <c r="P39" s="42"/>
      <c r="Q39" s="109"/>
    </row>
    <row r="40" spans="12:17" x14ac:dyDescent="0.25">
      <c r="L40" s="41"/>
      <c r="P40" s="42"/>
      <c r="Q40" s="110"/>
    </row>
    <row r="41" spans="12:17" x14ac:dyDescent="0.25">
      <c r="L41" s="41"/>
      <c r="P41" s="42"/>
      <c r="Q41" s="110"/>
    </row>
    <row r="42" spans="12:17" x14ac:dyDescent="0.25">
      <c r="L42" s="41"/>
      <c r="P42" s="42"/>
      <c r="Q42" s="109"/>
    </row>
    <row r="43" spans="12:17" x14ac:dyDescent="0.25">
      <c r="L43" s="41"/>
      <c r="P43" s="42"/>
      <c r="Q43" s="110"/>
    </row>
    <row r="44" spans="12:17" x14ac:dyDescent="0.25">
      <c r="L44" s="41"/>
      <c r="P44" s="42"/>
      <c r="Q44" s="110"/>
    </row>
    <row r="45" spans="12:17" x14ac:dyDescent="0.25">
      <c r="L45" s="41"/>
      <c r="P45" s="42"/>
      <c r="Q45" s="110"/>
    </row>
    <row r="46" spans="12:17" x14ac:dyDescent="0.25">
      <c r="L46" s="41"/>
      <c r="P46" s="42"/>
      <c r="Q46" s="109"/>
    </row>
    <row r="47" spans="12:17" x14ac:dyDescent="0.25">
      <c r="L47" s="41"/>
      <c r="P47" s="42"/>
      <c r="Q47" s="110"/>
    </row>
    <row r="48" spans="12:17" x14ac:dyDescent="0.25">
      <c r="L48" s="41"/>
      <c r="P48" s="42"/>
      <c r="Q48" s="110"/>
    </row>
    <row r="49" spans="12:17" x14ac:dyDescent="0.25">
      <c r="L49" s="41"/>
      <c r="P49" s="42"/>
      <c r="Q49" s="109"/>
    </row>
    <row r="50" spans="12:17" x14ac:dyDescent="0.25">
      <c r="L50" s="41"/>
      <c r="P50" s="42"/>
      <c r="Q50" s="110"/>
    </row>
    <row r="51" spans="12:17" x14ac:dyDescent="0.25">
      <c r="L51" s="41"/>
      <c r="P51" s="42"/>
      <c r="Q51" s="110"/>
    </row>
    <row r="52" spans="12:17" x14ac:dyDescent="0.25">
      <c r="L52" s="41"/>
      <c r="P52" s="42"/>
      <c r="Q52" s="110"/>
    </row>
    <row r="53" spans="12:17" x14ac:dyDescent="0.25">
      <c r="L53" s="41"/>
      <c r="P53" s="42"/>
      <c r="Q53" s="109"/>
    </row>
    <row r="54" spans="12:17" x14ac:dyDescent="0.25">
      <c r="L54" s="41"/>
      <c r="P54" s="42"/>
      <c r="Q54" s="109"/>
    </row>
    <row r="55" spans="12:17" x14ac:dyDescent="0.25">
      <c r="L55" s="41"/>
      <c r="P55" s="42"/>
      <c r="Q55" s="110"/>
    </row>
    <row r="56" spans="12:17" x14ac:dyDescent="0.25">
      <c r="L56" s="41"/>
      <c r="P56" s="42"/>
      <c r="Q56" s="109"/>
    </row>
    <row r="57" spans="12:17" x14ac:dyDescent="0.25">
      <c r="L57" s="41"/>
      <c r="P57" s="42"/>
      <c r="Q57" s="110"/>
    </row>
    <row r="58" spans="12:17" x14ac:dyDescent="0.25">
      <c r="L58" s="41"/>
      <c r="P58" s="42"/>
      <c r="Q58" s="109"/>
    </row>
    <row r="59" spans="12:17" x14ac:dyDescent="0.25">
      <c r="L59" s="41"/>
      <c r="P59" s="42"/>
      <c r="Q59" s="110"/>
    </row>
    <row r="60" spans="12:17" x14ac:dyDescent="0.25">
      <c r="L60" s="41"/>
      <c r="P60" s="42"/>
      <c r="Q60" s="10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049F-BD45-43C5-BBAD-0C9F6A7AC21E}">
  <dimension ref="L2:T37"/>
  <sheetViews>
    <sheetView workbookViewId="0">
      <selection sqref="A1:Y1048576"/>
    </sheetView>
  </sheetViews>
  <sheetFormatPr defaultRowHeight="15" x14ac:dyDescent="0.25"/>
  <sheetData>
    <row r="2" spans="12:20" x14ac:dyDescent="0.25">
      <c r="L2" s="41"/>
      <c r="S2" s="42"/>
      <c r="T2" s="109"/>
    </row>
    <row r="3" spans="12:20" x14ac:dyDescent="0.25">
      <c r="L3" s="41"/>
      <c r="S3" s="42"/>
      <c r="T3" s="109"/>
    </row>
    <row r="4" spans="12:20" x14ac:dyDescent="0.25">
      <c r="L4" s="41"/>
      <c r="S4" s="42"/>
      <c r="T4" s="109"/>
    </row>
    <row r="5" spans="12:20" x14ac:dyDescent="0.25">
      <c r="L5" s="41"/>
      <c r="S5" s="42"/>
      <c r="T5" s="109"/>
    </row>
    <row r="6" spans="12:20" x14ac:dyDescent="0.25">
      <c r="L6" s="41"/>
      <c r="S6" s="42"/>
      <c r="T6" s="109"/>
    </row>
    <row r="7" spans="12:20" x14ac:dyDescent="0.25">
      <c r="L7" s="41"/>
      <c r="S7" s="42"/>
      <c r="T7" s="109"/>
    </row>
    <row r="8" spans="12:20" x14ac:dyDescent="0.25">
      <c r="L8" s="41"/>
      <c r="S8" s="42"/>
      <c r="T8" s="109"/>
    </row>
    <row r="9" spans="12:20" x14ac:dyDescent="0.25">
      <c r="L9" s="41"/>
      <c r="S9" s="42"/>
      <c r="T9" s="109"/>
    </row>
    <row r="10" spans="12:20" x14ac:dyDescent="0.25">
      <c r="L10" s="41"/>
      <c r="S10" s="42"/>
      <c r="T10" s="109"/>
    </row>
    <row r="11" spans="12:20" x14ac:dyDescent="0.25">
      <c r="L11" s="41"/>
      <c r="S11" s="42"/>
      <c r="T11" s="109"/>
    </row>
    <row r="12" spans="12:20" x14ac:dyDescent="0.25">
      <c r="L12" s="41"/>
      <c r="S12" s="42"/>
      <c r="T12" s="109"/>
    </row>
    <row r="13" spans="12:20" x14ac:dyDescent="0.25">
      <c r="L13" s="41"/>
      <c r="S13" s="42"/>
      <c r="T13" s="109"/>
    </row>
    <row r="14" spans="12:20" x14ac:dyDescent="0.25">
      <c r="L14" s="41"/>
      <c r="S14" s="42"/>
      <c r="T14" s="109"/>
    </row>
    <row r="15" spans="12:20" x14ac:dyDescent="0.25">
      <c r="L15" s="41"/>
      <c r="S15" s="42"/>
      <c r="T15" s="109"/>
    </row>
    <row r="16" spans="12:20" x14ac:dyDescent="0.25">
      <c r="L16" s="41"/>
      <c r="S16" s="42"/>
      <c r="T16" s="109"/>
    </row>
    <row r="17" spans="12:20" x14ac:dyDescent="0.25">
      <c r="L17" s="41"/>
      <c r="S17" s="42"/>
      <c r="T17" s="109"/>
    </row>
    <row r="18" spans="12:20" x14ac:dyDescent="0.25">
      <c r="L18" s="41"/>
      <c r="S18" s="42"/>
      <c r="T18" s="109"/>
    </row>
    <row r="19" spans="12:20" x14ac:dyDescent="0.25">
      <c r="L19" s="41"/>
      <c r="S19" s="42"/>
      <c r="T19" s="109"/>
    </row>
    <row r="20" spans="12:20" x14ac:dyDescent="0.25">
      <c r="L20" s="41"/>
      <c r="S20" s="42"/>
      <c r="T20" s="109"/>
    </row>
    <row r="21" spans="12:20" x14ac:dyDescent="0.25">
      <c r="L21" s="41"/>
      <c r="S21" s="42"/>
      <c r="T21" s="109"/>
    </row>
    <row r="22" spans="12:20" x14ac:dyDescent="0.25">
      <c r="L22" s="41"/>
      <c r="S22" s="42"/>
      <c r="T22" s="109"/>
    </row>
    <row r="23" spans="12:20" x14ac:dyDescent="0.25">
      <c r="L23" s="41"/>
      <c r="S23" s="42"/>
      <c r="T23" s="109"/>
    </row>
    <row r="24" spans="12:20" x14ac:dyDescent="0.25">
      <c r="L24" s="41"/>
      <c r="S24" s="42"/>
      <c r="T24" s="109"/>
    </row>
    <row r="25" spans="12:20" x14ac:dyDescent="0.25">
      <c r="L25" s="41"/>
      <c r="S25" s="42"/>
      <c r="T25" s="109"/>
    </row>
    <row r="26" spans="12:20" x14ac:dyDescent="0.25">
      <c r="L26" s="41"/>
      <c r="S26" s="42"/>
      <c r="T26" s="109"/>
    </row>
    <row r="27" spans="12:20" x14ac:dyDescent="0.25">
      <c r="L27" s="41"/>
      <c r="S27" s="42"/>
      <c r="T27" s="109"/>
    </row>
    <row r="28" spans="12:20" x14ac:dyDescent="0.25">
      <c r="L28" s="41"/>
      <c r="S28" s="42"/>
      <c r="T28" s="109"/>
    </row>
    <row r="29" spans="12:20" x14ac:dyDescent="0.25">
      <c r="L29" s="41"/>
      <c r="S29" s="42"/>
      <c r="T29" s="109"/>
    </row>
    <row r="30" spans="12:20" x14ac:dyDescent="0.25">
      <c r="L30" s="41"/>
      <c r="S30" s="42"/>
      <c r="T30" s="109"/>
    </row>
    <row r="31" spans="12:20" x14ac:dyDescent="0.25">
      <c r="L31" s="41"/>
      <c r="S31" s="42"/>
      <c r="T31" s="109"/>
    </row>
    <row r="32" spans="12:20" x14ac:dyDescent="0.25">
      <c r="L32" s="41"/>
      <c r="S32" s="42"/>
      <c r="T32" s="109"/>
    </row>
    <row r="33" spans="12:20" x14ac:dyDescent="0.25">
      <c r="L33" s="41"/>
      <c r="S33" s="42"/>
      <c r="T33" s="109"/>
    </row>
    <row r="34" spans="12:20" x14ac:dyDescent="0.25">
      <c r="L34" s="41"/>
      <c r="S34" s="42"/>
      <c r="T34" s="109"/>
    </row>
    <row r="35" spans="12:20" x14ac:dyDescent="0.25">
      <c r="L35" s="41"/>
      <c r="S35" s="42"/>
      <c r="T35" s="109"/>
    </row>
    <row r="36" spans="12:20" x14ac:dyDescent="0.25">
      <c r="L36" s="41"/>
      <c r="S36" s="42"/>
      <c r="T36" s="109"/>
    </row>
    <row r="37" spans="12:20" x14ac:dyDescent="0.25">
      <c r="L37" s="41"/>
      <c r="S37" s="42"/>
      <c r="T37" s="10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17F6-CDD6-4600-B1BE-979CD8FB0D1A}">
  <dimension ref="L2:P66"/>
  <sheetViews>
    <sheetView workbookViewId="0">
      <selection sqref="A1:R1048576"/>
    </sheetView>
  </sheetViews>
  <sheetFormatPr defaultRowHeight="15" x14ac:dyDescent="0.25"/>
  <sheetData>
    <row r="2" spans="12:16" x14ac:dyDescent="0.25">
      <c r="L2" s="41"/>
      <c r="O2" s="42"/>
      <c r="P2" s="109"/>
    </row>
    <row r="3" spans="12:16" x14ac:dyDescent="0.25">
      <c r="L3" s="41"/>
      <c r="O3" s="42"/>
      <c r="P3" s="109"/>
    </row>
    <row r="4" spans="12:16" x14ac:dyDescent="0.25">
      <c r="L4" s="41"/>
      <c r="O4" s="42"/>
      <c r="P4" s="109"/>
    </row>
    <row r="5" spans="12:16" x14ac:dyDescent="0.25">
      <c r="L5" s="41"/>
      <c r="O5" s="42"/>
      <c r="P5" s="109"/>
    </row>
    <row r="6" spans="12:16" x14ac:dyDescent="0.25">
      <c r="L6" s="41"/>
      <c r="O6" s="42"/>
      <c r="P6" s="109"/>
    </row>
    <row r="7" spans="12:16" x14ac:dyDescent="0.25">
      <c r="L7" s="41"/>
      <c r="O7" s="42"/>
      <c r="P7" s="109"/>
    </row>
    <row r="8" spans="12:16" x14ac:dyDescent="0.25">
      <c r="L8" s="41"/>
      <c r="O8" s="42"/>
      <c r="P8" s="109"/>
    </row>
    <row r="9" spans="12:16" x14ac:dyDescent="0.25">
      <c r="L9" s="41"/>
      <c r="O9" s="42"/>
      <c r="P9" s="109"/>
    </row>
    <row r="10" spans="12:16" x14ac:dyDescent="0.25">
      <c r="L10" s="41"/>
      <c r="O10" s="42"/>
      <c r="P10" s="109"/>
    </row>
    <row r="11" spans="12:16" x14ac:dyDescent="0.25">
      <c r="L11" s="41"/>
      <c r="O11" s="42"/>
      <c r="P11" s="109"/>
    </row>
    <row r="12" spans="12:16" x14ac:dyDescent="0.25">
      <c r="L12" s="41"/>
      <c r="O12" s="42"/>
      <c r="P12" s="109"/>
    </row>
    <row r="13" spans="12:16" x14ac:dyDescent="0.25">
      <c r="L13" s="41"/>
      <c r="O13" s="42"/>
      <c r="P13" s="109"/>
    </row>
    <row r="14" spans="12:16" x14ac:dyDescent="0.25">
      <c r="L14" s="41"/>
      <c r="O14" s="42"/>
      <c r="P14" s="109"/>
    </row>
    <row r="15" spans="12:16" x14ac:dyDescent="0.25">
      <c r="L15" s="41"/>
      <c r="O15" s="42"/>
      <c r="P15" s="109"/>
    </row>
    <row r="16" spans="12:16" x14ac:dyDescent="0.25">
      <c r="L16" s="41"/>
      <c r="O16" s="42"/>
      <c r="P16" s="109"/>
    </row>
    <row r="17" spans="12:16" x14ac:dyDescent="0.25">
      <c r="L17" s="41"/>
      <c r="O17" s="42"/>
      <c r="P17" s="109"/>
    </row>
    <row r="18" spans="12:16" x14ac:dyDescent="0.25">
      <c r="L18" s="41"/>
      <c r="O18" s="42"/>
      <c r="P18" s="109"/>
    </row>
    <row r="19" spans="12:16" x14ac:dyDescent="0.25">
      <c r="L19" s="41"/>
      <c r="O19" s="42"/>
      <c r="P19" s="109"/>
    </row>
    <row r="20" spans="12:16" x14ac:dyDescent="0.25">
      <c r="L20" s="41"/>
      <c r="O20" s="42"/>
      <c r="P20" s="109"/>
    </row>
    <row r="21" spans="12:16" x14ac:dyDescent="0.25">
      <c r="L21" s="41"/>
      <c r="O21" s="42"/>
      <c r="P21" s="109"/>
    </row>
    <row r="22" spans="12:16" x14ac:dyDescent="0.25">
      <c r="L22" s="41"/>
      <c r="O22" s="42"/>
      <c r="P22" s="109"/>
    </row>
    <row r="23" spans="12:16" x14ac:dyDescent="0.25">
      <c r="L23" s="41"/>
      <c r="O23" s="42"/>
      <c r="P23" s="109"/>
    </row>
    <row r="24" spans="12:16" x14ac:dyDescent="0.25">
      <c r="L24" s="41"/>
      <c r="O24" s="42"/>
      <c r="P24" s="109"/>
    </row>
    <row r="25" spans="12:16" x14ac:dyDescent="0.25">
      <c r="L25" s="41"/>
      <c r="O25" s="42"/>
      <c r="P25" s="109"/>
    </row>
    <row r="26" spans="12:16" x14ac:dyDescent="0.25">
      <c r="L26" s="41"/>
      <c r="O26" s="42"/>
      <c r="P26" s="109"/>
    </row>
    <row r="27" spans="12:16" x14ac:dyDescent="0.25">
      <c r="L27" s="41"/>
      <c r="O27" s="42"/>
      <c r="P27" s="109"/>
    </row>
    <row r="28" spans="12:16" x14ac:dyDescent="0.25">
      <c r="L28" s="41"/>
      <c r="O28" s="42"/>
      <c r="P28" s="109"/>
    </row>
    <row r="29" spans="12:16" x14ac:dyDescent="0.25">
      <c r="L29" s="41"/>
      <c r="O29" s="42"/>
      <c r="P29" s="109"/>
    </row>
    <row r="30" spans="12:16" x14ac:dyDescent="0.25">
      <c r="L30" s="41"/>
      <c r="O30" s="42"/>
      <c r="P30" s="109"/>
    </row>
    <row r="31" spans="12:16" x14ac:dyDescent="0.25">
      <c r="L31" s="41"/>
      <c r="O31" s="42"/>
      <c r="P31" s="109"/>
    </row>
    <row r="32" spans="12:16" x14ac:dyDescent="0.25">
      <c r="L32" s="41"/>
      <c r="O32" s="42"/>
      <c r="P32" s="109"/>
    </row>
    <row r="33" spans="12:16" x14ac:dyDescent="0.25">
      <c r="L33" s="41"/>
      <c r="O33" s="42"/>
      <c r="P33" s="109"/>
    </row>
    <row r="34" spans="12:16" x14ac:dyDescent="0.25">
      <c r="L34" s="41"/>
      <c r="O34" s="42"/>
      <c r="P34" s="109"/>
    </row>
    <row r="35" spans="12:16" x14ac:dyDescent="0.25">
      <c r="L35" s="41"/>
      <c r="O35" s="42"/>
      <c r="P35" s="109"/>
    </row>
    <row r="36" spans="12:16" x14ac:dyDescent="0.25">
      <c r="L36" s="41"/>
      <c r="O36" s="42"/>
      <c r="P36" s="109"/>
    </row>
    <row r="37" spans="12:16" x14ac:dyDescent="0.25">
      <c r="L37" s="41"/>
      <c r="O37" s="42"/>
      <c r="P37" s="109"/>
    </row>
    <row r="38" spans="12:16" x14ac:dyDescent="0.25">
      <c r="L38" s="41"/>
      <c r="O38" s="42"/>
      <c r="P38" s="109"/>
    </row>
    <row r="39" spans="12:16" x14ac:dyDescent="0.25">
      <c r="L39" s="41"/>
      <c r="O39" s="42"/>
      <c r="P39" s="109"/>
    </row>
    <row r="40" spans="12:16" x14ac:dyDescent="0.25">
      <c r="L40" s="41"/>
      <c r="O40" s="42"/>
      <c r="P40" s="109"/>
    </row>
    <row r="41" spans="12:16" x14ac:dyDescent="0.25">
      <c r="L41" s="41"/>
      <c r="O41" s="42"/>
      <c r="P41" s="109"/>
    </row>
    <row r="42" spans="12:16" x14ac:dyDescent="0.25">
      <c r="L42" s="41"/>
      <c r="O42" s="42"/>
      <c r="P42" s="109"/>
    </row>
    <row r="43" spans="12:16" x14ac:dyDescent="0.25">
      <c r="L43" s="41"/>
      <c r="O43" s="42"/>
      <c r="P43" s="109"/>
    </row>
    <row r="44" spans="12:16" x14ac:dyDescent="0.25">
      <c r="L44" s="41"/>
      <c r="O44" s="42"/>
      <c r="P44" s="109"/>
    </row>
    <row r="45" spans="12:16" x14ac:dyDescent="0.25">
      <c r="L45" s="41"/>
      <c r="O45" s="42"/>
      <c r="P45" s="109"/>
    </row>
    <row r="46" spans="12:16" x14ac:dyDescent="0.25">
      <c r="L46" s="41"/>
      <c r="O46" s="42"/>
      <c r="P46" s="109"/>
    </row>
    <row r="47" spans="12:16" x14ac:dyDescent="0.25">
      <c r="L47" s="41"/>
      <c r="O47" s="42"/>
      <c r="P47" s="109"/>
    </row>
    <row r="48" spans="12:16" x14ac:dyDescent="0.25">
      <c r="L48" s="41"/>
      <c r="O48" s="42"/>
      <c r="P48" s="109"/>
    </row>
    <row r="49" spans="12:16" x14ac:dyDescent="0.25">
      <c r="L49" s="41"/>
      <c r="O49" s="42"/>
      <c r="P49" s="109"/>
    </row>
    <row r="50" spans="12:16" x14ac:dyDescent="0.25">
      <c r="L50" s="41"/>
      <c r="O50" s="42"/>
      <c r="P50" s="109"/>
    </row>
    <row r="51" spans="12:16" x14ac:dyDescent="0.25">
      <c r="L51" s="41"/>
      <c r="O51" s="42"/>
      <c r="P51" s="109"/>
    </row>
    <row r="52" spans="12:16" x14ac:dyDescent="0.25">
      <c r="L52" s="41"/>
      <c r="O52" s="42"/>
      <c r="P52" s="109"/>
    </row>
    <row r="53" spans="12:16" x14ac:dyDescent="0.25">
      <c r="L53" s="41"/>
      <c r="O53" s="42"/>
      <c r="P53" s="109"/>
    </row>
    <row r="54" spans="12:16" x14ac:dyDescent="0.25">
      <c r="L54" s="41"/>
      <c r="O54" s="42"/>
      <c r="P54" s="109"/>
    </row>
    <row r="55" spans="12:16" x14ac:dyDescent="0.25">
      <c r="L55" s="41"/>
      <c r="O55" s="42"/>
      <c r="P55" s="109"/>
    </row>
    <row r="56" spans="12:16" x14ac:dyDescent="0.25">
      <c r="L56" s="41"/>
      <c r="O56" s="42"/>
      <c r="P56" s="109"/>
    </row>
    <row r="57" spans="12:16" x14ac:dyDescent="0.25">
      <c r="L57" s="41"/>
      <c r="O57" s="42"/>
      <c r="P57" s="109"/>
    </row>
    <row r="58" spans="12:16" x14ac:dyDescent="0.25">
      <c r="L58" s="41"/>
      <c r="O58" s="42"/>
      <c r="P58" s="109"/>
    </row>
    <row r="59" spans="12:16" x14ac:dyDescent="0.25">
      <c r="L59" s="41"/>
      <c r="O59" s="42"/>
      <c r="P59" s="109"/>
    </row>
    <row r="60" spans="12:16" x14ac:dyDescent="0.25">
      <c r="L60" s="41"/>
      <c r="O60" s="42"/>
      <c r="P60" s="109"/>
    </row>
    <row r="61" spans="12:16" x14ac:dyDescent="0.25">
      <c r="L61" s="41"/>
      <c r="O61" s="42"/>
      <c r="P61" s="109"/>
    </row>
    <row r="62" spans="12:16" x14ac:dyDescent="0.25">
      <c r="L62" s="41"/>
      <c r="O62" s="42"/>
      <c r="P62" s="109"/>
    </row>
    <row r="63" spans="12:16" x14ac:dyDescent="0.25">
      <c r="L63" s="41"/>
      <c r="O63" s="42"/>
      <c r="P63" s="109"/>
    </row>
    <row r="64" spans="12:16" x14ac:dyDescent="0.25">
      <c r="L64" s="41"/>
      <c r="O64" s="42"/>
      <c r="P64" s="109"/>
    </row>
    <row r="65" spans="12:16" x14ac:dyDescent="0.25">
      <c r="L65" s="41"/>
      <c r="O65" s="42"/>
      <c r="P65" s="109"/>
    </row>
    <row r="66" spans="12:16" x14ac:dyDescent="0.25">
      <c r="L66" s="41"/>
      <c r="O66" s="42"/>
      <c r="P66" s="10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4B2B-FBFE-4862-B038-E5AA00784EEE}">
  <dimension ref="A1:T8"/>
  <sheetViews>
    <sheetView topLeftCell="E1" workbookViewId="0">
      <selection activeCell="E1" sqref="E1:T1048576"/>
    </sheetView>
  </sheetViews>
  <sheetFormatPr defaultRowHeight="15" x14ac:dyDescent="0.25"/>
  <cols>
    <col min="4" max="4" width="56.85546875" bestFit="1" customWidth="1"/>
    <col min="5" max="5" width="18.5703125" bestFit="1" customWidth="1"/>
  </cols>
  <sheetData>
    <row r="1" spans="1:20" x14ac:dyDescent="0.25">
      <c r="A1" t="s">
        <v>7</v>
      </c>
      <c r="B1" t="s">
        <v>8</v>
      </c>
      <c r="C1" t="s">
        <v>9</v>
      </c>
      <c r="D1" t="s">
        <v>10</v>
      </c>
    </row>
    <row r="2" spans="1:20" x14ac:dyDescent="0.25">
      <c r="A2" t="s">
        <v>22</v>
      </c>
      <c r="B2" t="s">
        <v>23</v>
      </c>
      <c r="C2" t="s">
        <v>34</v>
      </c>
      <c r="D2" t="s">
        <v>197</v>
      </c>
      <c r="L2" s="41"/>
      <c r="S2" s="42"/>
      <c r="T2" s="109"/>
    </row>
    <row r="3" spans="1:20" x14ac:dyDescent="0.25">
      <c r="A3" t="s">
        <v>22</v>
      </c>
      <c r="B3" t="s">
        <v>23</v>
      </c>
      <c r="C3" t="s">
        <v>34</v>
      </c>
      <c r="D3" t="s">
        <v>197</v>
      </c>
      <c r="L3" s="41"/>
      <c r="S3" s="42"/>
      <c r="T3" s="109"/>
    </row>
    <row r="4" spans="1:20" x14ac:dyDescent="0.25">
      <c r="A4" t="s">
        <v>22</v>
      </c>
      <c r="B4" t="s">
        <v>30</v>
      </c>
      <c r="C4" t="s">
        <v>182</v>
      </c>
      <c r="D4" t="s">
        <v>198</v>
      </c>
      <c r="L4" s="41"/>
      <c r="S4" s="42"/>
      <c r="T4" s="109"/>
    </row>
    <row r="5" spans="1:20" x14ac:dyDescent="0.25">
      <c r="A5" t="s">
        <v>22</v>
      </c>
      <c r="B5" t="s">
        <v>23</v>
      </c>
      <c r="C5" t="s">
        <v>34</v>
      </c>
      <c r="D5" t="s">
        <v>245</v>
      </c>
      <c r="L5" s="41"/>
      <c r="S5" s="42"/>
      <c r="T5" s="109"/>
    </row>
    <row r="6" spans="1:20" x14ac:dyDescent="0.25">
      <c r="A6" t="s">
        <v>22</v>
      </c>
      <c r="B6" t="s">
        <v>23</v>
      </c>
      <c r="C6" t="s">
        <v>34</v>
      </c>
      <c r="D6" t="s">
        <v>245</v>
      </c>
      <c r="L6" s="41"/>
      <c r="S6" s="42"/>
      <c r="T6" s="109"/>
    </row>
    <row r="7" spans="1:20" x14ac:dyDescent="0.25">
      <c r="A7" t="s">
        <v>247</v>
      </c>
      <c r="B7" t="s">
        <v>23</v>
      </c>
      <c r="C7" t="s">
        <v>34</v>
      </c>
      <c r="D7" t="s">
        <v>245</v>
      </c>
      <c r="L7" s="41"/>
      <c r="S7" s="42"/>
      <c r="T7" s="109"/>
    </row>
    <row r="8" spans="1:20" x14ac:dyDescent="0.25">
      <c r="A8" t="s">
        <v>22</v>
      </c>
      <c r="B8" t="s">
        <v>23</v>
      </c>
      <c r="C8" t="s">
        <v>34</v>
      </c>
      <c r="D8" t="s">
        <v>246</v>
      </c>
      <c r="L8" s="41"/>
      <c r="S8" s="42"/>
      <c r="T8" s="10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F7A8-4ED5-4531-8C05-804CD3E34F45}">
  <dimension ref="L2:P34"/>
  <sheetViews>
    <sheetView workbookViewId="0">
      <selection activeCell="P1" sqref="A1:P1048576"/>
    </sheetView>
  </sheetViews>
  <sheetFormatPr defaultRowHeight="15" x14ac:dyDescent="0.25"/>
  <sheetData>
    <row r="2" spans="12:16" x14ac:dyDescent="0.25">
      <c r="L2" s="41"/>
      <c r="O2" s="42"/>
      <c r="P2" s="109"/>
    </row>
    <row r="3" spans="12:16" x14ac:dyDescent="0.25">
      <c r="L3" s="41"/>
      <c r="O3" s="42"/>
      <c r="P3" s="109"/>
    </row>
    <row r="4" spans="12:16" x14ac:dyDescent="0.25">
      <c r="L4" s="41"/>
      <c r="O4" s="42"/>
      <c r="P4" s="109"/>
    </row>
    <row r="5" spans="12:16" x14ac:dyDescent="0.25">
      <c r="L5" s="41"/>
      <c r="O5" s="42"/>
      <c r="P5" s="110"/>
    </row>
    <row r="6" spans="12:16" x14ac:dyDescent="0.25">
      <c r="L6" s="41"/>
      <c r="O6" s="42"/>
      <c r="P6" s="109"/>
    </row>
    <row r="7" spans="12:16" x14ac:dyDescent="0.25">
      <c r="L7" s="41"/>
      <c r="O7" s="42"/>
      <c r="P7" s="109"/>
    </row>
    <row r="8" spans="12:16" x14ac:dyDescent="0.25">
      <c r="L8" s="41"/>
      <c r="O8" s="42"/>
      <c r="P8" s="109"/>
    </row>
    <row r="9" spans="12:16" x14ac:dyDescent="0.25">
      <c r="L9" s="41"/>
      <c r="O9" s="42"/>
      <c r="P9" s="109"/>
    </row>
    <row r="10" spans="12:16" x14ac:dyDescent="0.25">
      <c r="L10" s="41"/>
      <c r="O10" s="42"/>
      <c r="P10" s="109"/>
    </row>
    <row r="11" spans="12:16" x14ac:dyDescent="0.25">
      <c r="L11" s="41"/>
      <c r="O11" s="42"/>
      <c r="P11" s="109"/>
    </row>
    <row r="12" spans="12:16" x14ac:dyDescent="0.25">
      <c r="L12" s="41"/>
      <c r="O12" s="42"/>
      <c r="P12" s="109"/>
    </row>
    <row r="13" spans="12:16" x14ac:dyDescent="0.25">
      <c r="L13" s="41"/>
      <c r="O13" s="42"/>
      <c r="P13" s="109"/>
    </row>
    <row r="14" spans="12:16" x14ac:dyDescent="0.25">
      <c r="L14" s="41"/>
      <c r="O14" s="42"/>
      <c r="P14" s="109"/>
    </row>
    <row r="15" spans="12:16" x14ac:dyDescent="0.25">
      <c r="L15" s="41"/>
      <c r="O15" s="42"/>
      <c r="P15" s="109"/>
    </row>
    <row r="16" spans="12:16" x14ac:dyDescent="0.25">
      <c r="L16" s="41"/>
      <c r="O16" s="42"/>
      <c r="P16" s="109"/>
    </row>
    <row r="17" spans="12:16" x14ac:dyDescent="0.25">
      <c r="L17" s="41"/>
      <c r="O17" s="42"/>
      <c r="P17" s="109"/>
    </row>
    <row r="18" spans="12:16" x14ac:dyDescent="0.25">
      <c r="L18" s="41"/>
      <c r="O18" s="42"/>
      <c r="P18" s="109"/>
    </row>
    <row r="19" spans="12:16" x14ac:dyDescent="0.25">
      <c r="L19" s="41"/>
      <c r="O19" s="42"/>
      <c r="P19" s="109"/>
    </row>
    <row r="20" spans="12:16" x14ac:dyDescent="0.25">
      <c r="L20" s="41"/>
      <c r="O20" s="42"/>
      <c r="P20" s="109"/>
    </row>
    <row r="21" spans="12:16" x14ac:dyDescent="0.25">
      <c r="L21" s="41"/>
      <c r="O21" s="42"/>
      <c r="P21" s="109"/>
    </row>
    <row r="22" spans="12:16" x14ac:dyDescent="0.25">
      <c r="L22" s="41"/>
      <c r="O22" s="42"/>
      <c r="P22" s="109"/>
    </row>
    <row r="23" spans="12:16" x14ac:dyDescent="0.25">
      <c r="L23" s="41"/>
      <c r="O23" s="42"/>
      <c r="P23" s="109"/>
    </row>
    <row r="24" spans="12:16" x14ac:dyDescent="0.25">
      <c r="L24" s="41"/>
      <c r="O24" s="42"/>
      <c r="P24" s="109"/>
    </row>
    <row r="25" spans="12:16" x14ac:dyDescent="0.25">
      <c r="L25" s="41"/>
      <c r="O25" s="42"/>
      <c r="P25" s="109"/>
    </row>
    <row r="26" spans="12:16" x14ac:dyDescent="0.25">
      <c r="L26" s="41"/>
      <c r="O26" s="42"/>
      <c r="P26" s="109"/>
    </row>
    <row r="27" spans="12:16" x14ac:dyDescent="0.25">
      <c r="L27" s="41"/>
      <c r="O27" s="42"/>
      <c r="P27" s="109"/>
    </row>
    <row r="28" spans="12:16" x14ac:dyDescent="0.25">
      <c r="L28" s="41"/>
      <c r="O28" s="42"/>
      <c r="P28" s="109"/>
    </row>
    <row r="29" spans="12:16" x14ac:dyDescent="0.25">
      <c r="L29" s="41"/>
      <c r="O29" s="42"/>
      <c r="P29" s="109"/>
    </row>
    <row r="30" spans="12:16" x14ac:dyDescent="0.25">
      <c r="L30" s="41"/>
      <c r="O30" s="42"/>
      <c r="P30" s="109"/>
    </row>
    <row r="31" spans="12:16" x14ac:dyDescent="0.25">
      <c r="L31" s="41"/>
      <c r="O31" s="42"/>
      <c r="P31" s="109"/>
    </row>
    <row r="32" spans="12:16" x14ac:dyDescent="0.25">
      <c r="L32" s="41"/>
      <c r="O32" s="42"/>
      <c r="P32" s="109"/>
    </row>
    <row r="33" spans="12:16" x14ac:dyDescent="0.25">
      <c r="L33" s="41"/>
      <c r="O33" s="42"/>
      <c r="P33" s="109"/>
    </row>
    <row r="34" spans="12:16" x14ac:dyDescent="0.25">
      <c r="L34" s="41"/>
      <c r="O34" s="42"/>
      <c r="P34" s="10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EDB5-E34E-4364-AF18-C796C40FE080}">
  <dimension ref="L2:P57"/>
  <sheetViews>
    <sheetView workbookViewId="0">
      <selection activeCell="R1" sqref="A1:R1048576"/>
    </sheetView>
  </sheetViews>
  <sheetFormatPr defaultRowHeight="15" x14ac:dyDescent="0.25"/>
  <sheetData>
    <row r="2" spans="12:16" x14ac:dyDescent="0.25">
      <c r="L2" s="41"/>
      <c r="O2" s="42"/>
      <c r="P2" s="109"/>
    </row>
    <row r="3" spans="12:16" x14ac:dyDescent="0.25">
      <c r="L3" s="41"/>
      <c r="O3" s="42"/>
      <c r="P3" s="109"/>
    </row>
    <row r="4" spans="12:16" x14ac:dyDescent="0.25">
      <c r="L4" s="41"/>
      <c r="O4" s="42"/>
      <c r="P4" s="109"/>
    </row>
    <row r="5" spans="12:16" x14ac:dyDescent="0.25">
      <c r="L5" s="41"/>
      <c r="O5" s="42"/>
      <c r="P5" s="109"/>
    </row>
    <row r="6" spans="12:16" x14ac:dyDescent="0.25">
      <c r="L6" s="41"/>
      <c r="O6" s="42"/>
      <c r="P6" s="109"/>
    </row>
    <row r="7" spans="12:16" x14ac:dyDescent="0.25">
      <c r="L7" s="41"/>
      <c r="O7" s="42"/>
      <c r="P7" s="109"/>
    </row>
    <row r="8" spans="12:16" x14ac:dyDescent="0.25">
      <c r="L8" s="41"/>
      <c r="O8" s="42"/>
      <c r="P8" s="109"/>
    </row>
    <row r="9" spans="12:16" x14ac:dyDescent="0.25">
      <c r="L9" s="41"/>
      <c r="O9" s="42"/>
      <c r="P9" s="109"/>
    </row>
    <row r="10" spans="12:16" x14ac:dyDescent="0.25">
      <c r="L10" s="41"/>
      <c r="O10" s="42"/>
      <c r="P10" s="109"/>
    </row>
    <row r="11" spans="12:16" x14ac:dyDescent="0.25">
      <c r="L11" s="41"/>
      <c r="O11" s="42"/>
      <c r="P11" s="109"/>
    </row>
    <row r="12" spans="12:16" x14ac:dyDescent="0.25">
      <c r="L12" s="41"/>
      <c r="O12" s="42"/>
      <c r="P12" s="109"/>
    </row>
    <row r="13" spans="12:16" x14ac:dyDescent="0.25">
      <c r="L13" s="41"/>
      <c r="O13" s="42"/>
      <c r="P13" s="109"/>
    </row>
    <row r="14" spans="12:16" x14ac:dyDescent="0.25">
      <c r="L14" s="41"/>
      <c r="O14" s="42"/>
      <c r="P14" s="109"/>
    </row>
    <row r="15" spans="12:16" x14ac:dyDescent="0.25">
      <c r="L15" s="41"/>
      <c r="O15" s="42"/>
      <c r="P15" s="109"/>
    </row>
    <row r="16" spans="12:16" x14ac:dyDescent="0.25">
      <c r="L16" s="41"/>
      <c r="O16" s="42"/>
      <c r="P16" s="109"/>
    </row>
    <row r="17" spans="12:16" x14ac:dyDescent="0.25">
      <c r="L17" s="41"/>
      <c r="O17" s="42"/>
      <c r="P17" s="109"/>
    </row>
    <row r="18" spans="12:16" x14ac:dyDescent="0.25">
      <c r="L18" s="41"/>
      <c r="O18" s="42"/>
      <c r="P18" s="109"/>
    </row>
    <row r="19" spans="12:16" x14ac:dyDescent="0.25">
      <c r="L19" s="41"/>
      <c r="O19" s="42"/>
      <c r="P19" s="109"/>
    </row>
    <row r="20" spans="12:16" x14ac:dyDescent="0.25">
      <c r="L20" s="41"/>
      <c r="O20" s="42"/>
      <c r="P20" s="109"/>
    </row>
    <row r="21" spans="12:16" x14ac:dyDescent="0.25">
      <c r="L21" s="41"/>
      <c r="O21" s="42"/>
      <c r="P21" s="109"/>
    </row>
    <row r="22" spans="12:16" x14ac:dyDescent="0.25">
      <c r="L22" s="41"/>
      <c r="O22" s="42"/>
      <c r="P22" s="109"/>
    </row>
    <row r="23" spans="12:16" x14ac:dyDescent="0.25">
      <c r="L23" s="41"/>
      <c r="O23" s="42"/>
      <c r="P23" s="109"/>
    </row>
    <row r="24" spans="12:16" x14ac:dyDescent="0.25">
      <c r="L24" s="41"/>
      <c r="O24" s="42"/>
      <c r="P24" s="109"/>
    </row>
    <row r="25" spans="12:16" x14ac:dyDescent="0.25">
      <c r="L25" s="41"/>
      <c r="O25" s="42"/>
      <c r="P25" s="109"/>
    </row>
    <row r="26" spans="12:16" x14ac:dyDescent="0.25">
      <c r="L26" s="41"/>
      <c r="O26" s="42"/>
      <c r="P26" s="109"/>
    </row>
    <row r="27" spans="12:16" x14ac:dyDescent="0.25">
      <c r="L27" s="41"/>
      <c r="O27" s="42"/>
      <c r="P27" s="109"/>
    </row>
    <row r="28" spans="12:16" x14ac:dyDescent="0.25">
      <c r="L28" s="41"/>
      <c r="O28" s="42"/>
      <c r="P28" s="109"/>
    </row>
    <row r="29" spans="12:16" x14ac:dyDescent="0.25">
      <c r="L29" s="41"/>
      <c r="O29" s="42"/>
      <c r="P29" s="109"/>
    </row>
    <row r="30" spans="12:16" x14ac:dyDescent="0.25">
      <c r="L30" s="41"/>
      <c r="O30" s="42"/>
      <c r="P30" s="109"/>
    </row>
    <row r="31" spans="12:16" x14ac:dyDescent="0.25">
      <c r="L31" s="41"/>
      <c r="O31" s="42"/>
      <c r="P31" s="109"/>
    </row>
    <row r="32" spans="12:16" x14ac:dyDescent="0.25">
      <c r="L32" s="41"/>
      <c r="O32" s="42"/>
      <c r="P32" s="109"/>
    </row>
    <row r="33" spans="12:16" x14ac:dyDescent="0.25">
      <c r="L33" s="41"/>
      <c r="O33" s="42"/>
      <c r="P33" s="109"/>
    </row>
    <row r="34" spans="12:16" x14ac:dyDescent="0.25">
      <c r="L34" s="41"/>
      <c r="O34" s="42"/>
      <c r="P34" s="109"/>
    </row>
    <row r="35" spans="12:16" x14ac:dyDescent="0.25">
      <c r="L35" s="41"/>
      <c r="O35" s="42"/>
      <c r="P35" s="109"/>
    </row>
    <row r="36" spans="12:16" x14ac:dyDescent="0.25">
      <c r="L36" s="41"/>
      <c r="O36" s="42"/>
      <c r="P36" s="109"/>
    </row>
    <row r="37" spans="12:16" x14ac:dyDescent="0.25">
      <c r="L37" s="41"/>
      <c r="O37" s="42"/>
      <c r="P37" s="109"/>
    </row>
    <row r="38" spans="12:16" x14ac:dyDescent="0.25">
      <c r="L38" s="41"/>
      <c r="O38" s="42"/>
      <c r="P38" s="109"/>
    </row>
    <row r="39" spans="12:16" x14ac:dyDescent="0.25">
      <c r="L39" s="41"/>
      <c r="O39" s="42"/>
      <c r="P39" s="109"/>
    </row>
    <row r="40" spans="12:16" x14ac:dyDescent="0.25">
      <c r="L40" s="41"/>
      <c r="O40" s="42"/>
      <c r="P40" s="109"/>
    </row>
    <row r="41" spans="12:16" x14ac:dyDescent="0.25">
      <c r="L41" s="41"/>
      <c r="O41" s="42"/>
      <c r="P41" s="109"/>
    </row>
    <row r="42" spans="12:16" x14ac:dyDescent="0.25">
      <c r="L42" s="41"/>
      <c r="O42" s="42"/>
      <c r="P42" s="109"/>
    </row>
    <row r="43" spans="12:16" x14ac:dyDescent="0.25">
      <c r="L43" s="41"/>
      <c r="O43" s="42"/>
      <c r="P43" s="109"/>
    </row>
    <row r="44" spans="12:16" x14ac:dyDescent="0.25">
      <c r="L44" s="41"/>
      <c r="O44" s="42"/>
      <c r="P44" s="109"/>
    </row>
    <row r="45" spans="12:16" x14ac:dyDescent="0.25">
      <c r="L45" s="41"/>
      <c r="O45" s="42"/>
      <c r="P45" s="109"/>
    </row>
    <row r="46" spans="12:16" x14ac:dyDescent="0.25">
      <c r="L46" s="41"/>
      <c r="O46" s="42"/>
      <c r="P46" s="109"/>
    </row>
    <row r="47" spans="12:16" x14ac:dyDescent="0.25">
      <c r="L47" s="41"/>
      <c r="O47" s="42"/>
      <c r="P47" s="109"/>
    </row>
    <row r="48" spans="12:16" x14ac:dyDescent="0.25">
      <c r="L48" s="41"/>
      <c r="O48" s="42"/>
      <c r="P48" s="109"/>
    </row>
    <row r="49" spans="12:16" x14ac:dyDescent="0.25">
      <c r="L49" s="41"/>
      <c r="O49" s="42"/>
      <c r="P49" s="109"/>
    </row>
    <row r="50" spans="12:16" x14ac:dyDescent="0.25">
      <c r="L50" s="41"/>
      <c r="O50" s="42"/>
      <c r="P50" s="109"/>
    </row>
    <row r="51" spans="12:16" x14ac:dyDescent="0.25">
      <c r="L51" s="41"/>
      <c r="O51" s="42"/>
      <c r="P51" s="109"/>
    </row>
    <row r="52" spans="12:16" x14ac:dyDescent="0.25">
      <c r="L52" s="41"/>
      <c r="O52" s="42"/>
      <c r="P52" s="109"/>
    </row>
    <row r="53" spans="12:16" x14ac:dyDescent="0.25">
      <c r="L53" s="41"/>
      <c r="O53" s="42"/>
      <c r="P53" s="109"/>
    </row>
    <row r="54" spans="12:16" x14ac:dyDescent="0.25">
      <c r="L54" s="41"/>
      <c r="O54" s="42"/>
      <c r="P54" s="109"/>
    </row>
    <row r="55" spans="12:16" x14ac:dyDescent="0.25">
      <c r="L55" s="41"/>
      <c r="O55" s="42"/>
      <c r="P55" s="109"/>
    </row>
    <row r="56" spans="12:16" x14ac:dyDescent="0.25">
      <c r="L56" s="41"/>
      <c r="O56" s="42"/>
      <c r="P56" s="109"/>
    </row>
    <row r="57" spans="12:16" x14ac:dyDescent="0.25">
      <c r="L57" s="41"/>
      <c r="O57" s="42"/>
      <c r="P57" s="10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603A-DB7A-40FF-BC38-60CF39DF49D0}">
  <dimension ref="L2:P3"/>
  <sheetViews>
    <sheetView workbookViewId="0">
      <selection activeCell="P1" sqref="A1:P1048576"/>
    </sheetView>
  </sheetViews>
  <sheetFormatPr defaultRowHeight="15" x14ac:dyDescent="0.25"/>
  <sheetData>
    <row r="2" spans="12:16" x14ac:dyDescent="0.25">
      <c r="L2" s="41"/>
      <c r="O2" s="42"/>
      <c r="P2" s="109"/>
    </row>
    <row r="3" spans="12:16" x14ac:dyDescent="0.25">
      <c r="L3" s="41"/>
      <c r="O3" s="42"/>
      <c r="P3" s="10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C075-6398-43B2-8DB3-292620A10CDC}">
  <sheetPr>
    <tabColor rgb="FFFFFF00"/>
    <pageSetUpPr fitToPage="1"/>
  </sheetPr>
  <dimension ref="A1:BN86"/>
  <sheetViews>
    <sheetView showZeros="0" zoomScaleNormal="100" workbookViewId="0">
      <pane xSplit="4" ySplit="5" topLeftCell="L6" activePane="bottomRight" state="frozen"/>
      <selection pane="topRight" activeCell="E1" sqref="E1"/>
      <selection pane="bottomLeft" activeCell="A6" sqref="A6"/>
      <selection pane="bottomRight" activeCell="BH19" sqref="BH19"/>
    </sheetView>
  </sheetViews>
  <sheetFormatPr defaultColWidth="9.140625" defaultRowHeight="24.95" customHeight="1" outlineLevelCol="1" x14ac:dyDescent="0.25"/>
  <cols>
    <col min="1" max="1" width="10.140625" style="8" customWidth="1"/>
    <col min="2" max="2" width="14.28515625" style="8" customWidth="1"/>
    <col min="3" max="3" width="24.7109375" style="77" customWidth="1"/>
    <col min="4" max="4" width="14" style="9" customWidth="1"/>
    <col min="5" max="5" width="5.7109375" style="11" customWidth="1"/>
    <col min="6" max="6" width="5.7109375" style="10" customWidth="1"/>
    <col min="7" max="7" width="5.7109375" style="8" customWidth="1"/>
    <col min="8" max="8" width="5.5703125" style="10" customWidth="1"/>
    <col min="9" max="9" width="5.7109375" style="11" customWidth="1"/>
    <col min="10" max="10" width="5.7109375" style="10" customWidth="1" outlineLevel="1"/>
    <col min="11" max="11" width="7.5703125" style="26" customWidth="1" outlineLevel="1"/>
    <col min="12" max="12" width="7.7109375" style="141" customWidth="1" outlineLevel="1"/>
    <col min="13" max="13" width="5.7109375" style="11" customWidth="1"/>
    <col min="14" max="14" width="5.7109375" style="10" customWidth="1"/>
    <col min="15" max="15" width="5.7109375" style="26" customWidth="1"/>
    <col min="16" max="16" width="6.28515625" style="10" bestFit="1" customWidth="1"/>
    <col min="17" max="17" width="5.7109375" style="51" customWidth="1"/>
    <col min="18" max="18" width="5.7109375" style="10" customWidth="1"/>
    <col min="19" max="19" width="5.7109375" style="11" customWidth="1"/>
    <col min="20" max="20" width="5.7109375" style="51" customWidth="1"/>
    <col min="21" max="21" width="5.7109375" style="10" customWidth="1"/>
    <col min="22" max="22" width="5.7109375" style="11" customWidth="1"/>
    <col min="23" max="23" width="5.7109375" style="51" customWidth="1"/>
    <col min="24" max="24" width="5.7109375" style="10" customWidth="1"/>
    <col min="25" max="25" width="5.7109375" style="11" customWidth="1"/>
    <col min="26" max="26" width="5.7109375" style="51" customWidth="1"/>
    <col min="27" max="27" width="5.7109375" style="10" customWidth="1"/>
    <col min="28" max="28" width="5.7109375" style="11" customWidth="1"/>
    <col min="29" max="29" width="5.7109375" style="51" customWidth="1"/>
    <col min="30" max="30" width="5.7109375" style="10" customWidth="1"/>
    <col min="31" max="31" width="5.7109375" style="11" customWidth="1"/>
    <col min="32" max="32" width="5.7109375" style="51" hidden="1" customWidth="1"/>
    <col min="33" max="33" width="5.7109375" style="10" hidden="1" customWidth="1"/>
    <col min="34" max="34" width="5.7109375" style="11" hidden="1" customWidth="1"/>
    <col min="35" max="35" width="5.7109375" style="51" hidden="1" customWidth="1"/>
    <col min="36" max="36" width="5.7109375" style="10" hidden="1" customWidth="1"/>
    <col min="37" max="37" width="5.7109375" style="11" hidden="1" customWidth="1"/>
    <col min="38" max="38" width="5.7109375" style="51" hidden="1" customWidth="1"/>
    <col min="39" max="39" width="5.7109375" style="10" hidden="1" customWidth="1"/>
    <col min="40" max="40" width="5.7109375" style="11" hidden="1" customWidth="1"/>
    <col min="41" max="41" width="5.7109375" style="51" hidden="1" customWidth="1"/>
    <col min="42" max="42" width="5.7109375" style="10" hidden="1" customWidth="1"/>
    <col min="43" max="43" width="5.7109375" style="11" hidden="1" customWidth="1"/>
    <col min="44" max="44" width="7.28515625" style="51" hidden="1" customWidth="1"/>
    <col min="45" max="45" width="5.7109375" style="10" hidden="1" customWidth="1"/>
    <col min="46" max="46" width="5.7109375" style="11" hidden="1" customWidth="1"/>
    <col min="47" max="47" width="5.5703125" style="51" hidden="1" customWidth="1"/>
    <col min="48" max="48" width="5.7109375" style="10" hidden="1" customWidth="1"/>
    <col min="49" max="51" width="5.7109375" style="11" hidden="1" customWidth="1"/>
    <col min="52" max="52" width="6" style="11" hidden="1" customWidth="1"/>
    <col min="53" max="53" width="5.7109375" style="11" customWidth="1"/>
    <col min="54" max="54" width="5.7109375" style="14" customWidth="1"/>
    <col min="55" max="55" width="5.7109375" style="11" customWidth="1"/>
    <col min="56" max="56" width="5.7109375" style="10" customWidth="1"/>
    <col min="57" max="57" width="5.7109375" style="11" customWidth="1"/>
    <col min="58" max="59" width="6.28515625" style="10" customWidth="1"/>
    <col min="60" max="60" width="5.7109375" style="10" customWidth="1"/>
    <col min="61" max="61" width="5.7109375" style="89" customWidth="1"/>
    <col min="62" max="62" width="5.7109375" style="52" customWidth="1"/>
    <col min="63" max="63" width="5.7109375" style="89" customWidth="1"/>
    <col min="64" max="64" width="3.28515625" style="79" customWidth="1"/>
    <col min="65" max="65" width="6.7109375" style="79" customWidth="1"/>
    <col min="66" max="66" width="6.85546875" style="8" customWidth="1"/>
    <col min="67" max="16384" width="9.140625" style="7"/>
  </cols>
  <sheetData>
    <row r="1" spans="1:66" s="1" customFormat="1" ht="15" customHeight="1" x14ac:dyDescent="0.25">
      <c r="A1" s="92"/>
      <c r="B1" s="18"/>
      <c r="C1" s="190" t="s">
        <v>6</v>
      </c>
      <c r="D1" s="45"/>
      <c r="E1" s="169" t="s">
        <v>172</v>
      </c>
      <c r="F1" s="74"/>
      <c r="G1" s="75"/>
      <c r="H1" s="151"/>
      <c r="I1" s="187" t="s">
        <v>163</v>
      </c>
      <c r="J1" s="47"/>
      <c r="K1" s="48"/>
      <c r="L1" s="137"/>
      <c r="M1" s="62"/>
      <c r="N1" s="63"/>
      <c r="O1" s="145"/>
      <c r="P1" s="64"/>
      <c r="Q1" s="49">
        <v>1</v>
      </c>
      <c r="R1" s="180" t="s">
        <v>123</v>
      </c>
      <c r="S1" s="179"/>
      <c r="T1" s="49">
        <v>2</v>
      </c>
      <c r="U1" s="180" t="s">
        <v>123</v>
      </c>
      <c r="V1" s="179"/>
      <c r="W1" s="49">
        <v>3</v>
      </c>
      <c r="X1" s="180" t="s">
        <v>123</v>
      </c>
      <c r="Y1" s="179"/>
      <c r="Z1" s="49">
        <v>4</v>
      </c>
      <c r="AA1" s="180" t="s">
        <v>123</v>
      </c>
      <c r="AB1" s="179"/>
      <c r="AC1" s="49">
        <v>5</v>
      </c>
      <c r="AD1" s="180" t="s">
        <v>123</v>
      </c>
      <c r="AE1" s="179"/>
      <c r="AF1" s="49">
        <v>6</v>
      </c>
      <c r="AG1" s="180" t="s">
        <v>123</v>
      </c>
      <c r="AH1" s="179"/>
      <c r="AI1" s="49"/>
      <c r="AJ1" s="180" t="s">
        <v>123</v>
      </c>
      <c r="AK1" s="179"/>
      <c r="AL1" s="49"/>
      <c r="AM1" s="180" t="s">
        <v>123</v>
      </c>
      <c r="AN1" s="179"/>
      <c r="AO1" s="49"/>
      <c r="AP1" s="180" t="s">
        <v>123</v>
      </c>
      <c r="AQ1" s="179"/>
      <c r="AR1" s="49"/>
      <c r="AS1" s="180" t="s">
        <v>123</v>
      </c>
      <c r="AT1" s="179"/>
      <c r="AU1" s="49"/>
      <c r="AV1" s="180" t="s">
        <v>123</v>
      </c>
      <c r="AW1" s="179"/>
      <c r="AX1" s="49"/>
      <c r="AY1" s="180" t="s">
        <v>123</v>
      </c>
      <c r="AZ1" s="179"/>
      <c r="BA1" s="28"/>
      <c r="BB1" s="25"/>
      <c r="BC1" s="93"/>
      <c r="BD1" s="94"/>
      <c r="BE1" s="95"/>
      <c r="BF1" s="184" t="s">
        <v>204</v>
      </c>
      <c r="BG1" s="184" t="s">
        <v>203</v>
      </c>
      <c r="BH1" s="196" t="s">
        <v>162</v>
      </c>
      <c r="BI1" s="199" t="s">
        <v>157</v>
      </c>
      <c r="BJ1" s="196" t="s">
        <v>157</v>
      </c>
      <c r="BK1" s="193"/>
      <c r="BL1" s="82"/>
      <c r="BM1" s="181" t="s">
        <v>199</v>
      </c>
      <c r="BN1" s="181" t="s">
        <v>15</v>
      </c>
    </row>
    <row r="2" spans="1:66" s="1" customFormat="1" ht="24" customHeight="1" x14ac:dyDescent="0.25">
      <c r="A2" s="96"/>
      <c r="B2" s="19"/>
      <c r="C2" s="191"/>
      <c r="D2" s="19"/>
      <c r="E2" s="170" t="s">
        <v>205</v>
      </c>
      <c r="F2" s="168"/>
      <c r="G2" s="19"/>
      <c r="H2" s="171"/>
      <c r="I2" s="188"/>
      <c r="J2" s="90"/>
      <c r="K2" s="34"/>
      <c r="L2" s="138"/>
      <c r="M2" s="65"/>
      <c r="N2" s="46" t="s">
        <v>167</v>
      </c>
      <c r="O2" s="146"/>
      <c r="P2" s="66"/>
      <c r="Q2" s="56" t="s">
        <v>124</v>
      </c>
      <c r="R2" s="178" t="s">
        <v>362</v>
      </c>
      <c r="S2" s="179"/>
      <c r="T2" s="56" t="s">
        <v>124</v>
      </c>
      <c r="U2" s="178" t="s">
        <v>362</v>
      </c>
      <c r="V2" s="179"/>
      <c r="W2" s="56" t="s">
        <v>124</v>
      </c>
      <c r="X2" s="178" t="s">
        <v>370</v>
      </c>
      <c r="Y2" s="179"/>
      <c r="Z2" s="56" t="s">
        <v>124</v>
      </c>
      <c r="AA2" s="178" t="s">
        <v>379</v>
      </c>
      <c r="AB2" s="179"/>
      <c r="AC2" s="56" t="s">
        <v>124</v>
      </c>
      <c r="AD2" s="178"/>
      <c r="AE2" s="179"/>
      <c r="AF2" s="56" t="s">
        <v>124</v>
      </c>
      <c r="AG2" s="178"/>
      <c r="AH2" s="179"/>
      <c r="AI2" s="56" t="s">
        <v>124</v>
      </c>
      <c r="AJ2" s="178"/>
      <c r="AK2" s="179"/>
      <c r="AL2" s="56" t="s">
        <v>124</v>
      </c>
      <c r="AM2" s="178"/>
      <c r="AN2" s="179"/>
      <c r="AO2" s="56" t="s">
        <v>124</v>
      </c>
      <c r="AP2" s="178"/>
      <c r="AQ2" s="179"/>
      <c r="AR2" s="56" t="s">
        <v>124</v>
      </c>
      <c r="AS2" s="178"/>
      <c r="AT2" s="179"/>
      <c r="AU2" s="56" t="s">
        <v>124</v>
      </c>
      <c r="AV2" s="178"/>
      <c r="AW2" s="179"/>
      <c r="AX2" s="56" t="s">
        <v>124</v>
      </c>
      <c r="AY2" s="178"/>
      <c r="AZ2" s="179"/>
      <c r="BA2" s="32" t="s">
        <v>122</v>
      </c>
      <c r="BB2" s="32"/>
      <c r="BC2" s="97"/>
      <c r="BD2" s="98" t="s">
        <v>158</v>
      </c>
      <c r="BE2" s="99"/>
      <c r="BF2" s="185"/>
      <c r="BG2" s="185"/>
      <c r="BH2" s="197"/>
      <c r="BI2" s="200"/>
      <c r="BJ2" s="197"/>
      <c r="BK2" s="194"/>
      <c r="BL2" s="82"/>
      <c r="BM2" s="182"/>
      <c r="BN2" s="182"/>
    </row>
    <row r="3" spans="1:66" s="3" customFormat="1" ht="68.45" customHeight="1" thickBot="1" x14ac:dyDescent="0.3">
      <c r="A3" s="100"/>
      <c r="B3" s="20"/>
      <c r="C3" s="192"/>
      <c r="D3" s="20"/>
      <c r="E3" s="172" t="s">
        <v>173</v>
      </c>
      <c r="F3" s="173"/>
      <c r="G3" s="173"/>
      <c r="H3" s="174"/>
      <c r="I3" s="189"/>
      <c r="J3" s="39"/>
      <c r="K3" s="35"/>
      <c r="L3" s="139"/>
      <c r="M3" s="67" t="s">
        <v>171</v>
      </c>
      <c r="N3" s="57"/>
      <c r="O3" s="147"/>
      <c r="P3" s="68"/>
      <c r="Q3" s="175" t="s">
        <v>361</v>
      </c>
      <c r="R3" s="176"/>
      <c r="S3" s="177"/>
      <c r="T3" s="175" t="s">
        <v>369</v>
      </c>
      <c r="U3" s="176"/>
      <c r="V3" s="177"/>
      <c r="W3" s="175" t="s">
        <v>340</v>
      </c>
      <c r="X3" s="176"/>
      <c r="Y3" s="177"/>
      <c r="Z3" s="175" t="s">
        <v>378</v>
      </c>
      <c r="AA3" s="176"/>
      <c r="AB3" s="177"/>
      <c r="AC3" s="175"/>
      <c r="AD3" s="176"/>
      <c r="AE3" s="177"/>
      <c r="AF3" s="175"/>
      <c r="AG3" s="176"/>
      <c r="AH3" s="177"/>
      <c r="AI3" s="175"/>
      <c r="AJ3" s="176"/>
      <c r="AK3" s="177"/>
      <c r="AL3" s="175"/>
      <c r="AM3" s="176"/>
      <c r="AN3" s="177"/>
      <c r="AO3" s="175"/>
      <c r="AP3" s="176"/>
      <c r="AQ3" s="177"/>
      <c r="AR3" s="175"/>
      <c r="AS3" s="176"/>
      <c r="AT3" s="177"/>
      <c r="AU3" s="175"/>
      <c r="AV3" s="176"/>
      <c r="AW3" s="177"/>
      <c r="AX3" s="175"/>
      <c r="AY3" s="176"/>
      <c r="AZ3" s="177"/>
      <c r="BA3" s="29"/>
      <c r="BB3" s="30"/>
      <c r="BC3" s="101"/>
      <c r="BD3" s="102">
        <v>0.4</v>
      </c>
      <c r="BE3" s="103"/>
      <c r="BF3" s="185"/>
      <c r="BG3" s="185"/>
      <c r="BH3" s="197"/>
      <c r="BI3" s="201"/>
      <c r="BJ3" s="198"/>
      <c r="BK3" s="195"/>
      <c r="BL3" s="83"/>
      <c r="BM3" s="182"/>
      <c r="BN3" s="182"/>
    </row>
    <row r="4" spans="1:66" s="3" customFormat="1" ht="63" customHeight="1" x14ac:dyDescent="0.25">
      <c r="A4" s="72" t="s">
        <v>4</v>
      </c>
      <c r="B4" s="21" t="s">
        <v>2</v>
      </c>
      <c r="C4" s="21" t="s">
        <v>3</v>
      </c>
      <c r="D4" s="22" t="s">
        <v>5</v>
      </c>
      <c r="E4" s="76" t="s">
        <v>127</v>
      </c>
      <c r="F4" s="23" t="s">
        <v>164</v>
      </c>
      <c r="G4" s="21" t="s">
        <v>126</v>
      </c>
      <c r="H4" s="152" t="s">
        <v>165</v>
      </c>
      <c r="I4" s="73" t="s">
        <v>166</v>
      </c>
      <c r="J4" s="31">
        <v>0.3</v>
      </c>
      <c r="K4" s="36" t="s">
        <v>126</v>
      </c>
      <c r="L4" s="140" t="s">
        <v>165</v>
      </c>
      <c r="M4" s="69" t="s">
        <v>166</v>
      </c>
      <c r="N4" s="43" t="s">
        <v>164</v>
      </c>
      <c r="O4" s="148" t="s">
        <v>126</v>
      </c>
      <c r="P4" s="70" t="s">
        <v>165</v>
      </c>
      <c r="Q4" s="15" t="s">
        <v>1</v>
      </c>
      <c r="R4" s="2" t="s">
        <v>0</v>
      </c>
      <c r="S4" s="16" t="s">
        <v>126</v>
      </c>
      <c r="T4" s="15" t="s">
        <v>1</v>
      </c>
      <c r="U4" s="2" t="s">
        <v>0</v>
      </c>
      <c r="V4" s="16" t="s">
        <v>126</v>
      </c>
      <c r="W4" s="15" t="s">
        <v>1</v>
      </c>
      <c r="X4" s="2" t="s">
        <v>0</v>
      </c>
      <c r="Y4" s="16" t="s">
        <v>126</v>
      </c>
      <c r="Z4" s="15" t="s">
        <v>1</v>
      </c>
      <c r="AA4" s="2" t="s">
        <v>0</v>
      </c>
      <c r="AB4" s="16" t="s">
        <v>126</v>
      </c>
      <c r="AC4" s="15" t="s">
        <v>1</v>
      </c>
      <c r="AD4" s="2" t="s">
        <v>0</v>
      </c>
      <c r="AE4" s="16" t="s">
        <v>126</v>
      </c>
      <c r="AF4" s="15" t="s">
        <v>1</v>
      </c>
      <c r="AG4" s="2" t="s">
        <v>0</v>
      </c>
      <c r="AH4" s="16" t="s">
        <v>126</v>
      </c>
      <c r="AI4" s="15" t="s">
        <v>1</v>
      </c>
      <c r="AJ4" s="2" t="s">
        <v>0</v>
      </c>
      <c r="AK4" s="16" t="s">
        <v>126</v>
      </c>
      <c r="AL4" s="15" t="s">
        <v>1</v>
      </c>
      <c r="AM4" s="2" t="s">
        <v>0</v>
      </c>
      <c r="AN4" s="16" t="s">
        <v>126</v>
      </c>
      <c r="AO4" s="15" t="s">
        <v>1</v>
      </c>
      <c r="AP4" s="2" t="s">
        <v>0</v>
      </c>
      <c r="AQ4" s="16" t="s">
        <v>126</v>
      </c>
      <c r="AR4" s="15" t="s">
        <v>1</v>
      </c>
      <c r="AS4" s="2" t="s">
        <v>0</v>
      </c>
      <c r="AT4" s="16" t="s">
        <v>126</v>
      </c>
      <c r="AU4" s="15" t="s">
        <v>1</v>
      </c>
      <c r="AV4" s="2" t="s">
        <v>0</v>
      </c>
      <c r="AW4" s="16" t="s">
        <v>126</v>
      </c>
      <c r="AX4" s="15" t="s">
        <v>1</v>
      </c>
      <c r="AY4" s="2" t="s">
        <v>0</v>
      </c>
      <c r="AZ4" s="16" t="s">
        <v>126</v>
      </c>
      <c r="BA4" s="104" t="s">
        <v>125</v>
      </c>
      <c r="BB4" s="37" t="s">
        <v>121</v>
      </c>
      <c r="BC4" s="105" t="s">
        <v>119</v>
      </c>
      <c r="BD4" s="106" t="s">
        <v>161</v>
      </c>
      <c r="BE4" s="107" t="s">
        <v>120</v>
      </c>
      <c r="BF4" s="186"/>
      <c r="BG4" s="186"/>
      <c r="BH4" s="198"/>
      <c r="BI4" s="143" t="s">
        <v>160</v>
      </c>
      <c r="BJ4" s="58" t="s">
        <v>159</v>
      </c>
      <c r="BK4" s="86" t="s">
        <v>170</v>
      </c>
      <c r="BL4" s="83"/>
      <c r="BM4" s="182"/>
      <c r="BN4" s="182"/>
    </row>
    <row r="5" spans="1:66" s="1" customFormat="1" ht="12.75" customHeight="1" x14ac:dyDescent="0.25">
      <c r="A5" s="12" t="s">
        <v>138</v>
      </c>
      <c r="B5" s="12" t="s">
        <v>139</v>
      </c>
      <c r="C5" s="12" t="s">
        <v>140</v>
      </c>
      <c r="D5" s="12" t="s">
        <v>141</v>
      </c>
      <c r="E5" s="12" t="s">
        <v>142</v>
      </c>
      <c r="F5" s="12" t="s">
        <v>143</v>
      </c>
      <c r="G5" s="12" t="s">
        <v>249</v>
      </c>
      <c r="H5" s="142" t="s">
        <v>144</v>
      </c>
      <c r="I5" s="12" t="s">
        <v>145</v>
      </c>
      <c r="J5" s="12" t="s">
        <v>146</v>
      </c>
      <c r="K5" s="149" t="s">
        <v>147</v>
      </c>
      <c r="L5" s="12" t="s">
        <v>250</v>
      </c>
      <c r="M5" s="12" t="s">
        <v>251</v>
      </c>
      <c r="N5" s="12" t="s">
        <v>252</v>
      </c>
      <c r="O5" s="149" t="s">
        <v>148</v>
      </c>
      <c r="P5" s="142"/>
      <c r="Q5" s="55" t="s">
        <v>150</v>
      </c>
      <c r="R5" s="40" t="s">
        <v>253</v>
      </c>
      <c r="S5" s="55" t="s">
        <v>254</v>
      </c>
      <c r="T5" s="55" t="s">
        <v>255</v>
      </c>
      <c r="U5" s="40" t="s">
        <v>256</v>
      </c>
      <c r="V5" s="55" t="s">
        <v>257</v>
      </c>
      <c r="W5" s="55" t="s">
        <v>258</v>
      </c>
      <c r="X5" s="40" t="s">
        <v>151</v>
      </c>
      <c r="Y5" s="55" t="s">
        <v>152</v>
      </c>
      <c r="Z5" s="55" t="s">
        <v>153</v>
      </c>
      <c r="AA5" s="40" t="s">
        <v>154</v>
      </c>
      <c r="AB5" s="55" t="s">
        <v>155</v>
      </c>
      <c r="AC5" s="55" t="s">
        <v>118</v>
      </c>
      <c r="AD5" s="40" t="s">
        <v>156</v>
      </c>
      <c r="AE5" s="55" t="s">
        <v>259</v>
      </c>
      <c r="AF5" s="55"/>
      <c r="AG5" s="40"/>
      <c r="AH5" s="55"/>
      <c r="AI5" s="55" t="s">
        <v>148</v>
      </c>
      <c r="AJ5" s="40" t="s">
        <v>149</v>
      </c>
      <c r="AK5" s="55" t="s">
        <v>150</v>
      </c>
      <c r="AL5" s="55"/>
      <c r="AM5" s="40"/>
      <c r="AN5" s="55"/>
      <c r="AO5" s="55"/>
      <c r="AP5" s="40"/>
      <c r="AQ5" s="55"/>
      <c r="AR5" s="55"/>
      <c r="AS5" s="40"/>
      <c r="AT5" s="55"/>
      <c r="AU5" s="55"/>
      <c r="AV5" s="40"/>
      <c r="AW5" s="55"/>
      <c r="AX5" s="136"/>
      <c r="AY5" s="136"/>
      <c r="AZ5" s="136"/>
      <c r="BA5" s="27" t="s">
        <v>151</v>
      </c>
      <c r="BB5" s="12" t="s">
        <v>152</v>
      </c>
      <c r="BC5" s="27" t="s">
        <v>153</v>
      </c>
      <c r="BD5" s="40" t="s">
        <v>154</v>
      </c>
      <c r="BE5" s="108" t="s">
        <v>155</v>
      </c>
      <c r="BF5" s="91"/>
      <c r="BG5" s="91" t="s">
        <v>118</v>
      </c>
      <c r="BH5" s="4" t="s">
        <v>156</v>
      </c>
      <c r="BI5" s="144"/>
      <c r="BJ5" s="59"/>
      <c r="BK5" s="87"/>
      <c r="BL5" s="82"/>
      <c r="BM5" s="80"/>
      <c r="BN5" s="183"/>
    </row>
    <row r="6" spans="1:66" ht="24.95" customHeight="1" x14ac:dyDescent="0.25">
      <c r="A6" s="118">
        <f>[1]Юнит!A5</f>
        <v>169112569</v>
      </c>
      <c r="B6" s="118" t="str">
        <f>[1]Юнит!C5</f>
        <v>ACRF1BN101PN</v>
      </c>
      <c r="C6" s="119" t="str">
        <f>[1]Юнит!D5</f>
        <v>Бандаж для лица розовый</v>
      </c>
      <c r="D6" s="120">
        <f>[1]Юнит!E5</f>
        <v>2038161736993</v>
      </c>
      <c r="E6" s="50">
        <v>746</v>
      </c>
      <c r="F6" s="6">
        <v>0.4</v>
      </c>
      <c r="G6" s="150" t="s">
        <v>394</v>
      </c>
      <c r="H6" s="54">
        <v>0.21980973835251</v>
      </c>
      <c r="I6" s="71">
        <f>_xlfn.XLOOKUP(D6,[1]Юнит!$E:$E,[1]Юнит!$AN:$AN)</f>
        <v>829</v>
      </c>
      <c r="J6" s="6">
        <f>$J$4</f>
        <v>0.3</v>
      </c>
      <c r="K6" s="153">
        <f t="shared" ref="K6:K13" si="0">I6/(100%-$J$4)</f>
        <v>1184.2857142857144</v>
      </c>
      <c r="L6" s="54">
        <f>_xlfn.XLOOKUP(D6,[1]Юнит!$E:$E,[1]Юнит!$AR:$AR)</f>
        <v>0.29258595898673095</v>
      </c>
      <c r="M6" s="50">
        <f t="shared" ref="M6" si="1">MROUND(O6-O6*N6,1)</f>
        <v>746</v>
      </c>
      <c r="N6" s="6">
        <f>_xlfn.XLOOKUP($A6,'Текущая цена на ВБ'!$C:$C,'Текущая цена на ВБ'!$K:$K,0,0)%</f>
        <v>0.4</v>
      </c>
      <c r="O6" s="150" t="str">
        <f>_xlfn.XLOOKUP($A6,'Текущая цена на ВБ'!$C:$C,'Текущая цена на ВБ'!$I:$I,0)</f>
        <v>1243</v>
      </c>
      <c r="P6" s="54">
        <f>_xlfn.XLOOKUP($A6,[1]Юнит!$A:$A,[1]Юнит!$AJ:$AJ,0)</f>
        <v>0.22147728613569312</v>
      </c>
      <c r="Q6" s="50">
        <f>_xlfn.XLOOKUP($A6,'Акция 1'!$F:$F,'Акция 1'!$L:$L,0,0)</f>
        <v>746</v>
      </c>
      <c r="R6" s="6">
        <f>(_xlfn.XLOOKUP($A6,'Акция 1'!$F:$F,'Акция 1'!$P:$P,0,0))%</f>
        <v>0.41</v>
      </c>
      <c r="S6" s="13">
        <f>Q6/(100%-R6)</f>
        <v>1264.4067796610168</v>
      </c>
      <c r="T6" s="50">
        <f>_xlfn.XLOOKUP($A6,'Акция 2'!$F:$F,'Акция 2'!$L:$L,0,0)</f>
        <v>0</v>
      </c>
      <c r="U6" s="6">
        <f>(_xlfn.XLOOKUP($A6,'Акция 2'!$F:$F,'Акция 2'!$O:$O,0,0))%</f>
        <v>0</v>
      </c>
      <c r="V6" s="13">
        <f>T6/(100%-U6)</f>
        <v>0</v>
      </c>
      <c r="W6" s="50">
        <f>_xlfn.XLOOKUP($A6,'Акция 3'!$F:$F,'Акция 3'!$L:$L,0,0)</f>
        <v>594</v>
      </c>
      <c r="X6" s="6">
        <f>(_xlfn.XLOOKUP($A6,'Акция 3'!$F:$F,'Акция 3'!$P:$P,0,0))%</f>
        <v>0.53</v>
      </c>
      <c r="Y6" s="13">
        <f>W6/(100%-X6)</f>
        <v>1263.8297872340427</v>
      </c>
      <c r="Z6" s="50">
        <f>_xlfn.XLOOKUP($A6,'Акция 4'!$F:$F,'Акция 4'!$L:$L,0,0)</f>
        <v>0</v>
      </c>
      <c r="AA6" s="6">
        <f>(_xlfn.XLOOKUP($A6,'Акция 4'!$F:$F,'Акция 4'!$P:$P,0,0))%</f>
        <v>0</v>
      </c>
      <c r="AB6" s="13">
        <f>Z6/(100%-AA6)</f>
        <v>0</v>
      </c>
      <c r="AC6" s="50">
        <f>_xlfn.XLOOKUP($A6,'Акция 5'!$F:$F,'Акция 5'!$L:$L,0,0)</f>
        <v>0</v>
      </c>
      <c r="AD6" s="6">
        <f>(_xlfn.XLOOKUP($A6,'Акция 5'!$F:$F,'Акция 5'!O:O,0,0))%</f>
        <v>0</v>
      </c>
      <c r="AE6" s="13">
        <f>AC6/(100%-AD6)</f>
        <v>0</v>
      </c>
      <c r="AF6" s="50">
        <f>_xlfn.XLOOKUP($A6,'Акция 6'!$F:$F,'Акция 6'!$L:$L,0,0)</f>
        <v>0</v>
      </c>
      <c r="AG6" s="6">
        <f>(_xlfn.XLOOKUP($A6,'Акция 6'!$F:$F,'Акция 6'!$O:$O,0,0))%</f>
        <v>0</v>
      </c>
      <c r="AH6" s="13">
        <f t="shared" ref="AH6" si="2">AF6/(100%-AG6)</f>
        <v>0</v>
      </c>
      <c r="AI6" s="50">
        <f>_xlfn.XLOOKUP($A6,'Акция 7'!$F:$F,'Акция 7'!$L:$L,0,0)</f>
        <v>0</v>
      </c>
      <c r="AJ6" s="6">
        <f>(_xlfn.XLOOKUP($A6,'Акция 7'!$F:$F,'Акция 7'!$O:$O,0,0))%</f>
        <v>0</v>
      </c>
      <c r="AK6" s="13">
        <f t="shared" ref="AK6" si="3">AI6/(100%-AJ6)</f>
        <v>0</v>
      </c>
      <c r="AL6" s="50">
        <f>_xlfn.XLOOKUP($A6,'Акция 8'!$F:$F,'Акция 8'!$L:$L,0,0)</f>
        <v>0</v>
      </c>
      <c r="AM6" s="6">
        <f>(_xlfn.XLOOKUP($A6,'Акция 8'!$F:$F,'Акция 8'!$S:$S,0,0))%</f>
        <v>0</v>
      </c>
      <c r="AN6" s="13">
        <f t="shared" ref="AN6" si="4">AL6/(100%-AM6)</f>
        <v>0</v>
      </c>
      <c r="AO6" s="50">
        <f>_xlfn.XLOOKUP($A6,'Акция 9'!$F:$F,'Акция 9'!$L:$L,0,0)</f>
        <v>0</v>
      </c>
      <c r="AP6" s="6">
        <f>(_xlfn.XLOOKUP($A6,'Акция 9'!$F:$F,'Акция 9'!$O:$O,0,0))%</f>
        <v>0</v>
      </c>
      <c r="AQ6" s="13">
        <f t="shared" ref="AQ6" si="5">AO6/(100%-AP6)</f>
        <v>0</v>
      </c>
      <c r="AR6" s="50">
        <f>_xlfn.XLOOKUP($A6,'Акция 10'!$F:$F,'Акция 10'!$L:$L,0,0)</f>
        <v>0</v>
      </c>
      <c r="AS6" s="6">
        <f>(_xlfn.XLOOKUP($A6,'Акция 10'!$F:$F,'Акция 10'!$O:$O,0,0))%</f>
        <v>0</v>
      </c>
      <c r="AT6" s="13">
        <f t="shared" ref="AT6" si="6">AR6/(100%-AS6)</f>
        <v>0</v>
      </c>
      <c r="AU6" s="50">
        <f>_xlfn.XLOOKUP($A6,'Акция 11'!$F:$F,'Акция 11'!$L:$L,0,0)</f>
        <v>0</v>
      </c>
      <c r="AV6" s="6">
        <f>(_xlfn.XLOOKUP($A6,'Акция 11'!$F:$F,'Акция 11'!$O:$O,0,0))%</f>
        <v>0</v>
      </c>
      <c r="AW6" s="13">
        <f t="shared" ref="AW6" si="7">AU6/(100%-AV6)</f>
        <v>0</v>
      </c>
      <c r="AX6" s="50"/>
      <c r="AY6" s="6"/>
      <c r="AZ6" s="13"/>
      <c r="BA6" s="17">
        <f>MAX($Q6,$T6,W6,Z6,AC6,AF6,AL6,AO6,AR6,AU6,AX6,AI6)</f>
        <v>746</v>
      </c>
      <c r="BB6" s="38">
        <f t="shared" ref="BB6:BB37" si="8">IF(BA6=0,0,_xlfn.XLOOKUP($BA6,$Q6:$AZ6,$Q$1:$AZ$1,0,0))</f>
        <v>1</v>
      </c>
      <c r="BC6" s="33">
        <f>_xlfn.XLOOKUP($BB6,$Q$1:$AZ$1,$Q6:$AZ6,0,0)</f>
        <v>746</v>
      </c>
      <c r="BD6" s="5">
        <f>IF(BA6=0,0,$BD$3)</f>
        <v>0.4</v>
      </c>
      <c r="BE6" s="53">
        <f>BC6/(100%-BD6)</f>
        <v>1243.3333333333335</v>
      </c>
      <c r="BF6" s="54">
        <f>_xlfn.XLOOKUP(A6,[1]Юнит!$A:$A,[1]Юнит!$AU:$AU,0)</f>
        <v>0.2216672386058981</v>
      </c>
      <c r="BG6" s="54">
        <f>P6</f>
        <v>0.22147728613569312</v>
      </c>
      <c r="BH6" s="5" t="s">
        <v>287</v>
      </c>
      <c r="BI6" s="78">
        <f>MROUND(IF($BH6="*",$BE6,K6),1)</f>
        <v>1243</v>
      </c>
      <c r="BJ6" s="85">
        <f>IF($BH6="*",$BD6,J6)</f>
        <v>0.4</v>
      </c>
      <c r="BK6" s="88">
        <f>MROUND(BI6-BI6*BJ6,1)</f>
        <v>746</v>
      </c>
      <c r="BL6" s="79">
        <f>IF(BH6="*",1,0)</f>
        <v>1</v>
      </c>
      <c r="BM6" s="81">
        <f>_xlfn.XLOOKUP(A6,'Текущая цена на ВБ'!C:C,'Текущая цена на ВБ'!F:F)</f>
        <v>128</v>
      </c>
      <c r="BN6" s="84">
        <f>_xlfn.XLOOKUP(A6,'Текущая цена на ВБ'!C:C,'Текущая цена на ВБ'!H:H)</f>
        <v>984</v>
      </c>
    </row>
    <row r="7" spans="1:66" ht="24.95" customHeight="1" x14ac:dyDescent="0.25">
      <c r="A7" s="121">
        <f>[1]Юнит!A6</f>
        <v>169153168</v>
      </c>
      <c r="B7" s="121" t="str">
        <f>[1]Юнит!C6</f>
        <v>ACRF1BN101BC</v>
      </c>
      <c r="C7" s="122" t="str">
        <f>[1]Юнит!D6</f>
        <v>Бандаж для лица черный</v>
      </c>
      <c r="D7" s="123">
        <f>[1]Юнит!E6</f>
        <v>2038162681926</v>
      </c>
      <c r="E7" s="50">
        <v>746</v>
      </c>
      <c r="F7" s="6">
        <v>0.4</v>
      </c>
      <c r="G7" s="150" t="s">
        <v>394</v>
      </c>
      <c r="H7" s="54">
        <v>0.2477496339185277</v>
      </c>
      <c r="I7" s="71">
        <f>_xlfn.XLOOKUP(D7,[1]Юнит!$E:$E,[1]Юнит!$AN:$AN)</f>
        <v>829</v>
      </c>
      <c r="J7" s="6">
        <f t="shared" ref="J7:J70" si="9">$J$4</f>
        <v>0.3</v>
      </c>
      <c r="K7" s="153">
        <f t="shared" si="0"/>
        <v>1184.2857142857144</v>
      </c>
      <c r="L7" s="54">
        <f>_xlfn.XLOOKUP(D7,[1]Юнит!$E:$E,[1]Юнит!$AR:$AR)</f>
        <v>0.31760109684802124</v>
      </c>
      <c r="M7" s="50">
        <f t="shared" ref="M7:M19" si="10">MROUND(O7-O7*N7,1)</f>
        <v>746</v>
      </c>
      <c r="N7" s="6">
        <f>_xlfn.XLOOKUP($A7,'Текущая цена на ВБ'!$C:$C,'Текущая цена на ВБ'!$K:$K,0,0)%</f>
        <v>0.4</v>
      </c>
      <c r="O7" s="150" t="str">
        <f>_xlfn.XLOOKUP($A7,'Текущая цена на ВБ'!$C:$C,'Текущая цена на ВБ'!$I:$I,0)</f>
        <v>1243</v>
      </c>
      <c r="P7" s="54">
        <f>_xlfn.XLOOKUP($A7,[1]Юнит!$A:$A,[1]Юнит!$AJ:$AJ,0)</f>
        <v>0.24928306420891602</v>
      </c>
      <c r="Q7" s="50">
        <f>_xlfn.XLOOKUP($A7,'Акция 1'!$F:$F,'Акция 1'!$L:$L,0,0)</f>
        <v>746</v>
      </c>
      <c r="R7" s="6">
        <f>(_xlfn.XLOOKUP($A7,'Акция 1'!$F:$F,'Акция 1'!$P:$P,0,0))%</f>
        <v>0.41</v>
      </c>
      <c r="S7" s="13">
        <f t="shared" ref="S7:S19" si="11">Q7/(100%-R7)</f>
        <v>1264.4067796610168</v>
      </c>
      <c r="T7" s="50">
        <f>_xlfn.XLOOKUP($A7,'Акция 2'!$F:$F,'Акция 2'!$L:$L,0,0)</f>
        <v>0</v>
      </c>
      <c r="U7" s="6">
        <f>(_xlfn.XLOOKUP($A7,'Акция 2'!$F:$F,'Акция 2'!$O:$O,0,0))%</f>
        <v>0</v>
      </c>
      <c r="V7" s="13">
        <f t="shared" ref="V7:V19" si="12">T7/(100%-U7)</f>
        <v>0</v>
      </c>
      <c r="W7" s="50">
        <f>_xlfn.XLOOKUP($A7,'Акция 3'!$F:$F,'Акция 3'!$L:$L,0,0)</f>
        <v>562</v>
      </c>
      <c r="X7" s="6">
        <f>(_xlfn.XLOOKUP($A7,'Акция 3'!$F:$F,'Акция 3'!$P:$P,0,0))%</f>
        <v>0.56000000000000005</v>
      </c>
      <c r="Y7" s="13">
        <f t="shared" ref="Y7:Y70" si="13">W7/(100%-X7)</f>
        <v>1277.2727272727275</v>
      </c>
      <c r="Z7" s="50">
        <f>_xlfn.XLOOKUP($A7,'Акция 4'!$F:$F,'Акция 4'!$L:$L,0,0)</f>
        <v>0</v>
      </c>
      <c r="AA7" s="6">
        <f>(_xlfn.XLOOKUP($A7,'Акция 4'!$F:$F,'Акция 4'!$P:$P,0,0))%</f>
        <v>0</v>
      </c>
      <c r="AB7" s="13">
        <f t="shared" ref="AB7:AB19" si="14">Z7/(100%-AA7)</f>
        <v>0</v>
      </c>
      <c r="AC7" s="50">
        <f>_xlfn.XLOOKUP($A7,'Акция 5'!$F:$F,'Акция 5'!$L:$L,0,0)</f>
        <v>0</v>
      </c>
      <c r="AD7" s="6">
        <f>(_xlfn.XLOOKUP($A7,'Акция 5'!$F:$F,'Акция 5'!O:O,0,0))%</f>
        <v>0</v>
      </c>
      <c r="AE7" s="13">
        <f t="shared" ref="AE7:AE70" si="15">AC7/(100%-AD7)</f>
        <v>0</v>
      </c>
      <c r="AF7" s="50">
        <f>_xlfn.XLOOKUP($A7,'Акция 6'!$F:$F,'Акция 6'!$L:$L,0,0)</f>
        <v>0</v>
      </c>
      <c r="AG7" s="6">
        <f>(_xlfn.XLOOKUP($A7,'Акция 6'!$F:$F,'Акция 6'!$O:$O,0,0))%</f>
        <v>0</v>
      </c>
      <c r="AH7" s="13">
        <f t="shared" ref="AH7:AH70" si="16">AF7/(100%-AG7)</f>
        <v>0</v>
      </c>
      <c r="AI7" s="50">
        <f>_xlfn.XLOOKUP($A7,'Акция 7'!$F:$F,'Акция 7'!$L:$L,0,0)</f>
        <v>0</v>
      </c>
      <c r="AJ7" s="6">
        <f>(_xlfn.XLOOKUP($A7,'Акция 7'!$F:$F,'Акция 7'!$O:$O,0,0))%</f>
        <v>0</v>
      </c>
      <c r="AK7" s="13">
        <f t="shared" ref="AK7:AK70" si="17">AI7/(100%-AJ7)</f>
        <v>0</v>
      </c>
      <c r="AL7" s="50">
        <f>_xlfn.XLOOKUP($A7,'Акция 8'!$F:$F,'Акция 8'!$L:$L,0,0)</f>
        <v>0</v>
      </c>
      <c r="AM7" s="6">
        <f>(_xlfn.XLOOKUP($A7,'Акция 8'!$F:$F,'Акция 8'!$S:$S,0,0))%</f>
        <v>0</v>
      </c>
      <c r="AN7" s="13">
        <f t="shared" ref="AN7:AN70" si="18">AL7/(100%-AM7)</f>
        <v>0</v>
      </c>
      <c r="AO7" s="50">
        <f>_xlfn.XLOOKUP($A7,'Акция 9'!$F:$F,'Акция 9'!$L:$L,0,0)</f>
        <v>0</v>
      </c>
      <c r="AP7" s="6">
        <f>(_xlfn.XLOOKUP($A7,'Акция 9'!$F:$F,'Акция 9'!$O:$O,0,0))%</f>
        <v>0</v>
      </c>
      <c r="AQ7" s="13">
        <f t="shared" ref="AQ7:AQ70" si="19">AO7/(100%-AP7)</f>
        <v>0</v>
      </c>
      <c r="AR7" s="50">
        <f>_xlfn.XLOOKUP($A7,'Акция 10'!$F:$F,'Акция 10'!$L:$L,0,0)</f>
        <v>0</v>
      </c>
      <c r="AS7" s="6">
        <f>(_xlfn.XLOOKUP($A7,'Акция 10'!$F:$F,'Акция 10'!$O:$O,0,0))%</f>
        <v>0</v>
      </c>
      <c r="AT7" s="13">
        <f t="shared" ref="AT7:AT70" si="20">AR7/(100%-AS7)</f>
        <v>0</v>
      </c>
      <c r="AU7" s="50">
        <f>_xlfn.XLOOKUP($A7,'Акция 11'!$F:$F,'Акция 11'!$L:$L,0,0)</f>
        <v>0</v>
      </c>
      <c r="AV7" s="6">
        <f>(_xlfn.XLOOKUP($A7,'Акция 11'!$F:$F,'Акция 11'!$O:$O,0,0))%</f>
        <v>0</v>
      </c>
      <c r="AW7" s="13">
        <f t="shared" ref="AW7:AW70" si="21">AU7/(100%-AV7)</f>
        <v>0</v>
      </c>
      <c r="AX7" s="50"/>
      <c r="AY7" s="6"/>
      <c r="AZ7" s="13"/>
      <c r="BA7" s="17">
        <f t="shared" ref="BA7:BA70" si="22">MAX($Q7,$T7,W7,Z7,AC7,AF7,AL7,AO7,AR7,AU7,AX7,AI7)</f>
        <v>746</v>
      </c>
      <c r="BB7" s="38">
        <f t="shared" si="8"/>
        <v>1</v>
      </c>
      <c r="BC7" s="33">
        <f t="shared" ref="BC7:BC37" si="23">_xlfn.XLOOKUP($BB7,$Q$1:$AZ$1,$Q7:$AZ7,0,0)</f>
        <v>746</v>
      </c>
      <c r="BD7" s="5">
        <f t="shared" ref="BD7:BD70" si="24">IF(BA7=0,0,$BD$3)</f>
        <v>0.4</v>
      </c>
      <c r="BE7" s="53">
        <f t="shared" ref="BE7:BE70" si="25">BC7/(100%-BD7)</f>
        <v>1243.3333333333335</v>
      </c>
      <c r="BF7" s="54">
        <f>_xlfn.XLOOKUP(A7,[1]Юнит!$A:$A,[1]Юнит!$AU:$AU,0)</f>
        <v>0.2494655620469298</v>
      </c>
      <c r="BG7" s="54">
        <f t="shared" ref="BG7:BG70" si="26">P7</f>
        <v>0.24928306420891602</v>
      </c>
      <c r="BH7" s="5" t="s">
        <v>287</v>
      </c>
      <c r="BI7" s="78">
        <f>MROUND(IF($BH7="*",$BE7,K7),1)</f>
        <v>1243</v>
      </c>
      <c r="BJ7" s="85">
        <f t="shared" ref="BJ7:BJ69" si="27">IF($BH7="*",$BD7,J7)</f>
        <v>0.4</v>
      </c>
      <c r="BK7" s="88">
        <f>MROUND(BI7-BI7*BJ7,1)</f>
        <v>746</v>
      </c>
      <c r="BL7" s="79">
        <f t="shared" ref="BL7:BL70" si="28">IF(BH7="*",1,0)</f>
        <v>1</v>
      </c>
      <c r="BM7" s="81">
        <f>_xlfn.XLOOKUP(A7,'Текущая цена на ВБ'!C:C,'Текущая цена на ВБ'!F:F)</f>
        <v>216</v>
      </c>
      <c r="BN7" s="84">
        <f>_xlfn.XLOOKUP(A7,'Текущая цена на ВБ'!C:C,'Текущая цена на ВБ'!H:H)</f>
        <v>999</v>
      </c>
    </row>
    <row r="8" spans="1:66" ht="24.95" customHeight="1" x14ac:dyDescent="0.25">
      <c r="A8" s="121">
        <f>[1]Юнит!A7</f>
        <v>169395410</v>
      </c>
      <c r="B8" s="121" t="str">
        <f>[1]Юнит!C7</f>
        <v>ACRF1BN201GR</v>
      </c>
      <c r="C8" s="122" t="str">
        <f>[1]Юнит!D7</f>
        <v>Бандаж для лица серый</v>
      </c>
      <c r="D8" s="123">
        <f>[1]Юнит!E7</f>
        <v>2038172050200</v>
      </c>
      <c r="E8" s="50">
        <v>1045</v>
      </c>
      <c r="F8" s="6">
        <v>0.4</v>
      </c>
      <c r="G8" s="150" t="s">
        <v>395</v>
      </c>
      <c r="H8" s="54">
        <v>0.2271254139787704</v>
      </c>
      <c r="I8" s="71">
        <f>_xlfn.XLOOKUP(D8,[1]Юнит!$E:$E,[1]Юнит!$AN:$AN)</f>
        <v>1159</v>
      </c>
      <c r="J8" s="6">
        <f t="shared" si="9"/>
        <v>0.3</v>
      </c>
      <c r="K8" s="153">
        <f t="shared" si="0"/>
        <v>1655.7142857142858</v>
      </c>
      <c r="L8" s="54">
        <f>_xlfn.XLOOKUP(D8,[1]Юнит!$E:$E,[1]Юнит!$AR:$AR)</f>
        <v>0.29670269706278835</v>
      </c>
      <c r="M8" s="50">
        <f t="shared" si="10"/>
        <v>1045</v>
      </c>
      <c r="N8" s="6">
        <f>_xlfn.XLOOKUP($A8,'Текущая цена на ВБ'!$C:$C,'Текущая цена на ВБ'!$K:$K,0,0)%</f>
        <v>0.4</v>
      </c>
      <c r="O8" s="150" t="str">
        <f>_xlfn.XLOOKUP($A8,'Текущая цена на ВБ'!$C:$C,'Текущая цена на ВБ'!$I:$I,0)</f>
        <v>1742</v>
      </c>
      <c r="P8" s="54">
        <f>_xlfn.XLOOKUP($A8,[1]Юнит!$A:$A,[1]Юнит!$AJ:$AJ,0)</f>
        <v>0.22775012045136964</v>
      </c>
      <c r="Q8" s="50">
        <f>_xlfn.XLOOKUP($A8,'Акция 1'!$F:$F,'Акция 1'!$L:$L,0,0)</f>
        <v>1045</v>
      </c>
      <c r="R8" s="6">
        <f>(_xlfn.XLOOKUP($A8,'Акция 1'!$F:$F,'Акция 1'!$P:$P,0,0))%</f>
        <v>0.37</v>
      </c>
      <c r="S8" s="13">
        <f t="shared" si="11"/>
        <v>1658.7301587301588</v>
      </c>
      <c r="T8" s="50">
        <f>_xlfn.XLOOKUP($A8,'Акция 2'!$F:$F,'Акция 2'!$L:$L,0,0)</f>
        <v>0</v>
      </c>
      <c r="U8" s="6">
        <f>(_xlfn.XLOOKUP($A8,'Акция 2'!$F:$F,'Акция 2'!$O:$O,0,0))%</f>
        <v>0</v>
      </c>
      <c r="V8" s="13">
        <f t="shared" si="12"/>
        <v>0</v>
      </c>
      <c r="W8" s="50">
        <f>_xlfn.XLOOKUP($A8,'Акция 3'!$F:$F,'Акция 3'!$L:$L,0,0)</f>
        <v>1011</v>
      </c>
      <c r="X8" s="6">
        <f>(_xlfn.XLOOKUP($A8,'Акция 3'!$F:$F,'Акция 3'!$P:$P,0,0))%</f>
        <v>0.39</v>
      </c>
      <c r="Y8" s="13">
        <f t="shared" si="13"/>
        <v>1657.377049180328</v>
      </c>
      <c r="Z8" s="50">
        <f>_xlfn.XLOOKUP($A8,'Акция 4'!$F:$F,'Акция 4'!$L:$L,0,0)</f>
        <v>0</v>
      </c>
      <c r="AA8" s="6">
        <f>(_xlfn.XLOOKUP($A8,'Акция 4'!$F:$F,'Акция 4'!$P:$P,0,0))%</f>
        <v>0</v>
      </c>
      <c r="AB8" s="13">
        <f t="shared" si="14"/>
        <v>0</v>
      </c>
      <c r="AC8" s="50">
        <f>_xlfn.XLOOKUP($A8,'Акция 5'!$F:$F,'Акция 5'!$L:$L,0,0)</f>
        <v>0</v>
      </c>
      <c r="AD8" s="6">
        <f>(_xlfn.XLOOKUP($A8,'Акция 5'!$F:$F,'Акция 5'!O:O,0,0))%</f>
        <v>0</v>
      </c>
      <c r="AE8" s="13">
        <f t="shared" si="15"/>
        <v>0</v>
      </c>
      <c r="AF8" s="50">
        <f>_xlfn.XLOOKUP($A8,'Акция 6'!$F:$F,'Акция 6'!$L:$L,0,0)</f>
        <v>0</v>
      </c>
      <c r="AG8" s="6">
        <f>(_xlfn.XLOOKUP($A8,'Акция 6'!$F:$F,'Акция 6'!$O:$O,0,0))%</f>
        <v>0</v>
      </c>
      <c r="AH8" s="13">
        <f t="shared" si="16"/>
        <v>0</v>
      </c>
      <c r="AI8" s="50">
        <f>_xlfn.XLOOKUP($A8,'Акция 7'!$F:$F,'Акция 7'!$L:$L,0,0)</f>
        <v>0</v>
      </c>
      <c r="AJ8" s="6">
        <f>(_xlfn.XLOOKUP($A8,'Акция 7'!$F:$F,'Акция 7'!$O:$O,0,0))%</f>
        <v>0</v>
      </c>
      <c r="AK8" s="13">
        <f t="shared" si="17"/>
        <v>0</v>
      </c>
      <c r="AL8" s="50">
        <f>_xlfn.XLOOKUP($A8,'Акция 8'!$F:$F,'Акция 8'!$L:$L,0,0)</f>
        <v>0</v>
      </c>
      <c r="AM8" s="6">
        <f>(_xlfn.XLOOKUP($A8,'Акция 8'!$F:$F,'Акция 8'!$S:$S,0,0))%</f>
        <v>0</v>
      </c>
      <c r="AN8" s="13">
        <f t="shared" si="18"/>
        <v>0</v>
      </c>
      <c r="AO8" s="50">
        <f>_xlfn.XLOOKUP($A8,'Акция 9'!$F:$F,'Акция 9'!$L:$L,0,0)</f>
        <v>0</v>
      </c>
      <c r="AP8" s="6">
        <f>(_xlfn.XLOOKUP($A8,'Акция 9'!$F:$F,'Акция 9'!$O:$O,0,0))%</f>
        <v>0</v>
      </c>
      <c r="AQ8" s="13">
        <f t="shared" si="19"/>
        <v>0</v>
      </c>
      <c r="AR8" s="50">
        <f>_xlfn.XLOOKUP($A8,'Акция 10'!$F:$F,'Акция 10'!$L:$L,0,0)</f>
        <v>0</v>
      </c>
      <c r="AS8" s="6">
        <f>(_xlfn.XLOOKUP($A8,'Акция 10'!$F:$F,'Акция 10'!$O:$O,0,0))%</f>
        <v>0</v>
      </c>
      <c r="AT8" s="13">
        <f t="shared" si="20"/>
        <v>0</v>
      </c>
      <c r="AU8" s="50">
        <f>_xlfn.XLOOKUP($A8,'Акция 11'!$F:$F,'Акция 11'!$L:$L,0,0)</f>
        <v>0</v>
      </c>
      <c r="AV8" s="6">
        <f>(_xlfn.XLOOKUP($A8,'Акция 11'!$F:$F,'Акция 11'!$O:$O,0,0))%</f>
        <v>0</v>
      </c>
      <c r="AW8" s="13">
        <f t="shared" si="21"/>
        <v>0</v>
      </c>
      <c r="AX8" s="50"/>
      <c r="AY8" s="6"/>
      <c r="AZ8" s="13"/>
      <c r="BA8" s="17">
        <f t="shared" si="22"/>
        <v>1045</v>
      </c>
      <c r="BB8" s="38">
        <f t="shared" si="8"/>
        <v>1</v>
      </c>
      <c r="BC8" s="33">
        <f t="shared" si="23"/>
        <v>1045</v>
      </c>
      <c r="BD8" s="5">
        <f t="shared" si="24"/>
        <v>0.4</v>
      </c>
      <c r="BE8" s="53">
        <f t="shared" si="25"/>
        <v>1741.6666666666667</v>
      </c>
      <c r="BF8" s="54">
        <f>_xlfn.XLOOKUP(A8,[1]Юнит!$A:$A,[1]Юнит!$AU:$AU,0)</f>
        <v>0.22761571856054705</v>
      </c>
      <c r="BG8" s="54">
        <f t="shared" si="26"/>
        <v>0.22775012045136964</v>
      </c>
      <c r="BH8" s="5" t="s">
        <v>287</v>
      </c>
      <c r="BI8" s="78">
        <f t="shared" ref="BI8" si="29">MROUND(IF($BH8="*",$BE8,K8),1)</f>
        <v>1742</v>
      </c>
      <c r="BJ8" s="85">
        <f t="shared" si="27"/>
        <v>0.4</v>
      </c>
      <c r="BK8" s="88">
        <f t="shared" ref="BK8:BK70" si="30">MROUND(BI8-BI8*BJ8,1)</f>
        <v>1045</v>
      </c>
      <c r="BL8" s="79">
        <f t="shared" si="28"/>
        <v>1</v>
      </c>
      <c r="BM8" s="81">
        <f>_xlfn.XLOOKUP(A8,'Текущая цена на ВБ'!C:C,'Текущая цена на ВБ'!F:F)</f>
        <v>202</v>
      </c>
      <c r="BN8" s="84">
        <f>_xlfn.XLOOKUP(A8,'Текущая цена на ВБ'!C:C,'Текущая цена на ВБ'!H:H)</f>
        <v>999</v>
      </c>
    </row>
    <row r="9" spans="1:66" ht="24.95" customHeight="1" x14ac:dyDescent="0.25">
      <c r="A9" s="124">
        <f>[1]Юнит!A8</f>
        <v>172832355</v>
      </c>
      <c r="B9" s="124" t="str">
        <f>[1]Юнит!C8</f>
        <v>AHMA7BW101BG</v>
      </c>
      <c r="C9" s="125" t="str">
        <f>[1]Юнит!D8</f>
        <v>Мешки 7 шт.</v>
      </c>
      <c r="D9" s="126">
        <f>[1]Юнит!E8</f>
        <v>2038337652454</v>
      </c>
      <c r="E9" s="50">
        <v>2097</v>
      </c>
      <c r="F9" s="6">
        <v>0.4</v>
      </c>
      <c r="G9" s="150" t="s">
        <v>393</v>
      </c>
      <c r="H9" s="54">
        <v>0.267824596331184</v>
      </c>
      <c r="I9" s="71">
        <f>_xlfn.XLOOKUP(D9,[1]Юнит!$E:$E,[1]Юнит!$AN:$AN)</f>
        <v>2119</v>
      </c>
      <c r="J9" s="6">
        <f t="shared" si="9"/>
        <v>0.3</v>
      </c>
      <c r="K9" s="153">
        <f t="shared" si="0"/>
        <v>3027.1428571428573</v>
      </c>
      <c r="L9" s="54">
        <f>_xlfn.XLOOKUP(D9,[1]Юнит!$E:$E,[1]Юнит!$AR:$AR)</f>
        <v>0.27600049581651753</v>
      </c>
      <c r="M9" s="50">
        <f t="shared" si="10"/>
        <v>2097</v>
      </c>
      <c r="N9" s="6">
        <f>_xlfn.XLOOKUP($A9,'Текущая цена на ВБ'!$C:$C,'Текущая цена на ВБ'!$K:$K,0,0)%</f>
        <v>0.4</v>
      </c>
      <c r="O9" s="150" t="str">
        <f>_xlfn.XLOOKUP($A9,'Текущая цена на ВБ'!$C:$C,'Текущая цена на ВБ'!$I:$I,0)</f>
        <v>3495</v>
      </c>
      <c r="P9" s="54">
        <f>_xlfn.XLOOKUP($A9,[1]Юнит!$A:$A,[1]Юнит!$AJ:$AJ,0)</f>
        <v>0.26913927068917537</v>
      </c>
      <c r="Q9" s="50">
        <f>_xlfn.XLOOKUP($A9,'Акция 1'!$F:$F,'Акция 1'!$L:$L,0,0)</f>
        <v>2097</v>
      </c>
      <c r="R9" s="6">
        <f>(_xlfn.XLOOKUP($A9,'Акция 1'!$F:$F,'Акция 1'!$P:$P,0,0))%</f>
        <v>0.31</v>
      </c>
      <c r="S9" s="13">
        <f t="shared" si="11"/>
        <v>3039.130434782609</v>
      </c>
      <c r="T9" s="50">
        <f>_xlfn.XLOOKUP($A9,'Акция 2'!$F:$F,'Акция 2'!$L:$L,0,0)</f>
        <v>0</v>
      </c>
      <c r="U9" s="6">
        <f>(_xlfn.XLOOKUP($A9,'Акция 2'!$F:$F,'Акция 2'!$O:$O,0,0))%</f>
        <v>0</v>
      </c>
      <c r="V9" s="13">
        <f t="shared" si="12"/>
        <v>0</v>
      </c>
      <c r="W9" s="50">
        <f>_xlfn.XLOOKUP($A9,'Акция 3'!$F:$F,'Акция 3'!$L:$L,0,0)</f>
        <v>1101</v>
      </c>
      <c r="X9" s="6">
        <f>(_xlfn.XLOOKUP($A9,'Акция 3'!$F:$F,'Акция 3'!$P:$P,0,0))%</f>
        <v>0.64</v>
      </c>
      <c r="Y9" s="13">
        <f t="shared" si="13"/>
        <v>3058.3333333333335</v>
      </c>
      <c r="Z9" s="50">
        <f>_xlfn.XLOOKUP($A9,'Акция 4'!$F:$F,'Акция 4'!$L:$L,0,0)</f>
        <v>0</v>
      </c>
      <c r="AA9" s="6">
        <f>(_xlfn.XLOOKUP($A9,'Акция 4'!$F:$F,'Акция 4'!$P:$P,0,0))%</f>
        <v>0</v>
      </c>
      <c r="AB9" s="13">
        <f t="shared" si="14"/>
        <v>0</v>
      </c>
      <c r="AC9" s="50">
        <f>_xlfn.XLOOKUP($A9,'Акция 5'!$F:$F,'Акция 5'!$L:$L,0,0)</f>
        <v>0</v>
      </c>
      <c r="AD9" s="6">
        <f>(_xlfn.XLOOKUP($A9,'Акция 5'!$F:$F,'Акция 5'!O:O,0,0))%</f>
        <v>0</v>
      </c>
      <c r="AE9" s="13">
        <f t="shared" si="15"/>
        <v>0</v>
      </c>
      <c r="AF9" s="50">
        <f>_xlfn.XLOOKUP($A9,'Акция 6'!$F:$F,'Акция 6'!$L:$L,0,0)</f>
        <v>0</v>
      </c>
      <c r="AG9" s="6">
        <f>(_xlfn.XLOOKUP($A9,'Акция 6'!$F:$F,'Акция 6'!$O:$O,0,0))%</f>
        <v>0</v>
      </c>
      <c r="AH9" s="13">
        <f t="shared" si="16"/>
        <v>0</v>
      </c>
      <c r="AI9" s="50">
        <f>_xlfn.XLOOKUP($A9,'Акция 7'!$F:$F,'Акция 7'!$L:$L,0,0)</f>
        <v>0</v>
      </c>
      <c r="AJ9" s="6">
        <f>(_xlfn.XLOOKUP($A9,'Акция 7'!$F:$F,'Акция 7'!$O:$O,0,0))%</f>
        <v>0</v>
      </c>
      <c r="AK9" s="13">
        <f t="shared" si="17"/>
        <v>0</v>
      </c>
      <c r="AL9" s="50">
        <f>_xlfn.XLOOKUP($A9,'Акция 8'!$F:$F,'Акция 8'!$L:$L,0,0)</f>
        <v>0</v>
      </c>
      <c r="AM9" s="6">
        <f>(_xlfn.XLOOKUP($A9,'Акция 8'!$F:$F,'Акция 8'!$S:$S,0,0))%</f>
        <v>0</v>
      </c>
      <c r="AN9" s="13">
        <f t="shared" si="18"/>
        <v>0</v>
      </c>
      <c r="AO9" s="50">
        <f>_xlfn.XLOOKUP($A9,'Акция 9'!$F:$F,'Акция 9'!$L:$L,0,0)</f>
        <v>0</v>
      </c>
      <c r="AP9" s="6">
        <f>(_xlfn.XLOOKUP($A9,'Акция 9'!$F:$F,'Акция 9'!$O:$O,0,0))%</f>
        <v>0</v>
      </c>
      <c r="AQ9" s="13">
        <f t="shared" si="19"/>
        <v>0</v>
      </c>
      <c r="AR9" s="50">
        <f>_xlfn.XLOOKUP($A9,'Акция 10'!$F:$F,'Акция 10'!$L:$L,0,0)</f>
        <v>0</v>
      </c>
      <c r="AS9" s="6">
        <f>(_xlfn.XLOOKUP($A9,'Акция 10'!$F:$F,'Акция 10'!$O:$O,0,0))%</f>
        <v>0</v>
      </c>
      <c r="AT9" s="13">
        <f t="shared" si="20"/>
        <v>0</v>
      </c>
      <c r="AU9" s="50">
        <f>_xlfn.XLOOKUP($A9,'Акция 11'!$F:$F,'Акция 11'!$L:$L,0,0)</f>
        <v>0</v>
      </c>
      <c r="AV9" s="6">
        <f>(_xlfn.XLOOKUP($A9,'Акция 11'!$F:$F,'Акция 11'!$O:$O,0,0))%</f>
        <v>0</v>
      </c>
      <c r="AW9" s="13">
        <f t="shared" si="21"/>
        <v>0</v>
      </c>
      <c r="AX9" s="50"/>
      <c r="AY9" s="6"/>
      <c r="AZ9" s="13"/>
      <c r="BA9" s="17">
        <f t="shared" si="22"/>
        <v>2097</v>
      </c>
      <c r="BB9" s="38">
        <f t="shared" si="8"/>
        <v>1</v>
      </c>
      <c r="BC9" s="33">
        <f t="shared" si="23"/>
        <v>2097</v>
      </c>
      <c r="BD9" s="5">
        <f t="shared" si="24"/>
        <v>0.4</v>
      </c>
      <c r="BE9" s="53">
        <f t="shared" si="25"/>
        <v>3495</v>
      </c>
      <c r="BF9" s="54">
        <f>_xlfn.XLOOKUP(A9,[1]Юнит!$A:$A,[1]Юнит!$AU:$AU,0)</f>
        <v>0.26913927068917537</v>
      </c>
      <c r="BG9" s="54">
        <f t="shared" si="26"/>
        <v>0.26913927068917537</v>
      </c>
      <c r="BH9" s="5" t="s">
        <v>287</v>
      </c>
      <c r="BI9" s="78">
        <f t="shared" ref="BI9:BI37" si="31">MROUND(IF($BH9="*",$BE9,K9),1)</f>
        <v>3495</v>
      </c>
      <c r="BJ9" s="85">
        <f t="shared" si="27"/>
        <v>0.4</v>
      </c>
      <c r="BK9" s="88">
        <f>MROUND(BI9-BI9*BJ9,1)</f>
        <v>2097</v>
      </c>
      <c r="BL9" s="79">
        <f t="shared" si="28"/>
        <v>1</v>
      </c>
      <c r="BM9" s="81">
        <f>_xlfn.XLOOKUP(A9,'Текущая цена на ВБ'!C:C,'Текущая цена на ВБ'!F:F)</f>
        <v>139</v>
      </c>
      <c r="BN9" s="84">
        <f>_xlfn.XLOOKUP(A9,'Текущая цена на ВБ'!C:C,'Текущая цена на ВБ'!H:H)</f>
        <v>269</v>
      </c>
    </row>
    <row r="10" spans="1:66" ht="24.95" customHeight="1" x14ac:dyDescent="0.25">
      <c r="A10" s="124">
        <f>[1]Юнит!A9</f>
        <v>176500218</v>
      </c>
      <c r="B10" s="124" t="str">
        <f>[1]Юнит!C9</f>
        <v>AHMA1BW101BG</v>
      </c>
      <c r="C10" s="125" t="str">
        <f>[1]Юнит!D9</f>
        <v>Мешок для бюстгалтеров</v>
      </c>
      <c r="D10" s="126">
        <f>[1]Юнит!E9</f>
        <v>2038597850744</v>
      </c>
      <c r="E10" s="50">
        <v>539</v>
      </c>
      <c r="F10" s="6">
        <v>0.4</v>
      </c>
      <c r="G10" s="150" t="s">
        <v>387</v>
      </c>
      <c r="H10" s="54">
        <v>0.1392271968234732</v>
      </c>
      <c r="I10" s="71">
        <f>_xlfn.XLOOKUP(D10,[1]Юнит!$E:$E,[1]Юнит!$AN:$AN)</f>
        <v>599</v>
      </c>
      <c r="J10" s="6">
        <f t="shared" si="9"/>
        <v>0.3</v>
      </c>
      <c r="K10" s="153">
        <f t="shared" si="0"/>
        <v>855.71428571428578</v>
      </c>
      <c r="L10" s="54">
        <f>_xlfn.XLOOKUP(D10,[1]Юнит!$E:$E,[1]Юнит!$AR:$AR)</f>
        <v>0.26732668435812096</v>
      </c>
      <c r="M10" s="50">
        <f t="shared" si="10"/>
        <v>539</v>
      </c>
      <c r="N10" s="6">
        <f>_xlfn.XLOOKUP($A10,'Текущая цена на ВБ'!$C:$C,'Текущая цена на ВБ'!$K:$K,0,0)%</f>
        <v>0.4</v>
      </c>
      <c r="O10" s="150" t="str">
        <f>_xlfn.XLOOKUP($A10,'Текущая цена на ВБ'!$C:$C,'Текущая цена на ВБ'!$I:$I,0)</f>
        <v>898</v>
      </c>
      <c r="P10" s="54">
        <f>_xlfn.XLOOKUP($A10,[1]Юнит!$A:$A,[1]Юнит!$AJ:$AJ,0)</f>
        <v>0.19328634730978919</v>
      </c>
      <c r="Q10" s="50">
        <f>_xlfn.XLOOKUP($A10,'Акция 1'!$F:$F,'Акция 1'!$L:$L,0,0)</f>
        <v>539</v>
      </c>
      <c r="R10" s="6">
        <f>(_xlfn.XLOOKUP($A10,'Акция 1'!$F:$F,'Акция 1'!$P:$P,0,0))%</f>
        <v>0.4</v>
      </c>
      <c r="S10" s="13">
        <f t="shared" si="11"/>
        <v>898.33333333333337</v>
      </c>
      <c r="T10" s="50">
        <f>_xlfn.XLOOKUP($A10,'Акция 2'!$F:$F,'Акция 2'!$L:$L,0,0)</f>
        <v>0</v>
      </c>
      <c r="U10" s="6">
        <f>(_xlfn.XLOOKUP($A10,'Акция 2'!$F:$F,'Акция 2'!$O:$O,0,0))%</f>
        <v>0</v>
      </c>
      <c r="V10" s="13">
        <f t="shared" si="12"/>
        <v>0</v>
      </c>
      <c r="W10" s="50">
        <f>_xlfn.XLOOKUP($A10,'Акция 3'!$F:$F,'Акция 3'!$L:$L,0,0)</f>
        <v>475</v>
      </c>
      <c r="X10" s="6">
        <f>(_xlfn.XLOOKUP($A10,'Акция 3'!$F:$F,'Акция 3'!$P:$P,0,0))%</f>
        <v>0.4</v>
      </c>
      <c r="Y10" s="13">
        <f t="shared" si="13"/>
        <v>791.66666666666674</v>
      </c>
      <c r="Z10" s="50">
        <f>_xlfn.XLOOKUP($A10,'Акция 4'!$F:$F,'Акция 4'!$L:$L,0,0)</f>
        <v>0</v>
      </c>
      <c r="AA10" s="6">
        <f>(_xlfn.XLOOKUP($A10,'Акция 4'!$F:$F,'Акция 4'!$P:$P,0,0))%</f>
        <v>0</v>
      </c>
      <c r="AB10" s="13">
        <f t="shared" si="14"/>
        <v>0</v>
      </c>
      <c r="AC10" s="50">
        <f>_xlfn.XLOOKUP($A10,'Акция 5'!$F:$F,'Акция 5'!$L:$L,0,0)</f>
        <v>0</v>
      </c>
      <c r="AD10" s="6">
        <f>(_xlfn.XLOOKUP($A10,'Акция 5'!$F:$F,'Акция 5'!O:O,0,0))%</f>
        <v>0</v>
      </c>
      <c r="AE10" s="13">
        <f t="shared" si="15"/>
        <v>0</v>
      </c>
      <c r="AF10" s="50">
        <f>_xlfn.XLOOKUP($A10,'Акция 6'!$F:$F,'Акция 6'!$L:$L,0,0)</f>
        <v>0</v>
      </c>
      <c r="AG10" s="6">
        <f>(_xlfn.XLOOKUP($A10,'Акция 6'!$F:$F,'Акция 6'!$O:$O,0,0))%</f>
        <v>0</v>
      </c>
      <c r="AH10" s="13">
        <f t="shared" si="16"/>
        <v>0</v>
      </c>
      <c r="AI10" s="50">
        <f>_xlfn.XLOOKUP($A10,'Акция 7'!$F:$F,'Акция 7'!$L:$L,0,0)</f>
        <v>0</v>
      </c>
      <c r="AJ10" s="6">
        <f>(_xlfn.XLOOKUP($A10,'Акция 7'!$F:$F,'Акция 7'!$O:$O,0,0))%</f>
        <v>0</v>
      </c>
      <c r="AK10" s="13">
        <f t="shared" si="17"/>
        <v>0</v>
      </c>
      <c r="AL10" s="50">
        <f>_xlfn.XLOOKUP($A10,'Акция 8'!$F:$F,'Акция 8'!$L:$L,0,0)</f>
        <v>0</v>
      </c>
      <c r="AM10" s="6">
        <f>(_xlfn.XLOOKUP($A10,'Акция 8'!$F:$F,'Акция 8'!$S:$S,0,0))%</f>
        <v>0</v>
      </c>
      <c r="AN10" s="13">
        <f t="shared" si="18"/>
        <v>0</v>
      </c>
      <c r="AO10" s="50">
        <f>_xlfn.XLOOKUP($A10,'Акция 9'!$F:$F,'Акция 9'!$L:$L,0,0)</f>
        <v>0</v>
      </c>
      <c r="AP10" s="6">
        <f>(_xlfn.XLOOKUP($A10,'Акция 9'!$F:$F,'Акция 9'!$O:$O,0,0))%</f>
        <v>0</v>
      </c>
      <c r="AQ10" s="13">
        <f t="shared" si="19"/>
        <v>0</v>
      </c>
      <c r="AR10" s="50">
        <f>_xlfn.XLOOKUP($A10,'Акция 10'!$F:$F,'Акция 10'!$L:$L,0,0)</f>
        <v>0</v>
      </c>
      <c r="AS10" s="6">
        <f>(_xlfn.XLOOKUP($A10,'Акция 10'!$F:$F,'Акция 10'!$O:$O,0,0))%</f>
        <v>0</v>
      </c>
      <c r="AT10" s="13">
        <f t="shared" si="20"/>
        <v>0</v>
      </c>
      <c r="AU10" s="50">
        <f>_xlfn.XLOOKUP($A10,'Акция 11'!$F:$F,'Акция 11'!$L:$L,0,0)</f>
        <v>0</v>
      </c>
      <c r="AV10" s="6">
        <f>(_xlfn.XLOOKUP($A10,'Акция 11'!$F:$F,'Акция 11'!$O:$O,0,0))%</f>
        <v>0</v>
      </c>
      <c r="AW10" s="13">
        <f t="shared" si="21"/>
        <v>0</v>
      </c>
      <c r="AX10" s="50"/>
      <c r="AY10" s="6"/>
      <c r="AZ10" s="13"/>
      <c r="BA10" s="17">
        <f t="shared" si="22"/>
        <v>539</v>
      </c>
      <c r="BB10" s="38">
        <f t="shared" si="8"/>
        <v>1</v>
      </c>
      <c r="BC10" s="33">
        <f t="shared" si="23"/>
        <v>539</v>
      </c>
      <c r="BD10" s="5">
        <f t="shared" si="24"/>
        <v>0.4</v>
      </c>
      <c r="BE10" s="53">
        <f t="shared" si="25"/>
        <v>898.33333333333337</v>
      </c>
      <c r="BF10" s="54">
        <f>_xlfn.XLOOKUP(A10,[1]Юнит!$A:$A,[1]Юнит!$AU:$AU,0)</f>
        <v>0.19355971044622347</v>
      </c>
      <c r="BG10" s="54">
        <f t="shared" si="26"/>
        <v>0.19328634730978919</v>
      </c>
      <c r="BH10" s="5" t="s">
        <v>287</v>
      </c>
      <c r="BI10" s="78">
        <f t="shared" si="31"/>
        <v>898</v>
      </c>
      <c r="BJ10" s="85">
        <f t="shared" si="27"/>
        <v>0.4</v>
      </c>
      <c r="BK10" s="88">
        <f t="shared" si="30"/>
        <v>539</v>
      </c>
      <c r="BL10" s="79">
        <f t="shared" si="28"/>
        <v>1</v>
      </c>
      <c r="BM10" s="81">
        <f>_xlfn.XLOOKUP(A10,'Текущая цена на ВБ'!C:C,'Текущая цена на ВБ'!F:F)</f>
        <v>320</v>
      </c>
      <c r="BN10" s="84">
        <f>_xlfn.XLOOKUP(A10,'Текущая цена на ВБ'!C:C,'Текущая цена на ВБ'!H:H)</f>
        <v>726</v>
      </c>
    </row>
    <row r="11" spans="1:66" ht="24.95" customHeight="1" x14ac:dyDescent="0.25">
      <c r="A11" s="124">
        <f>[1]Юнит!A10</f>
        <v>177404837</v>
      </c>
      <c r="B11" s="124" t="str">
        <f>[1]Юнит!C10</f>
        <v>AHMA3BW101BG</v>
      </c>
      <c r="C11" s="125" t="str">
        <f>[1]Юнит!D10</f>
        <v>Мешки 3 шт.</v>
      </c>
      <c r="D11" s="126">
        <f>[1]Юнит!E10</f>
        <v>2038627692689</v>
      </c>
      <c r="E11" s="50">
        <v>1246</v>
      </c>
      <c r="F11" s="6">
        <v>0.4</v>
      </c>
      <c r="G11" s="150" t="s">
        <v>396</v>
      </c>
      <c r="H11" s="54">
        <v>0.23293966213113562</v>
      </c>
      <c r="I11" s="71">
        <f>_xlfn.XLOOKUP(D11,[1]Юнит!$E:$E,[1]Юнит!$AN:$AN)</f>
        <v>1259</v>
      </c>
      <c r="J11" s="6">
        <f t="shared" si="9"/>
        <v>0.3</v>
      </c>
      <c r="K11" s="153">
        <f t="shared" si="0"/>
        <v>1798.5714285714287</v>
      </c>
      <c r="L11" s="54">
        <f>_xlfn.XLOOKUP(D11,[1]Юнит!$E:$E,[1]Юнит!$AR:$AR)</f>
        <v>0.241441334392375</v>
      </c>
      <c r="M11" s="50">
        <f t="shared" si="10"/>
        <v>1246</v>
      </c>
      <c r="N11" s="6">
        <f>_xlfn.XLOOKUP($A11,'Текущая цена на ВБ'!$C:$C,'Текущая цена на ВБ'!$K:$K,0,0)%</f>
        <v>0.4</v>
      </c>
      <c r="O11" s="150" t="str">
        <f>_xlfn.XLOOKUP($A11,'Текущая цена на ВБ'!$C:$C,'Текущая цена на ВБ'!$I:$I,0)</f>
        <v>2077</v>
      </c>
      <c r="P11" s="54">
        <f>_xlfn.XLOOKUP($A11,[1]Юнит!$A:$A,[1]Юнит!$AJ:$AJ,0)</f>
        <v>0.23436899374097256</v>
      </c>
      <c r="Q11" s="50">
        <f>_xlfn.XLOOKUP($A11,'Акция 1'!$F:$F,'Акция 1'!$L:$L,0,0)</f>
        <v>1246</v>
      </c>
      <c r="R11" s="6">
        <f>(_xlfn.XLOOKUP($A11,'Акция 1'!$F:$F,'Акция 1'!$P:$P,0,0))%</f>
        <v>0.31</v>
      </c>
      <c r="S11" s="13">
        <f t="shared" si="11"/>
        <v>1805.7971014492755</v>
      </c>
      <c r="T11" s="50">
        <f>_xlfn.XLOOKUP($A11,'Акция 2'!$F:$F,'Акция 2'!$L:$L,0,0)</f>
        <v>0</v>
      </c>
      <c r="U11" s="6">
        <f>(_xlfn.XLOOKUP($A11,'Акция 2'!$F:$F,'Акция 2'!$O:$O,0,0))%</f>
        <v>0</v>
      </c>
      <c r="V11" s="13">
        <f t="shared" si="12"/>
        <v>0</v>
      </c>
      <c r="W11" s="50">
        <f>_xlfn.XLOOKUP($A11,'Акция 3'!$F:$F,'Акция 3'!$L:$L,0,0)</f>
        <v>696</v>
      </c>
      <c r="X11" s="6">
        <f>(_xlfn.XLOOKUP($A11,'Акция 3'!$F:$F,'Акция 3'!$P:$P,0,0))%</f>
        <v>0.62</v>
      </c>
      <c r="Y11" s="13">
        <f t="shared" si="13"/>
        <v>1831.578947368421</v>
      </c>
      <c r="Z11" s="50">
        <f>_xlfn.XLOOKUP($A11,'Акция 4'!$F:$F,'Акция 4'!$L:$L,0,0)</f>
        <v>0</v>
      </c>
      <c r="AA11" s="6">
        <f>(_xlfn.XLOOKUP($A11,'Акция 4'!$F:$F,'Акция 4'!$P:$P,0,0))%</f>
        <v>0</v>
      </c>
      <c r="AB11" s="13">
        <f t="shared" si="14"/>
        <v>0</v>
      </c>
      <c r="AC11" s="50">
        <f>_xlfn.XLOOKUP($A11,'Акция 5'!$F:$F,'Акция 5'!$L:$L,0,0)</f>
        <v>0</v>
      </c>
      <c r="AD11" s="6">
        <f>(_xlfn.XLOOKUP($A11,'Акция 5'!$F:$F,'Акция 5'!O:O,0,0))%</f>
        <v>0</v>
      </c>
      <c r="AE11" s="13">
        <f t="shared" si="15"/>
        <v>0</v>
      </c>
      <c r="AF11" s="50">
        <f>_xlfn.XLOOKUP($A11,'Акция 6'!$F:$F,'Акция 6'!$L:$L,0,0)</f>
        <v>0</v>
      </c>
      <c r="AG11" s="6">
        <f>(_xlfn.XLOOKUP($A11,'Акция 6'!$F:$F,'Акция 6'!$O:$O,0,0))%</f>
        <v>0</v>
      </c>
      <c r="AH11" s="13">
        <f t="shared" si="16"/>
        <v>0</v>
      </c>
      <c r="AI11" s="50">
        <f>_xlfn.XLOOKUP($A11,'Акция 7'!$F:$F,'Акция 7'!$L:$L,0,0)</f>
        <v>0</v>
      </c>
      <c r="AJ11" s="6">
        <f>(_xlfn.XLOOKUP($A11,'Акция 7'!$F:$F,'Акция 7'!$O:$O,0,0))%</f>
        <v>0</v>
      </c>
      <c r="AK11" s="13">
        <f t="shared" si="17"/>
        <v>0</v>
      </c>
      <c r="AL11" s="50">
        <f>_xlfn.XLOOKUP($A11,'Акция 8'!$F:$F,'Акция 8'!$L:$L,0,0)</f>
        <v>0</v>
      </c>
      <c r="AM11" s="6">
        <f>(_xlfn.XLOOKUP($A11,'Акция 8'!$F:$F,'Акция 8'!$S:$S,0,0))%</f>
        <v>0</v>
      </c>
      <c r="AN11" s="13">
        <f t="shared" si="18"/>
        <v>0</v>
      </c>
      <c r="AO11" s="50">
        <f>_xlfn.XLOOKUP($A11,'Акция 9'!$F:$F,'Акция 9'!$L:$L,0,0)</f>
        <v>0</v>
      </c>
      <c r="AP11" s="6">
        <f>(_xlfn.XLOOKUP($A11,'Акция 9'!$F:$F,'Акция 9'!$O:$O,0,0))%</f>
        <v>0</v>
      </c>
      <c r="AQ11" s="13">
        <f t="shared" si="19"/>
        <v>0</v>
      </c>
      <c r="AR11" s="50">
        <f>_xlfn.XLOOKUP($A11,'Акция 10'!$F:$F,'Акция 10'!$L:$L,0,0)</f>
        <v>0</v>
      </c>
      <c r="AS11" s="6">
        <f>(_xlfn.XLOOKUP($A11,'Акция 10'!$F:$F,'Акция 10'!$O:$O,0,0))%</f>
        <v>0</v>
      </c>
      <c r="AT11" s="13">
        <f t="shared" si="20"/>
        <v>0</v>
      </c>
      <c r="AU11" s="50">
        <f>_xlfn.XLOOKUP($A11,'Акция 11'!$F:$F,'Акция 11'!$L:$L,0,0)</f>
        <v>0</v>
      </c>
      <c r="AV11" s="6">
        <f>(_xlfn.XLOOKUP($A11,'Акция 11'!$F:$F,'Акция 11'!$O:$O,0,0))%</f>
        <v>0</v>
      </c>
      <c r="AW11" s="13">
        <f t="shared" si="21"/>
        <v>0</v>
      </c>
      <c r="AX11" s="50"/>
      <c r="AY11" s="6"/>
      <c r="AZ11" s="13"/>
      <c r="BA11" s="17">
        <f t="shared" si="22"/>
        <v>1246</v>
      </c>
      <c r="BB11" s="38">
        <f t="shared" si="8"/>
        <v>1</v>
      </c>
      <c r="BC11" s="33">
        <f t="shared" si="23"/>
        <v>1246</v>
      </c>
      <c r="BD11" s="5">
        <f t="shared" si="24"/>
        <v>0.4</v>
      </c>
      <c r="BE11" s="53">
        <f t="shared" si="25"/>
        <v>2076.666666666667</v>
      </c>
      <c r="BF11" s="54">
        <f>_xlfn.XLOOKUP(A11,[1]Юнит!$A:$A,[1]Юнит!$AU:$AU,0)</f>
        <v>0.23425733547351532</v>
      </c>
      <c r="BG11" s="54">
        <f t="shared" si="26"/>
        <v>0.23436899374097256</v>
      </c>
      <c r="BH11" s="5" t="s">
        <v>287</v>
      </c>
      <c r="BI11" s="78">
        <f t="shared" si="31"/>
        <v>2077</v>
      </c>
      <c r="BJ11" s="85">
        <f t="shared" si="27"/>
        <v>0.4</v>
      </c>
      <c r="BK11" s="88">
        <f t="shared" si="30"/>
        <v>1246</v>
      </c>
      <c r="BL11" s="79">
        <f t="shared" si="28"/>
        <v>1</v>
      </c>
      <c r="BM11" s="81">
        <f>_xlfn.XLOOKUP(A11,'Текущая цена на ВБ'!C:C,'Текущая цена на ВБ'!F:F)</f>
        <v>146</v>
      </c>
      <c r="BN11" s="84">
        <f>_xlfn.XLOOKUP(A11,'Текущая цена на ВБ'!C:C,'Текущая цена на ВБ'!H:H)</f>
        <v>502</v>
      </c>
    </row>
    <row r="12" spans="1:66" ht="24.95" customHeight="1" x14ac:dyDescent="0.25">
      <c r="A12" s="124">
        <f>[1]Юнит!A11</f>
        <v>177405495</v>
      </c>
      <c r="B12" s="124" t="str">
        <f>[1]Юнит!C11</f>
        <v>AHMA3BW102BG</v>
      </c>
      <c r="C12" s="125" t="str">
        <f>[1]Юнит!D11</f>
        <v>Мешки/деликат 3 шт.</v>
      </c>
      <c r="D12" s="126">
        <f>[1]Юнит!E11</f>
        <v>2038627713902</v>
      </c>
      <c r="E12" s="50">
        <v>1108</v>
      </c>
      <c r="F12" s="6">
        <v>0.4</v>
      </c>
      <c r="G12" s="150" t="s">
        <v>390</v>
      </c>
      <c r="H12" s="54">
        <v>0.23328654671944327</v>
      </c>
      <c r="I12" s="71">
        <f>_xlfn.XLOOKUP(D12,[1]Юнит!$E:$E,[1]Юнит!$AN:$AN)</f>
        <v>1119</v>
      </c>
      <c r="J12" s="6">
        <f t="shared" si="9"/>
        <v>0.3</v>
      </c>
      <c r="K12" s="153">
        <f t="shared" si="0"/>
        <v>1598.5714285714287</v>
      </c>
      <c r="L12" s="54">
        <f>_xlfn.XLOOKUP(D12,[1]Юнит!$E:$E,[1]Юнит!$AR:$AR)</f>
        <v>0.24160115090351111</v>
      </c>
      <c r="M12" s="50">
        <f t="shared" si="10"/>
        <v>1108</v>
      </c>
      <c r="N12" s="6">
        <f>_xlfn.XLOOKUP($A12,'Текущая цена на ВБ'!$C:$C,'Текущая цена на ВБ'!$K:$K,0,0)%</f>
        <v>0.4</v>
      </c>
      <c r="O12" s="150" t="str">
        <f>_xlfn.XLOOKUP($A12,'Текущая цена на ВБ'!$C:$C,'Текущая цена на ВБ'!$I:$I,0)</f>
        <v>1847</v>
      </c>
      <c r="P12" s="54">
        <f>_xlfn.XLOOKUP($A12,[1]Юнит!$A:$A,[1]Юнит!$AJ:$AJ,0)</f>
        <v>0.23489233699786036</v>
      </c>
      <c r="Q12" s="50">
        <f>_xlfn.XLOOKUP($A12,'Акция 1'!$F:$F,'Акция 1'!$L:$L,0,0)</f>
        <v>1108</v>
      </c>
      <c r="R12" s="6">
        <f>(_xlfn.XLOOKUP($A12,'Акция 1'!$F:$F,'Акция 1'!$P:$P,0,0))%</f>
        <v>0.31</v>
      </c>
      <c r="S12" s="13">
        <f t="shared" si="11"/>
        <v>1605.7971014492755</v>
      </c>
      <c r="T12" s="50">
        <f>_xlfn.XLOOKUP($A12,'Акция 2'!$F:$F,'Акция 2'!$L:$L,0,0)</f>
        <v>0</v>
      </c>
      <c r="U12" s="6">
        <f>(_xlfn.XLOOKUP($A12,'Акция 2'!$F:$F,'Акция 2'!$O:$O,0,0))%</f>
        <v>0</v>
      </c>
      <c r="V12" s="13">
        <f t="shared" si="12"/>
        <v>0</v>
      </c>
      <c r="W12" s="50">
        <f>_xlfn.XLOOKUP($A12,'Акция 3'!$F:$F,'Акция 3'!$L:$L,0,0)</f>
        <v>842</v>
      </c>
      <c r="X12" s="6">
        <f>(_xlfn.XLOOKUP($A12,'Акция 3'!$F:$F,'Акция 3'!$P:$P,0,0))%</f>
        <v>0.48</v>
      </c>
      <c r="Y12" s="13">
        <f t="shared" si="13"/>
        <v>1619.2307692307693</v>
      </c>
      <c r="Z12" s="50">
        <f>_xlfn.XLOOKUP($A12,'Акция 4'!$F:$F,'Акция 4'!$L:$L,0,0)</f>
        <v>0</v>
      </c>
      <c r="AA12" s="6">
        <f>(_xlfn.XLOOKUP($A12,'Акция 4'!$F:$F,'Акция 4'!$P:$P,0,0))%</f>
        <v>0</v>
      </c>
      <c r="AB12" s="13">
        <f t="shared" si="14"/>
        <v>0</v>
      </c>
      <c r="AC12" s="50">
        <f>_xlfn.XLOOKUP($A12,'Акция 5'!$F:$F,'Акция 5'!$L:$L,0,0)</f>
        <v>0</v>
      </c>
      <c r="AD12" s="6">
        <f>(_xlfn.XLOOKUP($A12,'Акция 5'!$F:$F,'Акция 5'!O:O,0,0))%</f>
        <v>0</v>
      </c>
      <c r="AE12" s="13">
        <f t="shared" si="15"/>
        <v>0</v>
      </c>
      <c r="AF12" s="50">
        <f>_xlfn.XLOOKUP($A12,'Акция 6'!$F:$F,'Акция 6'!$L:$L,0,0)</f>
        <v>0</v>
      </c>
      <c r="AG12" s="6">
        <f>(_xlfn.XLOOKUP($A12,'Акция 6'!$F:$F,'Акция 6'!$O:$O,0,0))%</f>
        <v>0</v>
      </c>
      <c r="AH12" s="13">
        <f t="shared" si="16"/>
        <v>0</v>
      </c>
      <c r="AI12" s="50">
        <f>_xlfn.XLOOKUP($A12,'Акция 7'!$F:$F,'Акция 7'!$L:$L,0,0)</f>
        <v>0</v>
      </c>
      <c r="AJ12" s="6">
        <f>(_xlfn.XLOOKUP($A12,'Акция 7'!$F:$F,'Акция 7'!$O:$O,0,0))%</f>
        <v>0</v>
      </c>
      <c r="AK12" s="13">
        <f t="shared" si="17"/>
        <v>0</v>
      </c>
      <c r="AL12" s="50">
        <f>_xlfn.XLOOKUP($A12,'Акция 8'!$F:$F,'Акция 8'!$L:$L,0,0)</f>
        <v>0</v>
      </c>
      <c r="AM12" s="6">
        <f>(_xlfn.XLOOKUP($A12,'Акция 8'!$F:$F,'Акция 8'!$S:$S,0,0))%</f>
        <v>0</v>
      </c>
      <c r="AN12" s="13">
        <f t="shared" si="18"/>
        <v>0</v>
      </c>
      <c r="AO12" s="50">
        <f>_xlfn.XLOOKUP($A12,'Акция 9'!$F:$F,'Акция 9'!$L:$L,0,0)</f>
        <v>0</v>
      </c>
      <c r="AP12" s="6">
        <f>(_xlfn.XLOOKUP($A12,'Акция 9'!$F:$F,'Акция 9'!$O:$O,0,0))%</f>
        <v>0</v>
      </c>
      <c r="AQ12" s="13">
        <f t="shared" si="19"/>
        <v>0</v>
      </c>
      <c r="AR12" s="50">
        <f>_xlfn.XLOOKUP($A12,'Акция 10'!$F:$F,'Акция 10'!$L:$L,0,0)</f>
        <v>0</v>
      </c>
      <c r="AS12" s="6">
        <f>(_xlfn.XLOOKUP($A12,'Акция 10'!$F:$F,'Акция 10'!$O:$O,0,0))%</f>
        <v>0</v>
      </c>
      <c r="AT12" s="13">
        <f t="shared" si="20"/>
        <v>0</v>
      </c>
      <c r="AU12" s="50">
        <f>_xlfn.XLOOKUP($A12,'Акция 11'!$F:$F,'Акция 11'!$L:$L,0,0)</f>
        <v>0</v>
      </c>
      <c r="AV12" s="6">
        <f>(_xlfn.XLOOKUP($A12,'Акция 11'!$F:$F,'Акция 11'!$O:$O,0,0))%</f>
        <v>0</v>
      </c>
      <c r="AW12" s="13">
        <f t="shared" si="21"/>
        <v>0</v>
      </c>
      <c r="AX12" s="50"/>
      <c r="AY12" s="6"/>
      <c r="AZ12" s="13"/>
      <c r="BA12" s="17">
        <f t="shared" si="22"/>
        <v>1108</v>
      </c>
      <c r="BB12" s="38">
        <f t="shared" si="8"/>
        <v>1</v>
      </c>
      <c r="BC12" s="33">
        <f t="shared" si="23"/>
        <v>1108</v>
      </c>
      <c r="BD12" s="5">
        <f t="shared" si="24"/>
        <v>0.4</v>
      </c>
      <c r="BE12" s="53">
        <f t="shared" si="25"/>
        <v>1846.6666666666667</v>
      </c>
      <c r="BF12" s="54">
        <f>_xlfn.XLOOKUP(A12,[1]Юнит!$A:$A,[1]Юнит!$AU:$AU,0)</f>
        <v>0.23476686630056767</v>
      </c>
      <c r="BG12" s="54">
        <f t="shared" si="26"/>
        <v>0.23489233699786036</v>
      </c>
      <c r="BH12" s="5" t="s">
        <v>287</v>
      </c>
      <c r="BI12" s="78">
        <f t="shared" si="31"/>
        <v>1847</v>
      </c>
      <c r="BJ12" s="85">
        <f t="shared" si="27"/>
        <v>0.4</v>
      </c>
      <c r="BK12" s="88">
        <f>MROUND(BI12-BI12*BJ12,1)</f>
        <v>1108</v>
      </c>
      <c r="BL12" s="79">
        <f t="shared" si="28"/>
        <v>1</v>
      </c>
      <c r="BM12" s="81">
        <f>_xlfn.XLOOKUP(A12,'Текущая цена на ВБ'!C:C,'Текущая цена на ВБ'!F:F)</f>
        <v>264</v>
      </c>
      <c r="BN12" s="84">
        <f>_xlfn.XLOOKUP(A12,'Текущая цена на ВБ'!C:C,'Текущая цена на ВБ'!H:H)</f>
        <v>999</v>
      </c>
    </row>
    <row r="13" spans="1:66" ht="24.95" customHeight="1" x14ac:dyDescent="0.25">
      <c r="A13" s="124">
        <f>[1]Юнит!A12</f>
        <v>176721350</v>
      </c>
      <c r="B13" s="124" t="str">
        <f>[1]Юнит!C12</f>
        <v>AHMA3BW201WH</v>
      </c>
      <c r="C13" s="125" t="str">
        <f>[1]Юнит!D12</f>
        <v>Мешки/шнурок мелк 3 шт.</v>
      </c>
      <c r="D13" s="126">
        <f>[1]Юнит!E12</f>
        <v>2038606201642</v>
      </c>
      <c r="E13" s="50">
        <v>757</v>
      </c>
      <c r="F13" s="6">
        <v>0.4</v>
      </c>
      <c r="G13" s="150" t="s">
        <v>413</v>
      </c>
      <c r="H13" s="54">
        <v>0.17981187918871722</v>
      </c>
      <c r="I13" s="71">
        <f>_xlfn.XLOOKUP(D13,[1]Юнит!$E:$E,[1]Юнит!$AN:$AN)</f>
        <v>839</v>
      </c>
      <c r="J13" s="6">
        <f t="shared" si="9"/>
        <v>0.3</v>
      </c>
      <c r="K13" s="153">
        <f t="shared" si="0"/>
        <v>1198.5714285714287</v>
      </c>
      <c r="L13" s="54">
        <f>_xlfn.XLOOKUP(D13,[1]Юнит!$E:$E,[1]Юнит!$AR:$AR)</f>
        <v>0.25386337924050206</v>
      </c>
      <c r="M13" s="50">
        <f t="shared" si="10"/>
        <v>757</v>
      </c>
      <c r="N13" s="6">
        <f>_xlfn.XLOOKUP($A13,'Текущая цена на ВБ'!$C:$C,'Текущая цена на ВБ'!$K:$K,0,0)%</f>
        <v>0.4</v>
      </c>
      <c r="O13" s="150" t="str">
        <f>_xlfn.XLOOKUP($A13,'Текущая цена на ВБ'!$C:$C,'Текущая цена на ВБ'!$I:$I,0)</f>
        <v>1262</v>
      </c>
      <c r="P13" s="54">
        <f>_xlfn.XLOOKUP($A13,[1]Юнит!$A:$A,[1]Юнит!$AJ:$AJ,0)</f>
        <v>0.18082062226991713</v>
      </c>
      <c r="Q13" s="50">
        <f>_xlfn.XLOOKUP($A13,'Акция 1'!$F:$F,'Акция 1'!$L:$L,0,0)</f>
        <v>757</v>
      </c>
      <c r="R13" s="6">
        <f>(_xlfn.XLOOKUP($A13,'Акция 1'!$F:$F,'Акция 1'!$P:$P,0,0))%</f>
        <v>0.37</v>
      </c>
      <c r="S13" s="13">
        <f t="shared" si="11"/>
        <v>1201.5873015873017</v>
      </c>
      <c r="T13" s="50">
        <f>_xlfn.XLOOKUP($A13,'Акция 2'!$F:$F,'Акция 2'!$L:$L,0,0)</f>
        <v>0</v>
      </c>
      <c r="U13" s="6">
        <f>(_xlfn.XLOOKUP($A13,'Акция 2'!$F:$F,'Акция 2'!$O:$O,0,0))%</f>
        <v>0</v>
      </c>
      <c r="V13" s="13">
        <f t="shared" si="12"/>
        <v>0</v>
      </c>
      <c r="W13" s="50">
        <f>_xlfn.XLOOKUP($A13,'Акция 3'!$F:$F,'Акция 3'!$L:$L,0,0)</f>
        <v>577</v>
      </c>
      <c r="X13" s="6">
        <f>(_xlfn.XLOOKUP($A13,'Акция 3'!$F:$F,'Акция 3'!$P:$P,0,0))%</f>
        <v>0.52</v>
      </c>
      <c r="Y13" s="13">
        <f t="shared" si="13"/>
        <v>1202.0833333333335</v>
      </c>
      <c r="Z13" s="50">
        <f>_xlfn.XLOOKUP($A13,'Акция 4'!$F:$F,'Акция 4'!$L:$L,0,0)</f>
        <v>0</v>
      </c>
      <c r="AA13" s="6">
        <f>(_xlfn.XLOOKUP($A13,'Акция 4'!$F:$F,'Акция 4'!$P:$P,0,0))%</f>
        <v>0</v>
      </c>
      <c r="AB13" s="13">
        <f t="shared" si="14"/>
        <v>0</v>
      </c>
      <c r="AC13" s="50">
        <f>_xlfn.XLOOKUP($A13,'Акция 5'!$F:$F,'Акция 5'!$L:$L,0,0)</f>
        <v>0</v>
      </c>
      <c r="AD13" s="6">
        <f>(_xlfn.XLOOKUP($A13,'Акция 5'!$F:$F,'Акция 5'!O:O,0,0))%</f>
        <v>0</v>
      </c>
      <c r="AE13" s="13">
        <f t="shared" si="15"/>
        <v>0</v>
      </c>
      <c r="AF13" s="50">
        <f>_xlfn.XLOOKUP($A13,'Акция 6'!$F:$F,'Акция 6'!$L:$L,0,0)</f>
        <v>0</v>
      </c>
      <c r="AG13" s="6">
        <f>(_xlfn.XLOOKUP($A13,'Акция 6'!$F:$F,'Акция 6'!$O:$O,0,0))%</f>
        <v>0</v>
      </c>
      <c r="AH13" s="13">
        <f t="shared" si="16"/>
        <v>0</v>
      </c>
      <c r="AI13" s="50">
        <f>_xlfn.XLOOKUP($A13,'Акция 7'!$F:$F,'Акция 7'!$L:$L,0,0)</f>
        <v>0</v>
      </c>
      <c r="AJ13" s="6">
        <f>(_xlfn.XLOOKUP($A13,'Акция 7'!$F:$F,'Акция 7'!$O:$O,0,0))%</f>
        <v>0</v>
      </c>
      <c r="AK13" s="13">
        <f t="shared" si="17"/>
        <v>0</v>
      </c>
      <c r="AL13" s="50">
        <f>_xlfn.XLOOKUP($A13,'Акция 8'!$F:$F,'Акция 8'!$L:$L,0,0)</f>
        <v>0</v>
      </c>
      <c r="AM13" s="6">
        <f>(_xlfn.XLOOKUP($A13,'Акция 8'!$F:$F,'Акция 8'!$S:$S,0,0))%</f>
        <v>0</v>
      </c>
      <c r="AN13" s="13">
        <f t="shared" si="18"/>
        <v>0</v>
      </c>
      <c r="AO13" s="50">
        <f>_xlfn.XLOOKUP($A13,'Акция 9'!$F:$F,'Акция 9'!$L:$L,0,0)</f>
        <v>0</v>
      </c>
      <c r="AP13" s="6">
        <f>(_xlfn.XLOOKUP($A13,'Акция 9'!$F:$F,'Акция 9'!$O:$O,0,0))%</f>
        <v>0</v>
      </c>
      <c r="AQ13" s="13">
        <f t="shared" si="19"/>
        <v>0</v>
      </c>
      <c r="AR13" s="50">
        <f>_xlfn.XLOOKUP($A13,'Акция 10'!$F:$F,'Акция 10'!$L:$L,0,0)</f>
        <v>0</v>
      </c>
      <c r="AS13" s="6">
        <f>(_xlfn.XLOOKUP($A13,'Акция 10'!$F:$F,'Акция 10'!$O:$O,0,0))%</f>
        <v>0</v>
      </c>
      <c r="AT13" s="13">
        <f t="shared" si="20"/>
        <v>0</v>
      </c>
      <c r="AU13" s="50">
        <f>_xlfn.XLOOKUP($A13,'Акция 11'!$F:$F,'Акция 11'!$L:$L,0,0)</f>
        <v>0</v>
      </c>
      <c r="AV13" s="6">
        <f>(_xlfn.XLOOKUP($A13,'Акция 11'!$F:$F,'Акция 11'!$O:$O,0,0))%</f>
        <v>0</v>
      </c>
      <c r="AW13" s="13">
        <f t="shared" si="21"/>
        <v>0</v>
      </c>
      <c r="AX13" s="50"/>
      <c r="AY13" s="6"/>
      <c r="AZ13" s="13"/>
      <c r="BA13" s="17">
        <f t="shared" si="22"/>
        <v>757</v>
      </c>
      <c r="BB13" s="38">
        <f t="shared" si="8"/>
        <v>1</v>
      </c>
      <c r="BC13" s="33">
        <f t="shared" si="23"/>
        <v>757</v>
      </c>
      <c r="BD13" s="5">
        <f t="shared" si="24"/>
        <v>0.4</v>
      </c>
      <c r="BE13" s="53">
        <f t="shared" si="25"/>
        <v>1261.6666666666667</v>
      </c>
      <c r="BF13" s="54">
        <f>_xlfn.XLOOKUP(A13,[1]Юнит!$A:$A,[1]Юнит!$AU:$AU,0)</f>
        <v>0.18062268848451946</v>
      </c>
      <c r="BG13" s="54">
        <f t="shared" si="26"/>
        <v>0.18082062226991713</v>
      </c>
      <c r="BH13" s="5" t="s">
        <v>287</v>
      </c>
      <c r="BI13" s="78">
        <f t="shared" si="31"/>
        <v>1262</v>
      </c>
      <c r="BJ13" s="85">
        <f t="shared" si="27"/>
        <v>0.4</v>
      </c>
      <c r="BK13" s="88">
        <f t="shared" si="30"/>
        <v>757</v>
      </c>
      <c r="BL13" s="79">
        <f t="shared" si="28"/>
        <v>1</v>
      </c>
      <c r="BM13" s="81">
        <f>_xlfn.XLOOKUP(A13,'Текущая цена на ВБ'!C:C,'Текущая цена на ВБ'!F:F)</f>
        <v>258</v>
      </c>
      <c r="BN13" s="84">
        <f>_xlfn.XLOOKUP(A13,'Текущая цена на ВБ'!C:C,'Текущая цена на ВБ'!H:H)</f>
        <v>334</v>
      </c>
    </row>
    <row r="14" spans="1:66" ht="24.95" customHeight="1" x14ac:dyDescent="0.25">
      <c r="A14" s="124">
        <f>[1]Юнит!A13</f>
        <v>176723275</v>
      </c>
      <c r="B14" s="124" t="str">
        <f>[1]Юнит!C13</f>
        <v>AHMA3BW202WH</v>
      </c>
      <c r="C14" s="125" t="str">
        <f>[1]Юнит!D13</f>
        <v>Мешки/шнурок крупн 3 шт.</v>
      </c>
      <c r="D14" s="126">
        <f>[1]Юнит!E13</f>
        <v>2038606256161</v>
      </c>
      <c r="E14" s="50">
        <v>839</v>
      </c>
      <c r="F14" s="6">
        <v>0.4</v>
      </c>
      <c r="G14" s="150" t="s">
        <v>417</v>
      </c>
      <c r="H14" s="54">
        <v>0.22155069126984542</v>
      </c>
      <c r="I14" s="71">
        <f>_xlfn.XLOOKUP(D14,[1]Юнит!$E:$E,[1]Юнит!$AN:$AN)</f>
        <v>839</v>
      </c>
      <c r="J14" s="6">
        <f t="shared" si="9"/>
        <v>0.3</v>
      </c>
      <c r="K14" s="153">
        <f t="shared" ref="K14:K70" si="32">I14/(100%-J12)</f>
        <v>1198.5714285714287</v>
      </c>
      <c r="L14" s="54">
        <f>_xlfn.XLOOKUP(D14,[1]Юнит!$E:$E,[1]Юнит!$AR:$AR)</f>
        <v>0.221495703435973</v>
      </c>
      <c r="M14" s="50">
        <f t="shared" si="10"/>
        <v>839</v>
      </c>
      <c r="N14" s="6">
        <f>_xlfn.XLOOKUP($A14,'Текущая цена на ВБ'!$C:$C,'Текущая цена на ВБ'!$K:$K,0,0)%</f>
        <v>0.4</v>
      </c>
      <c r="O14" s="150" t="str">
        <f>_xlfn.XLOOKUP($A14,'Текущая цена на ВБ'!$C:$C,'Текущая цена на ВБ'!$I:$I,0)</f>
        <v>1398</v>
      </c>
      <c r="P14" s="54">
        <f>_xlfn.XLOOKUP($A14,[1]Юнит!$A:$A,[1]Юнит!$AJ:$AJ,0)</f>
        <v>0.22132677060417419</v>
      </c>
      <c r="Q14" s="50">
        <f>_xlfn.XLOOKUP($A14,'Акция 1'!$F:$F,'Акция 1'!$L:$L,0,0)</f>
        <v>0</v>
      </c>
      <c r="R14" s="6">
        <f>(_xlfn.XLOOKUP($A14,'Акция 1'!$F:$F,'Акция 1'!$P:$P,0,0))%</f>
        <v>0</v>
      </c>
      <c r="S14" s="13">
        <f t="shared" si="11"/>
        <v>0</v>
      </c>
      <c r="T14" s="50">
        <f>_xlfn.XLOOKUP($A14,'Акция 2'!$F:$F,'Акция 2'!$L:$L,0,0)</f>
        <v>839</v>
      </c>
      <c r="U14" s="6">
        <f>(_xlfn.XLOOKUP($A14,'Акция 2'!$F:$F,'Акция 2'!$O:$O,0,0))%</f>
        <v>0.3</v>
      </c>
      <c r="V14" s="13">
        <f t="shared" si="12"/>
        <v>1198.5714285714287</v>
      </c>
      <c r="W14" s="50">
        <f>_xlfn.XLOOKUP($A14,'Акция 3'!$F:$F,'Акция 3'!$L:$L,0,0)</f>
        <v>752</v>
      </c>
      <c r="X14" s="6">
        <f>(_xlfn.XLOOKUP($A14,'Акция 3'!$F:$F,'Акция 3'!$P:$P,0,0))%</f>
        <v>0.38</v>
      </c>
      <c r="Y14" s="13">
        <f t="shared" si="13"/>
        <v>1212.9032258064517</v>
      </c>
      <c r="Z14" s="50">
        <f>_xlfn.XLOOKUP($A14,'Акция 4'!$F:$F,'Акция 4'!$L:$L,0,0)</f>
        <v>0</v>
      </c>
      <c r="AA14" s="6">
        <f>(_xlfn.XLOOKUP($A14,'Акция 4'!$F:$F,'Акция 4'!$P:$P,0,0))%</f>
        <v>0</v>
      </c>
      <c r="AB14" s="13">
        <f t="shared" si="14"/>
        <v>0</v>
      </c>
      <c r="AC14" s="50">
        <f>_xlfn.XLOOKUP($A14,'Акция 5'!$F:$F,'Акция 5'!$L:$L,0,0)</f>
        <v>0</v>
      </c>
      <c r="AD14" s="6">
        <f>(_xlfn.XLOOKUP($A14,'Акция 5'!$F:$F,'Акция 5'!O:O,0,0))%</f>
        <v>0</v>
      </c>
      <c r="AE14" s="13">
        <f t="shared" si="15"/>
        <v>0</v>
      </c>
      <c r="AF14" s="50">
        <f>_xlfn.XLOOKUP($A14,'Акция 6'!$F:$F,'Акция 6'!$L:$L,0,0)</f>
        <v>0</v>
      </c>
      <c r="AG14" s="6">
        <f>(_xlfn.XLOOKUP($A14,'Акция 6'!$F:$F,'Акция 6'!$O:$O,0,0))%</f>
        <v>0</v>
      </c>
      <c r="AH14" s="13">
        <f t="shared" si="16"/>
        <v>0</v>
      </c>
      <c r="AI14" s="50">
        <f>_xlfn.XLOOKUP($A14,'Акция 7'!$F:$F,'Акция 7'!$L:$L,0,0)</f>
        <v>0</v>
      </c>
      <c r="AJ14" s="6">
        <f>(_xlfn.XLOOKUP($A14,'Акция 7'!$F:$F,'Акция 7'!$O:$O,0,0))%</f>
        <v>0</v>
      </c>
      <c r="AK14" s="13">
        <f t="shared" si="17"/>
        <v>0</v>
      </c>
      <c r="AL14" s="50">
        <f>_xlfn.XLOOKUP($A14,'Акция 8'!$F:$F,'Акция 8'!$L:$L,0,0)</f>
        <v>0</v>
      </c>
      <c r="AM14" s="6">
        <f>(_xlfn.XLOOKUP($A14,'Акция 8'!$F:$F,'Акция 8'!$S:$S,0,0))%</f>
        <v>0</v>
      </c>
      <c r="AN14" s="13">
        <f t="shared" si="18"/>
        <v>0</v>
      </c>
      <c r="AO14" s="50">
        <f>_xlfn.XLOOKUP($A14,'Акция 9'!$F:$F,'Акция 9'!$L:$L,0,0)</f>
        <v>0</v>
      </c>
      <c r="AP14" s="6">
        <f>(_xlfn.XLOOKUP($A14,'Акция 9'!$F:$F,'Акция 9'!$O:$O,0,0))%</f>
        <v>0</v>
      </c>
      <c r="AQ14" s="13">
        <f t="shared" si="19"/>
        <v>0</v>
      </c>
      <c r="AR14" s="50">
        <f>_xlfn.XLOOKUP($A14,'Акция 10'!$F:$F,'Акция 10'!$L:$L,0,0)</f>
        <v>0</v>
      </c>
      <c r="AS14" s="6">
        <f>(_xlfn.XLOOKUP($A14,'Акция 10'!$F:$F,'Акция 10'!$O:$O,0,0))%</f>
        <v>0</v>
      </c>
      <c r="AT14" s="13">
        <f t="shared" si="20"/>
        <v>0</v>
      </c>
      <c r="AU14" s="50">
        <f>_xlfn.XLOOKUP($A14,'Акция 11'!$F:$F,'Акция 11'!$L:$L,0,0)</f>
        <v>0</v>
      </c>
      <c r="AV14" s="6">
        <f>(_xlfn.XLOOKUP($A14,'Акция 11'!$F:$F,'Акция 11'!$O:$O,0,0))%</f>
        <v>0</v>
      </c>
      <c r="AW14" s="13">
        <f t="shared" si="21"/>
        <v>0</v>
      </c>
      <c r="AX14" s="50"/>
      <c r="AY14" s="6"/>
      <c r="AZ14" s="13"/>
      <c r="BA14" s="17">
        <f t="shared" si="22"/>
        <v>839</v>
      </c>
      <c r="BB14" s="38">
        <f t="shared" si="8"/>
        <v>2</v>
      </c>
      <c r="BC14" s="33">
        <f t="shared" si="23"/>
        <v>839</v>
      </c>
      <c r="BD14" s="5">
        <f t="shared" si="24"/>
        <v>0.4</v>
      </c>
      <c r="BE14" s="53">
        <f t="shared" si="25"/>
        <v>1398.3333333333335</v>
      </c>
      <c r="BF14" s="54">
        <f>_xlfn.XLOOKUP(A14,[1]Юнит!$A:$A,[1]Юнит!$AU:$AU,0)</f>
        <v>0.221495703435973</v>
      </c>
      <c r="BG14" s="54">
        <f t="shared" si="26"/>
        <v>0.22132677060417419</v>
      </c>
      <c r="BH14" s="5"/>
      <c r="BI14" s="78">
        <f t="shared" si="31"/>
        <v>1199</v>
      </c>
      <c r="BJ14" s="85">
        <f t="shared" si="27"/>
        <v>0.3</v>
      </c>
      <c r="BK14" s="88">
        <f t="shared" si="30"/>
        <v>839</v>
      </c>
      <c r="BL14" s="79">
        <f t="shared" si="28"/>
        <v>0</v>
      </c>
      <c r="BM14" s="81">
        <f>_xlfn.XLOOKUP(A14,'Текущая цена на ВБ'!C:C,'Текущая цена на ВБ'!F:F)</f>
        <v>92</v>
      </c>
      <c r="BN14" s="84">
        <f>_xlfn.XLOOKUP(A14,'Текущая цена на ВБ'!C:C,'Текущая цена на ВБ'!H:H)</f>
        <v>87</v>
      </c>
    </row>
    <row r="15" spans="1:66" ht="24.95" customHeight="1" x14ac:dyDescent="0.25">
      <c r="A15" s="124">
        <f>[1]Юнит!A14</f>
        <v>204615141</v>
      </c>
      <c r="B15" s="124" t="str">
        <f>[1]Юнит!C14</f>
        <v>AHMA2BW201WH</v>
      </c>
      <c r="C15" s="125" t="str">
        <f>[1]Юнит!D14</f>
        <v>Мешки 2 шт. серый</v>
      </c>
      <c r="D15" s="126">
        <f>[1]Юнит!E14</f>
        <v>2039404446068</v>
      </c>
      <c r="E15" s="50">
        <v>598</v>
      </c>
      <c r="F15" s="6">
        <v>0.4</v>
      </c>
      <c r="G15" s="150" t="s">
        <v>416</v>
      </c>
      <c r="H15" s="54">
        <v>0.15895686778758567</v>
      </c>
      <c r="I15" s="71">
        <f>_xlfn.XLOOKUP(D15,[1]Юнит!$E:$E,[1]Юнит!$AN:$AN)</f>
        <v>659</v>
      </c>
      <c r="J15" s="6">
        <f t="shared" si="9"/>
        <v>0.3</v>
      </c>
      <c r="K15" s="153">
        <f t="shared" si="32"/>
        <v>941.42857142857144</v>
      </c>
      <c r="L15" s="54">
        <f>_xlfn.XLOOKUP(D15,[1]Юнит!$E:$E,[1]Юнит!$AR:$AR)</f>
        <v>0.2336651956456971</v>
      </c>
      <c r="M15" s="50">
        <f t="shared" si="10"/>
        <v>598</v>
      </c>
      <c r="N15" s="6">
        <f>_xlfn.XLOOKUP($A15,'Текущая цена на ВБ'!$C:$C,'Текущая цена на ВБ'!$K:$K,0,0)%</f>
        <v>0.4</v>
      </c>
      <c r="O15" s="150" t="str">
        <f>_xlfn.XLOOKUP($A15,'Текущая цена на ВБ'!$C:$C,'Текущая цена на ВБ'!$I:$I,0)</f>
        <v>997</v>
      </c>
      <c r="P15" s="54">
        <f>_xlfn.XLOOKUP($A15,[1]Юнит!$A:$A,[1]Юнит!$AJ:$AJ,0)</f>
        <v>0.16289094605569107</v>
      </c>
      <c r="Q15" s="50">
        <f>_xlfn.XLOOKUP($A15,'Акция 1'!$F:$F,'Акция 1'!$L:$L,0,0)</f>
        <v>598</v>
      </c>
      <c r="R15" s="6">
        <f>(_xlfn.XLOOKUP($A15,'Акция 1'!$F:$F,'Акция 1'!$P:$P,0,0))%</f>
        <v>0.37</v>
      </c>
      <c r="S15" s="13">
        <f t="shared" si="11"/>
        <v>949.20634920634916</v>
      </c>
      <c r="T15" s="50">
        <f>_xlfn.XLOOKUP($A15,'Акция 2'!$F:$F,'Акция 2'!$L:$L,0,0)</f>
        <v>0</v>
      </c>
      <c r="U15" s="6">
        <f>(_xlfn.XLOOKUP($A15,'Акция 2'!$F:$F,'Акция 2'!$O:$O,0,0))%</f>
        <v>0</v>
      </c>
      <c r="V15" s="13">
        <f t="shared" si="12"/>
        <v>0</v>
      </c>
      <c r="W15" s="50">
        <f>_xlfn.XLOOKUP($A15,'Акция 3'!$F:$F,'Акция 3'!$L:$L,0,0)</f>
        <v>446</v>
      </c>
      <c r="X15" s="6">
        <f>(_xlfn.XLOOKUP($A15,'Акция 3'!$F:$F,'Акция 3'!$P:$P,0,0))%</f>
        <v>0.53</v>
      </c>
      <c r="Y15" s="13">
        <f t="shared" si="13"/>
        <v>948.936170212766</v>
      </c>
      <c r="Z15" s="50">
        <f>_xlfn.XLOOKUP($A15,'Акция 4'!$F:$F,'Акция 4'!$L:$L,0,0)</f>
        <v>0</v>
      </c>
      <c r="AA15" s="6">
        <f>(_xlfn.XLOOKUP($A15,'Акция 4'!$F:$F,'Акция 4'!$P:$P,0,0))%</f>
        <v>0</v>
      </c>
      <c r="AB15" s="13">
        <f t="shared" si="14"/>
        <v>0</v>
      </c>
      <c r="AC15" s="50">
        <f>_xlfn.XLOOKUP($A15,'Акция 5'!$F:$F,'Акция 5'!$L:$L,0,0)</f>
        <v>0</v>
      </c>
      <c r="AD15" s="6">
        <f>(_xlfn.XLOOKUP($A15,'Акция 5'!$F:$F,'Акция 5'!O:O,0,0))%</f>
        <v>0</v>
      </c>
      <c r="AE15" s="13">
        <f t="shared" si="15"/>
        <v>0</v>
      </c>
      <c r="AF15" s="50">
        <f>_xlfn.XLOOKUP($A15,'Акция 6'!$F:$F,'Акция 6'!$L:$L,0,0)</f>
        <v>0</v>
      </c>
      <c r="AG15" s="6">
        <f>(_xlfn.XLOOKUP($A15,'Акция 6'!$F:$F,'Акция 6'!$O:$O,0,0))%</f>
        <v>0</v>
      </c>
      <c r="AH15" s="13">
        <f t="shared" si="16"/>
        <v>0</v>
      </c>
      <c r="AI15" s="50">
        <f>_xlfn.XLOOKUP($A15,'Акция 7'!$F:$F,'Акция 7'!$L:$L,0,0)</f>
        <v>0</v>
      </c>
      <c r="AJ15" s="6">
        <f>(_xlfn.XLOOKUP($A15,'Акция 7'!$F:$F,'Акция 7'!$O:$O,0,0))%</f>
        <v>0</v>
      </c>
      <c r="AK15" s="13">
        <f t="shared" si="17"/>
        <v>0</v>
      </c>
      <c r="AL15" s="50">
        <f>_xlfn.XLOOKUP($A15,'Акция 8'!$F:$F,'Акция 8'!$L:$L,0,0)</f>
        <v>0</v>
      </c>
      <c r="AM15" s="6">
        <f>(_xlfn.XLOOKUP($A15,'Акция 8'!$F:$F,'Акция 8'!$S:$S,0,0))%</f>
        <v>0</v>
      </c>
      <c r="AN15" s="13">
        <f t="shared" si="18"/>
        <v>0</v>
      </c>
      <c r="AO15" s="50">
        <f>_xlfn.XLOOKUP($A15,'Акция 9'!$F:$F,'Акция 9'!$L:$L,0,0)</f>
        <v>0</v>
      </c>
      <c r="AP15" s="6">
        <f>(_xlfn.XLOOKUP($A15,'Акция 9'!$F:$F,'Акция 9'!$O:$O,0,0))%</f>
        <v>0</v>
      </c>
      <c r="AQ15" s="13">
        <f t="shared" si="19"/>
        <v>0</v>
      </c>
      <c r="AR15" s="50">
        <f>_xlfn.XLOOKUP($A15,'Акция 10'!$F:$F,'Акция 10'!$L:$L,0,0)</f>
        <v>0</v>
      </c>
      <c r="AS15" s="6">
        <f>(_xlfn.XLOOKUP($A15,'Акция 10'!$F:$F,'Акция 10'!$O:$O,0,0))%</f>
        <v>0</v>
      </c>
      <c r="AT15" s="13">
        <f t="shared" si="20"/>
        <v>0</v>
      </c>
      <c r="AU15" s="50">
        <f>_xlfn.XLOOKUP($A15,'Акция 11'!$F:$F,'Акция 11'!$L:$L,0,0)</f>
        <v>0</v>
      </c>
      <c r="AV15" s="6">
        <f>(_xlfn.XLOOKUP($A15,'Акция 11'!$F:$F,'Акция 11'!$O:$O,0,0))%</f>
        <v>0</v>
      </c>
      <c r="AW15" s="13">
        <f t="shared" si="21"/>
        <v>0</v>
      </c>
      <c r="AX15" s="50"/>
      <c r="AY15" s="6"/>
      <c r="AZ15" s="13"/>
      <c r="BA15" s="17">
        <f t="shared" si="22"/>
        <v>598</v>
      </c>
      <c r="BB15" s="38">
        <f t="shared" si="8"/>
        <v>1</v>
      </c>
      <c r="BC15" s="33">
        <f t="shared" si="23"/>
        <v>598</v>
      </c>
      <c r="BD15" s="5">
        <f t="shared" si="24"/>
        <v>0.4</v>
      </c>
      <c r="BE15" s="53">
        <f t="shared" si="25"/>
        <v>996.66666666666674</v>
      </c>
      <c r="BF15" s="54">
        <f>_xlfn.XLOOKUP(A15,[1]Юнит!$A:$A,[1]Юнит!$AU:$AU,0)</f>
        <v>0.16263438784366951</v>
      </c>
      <c r="BG15" s="54">
        <f t="shared" si="26"/>
        <v>0.16289094605569107</v>
      </c>
      <c r="BH15" s="5" t="s">
        <v>287</v>
      </c>
      <c r="BI15" s="78">
        <f t="shared" si="31"/>
        <v>997</v>
      </c>
      <c r="BJ15" s="85">
        <f t="shared" si="27"/>
        <v>0.4</v>
      </c>
      <c r="BK15" s="88">
        <f t="shared" si="30"/>
        <v>598</v>
      </c>
      <c r="BL15" s="79">
        <f t="shared" si="28"/>
        <v>1</v>
      </c>
      <c r="BM15" s="81">
        <f>_xlfn.XLOOKUP(A15,'Текущая цена на ВБ'!C:C,'Текущая цена на ВБ'!F:F)</f>
        <v>222</v>
      </c>
      <c r="BN15" s="84">
        <f>_xlfn.XLOOKUP(A15,'Текущая цена на ВБ'!C:C,'Текущая цена на ВБ'!H:H)</f>
        <v>602</v>
      </c>
    </row>
    <row r="16" spans="1:66" ht="24.95" customHeight="1" x14ac:dyDescent="0.25">
      <c r="A16" s="124">
        <f>[1]Юнит!A15</f>
        <v>236074677</v>
      </c>
      <c r="B16" s="124" t="str">
        <f>[1]Юнит!C15</f>
        <v>AHMA2BW202WH</v>
      </c>
      <c r="C16" s="125" t="str">
        <f>[1]Юнит!D15</f>
        <v>Мешки 2 шт. розовый</v>
      </c>
      <c r="D16" s="126">
        <f>[1]Юнит!E15</f>
        <v>2040278862540</v>
      </c>
      <c r="E16" s="50">
        <v>750</v>
      </c>
      <c r="F16" s="6">
        <v>0.4</v>
      </c>
      <c r="G16" s="150" t="s">
        <v>408</v>
      </c>
      <c r="H16" s="54">
        <v>0.17359445959676995</v>
      </c>
      <c r="I16" s="71">
        <f>_xlfn.XLOOKUP(D16,[1]Юнит!$E:$E,[1]Юнит!$AN:$AN)</f>
        <v>759</v>
      </c>
      <c r="J16" s="6">
        <f t="shared" si="9"/>
        <v>0.3</v>
      </c>
      <c r="K16" s="153">
        <f t="shared" si="32"/>
        <v>1084.2857142857144</v>
      </c>
      <c r="L16" s="54">
        <f>_xlfn.XLOOKUP(D16,[1]Юнит!$E:$E,[1]Юнит!$AR:$AR)</f>
        <v>0.18370223978919625</v>
      </c>
      <c r="M16" s="50">
        <f t="shared" si="10"/>
        <v>750</v>
      </c>
      <c r="N16" s="6">
        <f>_xlfn.XLOOKUP($A16,'Текущая цена на ВБ'!$C:$C,'Текущая цена на ВБ'!$K:$K,0,0)%</f>
        <v>0.4</v>
      </c>
      <c r="O16" s="150" t="str">
        <f>_xlfn.XLOOKUP($A16,'Текущая цена на ВБ'!$C:$C,'Текущая цена на ВБ'!$I:$I,0)</f>
        <v>1250</v>
      </c>
      <c r="P16" s="54">
        <f>_xlfn.XLOOKUP($A16,[1]Юнит!$A:$A,[1]Юнит!$AJ:$AJ,0)</f>
        <v>0.17474666666666661</v>
      </c>
      <c r="Q16" s="50">
        <f>_xlfn.XLOOKUP($A16,'Акция 1'!$F:$F,'Акция 1'!$L:$L,0,0)</f>
        <v>750</v>
      </c>
      <c r="R16" s="6">
        <f>(_xlfn.XLOOKUP($A16,'Акция 1'!$F:$F,'Акция 1'!$P:$P,0,0))%</f>
        <v>0.31</v>
      </c>
      <c r="S16" s="13">
        <f t="shared" si="11"/>
        <v>1086.9565217391305</v>
      </c>
      <c r="T16" s="50">
        <f>_xlfn.XLOOKUP($A16,'Акция 2'!$F:$F,'Акция 2'!$L:$L,0,0)</f>
        <v>0</v>
      </c>
      <c r="U16" s="6">
        <f>(_xlfn.XLOOKUP($A16,'Акция 2'!$F:$F,'Акция 2'!$O:$O,0,0))%</f>
        <v>0</v>
      </c>
      <c r="V16" s="13">
        <f t="shared" si="12"/>
        <v>0</v>
      </c>
      <c r="W16" s="50">
        <f>_xlfn.XLOOKUP($A16,'Акция 3'!$F:$F,'Акция 3'!$L:$L,0,0)</f>
        <v>582</v>
      </c>
      <c r="X16" s="6">
        <f>(_xlfn.XLOOKUP($A16,'Акция 3'!$F:$F,'Акция 3'!$P:$P,0,0))%</f>
        <v>0.47</v>
      </c>
      <c r="Y16" s="13">
        <f t="shared" si="13"/>
        <v>1098.1132075471698</v>
      </c>
      <c r="Z16" s="50">
        <f>_xlfn.XLOOKUP($A16,'Акция 4'!$F:$F,'Акция 4'!$L:$L,0,0)</f>
        <v>0</v>
      </c>
      <c r="AA16" s="6">
        <f>(_xlfn.XLOOKUP($A16,'Акция 4'!$F:$F,'Акция 4'!$P:$P,0,0))%</f>
        <v>0</v>
      </c>
      <c r="AB16" s="13">
        <f t="shared" si="14"/>
        <v>0</v>
      </c>
      <c r="AC16" s="50">
        <f>_xlfn.XLOOKUP($A16,'Акция 5'!$F:$F,'Акция 5'!$L:$L,0,0)</f>
        <v>0</v>
      </c>
      <c r="AD16" s="6">
        <f>(_xlfn.XLOOKUP($A16,'Акция 5'!$F:$F,'Акция 5'!O:O,0,0))%</f>
        <v>0</v>
      </c>
      <c r="AE16" s="13">
        <f t="shared" si="15"/>
        <v>0</v>
      </c>
      <c r="AF16" s="50">
        <f>_xlfn.XLOOKUP($A16,'Акция 6'!$F:$F,'Акция 6'!$L:$L,0,0)</f>
        <v>0</v>
      </c>
      <c r="AG16" s="6">
        <f>(_xlfn.XLOOKUP($A16,'Акция 6'!$F:$F,'Акция 6'!$O:$O,0,0))%</f>
        <v>0</v>
      </c>
      <c r="AH16" s="13">
        <f t="shared" si="16"/>
        <v>0</v>
      </c>
      <c r="AI16" s="50">
        <f>_xlfn.XLOOKUP($A16,'Акция 7'!$F:$F,'Акция 7'!$L:$L,0,0)</f>
        <v>0</v>
      </c>
      <c r="AJ16" s="6">
        <f>(_xlfn.XLOOKUP($A16,'Акция 7'!$F:$F,'Акция 7'!$O:$O,0,0))%</f>
        <v>0</v>
      </c>
      <c r="AK16" s="13">
        <f t="shared" si="17"/>
        <v>0</v>
      </c>
      <c r="AL16" s="50">
        <f>_xlfn.XLOOKUP($A16,'Акция 8'!$F:$F,'Акция 8'!$L:$L,0,0)</f>
        <v>0</v>
      </c>
      <c r="AM16" s="6">
        <f>(_xlfn.XLOOKUP($A16,'Акция 8'!$F:$F,'Акция 8'!$S:$S,0,0))%</f>
        <v>0</v>
      </c>
      <c r="AN16" s="13">
        <f t="shared" si="18"/>
        <v>0</v>
      </c>
      <c r="AO16" s="50">
        <f>_xlfn.XLOOKUP($A16,'Акция 9'!$F:$F,'Акция 9'!$L:$L,0,0)</f>
        <v>0</v>
      </c>
      <c r="AP16" s="6">
        <f>(_xlfn.XLOOKUP($A16,'Акция 9'!$F:$F,'Акция 9'!$O:$O,0,0))%</f>
        <v>0</v>
      </c>
      <c r="AQ16" s="13">
        <f t="shared" si="19"/>
        <v>0</v>
      </c>
      <c r="AR16" s="50">
        <f>_xlfn.XLOOKUP($A16,'Акция 10'!$F:$F,'Акция 10'!$L:$L,0,0)</f>
        <v>0</v>
      </c>
      <c r="AS16" s="6">
        <f>(_xlfn.XLOOKUP($A16,'Акция 10'!$F:$F,'Акция 10'!$O:$O,0,0))%</f>
        <v>0</v>
      </c>
      <c r="AT16" s="13">
        <f t="shared" si="20"/>
        <v>0</v>
      </c>
      <c r="AU16" s="50">
        <f>_xlfn.XLOOKUP($A16,'Акция 11'!$F:$F,'Акция 11'!$L:$L,0,0)</f>
        <v>0</v>
      </c>
      <c r="AV16" s="6">
        <f>(_xlfn.XLOOKUP($A16,'Акция 11'!$F:$F,'Акция 11'!$O:$O,0,0))%</f>
        <v>0</v>
      </c>
      <c r="AW16" s="13">
        <f t="shared" si="21"/>
        <v>0</v>
      </c>
      <c r="AX16" s="50"/>
      <c r="AY16" s="6"/>
      <c r="AZ16" s="13"/>
      <c r="BA16" s="17">
        <f t="shared" si="22"/>
        <v>750</v>
      </c>
      <c r="BB16" s="38">
        <f t="shared" si="8"/>
        <v>1</v>
      </c>
      <c r="BC16" s="33">
        <f t="shared" si="23"/>
        <v>750</v>
      </c>
      <c r="BD16" s="5">
        <f t="shared" si="24"/>
        <v>0.4</v>
      </c>
      <c r="BE16" s="53">
        <f t="shared" si="25"/>
        <v>1250</v>
      </c>
      <c r="BF16" s="54">
        <f>_xlfn.XLOOKUP(A16,[1]Юнит!$A:$A,[1]Юнит!$AU:$AU,0)</f>
        <v>0.17474666666666661</v>
      </c>
      <c r="BG16" s="54">
        <f t="shared" si="26"/>
        <v>0.17474666666666661</v>
      </c>
      <c r="BH16" s="5" t="s">
        <v>287</v>
      </c>
      <c r="BI16" s="78">
        <f t="shared" si="31"/>
        <v>1250</v>
      </c>
      <c r="BJ16" s="85">
        <f t="shared" si="27"/>
        <v>0.4</v>
      </c>
      <c r="BK16" s="88">
        <f t="shared" si="30"/>
        <v>750</v>
      </c>
      <c r="BL16" s="79">
        <f t="shared" si="28"/>
        <v>1</v>
      </c>
      <c r="BM16" s="81">
        <f>_xlfn.XLOOKUP(A16,'Текущая цена на ВБ'!C:C,'Текущая цена на ВБ'!F:F)</f>
        <v>18</v>
      </c>
      <c r="BN16" s="84">
        <f>_xlfn.XLOOKUP(A16,'Текущая цена на ВБ'!C:C,'Текущая цена на ВБ'!H:H)</f>
        <v>152</v>
      </c>
    </row>
    <row r="17" spans="1:66" ht="24.95" customHeight="1" x14ac:dyDescent="0.25">
      <c r="A17" s="124">
        <f>[1]Юнит!A16</f>
        <v>236929187</v>
      </c>
      <c r="B17" s="124" t="str">
        <f>[1]Юнит!C16</f>
        <v>AHMA1BW112WH</v>
      </c>
      <c r="C17" s="125" t="str">
        <f>[1]Юнит!D16</f>
        <v>Мешок 60*80 крупн</v>
      </c>
      <c r="D17" s="126">
        <f>[1]Юнит!E16</f>
        <v>2040335626849</v>
      </c>
      <c r="E17" s="50">
        <v>669</v>
      </c>
      <c r="F17" s="6">
        <v>0.4</v>
      </c>
      <c r="G17" s="150" t="s">
        <v>415</v>
      </c>
      <c r="H17" s="54">
        <v>0.23978648119773474</v>
      </c>
      <c r="I17" s="71">
        <f>_xlfn.XLOOKUP(D17,[1]Юнит!$E:$E,[1]Юнит!$AN:$AN)</f>
        <v>669</v>
      </c>
      <c r="J17" s="6">
        <f t="shared" si="9"/>
        <v>0.3</v>
      </c>
      <c r="K17" s="153">
        <f t="shared" si="32"/>
        <v>955.71428571428578</v>
      </c>
      <c r="L17" s="54">
        <f>_xlfn.XLOOKUP(D17,[1]Юнит!$E:$E,[1]Юнит!$AR:$AR)</f>
        <v>0.23967963111737531</v>
      </c>
      <c r="M17" s="50">
        <f t="shared" si="10"/>
        <v>669</v>
      </c>
      <c r="N17" s="6">
        <f>_xlfn.XLOOKUP($A17,'Текущая цена на ВБ'!$C:$C,'Текущая цена на ВБ'!$K:$K,0,0)%</f>
        <v>0.4</v>
      </c>
      <c r="O17" s="150" t="str">
        <f>_xlfn.XLOOKUP($A17,'Текущая цена на ВБ'!$C:$C,'Текущая цена на ВБ'!$I:$I,0)</f>
        <v>1115</v>
      </c>
      <c r="P17" s="54">
        <f>_xlfn.XLOOKUP($A17,[1]Юнит!$A:$A,[1]Юнит!$AJ:$AJ,0)</f>
        <v>0.23967963111737531</v>
      </c>
      <c r="Q17" s="50">
        <f>_xlfn.XLOOKUP($A17,'Акция 1'!$F:$F,'Акция 1'!$L:$L,0,0)</f>
        <v>0</v>
      </c>
      <c r="R17" s="6">
        <f>(_xlfn.XLOOKUP($A17,'Акция 1'!$F:$F,'Акция 1'!$P:$P,0,0))%</f>
        <v>0</v>
      </c>
      <c r="S17" s="13">
        <f t="shared" si="11"/>
        <v>0</v>
      </c>
      <c r="T17" s="50">
        <f>_xlfn.XLOOKUP($A17,'Акция 2'!$F:$F,'Акция 2'!$L:$L,0,0)</f>
        <v>669</v>
      </c>
      <c r="U17" s="6">
        <f>(_xlfn.XLOOKUP($A17,'Акция 2'!$F:$F,'Акция 2'!$O:$O,0,0))%</f>
        <v>0.3</v>
      </c>
      <c r="V17" s="13">
        <f t="shared" si="12"/>
        <v>955.71428571428578</v>
      </c>
      <c r="W17" s="50">
        <f>_xlfn.XLOOKUP($A17,'Акция 3'!$F:$F,'Акция 3'!$L:$L,0,0)</f>
        <v>595</v>
      </c>
      <c r="X17" s="6">
        <f>(_xlfn.XLOOKUP($A17,'Акция 3'!$F:$F,'Акция 3'!$P:$P,0,0))%</f>
        <v>0.38</v>
      </c>
      <c r="Y17" s="13">
        <f t="shared" si="13"/>
        <v>959.67741935483866</v>
      </c>
      <c r="Z17" s="50">
        <f>_xlfn.XLOOKUP($A17,'Акция 4'!$F:$F,'Акция 4'!$L:$L,0,0)</f>
        <v>0</v>
      </c>
      <c r="AA17" s="6">
        <f>(_xlfn.XLOOKUP($A17,'Акция 4'!$F:$F,'Акция 4'!$P:$P,0,0))%</f>
        <v>0</v>
      </c>
      <c r="AB17" s="13">
        <f t="shared" si="14"/>
        <v>0</v>
      </c>
      <c r="AC17" s="50">
        <f>_xlfn.XLOOKUP($A17,'Акция 5'!$F:$F,'Акция 5'!$L:$L,0,0)</f>
        <v>0</v>
      </c>
      <c r="AD17" s="6">
        <f>(_xlfn.XLOOKUP($A17,'Акция 5'!$F:$F,'Акция 5'!O:O,0,0))%</f>
        <v>0</v>
      </c>
      <c r="AE17" s="13">
        <f t="shared" si="15"/>
        <v>0</v>
      </c>
      <c r="AF17" s="50">
        <f>_xlfn.XLOOKUP($A17,'Акция 6'!$F:$F,'Акция 6'!$L:$L,0,0)</f>
        <v>0</v>
      </c>
      <c r="AG17" s="6">
        <f>(_xlfn.XLOOKUP($A17,'Акция 6'!$F:$F,'Акция 6'!$O:$O,0,0))%</f>
        <v>0</v>
      </c>
      <c r="AH17" s="13">
        <f t="shared" si="16"/>
        <v>0</v>
      </c>
      <c r="AI17" s="50">
        <f>_xlfn.XLOOKUP($A17,'Акция 7'!$F:$F,'Акция 7'!$L:$L,0,0)</f>
        <v>0</v>
      </c>
      <c r="AJ17" s="6">
        <f>(_xlfn.XLOOKUP($A17,'Акция 7'!$F:$F,'Акция 7'!$O:$O,0,0))%</f>
        <v>0</v>
      </c>
      <c r="AK17" s="13">
        <f t="shared" si="17"/>
        <v>0</v>
      </c>
      <c r="AL17" s="50">
        <f>_xlfn.XLOOKUP($A17,'Акция 8'!$F:$F,'Акция 8'!$L:$L,0,0)</f>
        <v>0</v>
      </c>
      <c r="AM17" s="6">
        <f>(_xlfn.XLOOKUP($A17,'Акция 8'!$F:$F,'Акция 8'!$S:$S,0,0))%</f>
        <v>0</v>
      </c>
      <c r="AN17" s="13">
        <f t="shared" si="18"/>
        <v>0</v>
      </c>
      <c r="AO17" s="50">
        <f>_xlfn.XLOOKUP($A17,'Акция 9'!$F:$F,'Акция 9'!$L:$L,0,0)</f>
        <v>0</v>
      </c>
      <c r="AP17" s="6">
        <f>(_xlfn.XLOOKUP($A17,'Акция 9'!$F:$F,'Акция 9'!$O:$O,0,0))%</f>
        <v>0</v>
      </c>
      <c r="AQ17" s="13">
        <f t="shared" si="19"/>
        <v>0</v>
      </c>
      <c r="AR17" s="50">
        <f>_xlfn.XLOOKUP($A17,'Акция 10'!$F:$F,'Акция 10'!$L:$L,0,0)</f>
        <v>0</v>
      </c>
      <c r="AS17" s="6">
        <f>(_xlfn.XLOOKUP($A17,'Акция 10'!$F:$F,'Акция 10'!$O:$O,0,0))%</f>
        <v>0</v>
      </c>
      <c r="AT17" s="13">
        <f t="shared" si="20"/>
        <v>0</v>
      </c>
      <c r="AU17" s="50">
        <f>_xlfn.XLOOKUP($A17,'Акция 11'!$F:$F,'Акция 11'!$L:$L,0,0)</f>
        <v>0</v>
      </c>
      <c r="AV17" s="6">
        <f>(_xlfn.XLOOKUP($A17,'Акция 11'!$F:$F,'Акция 11'!$O:$O,0,0))%</f>
        <v>0</v>
      </c>
      <c r="AW17" s="13">
        <f t="shared" si="21"/>
        <v>0</v>
      </c>
      <c r="AX17" s="50"/>
      <c r="AY17" s="6"/>
      <c r="AZ17" s="13"/>
      <c r="BA17" s="17">
        <f t="shared" si="22"/>
        <v>669</v>
      </c>
      <c r="BB17" s="38">
        <f t="shared" si="8"/>
        <v>2</v>
      </c>
      <c r="BC17" s="33">
        <f t="shared" si="23"/>
        <v>669</v>
      </c>
      <c r="BD17" s="5">
        <f t="shared" si="24"/>
        <v>0.4</v>
      </c>
      <c r="BE17" s="53">
        <f t="shared" si="25"/>
        <v>1115</v>
      </c>
      <c r="BF17" s="54">
        <f>_xlfn.XLOOKUP(A17,[1]Юнит!$A:$A,[1]Юнит!$AU:$AU,0)</f>
        <v>0.23967963111737531</v>
      </c>
      <c r="BG17" s="54">
        <f t="shared" si="26"/>
        <v>0.23967963111737531</v>
      </c>
      <c r="BH17" s="5"/>
      <c r="BI17" s="78">
        <f t="shared" si="31"/>
        <v>956</v>
      </c>
      <c r="BJ17" s="85">
        <f t="shared" si="27"/>
        <v>0.3</v>
      </c>
      <c r="BK17" s="88">
        <f t="shared" si="30"/>
        <v>669</v>
      </c>
      <c r="BL17" s="79">
        <f t="shared" si="28"/>
        <v>0</v>
      </c>
      <c r="BM17" s="81">
        <f>_xlfn.XLOOKUP(A17,'Текущая цена на ВБ'!C:C,'Текущая цена на ВБ'!F:F)</f>
        <v>94</v>
      </c>
      <c r="BN17" s="84">
        <f>_xlfn.XLOOKUP(A17,'Текущая цена на ВБ'!C:C,'Текущая цена на ВБ'!H:H)</f>
        <v>72</v>
      </c>
    </row>
    <row r="18" spans="1:66" ht="24.95" customHeight="1" x14ac:dyDescent="0.25">
      <c r="A18" s="124">
        <f>[1]Юнит!A17</f>
        <v>236929188</v>
      </c>
      <c r="B18" s="124" t="str">
        <f>[1]Юнит!C17</f>
        <v>AHMA1BW111WH</v>
      </c>
      <c r="C18" s="125" t="str">
        <f>[1]Юнит!D17</f>
        <v>Мешок 60*80 мелк</v>
      </c>
      <c r="D18" s="126">
        <f>[1]Юнит!E17</f>
        <v>2040335648124</v>
      </c>
      <c r="E18" s="50">
        <v>669</v>
      </c>
      <c r="F18" s="6">
        <v>0.3</v>
      </c>
      <c r="G18" s="150" t="s">
        <v>352</v>
      </c>
      <c r="H18" s="54">
        <v>0.23978648119773474</v>
      </c>
      <c r="I18" s="71">
        <f>_xlfn.XLOOKUP(D18,[1]Юнит!$E:$E,[1]Юнит!$AN:$AN)</f>
        <v>669</v>
      </c>
      <c r="J18" s="6">
        <f t="shared" si="9"/>
        <v>0.3</v>
      </c>
      <c r="K18" s="153">
        <f t="shared" si="32"/>
        <v>955.71428571428578</v>
      </c>
      <c r="L18" s="54">
        <f>_xlfn.XLOOKUP(D18,[1]Юнит!$E:$E,[1]Юнит!$AR:$AR)</f>
        <v>0.23958013933860095</v>
      </c>
      <c r="M18" s="50">
        <f t="shared" si="10"/>
        <v>669</v>
      </c>
      <c r="N18" s="6">
        <f>_xlfn.XLOOKUP($A18,'Текущая цена на ВБ'!$C:$C,'Текущая цена на ВБ'!$K:$K,0,0)%</f>
        <v>0.3</v>
      </c>
      <c r="O18" s="150" t="str">
        <f>_xlfn.XLOOKUP($A18,'Текущая цена на ВБ'!$C:$C,'Текущая цена на ВБ'!$I:$I,0)</f>
        <v>956</v>
      </c>
      <c r="P18" s="54">
        <f>_xlfn.XLOOKUP($A18,[1]Юнит!$A:$A,[1]Юнит!$AJ:$AJ,0)</f>
        <v>0.23978648119773474</v>
      </c>
      <c r="Q18" s="50">
        <f>_xlfn.XLOOKUP($A18,'Акция 1'!$F:$F,'Акция 1'!$L:$L,0,0)</f>
        <v>0</v>
      </c>
      <c r="R18" s="6">
        <f>(_xlfn.XLOOKUP($A18,'Акция 1'!$F:$F,'Акция 1'!$P:$P,0,0))%</f>
        <v>0</v>
      </c>
      <c r="S18" s="13">
        <f t="shared" si="11"/>
        <v>0</v>
      </c>
      <c r="T18" s="50">
        <f>_xlfn.XLOOKUP($A18,'Акция 2'!$F:$F,'Акция 2'!$L:$L,0,0)</f>
        <v>0</v>
      </c>
      <c r="U18" s="6">
        <f>(_xlfn.XLOOKUP($A18,'Акция 2'!$F:$F,'Акция 2'!$O:$O,0,0))%</f>
        <v>0</v>
      </c>
      <c r="V18" s="13">
        <f t="shared" si="12"/>
        <v>0</v>
      </c>
      <c r="W18" s="50">
        <f>_xlfn.XLOOKUP($A18,'Акция 3'!$F:$F,'Акция 3'!$L:$L,0,0)</f>
        <v>0</v>
      </c>
      <c r="X18" s="6">
        <f>(_xlfn.XLOOKUP($A18,'Акция 3'!$F:$F,'Акция 3'!$P:$P,0,0))%</f>
        <v>0</v>
      </c>
      <c r="Y18" s="13">
        <f t="shared" si="13"/>
        <v>0</v>
      </c>
      <c r="Z18" s="50">
        <f>_xlfn.XLOOKUP($A18,'Акция 4'!$F:$F,'Акция 4'!$L:$L,0,0)</f>
        <v>0</v>
      </c>
      <c r="AA18" s="6">
        <f>(_xlfn.XLOOKUP($A18,'Акция 4'!$F:$F,'Акция 4'!$P:$P,0,0))%</f>
        <v>0</v>
      </c>
      <c r="AB18" s="13">
        <f t="shared" si="14"/>
        <v>0</v>
      </c>
      <c r="AC18" s="50">
        <f>_xlfn.XLOOKUP($A18,'Акция 5'!$F:$F,'Акция 5'!$L:$L,0,0)</f>
        <v>0</v>
      </c>
      <c r="AD18" s="6">
        <f>(_xlfn.XLOOKUP($A18,'Акция 5'!$F:$F,'Акция 5'!O:O,0,0))%</f>
        <v>0</v>
      </c>
      <c r="AE18" s="13">
        <f t="shared" si="15"/>
        <v>0</v>
      </c>
      <c r="AF18" s="50">
        <f>_xlfn.XLOOKUP($A18,'Акция 6'!$F:$F,'Акция 6'!$L:$L,0,0)</f>
        <v>0</v>
      </c>
      <c r="AG18" s="6">
        <f>(_xlfn.XLOOKUP($A18,'Акция 6'!$F:$F,'Акция 6'!$O:$O,0,0))%</f>
        <v>0</v>
      </c>
      <c r="AH18" s="13">
        <f t="shared" si="16"/>
        <v>0</v>
      </c>
      <c r="AI18" s="50">
        <f>_xlfn.XLOOKUP($A18,'Акция 7'!$F:$F,'Акция 7'!$L:$L,0,0)</f>
        <v>0</v>
      </c>
      <c r="AJ18" s="6">
        <f>(_xlfn.XLOOKUP($A18,'Акция 7'!$F:$F,'Акция 7'!$O:$O,0,0))%</f>
        <v>0</v>
      </c>
      <c r="AK18" s="13">
        <f t="shared" si="17"/>
        <v>0</v>
      </c>
      <c r="AL18" s="50">
        <f>_xlfn.XLOOKUP($A18,'Акция 8'!$F:$F,'Акция 8'!$L:$L,0,0)</f>
        <v>0</v>
      </c>
      <c r="AM18" s="6">
        <f>(_xlfn.XLOOKUP($A18,'Акция 8'!$F:$F,'Акция 8'!$S:$S,0,0))%</f>
        <v>0</v>
      </c>
      <c r="AN18" s="13">
        <f t="shared" si="18"/>
        <v>0</v>
      </c>
      <c r="AO18" s="50">
        <f>_xlfn.XLOOKUP($A18,'Акция 9'!$F:$F,'Акция 9'!$L:$L,0,0)</f>
        <v>0</v>
      </c>
      <c r="AP18" s="6">
        <f>(_xlfn.XLOOKUP($A18,'Акция 9'!$F:$F,'Акция 9'!$O:$O,0,0))%</f>
        <v>0</v>
      </c>
      <c r="AQ18" s="13">
        <f t="shared" si="19"/>
        <v>0</v>
      </c>
      <c r="AR18" s="50">
        <f>_xlfn.XLOOKUP($A18,'Акция 10'!$F:$F,'Акция 10'!$L:$L,0,0)</f>
        <v>0</v>
      </c>
      <c r="AS18" s="6">
        <f>(_xlfn.XLOOKUP($A18,'Акция 10'!$F:$F,'Акция 10'!$O:$O,0,0))%</f>
        <v>0</v>
      </c>
      <c r="AT18" s="13">
        <f t="shared" si="20"/>
        <v>0</v>
      </c>
      <c r="AU18" s="50">
        <f>_xlfn.XLOOKUP($A18,'Акция 11'!$F:$F,'Акция 11'!$L:$L,0,0)</f>
        <v>0</v>
      </c>
      <c r="AV18" s="6">
        <f>(_xlfn.XLOOKUP($A18,'Акция 11'!$F:$F,'Акция 11'!$O:$O,0,0))%</f>
        <v>0</v>
      </c>
      <c r="AW18" s="13">
        <f t="shared" si="21"/>
        <v>0</v>
      </c>
      <c r="AX18" s="50"/>
      <c r="AY18" s="6"/>
      <c r="AZ18" s="13"/>
      <c r="BA18" s="17">
        <f t="shared" si="22"/>
        <v>0</v>
      </c>
      <c r="BB18" s="38">
        <f t="shared" si="8"/>
        <v>0</v>
      </c>
      <c r="BC18" s="33">
        <f t="shared" si="23"/>
        <v>0</v>
      </c>
      <c r="BD18" s="5">
        <f t="shared" si="24"/>
        <v>0</v>
      </c>
      <c r="BE18" s="53">
        <f t="shared" si="25"/>
        <v>0</v>
      </c>
      <c r="BF18" s="54">
        <f>_xlfn.XLOOKUP(A18,[1]Юнит!$A:$A,[1]Юнит!$AU:$AU,0)</f>
        <v>0</v>
      </c>
      <c r="BG18" s="54">
        <f t="shared" si="26"/>
        <v>0.23978648119773474</v>
      </c>
      <c r="BH18" s="5" t="s">
        <v>287</v>
      </c>
      <c r="BI18" s="78">
        <f t="shared" si="31"/>
        <v>0</v>
      </c>
      <c r="BJ18" s="85">
        <f t="shared" si="27"/>
        <v>0</v>
      </c>
      <c r="BK18" s="88">
        <f t="shared" si="30"/>
        <v>0</v>
      </c>
      <c r="BL18" s="79">
        <f t="shared" si="28"/>
        <v>1</v>
      </c>
      <c r="BM18" s="81">
        <f>_xlfn.XLOOKUP(A18,'Текущая цена на ВБ'!C:C,'Текущая цена на ВБ'!F:F)</f>
        <v>130</v>
      </c>
      <c r="BN18" s="84">
        <f>_xlfn.XLOOKUP(A18,'Текущая цена на ВБ'!C:C,'Текущая цена на ВБ'!H:H)</f>
        <v>999</v>
      </c>
    </row>
    <row r="19" spans="1:66" ht="24.95" customHeight="1" x14ac:dyDescent="0.25">
      <c r="A19" s="124">
        <f>[1]Юнит!A18</f>
        <v>239235150</v>
      </c>
      <c r="B19" s="124" t="str">
        <f>[1]Юнит!C18</f>
        <v>AHMA1BW301WH</v>
      </c>
      <c r="C19" s="125" t="str">
        <f>[1]Юнит!D18</f>
        <v>Мешок для обуви L - 30 см</v>
      </c>
      <c r="D19" s="126">
        <f>[1]Юнит!E18</f>
        <v>2040478720961</v>
      </c>
      <c r="E19" s="50">
        <v>494</v>
      </c>
      <c r="F19" s="6">
        <v>0.4</v>
      </c>
      <c r="G19" s="150" t="s">
        <v>384</v>
      </c>
      <c r="H19" s="54">
        <v>9.5462089151777618E-2</v>
      </c>
      <c r="I19" s="71">
        <f>_xlfn.XLOOKUP(D19,[1]Юнит!$E:$E,[1]Юнит!$AN:$AN)</f>
        <v>499</v>
      </c>
      <c r="J19" s="6">
        <f t="shared" si="9"/>
        <v>0.3</v>
      </c>
      <c r="K19" s="153">
        <f t="shared" si="32"/>
        <v>712.85714285714289</v>
      </c>
      <c r="L19" s="54">
        <f>_xlfn.XLOOKUP(D19,[1]Юнит!$E:$E,[1]Юнит!$AR:$AR)</f>
        <v>0.10599871743486969</v>
      </c>
      <c r="M19" s="50">
        <f t="shared" si="10"/>
        <v>494</v>
      </c>
      <c r="N19" s="6">
        <f>_xlfn.XLOOKUP($A19,'Текущая цена на ВБ'!$C:$C,'Текущая цена на ВБ'!$K:$K,0,0)%</f>
        <v>0.4</v>
      </c>
      <c r="O19" s="150" t="str">
        <f>_xlfn.XLOOKUP($A19,'Текущая цена на ВБ'!$C:$C,'Текущая цена на ВБ'!$I:$I,0)</f>
        <v>823</v>
      </c>
      <c r="P19" s="54">
        <f>_xlfn.XLOOKUP($A19,[1]Юнит!$A:$A,[1]Юнит!$AJ:$AJ,0)</f>
        <v>9.7321506682867431E-2</v>
      </c>
      <c r="Q19" s="50">
        <f>_xlfn.XLOOKUP($A19,'Акция 1'!$F:$F,'Акция 1'!$L:$L,0,0)</f>
        <v>494</v>
      </c>
      <c r="R19" s="6">
        <f>(_xlfn.XLOOKUP($A19,'Акция 1'!$F:$F,'Акция 1'!$P:$P,0,0))%</f>
        <v>0.31</v>
      </c>
      <c r="S19" s="13">
        <f t="shared" si="11"/>
        <v>715.94202898550725</v>
      </c>
      <c r="T19" s="50">
        <f>_xlfn.XLOOKUP($A19,'Акция 2'!$F:$F,'Акция 2'!$L:$L,0,0)</f>
        <v>0</v>
      </c>
      <c r="U19" s="6">
        <f>(_xlfn.XLOOKUP($A19,'Акция 2'!$F:$F,'Акция 2'!$O:$O,0,0))%</f>
        <v>0</v>
      </c>
      <c r="V19" s="13">
        <f t="shared" si="12"/>
        <v>0</v>
      </c>
      <c r="W19" s="50">
        <f>_xlfn.XLOOKUP($A19,'Акция 3'!$F:$F,'Акция 3'!$L:$L,0,0)</f>
        <v>346</v>
      </c>
      <c r="X19" s="6">
        <f>(_xlfn.XLOOKUP($A19,'Акция 3'!$F:$F,'Акция 3'!$P:$P,0,0))%</f>
        <v>0.52</v>
      </c>
      <c r="Y19" s="13">
        <f t="shared" si="13"/>
        <v>720.83333333333337</v>
      </c>
      <c r="Z19" s="50">
        <f>_xlfn.XLOOKUP($A19,'Акция 4'!$F:$F,'Акция 4'!$L:$L,0,0)</f>
        <v>0</v>
      </c>
      <c r="AA19" s="6">
        <f>(_xlfn.XLOOKUP($A19,'Акция 4'!$F:$F,'Акция 4'!$P:$P,0,0))%</f>
        <v>0</v>
      </c>
      <c r="AB19" s="13">
        <f t="shared" si="14"/>
        <v>0</v>
      </c>
      <c r="AC19" s="50">
        <f>_xlfn.XLOOKUP($A19,'Акция 5'!$F:$F,'Акция 5'!$L:$L,0,0)</f>
        <v>0</v>
      </c>
      <c r="AD19" s="6">
        <f>(_xlfn.XLOOKUP($A19,'Акция 5'!$F:$F,'Акция 5'!O:O,0,0))%</f>
        <v>0</v>
      </c>
      <c r="AE19" s="13">
        <f t="shared" si="15"/>
        <v>0</v>
      </c>
      <c r="AF19" s="50">
        <f>_xlfn.XLOOKUP($A19,'Акция 6'!$F:$F,'Акция 6'!$L:$L,0,0)</f>
        <v>0</v>
      </c>
      <c r="AG19" s="6">
        <f>(_xlfn.XLOOKUP($A19,'Акция 6'!$F:$F,'Акция 6'!$O:$O,0,0))%</f>
        <v>0</v>
      </c>
      <c r="AH19" s="13">
        <f t="shared" si="16"/>
        <v>0</v>
      </c>
      <c r="AI19" s="50">
        <f>_xlfn.XLOOKUP($A19,'Акция 7'!$F:$F,'Акция 7'!$L:$L,0,0)</f>
        <v>0</v>
      </c>
      <c r="AJ19" s="6">
        <f>(_xlfn.XLOOKUP($A19,'Акция 7'!$F:$F,'Акция 7'!$O:$O,0,0))%</f>
        <v>0</v>
      </c>
      <c r="AK19" s="13">
        <f t="shared" si="17"/>
        <v>0</v>
      </c>
      <c r="AL19" s="50">
        <f>_xlfn.XLOOKUP($A19,'Акция 8'!$F:$F,'Акция 8'!$L:$L,0,0)</f>
        <v>0</v>
      </c>
      <c r="AM19" s="6">
        <f>(_xlfn.XLOOKUP($A19,'Акция 8'!$F:$F,'Акция 8'!$S:$S,0,0))%</f>
        <v>0</v>
      </c>
      <c r="AN19" s="13">
        <f t="shared" si="18"/>
        <v>0</v>
      </c>
      <c r="AO19" s="50">
        <f>_xlfn.XLOOKUP($A19,'Акция 9'!$F:$F,'Акция 9'!$L:$L,0,0)</f>
        <v>0</v>
      </c>
      <c r="AP19" s="6">
        <f>(_xlfn.XLOOKUP($A19,'Акция 9'!$F:$F,'Акция 9'!$O:$O,0,0))%</f>
        <v>0</v>
      </c>
      <c r="AQ19" s="13">
        <f t="shared" si="19"/>
        <v>0</v>
      </c>
      <c r="AR19" s="50">
        <f>_xlfn.XLOOKUP($A19,'Акция 10'!$F:$F,'Акция 10'!$L:$L,0,0)</f>
        <v>0</v>
      </c>
      <c r="AS19" s="6">
        <f>(_xlfn.XLOOKUP($A19,'Акция 10'!$F:$F,'Акция 10'!$O:$O,0,0))%</f>
        <v>0</v>
      </c>
      <c r="AT19" s="13">
        <f t="shared" si="20"/>
        <v>0</v>
      </c>
      <c r="AU19" s="50">
        <f>_xlfn.XLOOKUP($A19,'Акция 11'!$F:$F,'Акция 11'!$L:$L,0,0)</f>
        <v>0</v>
      </c>
      <c r="AV19" s="6">
        <f>(_xlfn.XLOOKUP($A19,'Акция 11'!$F:$F,'Акция 11'!$O:$O,0,0))%</f>
        <v>0</v>
      </c>
      <c r="AW19" s="13">
        <f t="shared" si="21"/>
        <v>0</v>
      </c>
      <c r="AX19" s="50"/>
      <c r="AY19" s="6"/>
      <c r="AZ19" s="13"/>
      <c r="BA19" s="17">
        <f t="shared" si="22"/>
        <v>494</v>
      </c>
      <c r="BB19" s="38">
        <f t="shared" si="8"/>
        <v>1</v>
      </c>
      <c r="BC19" s="33">
        <f t="shared" si="23"/>
        <v>494</v>
      </c>
      <c r="BD19" s="5">
        <f t="shared" si="24"/>
        <v>0.4</v>
      </c>
      <c r="BE19" s="53">
        <f t="shared" si="25"/>
        <v>823.33333333333337</v>
      </c>
      <c r="BF19" s="54">
        <f>_xlfn.XLOOKUP(A19,[1]Юнит!$A:$A,[1]Юнит!$AU:$AU,0)</f>
        <v>9.7658623481781323E-2</v>
      </c>
      <c r="BG19" s="54">
        <f t="shared" si="26"/>
        <v>9.7321506682867431E-2</v>
      </c>
      <c r="BH19" s="5"/>
      <c r="BI19" s="78">
        <f t="shared" si="31"/>
        <v>713</v>
      </c>
      <c r="BJ19" s="85">
        <f t="shared" si="27"/>
        <v>0.3</v>
      </c>
      <c r="BK19" s="88">
        <f t="shared" si="30"/>
        <v>499</v>
      </c>
      <c r="BL19" s="79">
        <f t="shared" si="28"/>
        <v>0</v>
      </c>
      <c r="BM19" s="81">
        <f>_xlfn.XLOOKUP(A19,'Текущая цена на ВБ'!C:C,'Текущая цена на ВБ'!F:F)</f>
        <v>1</v>
      </c>
      <c r="BN19" s="84">
        <f>_xlfn.XLOOKUP(A19,'Текущая цена на ВБ'!C:C,'Текущая цена на ВБ'!H:H)</f>
        <v>18</v>
      </c>
    </row>
    <row r="20" spans="1:66" ht="24.95" customHeight="1" x14ac:dyDescent="0.25">
      <c r="A20" s="124">
        <f>[1]Юнит!A19</f>
        <v>239233529</v>
      </c>
      <c r="B20" s="124" t="str">
        <f>[1]Юнит!C19</f>
        <v>AHMA1BW302WH</v>
      </c>
      <c r="C20" s="125" t="str">
        <f>[1]Юнит!D19</f>
        <v>Мешок для обуви XL - 35 см</v>
      </c>
      <c r="D20" s="126">
        <f>[1]Юнит!E19</f>
        <v>2040478696884</v>
      </c>
      <c r="E20" s="50">
        <v>702</v>
      </c>
      <c r="F20" s="6">
        <v>0.4</v>
      </c>
      <c r="G20" s="150" t="s">
        <v>409</v>
      </c>
      <c r="H20" s="54">
        <v>8.1470626779403962E-2</v>
      </c>
      <c r="I20" s="71">
        <f>_xlfn.XLOOKUP(D20,[1]Юнит!$E:$E,[1]Юнит!$AN:$AN)</f>
        <v>709</v>
      </c>
      <c r="J20" s="6">
        <f t="shared" si="9"/>
        <v>0.3</v>
      </c>
      <c r="K20" s="153">
        <f t="shared" si="32"/>
        <v>1012.8571428571429</v>
      </c>
      <c r="L20" s="54">
        <f>_xlfn.XLOOKUP(D20,[1]Юнит!$E:$E,[1]Юнит!$AR:$AR)</f>
        <v>9.2052242595204517E-2</v>
      </c>
      <c r="M20" s="50">
        <f t="shared" ref="M20:M70" si="33">MROUND(O20-O20*N20,1)</f>
        <v>702</v>
      </c>
      <c r="N20" s="6">
        <f>_xlfn.XLOOKUP($A20,'Текущая цена на ВБ'!$C:$C,'Текущая цена на ВБ'!$K:$K,0,0)%</f>
        <v>0.4</v>
      </c>
      <c r="O20" s="150" t="str">
        <f>_xlfn.XLOOKUP($A20,'Текущая цена на ВБ'!$C:$C,'Текущая цена на ВБ'!$I:$I,0,0)</f>
        <v>1170</v>
      </c>
      <c r="P20" s="54">
        <f>_xlfn.XLOOKUP($A20,[1]Юнит!$A:$A,[1]Юнит!$AJ:$AJ,0)</f>
        <v>8.3696638176638152E-2</v>
      </c>
      <c r="Q20" s="50">
        <f>_xlfn.XLOOKUP($A20,'Акция 1'!$F:$F,'Акция 1'!$L:$L,0,0)</f>
        <v>702</v>
      </c>
      <c r="R20" s="6">
        <f>(_xlfn.XLOOKUP($A20,'Акция 1'!$F:$F,'Акция 1'!$P:$P,0,0))%</f>
        <v>0.31</v>
      </c>
      <c r="S20" s="13">
        <f t="shared" ref="S20:S70" si="34">Q20/(100%-R20)</f>
        <v>1017.3913043478261</v>
      </c>
      <c r="T20" s="50">
        <f>_xlfn.XLOOKUP($A20,'Акция 2'!$F:$F,'Акция 2'!$L:$L,0,0)</f>
        <v>0</v>
      </c>
      <c r="U20" s="6">
        <f>(_xlfn.XLOOKUP($A20,'Акция 2'!$F:$F,'Акция 2'!$O:$O,0,0))%</f>
        <v>0</v>
      </c>
      <c r="V20" s="13">
        <f t="shared" ref="V20:V70" si="35">T20/(100%-U20)</f>
        <v>0</v>
      </c>
      <c r="W20" s="50">
        <f>_xlfn.XLOOKUP($A20,'Акция 3'!$F:$F,'Акция 3'!$L:$L,0,0)</f>
        <v>501</v>
      </c>
      <c r="X20" s="6">
        <f>(_xlfn.XLOOKUP($A20,'Акция 3'!$F:$F,'Акция 3'!$P:$P,0,0))%</f>
        <v>0.51</v>
      </c>
      <c r="Y20" s="13">
        <f t="shared" si="13"/>
        <v>1022.4489795918367</v>
      </c>
      <c r="Z20" s="50">
        <f>_xlfn.XLOOKUP($A20,'Акция 4'!$F:$F,'Акция 4'!$L:$L,0,0)</f>
        <v>0</v>
      </c>
      <c r="AA20" s="6">
        <f>(_xlfn.XLOOKUP($A20,'Акция 4'!$F:$F,'Акция 4'!$P:$P,0,0))%</f>
        <v>0</v>
      </c>
      <c r="AB20" s="13">
        <f t="shared" ref="AB20:AB70" si="36">Z20/(100%-AA20)</f>
        <v>0</v>
      </c>
      <c r="AC20" s="50">
        <f>_xlfn.XLOOKUP($A20,'Акция 5'!$F:$F,'Акция 5'!$L:$L,0,0)</f>
        <v>0</v>
      </c>
      <c r="AD20" s="6">
        <f>(_xlfn.XLOOKUP($A20,'Акция 5'!$F:$F,'Акция 5'!O:O,0,0))%</f>
        <v>0</v>
      </c>
      <c r="AE20" s="13">
        <f t="shared" si="15"/>
        <v>0</v>
      </c>
      <c r="AF20" s="50">
        <f>_xlfn.XLOOKUP($A20,'Акция 6'!$F:$F,'Акция 6'!$L:$L,0,0)</f>
        <v>0</v>
      </c>
      <c r="AG20" s="6">
        <f>(_xlfn.XLOOKUP($A20,'Акция 6'!$F:$F,'Акция 6'!$O:$O,0,0))%</f>
        <v>0</v>
      </c>
      <c r="AH20" s="13">
        <f t="shared" si="16"/>
        <v>0</v>
      </c>
      <c r="AI20" s="50">
        <f>_xlfn.XLOOKUP($A20,'Акция 7'!$F:$F,'Акция 7'!$L:$L,0,0)</f>
        <v>0</v>
      </c>
      <c r="AJ20" s="6">
        <f>(_xlfn.XLOOKUP($A20,'Акция 7'!$F:$F,'Акция 7'!$O:$O,0,0))%</f>
        <v>0</v>
      </c>
      <c r="AK20" s="13">
        <f t="shared" si="17"/>
        <v>0</v>
      </c>
      <c r="AL20" s="50">
        <f>_xlfn.XLOOKUP($A20,'Акция 8'!$F:$F,'Акция 8'!$L:$L,0,0)</f>
        <v>0</v>
      </c>
      <c r="AM20" s="6">
        <f>(_xlfn.XLOOKUP($A20,'Акция 8'!$F:$F,'Акция 8'!$S:$S,0,0))%</f>
        <v>0</v>
      </c>
      <c r="AN20" s="13">
        <f t="shared" si="18"/>
        <v>0</v>
      </c>
      <c r="AO20" s="50">
        <f>_xlfn.XLOOKUP($A20,'Акция 9'!$F:$F,'Акция 9'!$L:$L,0,0)</f>
        <v>0</v>
      </c>
      <c r="AP20" s="6">
        <f>(_xlfn.XLOOKUP($A20,'Акция 9'!$F:$F,'Акция 9'!$O:$O,0,0))%</f>
        <v>0</v>
      </c>
      <c r="AQ20" s="13">
        <f t="shared" si="19"/>
        <v>0</v>
      </c>
      <c r="AR20" s="50">
        <f>_xlfn.XLOOKUP($A20,'Акция 10'!$F:$F,'Акция 10'!$L:$L,0,0)</f>
        <v>0</v>
      </c>
      <c r="AS20" s="6">
        <f>(_xlfn.XLOOKUP($A20,'Акция 10'!$F:$F,'Акция 10'!$O:$O,0,0))%</f>
        <v>0</v>
      </c>
      <c r="AT20" s="13">
        <f t="shared" si="20"/>
        <v>0</v>
      </c>
      <c r="AU20" s="50">
        <f>_xlfn.XLOOKUP($A20,'Акция 11'!$F:$F,'Акция 11'!$L:$L,0,0)</f>
        <v>0</v>
      </c>
      <c r="AV20" s="6">
        <f>(_xlfn.XLOOKUP($A20,'Акция 11'!$F:$F,'Акция 11'!$O:$O,0,0))%</f>
        <v>0</v>
      </c>
      <c r="AW20" s="13">
        <f t="shared" si="21"/>
        <v>0</v>
      </c>
      <c r="AX20" s="50"/>
      <c r="AY20" s="6"/>
      <c r="AZ20" s="13"/>
      <c r="BA20" s="17">
        <f t="shared" si="22"/>
        <v>702</v>
      </c>
      <c r="BB20" s="38">
        <f t="shared" si="8"/>
        <v>1</v>
      </c>
      <c r="BC20" s="33">
        <f t="shared" si="23"/>
        <v>702</v>
      </c>
      <c r="BD20" s="5">
        <f t="shared" si="24"/>
        <v>0.4</v>
      </c>
      <c r="BE20" s="53">
        <f t="shared" si="25"/>
        <v>1170</v>
      </c>
      <c r="BF20" s="54">
        <f>_xlfn.XLOOKUP(A20,[1]Юнит!$A:$A,[1]Юнит!$AU:$AU,0)</f>
        <v>8.3696638176638152E-2</v>
      </c>
      <c r="BG20" s="54">
        <f t="shared" si="26"/>
        <v>8.3696638176638152E-2</v>
      </c>
      <c r="BH20" s="5" t="s">
        <v>287</v>
      </c>
      <c r="BI20" s="78">
        <f t="shared" si="31"/>
        <v>1170</v>
      </c>
      <c r="BJ20" s="85">
        <f t="shared" si="27"/>
        <v>0.4</v>
      </c>
      <c r="BK20" s="88">
        <f t="shared" si="30"/>
        <v>702</v>
      </c>
      <c r="BL20" s="79">
        <f t="shared" si="28"/>
        <v>1</v>
      </c>
      <c r="BM20" s="81">
        <f>_xlfn.XLOOKUP(A20,'Текущая цена на ВБ'!C:C,'Текущая цена на ВБ'!F:F)</f>
        <v>55</v>
      </c>
      <c r="BN20" s="84">
        <f>_xlfn.XLOOKUP(A20,'Текущая цена на ВБ'!C:C,'Текущая цена на ВБ'!H:H)</f>
        <v>290</v>
      </c>
    </row>
    <row r="21" spans="1:66" ht="24.95" customHeight="1" x14ac:dyDescent="0.25">
      <c r="A21" s="127">
        <f>[1]Юнит!A20</f>
        <v>173605843</v>
      </c>
      <c r="B21" s="127" t="str">
        <f>[1]Юнит!C20</f>
        <v>ACRH1MS101RJ</v>
      </c>
      <c r="C21" s="128" t="str">
        <f>[1]Юнит!D20</f>
        <v>Массажер для пальцев</v>
      </c>
      <c r="D21" s="129">
        <f>[1]Юнит!E20</f>
        <v>2038430289250</v>
      </c>
      <c r="E21" s="50">
        <v>343</v>
      </c>
      <c r="F21" s="6">
        <v>0.4</v>
      </c>
      <c r="G21" s="150" t="s">
        <v>397</v>
      </c>
      <c r="H21" s="54">
        <v>-6.1096596191333043E-2</v>
      </c>
      <c r="I21" s="71">
        <f>_xlfn.XLOOKUP(D21,[1]Юнит!$E:$E,[1]Юнит!$AN:$AN)</f>
        <v>409</v>
      </c>
      <c r="J21" s="6">
        <f t="shared" si="9"/>
        <v>0.3</v>
      </c>
      <c r="K21" s="153">
        <f t="shared" si="32"/>
        <v>584.28571428571433</v>
      </c>
      <c r="L21" s="54">
        <f>_xlfn.XLOOKUP(D21,[1]Юнит!$E:$E,[1]Юнит!$AR:$AR)</f>
        <v>0.11356733496332523</v>
      </c>
      <c r="M21" s="50">
        <f t="shared" si="33"/>
        <v>343</v>
      </c>
      <c r="N21" s="6">
        <f>_xlfn.XLOOKUP($A21,'Текущая цена на ВБ'!$C:$C,'Текущая цена на ВБ'!$K:$K,0,0)%</f>
        <v>0.4</v>
      </c>
      <c r="O21" s="150" t="str">
        <f>_xlfn.XLOOKUP($A21,'Текущая цена на ВБ'!$C:$C,'Текущая цена на ВБ'!$I:$I,0,0)</f>
        <v>572</v>
      </c>
      <c r="P21" s="54">
        <f>_xlfn.XLOOKUP($A21,[1]Юнит!$A:$A,[1]Юнит!$AJ:$AJ,0)</f>
        <v>-4.2963170163170139E-2</v>
      </c>
      <c r="Q21" s="50">
        <f>_xlfn.XLOOKUP($A21,'Акция 1'!$F:$F,'Акция 1'!$L:$L,0,0)</f>
        <v>337</v>
      </c>
      <c r="R21" s="6">
        <f>(_xlfn.XLOOKUP($A21,'Акция 1'!$F:$F,'Акция 1'!$P:$P,0,0))%</f>
        <v>0.43</v>
      </c>
      <c r="S21" s="13">
        <f t="shared" si="34"/>
        <v>591.22807017543857</v>
      </c>
      <c r="T21" s="50">
        <f>_xlfn.XLOOKUP($A21,'Акция 2'!$F:$F,'Акция 2'!$L:$L,0,0)</f>
        <v>0</v>
      </c>
      <c r="U21" s="6">
        <f>(_xlfn.XLOOKUP($A21,'Акция 2'!$F:$F,'Акция 2'!$O:$O,0,0))%</f>
        <v>0</v>
      </c>
      <c r="V21" s="13">
        <f t="shared" si="35"/>
        <v>0</v>
      </c>
      <c r="W21" s="50">
        <f>_xlfn.XLOOKUP($A21,'Акция 3'!$F:$F,'Акция 3'!$L:$L,0,0)</f>
        <v>343</v>
      </c>
      <c r="X21" s="6">
        <f>(_xlfn.XLOOKUP($A21,'Акция 3'!$F:$F,'Акция 3'!$P:$P,0,0))%</f>
        <v>0.43</v>
      </c>
      <c r="Y21" s="13">
        <f t="shared" si="13"/>
        <v>601.75438596491222</v>
      </c>
      <c r="Z21" s="50">
        <f>_xlfn.XLOOKUP($A21,'Акция 4'!$F:$F,'Акция 4'!$L:$L,0,0)</f>
        <v>0</v>
      </c>
      <c r="AA21" s="6">
        <f>(_xlfn.XLOOKUP($A21,'Акция 4'!$F:$F,'Акция 4'!$P:$P,0,0))%</f>
        <v>0</v>
      </c>
      <c r="AB21" s="13">
        <f t="shared" si="36"/>
        <v>0</v>
      </c>
      <c r="AC21" s="50">
        <f>_xlfn.XLOOKUP($A21,'Акция 5'!$F:$F,'Акция 5'!$L:$L,0,0)</f>
        <v>0</v>
      </c>
      <c r="AD21" s="6">
        <f>(_xlfn.XLOOKUP($A21,'Акция 5'!$F:$F,'Акция 5'!O:O,0,0))%</f>
        <v>0</v>
      </c>
      <c r="AE21" s="13">
        <f t="shared" si="15"/>
        <v>0</v>
      </c>
      <c r="AF21" s="50">
        <f>_xlfn.XLOOKUP($A21,'Акция 6'!$F:$F,'Акция 6'!$L:$L,0,0)</f>
        <v>0</v>
      </c>
      <c r="AG21" s="6">
        <f>(_xlfn.XLOOKUP($A21,'Акция 6'!$F:$F,'Акция 6'!$O:$O,0,0))%</f>
        <v>0</v>
      </c>
      <c r="AH21" s="13">
        <f t="shared" si="16"/>
        <v>0</v>
      </c>
      <c r="AI21" s="50">
        <f>_xlfn.XLOOKUP($A21,'Акция 7'!$F:$F,'Акция 7'!$L:$L,0,0)</f>
        <v>0</v>
      </c>
      <c r="AJ21" s="6">
        <f>(_xlfn.XLOOKUP($A21,'Акция 7'!$F:$F,'Акция 7'!$O:$O,0,0))%</f>
        <v>0</v>
      </c>
      <c r="AK21" s="13">
        <f t="shared" si="17"/>
        <v>0</v>
      </c>
      <c r="AL21" s="50">
        <f>_xlfn.XLOOKUP($A21,'Акция 8'!$F:$F,'Акция 8'!$L:$L,0,0)</f>
        <v>0</v>
      </c>
      <c r="AM21" s="6">
        <f>(_xlfn.XLOOKUP($A21,'Акция 8'!$F:$F,'Акция 8'!$S:$S,0,0))%</f>
        <v>0</v>
      </c>
      <c r="AN21" s="13">
        <f t="shared" si="18"/>
        <v>0</v>
      </c>
      <c r="AO21" s="50">
        <f>_xlfn.XLOOKUP($A21,'Акция 9'!$F:$F,'Акция 9'!$L:$L,0,0)</f>
        <v>0</v>
      </c>
      <c r="AP21" s="6">
        <f>(_xlfn.XLOOKUP($A21,'Акция 9'!$F:$F,'Акция 9'!$O:$O,0,0))%</f>
        <v>0</v>
      </c>
      <c r="AQ21" s="13">
        <f t="shared" si="19"/>
        <v>0</v>
      </c>
      <c r="AR21" s="50">
        <f>_xlfn.XLOOKUP($A21,'Акция 10'!$F:$F,'Акция 10'!$L:$L,0,0)</f>
        <v>0</v>
      </c>
      <c r="AS21" s="6">
        <f>(_xlfn.XLOOKUP($A21,'Акция 10'!$F:$F,'Акция 10'!$O:$O,0,0))%</f>
        <v>0</v>
      </c>
      <c r="AT21" s="13">
        <f t="shared" si="20"/>
        <v>0</v>
      </c>
      <c r="AU21" s="50">
        <f>_xlfn.XLOOKUP($A21,'Акция 11'!$F:$F,'Акция 11'!$L:$L,0,0)</f>
        <v>0</v>
      </c>
      <c r="AV21" s="6">
        <f>(_xlfn.XLOOKUP($A21,'Акция 11'!$F:$F,'Акция 11'!$O:$O,0,0))%</f>
        <v>0</v>
      </c>
      <c r="AW21" s="13">
        <f t="shared" si="21"/>
        <v>0</v>
      </c>
      <c r="AX21" s="50"/>
      <c r="AY21" s="6"/>
      <c r="AZ21" s="13"/>
      <c r="BA21" s="17">
        <f t="shared" si="22"/>
        <v>343</v>
      </c>
      <c r="BB21" s="38">
        <f t="shared" si="8"/>
        <v>3</v>
      </c>
      <c r="BC21" s="33">
        <f t="shared" si="23"/>
        <v>343</v>
      </c>
      <c r="BD21" s="5">
        <f t="shared" si="24"/>
        <v>0.4</v>
      </c>
      <c r="BE21" s="53">
        <f t="shared" si="25"/>
        <v>571.66666666666674</v>
      </c>
      <c r="BF21" s="54">
        <f>_xlfn.XLOOKUP(A21,[1]Юнит!$A:$A,[1]Юнит!$AU:$AU,0)</f>
        <v>-4.3530495626822104E-2</v>
      </c>
      <c r="BG21" s="54">
        <f t="shared" si="26"/>
        <v>-4.2963170163170139E-2</v>
      </c>
      <c r="BH21" s="5" t="s">
        <v>287</v>
      </c>
      <c r="BI21" s="78">
        <f t="shared" si="31"/>
        <v>572</v>
      </c>
      <c r="BJ21" s="85">
        <f t="shared" si="27"/>
        <v>0.4</v>
      </c>
      <c r="BK21" s="88">
        <f t="shared" si="30"/>
        <v>343</v>
      </c>
      <c r="BL21" s="79">
        <f t="shared" si="28"/>
        <v>1</v>
      </c>
      <c r="BM21" s="81">
        <f>_xlfn.XLOOKUP(A21,'Текущая цена на ВБ'!C:C,'Текущая цена на ВБ'!F:F)</f>
        <v>535</v>
      </c>
      <c r="BN21" s="84">
        <f>_xlfn.XLOOKUP(A21,'Текущая цена на ВБ'!C:C,'Текущая цена на ВБ'!H:H)</f>
        <v>999</v>
      </c>
    </row>
    <row r="22" spans="1:66" ht="24.95" customHeight="1" x14ac:dyDescent="0.25">
      <c r="A22" s="127">
        <f>[1]Юнит!A21</f>
        <v>223420736</v>
      </c>
      <c r="B22" s="127" t="str">
        <f>[1]Юнит!C21</f>
        <v>ACRB1MS101RJ</v>
      </c>
      <c r="C22" s="128" t="str">
        <f>[1]Юнит!D21</f>
        <v>Массажер для тела оранжевый</v>
      </c>
      <c r="D22" s="129">
        <f>[1]Юнит!E21</f>
        <v>2039813223373</v>
      </c>
      <c r="E22" s="50">
        <v>901</v>
      </c>
      <c r="F22" s="6">
        <v>0.4</v>
      </c>
      <c r="G22" s="150" t="s">
        <v>401</v>
      </c>
      <c r="H22" s="54">
        <v>0.24464343571976888</v>
      </c>
      <c r="I22" s="71">
        <f>_xlfn.XLOOKUP(D22,[1]Юнит!$E:$E,[1]Юнит!$AN:$AN)</f>
        <v>919</v>
      </c>
      <c r="J22" s="6">
        <f t="shared" si="9"/>
        <v>0.3</v>
      </c>
      <c r="K22" s="153">
        <f t="shared" si="32"/>
        <v>1312.8571428571429</v>
      </c>
      <c r="L22" s="54">
        <f>_xlfn.XLOOKUP(D22,[1]Юнит!$E:$E,[1]Юнит!$AR:$AR)</f>
        <v>0.26094323955172843</v>
      </c>
      <c r="M22" s="50">
        <f t="shared" si="33"/>
        <v>901</v>
      </c>
      <c r="N22" s="6">
        <f>_xlfn.XLOOKUP($A22,'Текущая цена на ВБ'!$C:$C,'Текущая цена на ВБ'!$K:$K,0,0)%</f>
        <v>0.4</v>
      </c>
      <c r="O22" s="150" t="str">
        <f>_xlfn.XLOOKUP($A22,'Текущая цена на ВБ'!$C:$C,'Текущая цена на ВБ'!$I:$I,0,0)</f>
        <v>1502</v>
      </c>
      <c r="P22" s="54">
        <f>_xlfn.XLOOKUP($A22,[1]Юнит!$A:$A,[1]Юнит!$AJ:$AJ,0)</f>
        <v>0.24772840340439237</v>
      </c>
      <c r="Q22" s="50">
        <f>_xlfn.XLOOKUP($A22,'Акция 1'!$F:$F,'Акция 1'!$L:$L,0,0)</f>
        <v>901</v>
      </c>
      <c r="R22" s="6">
        <f>(_xlfn.XLOOKUP($A22,'Акция 1'!$F:$F,'Акция 1'!$P:$P,0,0))%</f>
        <v>0.32</v>
      </c>
      <c r="S22" s="13">
        <f t="shared" si="34"/>
        <v>1325.0000000000002</v>
      </c>
      <c r="T22" s="50">
        <f>_xlfn.XLOOKUP($A22,'Акция 2'!$F:$F,'Акция 2'!$L:$L,0,0)</f>
        <v>0</v>
      </c>
      <c r="U22" s="6">
        <f>(_xlfn.XLOOKUP($A22,'Акция 2'!$F:$F,'Акция 2'!$O:$O,0,0))%</f>
        <v>0</v>
      </c>
      <c r="V22" s="13">
        <f t="shared" si="35"/>
        <v>0</v>
      </c>
      <c r="W22" s="50">
        <f>_xlfn.XLOOKUP($A22,'Акция 3'!$F:$F,'Акция 3'!$L:$L,0,0)</f>
        <v>771</v>
      </c>
      <c r="X22" s="6">
        <f>(_xlfn.XLOOKUP($A22,'Акция 3'!$F:$F,'Акция 3'!$P:$P,0,0))%</f>
        <v>0.42</v>
      </c>
      <c r="Y22" s="13">
        <f t="shared" si="13"/>
        <v>1329.3103448275861</v>
      </c>
      <c r="Z22" s="50">
        <f>_xlfn.XLOOKUP($A22,'Акция 4'!$F:$F,'Акция 4'!$L:$L,0,0)</f>
        <v>0</v>
      </c>
      <c r="AA22" s="6">
        <f>(_xlfn.XLOOKUP($A22,'Акция 4'!$F:$F,'Акция 4'!$P:$P,0,0))%</f>
        <v>0</v>
      </c>
      <c r="AB22" s="13">
        <f t="shared" si="36"/>
        <v>0</v>
      </c>
      <c r="AC22" s="50">
        <f>_xlfn.XLOOKUP($A22,'Акция 5'!$F:$F,'Акция 5'!$L:$L,0,0)</f>
        <v>0</v>
      </c>
      <c r="AD22" s="6">
        <f>(_xlfn.XLOOKUP($A22,'Акция 5'!$F:$F,'Акция 5'!O:O,0,0))%</f>
        <v>0</v>
      </c>
      <c r="AE22" s="13">
        <f t="shared" si="15"/>
        <v>0</v>
      </c>
      <c r="AF22" s="50">
        <f>_xlfn.XLOOKUP($A22,'Акция 6'!$F:$F,'Акция 6'!$L:$L,0,0)</f>
        <v>0</v>
      </c>
      <c r="AG22" s="6">
        <f>(_xlfn.XLOOKUP($A22,'Акция 6'!$F:$F,'Акция 6'!$O:$O,0,0))%</f>
        <v>0</v>
      </c>
      <c r="AH22" s="13">
        <f t="shared" si="16"/>
        <v>0</v>
      </c>
      <c r="AI22" s="50">
        <f>_xlfn.XLOOKUP($A22,'Акция 7'!$F:$F,'Акция 7'!$L:$L,0,0)</f>
        <v>0</v>
      </c>
      <c r="AJ22" s="6">
        <f>(_xlfn.XLOOKUP($A22,'Акция 7'!$F:$F,'Акция 7'!$O:$O,0,0))%</f>
        <v>0</v>
      </c>
      <c r="AK22" s="13">
        <f t="shared" si="17"/>
        <v>0</v>
      </c>
      <c r="AL22" s="50">
        <f>_xlfn.XLOOKUP($A22,'Акция 8'!$F:$F,'Акция 8'!$L:$L,0,0)</f>
        <v>0</v>
      </c>
      <c r="AM22" s="6">
        <f>(_xlfn.XLOOKUP($A22,'Акция 8'!$F:$F,'Акция 8'!$S:$S,0,0))%</f>
        <v>0</v>
      </c>
      <c r="AN22" s="13">
        <f t="shared" si="18"/>
        <v>0</v>
      </c>
      <c r="AO22" s="50">
        <f>_xlfn.XLOOKUP($A22,'Акция 9'!$F:$F,'Акция 9'!$L:$L,0,0)</f>
        <v>0</v>
      </c>
      <c r="AP22" s="6">
        <f>(_xlfn.XLOOKUP($A22,'Акция 9'!$F:$F,'Акция 9'!$O:$O,0,0))%</f>
        <v>0</v>
      </c>
      <c r="AQ22" s="13">
        <f t="shared" si="19"/>
        <v>0</v>
      </c>
      <c r="AR22" s="50">
        <f>_xlfn.XLOOKUP($A22,'Акция 10'!$F:$F,'Акция 10'!$L:$L,0,0)</f>
        <v>0</v>
      </c>
      <c r="AS22" s="6">
        <f>(_xlfn.XLOOKUP($A22,'Акция 10'!$F:$F,'Акция 10'!$O:$O,0,0))%</f>
        <v>0</v>
      </c>
      <c r="AT22" s="13">
        <f t="shared" si="20"/>
        <v>0</v>
      </c>
      <c r="AU22" s="50">
        <f>_xlfn.XLOOKUP($A22,'Акция 11'!$F:$F,'Акция 11'!$L:$L,0,0)</f>
        <v>0</v>
      </c>
      <c r="AV22" s="6">
        <f>(_xlfn.XLOOKUP($A22,'Акция 11'!$F:$F,'Акция 11'!$O:$O,0,0))%</f>
        <v>0</v>
      </c>
      <c r="AW22" s="13">
        <f t="shared" si="21"/>
        <v>0</v>
      </c>
      <c r="AX22" s="50"/>
      <c r="AY22" s="6"/>
      <c r="AZ22" s="13"/>
      <c r="BA22" s="17">
        <f t="shared" si="22"/>
        <v>901</v>
      </c>
      <c r="BB22" s="38">
        <f t="shared" si="8"/>
        <v>1</v>
      </c>
      <c r="BC22" s="33">
        <f t="shared" si="23"/>
        <v>901</v>
      </c>
      <c r="BD22" s="5">
        <f t="shared" si="24"/>
        <v>0.4</v>
      </c>
      <c r="BE22" s="53">
        <f t="shared" si="25"/>
        <v>1501.6666666666667</v>
      </c>
      <c r="BF22" s="54">
        <f>_xlfn.XLOOKUP(A22,[1]Юнит!$A:$A,[1]Юнит!$AU:$AU,0)</f>
        <v>0.24757695576918809</v>
      </c>
      <c r="BG22" s="54">
        <f t="shared" si="26"/>
        <v>0.24772840340439237</v>
      </c>
      <c r="BH22" s="5" t="s">
        <v>287</v>
      </c>
      <c r="BI22" s="78">
        <f t="shared" si="31"/>
        <v>1502</v>
      </c>
      <c r="BJ22" s="85">
        <f t="shared" si="27"/>
        <v>0.4</v>
      </c>
      <c r="BK22" s="88">
        <f t="shared" si="30"/>
        <v>901</v>
      </c>
      <c r="BL22" s="79">
        <f t="shared" si="28"/>
        <v>1</v>
      </c>
      <c r="BM22" s="81">
        <f>_xlfn.XLOOKUP(A22,'Текущая цена на ВБ'!C:C,'Текущая цена на ВБ'!F:F)</f>
        <v>56</v>
      </c>
      <c r="BN22" s="84">
        <f>_xlfn.XLOOKUP(A22,'Текущая цена на ВБ'!C:C,'Текущая цена на ВБ'!H:H)</f>
        <v>368</v>
      </c>
    </row>
    <row r="23" spans="1:66" ht="24.95" customHeight="1" x14ac:dyDescent="0.25">
      <c r="A23" s="127">
        <f>[1]Юнит!A22</f>
        <v>275208801</v>
      </c>
      <c r="B23" s="127" t="str">
        <f>[1]Юнит!C22</f>
        <v>ACRB1MS101PN</v>
      </c>
      <c r="C23" s="128" t="str">
        <f>[1]Юнит!D22</f>
        <v>Массажер для тела розовый</v>
      </c>
      <c r="D23" s="129">
        <f>[1]Юнит!E22</f>
        <v>2041591042329</v>
      </c>
      <c r="E23" s="50">
        <v>725</v>
      </c>
      <c r="F23" s="6">
        <v>0.4</v>
      </c>
      <c r="G23" s="150" t="s">
        <v>406</v>
      </c>
      <c r="H23" s="54">
        <v>0.16603915688989612</v>
      </c>
      <c r="I23" s="71">
        <f>_xlfn.XLOOKUP(D23,[1]Юнит!$E:$E,[1]Юнит!$AN:$AN)</f>
        <v>919</v>
      </c>
      <c r="J23" s="6">
        <f t="shared" si="9"/>
        <v>0.3</v>
      </c>
      <c r="K23" s="153">
        <f t="shared" si="32"/>
        <v>1312.8571428571429</v>
      </c>
      <c r="L23" s="54">
        <f>_xlfn.XLOOKUP(D23,[1]Юнит!$E:$E,[1]Юнит!$AR:$AR)</f>
        <v>0.32866241256587436</v>
      </c>
      <c r="M23" s="50">
        <f t="shared" si="33"/>
        <v>725</v>
      </c>
      <c r="N23" s="6">
        <f>_xlfn.XLOOKUP($A23,'Текущая цена на ВБ'!$C:$C,'Текущая цена на ВБ'!$K:$K,0,0)%</f>
        <v>0.4</v>
      </c>
      <c r="O23" s="150" t="str">
        <f>_xlfn.XLOOKUP($A23,'Текущая цена на ВБ'!$C:$C,'Текущая цена на ВБ'!$I:$I,0,0)</f>
        <v>1208</v>
      </c>
      <c r="P23" s="54">
        <f>_xlfn.XLOOKUP($A23,[1]Юнит!$A:$A,[1]Юнит!$AJ:$AJ,0)</f>
        <v>0.16754243535877283</v>
      </c>
      <c r="Q23" s="50">
        <f>_xlfn.XLOOKUP($A23,'Акция 1'!$F:$F,'Акция 1'!$L:$L,0,0)</f>
        <v>725</v>
      </c>
      <c r="R23" s="6">
        <f>(_xlfn.XLOOKUP($A23,'Акция 1'!$F:$F,'Акция 1'!$P:$P,0,0))%</f>
        <v>0.45</v>
      </c>
      <c r="S23" s="13">
        <f t="shared" si="34"/>
        <v>1318.181818181818</v>
      </c>
      <c r="T23" s="50">
        <f>_xlfn.XLOOKUP($A23,'Акция 2'!$F:$F,'Акция 2'!$L:$L,0,0)</f>
        <v>0</v>
      </c>
      <c r="U23" s="6">
        <f>(_xlfn.XLOOKUP($A23,'Акция 2'!$F:$F,'Акция 2'!$O:$O,0,0))%</f>
        <v>0</v>
      </c>
      <c r="V23" s="13">
        <f t="shared" si="35"/>
        <v>0</v>
      </c>
      <c r="W23" s="50">
        <f>_xlfn.XLOOKUP($A23,'Акция 3'!$F:$F,'Акция 3'!$L:$L,0,0)</f>
        <v>545</v>
      </c>
      <c r="X23" s="6">
        <f>(_xlfn.XLOOKUP($A23,'Акция 3'!$F:$F,'Акция 3'!$P:$P,0,0))%</f>
        <v>0.59</v>
      </c>
      <c r="Y23" s="13">
        <f t="shared" si="13"/>
        <v>1329.2682926829268</v>
      </c>
      <c r="Z23" s="50">
        <f>_xlfn.XLOOKUP($A23,'Акция 4'!$F:$F,'Акция 4'!$L:$L,0,0)</f>
        <v>0</v>
      </c>
      <c r="AA23" s="6">
        <f>(_xlfn.XLOOKUP($A23,'Акция 4'!$F:$F,'Акция 4'!$P:$P,0,0))%</f>
        <v>0</v>
      </c>
      <c r="AB23" s="13">
        <f t="shared" si="36"/>
        <v>0</v>
      </c>
      <c r="AC23" s="50">
        <f>_xlfn.XLOOKUP($A23,'Акция 5'!$F:$F,'Акция 5'!$L:$L,0,0)</f>
        <v>0</v>
      </c>
      <c r="AD23" s="6">
        <f>(_xlfn.XLOOKUP($A23,'Акция 5'!$F:$F,'Акция 5'!O:O,0,0))%</f>
        <v>0</v>
      </c>
      <c r="AE23" s="13">
        <f t="shared" si="15"/>
        <v>0</v>
      </c>
      <c r="AF23" s="50">
        <f>_xlfn.XLOOKUP($A23,'Акция 6'!$F:$F,'Акция 6'!$L:$L,0,0)</f>
        <v>0</v>
      </c>
      <c r="AG23" s="6">
        <f>(_xlfn.XLOOKUP($A23,'Акция 6'!$F:$F,'Акция 6'!$O:$O,0,0))%</f>
        <v>0</v>
      </c>
      <c r="AH23" s="13">
        <f t="shared" si="16"/>
        <v>0</v>
      </c>
      <c r="AI23" s="50">
        <f>_xlfn.XLOOKUP($A23,'Акция 7'!$F:$F,'Акция 7'!$L:$L,0,0)</f>
        <v>0</v>
      </c>
      <c r="AJ23" s="6">
        <f>(_xlfn.XLOOKUP($A23,'Акция 7'!$F:$F,'Акция 7'!$O:$O,0,0))%</f>
        <v>0</v>
      </c>
      <c r="AK23" s="13">
        <f t="shared" si="17"/>
        <v>0</v>
      </c>
      <c r="AL23" s="50">
        <f>_xlfn.XLOOKUP($A23,'Акция 8'!$F:$F,'Акция 8'!$L:$L,0,0)</f>
        <v>0</v>
      </c>
      <c r="AM23" s="6">
        <f>(_xlfn.XLOOKUP($A23,'Акция 8'!$F:$F,'Акция 8'!$S:$S,0,0))%</f>
        <v>0</v>
      </c>
      <c r="AN23" s="13">
        <f t="shared" si="18"/>
        <v>0</v>
      </c>
      <c r="AO23" s="50">
        <f>_xlfn.XLOOKUP($A23,'Акция 9'!$F:$F,'Акция 9'!$L:$L,0,0)</f>
        <v>0</v>
      </c>
      <c r="AP23" s="6">
        <f>(_xlfn.XLOOKUP($A23,'Акция 9'!$F:$F,'Акция 9'!$O:$O,0,0))%</f>
        <v>0</v>
      </c>
      <c r="AQ23" s="13">
        <f t="shared" si="19"/>
        <v>0</v>
      </c>
      <c r="AR23" s="50">
        <f>_xlfn.XLOOKUP($A23,'Акция 10'!$F:$F,'Акция 10'!$L:$L,0,0)</f>
        <v>0</v>
      </c>
      <c r="AS23" s="6">
        <f>(_xlfn.XLOOKUP($A23,'Акция 10'!$F:$F,'Акция 10'!$O:$O,0,0))%</f>
        <v>0</v>
      </c>
      <c r="AT23" s="13">
        <f t="shared" si="20"/>
        <v>0</v>
      </c>
      <c r="AU23" s="50">
        <f>_xlfn.XLOOKUP($A23,'Акция 11'!$F:$F,'Акция 11'!$L:$L,0,0)</f>
        <v>0</v>
      </c>
      <c r="AV23" s="6">
        <f>(_xlfn.XLOOKUP($A23,'Акция 11'!$F:$F,'Акция 11'!$O:$O,0,0))%</f>
        <v>0</v>
      </c>
      <c r="AW23" s="13">
        <f t="shared" si="21"/>
        <v>0</v>
      </c>
      <c r="AX23" s="50"/>
      <c r="AY23" s="6"/>
      <c r="AZ23" s="13"/>
      <c r="BA23" s="17">
        <f t="shared" si="22"/>
        <v>725</v>
      </c>
      <c r="BB23" s="38">
        <f t="shared" si="8"/>
        <v>1</v>
      </c>
      <c r="BC23" s="33">
        <f t="shared" si="23"/>
        <v>725</v>
      </c>
      <c r="BD23" s="5">
        <f t="shared" si="24"/>
        <v>0.4</v>
      </c>
      <c r="BE23" s="53">
        <f t="shared" si="25"/>
        <v>1208.3333333333335</v>
      </c>
      <c r="BF23" s="54">
        <f>_xlfn.XLOOKUP(A23,[1]Юнит!$A:$A,[1]Юнит!$AU:$AU,0)</f>
        <v>0.16775276848005324</v>
      </c>
      <c r="BG23" s="54">
        <f t="shared" si="26"/>
        <v>0.16754243535877283</v>
      </c>
      <c r="BH23" s="5" t="s">
        <v>287</v>
      </c>
      <c r="BI23" s="78">
        <f t="shared" si="31"/>
        <v>1208</v>
      </c>
      <c r="BJ23" s="85">
        <f t="shared" si="27"/>
        <v>0.4</v>
      </c>
      <c r="BK23" s="88">
        <f t="shared" si="30"/>
        <v>725</v>
      </c>
      <c r="BL23" s="79">
        <f t="shared" si="28"/>
        <v>1</v>
      </c>
      <c r="BM23" s="81">
        <f>_xlfn.XLOOKUP(A23,'Текущая цена на ВБ'!C:C,'Текущая цена на ВБ'!F:F)</f>
        <v>58</v>
      </c>
      <c r="BN23" s="84">
        <f>_xlfn.XLOOKUP(A23,'Текущая цена на ВБ'!C:C,'Текущая цена на ВБ'!H:H)</f>
        <v>215</v>
      </c>
    </row>
    <row r="24" spans="1:66" ht="24.95" customHeight="1" x14ac:dyDescent="0.25">
      <c r="A24" s="127">
        <f>[1]Юнит!A23</f>
        <v>275208802</v>
      </c>
      <c r="B24" s="127" t="str">
        <f>[1]Юнит!C23</f>
        <v>ACRB1MS101BL</v>
      </c>
      <c r="C24" s="128" t="str">
        <f>[1]Юнит!D23</f>
        <v>Массажер для тела голубой</v>
      </c>
      <c r="D24" s="129">
        <f>[1]Юнит!E23</f>
        <v>2041591055954</v>
      </c>
      <c r="E24" s="50">
        <v>919</v>
      </c>
      <c r="F24" s="6">
        <v>0.3</v>
      </c>
      <c r="G24" s="150" t="s">
        <v>338</v>
      </c>
      <c r="H24" s="54">
        <v>0.25414505184206126</v>
      </c>
      <c r="I24" s="71">
        <f>_xlfn.XLOOKUP(D24,[1]Юнит!$E:$E,[1]Юнит!$AN:$AN)</f>
        <v>919</v>
      </c>
      <c r="J24" s="6">
        <f t="shared" si="9"/>
        <v>0.3</v>
      </c>
      <c r="K24" s="153">
        <f t="shared" si="32"/>
        <v>1312.8571428571429</v>
      </c>
      <c r="L24" s="54">
        <f>_xlfn.XLOOKUP(D24,[1]Юнит!$E:$E,[1]Юнит!$AR:$AR)</f>
        <v>0.2540715094102704</v>
      </c>
      <c r="M24" s="50">
        <f t="shared" si="33"/>
        <v>919</v>
      </c>
      <c r="N24" s="6">
        <f>_xlfn.XLOOKUP($A24,'Текущая цена на ВБ'!$C:$C,'Текущая цена на ВБ'!$K:$K,0,0)%</f>
        <v>0.3</v>
      </c>
      <c r="O24" s="150" t="str">
        <f>_xlfn.XLOOKUP($A24,'Текущая цена на ВБ'!$C:$C,'Текущая цена на ВБ'!$I:$I,0,0)</f>
        <v>1313</v>
      </c>
      <c r="P24" s="54">
        <f>_xlfn.XLOOKUP($A24,[1]Юнит!$A:$A,[1]Юнит!$AJ:$AJ,0)</f>
        <v>0.25414505184206126</v>
      </c>
      <c r="Q24" s="50">
        <f>_xlfn.XLOOKUP($A24,'Акция 1'!$F:$F,'Акция 1'!$L:$L,0,0)</f>
        <v>0</v>
      </c>
      <c r="R24" s="6">
        <f>(_xlfn.XLOOKUP($A24,'Акция 1'!$F:$F,'Акция 1'!$P:$P,0,0))%</f>
        <v>0</v>
      </c>
      <c r="S24" s="13">
        <f t="shared" si="34"/>
        <v>0</v>
      </c>
      <c r="T24" s="50">
        <f>_xlfn.XLOOKUP($A24,'Акция 2'!$F:$F,'Акция 2'!$L:$L,0,0)</f>
        <v>0</v>
      </c>
      <c r="U24" s="6">
        <f>(_xlfn.XLOOKUP($A24,'Акция 2'!$F:$F,'Акция 2'!$O:$O,0,0))%</f>
        <v>0</v>
      </c>
      <c r="V24" s="13">
        <f t="shared" si="35"/>
        <v>0</v>
      </c>
      <c r="W24" s="50">
        <f>_xlfn.XLOOKUP($A24,'Акция 3'!$F:$F,'Акция 3'!$L:$L,0,0)</f>
        <v>0</v>
      </c>
      <c r="X24" s="6">
        <f>(_xlfn.XLOOKUP($A24,'Акция 3'!$F:$F,'Акция 3'!$P:$P,0,0))%</f>
        <v>0</v>
      </c>
      <c r="Y24" s="13">
        <f t="shared" si="13"/>
        <v>0</v>
      </c>
      <c r="Z24" s="50">
        <f>_xlfn.XLOOKUP($A24,'Акция 4'!$F:$F,'Акция 4'!$L:$L,0,0)</f>
        <v>0</v>
      </c>
      <c r="AA24" s="6">
        <f>(_xlfn.XLOOKUP($A24,'Акция 4'!$F:$F,'Акция 4'!$P:$P,0,0))%</f>
        <v>0</v>
      </c>
      <c r="AB24" s="13">
        <f t="shared" si="36"/>
        <v>0</v>
      </c>
      <c r="AC24" s="50">
        <f>_xlfn.XLOOKUP($A24,'Акция 5'!$F:$F,'Акция 5'!$L:$L,0,0)</f>
        <v>0</v>
      </c>
      <c r="AD24" s="6">
        <f>(_xlfn.XLOOKUP($A24,'Акция 5'!$F:$F,'Акция 5'!O:O,0,0))%</f>
        <v>0</v>
      </c>
      <c r="AE24" s="13">
        <f t="shared" si="15"/>
        <v>0</v>
      </c>
      <c r="AF24" s="50">
        <f>_xlfn.XLOOKUP($A24,'Акция 6'!$F:$F,'Акция 6'!$L:$L,0,0)</f>
        <v>0</v>
      </c>
      <c r="AG24" s="6">
        <f>(_xlfn.XLOOKUP($A24,'Акция 6'!$F:$F,'Акция 6'!$O:$O,0,0))%</f>
        <v>0</v>
      </c>
      <c r="AH24" s="13">
        <f t="shared" si="16"/>
        <v>0</v>
      </c>
      <c r="AI24" s="50">
        <f>_xlfn.XLOOKUP($A24,'Акция 7'!$F:$F,'Акция 7'!$L:$L,0,0)</f>
        <v>0</v>
      </c>
      <c r="AJ24" s="6">
        <f>(_xlfn.XLOOKUP($A24,'Акция 7'!$F:$F,'Акция 7'!$O:$O,0,0))%</f>
        <v>0</v>
      </c>
      <c r="AK24" s="13">
        <f t="shared" si="17"/>
        <v>0</v>
      </c>
      <c r="AL24" s="50">
        <f>_xlfn.XLOOKUP($A24,'Акция 8'!$F:$F,'Акция 8'!$L:$L,0,0)</f>
        <v>0</v>
      </c>
      <c r="AM24" s="6">
        <f>(_xlfn.XLOOKUP($A24,'Акция 8'!$F:$F,'Акция 8'!$S:$S,0,0))%</f>
        <v>0</v>
      </c>
      <c r="AN24" s="13">
        <f t="shared" si="18"/>
        <v>0</v>
      </c>
      <c r="AO24" s="50">
        <f>_xlfn.XLOOKUP($A24,'Акция 9'!$F:$F,'Акция 9'!$L:$L,0,0)</f>
        <v>0</v>
      </c>
      <c r="AP24" s="6">
        <f>(_xlfn.XLOOKUP($A24,'Акция 9'!$F:$F,'Акция 9'!$O:$O,0,0))%</f>
        <v>0</v>
      </c>
      <c r="AQ24" s="13">
        <f t="shared" si="19"/>
        <v>0</v>
      </c>
      <c r="AR24" s="50">
        <f>_xlfn.XLOOKUP($A24,'Акция 10'!$F:$F,'Акция 10'!$L:$L,0,0)</f>
        <v>0</v>
      </c>
      <c r="AS24" s="6">
        <f>(_xlfn.XLOOKUP($A24,'Акция 10'!$F:$F,'Акция 10'!$O:$O,0,0))%</f>
        <v>0</v>
      </c>
      <c r="AT24" s="13">
        <f t="shared" si="20"/>
        <v>0</v>
      </c>
      <c r="AU24" s="50">
        <f>_xlfn.XLOOKUP($A24,'Акция 11'!$F:$F,'Акция 11'!$L:$L,0,0)</f>
        <v>0</v>
      </c>
      <c r="AV24" s="6">
        <f>(_xlfn.XLOOKUP($A24,'Акция 11'!$F:$F,'Акция 11'!$O:$O,0,0))%</f>
        <v>0</v>
      </c>
      <c r="AW24" s="13">
        <f t="shared" si="21"/>
        <v>0</v>
      </c>
      <c r="AX24" s="50"/>
      <c r="AY24" s="6"/>
      <c r="AZ24" s="13"/>
      <c r="BA24" s="17">
        <f t="shared" si="22"/>
        <v>0</v>
      </c>
      <c r="BB24" s="38">
        <f t="shared" si="8"/>
        <v>0</v>
      </c>
      <c r="BC24" s="33">
        <f t="shared" si="23"/>
        <v>0</v>
      </c>
      <c r="BD24" s="5">
        <f t="shared" si="24"/>
        <v>0</v>
      </c>
      <c r="BE24" s="53">
        <f t="shared" si="25"/>
        <v>0</v>
      </c>
      <c r="BF24" s="54">
        <f>_xlfn.XLOOKUP(A24,[1]Юнит!$A:$A,[1]Юнит!$AU:$AU,0)</f>
        <v>0</v>
      </c>
      <c r="BG24" s="54">
        <f t="shared" si="26"/>
        <v>0.25414505184206126</v>
      </c>
      <c r="BH24" s="5"/>
      <c r="BI24" s="78">
        <f t="shared" si="31"/>
        <v>1313</v>
      </c>
      <c r="BJ24" s="85">
        <f t="shared" si="27"/>
        <v>0.3</v>
      </c>
      <c r="BK24" s="88">
        <f t="shared" si="30"/>
        <v>919</v>
      </c>
      <c r="BL24" s="79">
        <f t="shared" si="28"/>
        <v>0</v>
      </c>
      <c r="BM24" s="81">
        <f>_xlfn.XLOOKUP(A24,'Текущая цена на ВБ'!C:C,'Текущая цена на ВБ'!F:F)</f>
        <v>60</v>
      </c>
      <c r="BN24" s="84">
        <f>_xlfn.XLOOKUP(A24,'Текущая цена на ВБ'!C:C,'Текущая цена на ВБ'!H:H)</f>
        <v>999</v>
      </c>
    </row>
    <row r="25" spans="1:66" ht="24.95" customHeight="1" x14ac:dyDescent="0.25">
      <c r="A25" s="127">
        <f>[1]Юнит!A24</f>
        <v>236072835</v>
      </c>
      <c r="B25" s="127" t="str">
        <f>[1]Юнит!C24</f>
        <v>ACRB1MS106WH</v>
      </c>
      <c r="C25" s="128" t="str">
        <f>[1]Юнит!D24</f>
        <v>Мяч с шипами белый 6 см</v>
      </c>
      <c r="D25" s="129">
        <f>[1]Юнит!E24</f>
        <v>2040278804496</v>
      </c>
      <c r="E25" s="50">
        <v>597</v>
      </c>
      <c r="F25" s="6">
        <v>0.4</v>
      </c>
      <c r="G25" s="150" t="s">
        <v>341</v>
      </c>
      <c r="H25" s="54">
        <v>0.22903114805466876</v>
      </c>
      <c r="I25" s="71">
        <f>_xlfn.XLOOKUP(D25,[1]Юнит!$E:$E,[1]Юнит!$AN:$AN)</f>
        <v>599</v>
      </c>
      <c r="J25" s="6">
        <f t="shared" si="9"/>
        <v>0.3</v>
      </c>
      <c r="K25" s="153">
        <f t="shared" si="32"/>
        <v>855.71428571428578</v>
      </c>
      <c r="L25" s="54">
        <f>_xlfn.XLOOKUP(D25,[1]Юнит!$E:$E,[1]Юнит!$AR:$AR)</f>
        <v>0.23506836274959864</v>
      </c>
      <c r="M25" s="50">
        <f t="shared" si="33"/>
        <v>597</v>
      </c>
      <c r="N25" s="6">
        <f>_xlfn.XLOOKUP($A25,'Текущая цена на ВБ'!$C:$C,'Текущая цена на ВБ'!$K:$K,0,0)%</f>
        <v>0.4</v>
      </c>
      <c r="O25" s="150" t="str">
        <f>_xlfn.XLOOKUP($A25,'Текущая цена на ВБ'!$C:$C,'Текущая цена на ВБ'!$I:$I,0,0)</f>
        <v>995</v>
      </c>
      <c r="P25" s="54">
        <f>_xlfn.XLOOKUP($A25,[1]Юнит!$A:$A,[1]Юнит!$AJ:$AJ,0)</f>
        <v>0.23274028356283011</v>
      </c>
      <c r="Q25" s="50">
        <f>_xlfn.XLOOKUP($A25,'Акция 1'!$F:$F,'Акция 1'!$L:$L,0,0)</f>
        <v>0</v>
      </c>
      <c r="R25" s="6">
        <f>(_xlfn.XLOOKUP($A25,'Акция 1'!$F:$F,'Акция 1'!$P:$P,0,0))%</f>
        <v>0</v>
      </c>
      <c r="S25" s="13">
        <f t="shared" si="34"/>
        <v>0</v>
      </c>
      <c r="T25" s="50">
        <f>_xlfn.XLOOKUP($A25,'Акция 2'!$F:$F,'Акция 2'!$L:$L,0,0)</f>
        <v>597</v>
      </c>
      <c r="U25" s="6">
        <f>(_xlfn.XLOOKUP($A25,'Акция 2'!$F:$F,'Акция 2'!$O:$O,0,0))%</f>
        <v>0.31</v>
      </c>
      <c r="V25" s="13">
        <f t="shared" si="35"/>
        <v>865.21739130434787</v>
      </c>
      <c r="W25" s="50">
        <f>_xlfn.XLOOKUP($A25,'Акция 3'!$F:$F,'Акция 3'!$L:$L,0,0)</f>
        <v>488</v>
      </c>
      <c r="X25" s="6">
        <f>(_xlfn.XLOOKUP($A25,'Акция 3'!$F:$F,'Акция 3'!$P:$P,0,0))%</f>
        <v>0.43</v>
      </c>
      <c r="Y25" s="13">
        <f t="shared" si="13"/>
        <v>856.14035087719287</v>
      </c>
      <c r="Z25" s="50">
        <f>_xlfn.XLOOKUP($A25,'Акция 4'!$F:$F,'Акция 4'!$L:$L,0,0)</f>
        <v>0</v>
      </c>
      <c r="AA25" s="6">
        <f>(_xlfn.XLOOKUP($A25,'Акция 4'!$F:$F,'Акция 4'!$P:$P,0,0))%</f>
        <v>0</v>
      </c>
      <c r="AB25" s="13">
        <f t="shared" si="36"/>
        <v>0</v>
      </c>
      <c r="AC25" s="50">
        <f>_xlfn.XLOOKUP($A25,'Акция 5'!$F:$F,'Акция 5'!$L:$L,0,0)</f>
        <v>0</v>
      </c>
      <c r="AD25" s="6">
        <f>(_xlfn.XLOOKUP($A25,'Акция 5'!$F:$F,'Акция 5'!O:O,0,0))%</f>
        <v>0</v>
      </c>
      <c r="AE25" s="13">
        <f t="shared" si="15"/>
        <v>0</v>
      </c>
      <c r="AF25" s="50">
        <f>_xlfn.XLOOKUP($A25,'Акция 6'!$F:$F,'Акция 6'!$L:$L,0,0)</f>
        <v>0</v>
      </c>
      <c r="AG25" s="6">
        <f>(_xlfn.XLOOKUP($A25,'Акция 6'!$F:$F,'Акция 6'!$O:$O,0,0))%</f>
        <v>0</v>
      </c>
      <c r="AH25" s="13">
        <f t="shared" si="16"/>
        <v>0</v>
      </c>
      <c r="AI25" s="50">
        <f>_xlfn.XLOOKUP($A25,'Акция 7'!$F:$F,'Акция 7'!$L:$L,0,0)</f>
        <v>0</v>
      </c>
      <c r="AJ25" s="6">
        <f>(_xlfn.XLOOKUP($A25,'Акция 7'!$F:$F,'Акция 7'!$O:$O,0,0))%</f>
        <v>0</v>
      </c>
      <c r="AK25" s="13">
        <f t="shared" si="17"/>
        <v>0</v>
      </c>
      <c r="AL25" s="50">
        <f>_xlfn.XLOOKUP($A25,'Акция 8'!$F:$F,'Акция 8'!$L:$L,0,0)</f>
        <v>0</v>
      </c>
      <c r="AM25" s="6">
        <f>(_xlfn.XLOOKUP($A25,'Акция 8'!$F:$F,'Акция 8'!$S:$S,0,0))%</f>
        <v>0</v>
      </c>
      <c r="AN25" s="13">
        <f t="shared" si="18"/>
        <v>0</v>
      </c>
      <c r="AO25" s="50">
        <f>_xlfn.XLOOKUP($A25,'Акция 9'!$F:$F,'Акция 9'!$L:$L,0,0)</f>
        <v>0</v>
      </c>
      <c r="AP25" s="6">
        <f>(_xlfn.XLOOKUP($A25,'Акция 9'!$F:$F,'Акция 9'!$O:$O,0,0))%</f>
        <v>0</v>
      </c>
      <c r="AQ25" s="13">
        <f t="shared" si="19"/>
        <v>0</v>
      </c>
      <c r="AR25" s="50">
        <f>_xlfn.XLOOKUP($A25,'Акция 10'!$F:$F,'Акция 10'!$L:$L,0,0)</f>
        <v>0</v>
      </c>
      <c r="AS25" s="6">
        <f>(_xlfn.XLOOKUP($A25,'Акция 10'!$F:$F,'Акция 10'!$O:$O,0,0))%</f>
        <v>0</v>
      </c>
      <c r="AT25" s="13">
        <f t="shared" si="20"/>
        <v>0</v>
      </c>
      <c r="AU25" s="50">
        <f>_xlfn.XLOOKUP($A25,'Акция 11'!$F:$F,'Акция 11'!$L:$L,0,0)</f>
        <v>0</v>
      </c>
      <c r="AV25" s="6">
        <f>(_xlfn.XLOOKUP($A25,'Акция 11'!$F:$F,'Акция 11'!$O:$O,0,0))%</f>
        <v>0</v>
      </c>
      <c r="AW25" s="13">
        <f t="shared" si="21"/>
        <v>0</v>
      </c>
      <c r="AX25" s="50"/>
      <c r="AY25" s="6"/>
      <c r="AZ25" s="13"/>
      <c r="BA25" s="17">
        <f t="shared" si="22"/>
        <v>597</v>
      </c>
      <c r="BB25" s="38">
        <f t="shared" si="8"/>
        <v>2</v>
      </c>
      <c r="BC25" s="33">
        <f t="shared" si="23"/>
        <v>597</v>
      </c>
      <c r="BD25" s="5">
        <f t="shared" si="24"/>
        <v>0.4</v>
      </c>
      <c r="BE25" s="53">
        <f t="shared" si="25"/>
        <v>995</v>
      </c>
      <c r="BF25" s="54">
        <f>_xlfn.XLOOKUP(A25,[1]Юнит!$A:$A,[1]Юнит!$AU:$AU,0)</f>
        <v>0.23274028356283011</v>
      </c>
      <c r="BG25" s="54">
        <f t="shared" si="26"/>
        <v>0.23274028356283011</v>
      </c>
      <c r="BH25" s="5" t="s">
        <v>287</v>
      </c>
      <c r="BI25" s="78">
        <f t="shared" si="31"/>
        <v>995</v>
      </c>
      <c r="BJ25" s="85">
        <f t="shared" si="27"/>
        <v>0.4</v>
      </c>
      <c r="BK25" s="88">
        <f t="shared" si="30"/>
        <v>597</v>
      </c>
      <c r="BL25" s="79">
        <f t="shared" si="28"/>
        <v>1</v>
      </c>
      <c r="BM25" s="81">
        <f>_xlfn.XLOOKUP(A25,'Текущая цена на ВБ'!C:C,'Текущая цена на ВБ'!F:F)</f>
        <v>427</v>
      </c>
      <c r="BN25" s="84">
        <f>_xlfn.XLOOKUP(A25,'Текущая цена на ВБ'!C:C,'Текущая цена на ВБ'!H:H)</f>
        <v>256</v>
      </c>
    </row>
    <row r="26" spans="1:66" ht="24.95" customHeight="1" x14ac:dyDescent="0.25">
      <c r="A26" s="127">
        <f>[1]Юнит!A25</f>
        <v>236072836</v>
      </c>
      <c r="B26" s="127" t="str">
        <f>[1]Юнит!C25</f>
        <v>ACRB1MS106PN</v>
      </c>
      <c r="C26" s="128" t="str">
        <f>[1]Юнит!D25</f>
        <v>Мяч с шипами розовый 6 см</v>
      </c>
      <c r="D26" s="129">
        <f>[1]Юнит!E25</f>
        <v>2040278810534</v>
      </c>
      <c r="E26" s="50">
        <v>593</v>
      </c>
      <c r="F26" s="6">
        <v>0.4</v>
      </c>
      <c r="G26" s="150" t="s">
        <v>383</v>
      </c>
      <c r="H26" s="54">
        <v>0.22903114805466876</v>
      </c>
      <c r="I26" s="71">
        <f>_xlfn.XLOOKUP(D26,[1]Юнит!$E:$E,[1]Юнит!$AN:$AN)</f>
        <v>599</v>
      </c>
      <c r="J26" s="6">
        <f t="shared" si="9"/>
        <v>0.3</v>
      </c>
      <c r="K26" s="153">
        <f t="shared" si="32"/>
        <v>855.71428571428578</v>
      </c>
      <c r="L26" s="54">
        <f>_xlfn.XLOOKUP(D26,[1]Юнит!$E:$E,[1]Юнит!$AR:$AR)</f>
        <v>0.23754208562105117</v>
      </c>
      <c r="M26" s="50">
        <f t="shared" si="33"/>
        <v>593</v>
      </c>
      <c r="N26" s="6">
        <f>_xlfn.XLOOKUP($A26,'Текущая цена на ВБ'!$C:$C,'Текущая цена на ВБ'!$K:$K,0,0)%</f>
        <v>0.4</v>
      </c>
      <c r="O26" s="150" t="str">
        <f>_xlfn.XLOOKUP($A26,'Текущая цена на ВБ'!$C:$C,'Текущая цена на ВБ'!$I:$I,0,0)</f>
        <v>988</v>
      </c>
      <c r="P26" s="54">
        <f>_xlfn.XLOOKUP($A26,[1]Юнит!$A:$A,[1]Юнит!$AJ:$AJ,0)</f>
        <v>0.23029977949900407</v>
      </c>
      <c r="Q26" s="50">
        <f>_xlfn.XLOOKUP($A26,'Акция 1'!$F:$F,'Акция 1'!$L:$L,0,0)</f>
        <v>593</v>
      </c>
      <c r="R26" s="6">
        <f>(_xlfn.XLOOKUP($A26,'Акция 1'!$F:$F,'Акция 1'!$P:$P,0,0))%</f>
        <v>0.31</v>
      </c>
      <c r="S26" s="13">
        <f t="shared" si="34"/>
        <v>859.4202898550725</v>
      </c>
      <c r="T26" s="50">
        <f>_xlfn.XLOOKUP($A26,'Акция 2'!$F:$F,'Акция 2'!$L:$L,0,0)</f>
        <v>0</v>
      </c>
      <c r="U26" s="6">
        <f>(_xlfn.XLOOKUP($A26,'Акция 2'!$F:$F,'Акция 2'!$O:$O,0,0))%</f>
        <v>0</v>
      </c>
      <c r="V26" s="13">
        <f t="shared" si="35"/>
        <v>0</v>
      </c>
      <c r="W26" s="50">
        <f>_xlfn.XLOOKUP($A26,'Акция 3'!$F:$F,'Акция 3'!$L:$L,0,0)</f>
        <v>485</v>
      </c>
      <c r="X26" s="6">
        <f>(_xlfn.XLOOKUP($A26,'Акция 3'!$F:$F,'Акция 3'!$P:$P,0,0))%</f>
        <v>0.44</v>
      </c>
      <c r="Y26" s="13">
        <f t="shared" si="13"/>
        <v>866.07142857142844</v>
      </c>
      <c r="Z26" s="50">
        <f>_xlfn.XLOOKUP($A26,'Акция 4'!$F:$F,'Акция 4'!$L:$L,0,0)</f>
        <v>0</v>
      </c>
      <c r="AA26" s="6">
        <f>(_xlfn.XLOOKUP($A26,'Акция 4'!$F:$F,'Акция 4'!$P:$P,0,0))%</f>
        <v>0</v>
      </c>
      <c r="AB26" s="13">
        <f t="shared" si="36"/>
        <v>0</v>
      </c>
      <c r="AC26" s="50">
        <f>_xlfn.XLOOKUP($A26,'Акция 5'!$F:$F,'Акция 5'!$L:$L,0,0)</f>
        <v>0</v>
      </c>
      <c r="AD26" s="6">
        <f>(_xlfn.XLOOKUP($A26,'Акция 5'!$F:$F,'Акция 5'!O:O,0,0))%</f>
        <v>0</v>
      </c>
      <c r="AE26" s="13">
        <f t="shared" si="15"/>
        <v>0</v>
      </c>
      <c r="AF26" s="50">
        <f>_xlfn.XLOOKUP($A26,'Акция 6'!$F:$F,'Акция 6'!$L:$L,0,0)</f>
        <v>0</v>
      </c>
      <c r="AG26" s="6">
        <f>(_xlfn.XLOOKUP($A26,'Акция 6'!$F:$F,'Акция 6'!$O:$O,0,0))%</f>
        <v>0</v>
      </c>
      <c r="AH26" s="13">
        <f t="shared" si="16"/>
        <v>0</v>
      </c>
      <c r="AI26" s="50">
        <f>_xlfn.XLOOKUP($A26,'Акция 7'!$F:$F,'Акция 7'!$L:$L,0,0)</f>
        <v>0</v>
      </c>
      <c r="AJ26" s="6">
        <f>(_xlfn.XLOOKUP($A26,'Акция 7'!$F:$F,'Акция 7'!$O:$O,0,0))%</f>
        <v>0</v>
      </c>
      <c r="AK26" s="13">
        <f t="shared" si="17"/>
        <v>0</v>
      </c>
      <c r="AL26" s="50">
        <f>_xlfn.XLOOKUP($A26,'Акция 8'!$F:$F,'Акция 8'!$L:$L,0,0)</f>
        <v>0</v>
      </c>
      <c r="AM26" s="6">
        <f>(_xlfn.XLOOKUP($A26,'Акция 8'!$F:$F,'Акция 8'!$S:$S,0,0))%</f>
        <v>0</v>
      </c>
      <c r="AN26" s="13">
        <f t="shared" si="18"/>
        <v>0</v>
      </c>
      <c r="AO26" s="50">
        <f>_xlfn.XLOOKUP($A26,'Акция 9'!$F:$F,'Акция 9'!$L:$L,0,0)</f>
        <v>0</v>
      </c>
      <c r="AP26" s="6">
        <f>(_xlfn.XLOOKUP($A26,'Акция 9'!$F:$F,'Акция 9'!$O:$O,0,0))%</f>
        <v>0</v>
      </c>
      <c r="AQ26" s="13">
        <f t="shared" si="19"/>
        <v>0</v>
      </c>
      <c r="AR26" s="50">
        <f>_xlfn.XLOOKUP($A26,'Акция 10'!$F:$F,'Акция 10'!$L:$L,0,0)</f>
        <v>0</v>
      </c>
      <c r="AS26" s="6">
        <f>(_xlfn.XLOOKUP($A26,'Акция 10'!$F:$F,'Акция 10'!$O:$O,0,0))%</f>
        <v>0</v>
      </c>
      <c r="AT26" s="13">
        <f t="shared" si="20"/>
        <v>0</v>
      </c>
      <c r="AU26" s="50">
        <f>_xlfn.XLOOKUP($A26,'Акция 11'!$F:$F,'Акция 11'!$L:$L,0,0)</f>
        <v>0</v>
      </c>
      <c r="AV26" s="6">
        <f>(_xlfn.XLOOKUP($A26,'Акция 11'!$F:$F,'Акция 11'!$O:$O,0,0))%</f>
        <v>0</v>
      </c>
      <c r="AW26" s="13">
        <f t="shared" si="21"/>
        <v>0</v>
      </c>
      <c r="AX26" s="50"/>
      <c r="AY26" s="6"/>
      <c r="AZ26" s="13"/>
      <c r="BA26" s="17">
        <f t="shared" si="22"/>
        <v>593</v>
      </c>
      <c r="BB26" s="38">
        <f t="shared" si="8"/>
        <v>1</v>
      </c>
      <c r="BC26" s="33">
        <f t="shared" si="23"/>
        <v>593</v>
      </c>
      <c r="BD26" s="5">
        <f t="shared" si="24"/>
        <v>0.4</v>
      </c>
      <c r="BE26" s="53">
        <f t="shared" si="25"/>
        <v>988.33333333333337</v>
      </c>
      <c r="BF26" s="54">
        <f>_xlfn.XLOOKUP(A26,[1]Юнит!$A:$A,[1]Юнит!$AU:$AU,0)</f>
        <v>0.23053576608264698</v>
      </c>
      <c r="BG26" s="54">
        <f t="shared" si="26"/>
        <v>0.23029977949900407</v>
      </c>
      <c r="BH26" s="5" t="s">
        <v>287</v>
      </c>
      <c r="BI26" s="78">
        <f t="shared" si="31"/>
        <v>988</v>
      </c>
      <c r="BJ26" s="85">
        <f t="shared" si="27"/>
        <v>0.4</v>
      </c>
      <c r="BK26" s="88">
        <f t="shared" si="30"/>
        <v>593</v>
      </c>
      <c r="BL26" s="79">
        <f t="shared" si="28"/>
        <v>1</v>
      </c>
      <c r="BM26" s="81">
        <f>_xlfn.XLOOKUP(A26,'Текущая цена на ВБ'!C:C,'Текущая цена на ВБ'!F:F)</f>
        <v>300</v>
      </c>
      <c r="BN26" s="84">
        <f>_xlfn.XLOOKUP(A26,'Текущая цена на ВБ'!C:C,'Текущая цена на ВБ'!H:H)</f>
        <v>638</v>
      </c>
    </row>
    <row r="27" spans="1:66" ht="24.95" customHeight="1" x14ac:dyDescent="0.25">
      <c r="A27" s="127">
        <f>[1]Юнит!A26</f>
        <v>236072834</v>
      </c>
      <c r="B27" s="127" t="str">
        <f>[1]Юнит!C26</f>
        <v>ACRB1MS106BL</v>
      </c>
      <c r="C27" s="128" t="str">
        <f>[1]Юнит!D26</f>
        <v>Мяч с шипами голубой 6 см</v>
      </c>
      <c r="D27" s="129">
        <f>[1]Юнит!E26</f>
        <v>2040278804649</v>
      </c>
      <c r="E27" s="50">
        <v>545</v>
      </c>
      <c r="F27" s="6">
        <v>0.4</v>
      </c>
      <c r="G27" s="150" t="s">
        <v>356</v>
      </c>
      <c r="H27" s="54">
        <v>0.19587220977416112</v>
      </c>
      <c r="I27" s="71">
        <f>_xlfn.XLOOKUP(D27,[1]Юнит!$E:$E,[1]Юнит!$AN:$AN)</f>
        <v>599</v>
      </c>
      <c r="J27" s="6">
        <f t="shared" si="9"/>
        <v>0.3</v>
      </c>
      <c r="K27" s="153">
        <f t="shared" si="32"/>
        <v>855.71428571428578</v>
      </c>
      <c r="L27" s="54">
        <f>_xlfn.XLOOKUP(D27,[1]Юнит!$E:$E,[1]Юнит!$AR:$AR)</f>
        <v>0.26581320415193593</v>
      </c>
      <c r="M27" s="50">
        <f t="shared" si="33"/>
        <v>545</v>
      </c>
      <c r="N27" s="6">
        <f>_xlfn.XLOOKUP($A27,'Текущая цена на ВБ'!$C:$C,'Текущая цена на ВБ'!$K:$K,0,0)%</f>
        <v>0.4</v>
      </c>
      <c r="O27" s="150" t="str">
        <f>_xlfn.XLOOKUP($A27,'Текущая цена на ВБ'!$C:$C,'Текущая цена на ВБ'!$I:$I,0,0)</f>
        <v>908</v>
      </c>
      <c r="P27" s="54">
        <f>_xlfn.XLOOKUP($A27,[1]Юнит!$A:$A,[1]Юнит!$AJ:$AJ,0)</f>
        <v>0.19973588341962115</v>
      </c>
      <c r="Q27" s="50">
        <f>_xlfn.XLOOKUP($A27,'Акция 1'!$F:$F,'Акция 1'!$L:$L,0,0)</f>
        <v>545</v>
      </c>
      <c r="R27" s="6">
        <f>(_xlfn.XLOOKUP($A27,'Акция 1'!$F:$F,'Акция 1'!$P:$P,0,0))%</f>
        <v>0.37</v>
      </c>
      <c r="S27" s="13">
        <f t="shared" si="34"/>
        <v>865.07936507936506</v>
      </c>
      <c r="T27" s="50">
        <f>_xlfn.XLOOKUP($A27,'Акция 2'!$F:$F,'Акция 2'!$L:$L,0,0)</f>
        <v>0</v>
      </c>
      <c r="U27" s="6">
        <f>(_xlfn.XLOOKUP($A27,'Акция 2'!$F:$F,'Акция 2'!$O:$O,0,0))%</f>
        <v>0</v>
      </c>
      <c r="V27" s="13">
        <f t="shared" si="35"/>
        <v>0</v>
      </c>
      <c r="W27" s="50">
        <f>_xlfn.XLOOKUP($A27,'Акция 3'!$F:$F,'Акция 3'!$L:$L,0,0)</f>
        <v>410</v>
      </c>
      <c r="X27" s="6">
        <f>(_xlfn.XLOOKUP($A27,'Акция 3'!$F:$F,'Акция 3'!$P:$P,0,0))%</f>
        <v>0.52</v>
      </c>
      <c r="Y27" s="13">
        <f t="shared" si="13"/>
        <v>854.16666666666674</v>
      </c>
      <c r="Z27" s="50">
        <f>_xlfn.XLOOKUP($A27,'Акция 4'!$F:$F,'Акция 4'!$L:$L,0,0)</f>
        <v>0</v>
      </c>
      <c r="AA27" s="6">
        <f>(_xlfn.XLOOKUP($A27,'Акция 4'!$F:$F,'Акция 4'!$P:$P,0,0))%</f>
        <v>0</v>
      </c>
      <c r="AB27" s="13">
        <f t="shared" si="36"/>
        <v>0</v>
      </c>
      <c r="AC27" s="50">
        <f>_xlfn.XLOOKUP($A27,'Акция 5'!$F:$F,'Акция 5'!$L:$L,0,0)</f>
        <v>0</v>
      </c>
      <c r="AD27" s="6">
        <f>(_xlfn.XLOOKUP($A27,'Акция 5'!$F:$F,'Акция 5'!O:O,0,0))%</f>
        <v>0</v>
      </c>
      <c r="AE27" s="13">
        <f t="shared" si="15"/>
        <v>0</v>
      </c>
      <c r="AF27" s="50">
        <f>_xlfn.XLOOKUP($A27,'Акция 6'!$F:$F,'Акция 6'!$L:$L,0,0)</f>
        <v>0</v>
      </c>
      <c r="AG27" s="6">
        <f>(_xlfn.XLOOKUP($A27,'Акция 6'!$F:$F,'Акция 6'!$O:$O,0,0))%</f>
        <v>0</v>
      </c>
      <c r="AH27" s="13">
        <f t="shared" si="16"/>
        <v>0</v>
      </c>
      <c r="AI27" s="50">
        <f>_xlfn.XLOOKUP($A27,'Акция 7'!$F:$F,'Акция 7'!$L:$L,0,0)</f>
        <v>0</v>
      </c>
      <c r="AJ27" s="6">
        <f>(_xlfn.XLOOKUP($A27,'Акция 7'!$F:$F,'Акция 7'!$O:$O,0,0))%</f>
        <v>0</v>
      </c>
      <c r="AK27" s="13">
        <f t="shared" si="17"/>
        <v>0</v>
      </c>
      <c r="AL27" s="50">
        <f>_xlfn.XLOOKUP($A27,'Акция 8'!$F:$F,'Акция 8'!$L:$L,0,0)</f>
        <v>0</v>
      </c>
      <c r="AM27" s="6">
        <f>(_xlfn.XLOOKUP($A27,'Акция 8'!$F:$F,'Акция 8'!$S:$S,0,0))%</f>
        <v>0</v>
      </c>
      <c r="AN27" s="13">
        <f t="shared" si="18"/>
        <v>0</v>
      </c>
      <c r="AO27" s="50">
        <f>_xlfn.XLOOKUP($A27,'Акция 9'!$F:$F,'Акция 9'!$L:$L,0,0)</f>
        <v>0</v>
      </c>
      <c r="AP27" s="6">
        <f>(_xlfn.XLOOKUP($A27,'Акция 9'!$F:$F,'Акция 9'!$O:$O,0,0))%</f>
        <v>0</v>
      </c>
      <c r="AQ27" s="13">
        <f t="shared" si="19"/>
        <v>0</v>
      </c>
      <c r="AR27" s="50">
        <f>_xlfn.XLOOKUP($A27,'Акция 10'!$F:$F,'Акция 10'!$L:$L,0,0)</f>
        <v>0</v>
      </c>
      <c r="AS27" s="6">
        <f>(_xlfn.XLOOKUP($A27,'Акция 10'!$F:$F,'Акция 10'!$O:$O,0,0))%</f>
        <v>0</v>
      </c>
      <c r="AT27" s="13">
        <f t="shared" si="20"/>
        <v>0</v>
      </c>
      <c r="AU27" s="50">
        <f>_xlfn.XLOOKUP($A27,'Акция 11'!$F:$F,'Акция 11'!$L:$L,0,0)</f>
        <v>0</v>
      </c>
      <c r="AV27" s="6">
        <f>(_xlfn.XLOOKUP($A27,'Акция 11'!$F:$F,'Акция 11'!$O:$O,0,0))%</f>
        <v>0</v>
      </c>
      <c r="AW27" s="13">
        <f t="shared" si="21"/>
        <v>0</v>
      </c>
      <c r="AX27" s="50"/>
      <c r="AY27" s="6"/>
      <c r="AZ27" s="13"/>
      <c r="BA27" s="17">
        <f t="shared" si="22"/>
        <v>545</v>
      </c>
      <c r="BB27" s="38">
        <f t="shared" si="8"/>
        <v>1</v>
      </c>
      <c r="BC27" s="33">
        <f t="shared" si="23"/>
        <v>545</v>
      </c>
      <c r="BD27" s="5">
        <f t="shared" si="24"/>
        <v>0.4</v>
      </c>
      <c r="BE27" s="53">
        <f t="shared" si="25"/>
        <v>908.33333333333337</v>
      </c>
      <c r="BF27" s="54">
        <f>_xlfn.XLOOKUP(A27,[1]Юнит!$A:$A,[1]Юнит!$AU:$AU,0)</f>
        <v>0.20000387025139382</v>
      </c>
      <c r="BG27" s="54">
        <f t="shared" si="26"/>
        <v>0.19973588341962115</v>
      </c>
      <c r="BH27" s="5" t="s">
        <v>287</v>
      </c>
      <c r="BI27" s="78">
        <f t="shared" si="31"/>
        <v>908</v>
      </c>
      <c r="BJ27" s="85">
        <f t="shared" si="27"/>
        <v>0.4</v>
      </c>
      <c r="BK27" s="88">
        <f t="shared" si="30"/>
        <v>545</v>
      </c>
      <c r="BL27" s="79">
        <f t="shared" si="28"/>
        <v>1</v>
      </c>
      <c r="BM27" s="81">
        <f>_xlfn.XLOOKUP(A27,'Текущая цена на ВБ'!C:C,'Текущая цена на ВБ'!F:F)</f>
        <v>254</v>
      </c>
      <c r="BN27" s="84">
        <f>_xlfn.XLOOKUP(A27,'Текущая цена на ВБ'!C:C,'Текущая цена на ВБ'!H:H)</f>
        <v>443</v>
      </c>
    </row>
    <row r="28" spans="1:66" ht="24.95" customHeight="1" x14ac:dyDescent="0.25">
      <c r="A28" s="127">
        <f>[1]Юнит!A27</f>
        <v>223671295</v>
      </c>
      <c r="B28" s="127" t="str">
        <f>[1]Юнит!C27</f>
        <v>ACRB1MS106RJ</v>
      </c>
      <c r="C28" s="128" t="str">
        <f>[1]Юнит!D27</f>
        <v>Мяч с шипами оранжевый 6 см</v>
      </c>
      <c r="D28" s="129">
        <f>[1]Юнит!E27</f>
        <v>2039818580389</v>
      </c>
      <c r="E28" s="50">
        <v>431</v>
      </c>
      <c r="F28" s="6">
        <v>0.4</v>
      </c>
      <c r="G28" s="150" t="s">
        <v>419</v>
      </c>
      <c r="H28" s="54">
        <v>9.6726984315443076E-2</v>
      </c>
      <c r="I28" s="71">
        <f>_xlfn.XLOOKUP(D28,[1]Юнит!$E:$E,[1]Юнит!$AN:$AN)</f>
        <v>599</v>
      </c>
      <c r="J28" s="6">
        <f t="shared" si="9"/>
        <v>0.3</v>
      </c>
      <c r="K28" s="153">
        <f t="shared" si="32"/>
        <v>855.71428571428578</v>
      </c>
      <c r="L28" s="54">
        <f>_xlfn.XLOOKUP(D28,[1]Юнит!$E:$E,[1]Юнит!$AR:$AR)</f>
        <v>0.33295711066278738</v>
      </c>
      <c r="M28" s="50">
        <f t="shared" si="33"/>
        <v>431</v>
      </c>
      <c r="N28" s="6">
        <f>_xlfn.XLOOKUP($A28,'Текущая цена на ВБ'!$C:$C,'Текущая цена на ВБ'!$K:$K,0,0)%</f>
        <v>0.4</v>
      </c>
      <c r="O28" s="150" t="str">
        <f>_xlfn.XLOOKUP($A28,'Текущая цена на ВБ'!$C:$C,'Текущая цена на ВБ'!$I:$I,0,0)</f>
        <v>718</v>
      </c>
      <c r="P28" s="54">
        <f>_xlfn.XLOOKUP($A28,[1]Юнит!$A:$A,[1]Юнит!$AJ:$AJ,0)</f>
        <v>9.9849835856568342E-2</v>
      </c>
      <c r="Q28" s="50">
        <f>_xlfn.XLOOKUP($A28,'Акция 1'!$F:$F,'Акция 1'!$L:$L,0,0)</f>
        <v>431</v>
      </c>
      <c r="R28" s="6">
        <f>(_xlfn.XLOOKUP($A28,'Акция 1'!$F:$F,'Акция 1'!$P:$P,0,0))%</f>
        <v>0.5</v>
      </c>
      <c r="S28" s="13">
        <f t="shared" si="34"/>
        <v>862</v>
      </c>
      <c r="T28" s="50">
        <f>_xlfn.XLOOKUP($A28,'Акция 2'!$F:$F,'Акция 2'!$L:$L,0,0)</f>
        <v>0</v>
      </c>
      <c r="U28" s="6">
        <f>(_xlfn.XLOOKUP($A28,'Акция 2'!$F:$F,'Акция 2'!$O:$O,0,0))%</f>
        <v>0</v>
      </c>
      <c r="V28" s="13">
        <f t="shared" si="35"/>
        <v>0</v>
      </c>
      <c r="W28" s="50">
        <f>_xlfn.XLOOKUP($A28,'Акция 3'!$F:$F,'Акция 3'!$L:$L,0,0)</f>
        <v>324</v>
      </c>
      <c r="X28" s="6">
        <f>(_xlfn.XLOOKUP($A28,'Акция 3'!$F:$F,'Акция 3'!$P:$P,0,0))%</f>
        <v>0.63</v>
      </c>
      <c r="Y28" s="13">
        <f t="shared" si="13"/>
        <v>875.67567567567573</v>
      </c>
      <c r="Z28" s="50">
        <f>_xlfn.XLOOKUP($A28,'Акция 4'!$F:$F,'Акция 4'!$L:$L,0,0)</f>
        <v>0</v>
      </c>
      <c r="AA28" s="6">
        <f>(_xlfn.XLOOKUP($A28,'Акция 4'!$F:$F,'Акция 4'!$P:$P,0,0))%</f>
        <v>0</v>
      </c>
      <c r="AB28" s="13">
        <f t="shared" si="36"/>
        <v>0</v>
      </c>
      <c r="AC28" s="50">
        <f>_xlfn.XLOOKUP($A28,'Акция 5'!$F:$F,'Акция 5'!$L:$L,0,0)</f>
        <v>0</v>
      </c>
      <c r="AD28" s="6">
        <f>(_xlfn.XLOOKUP($A28,'Акция 5'!$F:$F,'Акция 5'!O:O,0,0))%</f>
        <v>0</v>
      </c>
      <c r="AE28" s="13">
        <f t="shared" si="15"/>
        <v>0</v>
      </c>
      <c r="AF28" s="50">
        <f>_xlfn.XLOOKUP($A28,'Акция 6'!$F:$F,'Акция 6'!$L:$L,0,0)</f>
        <v>0</v>
      </c>
      <c r="AG28" s="6">
        <f>(_xlfn.XLOOKUP($A28,'Акция 6'!$F:$F,'Акция 6'!$O:$O,0,0))%</f>
        <v>0</v>
      </c>
      <c r="AH28" s="13">
        <f t="shared" si="16"/>
        <v>0</v>
      </c>
      <c r="AI28" s="50">
        <f>_xlfn.XLOOKUP($A28,'Акция 7'!$F:$F,'Акция 7'!$L:$L,0,0)</f>
        <v>0</v>
      </c>
      <c r="AJ28" s="6">
        <f>(_xlfn.XLOOKUP($A28,'Акция 7'!$F:$F,'Акция 7'!$O:$O,0,0))%</f>
        <v>0</v>
      </c>
      <c r="AK28" s="13">
        <f t="shared" si="17"/>
        <v>0</v>
      </c>
      <c r="AL28" s="50">
        <f>_xlfn.XLOOKUP($A28,'Акция 8'!$F:$F,'Акция 8'!$L:$L,0,0)</f>
        <v>0</v>
      </c>
      <c r="AM28" s="6">
        <f>(_xlfn.XLOOKUP($A28,'Акция 8'!$F:$F,'Акция 8'!$S:$S,0,0))%</f>
        <v>0</v>
      </c>
      <c r="AN28" s="13">
        <f t="shared" si="18"/>
        <v>0</v>
      </c>
      <c r="AO28" s="50">
        <f>_xlfn.XLOOKUP($A28,'Акция 9'!$F:$F,'Акция 9'!$L:$L,0,0)</f>
        <v>0</v>
      </c>
      <c r="AP28" s="6">
        <f>(_xlfn.XLOOKUP($A28,'Акция 9'!$F:$F,'Акция 9'!$O:$O,0,0))%</f>
        <v>0</v>
      </c>
      <c r="AQ28" s="13">
        <f t="shared" si="19"/>
        <v>0</v>
      </c>
      <c r="AR28" s="50">
        <f>_xlfn.XLOOKUP($A28,'Акция 10'!$F:$F,'Акция 10'!$L:$L,0,0)</f>
        <v>0</v>
      </c>
      <c r="AS28" s="6">
        <f>(_xlfn.XLOOKUP($A28,'Акция 10'!$F:$F,'Акция 10'!$O:$O,0,0))%</f>
        <v>0</v>
      </c>
      <c r="AT28" s="13">
        <f t="shared" si="20"/>
        <v>0</v>
      </c>
      <c r="AU28" s="50">
        <f>_xlfn.XLOOKUP($A28,'Акция 11'!$F:$F,'Акция 11'!$L:$L,0,0)</f>
        <v>0</v>
      </c>
      <c r="AV28" s="6">
        <f>(_xlfn.XLOOKUP($A28,'Акция 11'!$F:$F,'Акция 11'!$O:$O,0,0))%</f>
        <v>0</v>
      </c>
      <c r="AW28" s="13">
        <f t="shared" si="21"/>
        <v>0</v>
      </c>
      <c r="AX28" s="50"/>
      <c r="AY28" s="6"/>
      <c r="AZ28" s="13"/>
      <c r="BA28" s="17">
        <f t="shared" si="22"/>
        <v>431</v>
      </c>
      <c r="BB28" s="38">
        <f t="shared" si="8"/>
        <v>1</v>
      </c>
      <c r="BC28" s="33">
        <f t="shared" si="23"/>
        <v>431</v>
      </c>
      <c r="BD28" s="5">
        <f t="shared" si="24"/>
        <v>0.4</v>
      </c>
      <c r="BE28" s="53">
        <f t="shared" si="25"/>
        <v>718.33333333333337</v>
      </c>
      <c r="BF28" s="54">
        <f>_xlfn.XLOOKUP(A28,[1]Юнит!$A:$A,[1]Юнит!$AU:$AU,0)</f>
        <v>0.10023505635037039</v>
      </c>
      <c r="BG28" s="54">
        <f t="shared" si="26"/>
        <v>9.9849835856568342E-2</v>
      </c>
      <c r="BH28" s="5" t="s">
        <v>287</v>
      </c>
      <c r="BI28" s="78">
        <f t="shared" si="31"/>
        <v>718</v>
      </c>
      <c r="BJ28" s="85">
        <f t="shared" si="27"/>
        <v>0.4</v>
      </c>
      <c r="BK28" s="88">
        <f t="shared" si="30"/>
        <v>431</v>
      </c>
      <c r="BL28" s="79">
        <f t="shared" si="28"/>
        <v>1</v>
      </c>
      <c r="BM28" s="81">
        <f>_xlfn.XLOOKUP(A28,'Текущая цена на ВБ'!C:C,'Текущая цена на ВБ'!F:F)</f>
        <v>447</v>
      </c>
      <c r="BN28" s="84">
        <f>_xlfn.XLOOKUP(A28,'Текущая цена на ВБ'!C:C,'Текущая цена на ВБ'!H:H)</f>
        <v>823</v>
      </c>
    </row>
    <row r="29" spans="1:66" ht="24.95" customHeight="1" x14ac:dyDescent="0.25">
      <c r="A29" s="127">
        <f>[1]Юнит!A28</f>
        <v>370591238</v>
      </c>
      <c r="B29" s="127" t="str">
        <f>[1]Юнит!C28</f>
        <v>ACRB1MS106BС</v>
      </c>
      <c r="C29" s="128" t="str">
        <f>[1]Юнит!D28</f>
        <v>Мяч с шипами черный 6 см</v>
      </c>
      <c r="D29" s="129">
        <f>[1]Юнит!E28</f>
        <v>2043369663040</v>
      </c>
      <c r="E29" s="50">
        <v>599</v>
      </c>
      <c r="F29" s="6">
        <v>0.3</v>
      </c>
      <c r="G29" s="150" t="s">
        <v>332</v>
      </c>
      <c r="H29" s="54">
        <v>0.25419858025201875</v>
      </c>
      <c r="I29" s="71">
        <f>_xlfn.XLOOKUP(D29,[1]Юнит!$E:$E,[1]Юнит!$AN:$AN)</f>
        <v>599</v>
      </c>
      <c r="J29" s="6">
        <f t="shared" si="9"/>
        <v>0.3</v>
      </c>
      <c r="K29" s="153">
        <f t="shared" si="32"/>
        <v>855.71428571428578</v>
      </c>
      <c r="L29" s="54">
        <f>_xlfn.XLOOKUP(D29,[1]Юнит!$E:$E,[1]Юнит!$AR:$AR)</f>
        <v>0.25397293704008278</v>
      </c>
      <c r="M29" s="50">
        <f t="shared" si="33"/>
        <v>599</v>
      </c>
      <c r="N29" s="6">
        <f>_xlfn.XLOOKUP($A29,'Текущая цена на ВБ'!$C:$C,'Текущая цена на ВБ'!$K:$K,0,0)%</f>
        <v>0.3</v>
      </c>
      <c r="O29" s="150" t="str">
        <f>_xlfn.XLOOKUP($A29,'Текущая цена на ВБ'!$C:$C,'Текущая цена на ВБ'!$I:$I,0,0)</f>
        <v>856</v>
      </c>
      <c r="P29" s="54">
        <f>_xlfn.XLOOKUP($A29,[1]Юнит!$A:$A,[1]Юнит!$AJ:$AJ,0)</f>
        <v>0.25419858025201875</v>
      </c>
      <c r="Q29" s="50">
        <f>_xlfn.XLOOKUP($A29,'Акция 1'!$F:$F,'Акция 1'!$L:$L,0,0)</f>
        <v>0</v>
      </c>
      <c r="R29" s="6">
        <f>(_xlfn.XLOOKUP($A29,'Акция 1'!$F:$F,'Акция 1'!$P:$P,0,0))%</f>
        <v>0</v>
      </c>
      <c r="S29" s="13">
        <f t="shared" si="34"/>
        <v>0</v>
      </c>
      <c r="T29" s="50">
        <f>_xlfn.XLOOKUP($A29,'Акция 2'!$F:$F,'Акция 2'!$L:$L,0,0)</f>
        <v>0</v>
      </c>
      <c r="U29" s="6">
        <f>(_xlfn.XLOOKUP($A29,'Акция 2'!$F:$F,'Акция 2'!$O:$O,0,0))%</f>
        <v>0</v>
      </c>
      <c r="V29" s="13">
        <f t="shared" si="35"/>
        <v>0</v>
      </c>
      <c r="W29" s="50">
        <f>_xlfn.XLOOKUP($A29,'Акция 3'!$F:$F,'Акция 3'!$L:$L,0,0)</f>
        <v>0</v>
      </c>
      <c r="X29" s="6">
        <f>(_xlfn.XLOOKUP($A29,'Акция 3'!$F:$F,'Акция 3'!$P:$P,0,0))%</f>
        <v>0</v>
      </c>
      <c r="Y29" s="13">
        <f t="shared" si="13"/>
        <v>0</v>
      </c>
      <c r="Z29" s="50">
        <f>_xlfn.XLOOKUP($A29,'Акция 4'!$F:$F,'Акция 4'!$L:$L,0,0)</f>
        <v>0</v>
      </c>
      <c r="AA29" s="6">
        <f>(_xlfn.XLOOKUP($A29,'Акция 4'!$F:$F,'Акция 4'!$P:$P,0,0))%</f>
        <v>0</v>
      </c>
      <c r="AB29" s="13">
        <f t="shared" si="36"/>
        <v>0</v>
      </c>
      <c r="AC29" s="50">
        <f>_xlfn.XLOOKUP($A29,'Акция 5'!$F:$F,'Акция 5'!$L:$L,0,0)</f>
        <v>0</v>
      </c>
      <c r="AD29" s="6">
        <f>(_xlfn.XLOOKUP($A29,'Акция 5'!$F:$F,'Акция 5'!O:O,0,0))%</f>
        <v>0</v>
      </c>
      <c r="AE29" s="13">
        <f t="shared" si="15"/>
        <v>0</v>
      </c>
      <c r="AF29" s="50">
        <f>_xlfn.XLOOKUP($A29,'Акция 6'!$F:$F,'Акция 6'!$L:$L,0,0)</f>
        <v>0</v>
      </c>
      <c r="AG29" s="6">
        <f>(_xlfn.XLOOKUP($A29,'Акция 6'!$F:$F,'Акция 6'!$O:$O,0,0))%</f>
        <v>0</v>
      </c>
      <c r="AH29" s="13">
        <f t="shared" si="16"/>
        <v>0</v>
      </c>
      <c r="AI29" s="50">
        <f>_xlfn.XLOOKUP($A29,'Акция 7'!$F:$F,'Акция 7'!$L:$L,0,0)</f>
        <v>0</v>
      </c>
      <c r="AJ29" s="6">
        <f>(_xlfn.XLOOKUP($A29,'Акция 7'!$F:$F,'Акция 7'!$O:$O,0,0))%</f>
        <v>0</v>
      </c>
      <c r="AK29" s="13">
        <f t="shared" si="17"/>
        <v>0</v>
      </c>
      <c r="AL29" s="50">
        <f>_xlfn.XLOOKUP($A29,'Акция 8'!$F:$F,'Акция 8'!$L:$L,0,0)</f>
        <v>0</v>
      </c>
      <c r="AM29" s="6">
        <f>(_xlfn.XLOOKUP($A29,'Акция 8'!$F:$F,'Акция 8'!$S:$S,0,0))%</f>
        <v>0</v>
      </c>
      <c r="AN29" s="13">
        <f t="shared" si="18"/>
        <v>0</v>
      </c>
      <c r="AO29" s="50">
        <f>_xlfn.XLOOKUP($A29,'Акция 9'!$F:$F,'Акция 9'!$L:$L,0,0)</f>
        <v>0</v>
      </c>
      <c r="AP29" s="6">
        <f>(_xlfn.XLOOKUP($A29,'Акция 9'!$F:$F,'Акция 9'!$O:$O,0,0))%</f>
        <v>0</v>
      </c>
      <c r="AQ29" s="13">
        <f t="shared" si="19"/>
        <v>0</v>
      </c>
      <c r="AR29" s="50">
        <f>_xlfn.XLOOKUP($A29,'Акция 10'!$F:$F,'Акция 10'!$L:$L,0,0)</f>
        <v>0</v>
      </c>
      <c r="AS29" s="6">
        <f>(_xlfn.XLOOKUP($A29,'Акция 10'!$F:$F,'Акция 10'!$O:$O,0,0))%</f>
        <v>0</v>
      </c>
      <c r="AT29" s="13">
        <f t="shared" si="20"/>
        <v>0</v>
      </c>
      <c r="AU29" s="50">
        <f>_xlfn.XLOOKUP($A29,'Акция 11'!$F:$F,'Акция 11'!$L:$L,0,0)</f>
        <v>0</v>
      </c>
      <c r="AV29" s="6">
        <f>(_xlfn.XLOOKUP($A29,'Акция 11'!$F:$F,'Акция 11'!$O:$O,0,0))%</f>
        <v>0</v>
      </c>
      <c r="AW29" s="13">
        <f t="shared" si="21"/>
        <v>0</v>
      </c>
      <c r="AX29" s="50"/>
      <c r="AY29" s="6"/>
      <c r="AZ29" s="13"/>
      <c r="BA29" s="17">
        <f t="shared" si="22"/>
        <v>0</v>
      </c>
      <c r="BB29" s="38">
        <f t="shared" si="8"/>
        <v>0</v>
      </c>
      <c r="BC29" s="33">
        <f t="shared" si="23"/>
        <v>0</v>
      </c>
      <c r="BD29" s="5">
        <f t="shared" si="24"/>
        <v>0</v>
      </c>
      <c r="BE29" s="53">
        <f t="shared" si="25"/>
        <v>0</v>
      </c>
      <c r="BF29" s="54">
        <f>_xlfn.XLOOKUP(A29,[1]Юнит!$A:$A,[1]Юнит!$AU:$AU,0)</f>
        <v>0</v>
      </c>
      <c r="BG29" s="54">
        <f t="shared" si="26"/>
        <v>0.25419858025201875</v>
      </c>
      <c r="BH29" s="5"/>
      <c r="BI29" s="78">
        <f t="shared" si="31"/>
        <v>856</v>
      </c>
      <c r="BJ29" s="85">
        <f t="shared" si="27"/>
        <v>0.3</v>
      </c>
      <c r="BK29" s="88">
        <f t="shared" si="30"/>
        <v>599</v>
      </c>
      <c r="BL29" s="79">
        <f t="shared" si="28"/>
        <v>0</v>
      </c>
      <c r="BM29" s="81">
        <f>_xlfn.XLOOKUP(A29,'Текущая цена на ВБ'!C:C,'Текущая цена на ВБ'!F:F)</f>
        <v>252</v>
      </c>
      <c r="BN29" s="84">
        <f>_xlfn.XLOOKUP(A29,'Текущая цена на ВБ'!C:C,'Текущая цена на ВБ'!H:H)</f>
        <v>999</v>
      </c>
    </row>
    <row r="30" spans="1:66" ht="24.95" customHeight="1" x14ac:dyDescent="0.25">
      <c r="A30" s="165">
        <f>[1]Юнит!A29</f>
        <v>419145391</v>
      </c>
      <c r="B30" s="165" t="str">
        <f>[1]Юнит!C29</f>
        <v>ACRB1MS107WH</v>
      </c>
      <c r="C30" s="166" t="str">
        <f>[1]Юнит!D29</f>
        <v>Мяч с шипами белый 7 см</v>
      </c>
      <c r="D30" s="167">
        <f>[1]Юнит!E29</f>
        <v>2044025326637</v>
      </c>
      <c r="E30" s="50">
        <v>619</v>
      </c>
      <c r="F30" s="6">
        <v>0.3</v>
      </c>
      <c r="G30" s="150" t="s">
        <v>329</v>
      </c>
      <c r="H30" s="54">
        <v>0.24701467991356557</v>
      </c>
      <c r="I30" s="71">
        <f>_xlfn.XLOOKUP(D30,[1]Юнит!$E:$E,[1]Юнит!$AN:$AN)</f>
        <v>619</v>
      </c>
      <c r="J30" s="6">
        <f t="shared" si="9"/>
        <v>0.3</v>
      </c>
      <c r="K30" s="153">
        <f t="shared" si="32"/>
        <v>884.28571428571433</v>
      </c>
      <c r="L30" s="54">
        <f>_xlfn.XLOOKUP(D30,[1]Юнит!$E:$E,[1]Юнит!$AR:$AR)</f>
        <v>0.24723535368419128</v>
      </c>
      <c r="M30" s="50">
        <f t="shared" si="33"/>
        <v>619</v>
      </c>
      <c r="N30" s="6">
        <f>_xlfn.XLOOKUP($A30,'Текущая цена на ВБ'!$C:$C,'Текущая цена на ВБ'!$K:$K,0,0)%</f>
        <v>0.3</v>
      </c>
      <c r="O30" s="150" t="str">
        <f>_xlfn.XLOOKUP($A30,'Текущая цена на ВБ'!$C:$C,'Текущая цена на ВБ'!$I:$I,0,0)</f>
        <v>884</v>
      </c>
      <c r="P30" s="54">
        <f>_xlfn.XLOOKUP($A30,[1]Юнит!$A:$A,[1]Юнит!$AJ:$AJ,0)</f>
        <v>0.24701467991356557</v>
      </c>
      <c r="Q30" s="50">
        <f>_xlfn.XLOOKUP($A30,'Акция 1'!$F:$F,'Акция 1'!$L:$L,0,0)</f>
        <v>0</v>
      </c>
      <c r="R30" s="6">
        <f>(_xlfn.XLOOKUP($A30,'Акция 1'!$F:$F,'Акция 1'!$P:$P,0,0))%</f>
        <v>0</v>
      </c>
      <c r="S30" s="13">
        <f t="shared" si="34"/>
        <v>0</v>
      </c>
      <c r="T30" s="50">
        <f>_xlfn.XLOOKUP($A30,'Акция 2'!$F:$F,'Акция 2'!$L:$L,0,0)</f>
        <v>0</v>
      </c>
      <c r="U30" s="6">
        <f>(_xlfn.XLOOKUP($A30,'Акция 2'!$F:$F,'Акция 2'!$O:$O,0,0))%</f>
        <v>0</v>
      </c>
      <c r="V30" s="13">
        <f t="shared" si="35"/>
        <v>0</v>
      </c>
      <c r="W30" s="50">
        <f>_xlfn.XLOOKUP($A30,'Акция 3'!$F:$F,'Акция 3'!$L:$L,0,0)</f>
        <v>0</v>
      </c>
      <c r="X30" s="6">
        <f>(_xlfn.XLOOKUP($A30,'Акция 3'!$F:$F,'Акция 3'!$P:$P,0,0))%</f>
        <v>0</v>
      </c>
      <c r="Y30" s="13">
        <f t="shared" si="13"/>
        <v>0</v>
      </c>
      <c r="Z30" s="50">
        <f>_xlfn.XLOOKUP($A30,'Акция 4'!$F:$F,'Акция 4'!$L:$L,0,0)</f>
        <v>0</v>
      </c>
      <c r="AA30" s="6">
        <f>(_xlfn.XLOOKUP($A30,'Акция 4'!$F:$F,'Акция 4'!$P:$P,0,0))%</f>
        <v>0</v>
      </c>
      <c r="AB30" s="13">
        <f t="shared" si="36"/>
        <v>0</v>
      </c>
      <c r="AC30" s="50">
        <f>_xlfn.XLOOKUP($A30,'Акция 5'!$F:$F,'Акция 5'!$L:$L,0,0)</f>
        <v>0</v>
      </c>
      <c r="AD30" s="6">
        <f>(_xlfn.XLOOKUP($A30,'Акция 5'!$F:$F,'Акция 5'!O:O,0,0))%</f>
        <v>0</v>
      </c>
      <c r="AE30" s="13">
        <f t="shared" si="15"/>
        <v>0</v>
      </c>
      <c r="AF30" s="50">
        <f>_xlfn.XLOOKUP($A30,'Акция 6'!$F:$F,'Акция 6'!$L:$L,0,0)</f>
        <v>0</v>
      </c>
      <c r="AG30" s="6">
        <f>(_xlfn.XLOOKUP($A30,'Акция 6'!$F:$F,'Акция 6'!$O:$O,0,0))%</f>
        <v>0</v>
      </c>
      <c r="AH30" s="13">
        <f t="shared" si="16"/>
        <v>0</v>
      </c>
      <c r="AI30" s="50">
        <f>_xlfn.XLOOKUP($A30,'Акция 7'!$F:$F,'Акция 7'!$L:$L,0,0)</f>
        <v>0</v>
      </c>
      <c r="AJ30" s="6">
        <f>(_xlfn.XLOOKUP($A30,'Акция 7'!$F:$F,'Акция 7'!$O:$O,0,0))%</f>
        <v>0</v>
      </c>
      <c r="AK30" s="13">
        <f t="shared" si="17"/>
        <v>0</v>
      </c>
      <c r="AL30" s="50">
        <f>_xlfn.XLOOKUP($A30,'Акция 8'!$F:$F,'Акция 8'!$L:$L,0,0)</f>
        <v>0</v>
      </c>
      <c r="AM30" s="6">
        <f>(_xlfn.XLOOKUP($A30,'Акция 8'!$F:$F,'Акция 8'!$S:$S,0,0))%</f>
        <v>0</v>
      </c>
      <c r="AN30" s="13">
        <f t="shared" si="18"/>
        <v>0</v>
      </c>
      <c r="AO30" s="50">
        <f>_xlfn.XLOOKUP($A30,'Акция 9'!$F:$F,'Акция 9'!$L:$L,0,0)</f>
        <v>0</v>
      </c>
      <c r="AP30" s="6">
        <f>(_xlfn.XLOOKUP($A30,'Акция 9'!$F:$F,'Акция 9'!$O:$O,0,0))%</f>
        <v>0</v>
      </c>
      <c r="AQ30" s="13">
        <f t="shared" si="19"/>
        <v>0</v>
      </c>
      <c r="AR30" s="50">
        <f>_xlfn.XLOOKUP($A30,'Акция 10'!$F:$F,'Акция 10'!$L:$L,0,0)</f>
        <v>0</v>
      </c>
      <c r="AS30" s="6">
        <f>(_xlfn.XLOOKUP($A30,'Акция 10'!$F:$F,'Акция 10'!$O:$O,0,0))%</f>
        <v>0</v>
      </c>
      <c r="AT30" s="13">
        <f t="shared" si="20"/>
        <v>0</v>
      </c>
      <c r="AU30" s="50">
        <f>_xlfn.XLOOKUP($A30,'Акция 11'!$F:$F,'Акция 11'!$L:$L,0,0)</f>
        <v>0</v>
      </c>
      <c r="AV30" s="6">
        <f>(_xlfn.XLOOKUP($A30,'Акция 11'!$F:$F,'Акция 11'!$O:$O,0,0))%</f>
        <v>0</v>
      </c>
      <c r="AW30" s="13">
        <f t="shared" si="21"/>
        <v>0</v>
      </c>
      <c r="AX30" s="50"/>
      <c r="AY30" s="6"/>
      <c r="AZ30" s="13"/>
      <c r="BA30" s="17">
        <f t="shared" si="22"/>
        <v>0</v>
      </c>
      <c r="BB30" s="38">
        <f t="shared" si="8"/>
        <v>0</v>
      </c>
      <c r="BC30" s="33">
        <f t="shared" si="23"/>
        <v>0</v>
      </c>
      <c r="BD30" s="5">
        <f t="shared" si="24"/>
        <v>0</v>
      </c>
      <c r="BE30" s="53">
        <f t="shared" si="25"/>
        <v>0</v>
      </c>
      <c r="BF30" s="54">
        <f>_xlfn.XLOOKUP(A30,[1]Юнит!$A:$A,[1]Юнит!$AU:$AU,0)</f>
        <v>0</v>
      </c>
      <c r="BG30" s="54">
        <f t="shared" si="26"/>
        <v>0.24701467991356557</v>
      </c>
      <c r="BH30" s="5"/>
      <c r="BI30" s="78">
        <f t="shared" si="31"/>
        <v>884</v>
      </c>
      <c r="BJ30" s="85">
        <f t="shared" si="27"/>
        <v>0.3</v>
      </c>
      <c r="BK30" s="88">
        <f t="shared" si="30"/>
        <v>619</v>
      </c>
      <c r="BL30" s="79">
        <f t="shared" si="28"/>
        <v>0</v>
      </c>
      <c r="BM30" s="81">
        <f>_xlfn.XLOOKUP(A30,'Текущая цена на ВБ'!C:C,'Текущая цена на ВБ'!F:F)</f>
        <v>298</v>
      </c>
      <c r="BN30" s="84">
        <f>_xlfn.XLOOKUP(A30,'Текущая цена на ВБ'!C:C,'Текущая цена на ВБ'!H:H)</f>
        <v>999</v>
      </c>
    </row>
    <row r="31" spans="1:66" ht="24.95" customHeight="1" x14ac:dyDescent="0.25">
      <c r="A31" s="165">
        <f>[1]Юнит!A30</f>
        <v>419145389</v>
      </c>
      <c r="B31" s="165" t="str">
        <f>[1]Юнит!C30</f>
        <v>ACRB1MS107PN</v>
      </c>
      <c r="C31" s="166" t="str">
        <f>[1]Юнит!D30</f>
        <v>Мяч с шипами розовый 7 см</v>
      </c>
      <c r="D31" s="167">
        <f>[1]Юнит!E30</f>
        <v>2044025316447</v>
      </c>
      <c r="E31" s="50">
        <v>612</v>
      </c>
      <c r="F31" s="6">
        <v>0.4</v>
      </c>
      <c r="G31" s="150" t="s">
        <v>386</v>
      </c>
      <c r="H31" s="54">
        <v>0.24222938541955932</v>
      </c>
      <c r="I31" s="71">
        <f>_xlfn.XLOOKUP(D31,[1]Юнит!$E:$E,[1]Юнит!$AN:$AN)</f>
        <v>619</v>
      </c>
      <c r="J31" s="6">
        <f t="shared" si="9"/>
        <v>0.3</v>
      </c>
      <c r="K31" s="153">
        <f t="shared" si="32"/>
        <v>884.28571428571433</v>
      </c>
      <c r="L31" s="54">
        <f>_xlfn.XLOOKUP(D31,[1]Юнит!$E:$E,[1]Юнит!$AR:$AR)</f>
        <v>0.25111102412037867</v>
      </c>
      <c r="M31" s="50">
        <f t="shared" si="33"/>
        <v>612</v>
      </c>
      <c r="N31" s="6">
        <f>_xlfn.XLOOKUP($A31,'Текущая цена на ВБ'!$C:$C,'Текущая цена на ВБ'!$K:$K,0,0)%</f>
        <v>0.4</v>
      </c>
      <c r="O31" s="150" t="str">
        <f>_xlfn.XLOOKUP($A31,'Текущая цена на ВБ'!$C:$C,'Текущая цена на ВБ'!$I:$I,0,0)</f>
        <v>1020</v>
      </c>
      <c r="P31" s="54">
        <f>_xlfn.XLOOKUP($A31,[1]Юнит!$A:$A,[1]Юнит!$AJ:$AJ,0)</f>
        <v>0.24334595413482749</v>
      </c>
      <c r="Q31" s="50">
        <f>_xlfn.XLOOKUP($A31,'Акция 1'!$F:$F,'Акция 1'!$L:$L,0,0)</f>
        <v>612</v>
      </c>
      <c r="R31" s="6">
        <f>(_xlfn.XLOOKUP($A31,'Акция 1'!$F:$F,'Акция 1'!$P:$P,0,0))%</f>
        <v>0.31</v>
      </c>
      <c r="S31" s="13">
        <f t="shared" si="34"/>
        <v>886.95652173913049</v>
      </c>
      <c r="T31" s="50">
        <f>_xlfn.XLOOKUP($A31,'Акция 2'!$F:$F,'Акция 2'!$L:$L,0,0)</f>
        <v>0</v>
      </c>
      <c r="U31" s="6">
        <f>(_xlfn.XLOOKUP($A31,'Акция 2'!$F:$F,'Акция 2'!$O:$O,0,0))%</f>
        <v>0</v>
      </c>
      <c r="V31" s="13">
        <f t="shared" si="35"/>
        <v>0</v>
      </c>
      <c r="W31" s="50">
        <f>_xlfn.XLOOKUP($A31,'Акция 3'!$F:$F,'Акция 3'!$L:$L,0,0)</f>
        <v>433</v>
      </c>
      <c r="X31" s="6">
        <f>(_xlfn.XLOOKUP($A31,'Акция 3'!$F:$F,'Акция 3'!$P:$P,0,0))%</f>
        <v>0.51</v>
      </c>
      <c r="Y31" s="13">
        <f t="shared" si="13"/>
        <v>883.67346938775506</v>
      </c>
      <c r="Z31" s="50">
        <f>_xlfn.XLOOKUP($A31,'Акция 4'!$F:$F,'Акция 4'!$L:$L,0,0)</f>
        <v>0</v>
      </c>
      <c r="AA31" s="6">
        <f>(_xlfn.XLOOKUP($A31,'Акция 4'!$F:$F,'Акция 4'!$P:$P,0,0))%</f>
        <v>0</v>
      </c>
      <c r="AB31" s="13">
        <f t="shared" si="36"/>
        <v>0</v>
      </c>
      <c r="AC31" s="50">
        <f>_xlfn.XLOOKUP($A31,'Акция 5'!$F:$F,'Акция 5'!$L:$L,0,0)</f>
        <v>0</v>
      </c>
      <c r="AD31" s="6">
        <f>(_xlfn.XLOOKUP($A31,'Акция 5'!$F:$F,'Акция 5'!O:O,0,0))%</f>
        <v>0</v>
      </c>
      <c r="AE31" s="13">
        <f t="shared" si="15"/>
        <v>0</v>
      </c>
      <c r="AF31" s="50">
        <f>_xlfn.XLOOKUP($A31,'Акция 6'!$F:$F,'Акция 6'!$L:$L,0,0)</f>
        <v>0</v>
      </c>
      <c r="AG31" s="6">
        <f>(_xlfn.XLOOKUP($A31,'Акция 6'!$F:$F,'Акция 6'!$O:$O,0,0))%</f>
        <v>0</v>
      </c>
      <c r="AH31" s="13">
        <f t="shared" si="16"/>
        <v>0</v>
      </c>
      <c r="AI31" s="50">
        <f>_xlfn.XLOOKUP($A31,'Акция 7'!$F:$F,'Акция 7'!$L:$L,0,0)</f>
        <v>0</v>
      </c>
      <c r="AJ31" s="6">
        <f>(_xlfn.XLOOKUP($A31,'Акция 7'!$F:$F,'Акция 7'!$O:$O,0,0))%</f>
        <v>0</v>
      </c>
      <c r="AK31" s="13">
        <f t="shared" si="17"/>
        <v>0</v>
      </c>
      <c r="AL31" s="50">
        <f>_xlfn.XLOOKUP($A31,'Акция 8'!$F:$F,'Акция 8'!$L:$L,0,0)</f>
        <v>0</v>
      </c>
      <c r="AM31" s="6">
        <f>(_xlfn.XLOOKUP($A31,'Акция 8'!$F:$F,'Акция 8'!$S:$S,0,0))%</f>
        <v>0</v>
      </c>
      <c r="AN31" s="13">
        <f t="shared" si="18"/>
        <v>0</v>
      </c>
      <c r="AO31" s="50">
        <f>_xlfn.XLOOKUP($A31,'Акция 9'!$F:$F,'Акция 9'!$L:$L,0,0)</f>
        <v>0</v>
      </c>
      <c r="AP31" s="6">
        <f>(_xlfn.XLOOKUP($A31,'Акция 9'!$F:$F,'Акция 9'!$O:$O,0,0))%</f>
        <v>0</v>
      </c>
      <c r="AQ31" s="13">
        <f t="shared" si="19"/>
        <v>0</v>
      </c>
      <c r="AR31" s="50">
        <f>_xlfn.XLOOKUP($A31,'Акция 10'!$F:$F,'Акция 10'!$L:$L,0,0)</f>
        <v>0</v>
      </c>
      <c r="AS31" s="6">
        <f>(_xlfn.XLOOKUP($A31,'Акция 10'!$F:$F,'Акция 10'!$O:$O,0,0))%</f>
        <v>0</v>
      </c>
      <c r="AT31" s="13">
        <f t="shared" si="20"/>
        <v>0</v>
      </c>
      <c r="AU31" s="50">
        <f>_xlfn.XLOOKUP($A31,'Акция 11'!$F:$F,'Акция 11'!$L:$L,0,0)</f>
        <v>0</v>
      </c>
      <c r="AV31" s="6">
        <f>(_xlfn.XLOOKUP($A31,'Акция 11'!$F:$F,'Акция 11'!$O:$O,0,0))%</f>
        <v>0</v>
      </c>
      <c r="AW31" s="13">
        <f t="shared" si="21"/>
        <v>0</v>
      </c>
      <c r="AX31" s="50"/>
      <c r="AY31" s="6"/>
      <c r="AZ31" s="13"/>
      <c r="BA31" s="17">
        <f t="shared" si="22"/>
        <v>612</v>
      </c>
      <c r="BB31" s="38">
        <f t="shared" si="8"/>
        <v>1</v>
      </c>
      <c r="BC31" s="33">
        <f t="shared" si="23"/>
        <v>612</v>
      </c>
      <c r="BD31" s="5">
        <f t="shared" si="24"/>
        <v>0.4</v>
      </c>
      <c r="BE31" s="53">
        <f t="shared" si="25"/>
        <v>1020</v>
      </c>
      <c r="BF31" s="54">
        <f>_xlfn.XLOOKUP(A31,[1]Юнит!$A:$A,[1]Юнит!$AU:$AU,0)</f>
        <v>0.24334595413482749</v>
      </c>
      <c r="BG31" s="54">
        <f t="shared" si="26"/>
        <v>0.24334595413482749</v>
      </c>
      <c r="BH31" s="5" t="s">
        <v>287</v>
      </c>
      <c r="BI31" s="78">
        <f t="shared" si="31"/>
        <v>1020</v>
      </c>
      <c r="BJ31" s="85">
        <f t="shared" si="27"/>
        <v>0.4</v>
      </c>
      <c r="BK31" s="88">
        <f t="shared" si="30"/>
        <v>612</v>
      </c>
      <c r="BL31" s="79">
        <f t="shared" si="28"/>
        <v>1</v>
      </c>
      <c r="BM31" s="81">
        <f>_xlfn.XLOOKUP(A31,'Текущая цена на ВБ'!C:C,'Текущая цена на ВБ'!F:F)</f>
        <v>118</v>
      </c>
      <c r="BN31" s="84">
        <f>_xlfn.XLOOKUP(A31,'Текущая цена на ВБ'!C:C,'Текущая цена на ВБ'!H:H)</f>
        <v>717</v>
      </c>
    </row>
    <row r="32" spans="1:66" ht="24.95" customHeight="1" x14ac:dyDescent="0.25">
      <c r="A32" s="165">
        <f>[1]Юнит!A31</f>
        <v>419145748</v>
      </c>
      <c r="B32" s="165" t="str">
        <f>[1]Юнит!C31</f>
        <v>ACRB1MS107BL</v>
      </c>
      <c r="C32" s="166" t="str">
        <f>[1]Юнит!D31</f>
        <v>Мяч с шипами голубой 7 см</v>
      </c>
      <c r="D32" s="167">
        <f>[1]Юнит!E31</f>
        <v>2044025338661</v>
      </c>
      <c r="E32" s="50">
        <v>553</v>
      </c>
      <c r="F32" s="6">
        <v>0.4</v>
      </c>
      <c r="G32" s="150" t="s">
        <v>407</v>
      </c>
      <c r="H32" s="54">
        <v>0.20483135398307711</v>
      </c>
      <c r="I32" s="71">
        <f>_xlfn.XLOOKUP(D32,[1]Юнит!$E:$E,[1]Юнит!$AN:$AN)</f>
        <v>619</v>
      </c>
      <c r="J32" s="6">
        <f t="shared" si="9"/>
        <v>0.3</v>
      </c>
      <c r="K32" s="153">
        <f t="shared" si="32"/>
        <v>884.28571428571433</v>
      </c>
      <c r="L32" s="54">
        <f>_xlfn.XLOOKUP(D32,[1]Юнит!$E:$E,[1]Юнит!$AR:$AR)</f>
        <v>0.28462417436270504</v>
      </c>
      <c r="M32" s="50">
        <f t="shared" si="33"/>
        <v>553</v>
      </c>
      <c r="N32" s="6">
        <f>_xlfn.XLOOKUP($A32,'Текущая цена на ВБ'!$C:$C,'Текущая цена на ВБ'!$K:$K,0,0)%</f>
        <v>0.4</v>
      </c>
      <c r="O32" s="150" t="str">
        <f>_xlfn.XLOOKUP($A32,'Текущая цена на ВБ'!$C:$C,'Текущая цена на ВБ'!$I:$I,0,0)</f>
        <v>922</v>
      </c>
      <c r="P32" s="54">
        <f>_xlfn.XLOOKUP($A32,[1]Юнит!$A:$A,[1]Юнит!$AJ:$AJ,0)</f>
        <v>0.20786038309926691</v>
      </c>
      <c r="Q32" s="50">
        <f>_xlfn.XLOOKUP($A32,'Акция 1'!$F:$F,'Акция 1'!$L:$L,0,0)</f>
        <v>553</v>
      </c>
      <c r="R32" s="6">
        <f>(_xlfn.XLOOKUP($A32,'Акция 1'!$F:$F,'Акция 1'!$P:$P,0,0))%</f>
        <v>0.41</v>
      </c>
      <c r="S32" s="13">
        <f t="shared" si="34"/>
        <v>937.2881355932202</v>
      </c>
      <c r="T32" s="50">
        <f>_xlfn.XLOOKUP($A32,'Акция 2'!$F:$F,'Акция 2'!$L:$L,0,0)</f>
        <v>0</v>
      </c>
      <c r="U32" s="6">
        <f>(_xlfn.XLOOKUP($A32,'Акция 2'!$F:$F,'Акция 2'!$O:$O,0,0))%</f>
        <v>0</v>
      </c>
      <c r="V32" s="13">
        <f t="shared" si="35"/>
        <v>0</v>
      </c>
      <c r="W32" s="50">
        <f>_xlfn.XLOOKUP($A32,'Акция 3'!$F:$F,'Акция 3'!$L:$L,0,0)</f>
        <v>504</v>
      </c>
      <c r="X32" s="6">
        <f>(_xlfn.XLOOKUP($A32,'Акция 3'!$F:$F,'Акция 3'!$P:$P,0,0))%</f>
        <v>0.46</v>
      </c>
      <c r="Y32" s="13">
        <f t="shared" si="13"/>
        <v>933.33333333333326</v>
      </c>
      <c r="Z32" s="50">
        <f>_xlfn.XLOOKUP($A32,'Акция 4'!$F:$F,'Акция 4'!$L:$L,0,0)</f>
        <v>0</v>
      </c>
      <c r="AA32" s="6">
        <f>(_xlfn.XLOOKUP($A32,'Акция 4'!$F:$F,'Акция 4'!$P:$P,0,0))%</f>
        <v>0</v>
      </c>
      <c r="AB32" s="13">
        <f t="shared" si="36"/>
        <v>0</v>
      </c>
      <c r="AC32" s="50">
        <f>_xlfn.XLOOKUP($A32,'Акция 5'!$F:$F,'Акция 5'!$L:$L,0,0)</f>
        <v>0</v>
      </c>
      <c r="AD32" s="6">
        <f>(_xlfn.XLOOKUP($A32,'Акция 5'!$F:$F,'Акция 5'!O:O,0,0))%</f>
        <v>0</v>
      </c>
      <c r="AE32" s="13">
        <f t="shared" si="15"/>
        <v>0</v>
      </c>
      <c r="AF32" s="50">
        <f>_xlfn.XLOOKUP($A32,'Акция 6'!$F:$F,'Акция 6'!$L:$L,0,0)</f>
        <v>0</v>
      </c>
      <c r="AG32" s="6">
        <f>(_xlfn.XLOOKUP($A32,'Акция 6'!$F:$F,'Акция 6'!$O:$O,0,0))%</f>
        <v>0</v>
      </c>
      <c r="AH32" s="13">
        <f t="shared" si="16"/>
        <v>0</v>
      </c>
      <c r="AI32" s="50">
        <f>_xlfn.XLOOKUP($A32,'Акция 7'!$F:$F,'Акция 7'!$L:$L,0,0)</f>
        <v>0</v>
      </c>
      <c r="AJ32" s="6">
        <f>(_xlfn.XLOOKUP($A32,'Акция 7'!$F:$F,'Акция 7'!$O:$O,0,0))%</f>
        <v>0</v>
      </c>
      <c r="AK32" s="13">
        <f t="shared" si="17"/>
        <v>0</v>
      </c>
      <c r="AL32" s="50">
        <f>_xlfn.XLOOKUP($A32,'Акция 8'!$F:$F,'Акция 8'!$L:$L,0,0)</f>
        <v>0</v>
      </c>
      <c r="AM32" s="6">
        <f>(_xlfn.XLOOKUP($A32,'Акция 8'!$F:$F,'Акция 8'!$S:$S,0,0))%</f>
        <v>0</v>
      </c>
      <c r="AN32" s="13">
        <f t="shared" si="18"/>
        <v>0</v>
      </c>
      <c r="AO32" s="50">
        <f>_xlfn.XLOOKUP($A32,'Акция 9'!$F:$F,'Акция 9'!$L:$L,0,0)</f>
        <v>0</v>
      </c>
      <c r="AP32" s="6">
        <f>(_xlfn.XLOOKUP($A32,'Акция 9'!$F:$F,'Акция 9'!$O:$O,0,0))%</f>
        <v>0</v>
      </c>
      <c r="AQ32" s="13">
        <f t="shared" si="19"/>
        <v>0</v>
      </c>
      <c r="AR32" s="50">
        <f>_xlfn.XLOOKUP($A32,'Акция 10'!$F:$F,'Акция 10'!$L:$L,0,0)</f>
        <v>0</v>
      </c>
      <c r="AS32" s="6">
        <f>(_xlfn.XLOOKUP($A32,'Акция 10'!$F:$F,'Акция 10'!$O:$O,0,0))%</f>
        <v>0</v>
      </c>
      <c r="AT32" s="13">
        <f t="shared" si="20"/>
        <v>0</v>
      </c>
      <c r="AU32" s="50">
        <f>_xlfn.XLOOKUP($A32,'Акция 11'!$F:$F,'Акция 11'!$L:$L,0,0)</f>
        <v>0</v>
      </c>
      <c r="AV32" s="6">
        <f>(_xlfn.XLOOKUP($A32,'Акция 11'!$F:$F,'Акция 11'!$O:$O,0,0))%</f>
        <v>0</v>
      </c>
      <c r="AW32" s="13">
        <f t="shared" si="21"/>
        <v>0</v>
      </c>
      <c r="AX32" s="50"/>
      <c r="AY32" s="6"/>
      <c r="AZ32" s="13"/>
      <c r="BA32" s="17">
        <f t="shared" si="22"/>
        <v>553</v>
      </c>
      <c r="BB32" s="38">
        <f t="shared" si="8"/>
        <v>1</v>
      </c>
      <c r="BC32" s="33">
        <f t="shared" si="23"/>
        <v>553</v>
      </c>
      <c r="BD32" s="5">
        <f t="shared" si="24"/>
        <v>0.4</v>
      </c>
      <c r="BE32" s="53">
        <f t="shared" si="25"/>
        <v>921.66666666666674</v>
      </c>
      <c r="BF32" s="54">
        <f>_xlfn.XLOOKUP(A32,[1]Юнит!$A:$A,[1]Юнит!$AU:$AU,0)</f>
        <v>0.20759921144758484</v>
      </c>
      <c r="BG32" s="54">
        <f t="shared" si="26"/>
        <v>0.20786038309926691</v>
      </c>
      <c r="BH32" s="5" t="s">
        <v>287</v>
      </c>
      <c r="BI32" s="78">
        <f t="shared" si="31"/>
        <v>922</v>
      </c>
      <c r="BJ32" s="85">
        <f t="shared" si="27"/>
        <v>0.4</v>
      </c>
      <c r="BK32" s="88">
        <f t="shared" si="30"/>
        <v>553</v>
      </c>
      <c r="BL32" s="79">
        <f t="shared" si="28"/>
        <v>1</v>
      </c>
      <c r="BM32" s="81">
        <f>_xlfn.XLOOKUP(A32,'Текущая цена на ВБ'!C:C,'Текущая цена на ВБ'!F:F)</f>
        <v>109</v>
      </c>
      <c r="BN32" s="84">
        <f>_xlfn.XLOOKUP(A32,'Текущая цена на ВБ'!C:C,'Текущая цена на ВБ'!H:H)</f>
        <v>999</v>
      </c>
    </row>
    <row r="33" spans="1:66" ht="24.95" customHeight="1" x14ac:dyDescent="0.25">
      <c r="A33" s="165">
        <f>[1]Юнит!A32</f>
        <v>419141548</v>
      </c>
      <c r="B33" s="165" t="str">
        <f>[1]Юнит!C32</f>
        <v>ACRB1MS107RJ</v>
      </c>
      <c r="C33" s="166" t="str">
        <f>[1]Юнит!D32</f>
        <v>Мяч с шипами оранжевый 7 см</v>
      </c>
      <c r="D33" s="167">
        <f>[1]Юнит!E32</f>
        <v>2044025288003</v>
      </c>
      <c r="E33" s="50">
        <v>593</v>
      </c>
      <c r="F33" s="6">
        <v>0.4</v>
      </c>
      <c r="G33" s="150" t="s">
        <v>383</v>
      </c>
      <c r="H33" s="54">
        <v>0.23223026259626262</v>
      </c>
      <c r="I33" s="71">
        <f>_xlfn.XLOOKUP(D33,[1]Юнит!$E:$E,[1]Юнит!$AN:$AN)</f>
        <v>619</v>
      </c>
      <c r="J33" s="6">
        <f t="shared" si="9"/>
        <v>0.3</v>
      </c>
      <c r="K33" s="153">
        <f t="shared" si="32"/>
        <v>884.28571428571433</v>
      </c>
      <c r="L33" s="54">
        <f>_xlfn.XLOOKUP(D33,[1]Юнит!$E:$E,[1]Юнит!$AR:$AR)</f>
        <v>0.26205409358726084</v>
      </c>
      <c r="M33" s="50">
        <f t="shared" si="33"/>
        <v>593</v>
      </c>
      <c r="N33" s="6">
        <f>_xlfn.XLOOKUP($A33,'Текущая цена на ВБ'!$C:$C,'Текущая цена на ВБ'!$K:$K,0,0)%</f>
        <v>0.4</v>
      </c>
      <c r="O33" s="150" t="str">
        <f>_xlfn.XLOOKUP($A33,'Текущая цена на ВБ'!$C:$C,'Текущая цена на ВБ'!$I:$I,0,0)</f>
        <v>988</v>
      </c>
      <c r="P33" s="54">
        <f>_xlfn.XLOOKUP($A33,[1]Юнит!$A:$A,[1]Юнит!$AJ:$AJ,0)</f>
        <v>0.23253286762907291</v>
      </c>
      <c r="Q33" s="50">
        <f>_xlfn.XLOOKUP($A33,'Акция 1'!$F:$F,'Акция 1'!$L:$L,0,0)</f>
        <v>593</v>
      </c>
      <c r="R33" s="6">
        <f>(_xlfn.XLOOKUP($A33,'Акция 1'!$F:$F,'Акция 1'!$P:$P,0,0))%</f>
        <v>0.33</v>
      </c>
      <c r="S33" s="13">
        <f t="shared" si="34"/>
        <v>885.07462686567169</v>
      </c>
      <c r="T33" s="50">
        <f>_xlfn.XLOOKUP($A33,'Акция 2'!$F:$F,'Акция 2'!$L:$L,0,0)</f>
        <v>0</v>
      </c>
      <c r="U33" s="6">
        <f>(_xlfn.XLOOKUP($A33,'Акция 2'!$F:$F,'Акция 2'!$O:$O,0,0))%</f>
        <v>0</v>
      </c>
      <c r="V33" s="13">
        <f t="shared" si="35"/>
        <v>0</v>
      </c>
      <c r="W33" s="50">
        <f>_xlfn.XLOOKUP($A33,'Акция 3'!$F:$F,'Акция 3'!$L:$L,0,0)</f>
        <v>420</v>
      </c>
      <c r="X33" s="6">
        <f>(_xlfn.XLOOKUP($A33,'Акция 3'!$F:$F,'Акция 3'!$P:$P,0,0))%</f>
        <v>0.53</v>
      </c>
      <c r="Y33" s="13">
        <f t="shared" si="13"/>
        <v>893.61702127659578</v>
      </c>
      <c r="Z33" s="50">
        <f>_xlfn.XLOOKUP($A33,'Акция 4'!$F:$F,'Акция 4'!$L:$L,0,0)</f>
        <v>0</v>
      </c>
      <c r="AA33" s="6">
        <f>(_xlfn.XLOOKUP($A33,'Акция 4'!$F:$F,'Акция 4'!$P:$P,0,0))%</f>
        <v>0</v>
      </c>
      <c r="AB33" s="13">
        <f t="shared" si="36"/>
        <v>0</v>
      </c>
      <c r="AC33" s="50">
        <f>_xlfn.XLOOKUP($A33,'Акция 5'!$F:$F,'Акция 5'!$L:$L,0,0)</f>
        <v>0</v>
      </c>
      <c r="AD33" s="6">
        <f>(_xlfn.XLOOKUP($A33,'Акция 5'!$F:$F,'Акция 5'!O:O,0,0))%</f>
        <v>0</v>
      </c>
      <c r="AE33" s="13">
        <f t="shared" si="15"/>
        <v>0</v>
      </c>
      <c r="AF33" s="50">
        <f>_xlfn.XLOOKUP($A33,'Акция 6'!$F:$F,'Акция 6'!$L:$L,0,0)</f>
        <v>0</v>
      </c>
      <c r="AG33" s="6">
        <f>(_xlfn.XLOOKUP($A33,'Акция 6'!$F:$F,'Акция 6'!$O:$O,0,0))%</f>
        <v>0</v>
      </c>
      <c r="AH33" s="13">
        <f t="shared" si="16"/>
        <v>0</v>
      </c>
      <c r="AI33" s="50">
        <f>_xlfn.XLOOKUP($A33,'Акция 7'!$F:$F,'Акция 7'!$L:$L,0,0)</f>
        <v>0</v>
      </c>
      <c r="AJ33" s="6">
        <f>(_xlfn.XLOOKUP($A33,'Акция 7'!$F:$F,'Акция 7'!$O:$O,0,0))%</f>
        <v>0</v>
      </c>
      <c r="AK33" s="13">
        <f t="shared" si="17"/>
        <v>0</v>
      </c>
      <c r="AL33" s="50">
        <f>_xlfn.XLOOKUP($A33,'Акция 8'!$F:$F,'Акция 8'!$L:$L,0,0)</f>
        <v>0</v>
      </c>
      <c r="AM33" s="6">
        <f>(_xlfn.XLOOKUP($A33,'Акция 8'!$F:$F,'Акция 8'!$S:$S,0,0))%</f>
        <v>0</v>
      </c>
      <c r="AN33" s="13">
        <f t="shared" si="18"/>
        <v>0</v>
      </c>
      <c r="AO33" s="50">
        <f>_xlfn.XLOOKUP($A33,'Акция 9'!$F:$F,'Акция 9'!$L:$L,0,0)</f>
        <v>0</v>
      </c>
      <c r="AP33" s="6">
        <f>(_xlfn.XLOOKUP($A33,'Акция 9'!$F:$F,'Акция 9'!$O:$O,0,0))%</f>
        <v>0</v>
      </c>
      <c r="AQ33" s="13">
        <f t="shared" si="19"/>
        <v>0</v>
      </c>
      <c r="AR33" s="50">
        <f>_xlfn.XLOOKUP($A33,'Акция 10'!$F:$F,'Акция 10'!$L:$L,0,0)</f>
        <v>0</v>
      </c>
      <c r="AS33" s="6">
        <f>(_xlfn.XLOOKUP($A33,'Акция 10'!$F:$F,'Акция 10'!$O:$O,0,0))%</f>
        <v>0</v>
      </c>
      <c r="AT33" s="13">
        <f t="shared" si="20"/>
        <v>0</v>
      </c>
      <c r="AU33" s="50">
        <f>_xlfn.XLOOKUP($A33,'Акция 11'!$F:$F,'Акция 11'!$L:$L,0,0)</f>
        <v>0</v>
      </c>
      <c r="AV33" s="6">
        <f>(_xlfn.XLOOKUP($A33,'Акция 11'!$F:$F,'Акция 11'!$O:$O,0,0))%</f>
        <v>0</v>
      </c>
      <c r="AW33" s="13">
        <f t="shared" si="21"/>
        <v>0</v>
      </c>
      <c r="AX33" s="50"/>
      <c r="AY33" s="6"/>
      <c r="AZ33" s="13"/>
      <c r="BA33" s="17">
        <f t="shared" si="22"/>
        <v>593</v>
      </c>
      <c r="BB33" s="38">
        <f t="shared" si="8"/>
        <v>1</v>
      </c>
      <c r="BC33" s="33">
        <f t="shared" si="23"/>
        <v>593</v>
      </c>
      <c r="BD33" s="5">
        <f t="shared" si="24"/>
        <v>0.4</v>
      </c>
      <c r="BE33" s="53">
        <f t="shared" si="25"/>
        <v>988.33333333333337</v>
      </c>
      <c r="BF33" s="54">
        <f>_xlfn.XLOOKUP(A33,[1]Юнит!$A:$A,[1]Юнит!$AU:$AU,0)</f>
        <v>0.23276810106326218</v>
      </c>
      <c r="BG33" s="54">
        <f t="shared" si="26"/>
        <v>0.23253286762907291</v>
      </c>
      <c r="BH33" s="5" t="s">
        <v>287</v>
      </c>
      <c r="BI33" s="78">
        <f t="shared" si="31"/>
        <v>988</v>
      </c>
      <c r="BJ33" s="85">
        <f t="shared" si="27"/>
        <v>0.4</v>
      </c>
      <c r="BK33" s="88">
        <f t="shared" si="30"/>
        <v>593</v>
      </c>
      <c r="BL33" s="79">
        <f t="shared" si="28"/>
        <v>1</v>
      </c>
      <c r="BM33" s="81">
        <f>_xlfn.XLOOKUP(A33,'Текущая цена на ВБ'!C:C,'Текущая цена на ВБ'!F:F)</f>
        <v>76</v>
      </c>
      <c r="BN33" s="84">
        <f>_xlfn.XLOOKUP(A33,'Текущая цена на ВБ'!C:C,'Текущая цена на ВБ'!H:H)</f>
        <v>258</v>
      </c>
    </row>
    <row r="34" spans="1:66" ht="24.95" customHeight="1" x14ac:dyDescent="0.25">
      <c r="A34" s="165">
        <f>[1]Юнит!A33</f>
        <v>419145985</v>
      </c>
      <c r="B34" s="165" t="str">
        <f>[1]Юнит!C33</f>
        <v>ACRB1MS107BС</v>
      </c>
      <c r="C34" s="166" t="str">
        <f>[1]Юнит!D33</f>
        <v>Мяч с шипами черный 7 см</v>
      </c>
      <c r="D34" s="167">
        <f>[1]Юнит!E33</f>
        <v>2044025344532</v>
      </c>
      <c r="E34" s="50">
        <v>552</v>
      </c>
      <c r="F34" s="6">
        <v>0.4</v>
      </c>
      <c r="G34" s="150" t="s">
        <v>404</v>
      </c>
      <c r="H34" s="54">
        <v>0.15679120150311601</v>
      </c>
      <c r="I34" s="71">
        <f>_xlfn.XLOOKUP(D34,[1]Юнит!$E:$E,[1]Юнит!$AN:$AN)</f>
        <v>619</v>
      </c>
      <c r="J34" s="6">
        <f t="shared" si="9"/>
        <v>0.3</v>
      </c>
      <c r="K34" s="153">
        <f t="shared" si="32"/>
        <v>884.28571428571433</v>
      </c>
      <c r="L34" s="54">
        <f>_xlfn.XLOOKUP(D34,[1]Юнит!$E:$E,[1]Юнит!$AR:$AR)</f>
        <v>0.28530811620438518</v>
      </c>
      <c r="M34" s="50">
        <f t="shared" si="33"/>
        <v>552</v>
      </c>
      <c r="N34" s="6">
        <f>_xlfn.XLOOKUP($A34,'Текущая цена на ВБ'!$C:$C,'Текущая цена на ВБ'!$K:$K,0,0)%</f>
        <v>0.4</v>
      </c>
      <c r="O34" s="150" t="str">
        <f>_xlfn.XLOOKUP($A34,'Текущая цена на ВБ'!$C:$C,'Текущая цена на ВБ'!$I:$I,0,0)</f>
        <v>920</v>
      </c>
      <c r="P34" s="54">
        <f>_xlfn.XLOOKUP($A34,[1]Юнит!$A:$A,[1]Юнит!$AJ:$AJ,0)</f>
        <v>0.20705747088861309</v>
      </c>
      <c r="Q34" s="50">
        <f>_xlfn.XLOOKUP($A34,'Акция 1'!$F:$F,'Акция 1'!$L:$L,0,0)</f>
        <v>552</v>
      </c>
      <c r="R34" s="6">
        <f>(_xlfn.XLOOKUP($A34,'Акция 1'!$F:$F,'Акция 1'!$P:$P,0,0))%</f>
        <v>0.4</v>
      </c>
      <c r="S34" s="13">
        <f t="shared" si="34"/>
        <v>920</v>
      </c>
      <c r="T34" s="50">
        <f>_xlfn.XLOOKUP($A34,'Акция 2'!$F:$F,'Акция 2'!$L:$L,0,0)</f>
        <v>0</v>
      </c>
      <c r="U34" s="6">
        <f>(_xlfn.XLOOKUP($A34,'Акция 2'!$F:$F,'Акция 2'!$O:$O,0,0))%</f>
        <v>0</v>
      </c>
      <c r="V34" s="13">
        <f t="shared" si="35"/>
        <v>0</v>
      </c>
      <c r="W34" s="50">
        <f>_xlfn.XLOOKUP($A34,'Акция 3'!$F:$F,'Акция 3'!$L:$L,0,0)</f>
        <v>420</v>
      </c>
      <c r="X34" s="6">
        <f>(_xlfn.XLOOKUP($A34,'Акция 3'!$F:$F,'Акция 3'!$P:$P,0,0))%</f>
        <v>0.49</v>
      </c>
      <c r="Y34" s="13">
        <f t="shared" si="13"/>
        <v>823.52941176470586</v>
      </c>
      <c r="Z34" s="50">
        <f>_xlfn.XLOOKUP($A34,'Акция 4'!$F:$F,'Акция 4'!$L:$L,0,0)</f>
        <v>0</v>
      </c>
      <c r="AA34" s="6">
        <f>(_xlfn.XLOOKUP($A34,'Акция 4'!$F:$F,'Акция 4'!$P:$P,0,0))%</f>
        <v>0</v>
      </c>
      <c r="AB34" s="13">
        <f t="shared" si="36"/>
        <v>0</v>
      </c>
      <c r="AC34" s="50">
        <f>_xlfn.XLOOKUP($A34,'Акция 5'!$F:$F,'Акция 5'!$L:$L,0,0)</f>
        <v>0</v>
      </c>
      <c r="AD34" s="6">
        <f>(_xlfn.XLOOKUP($A34,'Акция 5'!$F:$F,'Акция 5'!O:O,0,0))%</f>
        <v>0</v>
      </c>
      <c r="AE34" s="13">
        <f t="shared" si="15"/>
        <v>0</v>
      </c>
      <c r="AF34" s="50">
        <f>_xlfn.XLOOKUP($A34,'Акция 6'!$F:$F,'Акция 6'!$L:$L,0,0)</f>
        <v>0</v>
      </c>
      <c r="AG34" s="6">
        <f>(_xlfn.XLOOKUP($A34,'Акция 6'!$F:$F,'Акция 6'!$O:$O,0,0))%</f>
        <v>0</v>
      </c>
      <c r="AH34" s="13">
        <f t="shared" si="16"/>
        <v>0</v>
      </c>
      <c r="AI34" s="50">
        <f>_xlfn.XLOOKUP($A34,'Акция 7'!$F:$F,'Акция 7'!$L:$L,0,0)</f>
        <v>0</v>
      </c>
      <c r="AJ34" s="6">
        <f>(_xlfn.XLOOKUP($A34,'Акция 7'!$F:$F,'Акция 7'!$O:$O,0,0))%</f>
        <v>0</v>
      </c>
      <c r="AK34" s="13">
        <f t="shared" si="17"/>
        <v>0</v>
      </c>
      <c r="AL34" s="50">
        <f>_xlfn.XLOOKUP($A34,'Акция 8'!$F:$F,'Акция 8'!$L:$L,0,0)</f>
        <v>0</v>
      </c>
      <c r="AM34" s="6">
        <f>(_xlfn.XLOOKUP($A34,'Акция 8'!$F:$F,'Акция 8'!$S:$S,0,0))%</f>
        <v>0</v>
      </c>
      <c r="AN34" s="13">
        <f t="shared" si="18"/>
        <v>0</v>
      </c>
      <c r="AO34" s="50">
        <f>_xlfn.XLOOKUP($A34,'Акция 9'!$F:$F,'Акция 9'!$L:$L,0,0)</f>
        <v>0</v>
      </c>
      <c r="AP34" s="6">
        <f>(_xlfn.XLOOKUP($A34,'Акция 9'!$F:$F,'Акция 9'!$O:$O,0,0))%</f>
        <v>0</v>
      </c>
      <c r="AQ34" s="13">
        <f t="shared" si="19"/>
        <v>0</v>
      </c>
      <c r="AR34" s="50">
        <f>_xlfn.XLOOKUP($A34,'Акция 10'!$F:$F,'Акция 10'!$L:$L,0,0)</f>
        <v>0</v>
      </c>
      <c r="AS34" s="6">
        <f>(_xlfn.XLOOKUP($A34,'Акция 10'!$F:$F,'Акция 10'!$O:$O,0,0))%</f>
        <v>0</v>
      </c>
      <c r="AT34" s="13">
        <f t="shared" si="20"/>
        <v>0</v>
      </c>
      <c r="AU34" s="50">
        <f>_xlfn.XLOOKUP($A34,'Акция 11'!$F:$F,'Акция 11'!$L:$L,0,0)</f>
        <v>0</v>
      </c>
      <c r="AV34" s="6">
        <f>(_xlfn.XLOOKUP($A34,'Акция 11'!$F:$F,'Акция 11'!$O:$O,0,0))%</f>
        <v>0</v>
      </c>
      <c r="AW34" s="13">
        <f t="shared" si="21"/>
        <v>0</v>
      </c>
      <c r="AX34" s="50"/>
      <c r="AY34" s="6"/>
      <c r="AZ34" s="13"/>
      <c r="BA34" s="17">
        <f t="shared" si="22"/>
        <v>552</v>
      </c>
      <c r="BB34" s="38">
        <f t="shared" si="8"/>
        <v>1</v>
      </c>
      <c r="BC34" s="33">
        <f t="shared" si="23"/>
        <v>552</v>
      </c>
      <c r="BD34" s="5">
        <f t="shared" si="24"/>
        <v>0.4</v>
      </c>
      <c r="BE34" s="53">
        <f t="shared" si="25"/>
        <v>920</v>
      </c>
      <c r="BF34" s="54">
        <f>_xlfn.XLOOKUP(A34,[1]Юнит!$A:$A,[1]Юнит!$AU:$AU,0)</f>
        <v>0.20705747088861309</v>
      </c>
      <c r="BG34" s="54">
        <f t="shared" si="26"/>
        <v>0.20705747088861309</v>
      </c>
      <c r="BH34" s="5" t="s">
        <v>287</v>
      </c>
      <c r="BI34" s="78">
        <f t="shared" si="31"/>
        <v>920</v>
      </c>
      <c r="BJ34" s="85">
        <f t="shared" si="27"/>
        <v>0.4</v>
      </c>
      <c r="BK34" s="88">
        <f t="shared" si="30"/>
        <v>552</v>
      </c>
      <c r="BL34" s="79">
        <f t="shared" si="28"/>
        <v>1</v>
      </c>
      <c r="BM34" s="81">
        <f>_xlfn.XLOOKUP(A34,'Текущая цена на ВБ'!C:C,'Текущая цена на ВБ'!F:F)</f>
        <v>90</v>
      </c>
      <c r="BN34" s="84">
        <f>_xlfn.XLOOKUP(A34,'Текущая цена на ВБ'!C:C,'Текущая цена на ВБ'!H:H)</f>
        <v>999</v>
      </c>
    </row>
    <row r="35" spans="1:66" ht="24.95" customHeight="1" x14ac:dyDescent="0.25">
      <c r="A35" s="127">
        <f>[1]Юнит!A34</f>
        <v>419145390</v>
      </c>
      <c r="B35" s="127" t="str">
        <f>[1]Юнит!C34</f>
        <v>ACRB1MS109PN</v>
      </c>
      <c r="C35" s="128" t="str">
        <f>[1]Юнит!D34</f>
        <v>Мяч с шипами розовый 9 см</v>
      </c>
      <c r="D35" s="129">
        <f>[1]Юнит!E34</f>
        <v>2044025321588</v>
      </c>
      <c r="E35" s="50">
        <v>709</v>
      </c>
      <c r="F35" s="6">
        <v>0.3</v>
      </c>
      <c r="G35" s="150" t="s">
        <v>331</v>
      </c>
      <c r="H35" s="54">
        <v>0.24842954903049505</v>
      </c>
      <c r="I35" s="71">
        <f>_xlfn.XLOOKUP(D35,[1]Юнит!$E:$E,[1]Юнит!$AN:$AN)</f>
        <v>709</v>
      </c>
      <c r="J35" s="6">
        <f t="shared" si="9"/>
        <v>0.3</v>
      </c>
      <c r="K35" s="153">
        <f t="shared" si="32"/>
        <v>1012.8571428571429</v>
      </c>
      <c r="L35" s="54">
        <f>_xlfn.XLOOKUP(D35,[1]Юнит!$E:$E,[1]Юнит!$AR:$AR)</f>
        <v>0.24833341779622572</v>
      </c>
      <c r="M35" s="50">
        <f t="shared" si="33"/>
        <v>709</v>
      </c>
      <c r="N35" s="6">
        <f>_xlfn.XLOOKUP($A35,'Текущая цена на ВБ'!$C:$C,'Текущая цена на ВБ'!$K:$K,0,0)%</f>
        <v>0.3</v>
      </c>
      <c r="O35" s="150" t="str">
        <f>_xlfn.XLOOKUP($A35,'Текущая цена на ВБ'!$C:$C,'Текущая цена на ВБ'!$I:$I,0,0)</f>
        <v>1013</v>
      </c>
      <c r="P35" s="54">
        <f>_xlfn.XLOOKUP($A35,[1]Юнит!$A:$A,[1]Юнит!$AJ:$AJ,0)</f>
        <v>0.24842954903049505</v>
      </c>
      <c r="Q35" s="50">
        <f>_xlfn.XLOOKUP($A35,'Акция 1'!$F:$F,'Акция 1'!$L:$L,0,0)</f>
        <v>0</v>
      </c>
      <c r="R35" s="6">
        <f>(_xlfn.XLOOKUP($A35,'Акция 1'!$F:$F,'Акция 1'!$P:$P,0,0))%</f>
        <v>0</v>
      </c>
      <c r="S35" s="13">
        <f t="shared" si="34"/>
        <v>0</v>
      </c>
      <c r="T35" s="50">
        <f>_xlfn.XLOOKUP($A35,'Акция 2'!$F:$F,'Акция 2'!$L:$L,0,0)</f>
        <v>0</v>
      </c>
      <c r="U35" s="6">
        <f>(_xlfn.XLOOKUP($A35,'Акция 2'!$F:$F,'Акция 2'!$O:$O,0,0))%</f>
        <v>0</v>
      </c>
      <c r="V35" s="13">
        <f t="shared" si="35"/>
        <v>0</v>
      </c>
      <c r="W35" s="50">
        <f>_xlfn.XLOOKUP($A35,'Акция 3'!$F:$F,'Акция 3'!$L:$L,0,0)</f>
        <v>0</v>
      </c>
      <c r="X35" s="6">
        <f>(_xlfn.XLOOKUP($A35,'Акция 3'!$F:$F,'Акция 3'!$P:$P,0,0))%</f>
        <v>0</v>
      </c>
      <c r="Y35" s="13">
        <f t="shared" si="13"/>
        <v>0</v>
      </c>
      <c r="Z35" s="50">
        <f>_xlfn.XLOOKUP($A35,'Акция 4'!$F:$F,'Акция 4'!$L:$L,0,0)</f>
        <v>0</v>
      </c>
      <c r="AA35" s="6">
        <f>(_xlfn.XLOOKUP($A35,'Акция 4'!$F:$F,'Акция 4'!$P:$P,0,0))%</f>
        <v>0</v>
      </c>
      <c r="AB35" s="13">
        <f t="shared" si="36"/>
        <v>0</v>
      </c>
      <c r="AC35" s="50">
        <f>_xlfn.XLOOKUP($A35,'Акция 5'!$F:$F,'Акция 5'!$L:$L,0,0)</f>
        <v>0</v>
      </c>
      <c r="AD35" s="6">
        <f>(_xlfn.XLOOKUP($A35,'Акция 5'!$F:$F,'Акция 5'!O:O,0,0))%</f>
        <v>0</v>
      </c>
      <c r="AE35" s="13">
        <f t="shared" si="15"/>
        <v>0</v>
      </c>
      <c r="AF35" s="50">
        <f>_xlfn.XLOOKUP($A35,'Акция 6'!$F:$F,'Акция 6'!$L:$L,0,0)</f>
        <v>0</v>
      </c>
      <c r="AG35" s="6">
        <f>(_xlfn.XLOOKUP($A35,'Акция 6'!$F:$F,'Акция 6'!$O:$O,0,0))%</f>
        <v>0</v>
      </c>
      <c r="AH35" s="13">
        <f t="shared" si="16"/>
        <v>0</v>
      </c>
      <c r="AI35" s="50">
        <f>_xlfn.XLOOKUP($A35,'Акция 7'!$F:$F,'Акция 7'!$L:$L,0,0)</f>
        <v>0</v>
      </c>
      <c r="AJ35" s="6">
        <f>(_xlfn.XLOOKUP($A35,'Акция 7'!$F:$F,'Акция 7'!$O:$O,0,0))%</f>
        <v>0</v>
      </c>
      <c r="AK35" s="13">
        <f t="shared" si="17"/>
        <v>0</v>
      </c>
      <c r="AL35" s="50">
        <f>_xlfn.XLOOKUP($A35,'Акция 8'!$F:$F,'Акция 8'!$L:$L,0,0)</f>
        <v>0</v>
      </c>
      <c r="AM35" s="6">
        <f>(_xlfn.XLOOKUP($A35,'Акция 8'!$F:$F,'Акция 8'!$S:$S,0,0))%</f>
        <v>0</v>
      </c>
      <c r="AN35" s="13">
        <f t="shared" si="18"/>
        <v>0</v>
      </c>
      <c r="AO35" s="50">
        <f>_xlfn.XLOOKUP($A35,'Акция 9'!$F:$F,'Акция 9'!$L:$L,0,0)</f>
        <v>0</v>
      </c>
      <c r="AP35" s="6">
        <f>(_xlfn.XLOOKUP($A35,'Акция 9'!$F:$F,'Акция 9'!$O:$O,0,0))%</f>
        <v>0</v>
      </c>
      <c r="AQ35" s="13">
        <f t="shared" si="19"/>
        <v>0</v>
      </c>
      <c r="AR35" s="50">
        <f>_xlfn.XLOOKUP($A35,'Акция 10'!$F:$F,'Акция 10'!$L:$L,0,0)</f>
        <v>0</v>
      </c>
      <c r="AS35" s="6">
        <f>(_xlfn.XLOOKUP($A35,'Акция 10'!$F:$F,'Акция 10'!$O:$O,0,0))%</f>
        <v>0</v>
      </c>
      <c r="AT35" s="13">
        <f t="shared" si="20"/>
        <v>0</v>
      </c>
      <c r="AU35" s="50">
        <f>_xlfn.XLOOKUP($A35,'Акция 11'!$F:$F,'Акция 11'!$L:$L,0,0)</f>
        <v>0</v>
      </c>
      <c r="AV35" s="6">
        <f>(_xlfn.XLOOKUP($A35,'Акция 11'!$F:$F,'Акция 11'!$O:$O,0,0))%</f>
        <v>0</v>
      </c>
      <c r="AW35" s="13">
        <f t="shared" si="21"/>
        <v>0</v>
      </c>
      <c r="AX35" s="50"/>
      <c r="AY35" s="6"/>
      <c r="AZ35" s="13"/>
      <c r="BA35" s="17">
        <f t="shared" si="22"/>
        <v>0</v>
      </c>
      <c r="BB35" s="38">
        <f t="shared" si="8"/>
        <v>0</v>
      </c>
      <c r="BC35" s="33">
        <f t="shared" si="23"/>
        <v>0</v>
      </c>
      <c r="BD35" s="5">
        <f t="shared" si="24"/>
        <v>0</v>
      </c>
      <c r="BE35" s="53">
        <f t="shared" si="25"/>
        <v>0</v>
      </c>
      <c r="BF35" s="54">
        <f>_xlfn.XLOOKUP(A35,[1]Юнит!$A:$A,[1]Юнит!$AU:$AU,0)</f>
        <v>0</v>
      </c>
      <c r="BG35" s="54">
        <f t="shared" si="26"/>
        <v>0.24842954903049505</v>
      </c>
      <c r="BH35" s="5"/>
      <c r="BI35" s="78">
        <f t="shared" si="31"/>
        <v>1013</v>
      </c>
      <c r="BJ35" s="85">
        <f t="shared" si="27"/>
        <v>0.3</v>
      </c>
      <c r="BK35" s="88">
        <f t="shared" si="30"/>
        <v>709</v>
      </c>
      <c r="BL35" s="79">
        <f t="shared" si="28"/>
        <v>0</v>
      </c>
      <c r="BM35" s="81">
        <f>_xlfn.XLOOKUP(A35,'Текущая цена на ВБ'!C:C,'Текущая цена на ВБ'!F:F)</f>
        <v>152</v>
      </c>
      <c r="BN35" s="84">
        <f>_xlfn.XLOOKUP(A35,'Текущая цена на ВБ'!C:C,'Текущая цена на ВБ'!H:H)</f>
        <v>999</v>
      </c>
    </row>
    <row r="36" spans="1:66" ht="24.95" customHeight="1" x14ac:dyDescent="0.25">
      <c r="A36" s="127">
        <f>[1]Юнит!A35</f>
        <v>419145749</v>
      </c>
      <c r="B36" s="127" t="str">
        <f>[1]Юнит!C35</f>
        <v>ACRB1MS109BL</v>
      </c>
      <c r="C36" s="128" t="str">
        <f>[1]Юнит!D35</f>
        <v>Мяч с шипами голубой 9 см</v>
      </c>
      <c r="D36" s="129">
        <f>[1]Юнит!E35</f>
        <v>2044025342057</v>
      </c>
      <c r="E36" s="50">
        <v>502</v>
      </c>
      <c r="F36" s="6">
        <v>0.4</v>
      </c>
      <c r="G36" s="150" t="s">
        <v>414</v>
      </c>
      <c r="H36" s="54">
        <v>0.10752792718642164</v>
      </c>
      <c r="I36" s="71">
        <f>_xlfn.XLOOKUP(D36,[1]Юнит!$E:$E,[1]Юнит!$AN:$AN)</f>
        <v>709</v>
      </c>
      <c r="J36" s="6">
        <f t="shared" si="9"/>
        <v>0.3</v>
      </c>
      <c r="K36" s="153">
        <f t="shared" si="32"/>
        <v>1012.8571428571429</v>
      </c>
      <c r="L36" s="54">
        <f>_xlfn.XLOOKUP(D36,[1]Юнит!$E:$E,[1]Юнит!$AR:$AR)</f>
        <v>0.35128732470736829</v>
      </c>
      <c r="M36" s="50">
        <f t="shared" si="33"/>
        <v>502</v>
      </c>
      <c r="N36" s="6">
        <f>_xlfn.XLOOKUP($A36,'Текущая цена на ВБ'!$C:$C,'Текущая цена на ВБ'!$K:$K,0,0)%</f>
        <v>0.4</v>
      </c>
      <c r="O36" s="150" t="str">
        <f>_xlfn.XLOOKUP($A36,'Текущая цена на ВБ'!$C:$C,'Текущая цена на ВБ'!$I:$I,0,0)</f>
        <v>837</v>
      </c>
      <c r="P36" s="54">
        <f>_xlfn.XLOOKUP($A36,[1]Юнит!$A:$A,[1]Юнит!$AJ:$AJ,0)</f>
        <v>0.11298031305759476</v>
      </c>
      <c r="Q36" s="50">
        <f>_xlfn.XLOOKUP($A36,'Акция 1'!$F:$F,'Акция 1'!$L:$L,0,0)</f>
        <v>502</v>
      </c>
      <c r="R36" s="6">
        <f>(_xlfn.XLOOKUP($A36,'Акция 1'!$F:$F,'Акция 1'!$P:$P,0,0))%</f>
        <v>0.51</v>
      </c>
      <c r="S36" s="13">
        <f t="shared" si="34"/>
        <v>1024.4897959183675</v>
      </c>
      <c r="T36" s="50">
        <f>_xlfn.XLOOKUP($A36,'Акция 2'!$F:$F,'Акция 2'!$L:$L,0,0)</f>
        <v>0</v>
      </c>
      <c r="U36" s="6">
        <f>(_xlfn.XLOOKUP($A36,'Акция 2'!$F:$F,'Акция 2'!$O:$O,0,0))%</f>
        <v>0</v>
      </c>
      <c r="V36" s="13">
        <f t="shared" si="35"/>
        <v>0</v>
      </c>
      <c r="W36" s="50">
        <f>_xlfn.XLOOKUP($A36,'Акция 3'!$F:$F,'Акция 3'!$L:$L,0,0)</f>
        <v>475</v>
      </c>
      <c r="X36" s="6">
        <f>(_xlfn.XLOOKUP($A36,'Акция 3'!$F:$F,'Акция 3'!$P:$P,0,0))%</f>
        <v>0.54</v>
      </c>
      <c r="Y36" s="13">
        <f t="shared" si="13"/>
        <v>1032.608695652174</v>
      </c>
      <c r="Z36" s="50">
        <f>_xlfn.XLOOKUP($A36,'Акция 4'!$F:$F,'Акция 4'!$L:$L,0,0)</f>
        <v>0</v>
      </c>
      <c r="AA36" s="6">
        <f>(_xlfn.XLOOKUP($A36,'Акция 4'!$F:$F,'Акция 4'!$P:$P,0,0))%</f>
        <v>0</v>
      </c>
      <c r="AB36" s="13">
        <f t="shared" si="36"/>
        <v>0</v>
      </c>
      <c r="AC36" s="50">
        <f>_xlfn.XLOOKUP($A36,'Акция 5'!$F:$F,'Акция 5'!$L:$L,0,0)</f>
        <v>0</v>
      </c>
      <c r="AD36" s="6">
        <f>(_xlfn.XLOOKUP($A36,'Акция 5'!$F:$F,'Акция 5'!O:O,0,0))%</f>
        <v>0</v>
      </c>
      <c r="AE36" s="13">
        <f t="shared" si="15"/>
        <v>0</v>
      </c>
      <c r="AF36" s="50">
        <f>_xlfn.XLOOKUP($A36,'Акция 6'!$F:$F,'Акция 6'!$L:$L,0,0)</f>
        <v>0</v>
      </c>
      <c r="AG36" s="6">
        <f>(_xlfn.XLOOKUP($A36,'Акция 6'!$F:$F,'Акция 6'!$O:$O,0,0))%</f>
        <v>0</v>
      </c>
      <c r="AH36" s="13">
        <f t="shared" si="16"/>
        <v>0</v>
      </c>
      <c r="AI36" s="50">
        <f>_xlfn.XLOOKUP($A36,'Акция 7'!$F:$F,'Акция 7'!$L:$L,0,0)</f>
        <v>0</v>
      </c>
      <c r="AJ36" s="6">
        <f>(_xlfn.XLOOKUP($A36,'Акция 7'!$F:$F,'Акция 7'!$O:$O,0,0))%</f>
        <v>0</v>
      </c>
      <c r="AK36" s="13">
        <f t="shared" si="17"/>
        <v>0</v>
      </c>
      <c r="AL36" s="50">
        <f>_xlfn.XLOOKUP($A36,'Акция 8'!$F:$F,'Акция 8'!$L:$L,0,0)</f>
        <v>0</v>
      </c>
      <c r="AM36" s="6">
        <f>(_xlfn.XLOOKUP($A36,'Акция 8'!$F:$F,'Акция 8'!$S:$S,0,0))%</f>
        <v>0</v>
      </c>
      <c r="AN36" s="13">
        <f t="shared" si="18"/>
        <v>0</v>
      </c>
      <c r="AO36" s="50">
        <f>_xlfn.XLOOKUP($A36,'Акция 9'!$F:$F,'Акция 9'!$L:$L,0,0)</f>
        <v>0</v>
      </c>
      <c r="AP36" s="6">
        <f>(_xlfn.XLOOKUP($A36,'Акция 9'!$F:$F,'Акция 9'!$O:$O,0,0))%</f>
        <v>0</v>
      </c>
      <c r="AQ36" s="13">
        <f t="shared" si="19"/>
        <v>0</v>
      </c>
      <c r="AR36" s="50">
        <f>_xlfn.XLOOKUP($A36,'Акция 10'!$F:$F,'Акция 10'!$L:$L,0,0)</f>
        <v>0</v>
      </c>
      <c r="AS36" s="6">
        <f>(_xlfn.XLOOKUP($A36,'Акция 10'!$F:$F,'Акция 10'!$O:$O,0,0))%</f>
        <v>0</v>
      </c>
      <c r="AT36" s="13">
        <f t="shared" si="20"/>
        <v>0</v>
      </c>
      <c r="AU36" s="50">
        <f>_xlfn.XLOOKUP($A36,'Акция 11'!$F:$F,'Акция 11'!$L:$L,0,0)</f>
        <v>0</v>
      </c>
      <c r="AV36" s="6">
        <f>(_xlfn.XLOOKUP($A36,'Акция 11'!$F:$F,'Акция 11'!$O:$O,0,0))%</f>
        <v>0</v>
      </c>
      <c r="AW36" s="13">
        <f t="shared" si="21"/>
        <v>0</v>
      </c>
      <c r="AX36" s="50"/>
      <c r="AY36" s="6"/>
      <c r="AZ36" s="13"/>
      <c r="BA36" s="17">
        <f t="shared" si="22"/>
        <v>502</v>
      </c>
      <c r="BB36" s="38">
        <f t="shared" si="8"/>
        <v>1</v>
      </c>
      <c r="BC36" s="33">
        <f t="shared" si="23"/>
        <v>502</v>
      </c>
      <c r="BD36" s="5">
        <f t="shared" si="24"/>
        <v>0.4</v>
      </c>
      <c r="BE36" s="53">
        <f t="shared" si="25"/>
        <v>836.66666666666674</v>
      </c>
      <c r="BF36" s="54">
        <f>_xlfn.XLOOKUP(A36,[1]Юнит!$A:$A,[1]Юнит!$AU:$AU,0)</f>
        <v>0.11265480720622331</v>
      </c>
      <c r="BG36" s="54">
        <f t="shared" si="26"/>
        <v>0.11298031305759476</v>
      </c>
      <c r="BH36" s="5" t="s">
        <v>287</v>
      </c>
      <c r="BI36" s="78">
        <f t="shared" si="31"/>
        <v>837</v>
      </c>
      <c r="BJ36" s="85">
        <f t="shared" si="27"/>
        <v>0.4</v>
      </c>
      <c r="BK36" s="88">
        <f t="shared" si="30"/>
        <v>502</v>
      </c>
      <c r="BL36" s="79">
        <f t="shared" si="28"/>
        <v>1</v>
      </c>
      <c r="BM36" s="81">
        <f>_xlfn.XLOOKUP(A36,'Текущая цена на ВБ'!C:C,'Текущая цена на ВБ'!F:F)</f>
        <v>106</v>
      </c>
      <c r="BN36" s="84">
        <f>_xlfn.XLOOKUP(A36,'Текущая цена на ВБ'!C:C,'Текущая цена на ВБ'!H:H)</f>
        <v>816</v>
      </c>
    </row>
    <row r="37" spans="1:66" ht="24.95" customHeight="1" x14ac:dyDescent="0.25">
      <c r="A37" s="127">
        <f>[1]Юнит!A36</f>
        <v>419141549</v>
      </c>
      <c r="B37" s="127" t="str">
        <f>[1]Юнит!C36</f>
        <v>ACRB1MS109RJ</v>
      </c>
      <c r="C37" s="128" t="str">
        <f>[1]Юнит!D36</f>
        <v>Мяч с шипами оранжевый 9 см</v>
      </c>
      <c r="D37" s="129">
        <f>[1]Юнит!E36</f>
        <v>2044025291485</v>
      </c>
      <c r="E37" s="50">
        <v>709</v>
      </c>
      <c r="F37" s="6">
        <v>0.3</v>
      </c>
      <c r="G37" s="150" t="s">
        <v>331</v>
      </c>
      <c r="H37" s="54">
        <v>0.24842954903049505</v>
      </c>
      <c r="I37" s="71">
        <f>_xlfn.XLOOKUP(D37,[1]Юнит!$E:$E,[1]Юнит!$AN:$AN)</f>
        <v>709</v>
      </c>
      <c r="J37" s="6">
        <f t="shared" si="9"/>
        <v>0.3</v>
      </c>
      <c r="K37" s="153">
        <f t="shared" si="32"/>
        <v>1012.8571428571429</v>
      </c>
      <c r="L37" s="54">
        <f>_xlfn.XLOOKUP(D37,[1]Юнит!$E:$E,[1]Юнит!$AR:$AR)</f>
        <v>0.24833341779622572</v>
      </c>
      <c r="M37" s="50">
        <f t="shared" si="33"/>
        <v>709</v>
      </c>
      <c r="N37" s="6">
        <f>_xlfn.XLOOKUP($A37,'Текущая цена на ВБ'!$C:$C,'Текущая цена на ВБ'!$K:$K,0,0)%</f>
        <v>0.3</v>
      </c>
      <c r="O37" s="150" t="str">
        <f>_xlfn.XLOOKUP($A37,'Текущая цена на ВБ'!$C:$C,'Текущая цена на ВБ'!$I:$I,0,0)</f>
        <v>1013</v>
      </c>
      <c r="P37" s="54">
        <f>_xlfn.XLOOKUP($A37,[1]Юнит!$A:$A,[1]Юнит!$AJ:$AJ,0)</f>
        <v>0.24842954903049505</v>
      </c>
      <c r="Q37" s="50">
        <f>_xlfn.XLOOKUP($A37,'Акция 1'!$F:$F,'Акция 1'!$L:$L,0,0)</f>
        <v>0</v>
      </c>
      <c r="R37" s="6">
        <f>(_xlfn.XLOOKUP($A37,'Акция 1'!$F:$F,'Акция 1'!$P:$P,0,0))%</f>
        <v>0</v>
      </c>
      <c r="S37" s="13">
        <f t="shared" si="34"/>
        <v>0</v>
      </c>
      <c r="T37" s="50">
        <f>_xlfn.XLOOKUP($A37,'Акция 2'!$F:$F,'Акция 2'!$L:$L,0,0)</f>
        <v>0</v>
      </c>
      <c r="U37" s="6">
        <f>(_xlfn.XLOOKUP($A37,'Акция 2'!$F:$F,'Акция 2'!$O:$O,0,0))%</f>
        <v>0</v>
      </c>
      <c r="V37" s="13">
        <f t="shared" si="35"/>
        <v>0</v>
      </c>
      <c r="W37" s="50">
        <f>_xlfn.XLOOKUP($A37,'Акция 3'!$F:$F,'Акция 3'!$L:$L,0,0)</f>
        <v>0</v>
      </c>
      <c r="X37" s="6">
        <f>(_xlfn.XLOOKUP($A37,'Акция 3'!$F:$F,'Акция 3'!$P:$P,0,0))%</f>
        <v>0</v>
      </c>
      <c r="Y37" s="13">
        <f t="shared" si="13"/>
        <v>0</v>
      </c>
      <c r="Z37" s="50">
        <f>_xlfn.XLOOKUP($A37,'Акция 4'!$F:$F,'Акция 4'!$L:$L,0,0)</f>
        <v>0</v>
      </c>
      <c r="AA37" s="6">
        <f>(_xlfn.XLOOKUP($A37,'Акция 4'!$F:$F,'Акция 4'!$P:$P,0,0))%</f>
        <v>0</v>
      </c>
      <c r="AB37" s="13">
        <f t="shared" si="36"/>
        <v>0</v>
      </c>
      <c r="AC37" s="50">
        <f>_xlfn.XLOOKUP($A37,'Акция 5'!$F:$F,'Акция 5'!$L:$L,0,0)</f>
        <v>0</v>
      </c>
      <c r="AD37" s="6">
        <f>(_xlfn.XLOOKUP($A37,'Акция 5'!$F:$F,'Акция 5'!O:O,0,0))%</f>
        <v>0</v>
      </c>
      <c r="AE37" s="13">
        <f t="shared" si="15"/>
        <v>0</v>
      </c>
      <c r="AF37" s="50">
        <f>_xlfn.XLOOKUP($A37,'Акция 6'!$F:$F,'Акция 6'!$L:$L,0,0)</f>
        <v>0</v>
      </c>
      <c r="AG37" s="6">
        <f>(_xlfn.XLOOKUP($A37,'Акция 6'!$F:$F,'Акция 6'!$O:$O,0,0))%</f>
        <v>0</v>
      </c>
      <c r="AH37" s="13">
        <f t="shared" si="16"/>
        <v>0</v>
      </c>
      <c r="AI37" s="50">
        <f>_xlfn.XLOOKUP($A37,'Акция 7'!$F:$F,'Акция 7'!$L:$L,0,0)</f>
        <v>0</v>
      </c>
      <c r="AJ37" s="6">
        <f>(_xlfn.XLOOKUP($A37,'Акция 7'!$F:$F,'Акция 7'!$O:$O,0,0))%</f>
        <v>0</v>
      </c>
      <c r="AK37" s="13">
        <f t="shared" si="17"/>
        <v>0</v>
      </c>
      <c r="AL37" s="50">
        <f>_xlfn.XLOOKUP($A37,'Акция 8'!$F:$F,'Акция 8'!$L:$L,0,0)</f>
        <v>0</v>
      </c>
      <c r="AM37" s="6">
        <f>(_xlfn.XLOOKUP($A37,'Акция 8'!$F:$F,'Акция 8'!$S:$S,0,0))%</f>
        <v>0</v>
      </c>
      <c r="AN37" s="13">
        <f t="shared" si="18"/>
        <v>0</v>
      </c>
      <c r="AO37" s="50">
        <f>_xlfn.XLOOKUP($A37,'Акция 9'!$F:$F,'Акция 9'!$L:$L,0,0)</f>
        <v>0</v>
      </c>
      <c r="AP37" s="6">
        <f>(_xlfn.XLOOKUP($A37,'Акция 9'!$F:$F,'Акция 9'!$O:$O,0,0))%</f>
        <v>0</v>
      </c>
      <c r="AQ37" s="13">
        <f t="shared" si="19"/>
        <v>0</v>
      </c>
      <c r="AR37" s="50">
        <f>_xlfn.XLOOKUP($A37,'Акция 10'!$F:$F,'Акция 10'!$L:$L,0,0)</f>
        <v>0</v>
      </c>
      <c r="AS37" s="6">
        <f>(_xlfn.XLOOKUP($A37,'Акция 10'!$F:$F,'Акция 10'!$O:$O,0,0))%</f>
        <v>0</v>
      </c>
      <c r="AT37" s="13">
        <f t="shared" si="20"/>
        <v>0</v>
      </c>
      <c r="AU37" s="50">
        <f>_xlfn.XLOOKUP($A37,'Акция 11'!$F:$F,'Акция 11'!$L:$L,0,0)</f>
        <v>0</v>
      </c>
      <c r="AV37" s="6">
        <f>(_xlfn.XLOOKUP($A37,'Акция 11'!$F:$F,'Акция 11'!$O:$O,0,0))%</f>
        <v>0</v>
      </c>
      <c r="AW37" s="13">
        <f t="shared" si="21"/>
        <v>0</v>
      </c>
      <c r="AX37" s="50"/>
      <c r="AY37" s="6"/>
      <c r="AZ37" s="13"/>
      <c r="BA37" s="17">
        <f t="shared" si="22"/>
        <v>0</v>
      </c>
      <c r="BB37" s="38">
        <f t="shared" si="8"/>
        <v>0</v>
      </c>
      <c r="BC37" s="33">
        <f t="shared" si="23"/>
        <v>0</v>
      </c>
      <c r="BD37" s="5">
        <f t="shared" si="24"/>
        <v>0</v>
      </c>
      <c r="BE37" s="53">
        <f t="shared" si="25"/>
        <v>0</v>
      </c>
      <c r="BF37" s="54">
        <f>_xlfn.XLOOKUP(A37,[1]Юнит!$A:$A,[1]Юнит!$AU:$AU,0)</f>
        <v>0</v>
      </c>
      <c r="BG37" s="54">
        <f t="shared" si="26"/>
        <v>0.24842954903049505</v>
      </c>
      <c r="BH37" s="5"/>
      <c r="BI37" s="78">
        <f t="shared" si="31"/>
        <v>1013</v>
      </c>
      <c r="BJ37" s="85">
        <f t="shared" si="27"/>
        <v>0.3</v>
      </c>
      <c r="BK37" s="88">
        <f t="shared" si="30"/>
        <v>709</v>
      </c>
      <c r="BL37" s="79">
        <f t="shared" si="28"/>
        <v>0</v>
      </c>
      <c r="BM37" s="81">
        <f>_xlfn.XLOOKUP(A37,'Текущая цена на ВБ'!C:C,'Текущая цена на ВБ'!F:F)</f>
        <v>98</v>
      </c>
      <c r="BN37" s="84">
        <f>_xlfn.XLOOKUP(A37,'Текущая цена на ВБ'!C:C,'Текущая цена на ВБ'!H:H)</f>
        <v>339</v>
      </c>
    </row>
    <row r="38" spans="1:66" ht="24.95" customHeight="1" x14ac:dyDescent="0.25">
      <c r="A38" s="127">
        <f>[1]Юнит!A37</f>
        <v>419145986</v>
      </c>
      <c r="B38" s="127" t="str">
        <f>[1]Юнит!C37</f>
        <v>ACRB1MS109BС</v>
      </c>
      <c r="C38" s="128" t="str">
        <f>[1]Юнит!D37</f>
        <v>Мяч с шипами черный 9 см</v>
      </c>
      <c r="D38" s="129">
        <f>[1]Юнит!E37</f>
        <v>2044025347953</v>
      </c>
      <c r="E38" s="50">
        <v>681</v>
      </c>
      <c r="F38" s="6">
        <v>0.4</v>
      </c>
      <c r="G38" s="150" t="s">
        <v>412</v>
      </c>
      <c r="H38" s="54">
        <v>0.23370848406171124</v>
      </c>
      <c r="I38" s="71">
        <f>_xlfn.XLOOKUP(D38,[1]Юнит!$E:$E,[1]Юнит!$AN:$AN)</f>
        <v>709</v>
      </c>
      <c r="J38" s="6">
        <f t="shared" si="9"/>
        <v>0.3</v>
      </c>
      <c r="K38" s="153">
        <f t="shared" si="32"/>
        <v>1012.8571428571429</v>
      </c>
      <c r="L38" s="54">
        <f>_xlfn.XLOOKUP(D38,[1]Юнит!$E:$E,[1]Юнит!$AR:$AR)</f>
        <v>0.26231604120948382</v>
      </c>
      <c r="M38" s="50">
        <f t="shared" si="33"/>
        <v>681</v>
      </c>
      <c r="N38" s="6">
        <f>_xlfn.XLOOKUP($A38,'Текущая цена на ВБ'!$C:$C,'Текущая цена на ВБ'!$K:$K,0,0)%</f>
        <v>0.4</v>
      </c>
      <c r="O38" s="150" t="str">
        <f>_xlfn.XLOOKUP($A38,'Текущая цена на ВБ'!$C:$C,'Текущая цена на ВБ'!$I:$I,0,0)</f>
        <v>1135</v>
      </c>
      <c r="P38" s="54">
        <f>_xlfn.XLOOKUP($A38,[1]Юнит!$A:$A,[1]Юнит!$AJ:$AJ,0)</f>
        <v>0.23486354363806758</v>
      </c>
      <c r="Q38" s="50">
        <f>_xlfn.XLOOKUP($A38,'Акция 1'!$F:$F,'Акция 1'!$L:$L,0,0)</f>
        <v>681</v>
      </c>
      <c r="R38" s="6">
        <f>(_xlfn.XLOOKUP($A38,'Акция 1'!$F:$F,'Акция 1'!$P:$P,0,0))%</f>
        <v>0.33</v>
      </c>
      <c r="S38" s="13">
        <f t="shared" si="34"/>
        <v>1016.4179104477613</v>
      </c>
      <c r="T38" s="50">
        <f>_xlfn.XLOOKUP($A38,'Акция 2'!$F:$F,'Акция 2'!$L:$L,0,0)</f>
        <v>0</v>
      </c>
      <c r="U38" s="6">
        <f>(_xlfn.XLOOKUP($A38,'Акция 2'!$F:$F,'Акция 2'!$O:$O,0,0))%</f>
        <v>0</v>
      </c>
      <c r="V38" s="13">
        <f t="shared" si="35"/>
        <v>0</v>
      </c>
      <c r="W38" s="50">
        <f>_xlfn.XLOOKUP($A38,'Акция 3'!$F:$F,'Акция 3'!$L:$L,0,0)</f>
        <v>481</v>
      </c>
      <c r="X38" s="6">
        <f>(_xlfn.XLOOKUP($A38,'Акция 3'!$F:$F,'Акция 3'!$P:$P,0,0))%</f>
        <v>0.53</v>
      </c>
      <c r="Y38" s="13">
        <f t="shared" si="13"/>
        <v>1023.404255319149</v>
      </c>
      <c r="Z38" s="50">
        <f>_xlfn.XLOOKUP($A38,'Акция 4'!$F:$F,'Акция 4'!$L:$L,0,0)</f>
        <v>0</v>
      </c>
      <c r="AA38" s="6">
        <f>(_xlfn.XLOOKUP($A38,'Акция 4'!$F:$F,'Акция 4'!$P:$P,0,0))%</f>
        <v>0</v>
      </c>
      <c r="AB38" s="13">
        <f t="shared" si="36"/>
        <v>0</v>
      </c>
      <c r="AC38" s="50">
        <f>_xlfn.XLOOKUP($A38,'Акция 5'!$F:$F,'Акция 5'!$L:$L,0,0)</f>
        <v>0</v>
      </c>
      <c r="AD38" s="6">
        <f>(_xlfn.XLOOKUP($A38,'Акция 5'!$F:$F,'Акция 5'!O:O,0,0))%</f>
        <v>0</v>
      </c>
      <c r="AE38" s="13">
        <f t="shared" si="15"/>
        <v>0</v>
      </c>
      <c r="AF38" s="50">
        <f>_xlfn.XLOOKUP($A38,'Акция 6'!$F:$F,'Акция 6'!$L:$L,0,0)</f>
        <v>0</v>
      </c>
      <c r="AG38" s="6">
        <f>(_xlfn.XLOOKUP($A38,'Акция 6'!$F:$F,'Акция 6'!$O:$O,0,0))%</f>
        <v>0</v>
      </c>
      <c r="AH38" s="13">
        <f t="shared" si="16"/>
        <v>0</v>
      </c>
      <c r="AI38" s="50">
        <f>_xlfn.XLOOKUP($A38,'Акция 7'!$F:$F,'Акция 7'!$L:$L,0,0)</f>
        <v>0</v>
      </c>
      <c r="AJ38" s="6">
        <f>(_xlfn.XLOOKUP($A38,'Акция 7'!$F:$F,'Акция 7'!$O:$O,0,0))%</f>
        <v>0</v>
      </c>
      <c r="AK38" s="13">
        <f t="shared" si="17"/>
        <v>0</v>
      </c>
      <c r="AL38" s="50">
        <f>_xlfn.XLOOKUP($A38,'Акция 8'!$F:$F,'Акция 8'!$L:$L,0,0)</f>
        <v>0</v>
      </c>
      <c r="AM38" s="6">
        <f>(_xlfn.XLOOKUP($A38,'Акция 8'!$F:$F,'Акция 8'!$S:$S,0,0))%</f>
        <v>0</v>
      </c>
      <c r="AN38" s="13">
        <f t="shared" si="18"/>
        <v>0</v>
      </c>
      <c r="AO38" s="50">
        <f>_xlfn.XLOOKUP($A38,'Акция 9'!$F:$F,'Акция 9'!$L:$L,0,0)</f>
        <v>0</v>
      </c>
      <c r="AP38" s="6">
        <f>(_xlfn.XLOOKUP($A38,'Акция 9'!$F:$F,'Акция 9'!$O:$O,0,0))%</f>
        <v>0</v>
      </c>
      <c r="AQ38" s="13">
        <f t="shared" si="19"/>
        <v>0</v>
      </c>
      <c r="AR38" s="50">
        <f>_xlfn.XLOOKUP($A38,'Акция 10'!$F:$F,'Акция 10'!$L:$L,0,0)</f>
        <v>0</v>
      </c>
      <c r="AS38" s="6">
        <f>(_xlfn.XLOOKUP($A38,'Акция 10'!$F:$F,'Акция 10'!$O:$O,0,0))%</f>
        <v>0</v>
      </c>
      <c r="AT38" s="13">
        <f t="shared" si="20"/>
        <v>0</v>
      </c>
      <c r="AU38" s="50">
        <f>_xlfn.XLOOKUP($A38,'Акция 11'!$F:$F,'Акция 11'!$L:$L,0,0)</f>
        <v>0</v>
      </c>
      <c r="AV38" s="6">
        <f>(_xlfn.XLOOKUP($A38,'Акция 11'!$F:$F,'Акция 11'!$O:$O,0,0))%</f>
        <v>0</v>
      </c>
      <c r="AW38" s="13">
        <f t="shared" si="21"/>
        <v>0</v>
      </c>
      <c r="AX38" s="50"/>
      <c r="AY38" s="6"/>
      <c r="AZ38" s="13"/>
      <c r="BA38" s="17">
        <f t="shared" si="22"/>
        <v>681</v>
      </c>
      <c r="BB38" s="38">
        <f t="shared" ref="BB38:BB69" si="37">IF(BA38=0,0,_xlfn.XLOOKUP($BA38,$Q38:$AZ38,$Q$1:$AZ$1,0,0))</f>
        <v>1</v>
      </c>
      <c r="BC38" s="33">
        <f t="shared" ref="BC38:BC85" si="38">_xlfn.XLOOKUP($BB38,$Q$1:$AZ$1,$Q38:$AZ38,0,0)</f>
        <v>681</v>
      </c>
      <c r="BD38" s="5">
        <f t="shared" si="24"/>
        <v>0.4</v>
      </c>
      <c r="BE38" s="53">
        <f t="shared" si="25"/>
        <v>1135</v>
      </c>
      <c r="BF38" s="54">
        <f>_xlfn.XLOOKUP(A38,[1]Юнит!$A:$A,[1]Юнит!$AU:$AU,0)</f>
        <v>0.23486354363806758</v>
      </c>
      <c r="BG38" s="54">
        <f t="shared" si="26"/>
        <v>0.23486354363806758</v>
      </c>
      <c r="BH38" s="5" t="s">
        <v>287</v>
      </c>
      <c r="BI38" s="78">
        <f t="shared" ref="BI38:BI73" si="39">MROUND(IF($BH38="*",$BE38,K38),1)</f>
        <v>1135</v>
      </c>
      <c r="BJ38" s="85">
        <f t="shared" si="27"/>
        <v>0.4</v>
      </c>
      <c r="BK38" s="88">
        <f t="shared" si="30"/>
        <v>681</v>
      </c>
      <c r="BL38" s="79">
        <f t="shared" si="28"/>
        <v>1</v>
      </c>
      <c r="BM38" s="81">
        <f>_xlfn.XLOOKUP(A38,'Текущая цена на ВБ'!C:C,'Текущая цена на ВБ'!F:F)</f>
        <v>119</v>
      </c>
      <c r="BN38" s="84">
        <f>_xlfn.XLOOKUP(A38,'Текущая цена на ВБ'!C:C,'Текущая цена на ВБ'!H:H)</f>
        <v>999</v>
      </c>
    </row>
    <row r="39" spans="1:66" ht="24.95" customHeight="1" x14ac:dyDescent="0.25">
      <c r="A39" s="127">
        <f>[1]Юнит!A38</f>
        <v>419146579</v>
      </c>
      <c r="B39" s="127" t="str">
        <f>[1]Юнит!C38</f>
        <v>ACRB1MS109LI</v>
      </c>
      <c r="C39" s="128" t="str">
        <f>[1]Юнит!D38</f>
        <v>Мяч с шипами фиолетовый 9 см</v>
      </c>
      <c r="D39" s="129">
        <f>[1]Юнит!E38</f>
        <v>2044025354937</v>
      </c>
      <c r="E39" s="50">
        <v>702</v>
      </c>
      <c r="F39" s="6">
        <v>0.4</v>
      </c>
      <c r="G39" s="150" t="s">
        <v>409</v>
      </c>
      <c r="H39" s="54">
        <v>0.24366475988600939</v>
      </c>
      <c r="I39" s="71">
        <f>_xlfn.XLOOKUP(D39,[1]Юнит!$E:$E,[1]Юнит!$AN:$AN)</f>
        <v>709</v>
      </c>
      <c r="J39" s="6">
        <f t="shared" si="9"/>
        <v>0.3</v>
      </c>
      <c r="K39" s="153">
        <f t="shared" si="32"/>
        <v>1012.8571428571429</v>
      </c>
      <c r="L39" s="54">
        <f>_xlfn.XLOOKUP(D39,[1]Юнит!$E:$E,[1]Юнит!$AR:$AR)</f>
        <v>0.25186639381879272</v>
      </c>
      <c r="M39" s="50">
        <f t="shared" si="33"/>
        <v>702</v>
      </c>
      <c r="N39" s="6">
        <f>_xlfn.XLOOKUP($A39,'Текущая цена на ВБ'!$C:$C,'Текущая цена на ВБ'!$K:$K,0,0)%</f>
        <v>0.4</v>
      </c>
      <c r="O39" s="150" t="str">
        <f>_xlfn.XLOOKUP($A39,'Текущая цена на ВБ'!$C:$C,'Текущая цена на ВБ'!$I:$I,0,0)</f>
        <v>1170</v>
      </c>
      <c r="P39" s="54">
        <f>_xlfn.XLOOKUP($A39,[1]Юнит!$A:$A,[1]Юнит!$AJ:$AJ,0)</f>
        <v>0.24510437780274077</v>
      </c>
      <c r="Q39" s="50">
        <f>_xlfn.XLOOKUP($A39,'Акция 1'!$F:$F,'Акция 1'!$L:$L,0,0)</f>
        <v>702</v>
      </c>
      <c r="R39" s="6">
        <f>(_xlfn.XLOOKUP($A39,'Акция 1'!$F:$F,'Акция 1'!$P:$P,0,0))%</f>
        <v>0.31</v>
      </c>
      <c r="S39" s="13">
        <f t="shared" si="34"/>
        <v>1017.3913043478261</v>
      </c>
      <c r="T39" s="50">
        <f>_xlfn.XLOOKUP($A39,'Акция 2'!$F:$F,'Акция 2'!$L:$L,0,0)</f>
        <v>0</v>
      </c>
      <c r="U39" s="6">
        <f>(_xlfn.XLOOKUP($A39,'Акция 2'!$F:$F,'Акция 2'!$O:$O,0,0))%</f>
        <v>0</v>
      </c>
      <c r="V39" s="13">
        <f t="shared" si="35"/>
        <v>0</v>
      </c>
      <c r="W39" s="50">
        <f>_xlfn.XLOOKUP($A39,'Акция 3'!$F:$F,'Акция 3'!$L:$L,0,0)</f>
        <v>481</v>
      </c>
      <c r="X39" s="6">
        <f>(_xlfn.XLOOKUP($A39,'Акция 3'!$F:$F,'Акция 3'!$P:$P,0,0))%</f>
        <v>0.53</v>
      </c>
      <c r="Y39" s="13">
        <f t="shared" si="13"/>
        <v>1023.404255319149</v>
      </c>
      <c r="Z39" s="50">
        <f>_xlfn.XLOOKUP($A39,'Акция 4'!$F:$F,'Акция 4'!$L:$L,0,0)</f>
        <v>0</v>
      </c>
      <c r="AA39" s="6">
        <f>(_xlfn.XLOOKUP($A39,'Акция 4'!$F:$F,'Акция 4'!$P:$P,0,0))%</f>
        <v>0</v>
      </c>
      <c r="AB39" s="13">
        <f t="shared" si="36"/>
        <v>0</v>
      </c>
      <c r="AC39" s="50">
        <f>_xlfn.XLOOKUP($A39,'Акция 5'!$F:$F,'Акция 5'!$L:$L,0,0)</f>
        <v>0</v>
      </c>
      <c r="AD39" s="6">
        <f>(_xlfn.XLOOKUP($A39,'Акция 5'!$F:$F,'Акция 5'!O:O,0,0))%</f>
        <v>0</v>
      </c>
      <c r="AE39" s="13">
        <f t="shared" si="15"/>
        <v>0</v>
      </c>
      <c r="AF39" s="50">
        <f>_xlfn.XLOOKUP($A39,'Акция 6'!$F:$F,'Акция 6'!$L:$L,0,0)</f>
        <v>0</v>
      </c>
      <c r="AG39" s="6">
        <f>(_xlfn.XLOOKUP($A39,'Акция 6'!$F:$F,'Акция 6'!$O:$O,0,0))%</f>
        <v>0</v>
      </c>
      <c r="AH39" s="13">
        <f t="shared" si="16"/>
        <v>0</v>
      </c>
      <c r="AI39" s="50">
        <f>_xlfn.XLOOKUP($A39,'Акция 7'!$F:$F,'Акция 7'!$L:$L,0,0)</f>
        <v>0</v>
      </c>
      <c r="AJ39" s="6">
        <f>(_xlfn.XLOOKUP($A39,'Акция 7'!$F:$F,'Акция 7'!$O:$O,0,0))%</f>
        <v>0</v>
      </c>
      <c r="AK39" s="13">
        <f t="shared" si="17"/>
        <v>0</v>
      </c>
      <c r="AL39" s="50">
        <f>_xlfn.XLOOKUP($A39,'Акция 8'!$F:$F,'Акция 8'!$L:$L,0,0)</f>
        <v>0</v>
      </c>
      <c r="AM39" s="6">
        <f>(_xlfn.XLOOKUP($A39,'Акция 8'!$F:$F,'Акция 8'!$S:$S,0,0))%</f>
        <v>0</v>
      </c>
      <c r="AN39" s="13">
        <f t="shared" si="18"/>
        <v>0</v>
      </c>
      <c r="AO39" s="50">
        <f>_xlfn.XLOOKUP($A39,'Акция 9'!$F:$F,'Акция 9'!$L:$L,0,0)</f>
        <v>0</v>
      </c>
      <c r="AP39" s="6">
        <f>(_xlfn.XLOOKUP($A39,'Акция 9'!$F:$F,'Акция 9'!$O:$O,0,0))%</f>
        <v>0</v>
      </c>
      <c r="AQ39" s="13">
        <f t="shared" si="19"/>
        <v>0</v>
      </c>
      <c r="AR39" s="50">
        <f>_xlfn.XLOOKUP($A39,'Акция 10'!$F:$F,'Акция 10'!$L:$L,0,0)</f>
        <v>0</v>
      </c>
      <c r="AS39" s="6">
        <f>(_xlfn.XLOOKUP($A39,'Акция 10'!$F:$F,'Акция 10'!$O:$O,0,0))%</f>
        <v>0</v>
      </c>
      <c r="AT39" s="13">
        <f t="shared" si="20"/>
        <v>0</v>
      </c>
      <c r="AU39" s="50">
        <f>_xlfn.XLOOKUP($A39,'Акция 11'!$F:$F,'Акция 11'!$L:$L,0,0)</f>
        <v>0</v>
      </c>
      <c r="AV39" s="6">
        <f>(_xlfn.XLOOKUP($A39,'Акция 11'!$F:$F,'Акция 11'!$O:$O,0,0))%</f>
        <v>0</v>
      </c>
      <c r="AW39" s="13">
        <f t="shared" si="21"/>
        <v>0</v>
      </c>
      <c r="AX39" s="50"/>
      <c r="AY39" s="6"/>
      <c r="AZ39" s="13"/>
      <c r="BA39" s="17">
        <f t="shared" si="22"/>
        <v>702</v>
      </c>
      <c r="BB39" s="38">
        <f t="shared" si="37"/>
        <v>1</v>
      </c>
      <c r="BC39" s="33">
        <f t="shared" si="38"/>
        <v>702</v>
      </c>
      <c r="BD39" s="5">
        <f t="shared" si="24"/>
        <v>0.4</v>
      </c>
      <c r="BE39" s="53">
        <f t="shared" si="25"/>
        <v>1170</v>
      </c>
      <c r="BF39" s="54">
        <f>_xlfn.XLOOKUP(A39,[1]Юнит!$A:$A,[1]Юнит!$AU:$AU,0)</f>
        <v>0.24510437780274077</v>
      </c>
      <c r="BG39" s="54">
        <f t="shared" si="26"/>
        <v>0.24510437780274077</v>
      </c>
      <c r="BH39" s="5" t="s">
        <v>287</v>
      </c>
      <c r="BI39" s="78">
        <f t="shared" si="39"/>
        <v>1170</v>
      </c>
      <c r="BJ39" s="85">
        <f t="shared" si="27"/>
        <v>0.4</v>
      </c>
      <c r="BK39" s="88">
        <f t="shared" si="30"/>
        <v>702</v>
      </c>
      <c r="BL39" s="79">
        <f t="shared" si="28"/>
        <v>1</v>
      </c>
      <c r="BM39" s="81">
        <f>_xlfn.XLOOKUP(A39,'Текущая цена на ВБ'!C:C,'Текущая цена на ВБ'!F:F)</f>
        <v>120</v>
      </c>
      <c r="BN39" s="84">
        <f>_xlfn.XLOOKUP(A39,'Текущая цена на ВБ'!C:C,'Текущая цена на ВБ'!H:H)</f>
        <v>999</v>
      </c>
    </row>
    <row r="40" spans="1:66" ht="24.95" customHeight="1" x14ac:dyDescent="0.25">
      <c r="A40" s="127">
        <f>[1]Юнит!A39</f>
        <v>340734340</v>
      </c>
      <c r="B40" s="127" t="str">
        <f>[1]Юнит!C39</f>
        <v>ACRB1MS103PN</v>
      </c>
      <c r="C40" s="128" t="str">
        <f>[1]Юнит!D39</f>
        <v>Мяч гладкий розовый</v>
      </c>
      <c r="D40" s="129">
        <f>[1]Юнит!E39</f>
        <v>2042985583893</v>
      </c>
      <c r="E40" s="50">
        <v>513</v>
      </c>
      <c r="F40" s="6">
        <v>0.4</v>
      </c>
      <c r="G40" s="150" t="s">
        <v>392</v>
      </c>
      <c r="H40" s="54">
        <v>0.13158205323788838</v>
      </c>
      <c r="I40" s="71">
        <f>_xlfn.XLOOKUP(D40,[1]Юнит!$E:$E,[1]Юнит!$AN:$AN)</f>
        <v>519</v>
      </c>
      <c r="J40" s="6">
        <f t="shared" si="9"/>
        <v>0.3</v>
      </c>
      <c r="K40" s="153">
        <f t="shared" si="32"/>
        <v>741.42857142857144</v>
      </c>
      <c r="L40" s="54">
        <f>_xlfn.XLOOKUP(D40,[1]Юнит!$E:$E,[1]Юнит!$AR:$AR)</f>
        <v>0.14228053949903652</v>
      </c>
      <c r="M40" s="50">
        <f t="shared" si="33"/>
        <v>513</v>
      </c>
      <c r="N40" s="6">
        <f>_xlfn.XLOOKUP($A40,'Текущая цена на ВБ'!$C:$C,'Текущая цена на ВБ'!$K:$K,0,0)%</f>
        <v>0.4</v>
      </c>
      <c r="O40" s="150" t="str">
        <f>_xlfn.XLOOKUP($A40,'Текущая цена на ВБ'!$C:$C,'Текущая цена на ВБ'!$I:$I,0,0)</f>
        <v>855</v>
      </c>
      <c r="P40" s="54">
        <f>_xlfn.XLOOKUP($A40,[1]Юнит!$A:$A,[1]Юнит!$AJ:$AJ,0)</f>
        <v>0.13306744639376211</v>
      </c>
      <c r="Q40" s="50">
        <f>_xlfn.XLOOKUP($A40,'Акция 1'!$F:$F,'Акция 1'!$L:$L,0,0)</f>
        <v>513</v>
      </c>
      <c r="R40" s="6">
        <f>(_xlfn.XLOOKUP($A40,'Акция 1'!$F:$F,'Акция 1'!$P:$P,0,0))%</f>
        <v>0.31</v>
      </c>
      <c r="S40" s="13">
        <f t="shared" si="34"/>
        <v>743.47826086956525</v>
      </c>
      <c r="T40" s="50">
        <f>_xlfn.XLOOKUP($A40,'Акция 2'!$F:$F,'Акция 2'!$L:$L,0,0)</f>
        <v>0</v>
      </c>
      <c r="U40" s="6">
        <f>(_xlfn.XLOOKUP($A40,'Акция 2'!$F:$F,'Акция 2'!$O:$O,0,0))%</f>
        <v>0</v>
      </c>
      <c r="V40" s="13">
        <f t="shared" si="35"/>
        <v>0</v>
      </c>
      <c r="W40" s="50">
        <f>_xlfn.XLOOKUP($A40,'Акция 3'!$F:$F,'Акция 3'!$L:$L,0,0)</f>
        <v>351</v>
      </c>
      <c r="X40" s="6">
        <f>(_xlfn.XLOOKUP($A40,'Акция 3'!$F:$F,'Акция 3'!$P:$P,0,0))%</f>
        <v>0.53</v>
      </c>
      <c r="Y40" s="13">
        <f t="shared" si="13"/>
        <v>746.80851063829789</v>
      </c>
      <c r="Z40" s="50">
        <f>_xlfn.XLOOKUP($A40,'Акция 4'!$F:$F,'Акция 4'!$L:$L,0,0)</f>
        <v>0</v>
      </c>
      <c r="AA40" s="6">
        <f>(_xlfn.XLOOKUP($A40,'Акция 4'!$F:$F,'Акция 4'!$P:$P,0,0))%</f>
        <v>0</v>
      </c>
      <c r="AB40" s="13">
        <f t="shared" si="36"/>
        <v>0</v>
      </c>
      <c r="AC40" s="50">
        <f>_xlfn.XLOOKUP($A40,'Акция 5'!$F:$F,'Акция 5'!$L:$L,0,0)</f>
        <v>0</v>
      </c>
      <c r="AD40" s="6">
        <f>(_xlfn.XLOOKUP($A40,'Акция 5'!$F:$F,'Акция 5'!O:O,0,0))%</f>
        <v>0</v>
      </c>
      <c r="AE40" s="13">
        <f t="shared" si="15"/>
        <v>0</v>
      </c>
      <c r="AF40" s="50">
        <f>_xlfn.XLOOKUP($A40,'Акция 6'!$F:$F,'Акция 6'!$L:$L,0,0)</f>
        <v>0</v>
      </c>
      <c r="AG40" s="6">
        <f>(_xlfn.XLOOKUP($A40,'Акция 6'!$F:$F,'Акция 6'!$O:$O,0,0))%</f>
        <v>0</v>
      </c>
      <c r="AH40" s="13">
        <f t="shared" si="16"/>
        <v>0</v>
      </c>
      <c r="AI40" s="50">
        <f>_xlfn.XLOOKUP($A40,'Акция 7'!$F:$F,'Акция 7'!$L:$L,0,0)</f>
        <v>0</v>
      </c>
      <c r="AJ40" s="6">
        <f>(_xlfn.XLOOKUP($A40,'Акция 7'!$F:$F,'Акция 7'!$O:$O,0,0))%</f>
        <v>0</v>
      </c>
      <c r="AK40" s="13">
        <f t="shared" si="17"/>
        <v>0</v>
      </c>
      <c r="AL40" s="50">
        <f>_xlfn.XLOOKUP($A40,'Акция 8'!$F:$F,'Акция 8'!$L:$L,0,0)</f>
        <v>0</v>
      </c>
      <c r="AM40" s="6">
        <f>(_xlfn.XLOOKUP($A40,'Акция 8'!$F:$F,'Акция 8'!$S:$S,0,0))%</f>
        <v>0</v>
      </c>
      <c r="AN40" s="13">
        <f t="shared" si="18"/>
        <v>0</v>
      </c>
      <c r="AO40" s="50">
        <f>_xlfn.XLOOKUP($A40,'Акция 9'!$F:$F,'Акция 9'!$L:$L,0,0)</f>
        <v>0</v>
      </c>
      <c r="AP40" s="6">
        <f>(_xlfn.XLOOKUP($A40,'Акция 9'!$F:$F,'Акция 9'!$O:$O,0,0))%</f>
        <v>0</v>
      </c>
      <c r="AQ40" s="13">
        <f t="shared" si="19"/>
        <v>0</v>
      </c>
      <c r="AR40" s="50">
        <f>_xlfn.XLOOKUP($A40,'Акция 10'!$F:$F,'Акция 10'!$L:$L,0,0)</f>
        <v>0</v>
      </c>
      <c r="AS40" s="6">
        <f>(_xlfn.XLOOKUP($A40,'Акция 10'!$F:$F,'Акция 10'!$O:$O,0,0))%</f>
        <v>0</v>
      </c>
      <c r="AT40" s="13">
        <f t="shared" si="20"/>
        <v>0</v>
      </c>
      <c r="AU40" s="50">
        <f>_xlfn.XLOOKUP($A40,'Акция 11'!$F:$F,'Акция 11'!$L:$L,0,0)</f>
        <v>0</v>
      </c>
      <c r="AV40" s="6">
        <f>(_xlfn.XLOOKUP($A40,'Акция 11'!$F:$F,'Акция 11'!$O:$O,0,0))%</f>
        <v>0</v>
      </c>
      <c r="AW40" s="13">
        <f t="shared" si="21"/>
        <v>0</v>
      </c>
      <c r="AX40" s="50"/>
      <c r="AY40" s="6"/>
      <c r="AZ40" s="13"/>
      <c r="BA40" s="17">
        <f t="shared" si="22"/>
        <v>513</v>
      </c>
      <c r="BB40" s="38">
        <f t="shared" si="37"/>
        <v>1</v>
      </c>
      <c r="BC40" s="33">
        <f t="shared" si="38"/>
        <v>513</v>
      </c>
      <c r="BD40" s="5">
        <f t="shared" si="24"/>
        <v>0.4</v>
      </c>
      <c r="BE40" s="53">
        <f t="shared" si="25"/>
        <v>855</v>
      </c>
      <c r="BF40" s="54">
        <f>_xlfn.XLOOKUP(A40,[1]Юнит!$A:$A,[1]Юнит!$AU:$AU,0)</f>
        <v>0.13306744639376211</v>
      </c>
      <c r="BG40" s="54">
        <f t="shared" si="26"/>
        <v>0.13306744639376211</v>
      </c>
      <c r="BH40" s="5" t="s">
        <v>287</v>
      </c>
      <c r="BI40" s="78">
        <f t="shared" si="39"/>
        <v>855</v>
      </c>
      <c r="BJ40" s="85">
        <f t="shared" si="27"/>
        <v>0.4</v>
      </c>
      <c r="BK40" s="88">
        <f t="shared" si="30"/>
        <v>513</v>
      </c>
      <c r="BL40" s="79">
        <f t="shared" si="28"/>
        <v>1</v>
      </c>
      <c r="BM40" s="81">
        <f>_xlfn.XLOOKUP(A40,'Текущая цена на ВБ'!C:C,'Текущая цена на ВБ'!F:F)</f>
        <v>4</v>
      </c>
      <c r="BN40" s="84">
        <f>_xlfn.XLOOKUP(A40,'Текущая цена на ВБ'!C:C,'Текущая цена на ВБ'!H:H)</f>
        <v>999</v>
      </c>
    </row>
    <row r="41" spans="1:66" ht="24.95" customHeight="1" x14ac:dyDescent="0.25">
      <c r="A41" s="127">
        <f>[1]Юнит!A40</f>
        <v>340741532</v>
      </c>
      <c r="B41" s="127" t="str">
        <f>[1]Юнит!C40</f>
        <v>ACRB1MS103BL</v>
      </c>
      <c r="C41" s="128" t="str">
        <f>[1]Юнит!D40</f>
        <v>Мяч гладкий голубой</v>
      </c>
      <c r="D41" s="129">
        <f>[1]Юнит!E40</f>
        <v>2042986356632</v>
      </c>
      <c r="E41" s="50">
        <v>513</v>
      </c>
      <c r="F41" s="6">
        <v>0.4</v>
      </c>
      <c r="G41" s="150" t="s">
        <v>392</v>
      </c>
      <c r="H41" s="54">
        <v>0.13158205323788838</v>
      </c>
      <c r="I41" s="71">
        <f>_xlfn.XLOOKUP(D41,[1]Юнит!$E:$E,[1]Юнит!$AN:$AN)</f>
        <v>519</v>
      </c>
      <c r="J41" s="6">
        <f t="shared" si="9"/>
        <v>0.3</v>
      </c>
      <c r="K41" s="153">
        <f t="shared" si="32"/>
        <v>741.42857142857144</v>
      </c>
      <c r="L41" s="54">
        <f>_xlfn.XLOOKUP(D41,[1]Юнит!$E:$E,[1]Юнит!$AR:$AR)</f>
        <v>0.14228053949903652</v>
      </c>
      <c r="M41" s="50">
        <f t="shared" si="33"/>
        <v>513</v>
      </c>
      <c r="N41" s="6">
        <f>_xlfn.XLOOKUP($A41,'Текущая цена на ВБ'!$C:$C,'Текущая цена на ВБ'!$K:$K,0,0)%</f>
        <v>0.4</v>
      </c>
      <c r="O41" s="150" t="str">
        <f>_xlfn.XLOOKUP($A41,'Текущая цена на ВБ'!$C:$C,'Текущая цена на ВБ'!$I:$I,0,0)</f>
        <v>855</v>
      </c>
      <c r="P41" s="54">
        <f>_xlfn.XLOOKUP($A41,[1]Юнит!$A:$A,[1]Юнит!$AJ:$AJ,0)</f>
        <v>0.13306744639376211</v>
      </c>
      <c r="Q41" s="50">
        <f>_xlfn.XLOOKUP($A41,'Акция 1'!$F:$F,'Акция 1'!$L:$L,0,0)</f>
        <v>513</v>
      </c>
      <c r="R41" s="6">
        <f>(_xlfn.XLOOKUP($A41,'Акция 1'!$F:$F,'Акция 1'!$P:$P,0,0))%</f>
        <v>0.31</v>
      </c>
      <c r="S41" s="13">
        <f t="shared" si="34"/>
        <v>743.47826086956525</v>
      </c>
      <c r="T41" s="50">
        <f>_xlfn.XLOOKUP($A41,'Акция 2'!$F:$F,'Акция 2'!$L:$L,0,0)</f>
        <v>0</v>
      </c>
      <c r="U41" s="6">
        <f>(_xlfn.XLOOKUP($A41,'Акция 2'!$F:$F,'Акция 2'!$O:$O,0,0))%</f>
        <v>0</v>
      </c>
      <c r="V41" s="13">
        <f t="shared" si="35"/>
        <v>0</v>
      </c>
      <c r="W41" s="50">
        <f>_xlfn.XLOOKUP($A41,'Акция 3'!$F:$F,'Акция 3'!$L:$L,0,0)</f>
        <v>351</v>
      </c>
      <c r="X41" s="6">
        <f>(_xlfn.XLOOKUP($A41,'Акция 3'!$F:$F,'Акция 3'!$P:$P,0,0))%</f>
        <v>0.53</v>
      </c>
      <c r="Y41" s="13">
        <f t="shared" si="13"/>
        <v>746.80851063829789</v>
      </c>
      <c r="Z41" s="50">
        <f>_xlfn.XLOOKUP($A41,'Акция 4'!$F:$F,'Акция 4'!$L:$L,0,0)</f>
        <v>0</v>
      </c>
      <c r="AA41" s="6">
        <f>(_xlfn.XLOOKUP($A41,'Акция 4'!$F:$F,'Акция 4'!$P:$P,0,0))%</f>
        <v>0</v>
      </c>
      <c r="AB41" s="13">
        <f t="shared" si="36"/>
        <v>0</v>
      </c>
      <c r="AC41" s="50">
        <f>_xlfn.XLOOKUP($A41,'Акция 5'!$F:$F,'Акция 5'!$L:$L,0,0)</f>
        <v>0</v>
      </c>
      <c r="AD41" s="6">
        <f>(_xlfn.XLOOKUP($A41,'Акция 5'!$F:$F,'Акция 5'!O:O,0,0))%</f>
        <v>0</v>
      </c>
      <c r="AE41" s="13">
        <f t="shared" si="15"/>
        <v>0</v>
      </c>
      <c r="AF41" s="50">
        <f>_xlfn.XLOOKUP($A41,'Акция 6'!$F:$F,'Акция 6'!$L:$L,0,0)</f>
        <v>0</v>
      </c>
      <c r="AG41" s="6">
        <f>(_xlfn.XLOOKUP($A41,'Акция 6'!$F:$F,'Акция 6'!$O:$O,0,0))%</f>
        <v>0</v>
      </c>
      <c r="AH41" s="13">
        <f t="shared" si="16"/>
        <v>0</v>
      </c>
      <c r="AI41" s="50">
        <f>_xlfn.XLOOKUP($A41,'Акция 7'!$F:$F,'Акция 7'!$L:$L,0,0)</f>
        <v>0</v>
      </c>
      <c r="AJ41" s="6">
        <f>(_xlfn.XLOOKUP($A41,'Акция 7'!$F:$F,'Акция 7'!$O:$O,0,0))%</f>
        <v>0</v>
      </c>
      <c r="AK41" s="13">
        <f t="shared" si="17"/>
        <v>0</v>
      </c>
      <c r="AL41" s="50">
        <f>_xlfn.XLOOKUP($A41,'Акция 8'!$F:$F,'Акция 8'!$L:$L,0,0)</f>
        <v>0</v>
      </c>
      <c r="AM41" s="6">
        <f>(_xlfn.XLOOKUP($A41,'Акция 8'!$F:$F,'Акция 8'!$S:$S,0,0))%</f>
        <v>0</v>
      </c>
      <c r="AN41" s="13">
        <f t="shared" si="18"/>
        <v>0</v>
      </c>
      <c r="AO41" s="50">
        <f>_xlfn.XLOOKUP($A41,'Акция 9'!$F:$F,'Акция 9'!$L:$L,0,0)</f>
        <v>0</v>
      </c>
      <c r="AP41" s="6">
        <f>(_xlfn.XLOOKUP($A41,'Акция 9'!$F:$F,'Акция 9'!$O:$O,0,0))%</f>
        <v>0</v>
      </c>
      <c r="AQ41" s="13">
        <f t="shared" si="19"/>
        <v>0</v>
      </c>
      <c r="AR41" s="50">
        <f>_xlfn.XLOOKUP($A41,'Акция 10'!$F:$F,'Акция 10'!$L:$L,0,0)</f>
        <v>0</v>
      </c>
      <c r="AS41" s="6">
        <f>(_xlfn.XLOOKUP($A41,'Акция 10'!$F:$F,'Акция 10'!$O:$O,0,0))%</f>
        <v>0</v>
      </c>
      <c r="AT41" s="13">
        <f t="shared" si="20"/>
        <v>0</v>
      </c>
      <c r="AU41" s="50">
        <f>_xlfn.XLOOKUP($A41,'Акция 11'!$F:$F,'Акция 11'!$L:$L,0,0)</f>
        <v>0</v>
      </c>
      <c r="AV41" s="6">
        <f>(_xlfn.XLOOKUP($A41,'Акция 11'!$F:$F,'Акция 11'!$O:$O,0,0))%</f>
        <v>0</v>
      </c>
      <c r="AW41" s="13">
        <f t="shared" si="21"/>
        <v>0</v>
      </c>
      <c r="AX41" s="50"/>
      <c r="AY41" s="6"/>
      <c r="AZ41" s="13"/>
      <c r="BA41" s="17">
        <f t="shared" si="22"/>
        <v>513</v>
      </c>
      <c r="BB41" s="38">
        <f t="shared" si="37"/>
        <v>1</v>
      </c>
      <c r="BC41" s="33">
        <f t="shared" si="38"/>
        <v>513</v>
      </c>
      <c r="BD41" s="5">
        <f t="shared" si="24"/>
        <v>0.4</v>
      </c>
      <c r="BE41" s="53">
        <f t="shared" si="25"/>
        <v>855</v>
      </c>
      <c r="BF41" s="54">
        <f>_xlfn.XLOOKUP(A41,[1]Юнит!$A:$A,[1]Юнит!$AU:$AU,0)</f>
        <v>0.13306744639376211</v>
      </c>
      <c r="BG41" s="54">
        <f t="shared" si="26"/>
        <v>0.13306744639376211</v>
      </c>
      <c r="BH41" s="5" t="s">
        <v>287</v>
      </c>
      <c r="BI41" s="78">
        <f t="shared" si="39"/>
        <v>855</v>
      </c>
      <c r="BJ41" s="85">
        <f t="shared" si="27"/>
        <v>0.4</v>
      </c>
      <c r="BK41" s="88">
        <f t="shared" si="30"/>
        <v>513</v>
      </c>
      <c r="BL41" s="79">
        <f t="shared" si="28"/>
        <v>1</v>
      </c>
      <c r="BM41" s="81">
        <f>_xlfn.XLOOKUP(A41,'Текущая цена на ВБ'!C:C,'Текущая цена на ВБ'!F:F)</f>
        <v>60</v>
      </c>
      <c r="BN41" s="84">
        <f>_xlfn.XLOOKUP(A41,'Текущая цена на ВБ'!C:C,'Текущая цена на ВБ'!H:H)</f>
        <v>999</v>
      </c>
    </row>
    <row r="42" spans="1:66" ht="24.95" customHeight="1" x14ac:dyDescent="0.25">
      <c r="A42" s="127">
        <f>[1]Юнит!A41</f>
        <v>340743352</v>
      </c>
      <c r="B42" s="127" t="str">
        <f>[1]Юнит!C41</f>
        <v>ACRB1MS103LI</v>
      </c>
      <c r="C42" s="128" t="str">
        <f>[1]Юнит!D41</f>
        <v>Мяч гладкий сиреневый</v>
      </c>
      <c r="D42" s="129">
        <f>[1]Юнит!E41</f>
        <v>2042986372359</v>
      </c>
      <c r="E42" s="50">
        <v>513</v>
      </c>
      <c r="F42" s="6">
        <v>0.4</v>
      </c>
      <c r="G42" s="150" t="s">
        <v>392</v>
      </c>
      <c r="H42" s="54">
        <v>0.13158205323788838</v>
      </c>
      <c r="I42" s="71">
        <f>_xlfn.XLOOKUP(D42,[1]Юнит!$E:$E,[1]Юнит!$AN:$AN)</f>
        <v>519</v>
      </c>
      <c r="J42" s="6">
        <f t="shared" si="9"/>
        <v>0.3</v>
      </c>
      <c r="K42" s="153">
        <f t="shared" si="32"/>
        <v>741.42857142857144</v>
      </c>
      <c r="L42" s="54">
        <f>_xlfn.XLOOKUP(D42,[1]Юнит!$E:$E,[1]Юнит!$AR:$AR)</f>
        <v>0.14228053949903652</v>
      </c>
      <c r="M42" s="50">
        <f t="shared" si="33"/>
        <v>513</v>
      </c>
      <c r="N42" s="6">
        <f>_xlfn.XLOOKUP($A42,'Текущая цена на ВБ'!$C:$C,'Текущая цена на ВБ'!$K:$K,0,0)%</f>
        <v>0.4</v>
      </c>
      <c r="O42" s="150" t="str">
        <f>_xlfn.XLOOKUP($A42,'Текущая цена на ВБ'!$C:$C,'Текущая цена на ВБ'!$I:$I,0,0)</f>
        <v>855</v>
      </c>
      <c r="P42" s="54">
        <f>_xlfn.XLOOKUP($A42,[1]Юнит!$A:$A,[1]Юнит!$AJ:$AJ,0)</f>
        <v>0.13306744639376211</v>
      </c>
      <c r="Q42" s="50">
        <f>_xlfn.XLOOKUP($A42,'Акция 1'!$F:$F,'Акция 1'!$L:$L,0,0)</f>
        <v>513</v>
      </c>
      <c r="R42" s="6">
        <f>(_xlfn.XLOOKUP($A42,'Акция 1'!$F:$F,'Акция 1'!$P:$P,0,0))%</f>
        <v>0.31</v>
      </c>
      <c r="S42" s="13">
        <f t="shared" si="34"/>
        <v>743.47826086956525</v>
      </c>
      <c r="T42" s="50">
        <f>_xlfn.XLOOKUP($A42,'Акция 2'!$F:$F,'Акция 2'!$L:$L,0,0)</f>
        <v>0</v>
      </c>
      <c r="U42" s="6">
        <f>(_xlfn.XLOOKUP($A42,'Акция 2'!$F:$F,'Акция 2'!$O:$O,0,0))%</f>
        <v>0</v>
      </c>
      <c r="V42" s="13">
        <f t="shared" si="35"/>
        <v>0</v>
      </c>
      <c r="W42" s="50">
        <f>_xlfn.XLOOKUP($A42,'Акция 3'!$F:$F,'Акция 3'!$L:$L,0,0)</f>
        <v>351</v>
      </c>
      <c r="X42" s="6">
        <f>(_xlfn.XLOOKUP($A42,'Акция 3'!$F:$F,'Акция 3'!$P:$P,0,0))%</f>
        <v>0.53</v>
      </c>
      <c r="Y42" s="13">
        <f t="shared" si="13"/>
        <v>746.80851063829789</v>
      </c>
      <c r="Z42" s="50">
        <f>_xlfn.XLOOKUP($A42,'Акция 4'!$F:$F,'Акция 4'!$L:$L,0,0)</f>
        <v>0</v>
      </c>
      <c r="AA42" s="6">
        <f>(_xlfn.XLOOKUP($A42,'Акция 4'!$F:$F,'Акция 4'!$P:$P,0,0))%</f>
        <v>0</v>
      </c>
      <c r="AB42" s="13">
        <f t="shared" si="36"/>
        <v>0</v>
      </c>
      <c r="AC42" s="50">
        <f>_xlfn.XLOOKUP($A42,'Акция 5'!$F:$F,'Акция 5'!$L:$L,0,0)</f>
        <v>0</v>
      </c>
      <c r="AD42" s="6">
        <f>(_xlfn.XLOOKUP($A42,'Акция 5'!$F:$F,'Акция 5'!O:O,0,0))%</f>
        <v>0</v>
      </c>
      <c r="AE42" s="13">
        <f t="shared" si="15"/>
        <v>0</v>
      </c>
      <c r="AF42" s="50">
        <f>_xlfn.XLOOKUP($A42,'Акция 6'!$F:$F,'Акция 6'!$L:$L,0,0)</f>
        <v>0</v>
      </c>
      <c r="AG42" s="6">
        <f>(_xlfn.XLOOKUP($A42,'Акция 6'!$F:$F,'Акция 6'!$O:$O,0,0))%</f>
        <v>0</v>
      </c>
      <c r="AH42" s="13">
        <f t="shared" si="16"/>
        <v>0</v>
      </c>
      <c r="AI42" s="50">
        <f>_xlfn.XLOOKUP($A42,'Акция 7'!$F:$F,'Акция 7'!$L:$L,0,0)</f>
        <v>0</v>
      </c>
      <c r="AJ42" s="6">
        <f>(_xlfn.XLOOKUP($A42,'Акция 7'!$F:$F,'Акция 7'!$O:$O,0,0))%</f>
        <v>0</v>
      </c>
      <c r="AK42" s="13">
        <f t="shared" si="17"/>
        <v>0</v>
      </c>
      <c r="AL42" s="50">
        <f>_xlfn.XLOOKUP($A42,'Акция 8'!$F:$F,'Акция 8'!$L:$L,0,0)</f>
        <v>0</v>
      </c>
      <c r="AM42" s="6">
        <f>(_xlfn.XLOOKUP($A42,'Акция 8'!$F:$F,'Акция 8'!$S:$S,0,0))%</f>
        <v>0</v>
      </c>
      <c r="AN42" s="13">
        <f t="shared" si="18"/>
        <v>0</v>
      </c>
      <c r="AO42" s="50">
        <f>_xlfn.XLOOKUP($A42,'Акция 9'!$F:$F,'Акция 9'!$L:$L,0,0)</f>
        <v>0</v>
      </c>
      <c r="AP42" s="6">
        <f>(_xlfn.XLOOKUP($A42,'Акция 9'!$F:$F,'Акция 9'!$O:$O,0,0))%</f>
        <v>0</v>
      </c>
      <c r="AQ42" s="13">
        <f t="shared" si="19"/>
        <v>0</v>
      </c>
      <c r="AR42" s="50">
        <f>_xlfn.XLOOKUP($A42,'Акция 10'!$F:$F,'Акция 10'!$L:$L,0,0)</f>
        <v>0</v>
      </c>
      <c r="AS42" s="6">
        <f>(_xlfn.XLOOKUP($A42,'Акция 10'!$F:$F,'Акция 10'!$O:$O,0,0))%</f>
        <v>0</v>
      </c>
      <c r="AT42" s="13">
        <f t="shared" si="20"/>
        <v>0</v>
      </c>
      <c r="AU42" s="50">
        <f>_xlfn.XLOOKUP($A42,'Акция 11'!$F:$F,'Акция 11'!$L:$L,0,0)</f>
        <v>0</v>
      </c>
      <c r="AV42" s="6">
        <f>(_xlfn.XLOOKUP($A42,'Акция 11'!$F:$F,'Акция 11'!$O:$O,0,0))%</f>
        <v>0</v>
      </c>
      <c r="AW42" s="13">
        <f t="shared" si="21"/>
        <v>0</v>
      </c>
      <c r="AX42" s="50"/>
      <c r="AY42" s="6"/>
      <c r="AZ42" s="13"/>
      <c r="BA42" s="17">
        <f t="shared" si="22"/>
        <v>513</v>
      </c>
      <c r="BB42" s="38">
        <f t="shared" si="37"/>
        <v>1</v>
      </c>
      <c r="BC42" s="33">
        <f t="shared" si="38"/>
        <v>513</v>
      </c>
      <c r="BD42" s="5">
        <f t="shared" si="24"/>
        <v>0.4</v>
      </c>
      <c r="BE42" s="53">
        <f t="shared" si="25"/>
        <v>855</v>
      </c>
      <c r="BF42" s="54">
        <f>_xlfn.XLOOKUP(A42,[1]Юнит!$A:$A,[1]Юнит!$AU:$AU,0)</f>
        <v>0.13306744639376211</v>
      </c>
      <c r="BG42" s="54">
        <f t="shared" si="26"/>
        <v>0.13306744639376211</v>
      </c>
      <c r="BH42" s="5" t="s">
        <v>287</v>
      </c>
      <c r="BI42" s="78">
        <f t="shared" si="39"/>
        <v>855</v>
      </c>
      <c r="BJ42" s="85">
        <f t="shared" si="27"/>
        <v>0.4</v>
      </c>
      <c r="BK42" s="88">
        <f t="shared" si="30"/>
        <v>513</v>
      </c>
      <c r="BL42" s="79">
        <f t="shared" si="28"/>
        <v>1</v>
      </c>
      <c r="BM42" s="81">
        <f>_xlfn.XLOOKUP(A42,'Текущая цена на ВБ'!C:C,'Текущая цена на ВБ'!F:F)</f>
        <v>27</v>
      </c>
      <c r="BN42" s="84">
        <f>_xlfn.XLOOKUP(A42,'Текущая цена на ВБ'!C:C,'Текущая цена на ВБ'!H:H)</f>
        <v>216</v>
      </c>
    </row>
    <row r="43" spans="1:66" ht="24.95" customHeight="1" x14ac:dyDescent="0.25">
      <c r="A43" s="127">
        <f>[1]Юнит!A42</f>
        <v>340743911</v>
      </c>
      <c r="B43" s="127" t="str">
        <f>[1]Юнит!C42</f>
        <v>ACRB1MS103RJ</v>
      </c>
      <c r="C43" s="128" t="str">
        <f>[1]Юнит!D42</f>
        <v>Мяч гладкий оранжевый</v>
      </c>
      <c r="D43" s="129">
        <f>[1]Юнит!E42</f>
        <v>2042986377583</v>
      </c>
      <c r="E43" s="50">
        <v>508</v>
      </c>
      <c r="F43" s="6">
        <v>0.4</v>
      </c>
      <c r="G43" s="150" t="s">
        <v>405</v>
      </c>
      <c r="H43" s="54">
        <v>0.12304424863062635</v>
      </c>
      <c r="I43" s="71">
        <f>_xlfn.XLOOKUP(D43,[1]Юнит!$E:$E,[1]Юнит!$AN:$AN)</f>
        <v>519</v>
      </c>
      <c r="J43" s="6">
        <f t="shared" si="9"/>
        <v>0.3</v>
      </c>
      <c r="K43" s="153">
        <f t="shared" si="32"/>
        <v>741.42857142857144</v>
      </c>
      <c r="L43" s="54">
        <f>_xlfn.XLOOKUP(D43,[1]Юнит!$E:$E,[1]Юнит!$AR:$AR)</f>
        <v>0.14361664739884386</v>
      </c>
      <c r="M43" s="50">
        <f t="shared" si="33"/>
        <v>508</v>
      </c>
      <c r="N43" s="6">
        <f>_xlfn.XLOOKUP($A43,'Текущая цена на ВБ'!$C:$C,'Текущая цена на ВБ'!$K:$K,0,0)%</f>
        <v>0.4</v>
      </c>
      <c r="O43" s="150" t="str">
        <f>_xlfn.XLOOKUP($A43,'Текущая цена на ВБ'!$C:$C,'Текущая цена на ВБ'!$I:$I,0,0)</f>
        <v>847</v>
      </c>
      <c r="P43" s="54">
        <f>_xlfn.XLOOKUP($A43,[1]Юнит!$A:$A,[1]Юнит!$AJ:$AJ,0)</f>
        <v>0.12690484061393142</v>
      </c>
      <c r="Q43" s="50">
        <f>_xlfn.XLOOKUP($A43,'Акция 1'!$F:$F,'Акция 1'!$L:$L,0,0)</f>
        <v>508</v>
      </c>
      <c r="R43" s="6">
        <f>(_xlfn.XLOOKUP($A43,'Акция 1'!$F:$F,'Акция 1'!$P:$P,0,0))%</f>
        <v>0.32</v>
      </c>
      <c r="S43" s="13">
        <f t="shared" si="34"/>
        <v>747.05882352941182</v>
      </c>
      <c r="T43" s="50">
        <f>_xlfn.XLOOKUP($A43,'Акция 2'!$F:$F,'Акция 2'!$L:$L,0,0)</f>
        <v>0</v>
      </c>
      <c r="U43" s="6">
        <f>(_xlfn.XLOOKUP($A43,'Акция 2'!$F:$F,'Акция 2'!$O:$O,0,0))%</f>
        <v>0</v>
      </c>
      <c r="V43" s="13">
        <f t="shared" si="35"/>
        <v>0</v>
      </c>
      <c r="W43" s="50">
        <f>_xlfn.XLOOKUP($A43,'Акция 3'!$F:$F,'Акция 3'!$L:$L,0,0)</f>
        <v>363</v>
      </c>
      <c r="X43" s="6">
        <f>(_xlfn.XLOOKUP($A43,'Акция 3'!$F:$F,'Акция 3'!$P:$P,0,0))%</f>
        <v>0.51</v>
      </c>
      <c r="Y43" s="13">
        <f t="shared" si="13"/>
        <v>740.81632653061229</v>
      </c>
      <c r="Z43" s="50">
        <f>_xlfn.XLOOKUP($A43,'Акция 4'!$F:$F,'Акция 4'!$L:$L,0,0)</f>
        <v>0</v>
      </c>
      <c r="AA43" s="6">
        <f>(_xlfn.XLOOKUP($A43,'Акция 4'!$F:$F,'Акция 4'!$P:$P,0,0))%</f>
        <v>0</v>
      </c>
      <c r="AB43" s="13">
        <f t="shared" si="36"/>
        <v>0</v>
      </c>
      <c r="AC43" s="50">
        <f>_xlfn.XLOOKUP($A43,'Акция 5'!$F:$F,'Акция 5'!$L:$L,0,0)</f>
        <v>0</v>
      </c>
      <c r="AD43" s="6">
        <f>(_xlfn.XLOOKUP($A43,'Акция 5'!$F:$F,'Акция 5'!O:O,0,0))%</f>
        <v>0</v>
      </c>
      <c r="AE43" s="13">
        <f t="shared" si="15"/>
        <v>0</v>
      </c>
      <c r="AF43" s="50">
        <f>_xlfn.XLOOKUP($A43,'Акция 6'!$F:$F,'Акция 6'!$L:$L,0,0)</f>
        <v>0</v>
      </c>
      <c r="AG43" s="6">
        <f>(_xlfn.XLOOKUP($A43,'Акция 6'!$F:$F,'Акция 6'!$O:$O,0,0))%</f>
        <v>0</v>
      </c>
      <c r="AH43" s="13">
        <f t="shared" si="16"/>
        <v>0</v>
      </c>
      <c r="AI43" s="50">
        <f>_xlfn.XLOOKUP($A43,'Акция 7'!$F:$F,'Акция 7'!$L:$L,0,0)</f>
        <v>0</v>
      </c>
      <c r="AJ43" s="6">
        <f>(_xlfn.XLOOKUP($A43,'Акция 7'!$F:$F,'Акция 7'!$O:$O,0,0))%</f>
        <v>0</v>
      </c>
      <c r="AK43" s="13">
        <f t="shared" si="17"/>
        <v>0</v>
      </c>
      <c r="AL43" s="50">
        <f>_xlfn.XLOOKUP($A43,'Акция 8'!$F:$F,'Акция 8'!$L:$L,0,0)</f>
        <v>0</v>
      </c>
      <c r="AM43" s="6">
        <f>(_xlfn.XLOOKUP($A43,'Акция 8'!$F:$F,'Акция 8'!$S:$S,0,0))%</f>
        <v>0</v>
      </c>
      <c r="AN43" s="13">
        <f t="shared" si="18"/>
        <v>0</v>
      </c>
      <c r="AO43" s="50">
        <f>_xlfn.XLOOKUP($A43,'Акция 9'!$F:$F,'Акция 9'!$L:$L,0,0)</f>
        <v>0</v>
      </c>
      <c r="AP43" s="6">
        <f>(_xlfn.XLOOKUP($A43,'Акция 9'!$F:$F,'Акция 9'!$O:$O,0,0))%</f>
        <v>0</v>
      </c>
      <c r="AQ43" s="13">
        <f t="shared" si="19"/>
        <v>0</v>
      </c>
      <c r="AR43" s="50">
        <f>_xlfn.XLOOKUP($A43,'Акция 10'!$F:$F,'Акция 10'!$L:$L,0,0)</f>
        <v>0</v>
      </c>
      <c r="AS43" s="6">
        <f>(_xlfn.XLOOKUP($A43,'Акция 10'!$F:$F,'Акция 10'!$O:$O,0,0))%</f>
        <v>0</v>
      </c>
      <c r="AT43" s="13">
        <f t="shared" si="20"/>
        <v>0</v>
      </c>
      <c r="AU43" s="50">
        <f>_xlfn.XLOOKUP($A43,'Акция 11'!$F:$F,'Акция 11'!$L:$L,0,0)</f>
        <v>0</v>
      </c>
      <c r="AV43" s="6">
        <f>(_xlfn.XLOOKUP($A43,'Акция 11'!$F:$F,'Акция 11'!$O:$O,0,0))%</f>
        <v>0</v>
      </c>
      <c r="AW43" s="13">
        <f t="shared" si="21"/>
        <v>0</v>
      </c>
      <c r="AX43" s="50"/>
      <c r="AY43" s="6"/>
      <c r="AZ43" s="13"/>
      <c r="BA43" s="17">
        <f t="shared" si="22"/>
        <v>508</v>
      </c>
      <c r="BB43" s="38">
        <f t="shared" si="37"/>
        <v>1</v>
      </c>
      <c r="BC43" s="33">
        <f t="shared" si="38"/>
        <v>508</v>
      </c>
      <c r="BD43" s="5">
        <f t="shared" si="24"/>
        <v>0.4</v>
      </c>
      <c r="BE43" s="53">
        <f t="shared" si="25"/>
        <v>846.66666666666674</v>
      </c>
      <c r="BF43" s="54">
        <f>_xlfn.XLOOKUP(A43,[1]Юнит!$A:$A,[1]Юнит!$AU:$AU,0)</f>
        <v>0.12658866141732278</v>
      </c>
      <c r="BG43" s="54">
        <f t="shared" si="26"/>
        <v>0.12690484061393142</v>
      </c>
      <c r="BH43" s="5" t="s">
        <v>287</v>
      </c>
      <c r="BI43" s="78">
        <f t="shared" si="39"/>
        <v>847</v>
      </c>
      <c r="BJ43" s="85">
        <f t="shared" si="27"/>
        <v>0.4</v>
      </c>
      <c r="BK43" s="88">
        <f t="shared" si="30"/>
        <v>508</v>
      </c>
      <c r="BL43" s="79">
        <f t="shared" si="28"/>
        <v>1</v>
      </c>
      <c r="BM43" s="81">
        <f>_xlfn.XLOOKUP(A43,'Текущая цена на ВБ'!C:C,'Текущая цена на ВБ'!F:F)</f>
        <v>13</v>
      </c>
      <c r="BN43" s="84">
        <f>_xlfn.XLOOKUP(A43,'Текущая цена на ВБ'!C:C,'Текущая цена на ВБ'!H:H)</f>
        <v>416</v>
      </c>
    </row>
    <row r="44" spans="1:66" ht="24.95" customHeight="1" x14ac:dyDescent="0.25">
      <c r="A44" s="154">
        <f>[1]Юнит!A43</f>
        <v>820643010</v>
      </c>
      <c r="B44" s="154" t="str">
        <f>[1]Юнит!C43</f>
        <v>ACRB3FR101CL</v>
      </c>
      <c r="C44" s="155" t="str">
        <f>[1]Юнит!D43</f>
        <v>Набор эластичных лент 3 шт. в мешке</v>
      </c>
      <c r="D44" s="156">
        <f>[1]Юнит!E43</f>
        <v>2048933027488</v>
      </c>
      <c r="E44" s="50">
        <v>1483</v>
      </c>
      <c r="F44" s="6">
        <v>0.4</v>
      </c>
      <c r="G44" s="150" t="s">
        <v>423</v>
      </c>
      <c r="H44" s="54">
        <v>9.3054804823374943E-2</v>
      </c>
      <c r="I44" s="71">
        <f>_xlfn.XLOOKUP(D44,[1]Юнит!$E:$E,[1]Юнит!$AN:$AN)</f>
        <v>1499</v>
      </c>
      <c r="J44" s="6">
        <f t="shared" si="9"/>
        <v>0.3</v>
      </c>
      <c r="K44" s="153">
        <f t="shared" si="32"/>
        <v>2141.4285714285716</v>
      </c>
      <c r="L44" s="54">
        <f>_xlfn.XLOOKUP(D44,[1]Юнит!$E:$E,[1]Юнит!$AR:$AR)</f>
        <v>0.17880591788181394</v>
      </c>
      <c r="M44" s="50">
        <f t="shared" si="33"/>
        <v>1483</v>
      </c>
      <c r="N44" s="6">
        <f>_xlfn.XLOOKUP($A44,'Текущая цена на ВБ'!$C:$C,'Текущая цена на ВБ'!$K:$K,0,0)%</f>
        <v>0.4</v>
      </c>
      <c r="O44" s="150" t="str">
        <f>_xlfn.XLOOKUP($A44,'Текущая цена на ВБ'!$C:$C,'Текущая цена на ВБ'!$I:$I,0,0)</f>
        <v>2472</v>
      </c>
      <c r="P44" s="54">
        <f>_xlfn.XLOOKUP($A44,[1]Юнит!$A:$A,[1]Юнит!$AJ:$AJ,0)</f>
        <v>0.17080371555072743</v>
      </c>
      <c r="Q44" s="50">
        <f>_xlfn.XLOOKUP($A44,'Акция 1'!$F:$F,'Акция 1'!$L:$L,0,0)</f>
        <v>1483</v>
      </c>
      <c r="R44" s="6">
        <f>(_xlfn.XLOOKUP($A44,'Акция 1'!$F:$F,'Акция 1'!$P:$P,0,0))%</f>
        <v>0.41</v>
      </c>
      <c r="S44" s="13">
        <f t="shared" si="34"/>
        <v>2513.5593220338978</v>
      </c>
      <c r="T44" s="50">
        <f>_xlfn.XLOOKUP($A44,'Акция 2'!$F:$F,'Акция 2'!$L:$L,0,0)</f>
        <v>0</v>
      </c>
      <c r="U44" s="6">
        <f>(_xlfn.XLOOKUP($A44,'Акция 2'!$F:$F,'Акция 2'!$O:$O,0,0))%</f>
        <v>0</v>
      </c>
      <c r="V44" s="13">
        <f t="shared" si="35"/>
        <v>0</v>
      </c>
      <c r="W44" s="50">
        <f>_xlfn.XLOOKUP($A44,'Акция 3'!$F:$F,'Акция 3'!$L:$L,0,0)</f>
        <v>1043</v>
      </c>
      <c r="X44" s="6">
        <f>(_xlfn.XLOOKUP($A44,'Акция 3'!$F:$F,'Акция 3'!$P:$P,0,0))%</f>
        <v>0.52</v>
      </c>
      <c r="Y44" s="13">
        <f t="shared" si="13"/>
        <v>2172.916666666667</v>
      </c>
      <c r="Z44" s="50">
        <f>_xlfn.XLOOKUP($A44,'Акция 4'!$F:$F,'Акция 4'!$L:$L,0,0)</f>
        <v>1265</v>
      </c>
      <c r="AA44" s="6">
        <f>(_xlfn.XLOOKUP($A44,'Акция 4'!$F:$F,'Акция 4'!$P:$P,0,0))%</f>
        <v>0.41</v>
      </c>
      <c r="AB44" s="13">
        <f t="shared" si="36"/>
        <v>2144.0677966101694</v>
      </c>
      <c r="AC44" s="50">
        <f>_xlfn.XLOOKUP($A44,'Акция 5'!$F:$F,'Акция 5'!$L:$L,0,0)</f>
        <v>0</v>
      </c>
      <c r="AD44" s="6">
        <f>(_xlfn.XLOOKUP($A44,'Акция 5'!$F:$F,'Акция 5'!O:O,0,0))%</f>
        <v>0</v>
      </c>
      <c r="AE44" s="13">
        <f t="shared" si="15"/>
        <v>0</v>
      </c>
      <c r="AF44" s="50">
        <f>_xlfn.XLOOKUP($A44,'Акция 6'!$F:$F,'Акция 6'!$L:$L,0,0)</f>
        <v>0</v>
      </c>
      <c r="AG44" s="6">
        <f>(_xlfn.XLOOKUP($A44,'Акция 6'!$F:$F,'Акция 6'!$O:$O,0,0))%</f>
        <v>0</v>
      </c>
      <c r="AH44" s="13">
        <f t="shared" si="16"/>
        <v>0</v>
      </c>
      <c r="AI44" s="50">
        <f>_xlfn.XLOOKUP($A44,'Акция 7'!$F:$F,'Акция 7'!$L:$L,0,0)</f>
        <v>0</v>
      </c>
      <c r="AJ44" s="6">
        <f>(_xlfn.XLOOKUP($A44,'Акция 7'!$F:$F,'Акция 7'!$O:$O,0,0))%</f>
        <v>0</v>
      </c>
      <c r="AK44" s="13">
        <f t="shared" si="17"/>
        <v>0</v>
      </c>
      <c r="AL44" s="50">
        <f>_xlfn.XLOOKUP($A44,'Акция 8'!$F:$F,'Акция 8'!$L:$L,0,0)</f>
        <v>0</v>
      </c>
      <c r="AM44" s="6">
        <f>(_xlfn.XLOOKUP($A44,'Акция 8'!$F:$F,'Акция 8'!$S:$S,0,0))%</f>
        <v>0</v>
      </c>
      <c r="AN44" s="13">
        <f t="shared" si="18"/>
        <v>0</v>
      </c>
      <c r="AO44" s="50">
        <f>_xlfn.XLOOKUP($A44,'Акция 9'!$F:$F,'Акция 9'!$L:$L,0,0)</f>
        <v>0</v>
      </c>
      <c r="AP44" s="6">
        <f>(_xlfn.XLOOKUP($A44,'Акция 9'!$F:$F,'Акция 9'!$O:$O,0,0))%</f>
        <v>0</v>
      </c>
      <c r="AQ44" s="13">
        <f t="shared" si="19"/>
        <v>0</v>
      </c>
      <c r="AR44" s="50">
        <f>_xlfn.XLOOKUP($A44,'Акция 10'!$F:$F,'Акция 10'!$L:$L,0,0)</f>
        <v>0</v>
      </c>
      <c r="AS44" s="6">
        <f>(_xlfn.XLOOKUP($A44,'Акция 10'!$F:$F,'Акция 10'!$O:$O,0,0))%</f>
        <v>0</v>
      </c>
      <c r="AT44" s="13">
        <f t="shared" si="20"/>
        <v>0</v>
      </c>
      <c r="AU44" s="50">
        <f>_xlfn.XLOOKUP($A44,'Акция 11'!$F:$F,'Акция 11'!$L:$L,0,0)</f>
        <v>0</v>
      </c>
      <c r="AV44" s="6">
        <f>(_xlfn.XLOOKUP($A44,'Акция 11'!$F:$F,'Акция 11'!$O:$O,0,0))%</f>
        <v>0</v>
      </c>
      <c r="AW44" s="13">
        <f t="shared" si="21"/>
        <v>0</v>
      </c>
      <c r="AX44" s="50"/>
      <c r="AY44" s="6"/>
      <c r="AZ44" s="13"/>
      <c r="BA44" s="17">
        <f t="shared" si="22"/>
        <v>1483</v>
      </c>
      <c r="BB44" s="38">
        <f t="shared" si="37"/>
        <v>1</v>
      </c>
      <c r="BC44" s="33">
        <f t="shared" si="38"/>
        <v>1483</v>
      </c>
      <c r="BD44" s="5">
        <f t="shared" si="24"/>
        <v>0.4</v>
      </c>
      <c r="BE44" s="53">
        <f t="shared" si="25"/>
        <v>2471.666666666667</v>
      </c>
      <c r="BF44" s="54">
        <f>_xlfn.XLOOKUP(A44,[1]Юнит!$A:$A,[1]Юнит!$AU:$AU,0)</f>
        <v>0.17070132899854287</v>
      </c>
      <c r="BG44" s="54">
        <f t="shared" si="26"/>
        <v>0.17080371555072743</v>
      </c>
      <c r="BH44" s="5" t="s">
        <v>287</v>
      </c>
      <c r="BI44" s="78">
        <f t="shared" si="39"/>
        <v>2472</v>
      </c>
      <c r="BJ44" s="85">
        <f t="shared" si="27"/>
        <v>0.4</v>
      </c>
      <c r="BK44" s="88">
        <f t="shared" si="30"/>
        <v>1483</v>
      </c>
      <c r="BL44" s="79">
        <f t="shared" si="28"/>
        <v>1</v>
      </c>
      <c r="BM44" s="81">
        <f>_xlfn.XLOOKUP(A44,'Текущая цена на ВБ'!C:C,'Текущая цена на ВБ'!F:F)</f>
        <v>89</v>
      </c>
      <c r="BN44" s="84">
        <f>_xlfn.XLOOKUP(A44,'Текущая цена на ВБ'!C:C,'Текущая цена на ВБ'!H:H)</f>
        <v>520</v>
      </c>
    </row>
    <row r="45" spans="1:66" ht="24.95" customHeight="1" x14ac:dyDescent="0.25">
      <c r="A45" s="154">
        <f>[1]Юнит!A44</f>
        <v>550539998</v>
      </c>
      <c r="B45" s="154" t="str">
        <f>[1]Юнит!C44</f>
        <v>ACRB5FR200CL</v>
      </c>
      <c r="C45" s="155" t="str">
        <f>[1]Юнит!D44</f>
        <v>Набор эластичных лент 5 шт. в мешке</v>
      </c>
      <c r="D45" s="156">
        <f>[1]Юнит!E44</f>
        <v>2046392546618</v>
      </c>
      <c r="E45" s="50">
        <v>1624</v>
      </c>
      <c r="F45" s="6">
        <v>0.4</v>
      </c>
      <c r="G45" s="150" t="s">
        <v>418</v>
      </c>
      <c r="H45" s="54">
        <v>0.1669751083443029</v>
      </c>
      <c r="I45" s="71">
        <f>_xlfn.XLOOKUP(D45,[1]Юнит!$E:$E,[1]Юнит!$AN:$AN)</f>
        <v>1379</v>
      </c>
      <c r="J45" s="6">
        <f t="shared" si="9"/>
        <v>0.3</v>
      </c>
      <c r="K45" s="153">
        <f t="shared" si="32"/>
        <v>1970.0000000000002</v>
      </c>
      <c r="L45" s="54">
        <f>_xlfn.XLOOKUP(D45,[1]Юнит!$E:$E,[1]Юнит!$AR:$AR)</f>
        <v>0.11341953279337032</v>
      </c>
      <c r="M45" s="50">
        <f t="shared" si="33"/>
        <v>1624</v>
      </c>
      <c r="N45" s="6">
        <f>_xlfn.XLOOKUP($A45,'Текущая цена на ВБ'!$C:$C,'Текущая цена на ВБ'!$K:$K,0,0)%</f>
        <v>0.4</v>
      </c>
      <c r="O45" s="150" t="str">
        <f>_xlfn.XLOOKUP($A45,'Текущая цена на ВБ'!$C:$C,'Текущая цена на ВБ'!$I:$I,0,0)</f>
        <v>2707</v>
      </c>
      <c r="P45" s="54">
        <f>_xlfn.XLOOKUP($A45,[1]Юнит!$A:$A,[1]Юнит!$AJ:$AJ,0)</f>
        <v>0.23669593382715043</v>
      </c>
      <c r="Q45" s="50">
        <f>_xlfn.XLOOKUP($A45,'Акция 1'!$F:$F,'Акция 1'!$L:$L,0,0)</f>
        <v>1624</v>
      </c>
      <c r="R45" s="6">
        <f>(_xlfn.XLOOKUP($A45,'Акция 1'!$F:$F,'Акция 1'!$P:$P,0,0))%</f>
        <v>0.46</v>
      </c>
      <c r="S45" s="13">
        <f t="shared" si="34"/>
        <v>3007.4074074074074</v>
      </c>
      <c r="T45" s="50">
        <f>_xlfn.XLOOKUP($A45,'Акция 2'!$F:$F,'Акция 2'!$L:$L,0,0)</f>
        <v>0</v>
      </c>
      <c r="U45" s="6">
        <f>(_xlfn.XLOOKUP($A45,'Акция 2'!$F:$F,'Акция 2'!$O:$O,0,0))%</f>
        <v>0</v>
      </c>
      <c r="V45" s="13">
        <f t="shared" si="35"/>
        <v>0</v>
      </c>
      <c r="W45" s="50">
        <f>_xlfn.XLOOKUP($A45,'Акция 3'!$F:$F,'Акция 3'!$L:$L,0,0)</f>
        <v>1440</v>
      </c>
      <c r="X45" s="6">
        <f>(_xlfn.XLOOKUP($A45,'Акция 3'!$F:$F,'Акция 3'!$P:$P,0,0))%</f>
        <v>0.46</v>
      </c>
      <c r="Y45" s="13">
        <f t="shared" si="13"/>
        <v>2666.6666666666665</v>
      </c>
      <c r="Z45" s="50">
        <f>_xlfn.XLOOKUP($A45,'Акция 4'!$F:$F,'Акция 4'!$L:$L,0,0)</f>
        <v>1387</v>
      </c>
      <c r="AA45" s="6">
        <f>(_xlfn.XLOOKUP($A45,'Акция 4'!$F:$F,'Акция 4'!$P:$P,0,0))%</f>
        <v>0.46</v>
      </c>
      <c r="AB45" s="13">
        <f t="shared" si="36"/>
        <v>2568.5185185185182</v>
      </c>
      <c r="AC45" s="50">
        <f>_xlfn.XLOOKUP($A45,'Акция 5'!$F:$F,'Акция 5'!$L:$L,0,0)</f>
        <v>0</v>
      </c>
      <c r="AD45" s="6">
        <f>(_xlfn.XLOOKUP($A45,'Акция 5'!$F:$F,'Акция 5'!O:O,0,0))%</f>
        <v>0</v>
      </c>
      <c r="AE45" s="13">
        <f t="shared" si="15"/>
        <v>0</v>
      </c>
      <c r="AF45" s="50">
        <f>_xlfn.XLOOKUP($A45,'Акция 6'!$F:$F,'Акция 6'!$L:$L,0,0)</f>
        <v>0</v>
      </c>
      <c r="AG45" s="6">
        <f>(_xlfn.XLOOKUP($A45,'Акция 6'!$F:$F,'Акция 6'!$O:$O,0,0))%</f>
        <v>0</v>
      </c>
      <c r="AH45" s="13">
        <f t="shared" si="16"/>
        <v>0</v>
      </c>
      <c r="AI45" s="50">
        <f>_xlfn.XLOOKUP($A45,'Акция 7'!$F:$F,'Акция 7'!$L:$L,0,0)</f>
        <v>0</v>
      </c>
      <c r="AJ45" s="6">
        <f>(_xlfn.XLOOKUP($A45,'Акция 7'!$F:$F,'Акция 7'!$O:$O,0,0))%</f>
        <v>0</v>
      </c>
      <c r="AK45" s="13">
        <f t="shared" si="17"/>
        <v>0</v>
      </c>
      <c r="AL45" s="50">
        <f>_xlfn.XLOOKUP($A45,'Акция 8'!$F:$F,'Акция 8'!$L:$L,0,0)</f>
        <v>0</v>
      </c>
      <c r="AM45" s="6">
        <f>(_xlfn.XLOOKUP($A45,'Акция 8'!$F:$F,'Акция 8'!$S:$S,0,0))%</f>
        <v>0</v>
      </c>
      <c r="AN45" s="13">
        <f t="shared" si="18"/>
        <v>0</v>
      </c>
      <c r="AO45" s="50">
        <f>_xlfn.XLOOKUP($A45,'Акция 9'!$F:$F,'Акция 9'!$L:$L,0,0)</f>
        <v>0</v>
      </c>
      <c r="AP45" s="6">
        <f>(_xlfn.XLOOKUP($A45,'Акция 9'!$F:$F,'Акция 9'!$O:$O,0,0))%</f>
        <v>0</v>
      </c>
      <c r="AQ45" s="13">
        <f t="shared" si="19"/>
        <v>0</v>
      </c>
      <c r="AR45" s="50">
        <f>_xlfn.XLOOKUP($A45,'Акция 10'!$F:$F,'Акция 10'!$L:$L,0,0)</f>
        <v>0</v>
      </c>
      <c r="AS45" s="6">
        <f>(_xlfn.XLOOKUP($A45,'Акция 10'!$F:$F,'Акция 10'!$O:$O,0,0))%</f>
        <v>0</v>
      </c>
      <c r="AT45" s="13">
        <f t="shared" si="20"/>
        <v>0</v>
      </c>
      <c r="AU45" s="50">
        <f>_xlfn.XLOOKUP($A45,'Акция 11'!$F:$F,'Акция 11'!$L:$L,0,0)</f>
        <v>0</v>
      </c>
      <c r="AV45" s="6">
        <f>(_xlfn.XLOOKUP($A45,'Акция 11'!$F:$F,'Акция 11'!$O:$O,0,0))%</f>
        <v>0</v>
      </c>
      <c r="AW45" s="13">
        <f t="shared" si="21"/>
        <v>0</v>
      </c>
      <c r="AX45" s="50"/>
      <c r="AY45" s="6"/>
      <c r="AZ45" s="13"/>
      <c r="BA45" s="17">
        <f t="shared" si="22"/>
        <v>1624</v>
      </c>
      <c r="BB45" s="38">
        <f t="shared" si="37"/>
        <v>1</v>
      </c>
      <c r="BC45" s="33">
        <f t="shared" si="38"/>
        <v>1624</v>
      </c>
      <c r="BD45" s="5">
        <f t="shared" si="24"/>
        <v>0.4</v>
      </c>
      <c r="BE45" s="53">
        <f t="shared" si="25"/>
        <v>2706.666666666667</v>
      </c>
      <c r="BF45" s="54">
        <f>_xlfn.XLOOKUP(A45,[1]Юнит!$A:$A,[1]Юнит!$AU:$AU,0)</f>
        <v>0.23661055155299118</v>
      </c>
      <c r="BG45" s="54">
        <f t="shared" si="26"/>
        <v>0.23669593382715043</v>
      </c>
      <c r="BH45" s="5" t="s">
        <v>287</v>
      </c>
      <c r="BI45" s="78">
        <f t="shared" si="39"/>
        <v>2707</v>
      </c>
      <c r="BJ45" s="85">
        <f t="shared" si="27"/>
        <v>0.4</v>
      </c>
      <c r="BK45" s="88">
        <f t="shared" si="30"/>
        <v>1624</v>
      </c>
      <c r="BL45" s="79">
        <f t="shared" si="28"/>
        <v>1</v>
      </c>
      <c r="BM45" s="81">
        <f>_xlfn.XLOOKUP(A45,'Текущая цена на ВБ'!C:C,'Текущая цена на ВБ'!F:F)</f>
        <v>59</v>
      </c>
      <c r="BN45" s="84">
        <f>_xlfn.XLOOKUP(A45,'Текущая цена на ВБ'!C:C,'Текущая цена на ВБ'!H:H)</f>
        <v>999</v>
      </c>
    </row>
    <row r="46" spans="1:66" ht="24.95" customHeight="1" x14ac:dyDescent="0.25">
      <c r="A46" s="154">
        <f>[1]Юнит!A45</f>
        <v>550539999</v>
      </c>
      <c r="B46" s="154" t="str">
        <f>[1]Юнит!C45</f>
        <v>ACRB4FR300CL</v>
      </c>
      <c r="C46" s="155" t="str">
        <f>[1]Юнит!D45</f>
        <v>Набор эластичных лент 4 шт.</v>
      </c>
      <c r="D46" s="156">
        <f>[1]Юнит!E45</f>
        <v>2046392546632</v>
      </c>
      <c r="E46" s="50">
        <v>999</v>
      </c>
      <c r="F46" s="6">
        <v>0.4</v>
      </c>
      <c r="G46" s="150" t="s">
        <v>420</v>
      </c>
      <c r="H46" s="54">
        <v>6.9034455866713917E-2</v>
      </c>
      <c r="I46" s="71">
        <f>_xlfn.XLOOKUP(D46,[1]Юнит!$E:$E,[1]Юнит!$AN:$AN)</f>
        <v>1019</v>
      </c>
      <c r="J46" s="6">
        <f t="shared" si="9"/>
        <v>0.3</v>
      </c>
      <c r="K46" s="153">
        <f t="shared" si="32"/>
        <v>1455.7142857142858</v>
      </c>
      <c r="L46" s="54">
        <f>_xlfn.XLOOKUP(D46,[1]Юнит!$E:$E,[1]Юнит!$AR:$AR)</f>
        <v>0.13772600588812553</v>
      </c>
      <c r="M46" s="50">
        <f t="shared" si="33"/>
        <v>999</v>
      </c>
      <c r="N46" s="6">
        <f>_xlfn.XLOOKUP($A46,'Текущая цена на ВБ'!$C:$C,'Текущая цена на ВБ'!$K:$K,0,0)%</f>
        <v>0.4</v>
      </c>
      <c r="O46" s="150" t="str">
        <f>_xlfn.XLOOKUP($A46,'Текущая цена на ВБ'!$C:$C,'Текущая цена на ВБ'!$I:$I,0,0)</f>
        <v>1665</v>
      </c>
      <c r="P46" s="54">
        <f>_xlfn.XLOOKUP($A46,[1]Юнит!$A:$A,[1]Юнит!$AJ:$AJ,0)</f>
        <v>0.1218646646646646</v>
      </c>
      <c r="Q46" s="50">
        <f>_xlfn.XLOOKUP($A46,'Акция 1'!$F:$F,'Акция 1'!$L:$L,0,0)</f>
        <v>999</v>
      </c>
      <c r="R46" s="6">
        <f>(_xlfn.XLOOKUP($A46,'Акция 1'!$F:$F,'Акция 1'!$P:$P,0,0))%</f>
        <v>0.38</v>
      </c>
      <c r="S46" s="13">
        <f t="shared" si="34"/>
        <v>1611.2903225806451</v>
      </c>
      <c r="T46" s="50">
        <f>_xlfn.XLOOKUP($A46,'Акция 2'!$F:$F,'Акция 2'!$L:$L,0,0)</f>
        <v>0</v>
      </c>
      <c r="U46" s="6">
        <f>(_xlfn.XLOOKUP($A46,'Акция 2'!$F:$F,'Акция 2'!$O:$O,0,0))%</f>
        <v>0</v>
      </c>
      <c r="V46" s="13">
        <f t="shared" si="35"/>
        <v>0</v>
      </c>
      <c r="W46" s="50">
        <f>_xlfn.XLOOKUP($A46,'Акция 3'!$F:$F,'Акция 3'!$L:$L,0,0)</f>
        <v>750</v>
      </c>
      <c r="X46" s="6">
        <f>(_xlfn.XLOOKUP($A46,'Акция 3'!$F:$F,'Акция 3'!$P:$P,0,0))%</f>
        <v>0.49</v>
      </c>
      <c r="Y46" s="13">
        <f t="shared" si="13"/>
        <v>1470.5882352941176</v>
      </c>
      <c r="Z46" s="50">
        <f>_xlfn.XLOOKUP($A46,'Акция 4'!$F:$F,'Акция 4'!$L:$L,0,0)</f>
        <v>910</v>
      </c>
      <c r="AA46" s="6">
        <f>(_xlfn.XLOOKUP($A46,'Акция 4'!$F:$F,'Акция 4'!$P:$P,0,0))%</f>
        <v>0.38</v>
      </c>
      <c r="AB46" s="13">
        <f t="shared" si="36"/>
        <v>1467.741935483871</v>
      </c>
      <c r="AC46" s="50">
        <f>_xlfn.XLOOKUP($A46,'Акция 5'!$F:$F,'Акция 5'!$L:$L,0,0)</f>
        <v>0</v>
      </c>
      <c r="AD46" s="6">
        <f>(_xlfn.XLOOKUP($A46,'Акция 5'!$F:$F,'Акция 5'!O:O,0,0))%</f>
        <v>0</v>
      </c>
      <c r="AE46" s="13">
        <f t="shared" si="15"/>
        <v>0</v>
      </c>
      <c r="AF46" s="50">
        <f>_xlfn.XLOOKUP($A46,'Акция 6'!$F:$F,'Акция 6'!$L:$L,0,0)</f>
        <v>0</v>
      </c>
      <c r="AG46" s="6">
        <f>(_xlfn.XLOOKUP($A46,'Акция 6'!$F:$F,'Акция 6'!$O:$O,0,0))%</f>
        <v>0</v>
      </c>
      <c r="AH46" s="13">
        <f t="shared" si="16"/>
        <v>0</v>
      </c>
      <c r="AI46" s="50">
        <f>_xlfn.XLOOKUP($A46,'Акция 7'!$F:$F,'Акция 7'!$L:$L,0,0)</f>
        <v>0</v>
      </c>
      <c r="AJ46" s="6">
        <f>(_xlfn.XLOOKUP($A46,'Акция 7'!$F:$F,'Акция 7'!$O:$O,0,0))%</f>
        <v>0</v>
      </c>
      <c r="AK46" s="13">
        <f t="shared" si="17"/>
        <v>0</v>
      </c>
      <c r="AL46" s="50">
        <f>_xlfn.XLOOKUP($A46,'Акция 8'!$F:$F,'Акция 8'!$L:$L,0,0)</f>
        <v>0</v>
      </c>
      <c r="AM46" s="6">
        <f>(_xlfn.XLOOKUP($A46,'Акция 8'!$F:$F,'Акция 8'!$S:$S,0,0))%</f>
        <v>0</v>
      </c>
      <c r="AN46" s="13">
        <f t="shared" si="18"/>
        <v>0</v>
      </c>
      <c r="AO46" s="50">
        <f>_xlfn.XLOOKUP($A46,'Акция 9'!$F:$F,'Акция 9'!$L:$L,0,0)</f>
        <v>0</v>
      </c>
      <c r="AP46" s="6">
        <f>(_xlfn.XLOOKUP($A46,'Акция 9'!$F:$F,'Акция 9'!$O:$O,0,0))%</f>
        <v>0</v>
      </c>
      <c r="AQ46" s="13">
        <f t="shared" si="19"/>
        <v>0</v>
      </c>
      <c r="AR46" s="50">
        <f>_xlfn.XLOOKUP($A46,'Акция 10'!$F:$F,'Акция 10'!$L:$L,0,0)</f>
        <v>0</v>
      </c>
      <c r="AS46" s="6">
        <f>(_xlfn.XLOOKUP($A46,'Акция 10'!$F:$F,'Акция 10'!$O:$O,0,0))%</f>
        <v>0</v>
      </c>
      <c r="AT46" s="13">
        <f t="shared" si="20"/>
        <v>0</v>
      </c>
      <c r="AU46" s="50">
        <f>_xlfn.XLOOKUP($A46,'Акция 11'!$F:$F,'Акция 11'!$L:$L,0,0)</f>
        <v>0</v>
      </c>
      <c r="AV46" s="6">
        <f>(_xlfn.XLOOKUP($A46,'Акция 11'!$F:$F,'Акция 11'!$O:$O,0,0))%</f>
        <v>0</v>
      </c>
      <c r="AW46" s="13">
        <f t="shared" si="21"/>
        <v>0</v>
      </c>
      <c r="AX46" s="50"/>
      <c r="AY46" s="6"/>
      <c r="AZ46" s="13"/>
      <c r="BA46" s="17">
        <f t="shared" si="22"/>
        <v>999</v>
      </c>
      <c r="BB46" s="38">
        <f t="shared" si="37"/>
        <v>1</v>
      </c>
      <c r="BC46" s="33">
        <f t="shared" si="38"/>
        <v>999</v>
      </c>
      <c r="BD46" s="5">
        <f t="shared" si="24"/>
        <v>0.4</v>
      </c>
      <c r="BE46" s="53">
        <f t="shared" si="25"/>
        <v>1665</v>
      </c>
      <c r="BF46" s="54">
        <f>_xlfn.XLOOKUP(A46,[1]Юнит!$A:$A,[1]Юнит!$AU:$AU,0)</f>
        <v>0.1218646646646646</v>
      </c>
      <c r="BG46" s="54">
        <f t="shared" si="26"/>
        <v>0.1218646646646646</v>
      </c>
      <c r="BH46" s="5" t="s">
        <v>287</v>
      </c>
      <c r="BI46" s="78">
        <f t="shared" si="39"/>
        <v>1665</v>
      </c>
      <c r="BJ46" s="85">
        <f t="shared" si="27"/>
        <v>0.4</v>
      </c>
      <c r="BK46" s="88">
        <f t="shared" si="30"/>
        <v>999</v>
      </c>
      <c r="BL46" s="79">
        <f t="shared" si="28"/>
        <v>1</v>
      </c>
      <c r="BM46" s="81">
        <f>_xlfn.XLOOKUP(A46,'Текущая цена на ВБ'!C:C,'Текущая цена на ВБ'!F:F)</f>
        <v>40</v>
      </c>
      <c r="BN46" s="84">
        <f>_xlfn.XLOOKUP(A46,'Текущая цена на ВБ'!C:C,'Текущая цена на ВБ'!H:H)</f>
        <v>999</v>
      </c>
    </row>
    <row r="47" spans="1:66" ht="24.95" customHeight="1" x14ac:dyDescent="0.25">
      <c r="A47" s="154">
        <f>[1]Юнит!A46</f>
        <v>550540000</v>
      </c>
      <c r="B47" s="154" t="str">
        <f>[1]Юнит!C46</f>
        <v>ACRB5FR400CL</v>
      </c>
      <c r="C47" s="155" t="str">
        <f>[1]Юнит!D46</f>
        <v>Набор эластичных лент 5 шт.</v>
      </c>
      <c r="D47" s="156">
        <f>[1]Юнит!E46</f>
        <v>2046392546656</v>
      </c>
      <c r="E47" s="50">
        <v>749</v>
      </c>
      <c r="F47" s="6">
        <v>0.3</v>
      </c>
      <c r="G47" s="150" t="s">
        <v>285</v>
      </c>
      <c r="H47" s="54">
        <v>0.38109853137516686</v>
      </c>
      <c r="I47" s="71">
        <f>_xlfn.XLOOKUP(D47,[1]Юнит!$E:$E,[1]Юнит!$AN:$AN)</f>
        <v>0</v>
      </c>
      <c r="J47" s="6">
        <f t="shared" si="9"/>
        <v>0.3</v>
      </c>
      <c r="K47" s="153">
        <f t="shared" si="32"/>
        <v>0</v>
      </c>
      <c r="L47" s="54" t="e">
        <f>_xlfn.XLOOKUP(D47,[1]Юнит!$E:$E,[1]Юнит!$AR:$AR)</f>
        <v>#DIV/0!</v>
      </c>
      <c r="M47" s="50">
        <f t="shared" si="33"/>
        <v>749</v>
      </c>
      <c r="N47" s="6">
        <f>_xlfn.XLOOKUP($A47,'Текущая цена на ВБ'!$C:$C,'Текущая цена на ВБ'!$K:$K,0,0)%</f>
        <v>0.3</v>
      </c>
      <c r="O47" s="150" t="str">
        <f>_xlfn.XLOOKUP($A47,'Текущая цена на ВБ'!$C:$C,'Текущая цена на ВБ'!$I:$I,0,0)</f>
        <v>1070</v>
      </c>
      <c r="P47" s="54">
        <f>_xlfn.XLOOKUP($A47,[1]Юнит!$A:$A,[1]Юнит!$AJ:$AJ,0)</f>
        <v>0.38109853137516686</v>
      </c>
      <c r="Q47" s="50">
        <f>_xlfn.XLOOKUP($A47,'Акция 1'!$F:$F,'Акция 1'!$L:$L,0,0)</f>
        <v>0</v>
      </c>
      <c r="R47" s="6">
        <f>(_xlfn.XLOOKUP($A47,'Акция 1'!$F:$F,'Акция 1'!$P:$P,0,0))%</f>
        <v>0</v>
      </c>
      <c r="S47" s="13">
        <f t="shared" si="34"/>
        <v>0</v>
      </c>
      <c r="T47" s="50">
        <f>_xlfn.XLOOKUP($A47,'Акция 2'!$F:$F,'Акция 2'!$L:$L,0,0)</f>
        <v>0</v>
      </c>
      <c r="U47" s="6">
        <f>(_xlfn.XLOOKUP($A47,'Акция 2'!$F:$F,'Акция 2'!$O:$O,0,0))%</f>
        <v>0</v>
      </c>
      <c r="V47" s="13">
        <f t="shared" si="35"/>
        <v>0</v>
      </c>
      <c r="W47" s="50">
        <f>_xlfn.XLOOKUP($A47,'Акция 3'!$F:$F,'Акция 3'!$L:$L,0,0)</f>
        <v>0</v>
      </c>
      <c r="X47" s="6">
        <f>(_xlfn.XLOOKUP($A47,'Акция 3'!$F:$F,'Акция 3'!$P:$P,0,0))%</f>
        <v>0</v>
      </c>
      <c r="Y47" s="13">
        <f t="shared" si="13"/>
        <v>0</v>
      </c>
      <c r="Z47" s="50">
        <f>_xlfn.XLOOKUP($A47,'Акция 4'!$F:$F,'Акция 4'!$L:$L,0,0)</f>
        <v>0</v>
      </c>
      <c r="AA47" s="6">
        <f>(_xlfn.XLOOKUP($A47,'Акция 4'!$F:$F,'Акция 4'!$P:$P,0,0))%</f>
        <v>0</v>
      </c>
      <c r="AB47" s="13">
        <f t="shared" si="36"/>
        <v>0</v>
      </c>
      <c r="AC47" s="50">
        <f>_xlfn.XLOOKUP($A47,'Акция 5'!$F:$F,'Акция 5'!$L:$L,0,0)</f>
        <v>0</v>
      </c>
      <c r="AD47" s="6">
        <f>(_xlfn.XLOOKUP($A47,'Акция 5'!$F:$F,'Акция 5'!O:O,0,0))%</f>
        <v>0</v>
      </c>
      <c r="AE47" s="13">
        <f t="shared" si="15"/>
        <v>0</v>
      </c>
      <c r="AF47" s="50">
        <f>_xlfn.XLOOKUP($A47,'Акция 6'!$F:$F,'Акция 6'!$L:$L,0,0)</f>
        <v>0</v>
      </c>
      <c r="AG47" s="6">
        <f>(_xlfn.XLOOKUP($A47,'Акция 6'!$F:$F,'Акция 6'!$O:$O,0,0))%</f>
        <v>0</v>
      </c>
      <c r="AH47" s="13">
        <f t="shared" si="16"/>
        <v>0</v>
      </c>
      <c r="AI47" s="50">
        <f>_xlfn.XLOOKUP($A47,'Акция 7'!$F:$F,'Акция 7'!$L:$L,0,0)</f>
        <v>0</v>
      </c>
      <c r="AJ47" s="6">
        <f>(_xlfn.XLOOKUP($A47,'Акция 7'!$F:$F,'Акция 7'!$O:$O,0,0))%</f>
        <v>0</v>
      </c>
      <c r="AK47" s="13">
        <f t="shared" si="17"/>
        <v>0</v>
      </c>
      <c r="AL47" s="50">
        <f>_xlfn.XLOOKUP($A47,'Акция 8'!$F:$F,'Акция 8'!$L:$L,0,0)</f>
        <v>0</v>
      </c>
      <c r="AM47" s="6">
        <f>(_xlfn.XLOOKUP($A47,'Акция 8'!$F:$F,'Акция 8'!$S:$S,0,0))%</f>
        <v>0</v>
      </c>
      <c r="AN47" s="13">
        <f t="shared" si="18"/>
        <v>0</v>
      </c>
      <c r="AO47" s="50">
        <f>_xlfn.XLOOKUP($A47,'Акция 9'!$F:$F,'Акция 9'!$L:$L,0,0)</f>
        <v>0</v>
      </c>
      <c r="AP47" s="6">
        <f>(_xlfn.XLOOKUP($A47,'Акция 9'!$F:$F,'Акция 9'!$O:$O,0,0))%</f>
        <v>0</v>
      </c>
      <c r="AQ47" s="13">
        <f t="shared" si="19"/>
        <v>0</v>
      </c>
      <c r="AR47" s="50">
        <f>_xlfn.XLOOKUP($A47,'Акция 10'!$F:$F,'Акция 10'!$L:$L,0,0)</f>
        <v>0</v>
      </c>
      <c r="AS47" s="6">
        <f>(_xlfn.XLOOKUP($A47,'Акция 10'!$F:$F,'Акция 10'!$O:$O,0,0))%</f>
        <v>0</v>
      </c>
      <c r="AT47" s="13">
        <f t="shared" si="20"/>
        <v>0</v>
      </c>
      <c r="AU47" s="50">
        <f>_xlfn.XLOOKUP($A47,'Акция 11'!$F:$F,'Акция 11'!$L:$L,0,0)</f>
        <v>0</v>
      </c>
      <c r="AV47" s="6">
        <f>(_xlfn.XLOOKUP($A47,'Акция 11'!$F:$F,'Акция 11'!$O:$O,0,0))%</f>
        <v>0</v>
      </c>
      <c r="AW47" s="13">
        <f t="shared" si="21"/>
        <v>0</v>
      </c>
      <c r="AX47" s="50"/>
      <c r="AY47" s="6"/>
      <c r="AZ47" s="13"/>
      <c r="BA47" s="17">
        <f t="shared" si="22"/>
        <v>0</v>
      </c>
      <c r="BB47" s="38">
        <f t="shared" si="37"/>
        <v>0</v>
      </c>
      <c r="BC47" s="33">
        <f t="shared" si="38"/>
        <v>0</v>
      </c>
      <c r="BD47" s="5">
        <f t="shared" si="24"/>
        <v>0</v>
      </c>
      <c r="BE47" s="53">
        <f t="shared" si="25"/>
        <v>0</v>
      </c>
      <c r="BF47" s="54">
        <f>_xlfn.XLOOKUP(A47,[1]Юнит!$A:$A,[1]Юнит!$AU:$AU,0)</f>
        <v>0</v>
      </c>
      <c r="BG47" s="54">
        <f t="shared" si="26"/>
        <v>0.38109853137516686</v>
      </c>
      <c r="BH47" s="5"/>
      <c r="BI47" s="78">
        <f t="shared" si="39"/>
        <v>0</v>
      </c>
      <c r="BJ47" s="85">
        <f t="shared" si="27"/>
        <v>0.3</v>
      </c>
      <c r="BK47" s="88">
        <f t="shared" si="30"/>
        <v>0</v>
      </c>
      <c r="BL47" s="79">
        <f t="shared" si="28"/>
        <v>0</v>
      </c>
      <c r="BM47" s="81" t="str">
        <f>_xlfn.XLOOKUP(A47,'Текущая цена на ВБ'!C:C,'Текущая цена на ВБ'!F:F)</f>
        <v/>
      </c>
      <c r="BN47" s="84" t="str">
        <f>_xlfn.XLOOKUP(A47,'Текущая цена на ВБ'!C:C,'Текущая цена на ВБ'!H:H)</f>
        <v/>
      </c>
    </row>
    <row r="48" spans="1:66" ht="24.95" customHeight="1" x14ac:dyDescent="0.25">
      <c r="A48" s="157">
        <f>[1]Юнит!A47</f>
        <v>271440668</v>
      </c>
      <c r="B48" s="157" t="str">
        <f>[1]Юнит!C47</f>
        <v>ACRB1SK101BC</v>
      </c>
      <c r="C48" s="158" t="str">
        <f>[1]Юнит!D47</f>
        <v>Скакалка черная</v>
      </c>
      <c r="D48" s="159">
        <f>[1]Юнит!E47</f>
        <v>2041473034138</v>
      </c>
      <c r="E48" s="50">
        <v>1206</v>
      </c>
      <c r="F48" s="6">
        <v>0.4</v>
      </c>
      <c r="G48" s="150" t="s">
        <v>421</v>
      </c>
      <c r="H48" s="54">
        <v>0.21969193655282107</v>
      </c>
      <c r="I48" s="71">
        <f>_xlfn.XLOOKUP(D48,[1]Юнит!$E:$E,[1]Юнит!$AN:$AN)</f>
        <v>1219</v>
      </c>
      <c r="J48" s="6">
        <f t="shared" si="9"/>
        <v>0.3</v>
      </c>
      <c r="K48" s="153">
        <f t="shared" si="32"/>
        <v>1741.4285714285716</v>
      </c>
      <c r="L48" s="54">
        <f>_xlfn.XLOOKUP(D48,[1]Юнит!$E:$E,[1]Юнит!$AR:$AR)</f>
        <v>0.25151205906480717</v>
      </c>
      <c r="M48" s="50">
        <f t="shared" si="33"/>
        <v>1206</v>
      </c>
      <c r="N48" s="6">
        <f>_xlfn.XLOOKUP($A48,'Текущая цена на ВБ'!$C:$C,'Текущая цена на ВБ'!$K:$K,0,0)%</f>
        <v>0.4</v>
      </c>
      <c r="O48" s="150" t="str">
        <f>_xlfn.XLOOKUP($A48,'Текущая цена на ВБ'!$C:$C,'Текущая цена на ВБ'!$I:$I,0,0)</f>
        <v>2010</v>
      </c>
      <c r="P48" s="54">
        <f>_xlfn.XLOOKUP($A48,[1]Юнит!$A:$A,[1]Юнит!$AJ:$AJ,0)</f>
        <v>0.24419834162520723</v>
      </c>
      <c r="Q48" s="50">
        <f>_xlfn.XLOOKUP($A48,'Акция 1'!$F:$F,'Акция 1'!$L:$L,0,0)</f>
        <v>1206</v>
      </c>
      <c r="R48" s="6">
        <f>(_xlfn.XLOOKUP($A48,'Акция 1'!$F:$F,'Акция 1'!$P:$P,0,0))%</f>
        <v>0.35</v>
      </c>
      <c r="S48" s="13">
        <f t="shared" si="34"/>
        <v>1855.3846153846152</v>
      </c>
      <c r="T48" s="50">
        <f>_xlfn.XLOOKUP($A48,'Акция 2'!$F:$F,'Акция 2'!$L:$L,0,0)</f>
        <v>0</v>
      </c>
      <c r="U48" s="6">
        <f>(_xlfn.XLOOKUP($A48,'Акция 2'!$F:$F,'Акция 2'!$O:$O,0,0))%</f>
        <v>0</v>
      </c>
      <c r="V48" s="13">
        <f t="shared" si="35"/>
        <v>0</v>
      </c>
      <c r="W48" s="50">
        <f>_xlfn.XLOOKUP($A48,'Акция 3'!$F:$F,'Акция 3'!$L:$L,0,0)</f>
        <v>916</v>
      </c>
      <c r="X48" s="6">
        <f>(_xlfn.XLOOKUP($A48,'Акция 3'!$F:$F,'Акция 3'!$P:$P,0,0))%</f>
        <v>0.48</v>
      </c>
      <c r="Y48" s="13">
        <f t="shared" si="13"/>
        <v>1761.5384615384614</v>
      </c>
      <c r="Z48" s="50">
        <f>_xlfn.XLOOKUP($A48,'Акция 4'!$F:$F,'Акция 4'!$L:$L,0,0)</f>
        <v>1146</v>
      </c>
      <c r="AA48" s="6">
        <f>(_xlfn.XLOOKUP($A48,'Акция 4'!$F:$F,'Акция 4'!$P:$P,0,0))%</f>
        <v>0.35</v>
      </c>
      <c r="AB48" s="13">
        <f t="shared" si="36"/>
        <v>1763.0769230769231</v>
      </c>
      <c r="AC48" s="50">
        <f>_xlfn.XLOOKUP($A48,'Акция 5'!$F:$F,'Акция 5'!$L:$L,0,0)</f>
        <v>0</v>
      </c>
      <c r="AD48" s="6">
        <f>(_xlfn.XLOOKUP($A48,'Акция 5'!$F:$F,'Акция 5'!O:O,0,0))%</f>
        <v>0</v>
      </c>
      <c r="AE48" s="13">
        <f t="shared" si="15"/>
        <v>0</v>
      </c>
      <c r="AF48" s="50">
        <f>_xlfn.XLOOKUP($A48,'Акция 6'!$F:$F,'Акция 6'!$L:$L,0,0)</f>
        <v>0</v>
      </c>
      <c r="AG48" s="6">
        <f>(_xlfn.XLOOKUP($A48,'Акция 6'!$F:$F,'Акция 6'!$O:$O,0,0))%</f>
        <v>0</v>
      </c>
      <c r="AH48" s="13">
        <f t="shared" si="16"/>
        <v>0</v>
      </c>
      <c r="AI48" s="50">
        <f>_xlfn.XLOOKUP($A48,'Акция 7'!$F:$F,'Акция 7'!$L:$L,0,0)</f>
        <v>0</v>
      </c>
      <c r="AJ48" s="6">
        <f>(_xlfn.XLOOKUP($A48,'Акция 7'!$F:$F,'Акция 7'!$O:$O,0,0))%</f>
        <v>0</v>
      </c>
      <c r="AK48" s="13">
        <f t="shared" si="17"/>
        <v>0</v>
      </c>
      <c r="AL48" s="50">
        <f>_xlfn.XLOOKUP($A48,'Акция 8'!$F:$F,'Акция 8'!$L:$L,0,0)</f>
        <v>0</v>
      </c>
      <c r="AM48" s="6">
        <f>(_xlfn.XLOOKUP($A48,'Акция 8'!$F:$F,'Акция 8'!$S:$S,0,0))%</f>
        <v>0</v>
      </c>
      <c r="AN48" s="13">
        <f t="shared" si="18"/>
        <v>0</v>
      </c>
      <c r="AO48" s="50">
        <f>_xlfn.XLOOKUP($A48,'Акция 9'!$F:$F,'Акция 9'!$L:$L,0,0)</f>
        <v>0</v>
      </c>
      <c r="AP48" s="6">
        <f>(_xlfn.XLOOKUP($A48,'Акция 9'!$F:$F,'Акция 9'!$O:$O,0,0))%</f>
        <v>0</v>
      </c>
      <c r="AQ48" s="13">
        <f t="shared" si="19"/>
        <v>0</v>
      </c>
      <c r="AR48" s="50">
        <f>_xlfn.XLOOKUP($A48,'Акция 10'!$F:$F,'Акция 10'!$L:$L,0,0)</f>
        <v>0</v>
      </c>
      <c r="AS48" s="6">
        <f>(_xlfn.XLOOKUP($A48,'Акция 10'!$F:$F,'Акция 10'!$O:$O,0,0))%</f>
        <v>0</v>
      </c>
      <c r="AT48" s="13">
        <f t="shared" si="20"/>
        <v>0</v>
      </c>
      <c r="AU48" s="50">
        <f>_xlfn.XLOOKUP($A48,'Акция 11'!$F:$F,'Акция 11'!$L:$L,0,0)</f>
        <v>0</v>
      </c>
      <c r="AV48" s="6">
        <f>(_xlfn.XLOOKUP($A48,'Акция 11'!$F:$F,'Акция 11'!$O:$O,0,0))%</f>
        <v>0</v>
      </c>
      <c r="AW48" s="13">
        <f t="shared" si="21"/>
        <v>0</v>
      </c>
      <c r="AX48" s="50"/>
      <c r="AY48" s="6"/>
      <c r="AZ48" s="13"/>
      <c r="BA48" s="17">
        <f t="shared" si="22"/>
        <v>1206</v>
      </c>
      <c r="BB48" s="38">
        <f t="shared" si="37"/>
        <v>1</v>
      </c>
      <c r="BC48" s="33">
        <f t="shared" si="38"/>
        <v>1206</v>
      </c>
      <c r="BD48" s="5">
        <f t="shared" si="24"/>
        <v>0.4</v>
      </c>
      <c r="BE48" s="53">
        <f t="shared" si="25"/>
        <v>2010</v>
      </c>
      <c r="BF48" s="54">
        <f>_xlfn.XLOOKUP(A48,[1]Юнит!$A:$A,[1]Юнит!$AU:$AU,0)</f>
        <v>0.24419834162520723</v>
      </c>
      <c r="BG48" s="54">
        <f t="shared" si="26"/>
        <v>0.24419834162520723</v>
      </c>
      <c r="BH48" s="5" t="s">
        <v>287</v>
      </c>
      <c r="BI48" s="78">
        <f t="shared" si="39"/>
        <v>2010</v>
      </c>
      <c r="BJ48" s="85">
        <f t="shared" si="27"/>
        <v>0.4</v>
      </c>
      <c r="BK48" s="88">
        <f t="shared" si="30"/>
        <v>1206</v>
      </c>
      <c r="BL48" s="79">
        <f t="shared" si="28"/>
        <v>1</v>
      </c>
      <c r="BM48" s="81">
        <f>_xlfn.XLOOKUP(A48,'Текущая цена на ВБ'!C:C,'Текущая цена на ВБ'!F:F)</f>
        <v>130</v>
      </c>
      <c r="BN48" s="84">
        <f>_xlfn.XLOOKUP(A48,'Текущая цена на ВБ'!C:C,'Текущая цена на ВБ'!H:H)</f>
        <v>983</v>
      </c>
    </row>
    <row r="49" spans="1:66" ht="24.95" customHeight="1" x14ac:dyDescent="0.25">
      <c r="A49" s="157">
        <f>[1]Юнит!A48</f>
        <v>271440669</v>
      </c>
      <c r="B49" s="157" t="str">
        <f>[1]Юнит!C48</f>
        <v>ACRB1SK101RD</v>
      </c>
      <c r="C49" s="158" t="str">
        <f>[1]Юнит!D48</f>
        <v>Скакалка красная</v>
      </c>
      <c r="D49" s="159">
        <f>[1]Юнит!E48</f>
        <v>2041473034145</v>
      </c>
      <c r="E49" s="50">
        <v>1088</v>
      </c>
      <c r="F49" s="6">
        <v>0.4</v>
      </c>
      <c r="G49" s="150" t="s">
        <v>422</v>
      </c>
      <c r="H49" s="54">
        <v>5.7175101151571629E-2</v>
      </c>
      <c r="I49" s="71">
        <f>_xlfn.XLOOKUP(D49,[1]Юнит!$E:$E,[1]Юнит!$AN:$AN)</f>
        <v>1219</v>
      </c>
      <c r="J49" s="6">
        <f t="shared" si="9"/>
        <v>0.3</v>
      </c>
      <c r="K49" s="153">
        <f t="shared" si="32"/>
        <v>1741.4285714285716</v>
      </c>
      <c r="L49" s="54">
        <f>_xlfn.XLOOKUP(D49,[1]Юнит!$E:$E,[1]Юнит!$AR:$AR)</f>
        <v>0.28184262510254304</v>
      </c>
      <c r="M49" s="50">
        <f t="shared" si="33"/>
        <v>1088</v>
      </c>
      <c r="N49" s="6">
        <f>_xlfn.XLOOKUP($A49,'Текущая цена на ВБ'!$C:$C,'Текущая цена на ВБ'!$K:$K,0,0)%</f>
        <v>0.4</v>
      </c>
      <c r="O49" s="150" t="str">
        <f>_xlfn.XLOOKUP($A49,'Текущая цена на ВБ'!$C:$C,'Текущая цена на ВБ'!$I:$I,0,0)</f>
        <v>1813</v>
      </c>
      <c r="P49" s="54">
        <f>_xlfn.XLOOKUP($A49,[1]Юнит!$A:$A,[1]Юнит!$AJ:$AJ,0)</f>
        <v>0.203668100753815</v>
      </c>
      <c r="Q49" s="50">
        <f>_xlfn.XLOOKUP($A49,'Акция 1'!$F:$F,'Акция 1'!$L:$L,0,0)</f>
        <v>1088</v>
      </c>
      <c r="R49" s="6">
        <f>(_xlfn.XLOOKUP($A49,'Акция 1'!$F:$F,'Акция 1'!$P:$P,0,0))%</f>
        <v>0.49</v>
      </c>
      <c r="S49" s="13">
        <f t="shared" si="34"/>
        <v>2133.3333333333335</v>
      </c>
      <c r="T49" s="50">
        <f>_xlfn.XLOOKUP($A49,'Акция 2'!$F:$F,'Акция 2'!$L:$L,0,0)</f>
        <v>0</v>
      </c>
      <c r="U49" s="6">
        <f>(_xlfn.XLOOKUP($A49,'Акция 2'!$F:$F,'Акция 2'!$O:$O,0,0))%</f>
        <v>0</v>
      </c>
      <c r="V49" s="13">
        <f t="shared" si="35"/>
        <v>0</v>
      </c>
      <c r="W49" s="50">
        <f>_xlfn.XLOOKUP($A49,'Акция 3'!$F:$F,'Акция 3'!$L:$L,0,0)</f>
        <v>819</v>
      </c>
      <c r="X49" s="6">
        <f>(_xlfn.XLOOKUP($A49,'Акция 3'!$F:$F,'Акция 3'!$P:$P,0,0))%</f>
        <v>0.49</v>
      </c>
      <c r="Y49" s="13">
        <f t="shared" si="13"/>
        <v>1605.8823529411764</v>
      </c>
      <c r="Z49" s="50">
        <f>_xlfn.XLOOKUP($A49,'Акция 4'!$F:$F,'Акция 4'!$L:$L,0,0)</f>
        <v>813</v>
      </c>
      <c r="AA49" s="6">
        <f>(_xlfn.XLOOKUP($A49,'Акция 4'!$F:$F,'Акция 4'!$P:$P,0,0))%</f>
        <v>0.49</v>
      </c>
      <c r="AB49" s="13">
        <f t="shared" si="36"/>
        <v>1594.1176470588234</v>
      </c>
      <c r="AC49" s="50">
        <f>_xlfn.XLOOKUP($A49,'Акция 5'!$F:$F,'Акция 5'!$L:$L,0,0)</f>
        <v>0</v>
      </c>
      <c r="AD49" s="6">
        <f>(_xlfn.XLOOKUP($A49,'Акция 5'!$F:$F,'Акция 5'!O:O,0,0))%</f>
        <v>0</v>
      </c>
      <c r="AE49" s="13">
        <f t="shared" si="15"/>
        <v>0</v>
      </c>
      <c r="AF49" s="50">
        <f>_xlfn.XLOOKUP($A49,'Акция 6'!$F:$F,'Акция 6'!$L:$L,0,0)</f>
        <v>0</v>
      </c>
      <c r="AG49" s="6">
        <f>(_xlfn.XLOOKUP($A49,'Акция 6'!$F:$F,'Акция 6'!$O:$O,0,0))%</f>
        <v>0</v>
      </c>
      <c r="AH49" s="13">
        <f t="shared" si="16"/>
        <v>0</v>
      </c>
      <c r="AI49" s="50">
        <f>_xlfn.XLOOKUP($A49,'Акция 7'!$F:$F,'Акция 7'!$L:$L,0,0)</f>
        <v>0</v>
      </c>
      <c r="AJ49" s="6">
        <f>(_xlfn.XLOOKUP($A49,'Акция 7'!$F:$F,'Акция 7'!$O:$O,0,0))%</f>
        <v>0</v>
      </c>
      <c r="AK49" s="13">
        <f t="shared" si="17"/>
        <v>0</v>
      </c>
      <c r="AL49" s="50">
        <f>_xlfn.XLOOKUP($A49,'Акция 8'!$F:$F,'Акция 8'!$L:$L,0,0)</f>
        <v>0</v>
      </c>
      <c r="AM49" s="6">
        <f>(_xlfn.XLOOKUP($A49,'Акция 8'!$F:$F,'Акция 8'!$S:$S,0,0))%</f>
        <v>0</v>
      </c>
      <c r="AN49" s="13">
        <f t="shared" si="18"/>
        <v>0</v>
      </c>
      <c r="AO49" s="50">
        <f>_xlfn.XLOOKUP($A49,'Акция 9'!$F:$F,'Акция 9'!$L:$L,0,0)</f>
        <v>0</v>
      </c>
      <c r="AP49" s="6">
        <f>(_xlfn.XLOOKUP($A49,'Акция 9'!$F:$F,'Акция 9'!$O:$O,0,0))%</f>
        <v>0</v>
      </c>
      <c r="AQ49" s="13">
        <f t="shared" si="19"/>
        <v>0</v>
      </c>
      <c r="AR49" s="50">
        <f>_xlfn.XLOOKUP($A49,'Акция 10'!$F:$F,'Акция 10'!$L:$L,0,0)</f>
        <v>0</v>
      </c>
      <c r="AS49" s="6">
        <f>(_xlfn.XLOOKUP($A49,'Акция 10'!$F:$F,'Акция 10'!$O:$O,0,0))%</f>
        <v>0</v>
      </c>
      <c r="AT49" s="13">
        <f t="shared" si="20"/>
        <v>0</v>
      </c>
      <c r="AU49" s="50">
        <f>_xlfn.XLOOKUP($A49,'Акция 11'!$F:$F,'Акция 11'!$L:$L,0,0)</f>
        <v>0</v>
      </c>
      <c r="AV49" s="6">
        <f>(_xlfn.XLOOKUP($A49,'Акция 11'!$F:$F,'Акция 11'!$O:$O,0,0))%</f>
        <v>0</v>
      </c>
      <c r="AW49" s="13">
        <f t="shared" si="21"/>
        <v>0</v>
      </c>
      <c r="AX49" s="50"/>
      <c r="AY49" s="6"/>
      <c r="AZ49" s="13"/>
      <c r="BA49" s="17">
        <f t="shared" si="22"/>
        <v>1088</v>
      </c>
      <c r="BB49" s="38">
        <f>IF(BA49=0,0,_xlfn.XLOOKUP($BA49,$Q49:$AZ49,$Q$1:$AZ$1,0,0))</f>
        <v>1</v>
      </c>
      <c r="BC49" s="33">
        <f>_xlfn.XLOOKUP($BB49,$Q$1:$AZ$1,$Q49:$AZ49,0,0)</f>
        <v>1088</v>
      </c>
      <c r="BD49" s="5">
        <f>IF(BA49=0,0,$BD$3)</f>
        <v>0.4</v>
      </c>
      <c r="BE49" s="53">
        <f>BC49/(100%-BD49)</f>
        <v>1813.3333333333335</v>
      </c>
      <c r="BF49" s="54">
        <f>_xlfn.XLOOKUP(A49,[1]Юнит!$A:$A,[1]Юнит!$AU:$AU,0)</f>
        <v>0.20380161764705881</v>
      </c>
      <c r="BG49" s="54">
        <f t="shared" si="26"/>
        <v>0.203668100753815</v>
      </c>
      <c r="BH49" s="5" t="s">
        <v>287</v>
      </c>
      <c r="BI49" s="78">
        <f>MROUND(IF($BH49="*",$BE49,K49),1)</f>
        <v>1813</v>
      </c>
      <c r="BJ49" s="85">
        <f t="shared" si="27"/>
        <v>0.4</v>
      </c>
      <c r="BK49" s="88">
        <f t="shared" si="30"/>
        <v>1088</v>
      </c>
      <c r="BL49" s="79">
        <f t="shared" si="28"/>
        <v>1</v>
      </c>
      <c r="BM49" s="81">
        <f>_xlfn.XLOOKUP(A49,'Текущая цена на ВБ'!C:C,'Текущая цена на ВБ'!F:F)</f>
        <v>128</v>
      </c>
      <c r="BN49" s="84">
        <f>_xlfn.XLOOKUP(A49,'Текущая цена на ВБ'!C:C,'Текущая цена на ВБ'!H:H)</f>
        <v>440</v>
      </c>
    </row>
    <row r="50" spans="1:66" ht="24.95" customHeight="1" x14ac:dyDescent="0.25">
      <c r="A50" s="157">
        <f>[1]Юнит!A49</f>
        <v>271440670</v>
      </c>
      <c r="B50" s="157" t="str">
        <f>[1]Юнит!C49</f>
        <v>ACRB1SK101BL</v>
      </c>
      <c r="C50" s="158" t="str">
        <f>[1]Юнит!D49</f>
        <v>Скакалка синяя</v>
      </c>
      <c r="D50" s="159">
        <f>[1]Юнит!E49</f>
        <v>2041473034169</v>
      </c>
      <c r="E50" s="50">
        <v>1088</v>
      </c>
      <c r="F50" s="6">
        <v>0.4</v>
      </c>
      <c r="G50" s="150" t="s">
        <v>422</v>
      </c>
      <c r="H50" s="54">
        <v>5.9673817933940547E-2</v>
      </c>
      <c r="I50" s="71">
        <f>_xlfn.XLOOKUP(D50,[1]Юнит!$E:$E,[1]Юнит!$AN:$AN)</f>
        <v>1219</v>
      </c>
      <c r="J50" s="6">
        <f t="shared" si="9"/>
        <v>0.3</v>
      </c>
      <c r="K50" s="153">
        <f t="shared" si="32"/>
        <v>1741.4285714285716</v>
      </c>
      <c r="L50" s="54">
        <f>_xlfn.XLOOKUP(D50,[1]Юнит!$E:$E,[1]Юнит!$AR:$AR)</f>
        <v>0.28184262510254304</v>
      </c>
      <c r="M50" s="50">
        <f t="shared" si="33"/>
        <v>1088</v>
      </c>
      <c r="N50" s="6">
        <f>_xlfn.XLOOKUP($A50,'Текущая цена на ВБ'!$C:$C,'Текущая цена на ВБ'!$K:$K,0,0)%</f>
        <v>0.4</v>
      </c>
      <c r="O50" s="150" t="str">
        <f>_xlfn.XLOOKUP($A50,'Текущая цена на ВБ'!$C:$C,'Текущая цена на ВБ'!$I:$I,0,0)</f>
        <v>1813</v>
      </c>
      <c r="P50" s="54">
        <f>_xlfn.XLOOKUP($A50,[1]Юнит!$A:$A,[1]Юнит!$AJ:$AJ,0)</f>
        <v>0.203668100753815</v>
      </c>
      <c r="Q50" s="50">
        <f>_xlfn.XLOOKUP($A50,'Акция 1'!$F:$F,'Акция 1'!$L:$L,0,0)</f>
        <v>1088</v>
      </c>
      <c r="R50" s="6">
        <f>(_xlfn.XLOOKUP($A50,'Акция 1'!$F:$F,'Акция 1'!$P:$P,0,0))%</f>
        <v>0.45</v>
      </c>
      <c r="S50" s="13">
        <f t="shared" si="34"/>
        <v>1978.181818181818</v>
      </c>
      <c r="T50" s="50">
        <f>_xlfn.XLOOKUP($A50,'Акция 2'!$F:$F,'Акция 2'!$L:$L,0,0)</f>
        <v>0</v>
      </c>
      <c r="U50" s="6">
        <f>(_xlfn.XLOOKUP($A50,'Акция 2'!$F:$F,'Акция 2'!$O:$O,0,0))%</f>
        <v>0</v>
      </c>
      <c r="V50" s="13">
        <f t="shared" si="35"/>
        <v>0</v>
      </c>
      <c r="W50" s="50">
        <f>_xlfn.XLOOKUP($A50,'Акция 3'!$F:$F,'Акция 3'!$L:$L,0,0)</f>
        <v>819</v>
      </c>
      <c r="X50" s="6">
        <f>(_xlfn.XLOOKUP($A50,'Акция 3'!$F:$F,'Акция 3'!$P:$P,0,0))%</f>
        <v>0.45</v>
      </c>
      <c r="Y50" s="13">
        <f t="shared" si="13"/>
        <v>1489.090909090909</v>
      </c>
      <c r="Z50" s="50">
        <f>_xlfn.XLOOKUP($A50,'Акция 4'!$F:$F,'Акция 4'!$L:$L,0,0)</f>
        <v>813</v>
      </c>
      <c r="AA50" s="6">
        <f>(_xlfn.XLOOKUP($A50,'Акция 4'!$F:$F,'Акция 4'!$P:$P,0,0))%</f>
        <v>0.45</v>
      </c>
      <c r="AB50" s="13">
        <f t="shared" si="36"/>
        <v>1478.181818181818</v>
      </c>
      <c r="AC50" s="50">
        <f>_xlfn.XLOOKUP($A50,'Акция 5'!$F:$F,'Акция 5'!$L:$L,0,0)</f>
        <v>0</v>
      </c>
      <c r="AD50" s="6">
        <f>(_xlfn.XLOOKUP($A50,'Акция 5'!$F:$F,'Акция 5'!O:O,0,0))%</f>
        <v>0</v>
      </c>
      <c r="AE50" s="13">
        <f t="shared" si="15"/>
        <v>0</v>
      </c>
      <c r="AF50" s="50">
        <f>_xlfn.XLOOKUP($A50,'Акция 6'!$F:$F,'Акция 6'!$L:$L,0,0)</f>
        <v>0</v>
      </c>
      <c r="AG50" s="6">
        <f>(_xlfn.XLOOKUP($A50,'Акция 6'!$F:$F,'Акция 6'!$O:$O,0,0))%</f>
        <v>0</v>
      </c>
      <c r="AH50" s="13">
        <f t="shared" si="16"/>
        <v>0</v>
      </c>
      <c r="AI50" s="50">
        <f>_xlfn.XLOOKUP($A50,'Акция 7'!$F:$F,'Акция 7'!$L:$L,0,0)</f>
        <v>0</v>
      </c>
      <c r="AJ50" s="6">
        <f>(_xlfn.XLOOKUP($A50,'Акция 7'!$F:$F,'Акция 7'!$O:$O,0,0))%</f>
        <v>0</v>
      </c>
      <c r="AK50" s="13">
        <f t="shared" si="17"/>
        <v>0</v>
      </c>
      <c r="AL50" s="50">
        <f>_xlfn.XLOOKUP($A50,'Акция 8'!$F:$F,'Акция 8'!$L:$L,0,0)</f>
        <v>0</v>
      </c>
      <c r="AM50" s="6">
        <f>(_xlfn.XLOOKUP($A50,'Акция 8'!$F:$F,'Акция 8'!$S:$S,0,0))%</f>
        <v>0</v>
      </c>
      <c r="AN50" s="13">
        <f t="shared" si="18"/>
        <v>0</v>
      </c>
      <c r="AO50" s="50">
        <f>_xlfn.XLOOKUP($A50,'Акция 9'!$F:$F,'Акция 9'!$L:$L,0,0)</f>
        <v>0</v>
      </c>
      <c r="AP50" s="6">
        <f>(_xlfn.XLOOKUP($A50,'Акция 9'!$F:$F,'Акция 9'!$O:$O,0,0))%</f>
        <v>0</v>
      </c>
      <c r="AQ50" s="13">
        <f t="shared" si="19"/>
        <v>0</v>
      </c>
      <c r="AR50" s="50">
        <f>_xlfn.XLOOKUP($A50,'Акция 10'!$F:$F,'Акция 10'!$L:$L,0,0)</f>
        <v>0</v>
      </c>
      <c r="AS50" s="6">
        <f>(_xlfn.XLOOKUP($A50,'Акция 10'!$F:$F,'Акция 10'!$O:$O,0,0))%</f>
        <v>0</v>
      </c>
      <c r="AT50" s="13">
        <f t="shared" si="20"/>
        <v>0</v>
      </c>
      <c r="AU50" s="50">
        <f>_xlfn.XLOOKUP($A50,'Акция 11'!$F:$F,'Акция 11'!$L:$L,0,0)</f>
        <v>0</v>
      </c>
      <c r="AV50" s="6">
        <f>(_xlfn.XLOOKUP($A50,'Акция 11'!$F:$F,'Акция 11'!$O:$O,0,0))%</f>
        <v>0</v>
      </c>
      <c r="AW50" s="13">
        <f t="shared" si="21"/>
        <v>0</v>
      </c>
      <c r="AX50" s="50"/>
      <c r="AY50" s="6"/>
      <c r="AZ50" s="13"/>
      <c r="BA50" s="17">
        <f t="shared" si="22"/>
        <v>1088</v>
      </c>
      <c r="BB50" s="38">
        <f t="shared" si="37"/>
        <v>1</v>
      </c>
      <c r="BC50" s="33">
        <f t="shared" si="38"/>
        <v>1088</v>
      </c>
      <c r="BD50" s="5">
        <f t="shared" si="24"/>
        <v>0.4</v>
      </c>
      <c r="BE50" s="53">
        <f t="shared" si="25"/>
        <v>1813.3333333333335</v>
      </c>
      <c r="BF50" s="54">
        <f>_xlfn.XLOOKUP(A50,[1]Юнит!$A:$A,[1]Юнит!$AU:$AU,0)</f>
        <v>0.20380161764705881</v>
      </c>
      <c r="BG50" s="54">
        <f>P50</f>
        <v>0.203668100753815</v>
      </c>
      <c r="BH50" s="5" t="s">
        <v>287</v>
      </c>
      <c r="BI50" s="78">
        <f>MROUND(IF($BH50="*",$BE50,K50),1)</f>
        <v>1813</v>
      </c>
      <c r="BJ50" s="85">
        <f t="shared" si="27"/>
        <v>0.4</v>
      </c>
      <c r="BK50" s="88">
        <f t="shared" si="30"/>
        <v>1088</v>
      </c>
      <c r="BL50" s="79">
        <f t="shared" si="28"/>
        <v>1</v>
      </c>
      <c r="BM50" s="81">
        <f>_xlfn.XLOOKUP(A50,'Текущая цена на ВБ'!C:C,'Текущая цена на ВБ'!F:F)</f>
        <v>100</v>
      </c>
      <c r="BN50" s="84">
        <f>_xlfn.XLOOKUP(A50,'Текущая цена на ВБ'!C:C,'Текущая цена на ВБ'!H:H)</f>
        <v>999</v>
      </c>
    </row>
    <row r="51" spans="1:66" ht="24.95" customHeight="1" x14ac:dyDescent="0.25">
      <c r="A51" s="157">
        <f>[1]Юнит!A50</f>
        <v>550445272</v>
      </c>
      <c r="B51" s="157" t="str">
        <f>[1]Юнит!C50</f>
        <v>ACRF1KP101BC</v>
      </c>
      <c r="C51" s="158" t="str">
        <f>[1]Юнит!D50</f>
        <v>Капа черный/красный - черная коробка</v>
      </c>
      <c r="D51" s="159">
        <f>[1]Юнит!E50</f>
        <v>2046391283330</v>
      </c>
      <c r="E51" s="50">
        <v>602</v>
      </c>
      <c r="F51" s="6">
        <v>0.3</v>
      </c>
      <c r="G51" s="150" t="s">
        <v>327</v>
      </c>
      <c r="H51" s="54">
        <v>0</v>
      </c>
      <c r="I51" s="71">
        <f>_xlfn.XLOOKUP(D51,[1]Юнит!$E:$E,[1]Юнит!$AN:$AN)</f>
        <v>0</v>
      </c>
      <c r="J51" s="6">
        <f t="shared" si="9"/>
        <v>0.3</v>
      </c>
      <c r="K51" s="153">
        <f t="shared" si="32"/>
        <v>0</v>
      </c>
      <c r="L51" s="54" t="e">
        <f>_xlfn.XLOOKUP(D51,[1]Юнит!$E:$E,[1]Юнит!$AR:$AR)</f>
        <v>#DIV/0!</v>
      </c>
      <c r="M51" s="50">
        <f t="shared" si="33"/>
        <v>602</v>
      </c>
      <c r="N51" s="6">
        <f>_xlfn.XLOOKUP($A51,'Текущая цена на ВБ'!$C:$C,'Текущая цена на ВБ'!$K:$K,0,0)%</f>
        <v>0.3</v>
      </c>
      <c r="O51" s="150" t="str">
        <f>_xlfn.XLOOKUP($A51,'Текущая цена на ВБ'!$C:$C,'Текущая цена на ВБ'!$I:$I,0,0)</f>
        <v>860</v>
      </c>
      <c r="P51" s="54">
        <f>_xlfn.XLOOKUP($A51,[1]Юнит!$A:$A,[1]Юнит!$AJ:$AJ,0)</f>
        <v>0</v>
      </c>
      <c r="Q51" s="50">
        <f>_xlfn.XLOOKUP($A51,'Акция 1'!$F:$F,'Акция 1'!$L:$L,0,0)</f>
        <v>0</v>
      </c>
      <c r="R51" s="6">
        <f>(_xlfn.XLOOKUP($A51,'Акция 1'!$F:$F,'Акция 1'!$P:$P,0,0))%</f>
        <v>0</v>
      </c>
      <c r="S51" s="13">
        <f t="shared" si="34"/>
        <v>0</v>
      </c>
      <c r="T51" s="50">
        <f>_xlfn.XLOOKUP($A51,'Акция 2'!$F:$F,'Акция 2'!$L:$L,0,0)</f>
        <v>0</v>
      </c>
      <c r="U51" s="6">
        <f>(_xlfn.XLOOKUP($A51,'Акция 2'!$F:$F,'Акция 2'!$O:$O,0,0))%</f>
        <v>0</v>
      </c>
      <c r="V51" s="13">
        <f t="shared" si="35"/>
        <v>0</v>
      </c>
      <c r="W51" s="50">
        <f>_xlfn.XLOOKUP($A51,'Акция 3'!$F:$F,'Акция 3'!$L:$L,0,0)</f>
        <v>0</v>
      </c>
      <c r="X51" s="6">
        <f>(_xlfn.XLOOKUP($A51,'Акция 3'!$F:$F,'Акция 3'!$P:$P,0,0))%</f>
        <v>0</v>
      </c>
      <c r="Y51" s="13">
        <f t="shared" si="13"/>
        <v>0</v>
      </c>
      <c r="Z51" s="50">
        <f>_xlfn.XLOOKUP($A51,'Акция 4'!$F:$F,'Акция 4'!$L:$L,0,0)</f>
        <v>0</v>
      </c>
      <c r="AA51" s="6">
        <f>(_xlfn.XLOOKUP($A51,'Акция 4'!$F:$F,'Акция 4'!$P:$P,0,0))%</f>
        <v>0</v>
      </c>
      <c r="AB51" s="13">
        <f t="shared" si="36"/>
        <v>0</v>
      </c>
      <c r="AC51" s="50">
        <f>_xlfn.XLOOKUP($A51,'Акция 5'!$F:$F,'Акция 5'!$L:$L,0,0)</f>
        <v>0</v>
      </c>
      <c r="AD51" s="6">
        <f>(_xlfn.XLOOKUP($A51,'Акция 5'!$F:$F,'Акция 5'!O:O,0,0))%</f>
        <v>0</v>
      </c>
      <c r="AE51" s="13">
        <f t="shared" si="15"/>
        <v>0</v>
      </c>
      <c r="AF51" s="50">
        <f>_xlfn.XLOOKUP($A51,'Акция 6'!$F:$F,'Акция 6'!$L:$L,0,0)</f>
        <v>0</v>
      </c>
      <c r="AG51" s="6">
        <f>(_xlfn.XLOOKUP($A51,'Акция 6'!$F:$F,'Акция 6'!$O:$O,0,0))%</f>
        <v>0</v>
      </c>
      <c r="AH51" s="13">
        <f t="shared" si="16"/>
        <v>0</v>
      </c>
      <c r="AI51" s="50">
        <f>_xlfn.XLOOKUP($A51,'Акция 7'!$F:$F,'Акция 7'!$L:$L,0,0)</f>
        <v>0</v>
      </c>
      <c r="AJ51" s="6">
        <f>(_xlfn.XLOOKUP($A51,'Акция 7'!$F:$F,'Акция 7'!$O:$O,0,0))%</f>
        <v>0</v>
      </c>
      <c r="AK51" s="13">
        <f t="shared" si="17"/>
        <v>0</v>
      </c>
      <c r="AL51" s="50">
        <f>_xlfn.XLOOKUP($A51,'Акция 8'!$F:$F,'Акция 8'!$L:$L,0,0)</f>
        <v>0</v>
      </c>
      <c r="AM51" s="6">
        <f>(_xlfn.XLOOKUP($A51,'Акция 8'!$F:$F,'Акция 8'!$S:$S,0,0))%</f>
        <v>0</v>
      </c>
      <c r="AN51" s="13">
        <f t="shared" si="18"/>
        <v>0</v>
      </c>
      <c r="AO51" s="50">
        <f>_xlfn.XLOOKUP($A51,'Акция 9'!$F:$F,'Акция 9'!$L:$L,0,0)</f>
        <v>0</v>
      </c>
      <c r="AP51" s="6">
        <f>(_xlfn.XLOOKUP($A51,'Акция 9'!$F:$F,'Акция 9'!$O:$O,0,0))%</f>
        <v>0</v>
      </c>
      <c r="AQ51" s="13">
        <f t="shared" si="19"/>
        <v>0</v>
      </c>
      <c r="AR51" s="50">
        <f>_xlfn.XLOOKUP($A51,'Акция 10'!$F:$F,'Акция 10'!$L:$L,0,0)</f>
        <v>0</v>
      </c>
      <c r="AS51" s="6">
        <f>(_xlfn.XLOOKUP($A51,'Акция 10'!$F:$F,'Акция 10'!$O:$O,0,0))%</f>
        <v>0</v>
      </c>
      <c r="AT51" s="13">
        <f t="shared" si="20"/>
        <v>0</v>
      </c>
      <c r="AU51" s="50">
        <f>_xlfn.XLOOKUP($A51,'Акция 11'!$F:$F,'Акция 11'!$L:$L,0,0)</f>
        <v>0</v>
      </c>
      <c r="AV51" s="6">
        <f>(_xlfn.XLOOKUP($A51,'Акция 11'!$F:$F,'Акция 11'!$O:$O,0,0))%</f>
        <v>0</v>
      </c>
      <c r="AW51" s="13">
        <f t="shared" si="21"/>
        <v>0</v>
      </c>
      <c r="AX51" s="50"/>
      <c r="AY51" s="6"/>
      <c r="AZ51" s="13"/>
      <c r="BA51" s="17">
        <f t="shared" si="22"/>
        <v>0</v>
      </c>
      <c r="BB51" s="38">
        <f t="shared" si="37"/>
        <v>0</v>
      </c>
      <c r="BC51" s="33">
        <f t="shared" si="38"/>
        <v>0</v>
      </c>
      <c r="BD51" s="5">
        <f t="shared" si="24"/>
        <v>0</v>
      </c>
      <c r="BE51" s="53">
        <f t="shared" si="25"/>
        <v>0</v>
      </c>
      <c r="BF51" s="54">
        <f>_xlfn.XLOOKUP(A51,[1]Юнит!$A:$A,[1]Юнит!$AU:$AU,0)</f>
        <v>0</v>
      </c>
      <c r="BG51" s="54">
        <f t="shared" si="26"/>
        <v>0</v>
      </c>
      <c r="BH51" s="5"/>
      <c r="BI51" s="78">
        <f t="shared" ref="BI51:BI52" si="40">MROUND(IF($BH51="*",$BE51,K51),1)</f>
        <v>0</v>
      </c>
      <c r="BJ51" s="85">
        <f t="shared" si="27"/>
        <v>0.3</v>
      </c>
      <c r="BK51" s="88">
        <f t="shared" si="30"/>
        <v>0</v>
      </c>
      <c r="BL51" s="79">
        <f t="shared" si="28"/>
        <v>0</v>
      </c>
      <c r="BM51" s="81" t="str">
        <f>_xlfn.XLOOKUP(A51,'Текущая цена на ВБ'!C:C,'Текущая цена на ВБ'!F:F)</f>
        <v/>
      </c>
      <c r="BN51" s="84" t="str">
        <f>_xlfn.XLOOKUP(A51,'Текущая цена на ВБ'!C:C,'Текущая цена на ВБ'!H:H)</f>
        <v/>
      </c>
    </row>
    <row r="52" spans="1:66" ht="24.95" customHeight="1" x14ac:dyDescent="0.25">
      <c r="A52" s="157">
        <f>[1]Юнит!A51</f>
        <v>550445274</v>
      </c>
      <c r="B52" s="157" t="str">
        <f>[1]Юнит!C51</f>
        <v>ACRF1KP102BC</v>
      </c>
      <c r="C52" s="158" t="str">
        <f>[1]Юнит!D51</f>
        <v>Капа черный/белый-черная коробка</v>
      </c>
      <c r="D52" s="159">
        <f>[1]Юнит!E51</f>
        <v>2046391283385</v>
      </c>
      <c r="E52" s="50">
        <v>602</v>
      </c>
      <c r="F52" s="6">
        <v>0.3</v>
      </c>
      <c r="G52" s="150" t="s">
        <v>327</v>
      </c>
      <c r="H52" s="54">
        <v>0</v>
      </c>
      <c r="I52" s="71">
        <f>_xlfn.XLOOKUP(D52,[1]Юнит!$E:$E,[1]Юнит!$AN:$AN)</f>
        <v>0</v>
      </c>
      <c r="J52" s="6">
        <f t="shared" si="9"/>
        <v>0.3</v>
      </c>
      <c r="K52" s="153">
        <f t="shared" si="32"/>
        <v>0</v>
      </c>
      <c r="L52" s="54" t="e">
        <f>_xlfn.XLOOKUP(D52,[1]Юнит!$E:$E,[1]Юнит!$AR:$AR)</f>
        <v>#DIV/0!</v>
      </c>
      <c r="M52" s="50">
        <f t="shared" si="33"/>
        <v>602</v>
      </c>
      <c r="N52" s="6">
        <f>_xlfn.XLOOKUP($A52,'Текущая цена на ВБ'!$C:$C,'Текущая цена на ВБ'!$K:$K,0,0)%</f>
        <v>0.3</v>
      </c>
      <c r="O52" s="150" t="str">
        <f>_xlfn.XLOOKUP($A52,'Текущая цена на ВБ'!$C:$C,'Текущая цена на ВБ'!$I:$I,0,0)</f>
        <v>860</v>
      </c>
      <c r="P52" s="54">
        <f>_xlfn.XLOOKUP($A52,[1]Юнит!$A:$A,[1]Юнит!$AJ:$AJ,0)</f>
        <v>0</v>
      </c>
      <c r="Q52" s="50">
        <f>_xlfn.XLOOKUP($A52,'Акция 1'!$F:$F,'Акция 1'!$L:$L,0,0)</f>
        <v>0</v>
      </c>
      <c r="R52" s="6">
        <f>(_xlfn.XLOOKUP($A52,'Акция 1'!$F:$F,'Акция 1'!$P:$P,0,0))%</f>
        <v>0</v>
      </c>
      <c r="S52" s="13">
        <f t="shared" si="34"/>
        <v>0</v>
      </c>
      <c r="T52" s="50">
        <f>_xlfn.XLOOKUP($A52,'Акция 2'!$F:$F,'Акция 2'!$L:$L,0,0)</f>
        <v>0</v>
      </c>
      <c r="U52" s="6">
        <f>(_xlfn.XLOOKUP($A52,'Акция 2'!$F:$F,'Акция 2'!$O:$O,0,0))%</f>
        <v>0</v>
      </c>
      <c r="V52" s="13">
        <f t="shared" si="35"/>
        <v>0</v>
      </c>
      <c r="W52" s="50">
        <f>_xlfn.XLOOKUP($A52,'Акция 3'!$F:$F,'Акция 3'!$L:$L,0,0)</f>
        <v>0</v>
      </c>
      <c r="X52" s="6">
        <f>(_xlfn.XLOOKUP($A52,'Акция 3'!$F:$F,'Акция 3'!$P:$P,0,0))%</f>
        <v>0</v>
      </c>
      <c r="Y52" s="13">
        <f t="shared" si="13"/>
        <v>0</v>
      </c>
      <c r="Z52" s="50">
        <f>_xlfn.XLOOKUP($A52,'Акция 4'!$F:$F,'Акция 4'!$L:$L,0,0)</f>
        <v>0</v>
      </c>
      <c r="AA52" s="6">
        <f>(_xlfn.XLOOKUP($A52,'Акция 4'!$F:$F,'Акция 4'!$P:$P,0,0))%</f>
        <v>0</v>
      </c>
      <c r="AB52" s="13">
        <f t="shared" si="36"/>
        <v>0</v>
      </c>
      <c r="AC52" s="50">
        <f>_xlfn.XLOOKUP($A52,'Акция 5'!$F:$F,'Акция 5'!$L:$L,0,0)</f>
        <v>0</v>
      </c>
      <c r="AD52" s="6">
        <f>(_xlfn.XLOOKUP($A52,'Акция 5'!$F:$F,'Акция 5'!O:O,0,0))%</f>
        <v>0</v>
      </c>
      <c r="AE52" s="13">
        <f t="shared" si="15"/>
        <v>0</v>
      </c>
      <c r="AF52" s="50">
        <f>_xlfn.XLOOKUP($A52,'Акция 6'!$F:$F,'Акция 6'!$L:$L,0,0)</f>
        <v>0</v>
      </c>
      <c r="AG52" s="6">
        <f>(_xlfn.XLOOKUP($A52,'Акция 6'!$F:$F,'Акция 6'!$O:$O,0,0))%</f>
        <v>0</v>
      </c>
      <c r="AH52" s="13">
        <f t="shared" si="16"/>
        <v>0</v>
      </c>
      <c r="AI52" s="50">
        <f>_xlfn.XLOOKUP($A52,'Акция 7'!$F:$F,'Акция 7'!$L:$L,0,0)</f>
        <v>0</v>
      </c>
      <c r="AJ52" s="6">
        <f>(_xlfn.XLOOKUP($A52,'Акция 7'!$F:$F,'Акция 7'!$O:$O,0,0))%</f>
        <v>0</v>
      </c>
      <c r="AK52" s="13">
        <f t="shared" si="17"/>
        <v>0</v>
      </c>
      <c r="AL52" s="50">
        <f>_xlfn.XLOOKUP($A52,'Акция 8'!$F:$F,'Акция 8'!$L:$L,0,0)</f>
        <v>0</v>
      </c>
      <c r="AM52" s="6">
        <f>(_xlfn.XLOOKUP($A52,'Акция 8'!$F:$F,'Акция 8'!$S:$S,0,0))%</f>
        <v>0</v>
      </c>
      <c r="AN52" s="13">
        <f t="shared" si="18"/>
        <v>0</v>
      </c>
      <c r="AO52" s="50">
        <f>_xlfn.XLOOKUP($A52,'Акция 9'!$F:$F,'Акция 9'!$L:$L,0,0)</f>
        <v>0</v>
      </c>
      <c r="AP52" s="6">
        <f>(_xlfn.XLOOKUP($A52,'Акция 9'!$F:$F,'Акция 9'!$O:$O,0,0))%</f>
        <v>0</v>
      </c>
      <c r="AQ52" s="13">
        <f t="shared" si="19"/>
        <v>0</v>
      </c>
      <c r="AR52" s="50">
        <f>_xlfn.XLOOKUP($A52,'Акция 10'!$F:$F,'Акция 10'!$L:$L,0,0)</f>
        <v>0</v>
      </c>
      <c r="AS52" s="6">
        <f>(_xlfn.XLOOKUP($A52,'Акция 10'!$F:$F,'Акция 10'!$O:$O,0,0))%</f>
        <v>0</v>
      </c>
      <c r="AT52" s="13">
        <f t="shared" si="20"/>
        <v>0</v>
      </c>
      <c r="AU52" s="50">
        <f>_xlfn.XLOOKUP($A52,'Акция 11'!$F:$F,'Акция 11'!$L:$L,0,0)</f>
        <v>0</v>
      </c>
      <c r="AV52" s="6">
        <f>(_xlfn.XLOOKUP($A52,'Акция 11'!$F:$F,'Акция 11'!$O:$O,0,0))%</f>
        <v>0</v>
      </c>
      <c r="AW52" s="13">
        <f t="shared" si="21"/>
        <v>0</v>
      </c>
      <c r="AX52" s="50"/>
      <c r="AY52" s="6"/>
      <c r="AZ52" s="13"/>
      <c r="BA52" s="17">
        <f t="shared" si="22"/>
        <v>0</v>
      </c>
      <c r="BB52" s="38">
        <f t="shared" si="37"/>
        <v>0</v>
      </c>
      <c r="BC52" s="33">
        <f t="shared" si="38"/>
        <v>0</v>
      </c>
      <c r="BD52" s="5">
        <f t="shared" si="24"/>
        <v>0</v>
      </c>
      <c r="BE52" s="53">
        <f t="shared" si="25"/>
        <v>0</v>
      </c>
      <c r="BF52" s="54">
        <f>_xlfn.XLOOKUP(A52,[1]Юнит!$A:$A,[1]Юнит!$AU:$AU,0)</f>
        <v>0</v>
      </c>
      <c r="BG52" s="54">
        <f t="shared" si="26"/>
        <v>0</v>
      </c>
      <c r="BH52" s="5"/>
      <c r="BI52" s="78">
        <f t="shared" si="40"/>
        <v>0</v>
      </c>
      <c r="BJ52" s="85">
        <f t="shared" si="27"/>
        <v>0.3</v>
      </c>
      <c r="BK52" s="88">
        <f t="shared" si="30"/>
        <v>0</v>
      </c>
      <c r="BL52" s="79">
        <f t="shared" si="28"/>
        <v>0</v>
      </c>
      <c r="BM52" s="81" t="str">
        <f>_xlfn.XLOOKUP(A52,'Текущая цена на ВБ'!C:C,'Текущая цена на ВБ'!F:F)</f>
        <v/>
      </c>
      <c r="BN52" s="84" t="str">
        <f>_xlfn.XLOOKUP(A52,'Текущая цена на ВБ'!C:C,'Текущая цена на ВБ'!H:H)</f>
        <v/>
      </c>
    </row>
    <row r="53" spans="1:66" ht="24.95" customHeight="1" x14ac:dyDescent="0.25">
      <c r="A53" s="160">
        <f>[1]Юнит!A52</f>
        <v>550445275</v>
      </c>
      <c r="B53" s="161" t="str">
        <f>[1]Юнит!C52</f>
        <v>ACRF1KP103BC</v>
      </c>
      <c r="C53" s="158" t="str">
        <f>[1]Юнит!D52</f>
        <v>Капа белый/черный</v>
      </c>
      <c r="D53" s="159">
        <f>[1]Юнит!E52</f>
        <v>2046391283415</v>
      </c>
      <c r="E53" s="50">
        <v>602</v>
      </c>
      <c r="F53" s="6">
        <v>0.3</v>
      </c>
      <c r="G53" s="150" t="s">
        <v>327</v>
      </c>
      <c r="H53" s="54">
        <v>0</v>
      </c>
      <c r="I53" s="71">
        <f>_xlfn.XLOOKUP(D53,[1]Юнит!$E:$E,[1]Юнит!$AN:$AN)</f>
        <v>0</v>
      </c>
      <c r="J53" s="6">
        <f t="shared" si="9"/>
        <v>0.3</v>
      </c>
      <c r="K53" s="153">
        <f t="shared" si="32"/>
        <v>0</v>
      </c>
      <c r="L53" s="54" t="e">
        <f>_xlfn.XLOOKUP(D53,[1]Юнит!$E:$E,[1]Юнит!$AR:$AR)</f>
        <v>#DIV/0!</v>
      </c>
      <c r="M53" s="50">
        <f t="shared" si="33"/>
        <v>602</v>
      </c>
      <c r="N53" s="6">
        <f>_xlfn.XLOOKUP($A53,'Текущая цена на ВБ'!$C:$C,'Текущая цена на ВБ'!$K:$K,0,0)%</f>
        <v>0.3</v>
      </c>
      <c r="O53" s="150" t="str">
        <f>_xlfn.XLOOKUP($A53,'Текущая цена на ВБ'!$C:$C,'Текущая цена на ВБ'!$I:$I,0,0)</f>
        <v>860</v>
      </c>
      <c r="P53" s="54">
        <f>_xlfn.XLOOKUP($A53,[1]Юнит!$A:$A,[1]Юнит!$AJ:$AJ,0)</f>
        <v>0</v>
      </c>
      <c r="Q53" s="50">
        <f>_xlfn.XLOOKUP($A53,'Акция 1'!$F:$F,'Акция 1'!$L:$L,0,0)</f>
        <v>0</v>
      </c>
      <c r="R53" s="6">
        <f>(_xlfn.XLOOKUP($A53,'Акция 1'!$F:$F,'Акция 1'!$P:$P,0,0))%</f>
        <v>0</v>
      </c>
      <c r="S53" s="13">
        <f t="shared" si="34"/>
        <v>0</v>
      </c>
      <c r="T53" s="50">
        <f>_xlfn.XLOOKUP($A53,'Акция 2'!$F:$F,'Акция 2'!$L:$L,0,0)</f>
        <v>0</v>
      </c>
      <c r="U53" s="6">
        <f>(_xlfn.XLOOKUP($A53,'Акция 2'!$F:$F,'Акция 2'!$O:$O,0,0))%</f>
        <v>0</v>
      </c>
      <c r="V53" s="13">
        <f t="shared" si="35"/>
        <v>0</v>
      </c>
      <c r="W53" s="50">
        <f>_xlfn.XLOOKUP($A53,'Акция 3'!$F:$F,'Акция 3'!$L:$L,0,0)</f>
        <v>0</v>
      </c>
      <c r="X53" s="6">
        <f>(_xlfn.XLOOKUP($A53,'Акция 3'!$F:$F,'Акция 3'!$P:$P,0,0))%</f>
        <v>0</v>
      </c>
      <c r="Y53" s="13">
        <f t="shared" si="13"/>
        <v>0</v>
      </c>
      <c r="Z53" s="50">
        <f>_xlfn.XLOOKUP($A53,'Акция 4'!$F:$F,'Акция 4'!$L:$L,0,0)</f>
        <v>0</v>
      </c>
      <c r="AA53" s="6">
        <f>(_xlfn.XLOOKUP($A53,'Акция 4'!$F:$F,'Акция 4'!$P:$P,0,0))%</f>
        <v>0</v>
      </c>
      <c r="AB53" s="13">
        <f t="shared" si="36"/>
        <v>0</v>
      </c>
      <c r="AC53" s="50">
        <f>_xlfn.XLOOKUP($A53,'Акция 5'!$F:$F,'Акция 5'!$L:$L,0,0)</f>
        <v>0</v>
      </c>
      <c r="AD53" s="6">
        <f>(_xlfn.XLOOKUP($A53,'Акция 5'!$F:$F,'Акция 5'!O:O,0,0))%</f>
        <v>0</v>
      </c>
      <c r="AE53" s="13">
        <f t="shared" si="15"/>
        <v>0</v>
      </c>
      <c r="AF53" s="50">
        <f>_xlfn.XLOOKUP($A53,'Акция 6'!$F:$F,'Акция 6'!$L:$L,0,0)</f>
        <v>0</v>
      </c>
      <c r="AG53" s="6">
        <f>(_xlfn.XLOOKUP($A53,'Акция 6'!$F:$F,'Акция 6'!$O:$O,0,0))%</f>
        <v>0</v>
      </c>
      <c r="AH53" s="13">
        <f t="shared" si="16"/>
        <v>0</v>
      </c>
      <c r="AI53" s="50">
        <f>_xlfn.XLOOKUP($A53,'Акция 7'!$F:$F,'Акция 7'!$L:$L,0,0)</f>
        <v>0</v>
      </c>
      <c r="AJ53" s="6">
        <f>(_xlfn.XLOOKUP($A53,'Акция 7'!$F:$F,'Акция 7'!$O:$O,0,0))%</f>
        <v>0</v>
      </c>
      <c r="AK53" s="13">
        <f t="shared" si="17"/>
        <v>0</v>
      </c>
      <c r="AL53" s="50">
        <f>_xlfn.XLOOKUP($A53,'Акция 8'!$F:$F,'Акция 8'!$L:$L,0,0)</f>
        <v>0</v>
      </c>
      <c r="AM53" s="6">
        <f>(_xlfn.XLOOKUP($A53,'Акция 8'!$F:$F,'Акция 8'!$S:$S,0,0))%</f>
        <v>0</v>
      </c>
      <c r="AN53" s="13">
        <f t="shared" si="18"/>
        <v>0</v>
      </c>
      <c r="AO53" s="50">
        <f>_xlfn.XLOOKUP($A53,'Акция 9'!$F:$F,'Акция 9'!$L:$L,0,0)</f>
        <v>0</v>
      </c>
      <c r="AP53" s="6">
        <f>(_xlfn.XLOOKUP($A53,'Акция 9'!$F:$F,'Акция 9'!$O:$O,0,0))%</f>
        <v>0</v>
      </c>
      <c r="AQ53" s="13">
        <f t="shared" si="19"/>
        <v>0</v>
      </c>
      <c r="AR53" s="50">
        <f>_xlfn.XLOOKUP($A53,'Акция 10'!$F:$F,'Акция 10'!$L:$L,0,0)</f>
        <v>0</v>
      </c>
      <c r="AS53" s="6">
        <f>(_xlfn.XLOOKUP($A53,'Акция 10'!$F:$F,'Акция 10'!$O:$O,0,0))%</f>
        <v>0</v>
      </c>
      <c r="AT53" s="13">
        <f t="shared" si="20"/>
        <v>0</v>
      </c>
      <c r="AU53" s="50">
        <f>_xlfn.XLOOKUP($A53,'Акция 11'!$F:$F,'Акция 11'!$L:$L,0,0)</f>
        <v>0</v>
      </c>
      <c r="AV53" s="6">
        <f>(_xlfn.XLOOKUP($A53,'Акция 11'!$F:$F,'Акция 11'!$O:$O,0,0))%</f>
        <v>0</v>
      </c>
      <c r="AW53" s="13">
        <f t="shared" si="21"/>
        <v>0</v>
      </c>
      <c r="AX53" s="50"/>
      <c r="AY53" s="6"/>
      <c r="AZ53" s="13"/>
      <c r="BA53" s="17">
        <f t="shared" si="22"/>
        <v>0</v>
      </c>
      <c r="BB53" s="38">
        <f t="shared" si="37"/>
        <v>0</v>
      </c>
      <c r="BC53" s="33">
        <f t="shared" si="38"/>
        <v>0</v>
      </c>
      <c r="BD53" s="5">
        <f t="shared" si="24"/>
        <v>0</v>
      </c>
      <c r="BE53" s="53">
        <f t="shared" si="25"/>
        <v>0</v>
      </c>
      <c r="BF53" s="54">
        <f>_xlfn.XLOOKUP(A53,[1]Юнит!$A:$A,[1]Юнит!$AU:$AU,0)</f>
        <v>0</v>
      </c>
      <c r="BG53" s="54">
        <f t="shared" si="26"/>
        <v>0</v>
      </c>
      <c r="BH53" s="5"/>
      <c r="BI53" s="78">
        <f t="shared" si="39"/>
        <v>0</v>
      </c>
      <c r="BJ53" s="85">
        <f t="shared" si="27"/>
        <v>0.3</v>
      </c>
      <c r="BK53" s="88">
        <f t="shared" si="30"/>
        <v>0</v>
      </c>
      <c r="BL53" s="79">
        <f t="shared" si="28"/>
        <v>0</v>
      </c>
      <c r="BM53" s="81" t="str">
        <f>_xlfn.XLOOKUP(A53,'Текущая цена на ВБ'!C:C,'Текущая цена на ВБ'!F:F)</f>
        <v/>
      </c>
      <c r="BN53" s="84" t="str">
        <f>_xlfn.XLOOKUP(A53,'Текущая цена на ВБ'!C:C,'Текущая цена на ВБ'!H:H)</f>
        <v/>
      </c>
    </row>
    <row r="54" spans="1:66" ht="24.95" customHeight="1" x14ac:dyDescent="0.25">
      <c r="A54" s="157">
        <f>[1]Юнит!A53</f>
        <v>550445277</v>
      </c>
      <c r="B54" s="157" t="str">
        <f>[1]Юнит!C53</f>
        <v>ACRF1KP101RD</v>
      </c>
      <c r="C54" s="158" t="str">
        <f>[1]Юнит!D53</f>
        <v>Капа белый/красный</v>
      </c>
      <c r="D54" s="159">
        <f>[1]Юнит!E53</f>
        <v>2046391283446</v>
      </c>
      <c r="E54" s="50">
        <v>602</v>
      </c>
      <c r="F54" s="6">
        <v>0.3</v>
      </c>
      <c r="G54" s="150" t="s">
        <v>327</v>
      </c>
      <c r="H54" s="54">
        <v>0</v>
      </c>
      <c r="I54" s="71">
        <f>_xlfn.XLOOKUP(D54,[1]Юнит!$E:$E,[1]Юнит!$AN:$AN)</f>
        <v>0</v>
      </c>
      <c r="J54" s="6">
        <f t="shared" si="9"/>
        <v>0.3</v>
      </c>
      <c r="K54" s="153">
        <f t="shared" si="32"/>
        <v>0</v>
      </c>
      <c r="L54" s="54" t="e">
        <f>_xlfn.XLOOKUP(D54,[1]Юнит!$E:$E,[1]Юнит!$AR:$AR)</f>
        <v>#DIV/0!</v>
      </c>
      <c r="M54" s="50">
        <f t="shared" si="33"/>
        <v>602</v>
      </c>
      <c r="N54" s="6">
        <f>_xlfn.XLOOKUP($A54,'Текущая цена на ВБ'!$C:$C,'Текущая цена на ВБ'!$K:$K,0,0)%</f>
        <v>0.3</v>
      </c>
      <c r="O54" s="150" t="str">
        <f>_xlfn.XLOOKUP($A54,'Текущая цена на ВБ'!$C:$C,'Текущая цена на ВБ'!$I:$I,0,0)</f>
        <v>860</v>
      </c>
      <c r="P54" s="54">
        <f>_xlfn.XLOOKUP($A54,[1]Юнит!$A:$A,[1]Юнит!$AJ:$AJ,0)</f>
        <v>0</v>
      </c>
      <c r="Q54" s="50">
        <f>_xlfn.XLOOKUP($A54,'Акция 1'!$F:$F,'Акция 1'!$L:$L,0,0)</f>
        <v>0</v>
      </c>
      <c r="R54" s="6">
        <f>(_xlfn.XLOOKUP($A54,'Акция 1'!$F:$F,'Акция 1'!$P:$P,0,0))%</f>
        <v>0</v>
      </c>
      <c r="S54" s="13">
        <f t="shared" si="34"/>
        <v>0</v>
      </c>
      <c r="T54" s="50">
        <f>_xlfn.XLOOKUP($A54,'Акция 2'!$F:$F,'Акция 2'!$L:$L,0,0)</f>
        <v>0</v>
      </c>
      <c r="U54" s="6">
        <f>(_xlfn.XLOOKUP($A54,'Акция 2'!$F:$F,'Акция 2'!$O:$O,0,0))%</f>
        <v>0</v>
      </c>
      <c r="V54" s="13">
        <f t="shared" si="35"/>
        <v>0</v>
      </c>
      <c r="W54" s="50">
        <f>_xlfn.XLOOKUP($A54,'Акция 3'!$F:$F,'Акция 3'!$L:$L,0,0)</f>
        <v>0</v>
      </c>
      <c r="X54" s="6">
        <f>(_xlfn.XLOOKUP($A54,'Акция 3'!$F:$F,'Акция 3'!$P:$P,0,0))%</f>
        <v>0</v>
      </c>
      <c r="Y54" s="13">
        <f t="shared" si="13"/>
        <v>0</v>
      </c>
      <c r="Z54" s="50">
        <f>_xlfn.XLOOKUP($A54,'Акция 4'!$F:$F,'Акция 4'!$L:$L,0,0)</f>
        <v>0</v>
      </c>
      <c r="AA54" s="6">
        <f>(_xlfn.XLOOKUP($A54,'Акция 4'!$F:$F,'Акция 4'!$P:$P,0,0))%</f>
        <v>0</v>
      </c>
      <c r="AB54" s="13">
        <f t="shared" si="36"/>
        <v>0</v>
      </c>
      <c r="AC54" s="50">
        <f>_xlfn.XLOOKUP($A54,'Акция 5'!$F:$F,'Акция 5'!$L:$L,0,0)</f>
        <v>0</v>
      </c>
      <c r="AD54" s="6">
        <f>(_xlfn.XLOOKUP($A54,'Акция 5'!$F:$F,'Акция 5'!O:O,0,0))%</f>
        <v>0</v>
      </c>
      <c r="AE54" s="13">
        <f t="shared" si="15"/>
        <v>0</v>
      </c>
      <c r="AF54" s="50">
        <f>_xlfn.XLOOKUP($A54,'Акция 6'!$F:$F,'Акция 6'!$L:$L,0,0)</f>
        <v>0</v>
      </c>
      <c r="AG54" s="6">
        <f>(_xlfn.XLOOKUP($A54,'Акция 6'!$F:$F,'Акция 6'!$O:$O,0,0))%</f>
        <v>0</v>
      </c>
      <c r="AH54" s="13">
        <f t="shared" si="16"/>
        <v>0</v>
      </c>
      <c r="AI54" s="50">
        <f>_xlfn.XLOOKUP($A54,'Акция 7'!$F:$F,'Акция 7'!$L:$L,0,0)</f>
        <v>0</v>
      </c>
      <c r="AJ54" s="6">
        <f>(_xlfn.XLOOKUP($A54,'Акция 7'!$F:$F,'Акция 7'!$O:$O,0,0))%</f>
        <v>0</v>
      </c>
      <c r="AK54" s="13">
        <f t="shared" si="17"/>
        <v>0</v>
      </c>
      <c r="AL54" s="50">
        <f>_xlfn.XLOOKUP($A54,'Акция 8'!$F:$F,'Акция 8'!$L:$L,0,0)</f>
        <v>0</v>
      </c>
      <c r="AM54" s="6">
        <f>(_xlfn.XLOOKUP($A54,'Акция 8'!$F:$F,'Акция 8'!$S:$S,0,0))%</f>
        <v>0</v>
      </c>
      <c r="AN54" s="13">
        <f t="shared" si="18"/>
        <v>0</v>
      </c>
      <c r="AO54" s="50">
        <f>_xlfn.XLOOKUP($A54,'Акция 9'!$F:$F,'Акция 9'!$L:$L,0,0)</f>
        <v>0</v>
      </c>
      <c r="AP54" s="6">
        <f>(_xlfn.XLOOKUP($A54,'Акция 9'!$F:$F,'Акция 9'!$O:$O,0,0))%</f>
        <v>0</v>
      </c>
      <c r="AQ54" s="13">
        <f t="shared" si="19"/>
        <v>0</v>
      </c>
      <c r="AR54" s="50">
        <f>_xlfn.XLOOKUP($A54,'Акция 10'!$F:$F,'Акция 10'!$L:$L,0,0)</f>
        <v>0</v>
      </c>
      <c r="AS54" s="6">
        <f>(_xlfn.XLOOKUP($A54,'Акция 10'!$F:$F,'Акция 10'!$O:$O,0,0))%</f>
        <v>0</v>
      </c>
      <c r="AT54" s="13">
        <f t="shared" si="20"/>
        <v>0</v>
      </c>
      <c r="AU54" s="50">
        <f>_xlfn.XLOOKUP($A54,'Акция 11'!$F:$F,'Акция 11'!$L:$L,0,0)</f>
        <v>0</v>
      </c>
      <c r="AV54" s="6">
        <f>(_xlfn.XLOOKUP($A54,'Акция 11'!$F:$F,'Акция 11'!$O:$O,0,0))%</f>
        <v>0</v>
      </c>
      <c r="AW54" s="13">
        <f t="shared" si="21"/>
        <v>0</v>
      </c>
      <c r="AX54" s="50"/>
      <c r="AY54" s="6"/>
      <c r="AZ54" s="13"/>
      <c r="BA54" s="17">
        <f t="shared" si="22"/>
        <v>0</v>
      </c>
      <c r="BB54" s="38">
        <f t="shared" si="37"/>
        <v>0</v>
      </c>
      <c r="BC54" s="33">
        <f t="shared" si="38"/>
        <v>0</v>
      </c>
      <c r="BD54" s="5">
        <f t="shared" si="24"/>
        <v>0</v>
      </c>
      <c r="BE54" s="53">
        <f t="shared" si="25"/>
        <v>0</v>
      </c>
      <c r="BF54" s="54">
        <f>_xlfn.XLOOKUP(A54,[1]Юнит!$A:$A,[1]Юнит!$AU:$AU,0)</f>
        <v>0</v>
      </c>
      <c r="BG54" s="54">
        <f t="shared" si="26"/>
        <v>0</v>
      </c>
      <c r="BH54" s="5"/>
      <c r="BI54" s="78">
        <f t="shared" si="39"/>
        <v>0</v>
      </c>
      <c r="BJ54" s="85">
        <f t="shared" si="27"/>
        <v>0.3</v>
      </c>
      <c r="BK54" s="88">
        <f t="shared" si="30"/>
        <v>0</v>
      </c>
      <c r="BL54" s="79">
        <f t="shared" si="28"/>
        <v>0</v>
      </c>
      <c r="BM54" s="81" t="str">
        <f>_xlfn.XLOOKUP(A54,'Текущая цена на ВБ'!C:C,'Текущая цена на ВБ'!F:F)</f>
        <v/>
      </c>
      <c r="BN54" s="84" t="str">
        <f>_xlfn.XLOOKUP(A54,'Текущая цена на ВБ'!C:C,'Текущая цена на ВБ'!H:H)</f>
        <v/>
      </c>
    </row>
    <row r="55" spans="1:66" ht="24.95" customHeight="1" x14ac:dyDescent="0.25">
      <c r="A55" s="157">
        <f>[1]Юнит!A54</f>
        <v>550445279</v>
      </c>
      <c r="B55" s="157" t="str">
        <f>[1]Юнит!C54</f>
        <v>ACRF1KP102RD</v>
      </c>
      <c r="C55" s="158" t="str">
        <f>[1]Юнит!D54</f>
        <v>Капа красный/белый</v>
      </c>
      <c r="D55" s="159">
        <f>[1]Юнит!E54</f>
        <v>2046391283507</v>
      </c>
      <c r="E55" s="50">
        <v>602</v>
      </c>
      <c r="F55" s="6">
        <v>0.3</v>
      </c>
      <c r="G55" s="150" t="s">
        <v>327</v>
      </c>
      <c r="H55" s="54">
        <v>0</v>
      </c>
      <c r="I55" s="71">
        <f>_xlfn.XLOOKUP(D55,[1]Юнит!$E:$E,[1]Юнит!$AN:$AN)</f>
        <v>0</v>
      </c>
      <c r="J55" s="6">
        <f t="shared" si="9"/>
        <v>0.3</v>
      </c>
      <c r="K55" s="153">
        <f t="shared" si="32"/>
        <v>0</v>
      </c>
      <c r="L55" s="54" t="e">
        <f>_xlfn.XLOOKUP(D55,[1]Юнит!$E:$E,[1]Юнит!$AR:$AR)</f>
        <v>#DIV/0!</v>
      </c>
      <c r="M55" s="50">
        <f t="shared" si="33"/>
        <v>602</v>
      </c>
      <c r="N55" s="6">
        <f>_xlfn.XLOOKUP($A55,'Текущая цена на ВБ'!$C:$C,'Текущая цена на ВБ'!$K:$K,0,0)%</f>
        <v>0.3</v>
      </c>
      <c r="O55" s="150" t="str">
        <f>_xlfn.XLOOKUP($A55,'Текущая цена на ВБ'!$C:$C,'Текущая цена на ВБ'!$I:$I,0,0)</f>
        <v>860</v>
      </c>
      <c r="P55" s="54">
        <f>_xlfn.XLOOKUP($A55,[1]Юнит!$A:$A,[1]Юнит!$AJ:$AJ,0)</f>
        <v>0</v>
      </c>
      <c r="Q55" s="50">
        <f>_xlfn.XLOOKUP($A55,'Акция 1'!$F:$F,'Акция 1'!$L:$L,0,0)</f>
        <v>0</v>
      </c>
      <c r="R55" s="6">
        <f>(_xlfn.XLOOKUP($A55,'Акция 1'!$F:$F,'Акция 1'!$P:$P,0,0))%</f>
        <v>0</v>
      </c>
      <c r="S55" s="13">
        <f t="shared" si="34"/>
        <v>0</v>
      </c>
      <c r="T55" s="50">
        <f>_xlfn.XLOOKUP($A55,'Акция 2'!$F:$F,'Акция 2'!$L:$L,0,0)</f>
        <v>0</v>
      </c>
      <c r="U55" s="6">
        <f>(_xlfn.XLOOKUP($A55,'Акция 2'!$F:$F,'Акция 2'!$O:$O,0,0))%</f>
        <v>0</v>
      </c>
      <c r="V55" s="13">
        <f t="shared" si="35"/>
        <v>0</v>
      </c>
      <c r="W55" s="50">
        <f>_xlfn.XLOOKUP($A55,'Акция 3'!$F:$F,'Акция 3'!$L:$L,0,0)</f>
        <v>0</v>
      </c>
      <c r="X55" s="6">
        <f>(_xlfn.XLOOKUP($A55,'Акция 3'!$F:$F,'Акция 3'!$P:$P,0,0))%</f>
        <v>0</v>
      </c>
      <c r="Y55" s="13">
        <f t="shared" si="13"/>
        <v>0</v>
      </c>
      <c r="Z55" s="50">
        <f>_xlfn.XLOOKUP($A55,'Акция 4'!$F:$F,'Акция 4'!$L:$L,0,0)</f>
        <v>0</v>
      </c>
      <c r="AA55" s="6">
        <f>(_xlfn.XLOOKUP($A55,'Акция 4'!$F:$F,'Акция 4'!$P:$P,0,0))%</f>
        <v>0</v>
      </c>
      <c r="AB55" s="13">
        <f t="shared" si="36"/>
        <v>0</v>
      </c>
      <c r="AC55" s="50">
        <f>_xlfn.XLOOKUP($A55,'Акция 5'!$F:$F,'Акция 5'!$L:$L,0,0)</f>
        <v>0</v>
      </c>
      <c r="AD55" s="6">
        <f>(_xlfn.XLOOKUP($A55,'Акция 5'!$F:$F,'Акция 5'!O:O,0,0))%</f>
        <v>0</v>
      </c>
      <c r="AE55" s="13">
        <f t="shared" si="15"/>
        <v>0</v>
      </c>
      <c r="AF55" s="50">
        <f>_xlfn.XLOOKUP($A55,'Акция 6'!$F:$F,'Акция 6'!$L:$L,0,0)</f>
        <v>0</v>
      </c>
      <c r="AG55" s="6">
        <f>(_xlfn.XLOOKUP($A55,'Акция 6'!$F:$F,'Акция 6'!$O:$O,0,0))%</f>
        <v>0</v>
      </c>
      <c r="AH55" s="13">
        <f t="shared" si="16"/>
        <v>0</v>
      </c>
      <c r="AI55" s="50">
        <f>_xlfn.XLOOKUP($A55,'Акция 7'!$F:$F,'Акция 7'!$L:$L,0,0)</f>
        <v>0</v>
      </c>
      <c r="AJ55" s="6">
        <f>(_xlfn.XLOOKUP($A55,'Акция 7'!$F:$F,'Акция 7'!$O:$O,0,0))%</f>
        <v>0</v>
      </c>
      <c r="AK55" s="13">
        <f t="shared" si="17"/>
        <v>0</v>
      </c>
      <c r="AL55" s="50">
        <f>_xlfn.XLOOKUP($A55,'Акция 8'!$F:$F,'Акция 8'!$L:$L,0,0)</f>
        <v>0</v>
      </c>
      <c r="AM55" s="6">
        <f>(_xlfn.XLOOKUP($A55,'Акция 8'!$F:$F,'Акция 8'!$S:$S,0,0))%</f>
        <v>0</v>
      </c>
      <c r="AN55" s="13">
        <f t="shared" si="18"/>
        <v>0</v>
      </c>
      <c r="AO55" s="50">
        <f>_xlfn.XLOOKUP($A55,'Акция 9'!$F:$F,'Акция 9'!$L:$L,0,0)</f>
        <v>0</v>
      </c>
      <c r="AP55" s="6">
        <f>(_xlfn.XLOOKUP($A55,'Акция 9'!$F:$F,'Акция 9'!$O:$O,0,0))%</f>
        <v>0</v>
      </c>
      <c r="AQ55" s="13">
        <f t="shared" si="19"/>
        <v>0</v>
      </c>
      <c r="AR55" s="50">
        <f>_xlfn.XLOOKUP($A55,'Акция 10'!$F:$F,'Акция 10'!$L:$L,0,0)</f>
        <v>0</v>
      </c>
      <c r="AS55" s="6">
        <f>(_xlfn.XLOOKUP($A55,'Акция 10'!$F:$F,'Акция 10'!$O:$O,0,0))%</f>
        <v>0</v>
      </c>
      <c r="AT55" s="13">
        <f t="shared" si="20"/>
        <v>0</v>
      </c>
      <c r="AU55" s="50">
        <f>_xlfn.XLOOKUP($A55,'Акция 11'!$F:$F,'Акция 11'!$L:$L,0,0)</f>
        <v>0</v>
      </c>
      <c r="AV55" s="6">
        <f>(_xlfn.XLOOKUP($A55,'Акция 11'!$F:$F,'Акция 11'!$O:$O,0,0))%</f>
        <v>0</v>
      </c>
      <c r="AW55" s="13">
        <f t="shared" si="21"/>
        <v>0</v>
      </c>
      <c r="AX55" s="50"/>
      <c r="AY55" s="6"/>
      <c r="AZ55" s="13"/>
      <c r="BA55" s="17">
        <f t="shared" si="22"/>
        <v>0</v>
      </c>
      <c r="BB55" s="38">
        <f t="shared" si="37"/>
        <v>0</v>
      </c>
      <c r="BC55" s="33">
        <f t="shared" si="38"/>
        <v>0</v>
      </c>
      <c r="BD55" s="5">
        <f t="shared" si="24"/>
        <v>0</v>
      </c>
      <c r="BE55" s="53">
        <f t="shared" si="25"/>
        <v>0</v>
      </c>
      <c r="BF55" s="54">
        <f>_xlfn.XLOOKUP(A55,[1]Юнит!$A:$A,[1]Юнит!$AU:$AU,0)</f>
        <v>0</v>
      </c>
      <c r="BG55" s="54">
        <f t="shared" si="26"/>
        <v>0</v>
      </c>
      <c r="BH55" s="5"/>
      <c r="BI55" s="78">
        <f t="shared" si="39"/>
        <v>0</v>
      </c>
      <c r="BJ55" s="85">
        <f t="shared" si="27"/>
        <v>0.3</v>
      </c>
      <c r="BK55" s="88">
        <f t="shared" si="30"/>
        <v>0</v>
      </c>
      <c r="BL55" s="79">
        <f t="shared" si="28"/>
        <v>0</v>
      </c>
      <c r="BM55" s="81" t="str">
        <f>_xlfn.XLOOKUP(A55,'Текущая цена на ВБ'!C:C,'Текущая цена на ВБ'!F:F)</f>
        <v/>
      </c>
      <c r="BN55" s="84" t="str">
        <f>_xlfn.XLOOKUP(A55,'Текущая цена на ВБ'!C:C,'Текущая цена на ВБ'!H:H)</f>
        <v/>
      </c>
    </row>
    <row r="56" spans="1:66" ht="24.95" customHeight="1" x14ac:dyDescent="0.25">
      <c r="A56" s="130">
        <f>[1]Юнит!A55</f>
        <v>550445280</v>
      </c>
      <c r="B56" s="130" t="str">
        <f>[1]Юнит!C55</f>
        <v>ACRF1KP101BL</v>
      </c>
      <c r="C56" s="131" t="str">
        <f>[1]Юнит!D55</f>
        <v>Капа синий/белый</v>
      </c>
      <c r="D56" s="132">
        <f>[1]Юнит!E55</f>
        <v>2046391283545</v>
      </c>
      <c r="E56" s="50">
        <v>602</v>
      </c>
      <c r="F56" s="6">
        <v>0.3</v>
      </c>
      <c r="G56" s="150" t="s">
        <v>327</v>
      </c>
      <c r="H56" s="54">
        <v>0</v>
      </c>
      <c r="I56" s="71">
        <f>_xlfn.XLOOKUP(D56,[1]Юнит!$E:$E,[1]Юнит!$AN:$AN)</f>
        <v>0</v>
      </c>
      <c r="J56" s="6">
        <f t="shared" si="9"/>
        <v>0.3</v>
      </c>
      <c r="K56" s="153">
        <f t="shared" si="32"/>
        <v>0</v>
      </c>
      <c r="L56" s="54" t="e">
        <f>_xlfn.XLOOKUP(D56,[1]Юнит!$E:$E,[1]Юнит!$AR:$AR)</f>
        <v>#DIV/0!</v>
      </c>
      <c r="M56" s="50">
        <f t="shared" si="33"/>
        <v>602</v>
      </c>
      <c r="N56" s="6">
        <f>_xlfn.XLOOKUP($A56,'Текущая цена на ВБ'!$C:$C,'Текущая цена на ВБ'!$K:$K,0,0)%</f>
        <v>0.3</v>
      </c>
      <c r="O56" s="150" t="str">
        <f>_xlfn.XLOOKUP($A56,'Текущая цена на ВБ'!$C:$C,'Текущая цена на ВБ'!$I:$I,0,0)</f>
        <v>860</v>
      </c>
      <c r="P56" s="54">
        <f>_xlfn.XLOOKUP($A56,[1]Юнит!$A:$A,[1]Юнит!$AJ:$AJ,0)</f>
        <v>0</v>
      </c>
      <c r="Q56" s="50">
        <f>_xlfn.XLOOKUP($A56,'Акция 1'!$F:$F,'Акция 1'!$L:$L,0,0)</f>
        <v>0</v>
      </c>
      <c r="R56" s="6">
        <f>(_xlfn.XLOOKUP($A56,'Акция 1'!$F:$F,'Акция 1'!$P:$P,0,0))%</f>
        <v>0</v>
      </c>
      <c r="S56" s="13">
        <f t="shared" si="34"/>
        <v>0</v>
      </c>
      <c r="T56" s="50">
        <f>_xlfn.XLOOKUP($A56,'Акция 2'!$F:$F,'Акция 2'!$L:$L,0,0)</f>
        <v>0</v>
      </c>
      <c r="U56" s="6">
        <f>(_xlfn.XLOOKUP($A56,'Акция 2'!$F:$F,'Акция 2'!$O:$O,0,0))%</f>
        <v>0</v>
      </c>
      <c r="V56" s="13">
        <f t="shared" si="35"/>
        <v>0</v>
      </c>
      <c r="W56" s="50">
        <f>_xlfn.XLOOKUP($A56,'Акция 3'!$F:$F,'Акция 3'!$L:$L,0,0)</f>
        <v>0</v>
      </c>
      <c r="X56" s="6">
        <f>(_xlfn.XLOOKUP($A56,'Акция 3'!$F:$F,'Акция 3'!$P:$P,0,0))%</f>
        <v>0</v>
      </c>
      <c r="Y56" s="13">
        <f t="shared" si="13"/>
        <v>0</v>
      </c>
      <c r="Z56" s="50">
        <f>_xlfn.XLOOKUP($A56,'Акция 4'!$F:$F,'Акция 4'!$L:$L,0,0)</f>
        <v>0</v>
      </c>
      <c r="AA56" s="6">
        <f>(_xlfn.XLOOKUP($A56,'Акция 4'!$F:$F,'Акция 4'!$P:$P,0,0))%</f>
        <v>0</v>
      </c>
      <c r="AB56" s="13">
        <f t="shared" si="36"/>
        <v>0</v>
      </c>
      <c r="AC56" s="50">
        <f>_xlfn.XLOOKUP($A56,'Акция 5'!$F:$F,'Акция 5'!$L:$L,0,0)</f>
        <v>0</v>
      </c>
      <c r="AD56" s="6">
        <f>(_xlfn.XLOOKUP($A56,'Акция 5'!$F:$F,'Акция 5'!O:O,0,0))%</f>
        <v>0</v>
      </c>
      <c r="AE56" s="13">
        <f t="shared" si="15"/>
        <v>0</v>
      </c>
      <c r="AF56" s="50">
        <f>_xlfn.XLOOKUP($A56,'Акция 6'!$F:$F,'Акция 6'!$L:$L,0,0)</f>
        <v>0</v>
      </c>
      <c r="AG56" s="6">
        <f>(_xlfn.XLOOKUP($A56,'Акция 6'!$F:$F,'Акция 6'!$O:$O,0,0))%</f>
        <v>0</v>
      </c>
      <c r="AH56" s="13">
        <f t="shared" si="16"/>
        <v>0</v>
      </c>
      <c r="AI56" s="50">
        <f>_xlfn.XLOOKUP($A56,'Акция 7'!$F:$F,'Акция 7'!$L:$L,0,0)</f>
        <v>0</v>
      </c>
      <c r="AJ56" s="6">
        <f>(_xlfn.XLOOKUP($A56,'Акция 7'!$F:$F,'Акция 7'!$O:$O,0,0))%</f>
        <v>0</v>
      </c>
      <c r="AK56" s="13">
        <f t="shared" si="17"/>
        <v>0</v>
      </c>
      <c r="AL56" s="50">
        <f>_xlfn.XLOOKUP($A56,'Акция 8'!$F:$F,'Акция 8'!$L:$L,0,0)</f>
        <v>0</v>
      </c>
      <c r="AM56" s="6">
        <f>(_xlfn.XLOOKUP($A56,'Акция 8'!$F:$F,'Акция 8'!$S:$S,0,0))%</f>
        <v>0</v>
      </c>
      <c r="AN56" s="13">
        <f t="shared" si="18"/>
        <v>0</v>
      </c>
      <c r="AO56" s="50">
        <f>_xlfn.XLOOKUP($A56,'Акция 9'!$F:$F,'Акция 9'!$L:$L,0,0)</f>
        <v>0</v>
      </c>
      <c r="AP56" s="6">
        <f>(_xlfn.XLOOKUP($A56,'Акция 9'!$F:$F,'Акция 9'!$O:$O,0,0))%</f>
        <v>0</v>
      </c>
      <c r="AQ56" s="13">
        <f t="shared" si="19"/>
        <v>0</v>
      </c>
      <c r="AR56" s="50">
        <f>_xlfn.XLOOKUP($A56,'Акция 10'!$F:$F,'Акция 10'!$L:$L,0,0)</f>
        <v>0</v>
      </c>
      <c r="AS56" s="6">
        <f>(_xlfn.XLOOKUP($A56,'Акция 10'!$F:$F,'Акция 10'!$O:$O,0,0))%</f>
        <v>0</v>
      </c>
      <c r="AT56" s="13">
        <f t="shared" si="20"/>
        <v>0</v>
      </c>
      <c r="AU56" s="50">
        <f>_xlfn.XLOOKUP($A56,'Акция 11'!$F:$F,'Акция 11'!$L:$L,0,0)</f>
        <v>0</v>
      </c>
      <c r="AV56" s="6">
        <f>(_xlfn.XLOOKUP($A56,'Акция 11'!$F:$F,'Акция 11'!$O:$O,0,0))%</f>
        <v>0</v>
      </c>
      <c r="AW56" s="13">
        <f t="shared" si="21"/>
        <v>0</v>
      </c>
      <c r="AX56" s="50"/>
      <c r="AY56" s="6"/>
      <c r="AZ56" s="13"/>
      <c r="BA56" s="17">
        <f t="shared" si="22"/>
        <v>0</v>
      </c>
      <c r="BB56" s="38">
        <f t="shared" si="37"/>
        <v>0</v>
      </c>
      <c r="BC56" s="33">
        <f t="shared" si="38"/>
        <v>0</v>
      </c>
      <c r="BD56" s="5">
        <f t="shared" si="24"/>
        <v>0</v>
      </c>
      <c r="BE56" s="53">
        <f t="shared" si="25"/>
        <v>0</v>
      </c>
      <c r="BF56" s="54">
        <f>_xlfn.XLOOKUP(A56,[1]Юнит!$A:$A,[1]Юнит!$AU:$AU,0)</f>
        <v>0</v>
      </c>
      <c r="BG56" s="54">
        <f t="shared" si="26"/>
        <v>0</v>
      </c>
      <c r="BH56" s="5"/>
      <c r="BI56" s="78">
        <f t="shared" si="39"/>
        <v>0</v>
      </c>
      <c r="BJ56" s="85">
        <f t="shared" si="27"/>
        <v>0.3</v>
      </c>
      <c r="BK56" s="88">
        <f t="shared" si="30"/>
        <v>0</v>
      </c>
      <c r="BL56" s="79">
        <f t="shared" si="28"/>
        <v>0</v>
      </c>
      <c r="BM56" s="81" t="str">
        <f>_xlfn.XLOOKUP(A56,'Текущая цена на ВБ'!C:C,'Текущая цена на ВБ'!F:F)</f>
        <v/>
      </c>
      <c r="BN56" s="84" t="str">
        <f>_xlfn.XLOOKUP(A56,'Текущая цена на ВБ'!C:C,'Текущая цена на ВБ'!H:H)</f>
        <v/>
      </c>
    </row>
    <row r="57" spans="1:66" ht="24.95" customHeight="1" x14ac:dyDescent="0.25">
      <c r="A57" s="130">
        <f>[1]Юнит!A56</f>
        <v>550445281</v>
      </c>
      <c r="B57" s="130" t="str">
        <f>[1]Юнит!C56</f>
        <v>ACRF1KP101GN</v>
      </c>
      <c r="C57" s="131" t="str">
        <f>[1]Юнит!D56</f>
        <v>Капа зеленый/белый</v>
      </c>
      <c r="D57" s="132">
        <f>[1]Юнит!E56</f>
        <v>2046391283569</v>
      </c>
      <c r="E57" s="50">
        <v>602</v>
      </c>
      <c r="F57" s="6">
        <v>0.3</v>
      </c>
      <c r="G57" s="150" t="s">
        <v>327</v>
      </c>
      <c r="H57" s="54">
        <v>0</v>
      </c>
      <c r="I57" s="71">
        <f>_xlfn.XLOOKUP(D57,[1]Юнит!$E:$E,[1]Юнит!$AN:$AN)</f>
        <v>0</v>
      </c>
      <c r="J57" s="6">
        <f t="shared" si="9"/>
        <v>0.3</v>
      </c>
      <c r="K57" s="153">
        <f t="shared" si="32"/>
        <v>0</v>
      </c>
      <c r="L57" s="54" t="e">
        <f>_xlfn.XLOOKUP(D57,[1]Юнит!$E:$E,[1]Юнит!$AR:$AR)</f>
        <v>#DIV/0!</v>
      </c>
      <c r="M57" s="50">
        <f t="shared" si="33"/>
        <v>602</v>
      </c>
      <c r="N57" s="6">
        <f>_xlfn.XLOOKUP($A57,'Текущая цена на ВБ'!$C:$C,'Текущая цена на ВБ'!$K:$K,0,0)%</f>
        <v>0.3</v>
      </c>
      <c r="O57" s="150" t="str">
        <f>_xlfn.XLOOKUP($A57,'Текущая цена на ВБ'!$C:$C,'Текущая цена на ВБ'!$I:$I,0,0)</f>
        <v>860</v>
      </c>
      <c r="P57" s="54">
        <f>_xlfn.XLOOKUP($A57,[1]Юнит!$A:$A,[1]Юнит!$AJ:$AJ,0)</f>
        <v>0</v>
      </c>
      <c r="Q57" s="50">
        <f>_xlfn.XLOOKUP($A57,'Акция 1'!$F:$F,'Акция 1'!$L:$L,0,0)</f>
        <v>0</v>
      </c>
      <c r="R57" s="6">
        <f>(_xlfn.XLOOKUP($A57,'Акция 1'!$F:$F,'Акция 1'!$P:$P,0,0))%</f>
        <v>0</v>
      </c>
      <c r="S57" s="13">
        <f t="shared" si="34"/>
        <v>0</v>
      </c>
      <c r="T57" s="50">
        <f>_xlfn.XLOOKUP($A57,'Акция 2'!$F:$F,'Акция 2'!$L:$L,0,0)</f>
        <v>0</v>
      </c>
      <c r="U57" s="6">
        <f>(_xlfn.XLOOKUP($A57,'Акция 2'!$F:$F,'Акция 2'!$O:$O,0,0))%</f>
        <v>0</v>
      </c>
      <c r="V57" s="13">
        <f t="shared" si="35"/>
        <v>0</v>
      </c>
      <c r="W57" s="50">
        <f>_xlfn.XLOOKUP($A57,'Акция 3'!$F:$F,'Акция 3'!$L:$L,0,0)</f>
        <v>0</v>
      </c>
      <c r="X57" s="6">
        <f>(_xlfn.XLOOKUP($A57,'Акция 3'!$F:$F,'Акция 3'!$P:$P,0,0))%</f>
        <v>0</v>
      </c>
      <c r="Y57" s="13">
        <f t="shared" si="13"/>
        <v>0</v>
      </c>
      <c r="Z57" s="50">
        <f>_xlfn.XLOOKUP($A57,'Акция 4'!$F:$F,'Акция 4'!$L:$L,0,0)</f>
        <v>0</v>
      </c>
      <c r="AA57" s="6">
        <f>(_xlfn.XLOOKUP($A57,'Акция 4'!$F:$F,'Акция 4'!$P:$P,0,0))%</f>
        <v>0</v>
      </c>
      <c r="AB57" s="13">
        <f t="shared" si="36"/>
        <v>0</v>
      </c>
      <c r="AC57" s="50">
        <f>_xlfn.XLOOKUP($A57,'Акция 5'!$F:$F,'Акция 5'!$L:$L,0,0)</f>
        <v>0</v>
      </c>
      <c r="AD57" s="6">
        <f>(_xlfn.XLOOKUP($A57,'Акция 5'!$F:$F,'Акция 5'!O:O,0,0))%</f>
        <v>0</v>
      </c>
      <c r="AE57" s="13">
        <f t="shared" si="15"/>
        <v>0</v>
      </c>
      <c r="AF57" s="50">
        <f>_xlfn.XLOOKUP($A57,'Акция 6'!$F:$F,'Акция 6'!$L:$L,0,0)</f>
        <v>0</v>
      </c>
      <c r="AG57" s="6">
        <f>(_xlfn.XLOOKUP($A57,'Акция 6'!$F:$F,'Акция 6'!$O:$O,0,0))%</f>
        <v>0</v>
      </c>
      <c r="AH57" s="13">
        <f t="shared" si="16"/>
        <v>0</v>
      </c>
      <c r="AI57" s="50">
        <f>_xlfn.XLOOKUP($A57,'Акция 7'!$F:$F,'Акция 7'!$L:$L,0,0)</f>
        <v>0</v>
      </c>
      <c r="AJ57" s="6">
        <f>(_xlfn.XLOOKUP($A57,'Акция 7'!$F:$F,'Акция 7'!$O:$O,0,0))%</f>
        <v>0</v>
      </c>
      <c r="AK57" s="13">
        <f t="shared" si="17"/>
        <v>0</v>
      </c>
      <c r="AL57" s="50">
        <f>_xlfn.XLOOKUP($A57,'Акция 8'!$F:$F,'Акция 8'!$L:$L,0,0)</f>
        <v>0</v>
      </c>
      <c r="AM57" s="6">
        <f>(_xlfn.XLOOKUP($A57,'Акция 8'!$F:$F,'Акция 8'!$S:$S,0,0))%</f>
        <v>0</v>
      </c>
      <c r="AN57" s="13">
        <f t="shared" si="18"/>
        <v>0</v>
      </c>
      <c r="AO57" s="50">
        <f>_xlfn.XLOOKUP($A57,'Акция 9'!$F:$F,'Акция 9'!$L:$L,0,0)</f>
        <v>0</v>
      </c>
      <c r="AP57" s="6">
        <f>(_xlfn.XLOOKUP($A57,'Акция 9'!$F:$F,'Акция 9'!$O:$O,0,0))%</f>
        <v>0</v>
      </c>
      <c r="AQ57" s="13">
        <f t="shared" si="19"/>
        <v>0</v>
      </c>
      <c r="AR57" s="50">
        <f>_xlfn.XLOOKUP($A57,'Акция 10'!$F:$F,'Акция 10'!$L:$L,0,0)</f>
        <v>0</v>
      </c>
      <c r="AS57" s="6">
        <f>(_xlfn.XLOOKUP($A57,'Акция 10'!$F:$F,'Акция 10'!$O:$O,0,0))%</f>
        <v>0</v>
      </c>
      <c r="AT57" s="13">
        <f t="shared" si="20"/>
        <v>0</v>
      </c>
      <c r="AU57" s="50">
        <f>_xlfn.XLOOKUP($A57,'Акция 11'!$F:$F,'Акция 11'!$L:$L,0,0)</f>
        <v>0</v>
      </c>
      <c r="AV57" s="6">
        <f>(_xlfn.XLOOKUP($A57,'Акция 11'!$F:$F,'Акция 11'!$O:$O,0,0))%</f>
        <v>0</v>
      </c>
      <c r="AW57" s="13">
        <f t="shared" si="21"/>
        <v>0</v>
      </c>
      <c r="AX57" s="50"/>
      <c r="AY57" s="6"/>
      <c r="AZ57" s="13"/>
      <c r="BA57" s="17">
        <f t="shared" si="22"/>
        <v>0</v>
      </c>
      <c r="BB57" s="38">
        <f t="shared" si="37"/>
        <v>0</v>
      </c>
      <c r="BC57" s="33">
        <f t="shared" si="38"/>
        <v>0</v>
      </c>
      <c r="BD57" s="5">
        <f t="shared" si="24"/>
        <v>0</v>
      </c>
      <c r="BE57" s="53">
        <f t="shared" si="25"/>
        <v>0</v>
      </c>
      <c r="BF57" s="54">
        <f>_xlfn.XLOOKUP(A57,[1]Юнит!$A:$A,[1]Юнит!$AU:$AU,0)</f>
        <v>0</v>
      </c>
      <c r="BG57" s="54">
        <f t="shared" si="26"/>
        <v>0</v>
      </c>
      <c r="BH57" s="5"/>
      <c r="BI57" s="78">
        <f t="shared" si="39"/>
        <v>0</v>
      </c>
      <c r="BJ57" s="85">
        <f t="shared" si="27"/>
        <v>0.3</v>
      </c>
      <c r="BK57" s="88">
        <f t="shared" si="30"/>
        <v>0</v>
      </c>
      <c r="BL57" s="79">
        <f t="shared" si="28"/>
        <v>0</v>
      </c>
      <c r="BM57" s="81" t="str">
        <f>_xlfn.XLOOKUP(A57,'Текущая цена на ВБ'!C:C,'Текущая цена на ВБ'!F:F)</f>
        <v/>
      </c>
      <c r="BN57" s="84" t="str">
        <f>_xlfn.XLOOKUP(A57,'Текущая цена на ВБ'!C:C,'Текущая цена на ВБ'!H:H)</f>
        <v/>
      </c>
    </row>
    <row r="58" spans="1:66" ht="24.95" customHeight="1" x14ac:dyDescent="0.25">
      <c r="A58" s="130">
        <f>[1]Юнит!A57</f>
        <v>550445283</v>
      </c>
      <c r="B58" s="130" t="str">
        <f>[1]Юнит!C57</f>
        <v>ACRF1KP102GN</v>
      </c>
      <c r="C58" s="131" t="str">
        <f>[1]Юнит!D57</f>
        <v>Капа зеленый/черный</v>
      </c>
      <c r="D58" s="132">
        <f>[1]Юнит!E57</f>
        <v>2046391283613</v>
      </c>
      <c r="E58" s="50">
        <v>602</v>
      </c>
      <c r="F58" s="6">
        <v>0.3</v>
      </c>
      <c r="G58" s="150" t="s">
        <v>327</v>
      </c>
      <c r="H58" s="54">
        <v>0</v>
      </c>
      <c r="I58" s="71">
        <f>_xlfn.XLOOKUP(D58,[1]Юнит!$E:$E,[1]Юнит!$AN:$AN)</f>
        <v>0</v>
      </c>
      <c r="J58" s="6">
        <f t="shared" si="9"/>
        <v>0.3</v>
      </c>
      <c r="K58" s="153">
        <f t="shared" si="32"/>
        <v>0</v>
      </c>
      <c r="L58" s="54" t="e">
        <f>_xlfn.XLOOKUP(D58,[1]Юнит!$E:$E,[1]Юнит!$AR:$AR)</f>
        <v>#DIV/0!</v>
      </c>
      <c r="M58" s="50">
        <f t="shared" si="33"/>
        <v>602</v>
      </c>
      <c r="N58" s="6">
        <f>_xlfn.XLOOKUP($A58,'Текущая цена на ВБ'!$C:$C,'Текущая цена на ВБ'!$K:$K,0,0)%</f>
        <v>0.3</v>
      </c>
      <c r="O58" s="150" t="str">
        <f>_xlfn.XLOOKUP($A58,'Текущая цена на ВБ'!$C:$C,'Текущая цена на ВБ'!$I:$I,0,0)</f>
        <v>860</v>
      </c>
      <c r="P58" s="54">
        <f>_xlfn.XLOOKUP($A58,[1]Юнит!$A:$A,[1]Юнит!$AJ:$AJ,0)</f>
        <v>0</v>
      </c>
      <c r="Q58" s="50">
        <f>_xlfn.XLOOKUP($A58,'Акция 1'!$F:$F,'Акция 1'!$L:$L,0,0)</f>
        <v>0</v>
      </c>
      <c r="R58" s="6">
        <f>(_xlfn.XLOOKUP($A58,'Акция 1'!$F:$F,'Акция 1'!$P:$P,0,0))%</f>
        <v>0</v>
      </c>
      <c r="S58" s="13">
        <f t="shared" si="34"/>
        <v>0</v>
      </c>
      <c r="T58" s="50">
        <f>_xlfn.XLOOKUP($A58,'Акция 2'!$F:$F,'Акция 2'!$L:$L,0,0)</f>
        <v>0</v>
      </c>
      <c r="U58" s="6">
        <f>(_xlfn.XLOOKUP($A58,'Акция 2'!$F:$F,'Акция 2'!$O:$O,0,0))%</f>
        <v>0</v>
      </c>
      <c r="V58" s="13">
        <f t="shared" si="35"/>
        <v>0</v>
      </c>
      <c r="W58" s="50">
        <f>_xlfn.XLOOKUP($A58,'Акция 3'!$F:$F,'Акция 3'!$L:$L,0,0)</f>
        <v>0</v>
      </c>
      <c r="X58" s="6">
        <f>(_xlfn.XLOOKUP($A58,'Акция 3'!$F:$F,'Акция 3'!$P:$P,0,0))%</f>
        <v>0</v>
      </c>
      <c r="Y58" s="13">
        <f t="shared" si="13"/>
        <v>0</v>
      </c>
      <c r="Z58" s="50">
        <f>_xlfn.XLOOKUP($A58,'Акция 4'!$F:$F,'Акция 4'!$L:$L,0,0)</f>
        <v>0</v>
      </c>
      <c r="AA58" s="6">
        <f>(_xlfn.XLOOKUP($A58,'Акция 4'!$F:$F,'Акция 4'!$P:$P,0,0))%</f>
        <v>0</v>
      </c>
      <c r="AB58" s="13">
        <f t="shared" si="36"/>
        <v>0</v>
      </c>
      <c r="AC58" s="50">
        <f>_xlfn.XLOOKUP($A58,'Акция 5'!$F:$F,'Акция 5'!$L:$L,0,0)</f>
        <v>0</v>
      </c>
      <c r="AD58" s="6">
        <f>(_xlfn.XLOOKUP($A58,'Акция 5'!$F:$F,'Акция 5'!O:O,0,0))%</f>
        <v>0</v>
      </c>
      <c r="AE58" s="13">
        <f t="shared" si="15"/>
        <v>0</v>
      </c>
      <c r="AF58" s="50">
        <f>_xlfn.XLOOKUP($A58,'Акция 6'!$F:$F,'Акция 6'!$L:$L,0,0)</f>
        <v>0</v>
      </c>
      <c r="AG58" s="6">
        <f>(_xlfn.XLOOKUP($A58,'Акция 6'!$F:$F,'Акция 6'!$O:$O,0,0))%</f>
        <v>0</v>
      </c>
      <c r="AH58" s="13">
        <f t="shared" si="16"/>
        <v>0</v>
      </c>
      <c r="AI58" s="50">
        <f>_xlfn.XLOOKUP($A58,'Акция 7'!$F:$F,'Акция 7'!$L:$L,0,0)</f>
        <v>0</v>
      </c>
      <c r="AJ58" s="6">
        <f>(_xlfn.XLOOKUP($A58,'Акция 7'!$F:$F,'Акция 7'!$O:$O,0,0))%</f>
        <v>0</v>
      </c>
      <c r="AK58" s="13">
        <f t="shared" si="17"/>
        <v>0</v>
      </c>
      <c r="AL58" s="50">
        <f>_xlfn.XLOOKUP($A58,'Акция 8'!$F:$F,'Акция 8'!$L:$L,0,0)</f>
        <v>0</v>
      </c>
      <c r="AM58" s="6">
        <f>(_xlfn.XLOOKUP($A58,'Акция 8'!$F:$F,'Акция 8'!$S:$S,0,0))%</f>
        <v>0</v>
      </c>
      <c r="AN58" s="13">
        <f t="shared" si="18"/>
        <v>0</v>
      </c>
      <c r="AO58" s="50">
        <f>_xlfn.XLOOKUP($A58,'Акция 9'!$F:$F,'Акция 9'!$L:$L,0,0)</f>
        <v>0</v>
      </c>
      <c r="AP58" s="6">
        <f>(_xlfn.XLOOKUP($A58,'Акция 9'!$F:$F,'Акция 9'!$O:$O,0,0))%</f>
        <v>0</v>
      </c>
      <c r="AQ58" s="13">
        <f t="shared" si="19"/>
        <v>0</v>
      </c>
      <c r="AR58" s="50">
        <f>_xlfn.XLOOKUP($A58,'Акция 10'!$F:$F,'Акция 10'!$L:$L,0,0)</f>
        <v>0</v>
      </c>
      <c r="AS58" s="6">
        <f>(_xlfn.XLOOKUP($A58,'Акция 10'!$F:$F,'Акция 10'!$O:$O,0,0))%</f>
        <v>0</v>
      </c>
      <c r="AT58" s="13">
        <f t="shared" si="20"/>
        <v>0</v>
      </c>
      <c r="AU58" s="50">
        <f>_xlfn.XLOOKUP($A58,'Акция 11'!$F:$F,'Акция 11'!$L:$L,0,0)</f>
        <v>0</v>
      </c>
      <c r="AV58" s="6">
        <f>(_xlfn.XLOOKUP($A58,'Акция 11'!$F:$F,'Акция 11'!$O:$O,0,0))%</f>
        <v>0</v>
      </c>
      <c r="AW58" s="13">
        <f t="shared" si="21"/>
        <v>0</v>
      </c>
      <c r="AX58" s="50"/>
      <c r="AY58" s="6"/>
      <c r="AZ58" s="13"/>
      <c r="BA58" s="17">
        <f t="shared" si="22"/>
        <v>0</v>
      </c>
      <c r="BB58" s="38">
        <f t="shared" si="37"/>
        <v>0</v>
      </c>
      <c r="BC58" s="33">
        <f t="shared" si="38"/>
        <v>0</v>
      </c>
      <c r="BD58" s="5">
        <f t="shared" si="24"/>
        <v>0</v>
      </c>
      <c r="BE58" s="53">
        <f t="shared" si="25"/>
        <v>0</v>
      </c>
      <c r="BF58" s="54">
        <f>_xlfn.XLOOKUP(A58,[1]Юнит!$A:$A,[1]Юнит!$AU:$AU,0)</f>
        <v>0</v>
      </c>
      <c r="BG58" s="54">
        <f t="shared" si="26"/>
        <v>0</v>
      </c>
      <c r="BH58" s="5"/>
      <c r="BI58" s="78">
        <f t="shared" si="39"/>
        <v>0</v>
      </c>
      <c r="BJ58" s="85">
        <f t="shared" si="27"/>
        <v>0.3</v>
      </c>
      <c r="BK58" s="88">
        <f t="shared" si="30"/>
        <v>0</v>
      </c>
      <c r="BL58" s="79">
        <f t="shared" si="28"/>
        <v>0</v>
      </c>
      <c r="BM58" s="81" t="str">
        <f>_xlfn.XLOOKUP(A58,'Текущая цена на ВБ'!C:C,'Текущая цена на ВБ'!F:F)</f>
        <v/>
      </c>
      <c r="BN58" s="84" t="str">
        <f>_xlfn.XLOOKUP(A58,'Текущая цена на ВБ'!C:C,'Текущая цена на ВБ'!H:H)</f>
        <v/>
      </c>
    </row>
    <row r="59" spans="1:66" ht="24.95" customHeight="1" x14ac:dyDescent="0.25">
      <c r="A59" s="130">
        <f>[1]Юнит!A58</f>
        <v>186826338</v>
      </c>
      <c r="B59" s="130" t="str">
        <f>[1]Юнит!C58</f>
        <v>ACRA7TB201BC</v>
      </c>
      <c r="C59" s="131" t="str">
        <f>[1]Юнит!D58</f>
        <v>Таблетница прям 7*2 черн</v>
      </c>
      <c r="D59" s="132">
        <f>[1]Юнит!E58</f>
        <v>2038891723249</v>
      </c>
      <c r="E59" s="50">
        <v>868</v>
      </c>
      <c r="F59" s="6">
        <v>0.4</v>
      </c>
      <c r="G59" s="150" t="s">
        <v>388</v>
      </c>
      <c r="H59" s="54">
        <v>0.21931833446303486</v>
      </c>
      <c r="I59" s="71">
        <f>_xlfn.XLOOKUP(D59,[1]Юнит!$E:$E,[1]Юнит!$AN:$AN)</f>
        <v>869</v>
      </c>
      <c r="J59" s="6">
        <f t="shared" si="9"/>
        <v>0.3</v>
      </c>
      <c r="K59" s="153">
        <f t="shared" si="32"/>
        <v>1241.4285714285716</v>
      </c>
      <c r="L59" s="54">
        <f>_xlfn.XLOOKUP(D59,[1]Юнит!$E:$E,[1]Юнит!$AR:$AR)</f>
        <v>0.21974365609670707</v>
      </c>
      <c r="M59" s="50">
        <f t="shared" si="33"/>
        <v>868</v>
      </c>
      <c r="N59" s="6">
        <f>_xlfn.XLOOKUP($A59,'Текущая цена на ВБ'!$C:$C,'Текущая цена на ВБ'!$K:$K,0,0)%</f>
        <v>0.4</v>
      </c>
      <c r="O59" s="150" t="str">
        <f>_xlfn.XLOOKUP($A59,'Текущая цена на ВБ'!$C:$C,'Текущая цена на ВБ'!$I:$I,0,0)</f>
        <v>1447</v>
      </c>
      <c r="P59" s="54">
        <f>_xlfn.XLOOKUP($A59,[1]Юнит!$A:$A,[1]Юнит!$AJ:$AJ,0)</f>
        <v>0.21908919275286617</v>
      </c>
      <c r="Q59" s="50">
        <f>_xlfn.XLOOKUP($A59,'Акция 1'!$F:$F,'Акция 1'!$L:$L,0,0)</f>
        <v>0</v>
      </c>
      <c r="R59" s="6">
        <f>(_xlfn.XLOOKUP($A59,'Акция 1'!$F:$F,'Акция 1'!$P:$P,0,0))%</f>
        <v>0</v>
      </c>
      <c r="S59" s="13">
        <f t="shared" si="34"/>
        <v>0</v>
      </c>
      <c r="T59" s="50">
        <f>_xlfn.XLOOKUP($A59,'Акция 2'!$F:$F,'Акция 2'!$L:$L,0,0)</f>
        <v>868</v>
      </c>
      <c r="U59" s="6">
        <f>(_xlfn.XLOOKUP($A59,'Акция 2'!$F:$F,'Акция 2'!$O:$O,0,0))%</f>
        <v>0.3</v>
      </c>
      <c r="V59" s="13">
        <f t="shared" si="35"/>
        <v>1240</v>
      </c>
      <c r="W59" s="50">
        <f>_xlfn.XLOOKUP($A59,'Акция 3'!$F:$F,'Акция 3'!$L:$L,0,0)</f>
        <v>638</v>
      </c>
      <c r="X59" s="6">
        <f>(_xlfn.XLOOKUP($A59,'Акция 3'!$F:$F,'Акция 3'!$P:$P,0,0))%</f>
        <v>0.49</v>
      </c>
      <c r="Y59" s="13">
        <f t="shared" si="13"/>
        <v>1250.9803921568628</v>
      </c>
      <c r="Z59" s="50">
        <f>_xlfn.XLOOKUP($A59,'Акция 4'!$F:$F,'Акция 4'!$L:$L,0,0)</f>
        <v>0</v>
      </c>
      <c r="AA59" s="6">
        <f>(_xlfn.XLOOKUP($A59,'Акция 4'!$F:$F,'Акция 4'!$P:$P,0,0))%</f>
        <v>0</v>
      </c>
      <c r="AB59" s="13">
        <f t="shared" si="36"/>
        <v>0</v>
      </c>
      <c r="AC59" s="50">
        <f>_xlfn.XLOOKUP($A59,'Акция 5'!$F:$F,'Акция 5'!$L:$L,0,0)</f>
        <v>0</v>
      </c>
      <c r="AD59" s="6">
        <f>(_xlfn.XLOOKUP($A59,'Акция 5'!$F:$F,'Акция 5'!O:O,0,0))%</f>
        <v>0</v>
      </c>
      <c r="AE59" s="13">
        <f t="shared" si="15"/>
        <v>0</v>
      </c>
      <c r="AF59" s="50">
        <f>_xlfn.XLOOKUP($A59,'Акция 6'!$F:$F,'Акция 6'!$L:$L,0,0)</f>
        <v>0</v>
      </c>
      <c r="AG59" s="6">
        <f>(_xlfn.XLOOKUP($A59,'Акция 6'!$F:$F,'Акция 6'!$O:$O,0,0))%</f>
        <v>0</v>
      </c>
      <c r="AH59" s="13">
        <f t="shared" si="16"/>
        <v>0</v>
      </c>
      <c r="AI59" s="50">
        <f>_xlfn.XLOOKUP($A59,'Акция 7'!$F:$F,'Акция 7'!$L:$L,0,0)</f>
        <v>0</v>
      </c>
      <c r="AJ59" s="6">
        <f>(_xlfn.XLOOKUP($A59,'Акция 7'!$F:$F,'Акция 7'!$O:$O,0,0))%</f>
        <v>0</v>
      </c>
      <c r="AK59" s="13">
        <f t="shared" si="17"/>
        <v>0</v>
      </c>
      <c r="AL59" s="50">
        <f>_xlfn.XLOOKUP($A59,'Акция 8'!$F:$F,'Акция 8'!$L:$L,0,0)</f>
        <v>0</v>
      </c>
      <c r="AM59" s="6">
        <f>(_xlfn.XLOOKUP($A59,'Акция 8'!$F:$F,'Акция 8'!$S:$S,0,0))%</f>
        <v>0</v>
      </c>
      <c r="AN59" s="13">
        <f t="shared" si="18"/>
        <v>0</v>
      </c>
      <c r="AO59" s="50">
        <f>_xlfn.XLOOKUP($A59,'Акция 9'!$F:$F,'Акция 9'!$L:$L,0,0)</f>
        <v>0</v>
      </c>
      <c r="AP59" s="6">
        <f>(_xlfn.XLOOKUP($A59,'Акция 9'!$F:$F,'Акция 9'!$O:$O,0,0))%</f>
        <v>0</v>
      </c>
      <c r="AQ59" s="13">
        <f t="shared" si="19"/>
        <v>0</v>
      </c>
      <c r="AR59" s="50">
        <f>_xlfn.XLOOKUP($A59,'Акция 10'!$F:$F,'Акция 10'!$L:$L,0,0)</f>
        <v>0</v>
      </c>
      <c r="AS59" s="6">
        <f>(_xlfn.XLOOKUP($A59,'Акция 10'!$F:$F,'Акция 10'!$O:$O,0,0))%</f>
        <v>0</v>
      </c>
      <c r="AT59" s="13">
        <f t="shared" si="20"/>
        <v>0</v>
      </c>
      <c r="AU59" s="50">
        <f>_xlfn.XLOOKUP($A59,'Акция 11'!$F:$F,'Акция 11'!$L:$L,0,0)</f>
        <v>0</v>
      </c>
      <c r="AV59" s="6">
        <f>(_xlfn.XLOOKUP($A59,'Акция 11'!$F:$F,'Акция 11'!$O:$O,0,0))%</f>
        <v>0</v>
      </c>
      <c r="AW59" s="13">
        <f t="shared" si="21"/>
        <v>0</v>
      </c>
      <c r="AX59" s="50"/>
      <c r="AY59" s="6"/>
      <c r="AZ59" s="13"/>
      <c r="BA59" s="17">
        <f t="shared" si="22"/>
        <v>868</v>
      </c>
      <c r="BB59" s="38">
        <f t="shared" si="37"/>
        <v>2</v>
      </c>
      <c r="BC59" s="33">
        <f t="shared" si="38"/>
        <v>868</v>
      </c>
      <c r="BD59" s="5">
        <f t="shared" si="24"/>
        <v>0.4</v>
      </c>
      <c r="BE59" s="53">
        <f t="shared" si="25"/>
        <v>1446.6666666666667</v>
      </c>
      <c r="BF59" s="54">
        <f>_xlfn.XLOOKUP(A59,[1]Юнит!$A:$A,[1]Юнит!$AU:$AU,0)</f>
        <v>0.21892538841939915</v>
      </c>
      <c r="BG59" s="54">
        <f t="shared" si="26"/>
        <v>0.21908919275286617</v>
      </c>
      <c r="BH59" s="5" t="s">
        <v>287</v>
      </c>
      <c r="BI59" s="78">
        <f t="shared" si="39"/>
        <v>1447</v>
      </c>
      <c r="BJ59" s="85">
        <f t="shared" si="27"/>
        <v>0.4</v>
      </c>
      <c r="BK59" s="88">
        <f t="shared" si="30"/>
        <v>868</v>
      </c>
      <c r="BL59" s="79">
        <f t="shared" si="28"/>
        <v>1</v>
      </c>
      <c r="BM59" s="81">
        <f>_xlfn.XLOOKUP(A59,'Текущая цена на ВБ'!C:C,'Текущая цена на ВБ'!F:F)</f>
        <v>457</v>
      </c>
      <c r="BN59" s="84">
        <f>_xlfn.XLOOKUP(A59,'Текущая цена на ВБ'!C:C,'Текущая цена на ВБ'!H:H)</f>
        <v>273</v>
      </c>
    </row>
    <row r="60" spans="1:66" ht="24.95" customHeight="1" x14ac:dyDescent="0.25">
      <c r="A60" s="130">
        <f>[1]Юнит!A59</f>
        <v>419130077</v>
      </c>
      <c r="B60" s="130" t="str">
        <f>[1]Юнит!C59</f>
        <v>ACRA7TB201CL</v>
      </c>
      <c r="C60" s="131" t="str">
        <f>[1]Юнит!D59</f>
        <v>Таблетница прям 7*2 черн/цветн</v>
      </c>
      <c r="D60" s="132">
        <f>[1]Юнит!E59</f>
        <v>2044025155923</v>
      </c>
      <c r="E60" s="50">
        <v>859</v>
      </c>
      <c r="F60" s="6">
        <v>0.4</v>
      </c>
      <c r="G60" s="150" t="s">
        <v>385</v>
      </c>
      <c r="H60" s="54">
        <v>0.21355193351322371</v>
      </c>
      <c r="I60" s="71">
        <f>_xlfn.XLOOKUP(D60,[1]Юнит!$E:$E,[1]Юнит!$AN:$AN)</f>
        <v>869</v>
      </c>
      <c r="J60" s="6">
        <f t="shared" si="9"/>
        <v>0.3</v>
      </c>
      <c r="K60" s="153">
        <f t="shared" si="32"/>
        <v>1241.4285714285716</v>
      </c>
      <c r="L60" s="54">
        <f>_xlfn.XLOOKUP(D60,[1]Юнит!$E:$E,[1]Юнит!$AR:$AR)</f>
        <v>0.22298324182743204</v>
      </c>
      <c r="M60" s="50">
        <f t="shared" si="33"/>
        <v>859</v>
      </c>
      <c r="N60" s="6">
        <f>_xlfn.XLOOKUP($A60,'Текущая цена на ВБ'!$C:$C,'Текущая цена на ВБ'!$K:$K,0,0)%</f>
        <v>0.4</v>
      </c>
      <c r="O60" s="150" t="str">
        <f>_xlfn.XLOOKUP($A60,'Текущая цена на ВБ'!$C:$C,'Текущая цена на ВБ'!$I:$I,0,0)</f>
        <v>1432</v>
      </c>
      <c r="P60" s="54">
        <f>_xlfn.XLOOKUP($A60,[1]Юнит!$A:$A,[1]Юнит!$AJ:$AJ,0)</f>
        <v>0.21491903764902048</v>
      </c>
      <c r="Q60" s="50">
        <f>_xlfn.XLOOKUP($A60,'Акция 1'!$F:$F,'Акция 1'!$L:$L,0,0)</f>
        <v>859</v>
      </c>
      <c r="R60" s="6">
        <f>(_xlfn.XLOOKUP($A60,'Акция 1'!$F:$F,'Акция 1'!$P:$P,0,0))%</f>
        <v>0.31</v>
      </c>
      <c r="S60" s="13">
        <f t="shared" si="34"/>
        <v>1244.9275362318842</v>
      </c>
      <c r="T60" s="50">
        <f>_xlfn.XLOOKUP($A60,'Акция 2'!$F:$F,'Акция 2'!$L:$L,0,0)</f>
        <v>0</v>
      </c>
      <c r="U60" s="6">
        <f>(_xlfn.XLOOKUP($A60,'Акция 2'!$F:$F,'Акция 2'!$O:$O,0,0))%</f>
        <v>0</v>
      </c>
      <c r="V60" s="13">
        <f t="shared" si="35"/>
        <v>0</v>
      </c>
      <c r="W60" s="50">
        <f>_xlfn.XLOOKUP($A60,'Акция 3'!$F:$F,'Акция 3'!$L:$L,0,0)</f>
        <v>680</v>
      </c>
      <c r="X60" s="6">
        <f>(_xlfn.XLOOKUP($A60,'Акция 3'!$F:$F,'Акция 3'!$P:$P,0,0))%</f>
        <v>0.46</v>
      </c>
      <c r="Y60" s="13">
        <f t="shared" si="13"/>
        <v>1259.2592592592591</v>
      </c>
      <c r="Z60" s="50">
        <f>_xlfn.XLOOKUP($A60,'Акция 4'!$F:$F,'Акция 4'!$L:$L,0,0)</f>
        <v>0</v>
      </c>
      <c r="AA60" s="6">
        <f>(_xlfn.XLOOKUP($A60,'Акция 4'!$F:$F,'Акция 4'!$P:$P,0,0))%</f>
        <v>0</v>
      </c>
      <c r="AB60" s="13">
        <f t="shared" si="36"/>
        <v>0</v>
      </c>
      <c r="AC60" s="50">
        <f>_xlfn.XLOOKUP($A60,'Акция 5'!$F:$F,'Акция 5'!$L:$L,0,0)</f>
        <v>0</v>
      </c>
      <c r="AD60" s="6">
        <f>(_xlfn.XLOOKUP($A60,'Акция 5'!$F:$F,'Акция 5'!O:O,0,0))%</f>
        <v>0</v>
      </c>
      <c r="AE60" s="13">
        <f t="shared" si="15"/>
        <v>0</v>
      </c>
      <c r="AF60" s="50">
        <f>_xlfn.XLOOKUP($A60,'Акция 6'!$F:$F,'Акция 6'!$L:$L,0,0)</f>
        <v>0</v>
      </c>
      <c r="AG60" s="6">
        <f>(_xlfn.XLOOKUP($A60,'Акция 6'!$F:$F,'Акция 6'!$O:$O,0,0))%</f>
        <v>0</v>
      </c>
      <c r="AH60" s="13">
        <f t="shared" si="16"/>
        <v>0</v>
      </c>
      <c r="AI60" s="50">
        <f>_xlfn.XLOOKUP($A60,'Акция 7'!$F:$F,'Акция 7'!$L:$L,0,0)</f>
        <v>0</v>
      </c>
      <c r="AJ60" s="6">
        <f>(_xlfn.XLOOKUP($A60,'Акция 7'!$F:$F,'Акция 7'!$O:$O,0,0))%</f>
        <v>0</v>
      </c>
      <c r="AK60" s="13">
        <f t="shared" si="17"/>
        <v>0</v>
      </c>
      <c r="AL60" s="50">
        <f>_xlfn.XLOOKUP($A60,'Акция 8'!$F:$F,'Акция 8'!$L:$L,0,0)</f>
        <v>0</v>
      </c>
      <c r="AM60" s="6">
        <f>(_xlfn.XLOOKUP($A60,'Акция 8'!$F:$F,'Акция 8'!$S:$S,0,0))%</f>
        <v>0</v>
      </c>
      <c r="AN60" s="13">
        <f t="shared" si="18"/>
        <v>0</v>
      </c>
      <c r="AO60" s="50">
        <f>_xlfn.XLOOKUP($A60,'Акция 9'!$F:$F,'Акция 9'!$L:$L,0,0)</f>
        <v>0</v>
      </c>
      <c r="AP60" s="6">
        <f>(_xlfn.XLOOKUP($A60,'Акция 9'!$F:$F,'Акция 9'!$O:$O,0,0))%</f>
        <v>0</v>
      </c>
      <c r="AQ60" s="13">
        <f t="shared" si="19"/>
        <v>0</v>
      </c>
      <c r="AR60" s="50">
        <f>_xlfn.XLOOKUP($A60,'Акция 10'!$F:$F,'Акция 10'!$L:$L,0,0)</f>
        <v>0</v>
      </c>
      <c r="AS60" s="6">
        <f>(_xlfn.XLOOKUP($A60,'Акция 10'!$F:$F,'Акция 10'!$O:$O,0,0))%</f>
        <v>0</v>
      </c>
      <c r="AT60" s="13">
        <f t="shared" si="20"/>
        <v>0</v>
      </c>
      <c r="AU60" s="50">
        <f>_xlfn.XLOOKUP($A60,'Акция 11'!$F:$F,'Акция 11'!$L:$L,0,0)</f>
        <v>0</v>
      </c>
      <c r="AV60" s="6">
        <f>(_xlfn.XLOOKUP($A60,'Акция 11'!$F:$F,'Акция 11'!$O:$O,0,0))%</f>
        <v>0</v>
      </c>
      <c r="AW60" s="13">
        <f t="shared" si="21"/>
        <v>0</v>
      </c>
      <c r="AX60" s="50"/>
      <c r="AY60" s="6"/>
      <c r="AZ60" s="13"/>
      <c r="BA60" s="17">
        <f t="shared" si="22"/>
        <v>859</v>
      </c>
      <c r="BB60" s="38">
        <f t="shared" si="37"/>
        <v>1</v>
      </c>
      <c r="BC60" s="33">
        <f t="shared" si="38"/>
        <v>859</v>
      </c>
      <c r="BD60" s="5">
        <f t="shared" si="24"/>
        <v>0.4</v>
      </c>
      <c r="BE60" s="53">
        <f t="shared" si="25"/>
        <v>1431.6666666666667</v>
      </c>
      <c r="BF60" s="54">
        <f>_xlfn.XLOOKUP(A60,[1]Юнит!$A:$A,[1]Юнит!$AU:$AU,0)</f>
        <v>0.21475254615604011</v>
      </c>
      <c r="BG60" s="54">
        <f t="shared" si="26"/>
        <v>0.21491903764902048</v>
      </c>
      <c r="BH60" s="5" t="s">
        <v>287</v>
      </c>
      <c r="BI60" s="78">
        <f t="shared" si="39"/>
        <v>1432</v>
      </c>
      <c r="BJ60" s="85">
        <f t="shared" si="27"/>
        <v>0.4</v>
      </c>
      <c r="BK60" s="88">
        <f t="shared" si="30"/>
        <v>859</v>
      </c>
      <c r="BL60" s="79">
        <f t="shared" si="28"/>
        <v>1</v>
      </c>
      <c r="BM60" s="81">
        <f>_xlfn.XLOOKUP(A60,'Текущая цена на ВБ'!C:C,'Текущая цена на ВБ'!F:F)</f>
        <v>266</v>
      </c>
      <c r="BN60" s="84">
        <f>_xlfn.XLOOKUP(A60,'Текущая цена на ВБ'!C:C,'Текущая цена на ВБ'!H:H)</f>
        <v>999</v>
      </c>
    </row>
    <row r="61" spans="1:66" ht="24.95" customHeight="1" x14ac:dyDescent="0.25">
      <c r="A61" s="130">
        <f>[1]Юнит!A60</f>
        <v>448248943</v>
      </c>
      <c r="B61" s="130" t="str">
        <f>[1]Юнит!C60</f>
        <v>ACRA7TB201WH</v>
      </c>
      <c r="C61" s="131" t="str">
        <f>[1]Юнит!D60</f>
        <v>Таблетница прям 7*2 бел/цветн</v>
      </c>
      <c r="D61" s="132">
        <f>[1]Юнит!E60</f>
        <v>2044516485386</v>
      </c>
      <c r="E61" s="50">
        <v>859</v>
      </c>
      <c r="F61" s="6">
        <v>0.4</v>
      </c>
      <c r="G61" s="150" t="s">
        <v>385</v>
      </c>
      <c r="H61" s="54">
        <v>0.21355193351322371</v>
      </c>
      <c r="I61" s="71">
        <f>_xlfn.XLOOKUP(D61,[1]Юнит!$E:$E,[1]Юнит!$AN:$AN)</f>
        <v>869</v>
      </c>
      <c r="J61" s="6">
        <f t="shared" si="9"/>
        <v>0.3</v>
      </c>
      <c r="K61" s="153">
        <f t="shared" si="32"/>
        <v>1241.4285714285716</v>
      </c>
      <c r="L61" s="54">
        <f>_xlfn.XLOOKUP(D61,[1]Юнит!$E:$E,[1]Юнит!$AR:$AR)</f>
        <v>0.22298324182743204</v>
      </c>
      <c r="M61" s="50">
        <f t="shared" si="33"/>
        <v>859</v>
      </c>
      <c r="N61" s="6">
        <f>_xlfn.XLOOKUP($A61,'Текущая цена на ВБ'!$C:$C,'Текущая цена на ВБ'!$K:$K,0,0)%</f>
        <v>0.4</v>
      </c>
      <c r="O61" s="150" t="str">
        <f>_xlfn.XLOOKUP($A61,'Текущая цена на ВБ'!$C:$C,'Текущая цена на ВБ'!$I:$I,0,0)</f>
        <v>1432</v>
      </c>
      <c r="P61" s="54">
        <f>_xlfn.XLOOKUP($A61,[1]Юнит!$A:$A,[1]Юнит!$AJ:$AJ,0)</f>
        <v>0.21491903764902048</v>
      </c>
      <c r="Q61" s="50">
        <f>_xlfn.XLOOKUP($A61,'Акция 1'!$F:$F,'Акция 1'!$L:$L,0,0)</f>
        <v>859</v>
      </c>
      <c r="R61" s="6">
        <f>(_xlfn.XLOOKUP($A61,'Акция 1'!$F:$F,'Акция 1'!$P:$P,0,0))%</f>
        <v>0.31</v>
      </c>
      <c r="S61" s="13">
        <f t="shared" si="34"/>
        <v>1244.9275362318842</v>
      </c>
      <c r="T61" s="50">
        <f>_xlfn.XLOOKUP($A61,'Акция 2'!$F:$F,'Акция 2'!$L:$L,0,0)</f>
        <v>0</v>
      </c>
      <c r="U61" s="6">
        <f>(_xlfn.XLOOKUP($A61,'Акция 2'!$F:$F,'Акция 2'!$O:$O,0,0))%</f>
        <v>0</v>
      </c>
      <c r="V61" s="13">
        <f t="shared" si="35"/>
        <v>0</v>
      </c>
      <c r="W61" s="50">
        <f>_xlfn.XLOOKUP($A61,'Акция 3'!$F:$F,'Акция 3'!$L:$L,0,0)</f>
        <v>673</v>
      </c>
      <c r="X61" s="6">
        <f>(_xlfn.XLOOKUP($A61,'Акция 3'!$F:$F,'Акция 3'!$P:$P,0,0))%</f>
        <v>0.46</v>
      </c>
      <c r="Y61" s="13">
        <f t="shared" si="13"/>
        <v>1246.2962962962963</v>
      </c>
      <c r="Z61" s="50">
        <f>_xlfn.XLOOKUP($A61,'Акция 4'!$F:$F,'Акция 4'!$L:$L,0,0)</f>
        <v>0</v>
      </c>
      <c r="AA61" s="6">
        <f>(_xlfn.XLOOKUP($A61,'Акция 4'!$F:$F,'Акция 4'!$P:$P,0,0))%</f>
        <v>0</v>
      </c>
      <c r="AB61" s="13">
        <f t="shared" si="36"/>
        <v>0</v>
      </c>
      <c r="AC61" s="50">
        <f>_xlfn.XLOOKUP($A61,'Акция 5'!$F:$F,'Акция 5'!$L:$L,0,0)</f>
        <v>0</v>
      </c>
      <c r="AD61" s="6">
        <f>(_xlfn.XLOOKUP($A61,'Акция 5'!$F:$F,'Акция 5'!O:O,0,0))%</f>
        <v>0</v>
      </c>
      <c r="AE61" s="13">
        <f t="shared" si="15"/>
        <v>0</v>
      </c>
      <c r="AF61" s="50">
        <f>_xlfn.XLOOKUP($A61,'Акция 6'!$F:$F,'Акция 6'!$L:$L,0,0)</f>
        <v>0</v>
      </c>
      <c r="AG61" s="6">
        <f>(_xlfn.XLOOKUP($A61,'Акция 6'!$F:$F,'Акция 6'!$O:$O,0,0))%</f>
        <v>0</v>
      </c>
      <c r="AH61" s="13">
        <f t="shared" si="16"/>
        <v>0</v>
      </c>
      <c r="AI61" s="50">
        <f>_xlfn.XLOOKUP($A61,'Акция 7'!$F:$F,'Акция 7'!$L:$L,0,0)</f>
        <v>0</v>
      </c>
      <c r="AJ61" s="6">
        <f>(_xlfn.XLOOKUP($A61,'Акция 7'!$F:$F,'Акция 7'!$O:$O,0,0))%</f>
        <v>0</v>
      </c>
      <c r="AK61" s="13">
        <f t="shared" si="17"/>
        <v>0</v>
      </c>
      <c r="AL61" s="50">
        <f>_xlfn.XLOOKUP($A61,'Акция 8'!$F:$F,'Акция 8'!$L:$L,0,0)</f>
        <v>0</v>
      </c>
      <c r="AM61" s="6">
        <f>(_xlfn.XLOOKUP($A61,'Акция 8'!$F:$F,'Акция 8'!$S:$S,0,0))%</f>
        <v>0</v>
      </c>
      <c r="AN61" s="13">
        <f t="shared" si="18"/>
        <v>0</v>
      </c>
      <c r="AO61" s="50">
        <f>_xlfn.XLOOKUP($A61,'Акция 9'!$F:$F,'Акция 9'!$L:$L,0,0)</f>
        <v>0</v>
      </c>
      <c r="AP61" s="6">
        <f>(_xlfn.XLOOKUP($A61,'Акция 9'!$F:$F,'Акция 9'!$O:$O,0,0))%</f>
        <v>0</v>
      </c>
      <c r="AQ61" s="13">
        <f t="shared" si="19"/>
        <v>0</v>
      </c>
      <c r="AR61" s="50">
        <f>_xlfn.XLOOKUP($A61,'Акция 10'!$F:$F,'Акция 10'!$L:$L,0,0)</f>
        <v>0</v>
      </c>
      <c r="AS61" s="6">
        <f>(_xlfn.XLOOKUP($A61,'Акция 10'!$F:$F,'Акция 10'!$O:$O,0,0))%</f>
        <v>0</v>
      </c>
      <c r="AT61" s="13">
        <f t="shared" si="20"/>
        <v>0</v>
      </c>
      <c r="AU61" s="50">
        <f>_xlfn.XLOOKUP($A61,'Акция 11'!$F:$F,'Акция 11'!$L:$L,0,0)</f>
        <v>0</v>
      </c>
      <c r="AV61" s="6">
        <f>(_xlfn.XLOOKUP($A61,'Акция 11'!$F:$F,'Акция 11'!$O:$O,0,0))%</f>
        <v>0</v>
      </c>
      <c r="AW61" s="13">
        <f t="shared" si="21"/>
        <v>0</v>
      </c>
      <c r="AX61" s="50"/>
      <c r="AY61" s="6"/>
      <c r="AZ61" s="13"/>
      <c r="BA61" s="17">
        <f t="shared" si="22"/>
        <v>859</v>
      </c>
      <c r="BB61" s="38">
        <f t="shared" si="37"/>
        <v>1</v>
      </c>
      <c r="BC61" s="33">
        <f t="shared" si="38"/>
        <v>859</v>
      </c>
      <c r="BD61" s="5">
        <f t="shared" si="24"/>
        <v>0.4</v>
      </c>
      <c r="BE61" s="53">
        <f t="shared" si="25"/>
        <v>1431.6666666666667</v>
      </c>
      <c r="BF61" s="54">
        <f>_xlfn.XLOOKUP(A61,[1]Юнит!$A:$A,[1]Юнит!$AU:$AU,0)</f>
        <v>0.21475254615604011</v>
      </c>
      <c r="BG61" s="54">
        <f t="shared" si="26"/>
        <v>0.21491903764902048</v>
      </c>
      <c r="BH61" s="5" t="s">
        <v>287</v>
      </c>
      <c r="BI61" s="78">
        <f t="shared" si="39"/>
        <v>1432</v>
      </c>
      <c r="BJ61" s="85">
        <f t="shared" si="27"/>
        <v>0.4</v>
      </c>
      <c r="BK61" s="88">
        <f t="shared" si="30"/>
        <v>859</v>
      </c>
      <c r="BL61" s="79">
        <f t="shared" si="28"/>
        <v>1</v>
      </c>
      <c r="BM61" s="81">
        <f>_xlfn.XLOOKUP(A61,'Текущая цена на ВБ'!C:C,'Текущая цена на ВБ'!F:F)</f>
        <v>221</v>
      </c>
      <c r="BN61" s="84">
        <f>_xlfn.XLOOKUP(A61,'Текущая цена на ВБ'!C:C,'Текущая цена на ВБ'!H:H)</f>
        <v>773</v>
      </c>
    </row>
    <row r="62" spans="1:66" ht="24.95" customHeight="1" x14ac:dyDescent="0.25">
      <c r="A62" s="130">
        <f>[1]Юнит!A61</f>
        <v>448254852</v>
      </c>
      <c r="B62" s="130" t="str">
        <f>[1]Юнит!C61</f>
        <v>ACRA7TB201LI</v>
      </c>
      <c r="C62" s="131" t="str">
        <f>[1]Юнит!D61</f>
        <v>Таблетница прям 7*2 сирен/цветн</v>
      </c>
      <c r="D62" s="132">
        <f>[1]Юнит!E61</f>
        <v>2044516498812</v>
      </c>
      <c r="E62" s="50">
        <v>859</v>
      </c>
      <c r="F62" s="6">
        <v>0.4</v>
      </c>
      <c r="G62" s="150" t="s">
        <v>385</v>
      </c>
      <c r="H62" s="54">
        <v>0.21355193351322371</v>
      </c>
      <c r="I62" s="71">
        <f>_xlfn.XLOOKUP(D62,[1]Юнит!$E:$E,[1]Юнит!$AN:$AN)</f>
        <v>869</v>
      </c>
      <c r="J62" s="6">
        <f t="shared" si="9"/>
        <v>0.3</v>
      </c>
      <c r="K62" s="153">
        <f t="shared" si="32"/>
        <v>1241.4285714285716</v>
      </c>
      <c r="L62" s="54">
        <f>_xlfn.XLOOKUP(D62,[1]Юнит!$E:$E,[1]Юнит!$AR:$AR)</f>
        <v>0.22298324182743204</v>
      </c>
      <c r="M62" s="50">
        <f t="shared" si="33"/>
        <v>859</v>
      </c>
      <c r="N62" s="6">
        <f>_xlfn.XLOOKUP($A62,'Текущая цена на ВБ'!$C:$C,'Текущая цена на ВБ'!$K:$K,0,0)%</f>
        <v>0.4</v>
      </c>
      <c r="O62" s="150" t="str">
        <f>_xlfn.XLOOKUP($A62,'Текущая цена на ВБ'!$C:$C,'Текущая цена на ВБ'!$I:$I,0,0)</f>
        <v>1432</v>
      </c>
      <c r="P62" s="54">
        <f>_xlfn.XLOOKUP($A62,[1]Юнит!$A:$A,[1]Юнит!$AJ:$AJ,0)</f>
        <v>0.21491903764902048</v>
      </c>
      <c r="Q62" s="50">
        <f>_xlfn.XLOOKUP($A62,'Акция 1'!$F:$F,'Акция 1'!$L:$L,0,0)</f>
        <v>859</v>
      </c>
      <c r="R62" s="6">
        <f>(_xlfn.XLOOKUP($A62,'Акция 1'!$F:$F,'Акция 1'!$P:$P,0,0))%</f>
        <v>0.31</v>
      </c>
      <c r="S62" s="13">
        <f t="shared" si="34"/>
        <v>1244.9275362318842</v>
      </c>
      <c r="T62" s="50">
        <f>_xlfn.XLOOKUP($A62,'Акция 2'!$F:$F,'Акция 2'!$L:$L,0,0)</f>
        <v>0</v>
      </c>
      <c r="U62" s="6">
        <f>(_xlfn.XLOOKUP($A62,'Акция 2'!$F:$F,'Акция 2'!$O:$O,0,0))%</f>
        <v>0</v>
      </c>
      <c r="V62" s="13">
        <f t="shared" si="35"/>
        <v>0</v>
      </c>
      <c r="W62" s="50">
        <f>_xlfn.XLOOKUP($A62,'Акция 3'!$F:$F,'Акция 3'!$L:$L,0,0)</f>
        <v>673</v>
      </c>
      <c r="X62" s="6">
        <f>(_xlfn.XLOOKUP($A62,'Акция 3'!$F:$F,'Акция 3'!$P:$P,0,0))%</f>
        <v>0.46</v>
      </c>
      <c r="Y62" s="13">
        <f t="shared" si="13"/>
        <v>1246.2962962962963</v>
      </c>
      <c r="Z62" s="50">
        <f>_xlfn.XLOOKUP($A62,'Акция 4'!$F:$F,'Акция 4'!$L:$L,0,0)</f>
        <v>0</v>
      </c>
      <c r="AA62" s="6">
        <f>(_xlfn.XLOOKUP($A62,'Акция 4'!$F:$F,'Акция 4'!$P:$P,0,0))%</f>
        <v>0</v>
      </c>
      <c r="AB62" s="13">
        <f t="shared" si="36"/>
        <v>0</v>
      </c>
      <c r="AC62" s="50">
        <f>_xlfn.XLOOKUP($A62,'Акция 5'!$F:$F,'Акция 5'!$L:$L,0,0)</f>
        <v>0</v>
      </c>
      <c r="AD62" s="6">
        <f>(_xlfn.XLOOKUP($A62,'Акция 5'!$F:$F,'Акция 5'!O:O,0,0))%</f>
        <v>0</v>
      </c>
      <c r="AE62" s="13">
        <f t="shared" si="15"/>
        <v>0</v>
      </c>
      <c r="AF62" s="50">
        <f>_xlfn.XLOOKUP($A62,'Акция 6'!$F:$F,'Акция 6'!$L:$L,0,0)</f>
        <v>0</v>
      </c>
      <c r="AG62" s="6">
        <f>(_xlfn.XLOOKUP($A62,'Акция 6'!$F:$F,'Акция 6'!$O:$O,0,0))%</f>
        <v>0</v>
      </c>
      <c r="AH62" s="13">
        <f t="shared" si="16"/>
        <v>0</v>
      </c>
      <c r="AI62" s="50">
        <f>_xlfn.XLOOKUP($A62,'Акция 7'!$F:$F,'Акция 7'!$L:$L,0,0)</f>
        <v>0</v>
      </c>
      <c r="AJ62" s="6">
        <f>(_xlfn.XLOOKUP($A62,'Акция 7'!$F:$F,'Акция 7'!$O:$O,0,0))%</f>
        <v>0</v>
      </c>
      <c r="AK62" s="13">
        <f t="shared" si="17"/>
        <v>0</v>
      </c>
      <c r="AL62" s="50">
        <f>_xlfn.XLOOKUP($A62,'Акция 8'!$F:$F,'Акция 8'!$L:$L,0,0)</f>
        <v>0</v>
      </c>
      <c r="AM62" s="6">
        <f>(_xlfn.XLOOKUP($A62,'Акция 8'!$F:$F,'Акция 8'!$S:$S,0,0))%</f>
        <v>0</v>
      </c>
      <c r="AN62" s="13">
        <f t="shared" si="18"/>
        <v>0</v>
      </c>
      <c r="AO62" s="50">
        <f>_xlfn.XLOOKUP($A62,'Акция 9'!$F:$F,'Акция 9'!$L:$L,0,0)</f>
        <v>0</v>
      </c>
      <c r="AP62" s="6">
        <f>(_xlfn.XLOOKUP($A62,'Акция 9'!$F:$F,'Акция 9'!$O:$O,0,0))%</f>
        <v>0</v>
      </c>
      <c r="AQ62" s="13">
        <f t="shared" si="19"/>
        <v>0</v>
      </c>
      <c r="AR62" s="50">
        <f>_xlfn.XLOOKUP($A62,'Акция 10'!$F:$F,'Акция 10'!$L:$L,0,0)</f>
        <v>0</v>
      </c>
      <c r="AS62" s="6">
        <f>(_xlfn.XLOOKUP($A62,'Акция 10'!$F:$F,'Акция 10'!$O:$O,0,0))%</f>
        <v>0</v>
      </c>
      <c r="AT62" s="13">
        <f t="shared" si="20"/>
        <v>0</v>
      </c>
      <c r="AU62" s="50">
        <f>_xlfn.XLOOKUP($A62,'Акция 11'!$F:$F,'Акция 11'!$L:$L,0,0)</f>
        <v>0</v>
      </c>
      <c r="AV62" s="6">
        <f>(_xlfn.XLOOKUP($A62,'Акция 11'!$F:$F,'Акция 11'!$O:$O,0,0))%</f>
        <v>0</v>
      </c>
      <c r="AW62" s="13">
        <f t="shared" si="21"/>
        <v>0</v>
      </c>
      <c r="AX62" s="50"/>
      <c r="AY62" s="6"/>
      <c r="AZ62" s="13"/>
      <c r="BA62" s="17">
        <f t="shared" si="22"/>
        <v>859</v>
      </c>
      <c r="BB62" s="38">
        <f t="shared" si="37"/>
        <v>1</v>
      </c>
      <c r="BC62" s="33">
        <f t="shared" si="38"/>
        <v>859</v>
      </c>
      <c r="BD62" s="5">
        <f t="shared" si="24"/>
        <v>0.4</v>
      </c>
      <c r="BE62" s="53">
        <f t="shared" si="25"/>
        <v>1431.6666666666667</v>
      </c>
      <c r="BF62" s="54">
        <f>_xlfn.XLOOKUP(A62,[1]Юнит!$A:$A,[1]Юнит!$AU:$AU,0)</f>
        <v>0.21475254615604011</v>
      </c>
      <c r="BG62" s="54">
        <f t="shared" si="26"/>
        <v>0.21491903764902048</v>
      </c>
      <c r="BH62" s="5" t="s">
        <v>287</v>
      </c>
      <c r="BI62" s="78">
        <f t="shared" si="39"/>
        <v>1432</v>
      </c>
      <c r="BJ62" s="85">
        <f t="shared" si="27"/>
        <v>0.4</v>
      </c>
      <c r="BK62" s="88">
        <f t="shared" si="30"/>
        <v>859</v>
      </c>
      <c r="BL62" s="79">
        <f t="shared" si="28"/>
        <v>1</v>
      </c>
      <c r="BM62" s="81">
        <f>_xlfn.XLOOKUP(A62,'Текущая цена на ВБ'!C:C,'Текущая цена на ВБ'!F:F)</f>
        <v>208</v>
      </c>
      <c r="BN62" s="84">
        <f>_xlfn.XLOOKUP(A62,'Текущая цена на ВБ'!C:C,'Текущая цена на ВБ'!H:H)</f>
        <v>627</v>
      </c>
    </row>
    <row r="63" spans="1:66" ht="24.95" customHeight="1" x14ac:dyDescent="0.25">
      <c r="A63" s="130">
        <f>[1]Юнит!A62</f>
        <v>186800214</v>
      </c>
      <c r="B63" s="130" t="str">
        <f>[1]Юнит!C62</f>
        <v>ACRA7TB101BC</v>
      </c>
      <c r="C63" s="131" t="str">
        <f>[1]Юнит!D62</f>
        <v>Таблетница круглая 7*2 черн</v>
      </c>
      <c r="D63" s="132">
        <f>[1]Юнит!E62</f>
        <v>2038890789598</v>
      </c>
      <c r="E63" s="50">
        <v>827</v>
      </c>
      <c r="F63" s="6">
        <v>0.4</v>
      </c>
      <c r="G63" s="150" t="s">
        <v>381</v>
      </c>
      <c r="H63" s="54">
        <v>-1.0253888452474569E-2</v>
      </c>
      <c r="I63" s="71">
        <f>_xlfn.XLOOKUP(D63,[1]Юнит!$E:$E,[1]Юнит!$AN:$AN)</f>
        <v>1299</v>
      </c>
      <c r="J63" s="6">
        <f t="shared" si="9"/>
        <v>0.3</v>
      </c>
      <c r="K63" s="153">
        <f t="shared" si="32"/>
        <v>1855.7142857142858</v>
      </c>
      <c r="L63" s="54">
        <f>_xlfn.XLOOKUP(D63,[1]Юнит!$E:$E,[1]Юнит!$AR:$AR)</f>
        <v>0.36196896073903007</v>
      </c>
      <c r="M63" s="50">
        <f t="shared" si="33"/>
        <v>827</v>
      </c>
      <c r="N63" s="6">
        <f>_xlfn.XLOOKUP($A63,'Текущая цена на ВБ'!$C:$C,'Текущая цена на ВБ'!$K:$K,0,0)%</f>
        <v>0.4</v>
      </c>
      <c r="O63" s="150" t="str">
        <f>_xlfn.XLOOKUP($A63,'Текущая цена на ВБ'!$C:$C,'Текущая цена на ВБ'!$I:$I,0,0)</f>
        <v>1378</v>
      </c>
      <c r="P63" s="54">
        <f>_xlfn.XLOOKUP($A63,[1]Юнит!$A:$A,[1]Юнит!$AJ:$AJ,0)</f>
        <v>3.7556458635703928E-2</v>
      </c>
      <c r="Q63" s="50">
        <f>_xlfn.XLOOKUP($A63,'Акция 1'!$F:$F,'Акция 1'!$L:$L,0,0)</f>
        <v>827</v>
      </c>
      <c r="R63" s="6">
        <f>(_xlfn.XLOOKUP($A63,'Акция 1'!$F:$F,'Акция 1'!$P:$P,0,0))%</f>
        <v>0.4</v>
      </c>
      <c r="S63" s="13">
        <f t="shared" si="34"/>
        <v>1378.3333333333335</v>
      </c>
      <c r="T63" s="50">
        <f>_xlfn.XLOOKUP($A63,'Акция 2'!$F:$F,'Акция 2'!$L:$L,0,0)</f>
        <v>0</v>
      </c>
      <c r="U63" s="6">
        <f>(_xlfn.XLOOKUP($A63,'Акция 2'!$F:$F,'Акция 2'!$O:$O,0,0))%</f>
        <v>0</v>
      </c>
      <c r="V63" s="13">
        <f t="shared" si="35"/>
        <v>0</v>
      </c>
      <c r="W63" s="50">
        <f>_xlfn.XLOOKUP($A63,'Акция 3'!$F:$F,'Акция 3'!$L:$L,0,0)</f>
        <v>696</v>
      </c>
      <c r="X63" s="6">
        <f>(_xlfn.XLOOKUP($A63,'Акция 3'!$F:$F,'Акция 3'!$P:$P,0,0))%</f>
        <v>0.46</v>
      </c>
      <c r="Y63" s="13">
        <f t="shared" si="13"/>
        <v>1288.8888888888889</v>
      </c>
      <c r="Z63" s="50">
        <f>_xlfn.XLOOKUP($A63,'Акция 4'!$F:$F,'Акция 4'!$L:$L,0,0)</f>
        <v>0</v>
      </c>
      <c r="AA63" s="6">
        <f>(_xlfn.XLOOKUP($A63,'Акция 4'!$F:$F,'Акция 4'!$P:$P,0,0))%</f>
        <v>0</v>
      </c>
      <c r="AB63" s="13">
        <f t="shared" si="36"/>
        <v>0</v>
      </c>
      <c r="AC63" s="50">
        <f>_xlfn.XLOOKUP($A63,'Акция 5'!$F:$F,'Акция 5'!$L:$L,0,0)</f>
        <v>0</v>
      </c>
      <c r="AD63" s="6">
        <f>(_xlfn.XLOOKUP($A63,'Акция 5'!$F:$F,'Акция 5'!O:O,0,0))%</f>
        <v>0</v>
      </c>
      <c r="AE63" s="13">
        <f t="shared" si="15"/>
        <v>0</v>
      </c>
      <c r="AF63" s="50">
        <f>_xlfn.XLOOKUP($A63,'Акция 6'!$F:$F,'Акция 6'!$L:$L,0,0)</f>
        <v>0</v>
      </c>
      <c r="AG63" s="6">
        <f>(_xlfn.XLOOKUP($A63,'Акция 6'!$F:$F,'Акция 6'!$O:$O,0,0))%</f>
        <v>0</v>
      </c>
      <c r="AH63" s="13">
        <f t="shared" si="16"/>
        <v>0</v>
      </c>
      <c r="AI63" s="50">
        <f>_xlfn.XLOOKUP($A63,'Акция 7'!$F:$F,'Акция 7'!$L:$L,0,0)</f>
        <v>0</v>
      </c>
      <c r="AJ63" s="6">
        <f>(_xlfn.XLOOKUP($A63,'Акция 7'!$F:$F,'Акция 7'!$O:$O,0,0))%</f>
        <v>0</v>
      </c>
      <c r="AK63" s="13">
        <f t="shared" si="17"/>
        <v>0</v>
      </c>
      <c r="AL63" s="50">
        <f>_xlfn.XLOOKUP($A63,'Акция 8'!$F:$F,'Акция 8'!$L:$L,0,0)</f>
        <v>0</v>
      </c>
      <c r="AM63" s="6">
        <f>(_xlfn.XLOOKUP($A63,'Акция 8'!$F:$F,'Акция 8'!$S:$S,0,0))%</f>
        <v>0</v>
      </c>
      <c r="AN63" s="13">
        <f t="shared" si="18"/>
        <v>0</v>
      </c>
      <c r="AO63" s="50">
        <f>_xlfn.XLOOKUP($A63,'Акция 9'!$F:$F,'Акция 9'!$L:$L,0,0)</f>
        <v>0</v>
      </c>
      <c r="AP63" s="6">
        <f>(_xlfn.XLOOKUP($A63,'Акция 9'!$F:$F,'Акция 9'!$O:$O,0,0))%</f>
        <v>0</v>
      </c>
      <c r="AQ63" s="13">
        <f t="shared" si="19"/>
        <v>0</v>
      </c>
      <c r="AR63" s="50">
        <f>_xlfn.XLOOKUP($A63,'Акция 10'!$F:$F,'Акция 10'!$L:$L,0,0)</f>
        <v>0</v>
      </c>
      <c r="AS63" s="6">
        <f>(_xlfn.XLOOKUP($A63,'Акция 10'!$F:$F,'Акция 10'!$O:$O,0,0))%</f>
        <v>0</v>
      </c>
      <c r="AT63" s="13">
        <f t="shared" si="20"/>
        <v>0</v>
      </c>
      <c r="AU63" s="50">
        <f>_xlfn.XLOOKUP($A63,'Акция 11'!$F:$F,'Акция 11'!$L:$L,0,0)</f>
        <v>0</v>
      </c>
      <c r="AV63" s="6">
        <f>(_xlfn.XLOOKUP($A63,'Акция 11'!$F:$F,'Акция 11'!$O:$O,0,0))%</f>
        <v>0</v>
      </c>
      <c r="AW63" s="13">
        <f t="shared" si="21"/>
        <v>0</v>
      </c>
      <c r="AX63" s="50"/>
      <c r="AY63" s="6"/>
      <c r="AZ63" s="13"/>
      <c r="BA63" s="17">
        <f t="shared" si="22"/>
        <v>827</v>
      </c>
      <c r="BB63" s="38">
        <f t="shared" si="37"/>
        <v>1</v>
      </c>
      <c r="BC63" s="33">
        <f t="shared" si="38"/>
        <v>827</v>
      </c>
      <c r="BD63" s="5">
        <f t="shared" si="24"/>
        <v>0.4</v>
      </c>
      <c r="BE63" s="53">
        <f t="shared" si="25"/>
        <v>1378.3333333333335</v>
      </c>
      <c r="BF63" s="54">
        <f>_xlfn.XLOOKUP(A63,[1]Юнит!$A:$A,[1]Юнит!$AU:$AU,0)</f>
        <v>3.7772285368802956E-2</v>
      </c>
      <c r="BG63" s="54">
        <f t="shared" si="26"/>
        <v>3.7556458635703928E-2</v>
      </c>
      <c r="BH63" s="5" t="s">
        <v>287</v>
      </c>
      <c r="BI63" s="78">
        <f t="shared" si="39"/>
        <v>1378</v>
      </c>
      <c r="BJ63" s="85">
        <f t="shared" si="27"/>
        <v>0.4</v>
      </c>
      <c r="BK63" s="88">
        <f t="shared" si="30"/>
        <v>827</v>
      </c>
      <c r="BL63" s="79">
        <f t="shared" si="28"/>
        <v>1</v>
      </c>
      <c r="BM63" s="81">
        <f>_xlfn.XLOOKUP(A63,'Текущая цена на ВБ'!C:C,'Текущая цена на ВБ'!F:F)</f>
        <v>180</v>
      </c>
      <c r="BN63" s="84">
        <f>_xlfn.XLOOKUP(A63,'Текущая цена на ВБ'!C:C,'Текущая цена на ВБ'!H:H)</f>
        <v>168</v>
      </c>
    </row>
    <row r="64" spans="1:66" ht="24.95" customHeight="1" x14ac:dyDescent="0.25">
      <c r="A64" s="130">
        <f>[1]Юнит!A63</f>
        <v>298193176</v>
      </c>
      <c r="B64" s="130" t="str">
        <f>[1]Юнит!C63</f>
        <v>ACRA7TB101CL</v>
      </c>
      <c r="C64" s="131" t="str">
        <f>[1]Юнит!D63</f>
        <v>Таблетница круглая 7*2 черн/цвет</v>
      </c>
      <c r="D64" s="132">
        <f>[1]Юнит!E63</f>
        <v>2042160422832</v>
      </c>
      <c r="E64" s="50">
        <v>791</v>
      </c>
      <c r="F64" s="6">
        <v>0.4</v>
      </c>
      <c r="G64" s="150" t="s">
        <v>360</v>
      </c>
      <c r="H64" s="54">
        <v>1.1169044006069835E-2</v>
      </c>
      <c r="I64" s="71">
        <f>_xlfn.XLOOKUP(D64,[1]Юнит!$E:$E,[1]Юнит!$AN:$AN)</f>
        <v>1299</v>
      </c>
      <c r="J64" s="6">
        <f t="shared" si="9"/>
        <v>0.3</v>
      </c>
      <c r="K64" s="153">
        <f t="shared" si="32"/>
        <v>1855.7142857142858</v>
      </c>
      <c r="L64" s="54">
        <f>_xlfn.XLOOKUP(D64,[1]Юнит!$E:$E,[1]Юнит!$AR:$AR)</f>
        <v>0.37063778290993077</v>
      </c>
      <c r="M64" s="50">
        <f t="shared" si="33"/>
        <v>791</v>
      </c>
      <c r="N64" s="6">
        <f>_xlfn.XLOOKUP($A64,'Текущая цена на ВБ'!$C:$C,'Текущая цена на ВБ'!$K:$K,0,0)%</f>
        <v>0.4</v>
      </c>
      <c r="O64" s="150" t="str">
        <f>_xlfn.XLOOKUP($A64,'Текущая цена на ВБ'!$C:$C,'Текущая цена на ВБ'!$I:$I,0,0)</f>
        <v>1318</v>
      </c>
      <c r="P64" s="54">
        <f>_xlfn.XLOOKUP($A64,[1]Юнит!$A:$A,[1]Юнит!$AJ:$AJ,0)</f>
        <v>1.1169044006069835E-2</v>
      </c>
      <c r="Q64" s="50">
        <f>_xlfn.XLOOKUP($A64,'Акция 1'!$F:$F,'Акция 1'!$L:$L,0,0)</f>
        <v>791</v>
      </c>
      <c r="R64" s="6">
        <f>(_xlfn.XLOOKUP($A64,'Акция 1'!$F:$F,'Акция 1'!$P:$P,0,0))%</f>
        <v>0.4</v>
      </c>
      <c r="S64" s="13">
        <f t="shared" si="34"/>
        <v>1318.3333333333335</v>
      </c>
      <c r="T64" s="50">
        <f>_xlfn.XLOOKUP($A64,'Акция 2'!$F:$F,'Акция 2'!$L:$L,0,0)</f>
        <v>0</v>
      </c>
      <c r="U64" s="6">
        <f>(_xlfn.XLOOKUP($A64,'Акция 2'!$F:$F,'Акция 2'!$O:$O,0,0))%</f>
        <v>0</v>
      </c>
      <c r="V64" s="13">
        <f t="shared" si="35"/>
        <v>0</v>
      </c>
      <c r="W64" s="50">
        <f>_xlfn.XLOOKUP($A64,'Акция 3'!$F:$F,'Акция 3'!$L:$L,0,0)</f>
        <v>791</v>
      </c>
      <c r="X64" s="6">
        <f>(_xlfn.XLOOKUP($A64,'Акция 3'!$F:$F,'Акция 3'!$P:$P,0,0))%</f>
        <v>0.4</v>
      </c>
      <c r="Y64" s="13">
        <f t="shared" si="13"/>
        <v>1318.3333333333335</v>
      </c>
      <c r="Z64" s="50">
        <f>_xlfn.XLOOKUP($A64,'Акция 4'!$F:$F,'Акция 4'!$L:$L,0,0)</f>
        <v>0</v>
      </c>
      <c r="AA64" s="6">
        <f>(_xlfn.XLOOKUP($A64,'Акция 4'!$F:$F,'Акция 4'!$P:$P,0,0))%</f>
        <v>0</v>
      </c>
      <c r="AB64" s="13">
        <f t="shared" si="36"/>
        <v>0</v>
      </c>
      <c r="AC64" s="50">
        <f>_xlfn.XLOOKUP($A64,'Акция 5'!$F:$F,'Акция 5'!$L:$L,0,0)</f>
        <v>0</v>
      </c>
      <c r="AD64" s="6">
        <f>(_xlfn.XLOOKUP($A64,'Акция 5'!$F:$F,'Акция 5'!O:O,0,0))%</f>
        <v>0</v>
      </c>
      <c r="AE64" s="13">
        <f t="shared" si="15"/>
        <v>0</v>
      </c>
      <c r="AF64" s="50">
        <f>_xlfn.XLOOKUP($A64,'Акция 6'!$F:$F,'Акция 6'!$L:$L,0,0)</f>
        <v>0</v>
      </c>
      <c r="AG64" s="6">
        <f>(_xlfn.XLOOKUP($A64,'Акция 6'!$F:$F,'Акция 6'!$O:$O,0,0))%</f>
        <v>0</v>
      </c>
      <c r="AH64" s="13">
        <f t="shared" si="16"/>
        <v>0</v>
      </c>
      <c r="AI64" s="50">
        <f>_xlfn.XLOOKUP($A64,'Акция 7'!$F:$F,'Акция 7'!$L:$L,0,0)</f>
        <v>0</v>
      </c>
      <c r="AJ64" s="6">
        <f>(_xlfn.XLOOKUP($A64,'Акция 7'!$F:$F,'Акция 7'!$O:$O,0,0))%</f>
        <v>0</v>
      </c>
      <c r="AK64" s="13">
        <f t="shared" si="17"/>
        <v>0</v>
      </c>
      <c r="AL64" s="50">
        <f>_xlfn.XLOOKUP($A64,'Акция 8'!$F:$F,'Акция 8'!$L:$L,0,0)</f>
        <v>0</v>
      </c>
      <c r="AM64" s="6">
        <f>(_xlfn.XLOOKUP($A64,'Акция 8'!$F:$F,'Акция 8'!$S:$S,0,0))%</f>
        <v>0</v>
      </c>
      <c r="AN64" s="13">
        <f t="shared" si="18"/>
        <v>0</v>
      </c>
      <c r="AO64" s="50">
        <f>_xlfn.XLOOKUP($A64,'Акция 9'!$F:$F,'Акция 9'!$L:$L,0,0)</f>
        <v>0</v>
      </c>
      <c r="AP64" s="6">
        <f>(_xlfn.XLOOKUP($A64,'Акция 9'!$F:$F,'Акция 9'!$O:$O,0,0))%</f>
        <v>0</v>
      </c>
      <c r="AQ64" s="13">
        <f t="shared" si="19"/>
        <v>0</v>
      </c>
      <c r="AR64" s="50">
        <f>_xlfn.XLOOKUP($A64,'Акция 10'!$F:$F,'Акция 10'!$L:$L,0,0)</f>
        <v>0</v>
      </c>
      <c r="AS64" s="6">
        <f>(_xlfn.XLOOKUP($A64,'Акция 10'!$F:$F,'Акция 10'!$O:$O,0,0))%</f>
        <v>0</v>
      </c>
      <c r="AT64" s="13">
        <f t="shared" si="20"/>
        <v>0</v>
      </c>
      <c r="AU64" s="50">
        <f>_xlfn.XLOOKUP($A64,'Акция 11'!$F:$F,'Акция 11'!$L:$L,0,0)</f>
        <v>0</v>
      </c>
      <c r="AV64" s="6">
        <f>(_xlfn.XLOOKUP($A64,'Акция 11'!$F:$F,'Акция 11'!$O:$O,0,0))%</f>
        <v>0</v>
      </c>
      <c r="AW64" s="13">
        <f t="shared" si="21"/>
        <v>0</v>
      </c>
      <c r="AX64" s="50"/>
      <c r="AY64" s="6"/>
      <c r="AZ64" s="13"/>
      <c r="BA64" s="17">
        <f t="shared" si="22"/>
        <v>791</v>
      </c>
      <c r="BB64" s="38">
        <f t="shared" si="37"/>
        <v>1</v>
      </c>
      <c r="BC64" s="33">
        <f t="shared" si="38"/>
        <v>791</v>
      </c>
      <c r="BD64" s="5">
        <f t="shared" si="24"/>
        <v>0.4</v>
      </c>
      <c r="BE64" s="53">
        <f t="shared" si="25"/>
        <v>1318.3333333333335</v>
      </c>
      <c r="BF64" s="54">
        <f>_xlfn.XLOOKUP(A64,[1]Юнит!$A:$A,[1]Юнит!$AU:$AU,0)</f>
        <v>1.1401365360303499E-2</v>
      </c>
      <c r="BG64" s="54">
        <f t="shared" si="26"/>
        <v>1.1169044006069835E-2</v>
      </c>
      <c r="BH64" s="5" t="s">
        <v>287</v>
      </c>
      <c r="BI64" s="78">
        <f t="shared" si="39"/>
        <v>1318</v>
      </c>
      <c r="BJ64" s="85">
        <f t="shared" si="27"/>
        <v>0.4</v>
      </c>
      <c r="BK64" s="88">
        <f t="shared" si="30"/>
        <v>791</v>
      </c>
      <c r="BL64" s="79">
        <f t="shared" si="28"/>
        <v>1</v>
      </c>
      <c r="BM64" s="81">
        <f>_xlfn.XLOOKUP(A64,'Текущая цена на ВБ'!C:C,'Текущая цена на ВБ'!F:F)</f>
        <v>157</v>
      </c>
      <c r="BN64" s="84">
        <f>_xlfn.XLOOKUP(A64,'Текущая цена на ВБ'!C:C,'Текущая цена на ВБ'!H:H)</f>
        <v>259</v>
      </c>
    </row>
    <row r="65" spans="1:66" ht="24.95" customHeight="1" x14ac:dyDescent="0.25">
      <c r="A65" s="130">
        <f>[1]Юнит!A64</f>
        <v>278515093</v>
      </c>
      <c r="B65" s="130" t="str">
        <f>[1]Юнит!C64</f>
        <v>ACRA7TB301GR</v>
      </c>
      <c r="C65" s="131" t="str">
        <f>[1]Юнит!D64</f>
        <v>Таблетница круглая 7*2 сер</v>
      </c>
      <c r="D65" s="132">
        <f>[1]Юнит!E64</f>
        <v>2041680530447</v>
      </c>
      <c r="E65" s="50">
        <v>873</v>
      </c>
      <c r="F65" s="6">
        <v>0.4</v>
      </c>
      <c r="G65" s="150" t="s">
        <v>411</v>
      </c>
      <c r="H65" s="54">
        <v>0.20179848028117556</v>
      </c>
      <c r="I65" s="71">
        <f>_xlfn.XLOOKUP(D65,[1]Юнит!$E:$E,[1]Юнит!$AN:$AN)</f>
        <v>979</v>
      </c>
      <c r="J65" s="6">
        <f t="shared" si="9"/>
        <v>0.3</v>
      </c>
      <c r="K65" s="153">
        <f t="shared" si="32"/>
        <v>1398.5714285714287</v>
      </c>
      <c r="L65" s="54">
        <f>_xlfn.XLOOKUP(D65,[1]Юнит!$E:$E,[1]Юнит!$AR:$AR)</f>
        <v>0.28302822249876008</v>
      </c>
      <c r="M65" s="50">
        <f t="shared" si="33"/>
        <v>873</v>
      </c>
      <c r="N65" s="6">
        <f>_xlfn.XLOOKUP($A65,'Текущая цена на ВБ'!$C:$C,'Текущая цена на ВБ'!$K:$K,0,0)%</f>
        <v>0.4</v>
      </c>
      <c r="O65" s="150" t="str">
        <f>_xlfn.XLOOKUP($A65,'Текущая цена на ВБ'!$C:$C,'Текущая цена на ВБ'!$I:$I,0,0)</f>
        <v>1455</v>
      </c>
      <c r="P65" s="54">
        <f>_xlfn.XLOOKUP($A65,[1]Юнит!$A:$A,[1]Юнит!$AJ:$AJ,0)</f>
        <v>0.20447265730387867</v>
      </c>
      <c r="Q65" s="50">
        <f>_xlfn.XLOOKUP($A65,'Акция 1'!$F:$F,'Акция 1'!$L:$L,0,0)</f>
        <v>873</v>
      </c>
      <c r="R65" s="6">
        <f>(_xlfn.XLOOKUP($A65,'Акция 1'!$F:$F,'Акция 1'!$P:$P,0,0))%</f>
        <v>0.38</v>
      </c>
      <c r="S65" s="13">
        <f t="shared" si="34"/>
        <v>1408.0645161290322</v>
      </c>
      <c r="T65" s="50">
        <f>_xlfn.XLOOKUP($A65,'Акция 2'!$F:$F,'Акция 2'!$L:$L,0,0)</f>
        <v>0</v>
      </c>
      <c r="U65" s="6">
        <f>(_xlfn.XLOOKUP($A65,'Акция 2'!$F:$F,'Акция 2'!$O:$O,0,0))%</f>
        <v>0</v>
      </c>
      <c r="V65" s="13">
        <f t="shared" si="35"/>
        <v>0</v>
      </c>
      <c r="W65" s="50">
        <f>_xlfn.XLOOKUP($A65,'Акция 3'!$F:$F,'Акция 3'!$L:$L,0,0)</f>
        <v>664</v>
      </c>
      <c r="X65" s="6">
        <f>(_xlfn.XLOOKUP($A65,'Акция 3'!$F:$F,'Акция 3'!$P:$P,0,0))%</f>
        <v>0.53</v>
      </c>
      <c r="Y65" s="13">
        <f t="shared" si="13"/>
        <v>1412.7659574468087</v>
      </c>
      <c r="Z65" s="50">
        <f>_xlfn.XLOOKUP($A65,'Акция 4'!$F:$F,'Акция 4'!$L:$L,0,0)</f>
        <v>0</v>
      </c>
      <c r="AA65" s="6">
        <f>(_xlfn.XLOOKUP($A65,'Акция 4'!$F:$F,'Акция 4'!$P:$P,0,0))%</f>
        <v>0</v>
      </c>
      <c r="AB65" s="13">
        <f t="shared" si="36"/>
        <v>0</v>
      </c>
      <c r="AC65" s="50">
        <f>_xlfn.XLOOKUP($A65,'Акция 5'!$F:$F,'Акция 5'!$L:$L,0,0)</f>
        <v>0</v>
      </c>
      <c r="AD65" s="6">
        <f>(_xlfn.XLOOKUP($A65,'Акция 5'!$F:$F,'Акция 5'!O:O,0,0))%</f>
        <v>0</v>
      </c>
      <c r="AE65" s="13">
        <f t="shared" si="15"/>
        <v>0</v>
      </c>
      <c r="AF65" s="50">
        <f>_xlfn.XLOOKUP($A65,'Акция 6'!$F:$F,'Акция 6'!$L:$L,0,0)</f>
        <v>0</v>
      </c>
      <c r="AG65" s="6">
        <f>(_xlfn.XLOOKUP($A65,'Акция 6'!$F:$F,'Акция 6'!$O:$O,0,0))%</f>
        <v>0</v>
      </c>
      <c r="AH65" s="13">
        <f t="shared" si="16"/>
        <v>0</v>
      </c>
      <c r="AI65" s="50">
        <f>_xlfn.XLOOKUP($A65,'Акция 7'!$F:$F,'Акция 7'!$L:$L,0,0)</f>
        <v>0</v>
      </c>
      <c r="AJ65" s="6">
        <f>(_xlfn.XLOOKUP($A65,'Акция 7'!$F:$F,'Акция 7'!$O:$O,0,0))%</f>
        <v>0</v>
      </c>
      <c r="AK65" s="13">
        <f t="shared" si="17"/>
        <v>0</v>
      </c>
      <c r="AL65" s="50">
        <f>_xlfn.XLOOKUP($A65,'Акция 8'!$F:$F,'Акция 8'!$L:$L,0,0)</f>
        <v>0</v>
      </c>
      <c r="AM65" s="6">
        <f>(_xlfn.XLOOKUP($A65,'Акция 8'!$F:$F,'Акция 8'!$S:$S,0,0))%</f>
        <v>0</v>
      </c>
      <c r="AN65" s="13">
        <f t="shared" si="18"/>
        <v>0</v>
      </c>
      <c r="AO65" s="50">
        <f>_xlfn.XLOOKUP($A65,'Акция 9'!$F:$F,'Акция 9'!$L:$L,0,0)</f>
        <v>0</v>
      </c>
      <c r="AP65" s="6">
        <f>(_xlfn.XLOOKUP($A65,'Акция 9'!$F:$F,'Акция 9'!$O:$O,0,0))%</f>
        <v>0</v>
      </c>
      <c r="AQ65" s="13">
        <f t="shared" si="19"/>
        <v>0</v>
      </c>
      <c r="AR65" s="50">
        <f>_xlfn.XLOOKUP($A65,'Акция 10'!$F:$F,'Акция 10'!$L:$L,0,0)</f>
        <v>0</v>
      </c>
      <c r="AS65" s="6">
        <f>(_xlfn.XLOOKUP($A65,'Акция 10'!$F:$F,'Акция 10'!$O:$O,0,0))%</f>
        <v>0</v>
      </c>
      <c r="AT65" s="13">
        <f t="shared" si="20"/>
        <v>0</v>
      </c>
      <c r="AU65" s="50">
        <f>_xlfn.XLOOKUP($A65,'Акция 11'!$F:$F,'Акция 11'!$L:$L,0,0)</f>
        <v>0</v>
      </c>
      <c r="AV65" s="6">
        <f>(_xlfn.XLOOKUP($A65,'Акция 11'!$F:$F,'Акция 11'!$O:$O,0,0))%</f>
        <v>0</v>
      </c>
      <c r="AW65" s="13">
        <f t="shared" si="21"/>
        <v>0</v>
      </c>
      <c r="AX65" s="50"/>
      <c r="AY65" s="6"/>
      <c r="AZ65" s="13"/>
      <c r="BA65" s="17">
        <f t="shared" si="22"/>
        <v>873</v>
      </c>
      <c r="BB65" s="38">
        <f t="shared" si="37"/>
        <v>1</v>
      </c>
      <c r="BC65" s="33">
        <f t="shared" si="38"/>
        <v>873</v>
      </c>
      <c r="BD65" s="5">
        <f t="shared" si="24"/>
        <v>0.4</v>
      </c>
      <c r="BE65" s="53">
        <f t="shared" si="25"/>
        <v>1455</v>
      </c>
      <c r="BF65" s="54">
        <f>_xlfn.XLOOKUP(A65,[1]Юнит!$A:$A,[1]Юнит!$AU:$AU,0)</f>
        <v>0.20447265730387867</v>
      </c>
      <c r="BG65" s="54">
        <f t="shared" si="26"/>
        <v>0.20447265730387867</v>
      </c>
      <c r="BH65" s="5" t="s">
        <v>287</v>
      </c>
      <c r="BI65" s="78">
        <f t="shared" si="39"/>
        <v>1455</v>
      </c>
      <c r="BJ65" s="85">
        <f t="shared" si="27"/>
        <v>0.4</v>
      </c>
      <c r="BK65" s="88">
        <f t="shared" si="30"/>
        <v>873</v>
      </c>
      <c r="BL65" s="79">
        <f t="shared" si="28"/>
        <v>1</v>
      </c>
      <c r="BM65" s="81">
        <f>_xlfn.XLOOKUP(A65,'Текущая цена на ВБ'!C:C,'Текущая цена на ВБ'!F:F)</f>
        <v>337</v>
      </c>
      <c r="BN65" s="84">
        <f>_xlfn.XLOOKUP(A65,'Текущая цена на ВБ'!C:C,'Текущая цена на ВБ'!H:H)</f>
        <v>999</v>
      </c>
    </row>
    <row r="66" spans="1:66" ht="24.95" customHeight="1" x14ac:dyDescent="0.25">
      <c r="A66" s="162">
        <f>[1]Юнит!A65</f>
        <v>345168494</v>
      </c>
      <c r="B66" s="162" t="str">
        <f>[1]Юнит!C65</f>
        <v>ACRA7TB301CL</v>
      </c>
      <c r="C66" s="163" t="str">
        <f>[1]Юнит!D65</f>
        <v>Таблетница круглая 7*2 сер /цвет</v>
      </c>
      <c r="D66" s="164">
        <f>[1]Юнит!E65</f>
        <v>2043048226719</v>
      </c>
      <c r="E66" s="50">
        <v>969</v>
      </c>
      <c r="F66" s="6">
        <v>0.4</v>
      </c>
      <c r="G66" s="150" t="s">
        <v>410</v>
      </c>
      <c r="H66" s="54">
        <v>0.24394066344105619</v>
      </c>
      <c r="I66" s="71">
        <f>_xlfn.XLOOKUP(D66,[1]Юнит!$E:$E,[1]Юнит!$AN:$AN)</f>
        <v>979</v>
      </c>
      <c r="J66" s="6">
        <f t="shared" si="9"/>
        <v>0.3</v>
      </c>
      <c r="K66" s="153">
        <f t="shared" si="32"/>
        <v>1398.5714285714287</v>
      </c>
      <c r="L66" s="54">
        <f>_xlfn.XLOOKUP(D66,[1]Юнит!$E:$E,[1]Юнит!$AR:$AR)</f>
        <v>0.25235529093594078</v>
      </c>
      <c r="M66" s="50">
        <f t="shared" si="33"/>
        <v>969</v>
      </c>
      <c r="N66" s="6">
        <f>_xlfn.XLOOKUP($A66,'Текущая цена на ВБ'!$C:$C,'Текущая цена на ВБ'!$K:$K,0,0)%</f>
        <v>0.4</v>
      </c>
      <c r="O66" s="150" t="str">
        <f>_xlfn.XLOOKUP($A66,'Текущая цена на ВБ'!$C:$C,'Текущая цена на ВБ'!$I:$I,0,0)</f>
        <v>1615</v>
      </c>
      <c r="P66" s="54">
        <f>_xlfn.XLOOKUP($A66,[1]Юнит!$A:$A,[1]Юнит!$AJ:$AJ,0)</f>
        <v>0.24536205348429932</v>
      </c>
      <c r="Q66" s="50">
        <f>_xlfn.XLOOKUP($A66,'Акция 1'!$F:$F,'Акция 1'!$L:$L,0,0)</f>
        <v>969</v>
      </c>
      <c r="R66" s="6">
        <f>(_xlfn.XLOOKUP($A66,'Акция 1'!$F:$F,'Акция 1'!$P:$P,0,0))%</f>
        <v>0.31</v>
      </c>
      <c r="S66" s="13">
        <f t="shared" si="34"/>
        <v>1404.3478260869567</v>
      </c>
      <c r="T66" s="50">
        <f>_xlfn.XLOOKUP($A66,'Акция 2'!$F:$F,'Акция 2'!$L:$L,0,0)</f>
        <v>0</v>
      </c>
      <c r="U66" s="6">
        <f>(_xlfn.XLOOKUP($A66,'Акция 2'!$F:$F,'Акция 2'!$O:$O,0,0))%</f>
        <v>0</v>
      </c>
      <c r="V66" s="13">
        <f t="shared" si="35"/>
        <v>0</v>
      </c>
      <c r="W66" s="50">
        <f>_xlfn.XLOOKUP($A66,'Акция 3'!$F:$F,'Акция 3'!$L:$L,0,0)</f>
        <v>719</v>
      </c>
      <c r="X66" s="6">
        <f>(_xlfn.XLOOKUP($A66,'Акция 3'!$F:$F,'Акция 3'!$P:$P,0,0))%</f>
        <v>0.49</v>
      </c>
      <c r="Y66" s="13">
        <f t="shared" si="13"/>
        <v>1409.8039215686274</v>
      </c>
      <c r="Z66" s="50">
        <f>_xlfn.XLOOKUP($A66,'Акция 4'!$F:$F,'Акция 4'!$L:$L,0,0)</f>
        <v>0</v>
      </c>
      <c r="AA66" s="6">
        <f>(_xlfn.XLOOKUP($A66,'Акция 4'!$F:$F,'Акция 4'!$P:$P,0,0))%</f>
        <v>0</v>
      </c>
      <c r="AB66" s="13">
        <f t="shared" si="36"/>
        <v>0</v>
      </c>
      <c r="AC66" s="50">
        <f>_xlfn.XLOOKUP($A66,'Акция 5'!$F:$F,'Акция 5'!$L:$L,0,0)</f>
        <v>0</v>
      </c>
      <c r="AD66" s="6">
        <f>(_xlfn.XLOOKUP($A66,'Акция 5'!$F:$F,'Акция 5'!O:O,0,0))%</f>
        <v>0</v>
      </c>
      <c r="AE66" s="13">
        <f t="shared" si="15"/>
        <v>0</v>
      </c>
      <c r="AF66" s="50">
        <f>_xlfn.XLOOKUP($A66,'Акция 6'!$F:$F,'Акция 6'!$L:$L,0,0)</f>
        <v>0</v>
      </c>
      <c r="AG66" s="6">
        <f>(_xlfn.XLOOKUP($A66,'Акция 6'!$F:$F,'Акция 6'!$O:$O,0,0))%</f>
        <v>0</v>
      </c>
      <c r="AH66" s="13">
        <f t="shared" si="16"/>
        <v>0</v>
      </c>
      <c r="AI66" s="50">
        <f>_xlfn.XLOOKUP($A66,'Акция 7'!$F:$F,'Акция 7'!$L:$L,0,0)</f>
        <v>0</v>
      </c>
      <c r="AJ66" s="6">
        <f>(_xlfn.XLOOKUP($A66,'Акция 7'!$F:$F,'Акция 7'!$O:$O,0,0))%</f>
        <v>0</v>
      </c>
      <c r="AK66" s="13">
        <f t="shared" si="17"/>
        <v>0</v>
      </c>
      <c r="AL66" s="50">
        <f>_xlfn.XLOOKUP($A66,'Акция 8'!$F:$F,'Акция 8'!$L:$L,0,0)</f>
        <v>0</v>
      </c>
      <c r="AM66" s="6">
        <f>(_xlfn.XLOOKUP($A66,'Акция 8'!$F:$F,'Акция 8'!$S:$S,0,0))%</f>
        <v>0</v>
      </c>
      <c r="AN66" s="13">
        <f t="shared" si="18"/>
        <v>0</v>
      </c>
      <c r="AO66" s="50">
        <f>_xlfn.XLOOKUP($A66,'Акция 9'!$F:$F,'Акция 9'!$L:$L,0,0)</f>
        <v>0</v>
      </c>
      <c r="AP66" s="6">
        <f>(_xlfn.XLOOKUP($A66,'Акция 9'!$F:$F,'Акция 9'!$O:$O,0,0))%</f>
        <v>0</v>
      </c>
      <c r="AQ66" s="13">
        <f t="shared" si="19"/>
        <v>0</v>
      </c>
      <c r="AR66" s="50">
        <f>_xlfn.XLOOKUP($A66,'Акция 10'!$F:$F,'Акция 10'!$L:$L,0,0)</f>
        <v>0</v>
      </c>
      <c r="AS66" s="6">
        <f>(_xlfn.XLOOKUP($A66,'Акция 10'!$F:$F,'Акция 10'!$O:$O,0,0))%</f>
        <v>0</v>
      </c>
      <c r="AT66" s="13">
        <f t="shared" si="20"/>
        <v>0</v>
      </c>
      <c r="AU66" s="50">
        <f>_xlfn.XLOOKUP($A66,'Акция 11'!$F:$F,'Акция 11'!$L:$L,0,0)</f>
        <v>0</v>
      </c>
      <c r="AV66" s="6">
        <f>(_xlfn.XLOOKUP($A66,'Акция 11'!$F:$F,'Акция 11'!$O:$O,0,0))%</f>
        <v>0</v>
      </c>
      <c r="AW66" s="13">
        <f t="shared" si="21"/>
        <v>0</v>
      </c>
      <c r="AX66" s="50"/>
      <c r="AY66" s="6"/>
      <c r="AZ66" s="13"/>
      <c r="BA66" s="17">
        <f t="shared" si="22"/>
        <v>969</v>
      </c>
      <c r="BB66" s="38">
        <f t="shared" si="37"/>
        <v>1</v>
      </c>
      <c r="BC66" s="33">
        <f t="shared" si="38"/>
        <v>969</v>
      </c>
      <c r="BD66" s="5">
        <f t="shared" si="24"/>
        <v>0.4</v>
      </c>
      <c r="BE66" s="53">
        <f t="shared" si="25"/>
        <v>1615</v>
      </c>
      <c r="BF66" s="54">
        <f>_xlfn.XLOOKUP(A66,[1]Юнит!$A:$A,[1]Юнит!$AU:$AU,0)</f>
        <v>0.24536205348429932</v>
      </c>
      <c r="BG66" s="54">
        <f t="shared" si="26"/>
        <v>0.24536205348429932</v>
      </c>
      <c r="BH66" s="5" t="s">
        <v>287</v>
      </c>
      <c r="BI66" s="78">
        <f t="shared" si="39"/>
        <v>1615</v>
      </c>
      <c r="BJ66" s="85">
        <f t="shared" si="27"/>
        <v>0.4</v>
      </c>
      <c r="BK66" s="88">
        <f t="shared" si="30"/>
        <v>969</v>
      </c>
      <c r="BL66" s="79">
        <f t="shared" si="28"/>
        <v>1</v>
      </c>
      <c r="BM66" s="81">
        <f>_xlfn.XLOOKUP(A66,'Текущая цена на ВБ'!C:C,'Текущая цена на ВБ'!F:F)</f>
        <v>196</v>
      </c>
      <c r="BN66" s="84">
        <f>_xlfn.XLOOKUP(A66,'Текущая цена на ВБ'!C:C,'Текущая цена на ВБ'!H:H)</f>
        <v>587</v>
      </c>
    </row>
    <row r="67" spans="1:66" ht="24.95" customHeight="1" x14ac:dyDescent="0.25">
      <c r="A67" s="162">
        <f>[1]Юнит!A66</f>
        <v>273516556</v>
      </c>
      <c r="B67" s="162" t="str">
        <f>[1]Юнит!C66</f>
        <v>ACRA7TB301WH</v>
      </c>
      <c r="C67" s="163" t="str">
        <f>[1]Юнит!D66</f>
        <v>Таблетница круглая 7*2 бел</v>
      </c>
      <c r="D67" s="164">
        <f>[1]Юнит!E66</f>
        <v>2041532808502</v>
      </c>
      <c r="E67" s="50">
        <v>969</v>
      </c>
      <c r="F67" s="6">
        <v>0.4</v>
      </c>
      <c r="G67" s="150" t="s">
        <v>410</v>
      </c>
      <c r="H67" s="54">
        <v>0.24394066344105619</v>
      </c>
      <c r="I67" s="71">
        <f>_xlfn.XLOOKUP(D67,[1]Юнит!$E:$E,[1]Юнит!$AN:$AN)</f>
        <v>979</v>
      </c>
      <c r="J67" s="6">
        <f t="shared" si="9"/>
        <v>0.3</v>
      </c>
      <c r="K67" s="153">
        <f t="shared" si="32"/>
        <v>1398.5714285714287</v>
      </c>
      <c r="L67" s="54">
        <f>_xlfn.XLOOKUP(D67,[1]Юнит!$E:$E,[1]Юнит!$AR:$AR)</f>
        <v>0.25235529093594078</v>
      </c>
      <c r="M67" s="50">
        <f t="shared" si="33"/>
        <v>969</v>
      </c>
      <c r="N67" s="6">
        <f>_xlfn.XLOOKUP($A67,'Текущая цена на ВБ'!$C:$C,'Текущая цена на ВБ'!$K:$K,0,0)%</f>
        <v>0.4</v>
      </c>
      <c r="O67" s="150" t="str">
        <f>_xlfn.XLOOKUP($A67,'Текущая цена на ВБ'!$C:$C,'Текущая цена на ВБ'!$I:$I,0,0)</f>
        <v>1615</v>
      </c>
      <c r="P67" s="54">
        <f>_xlfn.XLOOKUP($A67,[1]Юнит!$A:$A,[1]Юнит!$AJ:$AJ,0)</f>
        <v>0.24536205348429932</v>
      </c>
      <c r="Q67" s="50">
        <f>_xlfn.XLOOKUP($A67,'Акция 1'!$F:$F,'Акция 1'!$L:$L,0,0)</f>
        <v>969</v>
      </c>
      <c r="R67" s="6">
        <f>(_xlfn.XLOOKUP($A67,'Акция 1'!$F:$F,'Акция 1'!$P:$P,0,0))%</f>
        <v>0.31</v>
      </c>
      <c r="S67" s="13">
        <f t="shared" si="34"/>
        <v>1404.3478260869567</v>
      </c>
      <c r="T67" s="50">
        <f>_xlfn.XLOOKUP($A67,'Акция 2'!$F:$F,'Акция 2'!$L:$L,0,0)</f>
        <v>0</v>
      </c>
      <c r="U67" s="6">
        <f>(_xlfn.XLOOKUP($A67,'Акция 2'!$F:$F,'Акция 2'!$O:$O,0,0))%</f>
        <v>0</v>
      </c>
      <c r="V67" s="13">
        <f t="shared" si="35"/>
        <v>0</v>
      </c>
      <c r="W67" s="50">
        <f>_xlfn.XLOOKUP($A67,'Акция 3'!$F:$F,'Акция 3'!$L:$L,0,0)</f>
        <v>747</v>
      </c>
      <c r="X67" s="6">
        <f>(_xlfn.XLOOKUP($A67,'Акция 3'!$F:$F,'Акция 3'!$P:$P,0,0))%</f>
        <v>0.47</v>
      </c>
      <c r="Y67" s="13">
        <f t="shared" si="13"/>
        <v>1409.433962264151</v>
      </c>
      <c r="Z67" s="50">
        <f>_xlfn.XLOOKUP($A67,'Акция 4'!$F:$F,'Акция 4'!$L:$L,0,0)</f>
        <v>0</v>
      </c>
      <c r="AA67" s="6">
        <f>(_xlfn.XLOOKUP($A67,'Акция 4'!$F:$F,'Акция 4'!$P:$P,0,0))%</f>
        <v>0</v>
      </c>
      <c r="AB67" s="13">
        <f t="shared" si="36"/>
        <v>0</v>
      </c>
      <c r="AC67" s="50">
        <f>_xlfn.XLOOKUP($A67,'Акция 5'!$F:$F,'Акция 5'!$L:$L,0,0)</f>
        <v>0</v>
      </c>
      <c r="AD67" s="6">
        <f>(_xlfn.XLOOKUP($A67,'Акция 5'!$F:$F,'Акция 5'!O:O,0,0))%</f>
        <v>0</v>
      </c>
      <c r="AE67" s="13">
        <f t="shared" si="15"/>
        <v>0</v>
      </c>
      <c r="AF67" s="50">
        <f>_xlfn.XLOOKUP($A67,'Акция 6'!$F:$F,'Акция 6'!$L:$L,0,0)</f>
        <v>0</v>
      </c>
      <c r="AG67" s="6">
        <f>(_xlfn.XLOOKUP($A67,'Акция 6'!$F:$F,'Акция 6'!$O:$O,0,0))%</f>
        <v>0</v>
      </c>
      <c r="AH67" s="13">
        <f t="shared" si="16"/>
        <v>0</v>
      </c>
      <c r="AI67" s="50">
        <f>_xlfn.XLOOKUP($A67,'Акция 7'!$F:$F,'Акция 7'!$L:$L,0,0)</f>
        <v>0</v>
      </c>
      <c r="AJ67" s="6">
        <f>(_xlfn.XLOOKUP($A67,'Акция 7'!$F:$F,'Акция 7'!$O:$O,0,0))%</f>
        <v>0</v>
      </c>
      <c r="AK67" s="13">
        <f t="shared" si="17"/>
        <v>0</v>
      </c>
      <c r="AL67" s="50">
        <f>_xlfn.XLOOKUP($A67,'Акция 8'!$F:$F,'Акция 8'!$L:$L,0,0)</f>
        <v>0</v>
      </c>
      <c r="AM67" s="6">
        <f>(_xlfn.XLOOKUP($A67,'Акция 8'!$F:$F,'Акция 8'!$S:$S,0,0))%</f>
        <v>0</v>
      </c>
      <c r="AN67" s="13">
        <f t="shared" si="18"/>
        <v>0</v>
      </c>
      <c r="AO67" s="50">
        <f>_xlfn.XLOOKUP($A67,'Акция 9'!$F:$F,'Акция 9'!$L:$L,0,0)</f>
        <v>0</v>
      </c>
      <c r="AP67" s="6">
        <f>(_xlfn.XLOOKUP($A67,'Акция 9'!$F:$F,'Акция 9'!$O:$O,0,0))%</f>
        <v>0</v>
      </c>
      <c r="AQ67" s="13">
        <f t="shared" si="19"/>
        <v>0</v>
      </c>
      <c r="AR67" s="50">
        <f>_xlfn.XLOOKUP($A67,'Акция 10'!$F:$F,'Акция 10'!$L:$L,0,0)</f>
        <v>0</v>
      </c>
      <c r="AS67" s="6">
        <f>(_xlfn.XLOOKUP($A67,'Акция 10'!$F:$F,'Акция 10'!$O:$O,0,0))%</f>
        <v>0</v>
      </c>
      <c r="AT67" s="13">
        <f t="shared" si="20"/>
        <v>0</v>
      </c>
      <c r="AU67" s="50">
        <f>_xlfn.XLOOKUP($A67,'Акция 11'!$F:$F,'Акция 11'!$L:$L,0,0)</f>
        <v>0</v>
      </c>
      <c r="AV67" s="6">
        <f>(_xlfn.XLOOKUP($A67,'Акция 11'!$F:$F,'Акция 11'!$O:$O,0,0))%</f>
        <v>0</v>
      </c>
      <c r="AW67" s="13">
        <f t="shared" si="21"/>
        <v>0</v>
      </c>
      <c r="AX67" s="50"/>
      <c r="AY67" s="6"/>
      <c r="AZ67" s="13"/>
      <c r="BA67" s="17">
        <f t="shared" si="22"/>
        <v>969</v>
      </c>
      <c r="BB67" s="38">
        <f t="shared" si="37"/>
        <v>1</v>
      </c>
      <c r="BC67" s="33">
        <f t="shared" si="38"/>
        <v>969</v>
      </c>
      <c r="BD67" s="5">
        <f t="shared" si="24"/>
        <v>0.4</v>
      </c>
      <c r="BE67" s="53">
        <f t="shared" si="25"/>
        <v>1615</v>
      </c>
      <c r="BF67" s="54">
        <f>_xlfn.XLOOKUP(A67,[1]Юнит!$A:$A,[1]Юнит!$AU:$AU,0)</f>
        <v>0.24536205348429932</v>
      </c>
      <c r="BG67" s="54">
        <f t="shared" si="26"/>
        <v>0.24536205348429932</v>
      </c>
      <c r="BH67" s="5" t="s">
        <v>287</v>
      </c>
      <c r="BI67" s="78">
        <f t="shared" si="39"/>
        <v>1615</v>
      </c>
      <c r="BJ67" s="85">
        <f t="shared" si="27"/>
        <v>0.4</v>
      </c>
      <c r="BK67" s="88">
        <f t="shared" si="30"/>
        <v>969</v>
      </c>
      <c r="BL67" s="79">
        <f t="shared" si="28"/>
        <v>1</v>
      </c>
      <c r="BM67" s="81">
        <f>_xlfn.XLOOKUP(A67,'Текущая цена на ВБ'!C:C,'Текущая цена на ВБ'!F:F)</f>
        <v>112</v>
      </c>
      <c r="BN67" s="84">
        <f>_xlfn.XLOOKUP(A67,'Текущая цена на ВБ'!C:C,'Текущая цена на ВБ'!H:H)</f>
        <v>338</v>
      </c>
    </row>
    <row r="68" spans="1:66" ht="24.95" customHeight="1" x14ac:dyDescent="0.25">
      <c r="A68" s="162">
        <f>[1]Юнит!A67</f>
        <v>321907864</v>
      </c>
      <c r="B68" s="162" t="str">
        <f>[1]Юнит!C67</f>
        <v>ACRA7TB401BC</v>
      </c>
      <c r="C68" s="163" t="str">
        <f>[1]Юнит!D67</f>
        <v>Таблетница автомат 7*2 черн</v>
      </c>
      <c r="D68" s="164">
        <f>[1]Юнит!E67</f>
        <v>2042676873814</v>
      </c>
      <c r="E68" s="50">
        <v>1499</v>
      </c>
      <c r="F68" s="6">
        <v>0.3</v>
      </c>
      <c r="G68" s="150" t="s">
        <v>330</v>
      </c>
      <c r="H68" s="54">
        <v>0.223378688196437</v>
      </c>
      <c r="I68" s="71">
        <f>_xlfn.XLOOKUP(D68,[1]Юнит!$E:$E,[1]Юнит!$AN:$AN)</f>
        <v>0</v>
      </c>
      <c r="J68" s="6">
        <f t="shared" si="9"/>
        <v>0.3</v>
      </c>
      <c r="K68" s="153">
        <f t="shared" si="32"/>
        <v>0</v>
      </c>
      <c r="L68" s="54" t="e">
        <f>_xlfn.XLOOKUP(D68,[1]Юнит!$E:$E,[1]Юнит!$AR:$AR)</f>
        <v>#DIV/0!</v>
      </c>
      <c r="M68" s="50">
        <f t="shared" si="33"/>
        <v>1499</v>
      </c>
      <c r="N68" s="6">
        <f>_xlfn.XLOOKUP($A68,'Текущая цена на ВБ'!$C:$C,'Текущая цена на ВБ'!$K:$K,0,0)%</f>
        <v>0.3</v>
      </c>
      <c r="O68" s="150" t="str">
        <f>_xlfn.XLOOKUP($A68,'Текущая цена на ВБ'!$C:$C,'Текущая цена на ВБ'!$I:$I,0,0)</f>
        <v>2141</v>
      </c>
      <c r="P68" s="54">
        <f>_xlfn.XLOOKUP($A68,[1]Юнит!$A:$A,[1]Юнит!$AJ:$AJ,0)</f>
        <v>0.223378688196437</v>
      </c>
      <c r="Q68" s="50">
        <f>_xlfn.XLOOKUP($A68,'Акция 1'!$F:$F,'Акция 1'!$L:$L,0,0)</f>
        <v>0</v>
      </c>
      <c r="R68" s="6">
        <f>(_xlfn.XLOOKUP($A68,'Акция 1'!$F:$F,'Акция 1'!$P:$P,0,0))%</f>
        <v>0</v>
      </c>
      <c r="S68" s="13">
        <f t="shared" si="34"/>
        <v>0</v>
      </c>
      <c r="T68" s="50">
        <f>_xlfn.XLOOKUP($A68,'Акция 2'!$F:$F,'Акция 2'!$L:$L,0,0)</f>
        <v>0</v>
      </c>
      <c r="U68" s="6">
        <f>(_xlfn.XLOOKUP($A68,'Акция 2'!$F:$F,'Акция 2'!$O:$O,0,0))%</f>
        <v>0</v>
      </c>
      <c r="V68" s="13">
        <f t="shared" si="35"/>
        <v>0</v>
      </c>
      <c r="W68" s="50">
        <f>_xlfn.XLOOKUP($A68,'Акция 3'!$F:$F,'Акция 3'!$L:$L,0,0)</f>
        <v>0</v>
      </c>
      <c r="X68" s="6">
        <f>(_xlfn.XLOOKUP($A68,'Акция 3'!$F:$F,'Акция 3'!$P:$P,0,0))%</f>
        <v>0</v>
      </c>
      <c r="Y68" s="13">
        <f t="shared" si="13"/>
        <v>0</v>
      </c>
      <c r="Z68" s="50">
        <f>_xlfn.XLOOKUP($A68,'Акция 4'!$F:$F,'Акция 4'!$L:$L,0,0)</f>
        <v>0</v>
      </c>
      <c r="AA68" s="6">
        <f>(_xlfn.XLOOKUP($A68,'Акция 4'!$F:$F,'Акция 4'!$P:$P,0,0))%</f>
        <v>0</v>
      </c>
      <c r="AB68" s="13">
        <f t="shared" si="36"/>
        <v>0</v>
      </c>
      <c r="AC68" s="50">
        <f>_xlfn.XLOOKUP($A68,'Акция 5'!$F:$F,'Акция 5'!$L:$L,0,0)</f>
        <v>0</v>
      </c>
      <c r="AD68" s="6">
        <f>(_xlfn.XLOOKUP($A68,'Акция 5'!$F:$F,'Акция 5'!O:O,0,0))%</f>
        <v>0</v>
      </c>
      <c r="AE68" s="13">
        <f t="shared" si="15"/>
        <v>0</v>
      </c>
      <c r="AF68" s="50">
        <f>_xlfn.XLOOKUP($A68,'Акция 6'!$F:$F,'Акция 6'!$L:$L,0,0)</f>
        <v>0</v>
      </c>
      <c r="AG68" s="6">
        <f>(_xlfn.XLOOKUP($A68,'Акция 6'!$F:$F,'Акция 6'!$O:$O,0,0))%</f>
        <v>0</v>
      </c>
      <c r="AH68" s="13">
        <f t="shared" si="16"/>
        <v>0</v>
      </c>
      <c r="AI68" s="50">
        <f>_xlfn.XLOOKUP($A68,'Акция 7'!$F:$F,'Акция 7'!$L:$L,0,0)</f>
        <v>0</v>
      </c>
      <c r="AJ68" s="6">
        <f>(_xlfn.XLOOKUP($A68,'Акция 7'!$F:$F,'Акция 7'!$O:$O,0,0))%</f>
        <v>0</v>
      </c>
      <c r="AK68" s="13">
        <f t="shared" si="17"/>
        <v>0</v>
      </c>
      <c r="AL68" s="50">
        <f>_xlfn.XLOOKUP($A68,'Акция 8'!$F:$F,'Акция 8'!$L:$L,0,0)</f>
        <v>0</v>
      </c>
      <c r="AM68" s="6">
        <f>(_xlfn.XLOOKUP($A68,'Акция 8'!$F:$F,'Акция 8'!$S:$S,0,0))%</f>
        <v>0</v>
      </c>
      <c r="AN68" s="13">
        <f t="shared" si="18"/>
        <v>0</v>
      </c>
      <c r="AO68" s="50">
        <f>_xlfn.XLOOKUP($A68,'Акция 9'!$F:$F,'Акция 9'!$L:$L,0,0)</f>
        <v>0</v>
      </c>
      <c r="AP68" s="6">
        <f>(_xlfn.XLOOKUP($A68,'Акция 9'!$F:$F,'Акция 9'!$O:$O,0,0))%</f>
        <v>0</v>
      </c>
      <c r="AQ68" s="13">
        <f t="shared" si="19"/>
        <v>0</v>
      </c>
      <c r="AR68" s="50">
        <f>_xlfn.XLOOKUP($A68,'Акция 10'!$F:$F,'Акция 10'!$L:$L,0,0)</f>
        <v>0</v>
      </c>
      <c r="AS68" s="6">
        <f>(_xlfn.XLOOKUP($A68,'Акция 10'!$F:$F,'Акция 10'!$O:$O,0,0))%</f>
        <v>0</v>
      </c>
      <c r="AT68" s="13">
        <f t="shared" si="20"/>
        <v>0</v>
      </c>
      <c r="AU68" s="50">
        <f>_xlfn.XLOOKUP($A68,'Акция 11'!$F:$F,'Акция 11'!$L:$L,0,0)</f>
        <v>0</v>
      </c>
      <c r="AV68" s="6">
        <f>(_xlfn.XLOOKUP($A68,'Акция 11'!$F:$F,'Акция 11'!$O:$O,0,0))%</f>
        <v>0</v>
      </c>
      <c r="AW68" s="13">
        <f t="shared" si="21"/>
        <v>0</v>
      </c>
      <c r="AX68" s="50"/>
      <c r="AY68" s="6"/>
      <c r="AZ68" s="13"/>
      <c r="BA68" s="17">
        <f t="shared" si="22"/>
        <v>0</v>
      </c>
      <c r="BB68" s="38">
        <f t="shared" si="37"/>
        <v>0</v>
      </c>
      <c r="BC68" s="33">
        <f t="shared" si="38"/>
        <v>0</v>
      </c>
      <c r="BD68" s="5">
        <f t="shared" si="24"/>
        <v>0</v>
      </c>
      <c r="BE68" s="53">
        <f t="shared" si="25"/>
        <v>0</v>
      </c>
      <c r="BF68" s="54">
        <f>_xlfn.XLOOKUP(A68,[1]Юнит!$A:$A,[1]Юнит!$AU:$AU,0)</f>
        <v>0</v>
      </c>
      <c r="BG68" s="54">
        <f t="shared" si="26"/>
        <v>0.223378688196437</v>
      </c>
      <c r="BH68" s="5"/>
      <c r="BI68" s="78">
        <f t="shared" si="39"/>
        <v>0</v>
      </c>
      <c r="BJ68" s="85">
        <f t="shared" si="27"/>
        <v>0.3</v>
      </c>
      <c r="BK68" s="88">
        <f t="shared" si="30"/>
        <v>0</v>
      </c>
      <c r="BL68" s="79">
        <f t="shared" si="28"/>
        <v>0</v>
      </c>
      <c r="BM68" s="81">
        <f>_xlfn.XLOOKUP(A68,'Текущая цена на ВБ'!C:C,'Текущая цена на ВБ'!F:F)</f>
        <v>0</v>
      </c>
      <c r="BN68" s="84">
        <f>_xlfn.XLOOKUP(A68,'Текущая цена на ВБ'!C:C,'Текущая цена на ВБ'!H:H)</f>
        <v>1</v>
      </c>
    </row>
    <row r="69" spans="1:66" ht="24.95" customHeight="1" x14ac:dyDescent="0.25">
      <c r="A69" s="162">
        <f>[1]Юнит!A68</f>
        <v>271441230</v>
      </c>
      <c r="B69" s="162" t="str">
        <f>[1]Юнит!C68</f>
        <v>ACRB1SK201BC</v>
      </c>
      <c r="C69" s="163" t="str">
        <f>[1]Юнит!D68</f>
        <v>Скакалка со счетчиком</v>
      </c>
      <c r="D69" s="164">
        <f>[1]Юнит!E68</f>
        <v>2041473042966</v>
      </c>
      <c r="E69" s="50">
        <v>1259</v>
      </c>
      <c r="F69" s="6">
        <v>0.3</v>
      </c>
      <c r="G69" s="150" t="s">
        <v>328</v>
      </c>
      <c r="H69" s="54">
        <v>0.21651847851981265</v>
      </c>
      <c r="I69" s="71">
        <f>_xlfn.XLOOKUP(D69,[1]Юнит!$E:$E,[1]Юнит!$AN:$AN)</f>
        <v>0</v>
      </c>
      <c r="J69" s="6">
        <f t="shared" si="9"/>
        <v>0.3</v>
      </c>
      <c r="K69" s="153">
        <f t="shared" si="32"/>
        <v>0</v>
      </c>
      <c r="L69" s="54" t="e">
        <f>_xlfn.XLOOKUP(D69,[1]Юнит!$E:$E,[1]Юнит!$AR:$AR)</f>
        <v>#DIV/0!</v>
      </c>
      <c r="M69" s="50">
        <f t="shared" si="33"/>
        <v>1259</v>
      </c>
      <c r="N69" s="6">
        <f>_xlfn.XLOOKUP($A69,'Текущая цена на ВБ'!$C:$C,'Текущая цена на ВБ'!$K:$K,0,0)%</f>
        <v>0.3</v>
      </c>
      <c r="O69" s="150" t="str">
        <f>_xlfn.XLOOKUP($A69,'Текущая цена на ВБ'!$C:$C,'Текущая цена на ВБ'!$I:$I,0,0)</f>
        <v>1799</v>
      </c>
      <c r="P69" s="54">
        <f>_xlfn.XLOOKUP($A69,[1]Юнит!$A:$A,[1]Юнит!$AJ:$AJ,0)</f>
        <v>0.21651847851981265</v>
      </c>
      <c r="Q69" s="50">
        <f>_xlfn.XLOOKUP($A69,'Акция 1'!$F:$F,'Акция 1'!$L:$L,0,0)</f>
        <v>0</v>
      </c>
      <c r="R69" s="6">
        <f>(_xlfn.XLOOKUP($A69,'Акция 1'!$F:$F,'Акция 1'!$P:$P,0,0))%</f>
        <v>0</v>
      </c>
      <c r="S69" s="13">
        <f t="shared" si="34"/>
        <v>0</v>
      </c>
      <c r="T69" s="50">
        <f>_xlfn.XLOOKUP($A69,'Акция 2'!$F:$F,'Акция 2'!$L:$L,0,0)</f>
        <v>0</v>
      </c>
      <c r="U69" s="6">
        <f>(_xlfn.XLOOKUP($A69,'Акция 2'!$F:$F,'Акция 2'!$O:$O,0,0))%</f>
        <v>0</v>
      </c>
      <c r="V69" s="13">
        <f t="shared" si="35"/>
        <v>0</v>
      </c>
      <c r="W69" s="50">
        <f>_xlfn.XLOOKUP($A69,'Акция 3'!$F:$F,'Акция 3'!$L:$L,0,0)</f>
        <v>0</v>
      </c>
      <c r="X69" s="6">
        <f>(_xlfn.XLOOKUP($A69,'Акция 3'!$F:$F,'Акция 3'!$P:$P,0,0))%</f>
        <v>0</v>
      </c>
      <c r="Y69" s="13">
        <f t="shared" si="13"/>
        <v>0</v>
      </c>
      <c r="Z69" s="50">
        <f>_xlfn.XLOOKUP($A69,'Акция 4'!$F:$F,'Акция 4'!$L:$L,0,0)</f>
        <v>0</v>
      </c>
      <c r="AA69" s="6">
        <f>(_xlfn.XLOOKUP($A69,'Акция 4'!$F:$F,'Акция 4'!$P:$P,0,0))%</f>
        <v>0</v>
      </c>
      <c r="AB69" s="13">
        <f t="shared" si="36"/>
        <v>0</v>
      </c>
      <c r="AC69" s="50">
        <f>_xlfn.XLOOKUP($A69,'Акция 5'!$F:$F,'Акция 5'!$L:$L,0,0)</f>
        <v>0</v>
      </c>
      <c r="AD69" s="6">
        <f>(_xlfn.XLOOKUP($A69,'Акция 5'!$F:$F,'Акция 5'!O:O,0,0))%</f>
        <v>0</v>
      </c>
      <c r="AE69" s="13">
        <f t="shared" si="15"/>
        <v>0</v>
      </c>
      <c r="AF69" s="50">
        <f>_xlfn.XLOOKUP($A69,'Акция 6'!$F:$F,'Акция 6'!$L:$L,0,0)</f>
        <v>0</v>
      </c>
      <c r="AG69" s="6">
        <f>(_xlfn.XLOOKUP($A69,'Акция 6'!$F:$F,'Акция 6'!$O:$O,0,0))%</f>
        <v>0</v>
      </c>
      <c r="AH69" s="13">
        <f t="shared" si="16"/>
        <v>0</v>
      </c>
      <c r="AI69" s="50">
        <f>_xlfn.XLOOKUP($A69,'Акция 7'!$F:$F,'Акция 7'!$L:$L,0,0)</f>
        <v>0</v>
      </c>
      <c r="AJ69" s="6">
        <f>(_xlfn.XLOOKUP($A69,'Акция 7'!$F:$F,'Акция 7'!$O:$O,0,0))%</f>
        <v>0</v>
      </c>
      <c r="AK69" s="13">
        <f t="shared" si="17"/>
        <v>0</v>
      </c>
      <c r="AL69" s="50">
        <f>_xlfn.XLOOKUP($A69,'Акция 8'!$F:$F,'Акция 8'!$L:$L,0,0)</f>
        <v>0</v>
      </c>
      <c r="AM69" s="6">
        <f>(_xlfn.XLOOKUP($A69,'Акция 8'!$F:$F,'Акция 8'!$S:$S,0,0))%</f>
        <v>0</v>
      </c>
      <c r="AN69" s="13">
        <f t="shared" si="18"/>
        <v>0</v>
      </c>
      <c r="AO69" s="50">
        <f>_xlfn.XLOOKUP($A69,'Акция 9'!$F:$F,'Акция 9'!$L:$L,0,0)</f>
        <v>0</v>
      </c>
      <c r="AP69" s="6">
        <f>(_xlfn.XLOOKUP($A69,'Акция 9'!$F:$F,'Акция 9'!$O:$O,0,0))%</f>
        <v>0</v>
      </c>
      <c r="AQ69" s="13">
        <f t="shared" si="19"/>
        <v>0</v>
      </c>
      <c r="AR69" s="50">
        <f>_xlfn.XLOOKUP($A69,'Акция 10'!$F:$F,'Акция 10'!$L:$L,0,0)</f>
        <v>0</v>
      </c>
      <c r="AS69" s="6">
        <f>(_xlfn.XLOOKUP($A69,'Акция 10'!$F:$F,'Акция 10'!$O:$O,0,0))%</f>
        <v>0</v>
      </c>
      <c r="AT69" s="13">
        <f t="shared" si="20"/>
        <v>0</v>
      </c>
      <c r="AU69" s="50">
        <f>_xlfn.XLOOKUP($A69,'Акция 11'!$F:$F,'Акция 11'!$L:$L,0,0)</f>
        <v>0</v>
      </c>
      <c r="AV69" s="6">
        <f>(_xlfn.XLOOKUP($A69,'Акция 11'!$F:$F,'Акция 11'!$O:$O,0,0))%</f>
        <v>0</v>
      </c>
      <c r="AW69" s="13">
        <f t="shared" si="21"/>
        <v>0</v>
      </c>
      <c r="AX69" s="50"/>
      <c r="AY69" s="6"/>
      <c r="AZ69" s="13"/>
      <c r="BA69" s="17">
        <f t="shared" si="22"/>
        <v>0</v>
      </c>
      <c r="BB69" s="38">
        <f t="shared" si="37"/>
        <v>0</v>
      </c>
      <c r="BC69" s="33">
        <f t="shared" si="38"/>
        <v>0</v>
      </c>
      <c r="BD69" s="5">
        <f t="shared" si="24"/>
        <v>0</v>
      </c>
      <c r="BE69" s="53">
        <f t="shared" si="25"/>
        <v>0</v>
      </c>
      <c r="BF69" s="54">
        <f>_xlfn.XLOOKUP(A69,[1]Юнит!$A:$A,[1]Юнит!$AU:$AU,0)</f>
        <v>0</v>
      </c>
      <c r="BG69" s="54">
        <f t="shared" si="26"/>
        <v>0.21651847851981265</v>
      </c>
      <c r="BH69" s="5"/>
      <c r="BI69" s="78">
        <f t="shared" si="39"/>
        <v>0</v>
      </c>
      <c r="BJ69" s="85">
        <f t="shared" si="27"/>
        <v>0.3</v>
      </c>
      <c r="BK69" s="88">
        <f t="shared" si="30"/>
        <v>0</v>
      </c>
      <c r="BL69" s="79">
        <f t="shared" si="28"/>
        <v>0</v>
      </c>
      <c r="BM69" s="81">
        <f>_xlfn.XLOOKUP(A69,'Текущая цена на ВБ'!C:C,'Текущая цена на ВБ'!F:F)</f>
        <v>0</v>
      </c>
      <c r="BN69" s="84">
        <f>_xlfn.XLOOKUP(A69,'Текущая цена на ВБ'!C:C,'Текущая цена на ВБ'!H:H)</f>
        <v>1</v>
      </c>
    </row>
    <row r="70" spans="1:66" ht="24.95" customHeight="1" x14ac:dyDescent="0.25">
      <c r="A70" s="133">
        <f>[1]Юнит!A69</f>
        <v>251537223</v>
      </c>
      <c r="B70" s="133" t="str">
        <f>[1]Юнит!C69</f>
        <v>AAND1BL101RD</v>
      </c>
      <c r="C70" s="134" t="str">
        <f>[1]Юнит!D69</f>
        <v>Мяч регби красный</v>
      </c>
      <c r="D70" s="135">
        <f>[1]Юнит!E69</f>
        <v>2040903539366</v>
      </c>
      <c r="E70" s="50">
        <v>612</v>
      </c>
      <c r="F70" s="6">
        <v>0.4</v>
      </c>
      <c r="G70" s="150" t="s">
        <v>386</v>
      </c>
      <c r="H70" s="54">
        <v>0.27100139447507904</v>
      </c>
      <c r="I70" s="71">
        <f>_xlfn.XLOOKUP(D70,[1]Юнит!$E:$E,[1]Юнит!$AN:$AN)</f>
        <v>619</v>
      </c>
      <c r="J70" s="6">
        <f t="shared" si="9"/>
        <v>0.3</v>
      </c>
      <c r="K70" s="153">
        <f t="shared" si="32"/>
        <v>884.28571428571433</v>
      </c>
      <c r="L70" s="54">
        <f>_xlfn.XLOOKUP(D70,[1]Юнит!$E:$E,[1]Юнит!$AR:$AR)</f>
        <v>0.27979240480455447</v>
      </c>
      <c r="M70" s="50">
        <f t="shared" si="33"/>
        <v>612</v>
      </c>
      <c r="N70" s="6">
        <f>_xlfn.XLOOKUP($A70,'Текущая цена на ВБ'!$C:$C,'Текущая цена на ВБ'!$K:$K,0,0)%</f>
        <v>0.4</v>
      </c>
      <c r="O70" s="150" t="str">
        <f>_xlfn.XLOOKUP($A70,'Текущая цена на ВБ'!$C:$C,'Текущая цена на ВБ'!$I:$I,0,0)</f>
        <v>1020</v>
      </c>
      <c r="P70" s="54">
        <f>_xlfn.XLOOKUP($A70,[1]Юнит!$A:$A,[1]Юнит!$AJ:$AJ,0)</f>
        <v>0.27235538982682883</v>
      </c>
      <c r="Q70" s="50">
        <f>_xlfn.XLOOKUP($A70,'Акция 1'!$F:$F,'Акция 1'!$L:$L,0,0)</f>
        <v>612</v>
      </c>
      <c r="R70" s="6">
        <f>(_xlfn.XLOOKUP($A70,'Акция 1'!$F:$F,'Акция 1'!$P:$P,0,0))%</f>
        <v>0.31</v>
      </c>
      <c r="S70" s="13">
        <f t="shared" si="34"/>
        <v>886.95652173913049</v>
      </c>
      <c r="T70" s="50">
        <f>_xlfn.XLOOKUP($A70,'Акция 2'!$F:$F,'Акция 2'!$L:$L,0,0)</f>
        <v>0</v>
      </c>
      <c r="U70" s="6">
        <f>(_xlfn.XLOOKUP($A70,'Акция 2'!$F:$F,'Акция 2'!$O:$O,0,0))%</f>
        <v>0</v>
      </c>
      <c r="V70" s="13">
        <f t="shared" si="35"/>
        <v>0</v>
      </c>
      <c r="W70" s="50">
        <f>_xlfn.XLOOKUP($A70,'Акция 3'!$F:$F,'Акция 3'!$L:$L,0,0)</f>
        <v>420</v>
      </c>
      <c r="X70" s="6">
        <f>(_xlfn.XLOOKUP($A70,'Акция 3'!$F:$F,'Акция 3'!$P:$P,0,0))%</f>
        <v>0.53</v>
      </c>
      <c r="Y70" s="13">
        <f t="shared" si="13"/>
        <v>893.61702127659578</v>
      </c>
      <c r="Z70" s="50">
        <f>_xlfn.XLOOKUP($A70,'Акция 4'!$F:$F,'Акция 4'!$L:$L,0,0)</f>
        <v>0</v>
      </c>
      <c r="AA70" s="6">
        <f>(_xlfn.XLOOKUP($A70,'Акция 4'!$F:$F,'Акция 4'!$P:$P,0,0))%</f>
        <v>0</v>
      </c>
      <c r="AB70" s="13">
        <f t="shared" si="36"/>
        <v>0</v>
      </c>
      <c r="AC70" s="50">
        <f>_xlfn.XLOOKUP($A70,'Акция 5'!$F:$F,'Акция 5'!$L:$L,0,0)</f>
        <v>0</v>
      </c>
      <c r="AD70" s="6">
        <f>(_xlfn.XLOOKUP($A70,'Акция 5'!$F:$F,'Акция 5'!O:O,0,0))%</f>
        <v>0</v>
      </c>
      <c r="AE70" s="13">
        <f t="shared" si="15"/>
        <v>0</v>
      </c>
      <c r="AF70" s="50">
        <f>_xlfn.XLOOKUP($A70,'Акция 6'!$F:$F,'Акция 6'!$L:$L,0,0)</f>
        <v>0</v>
      </c>
      <c r="AG70" s="6">
        <f>(_xlfn.XLOOKUP($A70,'Акция 6'!$F:$F,'Акция 6'!$O:$O,0,0))%</f>
        <v>0</v>
      </c>
      <c r="AH70" s="13">
        <f t="shared" si="16"/>
        <v>0</v>
      </c>
      <c r="AI70" s="50">
        <f>_xlfn.XLOOKUP($A70,'Акция 7'!$F:$F,'Акция 7'!$L:$L,0,0)</f>
        <v>0</v>
      </c>
      <c r="AJ70" s="6">
        <f>(_xlfn.XLOOKUP($A70,'Акция 7'!$F:$F,'Акция 7'!$O:$O,0,0))%</f>
        <v>0</v>
      </c>
      <c r="AK70" s="13">
        <f t="shared" si="17"/>
        <v>0</v>
      </c>
      <c r="AL70" s="50">
        <f>_xlfn.XLOOKUP($A70,'Акция 8'!$F:$F,'Акция 8'!$L:$L,0,0)</f>
        <v>0</v>
      </c>
      <c r="AM70" s="6">
        <f>(_xlfn.XLOOKUP($A70,'Акция 8'!$F:$F,'Акция 8'!$S:$S,0,0))%</f>
        <v>0</v>
      </c>
      <c r="AN70" s="13">
        <f t="shared" si="18"/>
        <v>0</v>
      </c>
      <c r="AO70" s="50">
        <f>_xlfn.XLOOKUP($A70,'Акция 9'!$F:$F,'Акция 9'!$L:$L,0,0)</f>
        <v>0</v>
      </c>
      <c r="AP70" s="6">
        <f>(_xlfn.XLOOKUP($A70,'Акция 9'!$F:$F,'Акция 9'!$O:$O,0,0))%</f>
        <v>0</v>
      </c>
      <c r="AQ70" s="13">
        <f t="shared" si="19"/>
        <v>0</v>
      </c>
      <c r="AR70" s="50">
        <f>_xlfn.XLOOKUP($A70,'Акция 10'!$F:$F,'Акция 10'!$L:$L,0,0)</f>
        <v>0</v>
      </c>
      <c r="AS70" s="6">
        <f>(_xlfn.XLOOKUP($A70,'Акция 10'!$F:$F,'Акция 10'!$O:$O,0,0))%</f>
        <v>0</v>
      </c>
      <c r="AT70" s="13">
        <f t="shared" si="20"/>
        <v>0</v>
      </c>
      <c r="AU70" s="50">
        <f>_xlfn.XLOOKUP($A70,'Акция 11'!$F:$F,'Акция 11'!$L:$L,0,0)</f>
        <v>0</v>
      </c>
      <c r="AV70" s="6">
        <f>(_xlfn.XLOOKUP($A70,'Акция 11'!$F:$F,'Акция 11'!$O:$O,0,0))%</f>
        <v>0</v>
      </c>
      <c r="AW70" s="13">
        <f t="shared" si="21"/>
        <v>0</v>
      </c>
      <c r="AX70" s="50"/>
      <c r="AY70" s="6"/>
      <c r="AZ70" s="13"/>
      <c r="BA70" s="17">
        <f t="shared" si="22"/>
        <v>612</v>
      </c>
      <c r="BB70" s="38">
        <f t="shared" ref="BB70:BB73" si="41">IF(BA70=0,0,_xlfn.XLOOKUP($BA70,$Q70:$AZ70,$Q$1:$AZ$1,0,0))</f>
        <v>1</v>
      </c>
      <c r="BC70" s="33">
        <f t="shared" si="38"/>
        <v>612</v>
      </c>
      <c r="BD70" s="5">
        <f t="shared" si="24"/>
        <v>0.4</v>
      </c>
      <c r="BE70" s="53">
        <f t="shared" si="25"/>
        <v>1020</v>
      </c>
      <c r="BF70" s="54">
        <f>_xlfn.XLOOKUP(A70,[1]Юнит!$A:$A,[1]Юнит!$AU:$AU,0)</f>
        <v>0.27235538982682883</v>
      </c>
      <c r="BG70" s="54">
        <f t="shared" si="26"/>
        <v>0.27235538982682883</v>
      </c>
      <c r="BH70" s="5" t="s">
        <v>287</v>
      </c>
      <c r="BI70" s="78">
        <f t="shared" si="39"/>
        <v>1020</v>
      </c>
      <c r="BJ70" s="85">
        <f t="shared" ref="BJ70:BJ73" si="42">IF($BH70="*",$BD70,J70)</f>
        <v>0.4</v>
      </c>
      <c r="BK70" s="88">
        <f t="shared" si="30"/>
        <v>612</v>
      </c>
      <c r="BL70" s="79">
        <f t="shared" si="28"/>
        <v>1</v>
      </c>
      <c r="BM70" s="81">
        <f>_xlfn.XLOOKUP(A70,'Текущая цена на ВБ'!C:C,'Текущая цена на ВБ'!F:F)</f>
        <v>152</v>
      </c>
      <c r="BN70" s="84">
        <f>_xlfn.XLOOKUP(A70,'Текущая цена на ВБ'!C:C,'Текущая цена на ВБ'!H:H)</f>
        <v>286</v>
      </c>
    </row>
    <row r="71" spans="1:66" ht="24.95" customHeight="1" x14ac:dyDescent="0.25">
      <c r="A71" s="133">
        <f>[1]Юнит!A70</f>
        <v>251537413</v>
      </c>
      <c r="B71" s="133" t="str">
        <f>[1]Юнит!C70</f>
        <v>AAND1BL101BL</v>
      </c>
      <c r="C71" s="134" t="str">
        <f>[1]Юнит!D70</f>
        <v>Мяч регби синий</v>
      </c>
      <c r="D71" s="135">
        <f>[1]Юнит!E70</f>
        <v>2040903547941</v>
      </c>
      <c r="E71" s="50">
        <v>558</v>
      </c>
      <c r="F71" s="6">
        <v>0.4</v>
      </c>
      <c r="G71" s="150" t="s">
        <v>357</v>
      </c>
      <c r="H71" s="54">
        <v>0.23231581299651527</v>
      </c>
      <c r="I71" s="71">
        <f>_xlfn.XLOOKUP(D71,[1]Юнит!$E:$E,[1]Юнит!$AN:$AN)</f>
        <v>619</v>
      </c>
      <c r="J71" s="6">
        <f t="shared" ref="J71:J85" si="43">$J$4</f>
        <v>0.3</v>
      </c>
      <c r="K71" s="153">
        <f t="shared" ref="K71:K73" si="44">I71/(100%-J69)</f>
        <v>884.28571428571433</v>
      </c>
      <c r="L71" s="54">
        <f>_xlfn.XLOOKUP(D71,[1]Юнит!$E:$E,[1]Юнит!$AR:$AR)</f>
        <v>0.30184603969954632</v>
      </c>
      <c r="M71" s="50">
        <f t="shared" ref="M71:M73" si="45">MROUND(O71-O71*N71,1)</f>
        <v>558</v>
      </c>
      <c r="N71" s="6">
        <f>_xlfn.XLOOKUP($A71,'Текущая цена на ВБ'!$C:$C,'Текущая цена на ВБ'!$K:$K,0,0)%</f>
        <v>0.4</v>
      </c>
      <c r="O71" s="150" t="str">
        <f>_xlfn.XLOOKUP($A71,'Текущая цена на ВБ'!$C:$C,'Текущая цена на ВБ'!$I:$I,0,0)</f>
        <v>930</v>
      </c>
      <c r="P71" s="54">
        <f>_xlfn.XLOOKUP($A71,[1]Юнит!$A:$A,[1]Юнит!$AJ:$AJ,0)</f>
        <v>0.23317687916490895</v>
      </c>
      <c r="Q71" s="50">
        <f>_xlfn.XLOOKUP($A71,'Акция 1'!$F:$F,'Акция 1'!$L:$L,0,0)</f>
        <v>558</v>
      </c>
      <c r="R71" s="6">
        <f>(_xlfn.XLOOKUP($A71,'Акция 1'!$F:$F,'Акция 1'!$P:$P,0,0))%</f>
        <v>0.37</v>
      </c>
      <c r="S71" s="13">
        <f t="shared" ref="S71:S73" si="46">Q71/(100%-R71)</f>
        <v>885.71428571428567</v>
      </c>
      <c r="T71" s="50">
        <f>_xlfn.XLOOKUP($A71,'Акция 2'!$F:$F,'Акция 2'!$L:$L,0,0)</f>
        <v>0</v>
      </c>
      <c r="U71" s="6">
        <f>(_xlfn.XLOOKUP($A71,'Акция 2'!$F:$F,'Акция 2'!$O:$O,0,0))%</f>
        <v>0</v>
      </c>
      <c r="V71" s="13">
        <f t="shared" ref="V71:V73" si="47">T71/(100%-U71)</f>
        <v>0</v>
      </c>
      <c r="W71" s="50">
        <f>_xlfn.XLOOKUP($A71,'Акция 3'!$F:$F,'Акция 3'!$L:$L,0,0)</f>
        <v>420</v>
      </c>
      <c r="X71" s="6">
        <f>(_xlfn.XLOOKUP($A71,'Акция 3'!$F:$F,'Акция 3'!$P:$P,0,0))%</f>
        <v>0.53</v>
      </c>
      <c r="Y71" s="13">
        <f t="shared" ref="Y71:Y85" si="48">W71/(100%-X71)</f>
        <v>893.61702127659578</v>
      </c>
      <c r="Z71" s="50">
        <f>_xlfn.XLOOKUP($A71,'Акция 4'!$F:$F,'Акция 4'!$L:$L,0,0)</f>
        <v>0</v>
      </c>
      <c r="AA71" s="6">
        <f>(_xlfn.XLOOKUP($A71,'Акция 4'!$F:$F,'Акция 4'!$P:$P,0,0))%</f>
        <v>0</v>
      </c>
      <c r="AB71" s="13">
        <f t="shared" ref="AB71:AB73" si="49">Z71/(100%-AA71)</f>
        <v>0</v>
      </c>
      <c r="AC71" s="50">
        <f>_xlfn.XLOOKUP($A71,'Акция 5'!$F:$F,'Акция 5'!$L:$L,0,0)</f>
        <v>0</v>
      </c>
      <c r="AD71" s="6">
        <f>(_xlfn.XLOOKUP($A71,'Акция 5'!$F:$F,'Акция 5'!O:O,0,0))%</f>
        <v>0</v>
      </c>
      <c r="AE71" s="13">
        <f t="shared" ref="AE71:AE73" si="50">AC71/(100%-AD71)</f>
        <v>0</v>
      </c>
      <c r="AF71" s="50">
        <f>_xlfn.XLOOKUP($A71,'Акция 6'!$F:$F,'Акция 6'!$L:$L,0,0)</f>
        <v>0</v>
      </c>
      <c r="AG71" s="6">
        <f>(_xlfn.XLOOKUP($A71,'Акция 6'!$F:$F,'Акция 6'!$O:$O,0,0))%</f>
        <v>0</v>
      </c>
      <c r="AH71" s="13">
        <f t="shared" ref="AH71:AH73" si="51">AF71/(100%-AG71)</f>
        <v>0</v>
      </c>
      <c r="AI71" s="50">
        <f>_xlfn.XLOOKUP($A71,'Акция 7'!$F:$F,'Акция 7'!$L:$L,0,0)</f>
        <v>0</v>
      </c>
      <c r="AJ71" s="6">
        <f>(_xlfn.XLOOKUP($A71,'Акция 7'!$F:$F,'Акция 7'!$O:$O,0,0))%</f>
        <v>0</v>
      </c>
      <c r="AK71" s="13">
        <f t="shared" ref="AK71:AK73" si="52">AI71/(100%-AJ71)</f>
        <v>0</v>
      </c>
      <c r="AL71" s="50">
        <f>_xlfn.XLOOKUP($A71,'Акция 8'!$F:$F,'Акция 8'!$L:$L,0,0)</f>
        <v>0</v>
      </c>
      <c r="AM71" s="6">
        <f>(_xlfn.XLOOKUP($A71,'Акция 8'!$F:$F,'Акция 8'!$S:$S,0,0))%</f>
        <v>0</v>
      </c>
      <c r="AN71" s="13">
        <f t="shared" ref="AN71:AN73" si="53">AL71/(100%-AM71)</f>
        <v>0</v>
      </c>
      <c r="AO71" s="50">
        <f>_xlfn.XLOOKUP($A71,'Акция 9'!$F:$F,'Акция 9'!$L:$L,0,0)</f>
        <v>0</v>
      </c>
      <c r="AP71" s="6">
        <f>(_xlfn.XLOOKUP($A71,'Акция 9'!$F:$F,'Акция 9'!$O:$O,0,0))%</f>
        <v>0</v>
      </c>
      <c r="AQ71" s="13">
        <f t="shared" ref="AQ71:AQ73" si="54">AO71/(100%-AP71)</f>
        <v>0</v>
      </c>
      <c r="AR71" s="50">
        <f>_xlfn.XLOOKUP($A71,'Акция 10'!$F:$F,'Акция 10'!$L:$L,0,0)</f>
        <v>0</v>
      </c>
      <c r="AS71" s="6">
        <f>(_xlfn.XLOOKUP($A71,'Акция 10'!$F:$F,'Акция 10'!$O:$O,0,0))%</f>
        <v>0</v>
      </c>
      <c r="AT71" s="13">
        <f t="shared" ref="AT71:AT73" si="55">AR71/(100%-AS71)</f>
        <v>0</v>
      </c>
      <c r="AU71" s="50">
        <f>_xlfn.XLOOKUP($A71,'Акция 11'!$F:$F,'Акция 11'!$L:$L,0,0)</f>
        <v>0</v>
      </c>
      <c r="AV71" s="6">
        <f>(_xlfn.XLOOKUP($A71,'Акция 11'!$F:$F,'Акция 11'!$O:$O,0,0))%</f>
        <v>0</v>
      </c>
      <c r="AW71" s="13">
        <f t="shared" ref="AW71:AW73" si="56">AU71/(100%-AV71)</f>
        <v>0</v>
      </c>
      <c r="AX71" s="50"/>
      <c r="AY71" s="6"/>
      <c r="AZ71" s="13"/>
      <c r="BA71" s="17">
        <f t="shared" ref="BA71:BA73" si="57">MAX($Q71,$T71,W71,Z71,AC71,AF71,AL71,AO71,AR71,AU71,AX71,AI71)</f>
        <v>558</v>
      </c>
      <c r="BB71" s="38">
        <f t="shared" si="41"/>
        <v>1</v>
      </c>
      <c r="BC71" s="33">
        <f t="shared" si="38"/>
        <v>558</v>
      </c>
      <c r="BD71" s="5">
        <f t="shared" ref="BD71:BD73" si="58">IF(BA71=0,0,$BD$3)</f>
        <v>0.4</v>
      </c>
      <c r="BE71" s="53">
        <f t="shared" ref="BE71:BE73" si="59">BC71/(100%-BD71)</f>
        <v>930</v>
      </c>
      <c r="BF71" s="54">
        <f>_xlfn.XLOOKUP(A71,[1]Юнит!$A:$A,[1]Юнит!$AU:$AU,0)</f>
        <v>0.23317687916490895</v>
      </c>
      <c r="BG71" s="54">
        <f t="shared" ref="BG71:BG73" si="60">P71</f>
        <v>0.23317687916490895</v>
      </c>
      <c r="BH71" s="5" t="s">
        <v>287</v>
      </c>
      <c r="BI71" s="78">
        <f t="shared" si="39"/>
        <v>930</v>
      </c>
      <c r="BJ71" s="85">
        <f t="shared" si="42"/>
        <v>0.4</v>
      </c>
      <c r="BK71" s="88">
        <f t="shared" ref="BK71:BK73" si="61">MROUND(BI71-BI71*BJ71,1)</f>
        <v>558</v>
      </c>
      <c r="BL71" s="79">
        <f t="shared" ref="BL71:BL73" si="62">IF(BH71="*",1,0)</f>
        <v>1</v>
      </c>
      <c r="BM71" s="81">
        <f>_xlfn.XLOOKUP(A71,'Текущая цена на ВБ'!C:C,'Текущая цена на ВБ'!F:F)</f>
        <v>188</v>
      </c>
      <c r="BN71" s="84">
        <f>_xlfn.XLOOKUP(A71,'Текущая цена на ВБ'!C:C,'Текущая цена на ВБ'!H:H)</f>
        <v>877</v>
      </c>
    </row>
    <row r="72" spans="1:66" ht="24.95" customHeight="1" x14ac:dyDescent="0.25">
      <c r="A72" s="133">
        <f>[1]Юнит!A71</f>
        <v>251516159</v>
      </c>
      <c r="B72" s="133" t="str">
        <f>[1]Юнит!C71</f>
        <v>AAND1BL102RD</v>
      </c>
      <c r="C72" s="134" t="str">
        <f>[1]Юнит!D71</f>
        <v>Мяч шина красный</v>
      </c>
      <c r="D72" s="135">
        <f>[1]Юнит!E71</f>
        <v>2040902555480</v>
      </c>
      <c r="E72" s="50">
        <v>639</v>
      </c>
      <c r="F72" s="6">
        <v>0.3</v>
      </c>
      <c r="G72" s="150" t="s">
        <v>354</v>
      </c>
      <c r="H72" s="54">
        <v>0.23515090362155155</v>
      </c>
      <c r="I72" s="71">
        <f>_xlfn.XLOOKUP(D72,[1]Юнит!$E:$E,[1]Юнит!$AN:$AN)</f>
        <v>639</v>
      </c>
      <c r="J72" s="6">
        <f t="shared" si="43"/>
        <v>0.3</v>
      </c>
      <c r="K72" s="153">
        <f t="shared" si="44"/>
        <v>912.85714285714289</v>
      </c>
      <c r="L72" s="54">
        <f>_xlfn.XLOOKUP(D72,[1]Юнит!$E:$E,[1]Юнит!$AR:$AR)</f>
        <v>0.23504216354387103</v>
      </c>
      <c r="M72" s="50">
        <f>MROUND(O72-O72*N72,1)</f>
        <v>639</v>
      </c>
      <c r="N72" s="6">
        <f>_xlfn.XLOOKUP($A72,'Текущая цена на ВБ'!$C:$C,'Текущая цена на ВБ'!$K:$K,0,0)%</f>
        <v>0.3</v>
      </c>
      <c r="O72" s="150" t="str">
        <f>_xlfn.XLOOKUP($A72,'Текущая цена на ВБ'!$C:$C,'Текущая цена на ВБ'!$I:$I,0,0)</f>
        <v>913</v>
      </c>
      <c r="P72" s="54">
        <f>_xlfn.XLOOKUP($A72,[1]Юнит!$A:$A,[1]Юнит!$AJ:$AJ,0)</f>
        <v>0.23515090362155155</v>
      </c>
      <c r="Q72" s="50">
        <f>_xlfn.XLOOKUP($A72,'Акция 1'!$F:$F,'Акция 1'!$L:$L,0,0)</f>
        <v>0</v>
      </c>
      <c r="R72" s="6">
        <f>(_xlfn.XLOOKUP($A72,'Акция 1'!$F:$F,'Акция 1'!$P:$P,0,0))%</f>
        <v>0</v>
      </c>
      <c r="S72" s="13">
        <f t="shared" si="46"/>
        <v>0</v>
      </c>
      <c r="T72" s="50">
        <f>_xlfn.XLOOKUP($A72,'Акция 2'!$F:$F,'Акция 2'!$L:$L,0,0)</f>
        <v>0</v>
      </c>
      <c r="U72" s="6">
        <f>(_xlfn.XLOOKUP($A72,'Акция 2'!$F:$F,'Акция 2'!$O:$O,0,0))%</f>
        <v>0</v>
      </c>
      <c r="V72" s="13">
        <f t="shared" si="47"/>
        <v>0</v>
      </c>
      <c r="W72" s="50">
        <f>_xlfn.XLOOKUP($A72,'Акция 3'!$F:$F,'Акция 3'!$L:$L,0,0)</f>
        <v>0</v>
      </c>
      <c r="X72" s="6">
        <f>(_xlfn.XLOOKUP($A72,'Акция 3'!$F:$F,'Акция 3'!$P:$P,0,0))%</f>
        <v>0</v>
      </c>
      <c r="Y72" s="13">
        <f t="shared" si="48"/>
        <v>0</v>
      </c>
      <c r="Z72" s="50">
        <f>_xlfn.XLOOKUP($A72,'Акция 4'!$F:$F,'Акция 4'!$L:$L,0,0)</f>
        <v>0</v>
      </c>
      <c r="AA72" s="6">
        <f>(_xlfn.XLOOKUP($A72,'Акция 4'!$F:$F,'Акция 4'!$P:$P,0,0))%</f>
        <v>0</v>
      </c>
      <c r="AB72" s="13">
        <f t="shared" si="49"/>
        <v>0</v>
      </c>
      <c r="AC72" s="50">
        <f>_xlfn.XLOOKUP($A72,'Акция 5'!$F:$F,'Акция 5'!$L:$L,0,0)</f>
        <v>0</v>
      </c>
      <c r="AD72" s="6">
        <f>(_xlfn.XLOOKUP($A72,'Акция 5'!$F:$F,'Акция 5'!O:O,0,0))%</f>
        <v>0</v>
      </c>
      <c r="AE72" s="13">
        <f t="shared" si="50"/>
        <v>0</v>
      </c>
      <c r="AF72" s="50">
        <f>_xlfn.XLOOKUP($A72,'Акция 6'!$F:$F,'Акция 6'!$L:$L,0,0)</f>
        <v>0</v>
      </c>
      <c r="AG72" s="6">
        <f>(_xlfn.XLOOKUP($A72,'Акция 6'!$F:$F,'Акция 6'!$O:$O,0,0))%</f>
        <v>0</v>
      </c>
      <c r="AH72" s="13">
        <f t="shared" si="51"/>
        <v>0</v>
      </c>
      <c r="AI72" s="50">
        <f>_xlfn.XLOOKUP($A72,'Акция 7'!$F:$F,'Акция 7'!$L:$L,0,0)</f>
        <v>0</v>
      </c>
      <c r="AJ72" s="6">
        <f>(_xlfn.XLOOKUP($A72,'Акция 7'!$F:$F,'Акция 7'!$O:$O,0,0))%</f>
        <v>0</v>
      </c>
      <c r="AK72" s="13">
        <f t="shared" si="52"/>
        <v>0</v>
      </c>
      <c r="AL72" s="50">
        <f>_xlfn.XLOOKUP($A72,'Акция 8'!$F:$F,'Акция 8'!$L:$L,0,0)</f>
        <v>0</v>
      </c>
      <c r="AM72" s="6">
        <f>(_xlfn.XLOOKUP($A72,'Акция 8'!$F:$F,'Акция 8'!$S:$S,0,0))%</f>
        <v>0</v>
      </c>
      <c r="AN72" s="13">
        <f t="shared" si="53"/>
        <v>0</v>
      </c>
      <c r="AO72" s="50">
        <f>_xlfn.XLOOKUP($A72,'Акция 9'!$F:$F,'Акция 9'!$L:$L,0,0)</f>
        <v>0</v>
      </c>
      <c r="AP72" s="6">
        <f>(_xlfn.XLOOKUP($A72,'Акция 9'!$F:$F,'Акция 9'!$O:$O,0,0))%</f>
        <v>0</v>
      </c>
      <c r="AQ72" s="13">
        <f t="shared" si="54"/>
        <v>0</v>
      </c>
      <c r="AR72" s="50">
        <f>_xlfn.XLOOKUP($A72,'Акция 10'!$F:$F,'Акция 10'!$L:$L,0,0)</f>
        <v>0</v>
      </c>
      <c r="AS72" s="6">
        <f>(_xlfn.XLOOKUP($A72,'Акция 10'!$F:$F,'Акция 10'!$O:$O,0,0))%</f>
        <v>0</v>
      </c>
      <c r="AT72" s="13">
        <f t="shared" si="55"/>
        <v>0</v>
      </c>
      <c r="AU72" s="50">
        <f>_xlfn.XLOOKUP($A72,'Акция 11'!$F:$F,'Акция 11'!$L:$L,0,0)</f>
        <v>0</v>
      </c>
      <c r="AV72" s="6">
        <f>(_xlfn.XLOOKUP($A72,'Акция 11'!$F:$F,'Акция 11'!$O:$O,0,0))%</f>
        <v>0</v>
      </c>
      <c r="AW72" s="13">
        <f t="shared" si="56"/>
        <v>0</v>
      </c>
      <c r="AX72" s="50"/>
      <c r="AY72" s="6"/>
      <c r="AZ72" s="13"/>
      <c r="BA72" s="17">
        <f t="shared" si="57"/>
        <v>0</v>
      </c>
      <c r="BB72" s="38">
        <f t="shared" si="41"/>
        <v>0</v>
      </c>
      <c r="BC72" s="33">
        <f t="shared" si="38"/>
        <v>0</v>
      </c>
      <c r="BD72" s="5">
        <f t="shared" si="58"/>
        <v>0</v>
      </c>
      <c r="BE72" s="53">
        <f t="shared" si="59"/>
        <v>0</v>
      </c>
      <c r="BF72" s="54">
        <f>_xlfn.XLOOKUP(A72,[1]Юнит!$A:$A,[1]Юнит!$AU:$AU,0)</f>
        <v>0</v>
      </c>
      <c r="BG72" s="54">
        <f>P72</f>
        <v>0.23515090362155155</v>
      </c>
      <c r="BH72" s="5"/>
      <c r="BI72" s="78">
        <f t="shared" si="39"/>
        <v>913</v>
      </c>
      <c r="BJ72" s="85">
        <f t="shared" si="42"/>
        <v>0.3</v>
      </c>
      <c r="BK72" s="88">
        <f t="shared" si="61"/>
        <v>639</v>
      </c>
      <c r="BL72" s="79">
        <f t="shared" si="62"/>
        <v>0</v>
      </c>
      <c r="BM72" s="81">
        <f>_xlfn.XLOOKUP(A72,'Текущая цена на ВБ'!C:C,'Текущая цена на ВБ'!F:F)</f>
        <v>137</v>
      </c>
      <c r="BN72" s="84">
        <f>_xlfn.XLOOKUP(A72,'Текущая цена на ВБ'!C:C,'Текущая цена на ВБ'!H:H)</f>
        <v>210</v>
      </c>
    </row>
    <row r="73" spans="1:66" ht="24.95" customHeight="1" x14ac:dyDescent="0.25">
      <c r="A73" s="133">
        <f>[1]Юнит!A72</f>
        <v>251407392</v>
      </c>
      <c r="B73" s="133" t="str">
        <f>[1]Юнит!C72</f>
        <v>AAND1BL102BL</v>
      </c>
      <c r="C73" s="134" t="str">
        <f>[1]Юнит!D72</f>
        <v>Мяч шина синий</v>
      </c>
      <c r="D73" s="135">
        <f>[1]Юнит!E72</f>
        <v>2040900511679</v>
      </c>
      <c r="E73" s="50">
        <v>741</v>
      </c>
      <c r="F73" s="6">
        <v>0.4</v>
      </c>
      <c r="G73" s="150" t="s">
        <v>355</v>
      </c>
      <c r="H73" s="54">
        <v>0.23515090362155155</v>
      </c>
      <c r="I73" s="71">
        <f>_xlfn.XLOOKUP(D73,[1]Юнит!$E:$E,[1]Юнит!$AN:$AN)</f>
        <v>639</v>
      </c>
      <c r="J73" s="6">
        <f t="shared" si="43"/>
        <v>0.3</v>
      </c>
      <c r="K73" s="153">
        <f t="shared" si="44"/>
        <v>912.85714285714289</v>
      </c>
      <c r="L73" s="54">
        <f>_xlfn.XLOOKUP(D73,[1]Юнит!$E:$E,[1]Юнит!$AR:$AR)</f>
        <v>0.19472867371601504</v>
      </c>
      <c r="M73" s="50">
        <f t="shared" si="45"/>
        <v>741</v>
      </c>
      <c r="N73" s="6">
        <f>_xlfn.XLOOKUP($A73,'Текущая цена на ВБ'!$C:$C,'Текущая цена на ВБ'!$K:$K,0,0)%</f>
        <v>0.4</v>
      </c>
      <c r="O73" s="150" t="str">
        <f>_xlfn.XLOOKUP($A73,'Текущая цена на ВБ'!$C:$C,'Текущая цена на ВБ'!$I:$I,0,0)</f>
        <v>1235</v>
      </c>
      <c r="P73" s="54">
        <f>_xlfn.XLOOKUP($A73,[1]Юнит!$A:$A,[1]Юнит!$AJ:$AJ,0)</f>
        <v>0.29594011134215065</v>
      </c>
      <c r="Q73" s="50">
        <f>_xlfn.XLOOKUP($A73,'Акция 1'!$F:$F,'Акция 1'!$L:$L,0,0)</f>
        <v>0</v>
      </c>
      <c r="R73" s="6">
        <f>(_xlfn.XLOOKUP($A73,'Акция 1'!$F:$F,'Акция 1'!$P:$P,0,0))%</f>
        <v>0</v>
      </c>
      <c r="S73" s="13">
        <f t="shared" si="46"/>
        <v>0</v>
      </c>
      <c r="T73" s="50">
        <f>_xlfn.XLOOKUP($A73,'Акция 2'!$F:$F,'Акция 2'!$L:$L,0,0)</f>
        <v>741</v>
      </c>
      <c r="U73" s="6">
        <f>(_xlfn.XLOOKUP($A73,'Акция 2'!$F:$F,'Акция 2'!$O:$O,0,0))%</f>
        <v>0.3</v>
      </c>
      <c r="V73" s="13">
        <f t="shared" si="47"/>
        <v>1058.5714285714287</v>
      </c>
      <c r="W73" s="50">
        <f>_xlfn.XLOOKUP($A73,'Акция 3'!$F:$F,'Акция 3'!$L:$L,0,0)</f>
        <v>599</v>
      </c>
      <c r="X73" s="6">
        <f>(_xlfn.XLOOKUP($A73,'Акция 3'!$F:$F,'Акция 3'!$P:$P,0,0))%</f>
        <v>0.35</v>
      </c>
      <c r="Y73" s="13">
        <f t="shared" si="48"/>
        <v>921.53846153846155</v>
      </c>
      <c r="Z73" s="50">
        <f>_xlfn.XLOOKUP($A73,'Акция 4'!$F:$F,'Акция 4'!$L:$L,0,0)</f>
        <v>0</v>
      </c>
      <c r="AA73" s="6">
        <f>(_xlfn.XLOOKUP($A73,'Акция 4'!$F:$F,'Акция 4'!$P:$P,0,0))%</f>
        <v>0</v>
      </c>
      <c r="AB73" s="13">
        <f t="shared" si="49"/>
        <v>0</v>
      </c>
      <c r="AC73" s="50">
        <f>_xlfn.XLOOKUP($A73,'Акция 5'!$F:$F,'Акция 5'!$L:$L,0,0)</f>
        <v>0</v>
      </c>
      <c r="AD73" s="6">
        <f>(_xlfn.XLOOKUP($A73,'Акция 5'!$F:$F,'Акция 5'!O:O,0,0))%</f>
        <v>0</v>
      </c>
      <c r="AE73" s="13">
        <f t="shared" si="50"/>
        <v>0</v>
      </c>
      <c r="AF73" s="50">
        <f>_xlfn.XLOOKUP($A73,'Акция 6'!$F:$F,'Акция 6'!$L:$L,0,0)</f>
        <v>0</v>
      </c>
      <c r="AG73" s="6">
        <f>(_xlfn.XLOOKUP($A73,'Акция 6'!$F:$F,'Акция 6'!$O:$O,0,0))%</f>
        <v>0</v>
      </c>
      <c r="AH73" s="13">
        <f t="shared" si="51"/>
        <v>0</v>
      </c>
      <c r="AI73" s="50">
        <f>_xlfn.XLOOKUP($A73,'Акция 7'!$F:$F,'Акция 7'!$L:$L,0,0)</f>
        <v>0</v>
      </c>
      <c r="AJ73" s="6">
        <f>(_xlfn.XLOOKUP($A73,'Акция 7'!$F:$F,'Акция 7'!$O:$O,0,0))%</f>
        <v>0</v>
      </c>
      <c r="AK73" s="13">
        <f t="shared" si="52"/>
        <v>0</v>
      </c>
      <c r="AL73" s="50">
        <f>_xlfn.XLOOKUP($A73,'Акция 8'!$F:$F,'Акция 8'!$L:$L,0,0)</f>
        <v>0</v>
      </c>
      <c r="AM73" s="6">
        <f>(_xlfn.XLOOKUP($A73,'Акция 8'!$F:$F,'Акция 8'!$S:$S,0,0))%</f>
        <v>0</v>
      </c>
      <c r="AN73" s="13">
        <f t="shared" si="53"/>
        <v>0</v>
      </c>
      <c r="AO73" s="50">
        <f>_xlfn.XLOOKUP($A73,'Акция 9'!$F:$F,'Акция 9'!$L:$L,0,0)</f>
        <v>0</v>
      </c>
      <c r="AP73" s="6">
        <f>(_xlfn.XLOOKUP($A73,'Акция 9'!$F:$F,'Акция 9'!$O:$O,0,0))%</f>
        <v>0</v>
      </c>
      <c r="AQ73" s="13">
        <f t="shared" si="54"/>
        <v>0</v>
      </c>
      <c r="AR73" s="50">
        <f>_xlfn.XLOOKUP($A73,'Акция 10'!$F:$F,'Акция 10'!$L:$L,0,0)</f>
        <v>0</v>
      </c>
      <c r="AS73" s="6">
        <f>(_xlfn.XLOOKUP($A73,'Акция 10'!$F:$F,'Акция 10'!$O:$O,0,0))%</f>
        <v>0</v>
      </c>
      <c r="AT73" s="13">
        <f t="shared" si="55"/>
        <v>0</v>
      </c>
      <c r="AU73" s="50">
        <f>_xlfn.XLOOKUP($A73,'Акция 11'!$F:$F,'Акция 11'!$L:$L,0,0)</f>
        <v>0</v>
      </c>
      <c r="AV73" s="6">
        <f>(_xlfn.XLOOKUP($A73,'Акция 11'!$F:$F,'Акция 11'!$O:$O,0,0))%</f>
        <v>0</v>
      </c>
      <c r="AW73" s="13">
        <f t="shared" si="56"/>
        <v>0</v>
      </c>
      <c r="AX73" s="50"/>
      <c r="AY73" s="6"/>
      <c r="AZ73" s="13"/>
      <c r="BA73" s="17">
        <f t="shared" si="57"/>
        <v>741</v>
      </c>
      <c r="BB73" s="38">
        <f t="shared" si="41"/>
        <v>2</v>
      </c>
      <c r="BC73" s="33">
        <f t="shared" si="38"/>
        <v>741</v>
      </c>
      <c r="BD73" s="5">
        <f t="shared" si="58"/>
        <v>0.4</v>
      </c>
      <c r="BE73" s="53">
        <f t="shared" si="59"/>
        <v>1235</v>
      </c>
      <c r="BF73" s="54">
        <f>_xlfn.XLOOKUP(A73,[1]Юнит!$A:$A,[1]Юнит!$AU:$AU,0)</f>
        <v>0.29594011134215065</v>
      </c>
      <c r="BG73" s="54">
        <f t="shared" si="60"/>
        <v>0.29594011134215065</v>
      </c>
      <c r="BH73" s="5" t="s">
        <v>287</v>
      </c>
      <c r="BI73" s="78">
        <f t="shared" si="39"/>
        <v>1235</v>
      </c>
      <c r="BJ73" s="85">
        <f t="shared" si="42"/>
        <v>0.4</v>
      </c>
      <c r="BK73" s="88">
        <f t="shared" si="61"/>
        <v>741</v>
      </c>
      <c r="BL73" s="79">
        <f t="shared" si="62"/>
        <v>1</v>
      </c>
      <c r="BM73" s="81">
        <f>_xlfn.XLOOKUP(A73,'Текущая цена на ВБ'!C:C,'Текущая цена на ВБ'!F:F)</f>
        <v>192</v>
      </c>
      <c r="BN73" s="84">
        <f>_xlfn.XLOOKUP(A73,'Текущая цена на ВБ'!C:C,'Текущая цена на ВБ'!H:H)</f>
        <v>643</v>
      </c>
    </row>
    <row r="74" spans="1:66" ht="24.95" customHeight="1" x14ac:dyDescent="0.25">
      <c r="A74" s="133">
        <f>[1]Юнит!A73</f>
        <v>302564795</v>
      </c>
      <c r="B74" s="133" t="str">
        <f>[1]Юнит!C73</f>
        <v>AAND1ST202BL</v>
      </c>
      <c r="C74" s="134" t="str">
        <f>[1]Юнит!D73</f>
        <v>Палочка для жевания</v>
      </c>
      <c r="D74" s="135">
        <f>[1]Юнит!E73</f>
        <v>2042253544953</v>
      </c>
      <c r="E74" s="50">
        <v>759</v>
      </c>
      <c r="F74" s="6">
        <v>0.3</v>
      </c>
      <c r="G74" s="150" t="s">
        <v>290</v>
      </c>
      <c r="H74" s="54">
        <v>0.9069372693726937</v>
      </c>
      <c r="I74" s="71">
        <f>_xlfn.XLOOKUP(D74,[1]Юнит!$E:$E,[1]Юнит!$AN:$AN)</f>
        <v>0</v>
      </c>
      <c r="J74" s="6">
        <f t="shared" si="43"/>
        <v>0.3</v>
      </c>
      <c r="K74" s="153">
        <f t="shared" ref="K74:K85" si="63">I74/(100%-J72)</f>
        <v>0</v>
      </c>
      <c r="L74" s="54" t="e">
        <f>_xlfn.XLOOKUP(D74,[1]Юнит!$E:$E,[1]Юнит!$AR:$AR)</f>
        <v>#DIV/0!</v>
      </c>
      <c r="M74" s="50">
        <f t="shared" ref="M74:M85" si="64">MROUND(O74-O74*N74,1)</f>
        <v>759</v>
      </c>
      <c r="N74" s="6">
        <f>_xlfn.XLOOKUP($A74,'Текущая цена на ВБ'!$C:$C,'Текущая цена на ВБ'!$K:$K,0,0)%</f>
        <v>0.3</v>
      </c>
      <c r="O74" s="150" t="str">
        <f>_xlfn.XLOOKUP($A74,'Текущая цена на ВБ'!$C:$C,'Текущая цена на ВБ'!$I:$I,0,0)</f>
        <v>1084</v>
      </c>
      <c r="P74" s="54">
        <f>_xlfn.XLOOKUP($A74,[1]Юнит!$A:$A,[1]Юнит!$AJ:$AJ,0)</f>
        <v>0.9069372693726937</v>
      </c>
      <c r="Q74" s="50">
        <f>_xlfn.XLOOKUP($A74,'Акция 1'!$F:$F,'Акция 1'!$L:$L,0,0)</f>
        <v>0</v>
      </c>
      <c r="R74" s="6">
        <f>(_xlfn.XLOOKUP($A74,'Акция 1'!$F:$F,'Акция 1'!$P:$P,0,0))%</f>
        <v>0</v>
      </c>
      <c r="S74" s="13">
        <f t="shared" ref="S74:S85" si="65">Q74/(100%-R74)</f>
        <v>0</v>
      </c>
      <c r="T74" s="50">
        <f>_xlfn.XLOOKUP($A74,'Акция 2'!$F:$F,'Акция 2'!$L:$L,0,0)</f>
        <v>0</v>
      </c>
      <c r="U74" s="6">
        <f>(_xlfn.XLOOKUP($A74,'Акция 2'!$F:$F,'Акция 2'!$O:$O,0,0))%</f>
        <v>0</v>
      </c>
      <c r="V74" s="13">
        <f t="shared" ref="V74:V85" si="66">T74/(100%-U74)</f>
        <v>0</v>
      </c>
      <c r="W74" s="50">
        <f>_xlfn.XLOOKUP($A74,'Акция 3'!$F:$F,'Акция 3'!$L:$L,0,0)</f>
        <v>0</v>
      </c>
      <c r="X74" s="6">
        <f>(_xlfn.XLOOKUP($A74,'Акция 3'!$F:$F,'Акция 3'!$P:$P,0,0))%</f>
        <v>0</v>
      </c>
      <c r="Y74" s="13">
        <f t="shared" si="48"/>
        <v>0</v>
      </c>
      <c r="Z74" s="50">
        <f>_xlfn.XLOOKUP($A74,'Акция 4'!$F:$F,'Акция 4'!$L:$L,0,0)</f>
        <v>0</v>
      </c>
      <c r="AA74" s="6">
        <f>(_xlfn.XLOOKUP($A74,'Акция 4'!$F:$F,'Акция 4'!$P:$P,0,0))%</f>
        <v>0</v>
      </c>
      <c r="AB74" s="13">
        <f t="shared" ref="AB74:AB85" si="67">Z74/(100%-AA74)</f>
        <v>0</v>
      </c>
      <c r="AC74" s="50">
        <f>_xlfn.XLOOKUP($A74,'Акция 5'!$F:$F,'Акция 5'!$L:$L,0,0)</f>
        <v>0</v>
      </c>
      <c r="AD74" s="6">
        <f>(_xlfn.XLOOKUP($A74,'Акция 5'!$F:$F,'Акция 5'!O:O,0,0))%</f>
        <v>0</v>
      </c>
      <c r="AE74" s="13">
        <f t="shared" ref="AE74:AE85" si="68">AC74/(100%-AD74)</f>
        <v>0</v>
      </c>
      <c r="AF74" s="50">
        <f>_xlfn.XLOOKUP($A74,'Акция 6'!$F:$F,'Акция 6'!$L:$L,0,0)</f>
        <v>0</v>
      </c>
      <c r="AG74" s="6">
        <f>(_xlfn.XLOOKUP($A74,'Акция 6'!$F:$F,'Акция 6'!$O:$O,0,0))%</f>
        <v>0</v>
      </c>
      <c r="AH74" s="13">
        <f t="shared" ref="AH74:AH85" si="69">AF74/(100%-AG74)</f>
        <v>0</v>
      </c>
      <c r="AI74" s="50">
        <f>_xlfn.XLOOKUP($A74,'Акция 7'!$F:$F,'Акция 7'!$L:$L,0,0)</f>
        <v>0</v>
      </c>
      <c r="AJ74" s="6">
        <f>(_xlfn.XLOOKUP($A74,'Акция 7'!$F:$F,'Акция 7'!$O:$O,0,0))%</f>
        <v>0</v>
      </c>
      <c r="AK74" s="13">
        <f t="shared" ref="AK74:AK85" si="70">AI74/(100%-AJ74)</f>
        <v>0</v>
      </c>
      <c r="AL74" s="50">
        <f>_xlfn.XLOOKUP($A74,'Акция 8'!$F:$F,'Акция 8'!$L:$L,0,0)</f>
        <v>0</v>
      </c>
      <c r="AM74" s="6">
        <f>(_xlfn.XLOOKUP($A74,'Акция 8'!$F:$F,'Акция 8'!$S:$S,0,0))%</f>
        <v>0</v>
      </c>
      <c r="AN74" s="13">
        <f t="shared" ref="AN74:AN85" si="71">AL74/(100%-AM74)</f>
        <v>0</v>
      </c>
      <c r="AO74" s="50">
        <f>_xlfn.XLOOKUP($A74,'Акция 9'!$F:$F,'Акция 9'!$L:$L,0,0)</f>
        <v>0</v>
      </c>
      <c r="AP74" s="6">
        <f>(_xlfn.XLOOKUP($A74,'Акция 9'!$F:$F,'Акция 9'!$O:$O,0,0))%</f>
        <v>0</v>
      </c>
      <c r="AQ74" s="13">
        <f t="shared" ref="AQ74:AQ85" si="72">AO74/(100%-AP74)</f>
        <v>0</v>
      </c>
      <c r="AR74" s="50">
        <f>_xlfn.XLOOKUP($A74,'Акция 10'!$F:$F,'Акция 10'!$L:$L,0,0)</f>
        <v>0</v>
      </c>
      <c r="AS74" s="6">
        <f>(_xlfn.XLOOKUP($A74,'Акция 10'!$F:$F,'Акция 10'!$O:$O,0,0))%</f>
        <v>0</v>
      </c>
      <c r="AT74" s="13">
        <f t="shared" ref="AT74:AT85" si="73">AR74/(100%-AS74)</f>
        <v>0</v>
      </c>
      <c r="AU74" s="50">
        <f>_xlfn.XLOOKUP($A74,'Акция 11'!$F:$F,'Акция 11'!$L:$L,0,0)</f>
        <v>0</v>
      </c>
      <c r="AV74" s="6">
        <f>(_xlfn.XLOOKUP($A74,'Акция 11'!$F:$F,'Акция 11'!$O:$O,0,0))%</f>
        <v>0</v>
      </c>
      <c r="AW74" s="13">
        <f t="shared" ref="AW74:AW85" si="74">AU74/(100%-AV74)</f>
        <v>0</v>
      </c>
      <c r="AX74" s="50"/>
      <c r="AY74" s="6"/>
      <c r="AZ74" s="13"/>
      <c r="BA74" s="17">
        <f t="shared" ref="BA74:BA85" si="75">MAX($Q74,$T74,W74,Z74,AC74,AF74,AL74,AO74,AR74,AU74,AX74,AI74)</f>
        <v>0</v>
      </c>
      <c r="BB74" s="38">
        <f t="shared" ref="BB74:BB85" si="76">IF(BA74=0,0,_xlfn.XLOOKUP($BA74,$Q74:$AZ74,$Q$1:$AZ$1,0,0))</f>
        <v>0</v>
      </c>
      <c r="BC74" s="33">
        <f t="shared" si="38"/>
        <v>0</v>
      </c>
      <c r="BD74" s="5">
        <f t="shared" ref="BD74:BD85" si="77">IF(BA74=0,0,$BD$3)</f>
        <v>0</v>
      </c>
      <c r="BE74" s="53">
        <f t="shared" ref="BE74:BE85" si="78">BC74/(100%-BD74)</f>
        <v>0</v>
      </c>
      <c r="BF74" s="54">
        <f>_xlfn.XLOOKUP(A74,[1]Юнит!$A:$A,[1]Юнит!$AU:$AU,0)</f>
        <v>0</v>
      </c>
      <c r="BG74" s="54">
        <f t="shared" ref="BG74:BG85" si="79">P74</f>
        <v>0.9069372693726937</v>
      </c>
      <c r="BH74" s="5"/>
      <c r="BI74" s="78">
        <f t="shared" ref="BI74:BI85" si="80">MROUND(IF($BH74="*",$BE74,K74),1)</f>
        <v>0</v>
      </c>
      <c r="BJ74" s="85">
        <f t="shared" ref="BJ74:BJ85" si="81">IF($BH74="*",$BD74,J74)</f>
        <v>0.3</v>
      </c>
      <c r="BK74" s="88">
        <f t="shared" ref="BK74:BK85" si="82">MROUND(BI74-BI74*BJ74,1)</f>
        <v>0</v>
      </c>
      <c r="BL74" s="79">
        <f t="shared" ref="BL74:BL85" si="83">IF(BH74="*",1,0)</f>
        <v>0</v>
      </c>
      <c r="BM74" s="81">
        <f>_xlfn.XLOOKUP(A74,'Текущая цена на ВБ'!C:C,'Текущая цена на ВБ'!F:F)</f>
        <v>0</v>
      </c>
      <c r="BN74" s="84">
        <f>_xlfn.XLOOKUP(A74,'Текущая цена на ВБ'!C:C,'Текущая цена на ВБ'!H:H)</f>
        <v>1</v>
      </c>
    </row>
    <row r="75" spans="1:66" ht="24.95" customHeight="1" x14ac:dyDescent="0.25">
      <c r="A75" s="133">
        <f>[1]Юнит!A74</f>
        <v>273588520</v>
      </c>
      <c r="B75" s="133" t="str">
        <f>[1]Юнит!C74</f>
        <v>AAND1RP301BG</v>
      </c>
      <c r="C75" s="134" t="str">
        <f>[1]Юнит!D74</f>
        <v>Канат бол бежевый 55см/520гр</v>
      </c>
      <c r="D75" s="135">
        <f>[1]Юнит!E74</f>
        <v>2041534216404</v>
      </c>
      <c r="E75" s="50">
        <v>970</v>
      </c>
      <c r="F75" s="6">
        <v>0.4</v>
      </c>
      <c r="G75" s="150" t="s">
        <v>389</v>
      </c>
      <c r="H75" s="54">
        <v>-9.8097138846455559E-2</v>
      </c>
      <c r="I75" s="71">
        <f>_xlfn.XLOOKUP(D75,[1]Юнит!$E:$E,[1]Юнит!$AN:$AN)</f>
        <v>1459</v>
      </c>
      <c r="J75" s="6">
        <f t="shared" si="43"/>
        <v>0.3</v>
      </c>
      <c r="K75" s="153">
        <f t="shared" si="63"/>
        <v>2084.2857142857142</v>
      </c>
      <c r="L75" s="54">
        <f>_xlfn.XLOOKUP(D75,[1]Юнит!$E:$E,[1]Юнит!$AR:$AR)</f>
        <v>0.24706275531185745</v>
      </c>
      <c r="M75" s="50">
        <f t="shared" si="64"/>
        <v>970</v>
      </c>
      <c r="N75" s="6">
        <f>_xlfn.XLOOKUP($A75,'Текущая цена на ВБ'!$C:$C,'Текущая цена на ВБ'!$K:$K,0,0)%</f>
        <v>0.4</v>
      </c>
      <c r="O75" s="150" t="str">
        <f>_xlfn.XLOOKUP($A75,'Текущая цена на ВБ'!$C:$C,'Текущая цена на ВБ'!$I:$I,0,0)</f>
        <v>1617</v>
      </c>
      <c r="P75" s="54">
        <f>_xlfn.XLOOKUP($A75,[1]Юнит!$A:$A,[1]Юнит!$AJ:$AJ,0)</f>
        <v>-9.7010348381777037E-2</v>
      </c>
      <c r="Q75" s="50">
        <f>_xlfn.XLOOKUP($A75,'Акция 1'!$F:$F,'Акция 1'!$L:$L,0,0)</f>
        <v>970</v>
      </c>
      <c r="R75" s="6">
        <f>(_xlfn.XLOOKUP($A75,'Акция 1'!$F:$F,'Акция 1'!$P:$P,0,0))%</f>
        <v>0.47</v>
      </c>
      <c r="S75" s="13">
        <f t="shared" si="65"/>
        <v>1830.1886792452829</v>
      </c>
      <c r="T75" s="50">
        <f>_xlfn.XLOOKUP($A75,'Акция 2'!$F:$F,'Акция 2'!$L:$L,0,0)</f>
        <v>0</v>
      </c>
      <c r="U75" s="6">
        <f>(_xlfn.XLOOKUP($A75,'Акция 2'!$F:$F,'Акция 2'!$O:$O,0,0))%</f>
        <v>0</v>
      </c>
      <c r="V75" s="13">
        <f t="shared" si="66"/>
        <v>0</v>
      </c>
      <c r="W75" s="50">
        <f>_xlfn.XLOOKUP($A75,'Акция 3'!$F:$F,'Акция 3'!$L:$L,0,0)</f>
        <v>950</v>
      </c>
      <c r="X75" s="6">
        <f>(_xlfn.XLOOKUP($A75,'Акция 3'!$F:$F,'Акция 3'!$P:$P,0,0))%</f>
        <v>0.48</v>
      </c>
      <c r="Y75" s="13">
        <f t="shared" si="48"/>
        <v>1826.9230769230769</v>
      </c>
      <c r="Z75" s="50">
        <f>_xlfn.XLOOKUP($A75,'Акция 4'!$F:$F,'Акция 4'!$L:$L,0,0)</f>
        <v>0</v>
      </c>
      <c r="AA75" s="6">
        <f>(_xlfn.XLOOKUP($A75,'Акция 4'!$F:$F,'Акция 4'!$P:$P,0,0))%</f>
        <v>0</v>
      </c>
      <c r="AB75" s="13">
        <f t="shared" si="67"/>
        <v>0</v>
      </c>
      <c r="AC75" s="50">
        <f>_xlfn.XLOOKUP($A75,'Акция 5'!$F:$F,'Акция 5'!$L:$L,0,0)</f>
        <v>0</v>
      </c>
      <c r="AD75" s="6">
        <f>(_xlfn.XLOOKUP($A75,'Акция 5'!$F:$F,'Акция 5'!O:O,0,0))%</f>
        <v>0</v>
      </c>
      <c r="AE75" s="13">
        <f t="shared" si="68"/>
        <v>0</v>
      </c>
      <c r="AF75" s="50">
        <f>_xlfn.XLOOKUP($A75,'Акция 6'!$F:$F,'Акция 6'!$L:$L,0,0)</f>
        <v>0</v>
      </c>
      <c r="AG75" s="6">
        <f>(_xlfn.XLOOKUP($A75,'Акция 6'!$F:$F,'Акция 6'!$O:$O,0,0))%</f>
        <v>0</v>
      </c>
      <c r="AH75" s="13">
        <f t="shared" si="69"/>
        <v>0</v>
      </c>
      <c r="AI75" s="50">
        <f>_xlfn.XLOOKUP($A75,'Акция 7'!$F:$F,'Акция 7'!$L:$L,0,0)</f>
        <v>0</v>
      </c>
      <c r="AJ75" s="6">
        <f>(_xlfn.XLOOKUP($A75,'Акция 7'!$F:$F,'Акция 7'!$O:$O,0,0))%</f>
        <v>0</v>
      </c>
      <c r="AK75" s="13">
        <f t="shared" si="70"/>
        <v>0</v>
      </c>
      <c r="AL75" s="50">
        <f>_xlfn.XLOOKUP($A75,'Акция 8'!$F:$F,'Акция 8'!$L:$L,0,0)</f>
        <v>0</v>
      </c>
      <c r="AM75" s="6">
        <f>(_xlfn.XLOOKUP($A75,'Акция 8'!$F:$F,'Акция 8'!$S:$S,0,0))%</f>
        <v>0</v>
      </c>
      <c r="AN75" s="13">
        <f t="shared" si="71"/>
        <v>0</v>
      </c>
      <c r="AO75" s="50">
        <f>_xlfn.XLOOKUP($A75,'Акция 9'!$F:$F,'Акция 9'!$L:$L,0,0)</f>
        <v>0</v>
      </c>
      <c r="AP75" s="6">
        <f>(_xlfn.XLOOKUP($A75,'Акция 9'!$F:$F,'Акция 9'!$O:$O,0,0))%</f>
        <v>0</v>
      </c>
      <c r="AQ75" s="13">
        <f t="shared" si="72"/>
        <v>0</v>
      </c>
      <c r="AR75" s="50">
        <f>_xlfn.XLOOKUP($A75,'Акция 10'!$F:$F,'Акция 10'!$L:$L,0,0)</f>
        <v>0</v>
      </c>
      <c r="AS75" s="6">
        <f>(_xlfn.XLOOKUP($A75,'Акция 10'!$F:$F,'Акция 10'!$O:$O,0,0))%</f>
        <v>0</v>
      </c>
      <c r="AT75" s="13">
        <f t="shared" si="73"/>
        <v>0</v>
      </c>
      <c r="AU75" s="50">
        <f>_xlfn.XLOOKUP($A75,'Акция 11'!$F:$F,'Акция 11'!$L:$L,0,0)</f>
        <v>0</v>
      </c>
      <c r="AV75" s="6">
        <f>(_xlfn.XLOOKUP($A75,'Акция 11'!$F:$F,'Акция 11'!$O:$O,0,0))%</f>
        <v>0</v>
      </c>
      <c r="AW75" s="13">
        <f t="shared" si="74"/>
        <v>0</v>
      </c>
      <c r="AX75" s="50"/>
      <c r="AY75" s="6"/>
      <c r="AZ75" s="13"/>
      <c r="BA75" s="17">
        <f t="shared" si="75"/>
        <v>970</v>
      </c>
      <c r="BB75" s="38">
        <f t="shared" si="76"/>
        <v>1</v>
      </c>
      <c r="BC75" s="33">
        <f t="shared" si="38"/>
        <v>970</v>
      </c>
      <c r="BD75" s="5">
        <f t="shared" si="77"/>
        <v>0.4</v>
      </c>
      <c r="BE75" s="53">
        <f t="shared" si="78"/>
        <v>1616.6666666666667</v>
      </c>
      <c r="BF75" s="54">
        <f>_xlfn.XLOOKUP(A75,[1]Юнит!$A:$A,[1]Юнит!$AU:$AU,0)</f>
        <v>-9.7222103092783507E-2</v>
      </c>
      <c r="BG75" s="54">
        <f t="shared" si="79"/>
        <v>-9.7010348381777037E-2</v>
      </c>
      <c r="BH75" s="5" t="s">
        <v>287</v>
      </c>
      <c r="BI75" s="78">
        <f t="shared" si="80"/>
        <v>1617</v>
      </c>
      <c r="BJ75" s="85">
        <f t="shared" si="81"/>
        <v>0.4</v>
      </c>
      <c r="BK75" s="88">
        <f t="shared" si="82"/>
        <v>970</v>
      </c>
      <c r="BL75" s="79">
        <f t="shared" si="83"/>
        <v>1</v>
      </c>
      <c r="BM75" s="81">
        <f>_xlfn.XLOOKUP(A75,'Текущая цена на ВБ'!C:C,'Текущая цена на ВБ'!F:F)</f>
        <v>6</v>
      </c>
      <c r="BN75" s="84">
        <f>_xlfn.XLOOKUP(A75,'Текущая цена на ВБ'!C:C,'Текущая цена на ВБ'!H:H)</f>
        <v>203</v>
      </c>
    </row>
    <row r="76" spans="1:66" ht="24.95" customHeight="1" x14ac:dyDescent="0.25">
      <c r="A76" s="133">
        <f>[1]Юнит!A75</f>
        <v>273589771</v>
      </c>
      <c r="B76" s="133" t="str">
        <f>[1]Юнит!C75</f>
        <v>AAND1RP301YL</v>
      </c>
      <c r="C76" s="134" t="str">
        <f>[1]Юнит!D75</f>
        <v>Канат мал желтый 55см/330гр</v>
      </c>
      <c r="D76" s="135">
        <f>[1]Юнит!E75</f>
        <v>2041534288661</v>
      </c>
      <c r="E76" s="50">
        <v>1038</v>
      </c>
      <c r="F76" s="6">
        <v>0.4</v>
      </c>
      <c r="G76" s="150" t="s">
        <v>391</v>
      </c>
      <c r="H76" s="54">
        <v>-0.73189791983764607</v>
      </c>
      <c r="I76" s="71">
        <f>_xlfn.XLOOKUP(D76,[1]Юнит!$E:$E,[1]Юнит!$AN:$AN)</f>
        <v>1059</v>
      </c>
      <c r="J76" s="6">
        <f t="shared" si="43"/>
        <v>0.3</v>
      </c>
      <c r="K76" s="153">
        <f t="shared" si="63"/>
        <v>1512.8571428571429</v>
      </c>
      <c r="L76" s="54">
        <f>_xlfn.XLOOKUP(D76,[1]Юнит!$E:$E,[1]Юнит!$AR:$AR)</f>
        <v>0.15769329556185083</v>
      </c>
      <c r="M76" s="50">
        <f t="shared" si="64"/>
        <v>1038</v>
      </c>
      <c r="N76" s="6">
        <f>_xlfn.XLOOKUP($A76,'Текущая цена на ВБ'!$C:$C,'Текущая цена на ВБ'!$K:$K,0,0)%</f>
        <v>0.4</v>
      </c>
      <c r="O76" s="150" t="str">
        <f>_xlfn.XLOOKUP($A76,'Текущая цена на ВБ'!$C:$C,'Текущая цена на ВБ'!$I:$I,0,0)</f>
        <v>1730</v>
      </c>
      <c r="P76" s="54">
        <f>_xlfn.XLOOKUP($A76,[1]Юнит!$A:$A,[1]Юнит!$AJ:$AJ,0)</f>
        <v>0.14206859344894027</v>
      </c>
      <c r="Q76" s="50">
        <f>_xlfn.XLOOKUP($A76,'Акция 1'!$F:$F,'Акция 1'!$L:$L,0,0)</f>
        <v>1038</v>
      </c>
      <c r="R76" s="6">
        <f>(_xlfn.XLOOKUP($A76,'Акция 1'!$F:$F,'Акция 1'!$P:$P,0,0))%</f>
        <v>0.4</v>
      </c>
      <c r="S76" s="13">
        <f t="shared" si="65"/>
        <v>1730</v>
      </c>
      <c r="T76" s="50">
        <f>_xlfn.XLOOKUP($A76,'Акция 2'!$F:$F,'Акция 2'!$L:$L,0,0)</f>
        <v>0</v>
      </c>
      <c r="U76" s="6">
        <f>(_xlfn.XLOOKUP($A76,'Акция 2'!$F:$F,'Акция 2'!$O:$O,0,0))%</f>
        <v>0</v>
      </c>
      <c r="V76" s="13">
        <f t="shared" si="66"/>
        <v>0</v>
      </c>
      <c r="W76" s="50">
        <f>_xlfn.XLOOKUP($A76,'Акция 3'!$F:$F,'Акция 3'!$L:$L,0,0)</f>
        <v>318</v>
      </c>
      <c r="X76" s="6">
        <f>(_xlfn.XLOOKUP($A76,'Акция 3'!$F:$F,'Акция 3'!$P:$P,0,0))%</f>
        <v>0.52</v>
      </c>
      <c r="Y76" s="13">
        <f t="shared" si="48"/>
        <v>662.5</v>
      </c>
      <c r="Z76" s="50">
        <f>_xlfn.XLOOKUP($A76,'Акция 4'!$F:$F,'Акция 4'!$L:$L,0,0)</f>
        <v>0</v>
      </c>
      <c r="AA76" s="6">
        <f>(_xlfn.XLOOKUP($A76,'Акция 4'!$F:$F,'Акция 4'!$P:$P,0,0))%</f>
        <v>0</v>
      </c>
      <c r="AB76" s="13">
        <f t="shared" si="67"/>
        <v>0</v>
      </c>
      <c r="AC76" s="50">
        <f>_xlfn.XLOOKUP($A76,'Акция 5'!$F:$F,'Акция 5'!$L:$L,0,0)</f>
        <v>0</v>
      </c>
      <c r="AD76" s="6">
        <f>(_xlfn.XLOOKUP($A76,'Акция 5'!$F:$F,'Акция 5'!O:O,0,0))%</f>
        <v>0</v>
      </c>
      <c r="AE76" s="13">
        <f t="shared" si="68"/>
        <v>0</v>
      </c>
      <c r="AF76" s="50">
        <f>_xlfn.XLOOKUP($A76,'Акция 6'!$F:$F,'Акция 6'!$L:$L,0,0)</f>
        <v>0</v>
      </c>
      <c r="AG76" s="6">
        <f>(_xlfn.XLOOKUP($A76,'Акция 6'!$F:$F,'Акция 6'!$O:$O,0,0))%</f>
        <v>0</v>
      </c>
      <c r="AH76" s="13">
        <f t="shared" si="69"/>
        <v>0</v>
      </c>
      <c r="AI76" s="50">
        <f>_xlfn.XLOOKUP($A76,'Акция 7'!$F:$F,'Акция 7'!$L:$L,0,0)</f>
        <v>0</v>
      </c>
      <c r="AJ76" s="6">
        <f>(_xlfn.XLOOKUP($A76,'Акция 7'!$F:$F,'Акция 7'!$O:$O,0,0))%</f>
        <v>0</v>
      </c>
      <c r="AK76" s="13">
        <f t="shared" si="70"/>
        <v>0</v>
      </c>
      <c r="AL76" s="50">
        <f>_xlfn.XLOOKUP($A76,'Акция 8'!$F:$F,'Акция 8'!$L:$L,0,0)</f>
        <v>0</v>
      </c>
      <c r="AM76" s="6">
        <f>(_xlfn.XLOOKUP($A76,'Акция 8'!$F:$F,'Акция 8'!$S:$S,0,0))%</f>
        <v>0</v>
      </c>
      <c r="AN76" s="13">
        <f t="shared" si="71"/>
        <v>0</v>
      </c>
      <c r="AO76" s="50">
        <f>_xlfn.XLOOKUP($A76,'Акция 9'!$F:$F,'Акция 9'!$L:$L,0,0)</f>
        <v>0</v>
      </c>
      <c r="AP76" s="6">
        <f>(_xlfn.XLOOKUP($A76,'Акция 9'!$F:$F,'Акция 9'!$O:$O,0,0))%</f>
        <v>0</v>
      </c>
      <c r="AQ76" s="13">
        <f t="shared" si="72"/>
        <v>0</v>
      </c>
      <c r="AR76" s="50">
        <f>_xlfn.XLOOKUP($A76,'Акция 10'!$F:$F,'Акция 10'!$L:$L,0,0)</f>
        <v>0</v>
      </c>
      <c r="AS76" s="6">
        <f>(_xlfn.XLOOKUP($A76,'Акция 10'!$F:$F,'Акция 10'!$O:$O,0,0))%</f>
        <v>0</v>
      </c>
      <c r="AT76" s="13">
        <f t="shared" si="73"/>
        <v>0</v>
      </c>
      <c r="AU76" s="50">
        <f>_xlfn.XLOOKUP($A76,'Акция 11'!$F:$F,'Акция 11'!$L:$L,0,0)</f>
        <v>0</v>
      </c>
      <c r="AV76" s="6">
        <f>(_xlfn.XLOOKUP($A76,'Акция 11'!$F:$F,'Акция 11'!$O:$O,0,0))%</f>
        <v>0</v>
      </c>
      <c r="AW76" s="13">
        <f t="shared" si="74"/>
        <v>0</v>
      </c>
      <c r="AX76" s="50"/>
      <c r="AY76" s="6"/>
      <c r="AZ76" s="13"/>
      <c r="BA76" s="17">
        <f t="shared" si="75"/>
        <v>1038</v>
      </c>
      <c r="BB76" s="38">
        <f t="shared" si="76"/>
        <v>1</v>
      </c>
      <c r="BC76" s="33">
        <f t="shared" si="38"/>
        <v>1038</v>
      </c>
      <c r="BD76" s="5">
        <f t="shared" si="77"/>
        <v>0.4</v>
      </c>
      <c r="BE76" s="53">
        <f t="shared" si="78"/>
        <v>1730</v>
      </c>
      <c r="BF76" s="54">
        <f>_xlfn.XLOOKUP(A76,[1]Юнит!$A:$A,[1]Юнит!$AU:$AU,0)</f>
        <v>0.14206859344894027</v>
      </c>
      <c r="BG76" s="54">
        <f t="shared" si="79"/>
        <v>0.14206859344894027</v>
      </c>
      <c r="BH76" s="5" t="s">
        <v>287</v>
      </c>
      <c r="BI76" s="78">
        <f t="shared" si="80"/>
        <v>1730</v>
      </c>
      <c r="BJ76" s="85">
        <f t="shared" si="81"/>
        <v>0.4</v>
      </c>
      <c r="BK76" s="88">
        <f t="shared" si="82"/>
        <v>1038</v>
      </c>
      <c r="BL76" s="79">
        <f t="shared" si="83"/>
        <v>1</v>
      </c>
      <c r="BM76" s="81">
        <f>_xlfn.XLOOKUP(A76,'Текущая цена на ВБ'!C:C,'Текущая цена на ВБ'!F:F)</f>
        <v>10</v>
      </c>
      <c r="BN76" s="84">
        <f>_xlfn.XLOOKUP(A76,'Текущая цена на ВБ'!C:C,'Текущая цена на ВБ'!H:H)</f>
        <v>94</v>
      </c>
    </row>
    <row r="77" spans="1:66" ht="24.95" customHeight="1" x14ac:dyDescent="0.25">
      <c r="A77" s="133">
        <f>[1]Юнит!A76</f>
        <v>273556717</v>
      </c>
      <c r="B77" s="133" t="str">
        <f>[1]Юнит!C76</f>
        <v>AKTA4ST101CL</v>
      </c>
      <c r="C77" s="134" t="str">
        <f>[1]Юнит!D76</f>
        <v>Набор пробок 4 шт. в коробке нежн</v>
      </c>
      <c r="D77" s="135">
        <f>[1]Юнит!E76</f>
        <v>2041533648312</v>
      </c>
      <c r="E77" s="50">
        <v>521</v>
      </c>
      <c r="F77" s="6">
        <v>0.4</v>
      </c>
      <c r="G77" s="150" t="s">
        <v>403</v>
      </c>
      <c r="H77" s="54">
        <v>0.11218644571973421</v>
      </c>
      <c r="I77" s="71">
        <f>_xlfn.XLOOKUP(D77,[1]Юнит!$E:$E,[1]Юнит!$AN:$AN)</f>
        <v>699</v>
      </c>
      <c r="J77" s="6">
        <f t="shared" si="43"/>
        <v>0.3</v>
      </c>
      <c r="K77" s="153">
        <f t="shared" si="63"/>
        <v>998.57142857142867</v>
      </c>
      <c r="L77" s="54">
        <f>_xlfn.XLOOKUP(D77,[1]Юнит!$E:$E,[1]Юнит!$AR:$AR)</f>
        <v>0.32301458742312167</v>
      </c>
      <c r="M77" s="50">
        <f t="shared" si="64"/>
        <v>521</v>
      </c>
      <c r="N77" s="6">
        <f>_xlfn.XLOOKUP($A77,'Текущая цена на ВБ'!$C:$C,'Текущая цена на ВБ'!$K:$K,0,0)%</f>
        <v>0.4</v>
      </c>
      <c r="O77" s="150" t="str">
        <f>_xlfn.XLOOKUP($A77,'Текущая цена на ВБ'!$C:$C,'Текущая цена на ВБ'!$I:$I,0,0)</f>
        <v>868</v>
      </c>
      <c r="P77" s="54">
        <f>_xlfn.XLOOKUP($A77,[1]Юнит!$A:$A,[1]Юнит!$AJ:$AJ,0)</f>
        <v>0.11532487828103302</v>
      </c>
      <c r="Q77" s="50">
        <f>_xlfn.XLOOKUP($A77,'Акция 1'!$F:$F,'Акция 1'!$L:$L,0,0)</f>
        <v>521</v>
      </c>
      <c r="R77" s="6">
        <f>(_xlfn.XLOOKUP($A77,'Акция 1'!$F:$F,'Акция 1'!$P:$P,0,0))%</f>
        <v>0.41</v>
      </c>
      <c r="S77" s="13">
        <f t="shared" si="65"/>
        <v>883.05084745762701</v>
      </c>
      <c r="T77" s="50">
        <f>_xlfn.XLOOKUP($A77,'Акция 2'!$F:$F,'Акция 2'!$L:$L,0,0)</f>
        <v>0</v>
      </c>
      <c r="U77" s="6">
        <f>(_xlfn.XLOOKUP($A77,'Акция 2'!$F:$F,'Акция 2'!$O:$O,0,0))%</f>
        <v>0</v>
      </c>
      <c r="V77" s="13">
        <f t="shared" si="66"/>
        <v>0</v>
      </c>
      <c r="W77" s="50">
        <f>_xlfn.XLOOKUP($A77,'Акция 3'!$F:$F,'Акция 3'!$L:$L,0,0)</f>
        <v>410</v>
      </c>
      <c r="X77" s="6">
        <f>(_xlfn.XLOOKUP($A77,'Акция 3'!$F:$F,'Акция 3'!$P:$P,0,0))%</f>
        <v>0.54</v>
      </c>
      <c r="Y77" s="13">
        <f t="shared" si="48"/>
        <v>891.304347826087</v>
      </c>
      <c r="Z77" s="50">
        <f>_xlfn.XLOOKUP($A77,'Акция 4'!$F:$F,'Акция 4'!$L:$L,0,0)</f>
        <v>0</v>
      </c>
      <c r="AA77" s="6">
        <f>(_xlfn.XLOOKUP($A77,'Акция 4'!$F:$F,'Акция 4'!$P:$P,0,0))%</f>
        <v>0</v>
      </c>
      <c r="AB77" s="13">
        <f t="shared" si="67"/>
        <v>0</v>
      </c>
      <c r="AC77" s="50">
        <f>_xlfn.XLOOKUP($A77,'Акция 5'!$F:$F,'Акция 5'!$L:$L,0,0)</f>
        <v>0</v>
      </c>
      <c r="AD77" s="6">
        <f>(_xlfn.XLOOKUP($A77,'Акция 5'!$F:$F,'Акция 5'!O:O,0,0))%</f>
        <v>0</v>
      </c>
      <c r="AE77" s="13">
        <f t="shared" si="68"/>
        <v>0</v>
      </c>
      <c r="AF77" s="50">
        <f>_xlfn.XLOOKUP($A77,'Акция 6'!$F:$F,'Акция 6'!$L:$L,0,0)</f>
        <v>0</v>
      </c>
      <c r="AG77" s="6">
        <f>(_xlfn.XLOOKUP($A77,'Акция 6'!$F:$F,'Акция 6'!$O:$O,0,0))%</f>
        <v>0</v>
      </c>
      <c r="AH77" s="13">
        <f t="shared" si="69"/>
        <v>0</v>
      </c>
      <c r="AI77" s="50">
        <f>_xlfn.XLOOKUP($A77,'Акция 7'!$F:$F,'Акция 7'!$L:$L,0,0)</f>
        <v>0</v>
      </c>
      <c r="AJ77" s="6">
        <f>(_xlfn.XLOOKUP($A77,'Акция 7'!$F:$F,'Акция 7'!$O:$O,0,0))%</f>
        <v>0</v>
      </c>
      <c r="AK77" s="13">
        <f t="shared" si="70"/>
        <v>0</v>
      </c>
      <c r="AL77" s="50">
        <f>_xlfn.XLOOKUP($A77,'Акция 8'!$F:$F,'Акция 8'!$L:$L,0,0)</f>
        <v>0</v>
      </c>
      <c r="AM77" s="6">
        <f>(_xlfn.XLOOKUP($A77,'Акция 8'!$F:$F,'Акция 8'!$S:$S,0,0))%</f>
        <v>0</v>
      </c>
      <c r="AN77" s="13">
        <f t="shared" si="71"/>
        <v>0</v>
      </c>
      <c r="AO77" s="50">
        <f>_xlfn.XLOOKUP($A77,'Акция 9'!$F:$F,'Акция 9'!$L:$L,0,0)</f>
        <v>0</v>
      </c>
      <c r="AP77" s="6">
        <f>(_xlfn.XLOOKUP($A77,'Акция 9'!$F:$F,'Акция 9'!$O:$O,0,0))%</f>
        <v>0</v>
      </c>
      <c r="AQ77" s="13">
        <f t="shared" si="72"/>
        <v>0</v>
      </c>
      <c r="AR77" s="50">
        <f>_xlfn.XLOOKUP($A77,'Акция 10'!$F:$F,'Акция 10'!$L:$L,0,0)</f>
        <v>0</v>
      </c>
      <c r="AS77" s="6">
        <f>(_xlfn.XLOOKUP($A77,'Акция 10'!$F:$F,'Акция 10'!$O:$O,0,0))%</f>
        <v>0</v>
      </c>
      <c r="AT77" s="13">
        <f t="shared" si="73"/>
        <v>0</v>
      </c>
      <c r="AU77" s="50">
        <f>_xlfn.XLOOKUP($A77,'Акция 11'!$F:$F,'Акция 11'!$L:$L,0,0)</f>
        <v>0</v>
      </c>
      <c r="AV77" s="6">
        <f>(_xlfn.XLOOKUP($A77,'Акция 11'!$F:$F,'Акция 11'!$O:$O,0,0))%</f>
        <v>0</v>
      </c>
      <c r="AW77" s="13">
        <f t="shared" si="74"/>
        <v>0</v>
      </c>
      <c r="AX77" s="50"/>
      <c r="AY77" s="6"/>
      <c r="AZ77" s="13"/>
      <c r="BA77" s="17">
        <f t="shared" si="75"/>
        <v>521</v>
      </c>
      <c r="BB77" s="38">
        <f t="shared" si="76"/>
        <v>1</v>
      </c>
      <c r="BC77" s="33">
        <f t="shared" si="38"/>
        <v>521</v>
      </c>
      <c r="BD77" s="5">
        <f t="shared" si="77"/>
        <v>0.4</v>
      </c>
      <c r="BE77" s="53">
        <f t="shared" si="78"/>
        <v>868.33333333333337</v>
      </c>
      <c r="BF77" s="54">
        <f>_xlfn.XLOOKUP(A77,[1]Юнит!$A:$A,[1]Юнит!$AU:$AU,0)</f>
        <v>0.1156376134525183</v>
      </c>
      <c r="BG77" s="54">
        <f t="shared" si="79"/>
        <v>0.11532487828103302</v>
      </c>
      <c r="BH77" s="5" t="s">
        <v>287</v>
      </c>
      <c r="BI77" s="78">
        <f t="shared" si="80"/>
        <v>868</v>
      </c>
      <c r="BJ77" s="85">
        <f t="shared" si="81"/>
        <v>0.4</v>
      </c>
      <c r="BK77" s="88">
        <f t="shared" si="82"/>
        <v>521</v>
      </c>
      <c r="BL77" s="79">
        <f t="shared" si="83"/>
        <v>1</v>
      </c>
      <c r="BM77" s="81">
        <f>_xlfn.XLOOKUP(A77,'Текущая цена на ВБ'!C:C,'Текущая цена на ВБ'!F:F)</f>
        <v>134</v>
      </c>
      <c r="BN77" s="84">
        <f>_xlfn.XLOOKUP(A77,'Текущая цена на ВБ'!C:C,'Текущая цена на ВБ'!H:H)</f>
        <v>193</v>
      </c>
    </row>
    <row r="78" spans="1:66" ht="24.95" customHeight="1" x14ac:dyDescent="0.25">
      <c r="A78" s="133">
        <f>[1]Юнит!A77</f>
        <v>370594147</v>
      </c>
      <c r="B78" s="133" t="str">
        <f>[1]Юнит!C77</f>
        <v>AKTA4ST103CL</v>
      </c>
      <c r="C78" s="134" t="str">
        <f>[1]Юнит!D77</f>
        <v>Набор пробок 4 шт. в коробке ярк</v>
      </c>
      <c r="D78" s="135">
        <f>[1]Юнит!E77</f>
        <v>2043369755509</v>
      </c>
      <c r="E78" s="50">
        <v>692</v>
      </c>
      <c r="F78" s="6">
        <v>0.4</v>
      </c>
      <c r="G78" s="150" t="s">
        <v>399</v>
      </c>
      <c r="H78" s="54">
        <v>0.23312496352695022</v>
      </c>
      <c r="I78" s="71">
        <f>_xlfn.XLOOKUP(D78,[1]Юнит!$E:$E,[1]Юнит!$AN:$AN)</f>
        <v>699</v>
      </c>
      <c r="J78" s="6">
        <f t="shared" si="43"/>
        <v>0.3</v>
      </c>
      <c r="K78" s="153">
        <f t="shared" si="63"/>
        <v>998.57142857142867</v>
      </c>
      <c r="L78" s="54">
        <f>_xlfn.XLOOKUP(D78,[1]Юнит!$E:$E,[1]Юнит!$AR:$AR)</f>
        <v>0.24159999514844346</v>
      </c>
      <c r="M78" s="50">
        <f t="shared" si="64"/>
        <v>692</v>
      </c>
      <c r="N78" s="6">
        <f>_xlfn.XLOOKUP($A78,'Текущая цена на ВБ'!$C:$C,'Текущая цена на ВБ'!$K:$K,0,0)%</f>
        <v>0.4</v>
      </c>
      <c r="O78" s="150" t="str">
        <f>_xlfn.XLOOKUP($A78,'Текущая цена на ВБ'!$C:$C,'Текущая цена на ВБ'!$I:$I,0,0)</f>
        <v>1153</v>
      </c>
      <c r="P78" s="54">
        <f>_xlfn.XLOOKUP($A78,[1]Юнит!$A:$A,[1]Юнит!$AJ:$AJ,0)</f>
        <v>0.23443538104764669</v>
      </c>
      <c r="Q78" s="50">
        <f>_xlfn.XLOOKUP($A78,'Акция 1'!$F:$F,'Акция 1'!$L:$L,0,0)</f>
        <v>692</v>
      </c>
      <c r="R78" s="6">
        <f>(_xlfn.XLOOKUP($A78,'Акция 1'!$F:$F,'Акция 1'!$P:$P,0,0))%</f>
        <v>0.31</v>
      </c>
      <c r="S78" s="13">
        <f t="shared" si="65"/>
        <v>1002.8985507246377</v>
      </c>
      <c r="T78" s="50">
        <f>_xlfn.XLOOKUP($A78,'Акция 2'!$F:$F,'Акция 2'!$L:$L,0,0)</f>
        <v>0</v>
      </c>
      <c r="U78" s="6">
        <f>(_xlfn.XLOOKUP($A78,'Акция 2'!$F:$F,'Акция 2'!$O:$O,0,0))%</f>
        <v>0</v>
      </c>
      <c r="V78" s="13">
        <f t="shared" si="66"/>
        <v>0</v>
      </c>
      <c r="W78" s="50">
        <f>_xlfn.XLOOKUP($A78,'Акция 3'!$F:$F,'Акция 3'!$L:$L,0,0)</f>
        <v>536</v>
      </c>
      <c r="X78" s="6">
        <f>(_xlfn.XLOOKUP($A78,'Акция 3'!$F:$F,'Акция 3'!$P:$P,0,0))%</f>
        <v>0.47</v>
      </c>
      <c r="Y78" s="13">
        <f t="shared" si="48"/>
        <v>1011.3207547169811</v>
      </c>
      <c r="Z78" s="50">
        <f>_xlfn.XLOOKUP($A78,'Акция 4'!$F:$F,'Акция 4'!$L:$L,0,0)</f>
        <v>0</v>
      </c>
      <c r="AA78" s="6">
        <f>(_xlfn.XLOOKUP($A78,'Акция 4'!$F:$F,'Акция 4'!$P:$P,0,0))%</f>
        <v>0</v>
      </c>
      <c r="AB78" s="13">
        <f t="shared" si="67"/>
        <v>0</v>
      </c>
      <c r="AC78" s="50">
        <f>_xlfn.XLOOKUP($A78,'Акция 5'!$F:$F,'Акция 5'!$L:$L,0,0)</f>
        <v>0</v>
      </c>
      <c r="AD78" s="6">
        <f>(_xlfn.XLOOKUP($A78,'Акция 5'!$F:$F,'Акция 5'!O:O,0,0))%</f>
        <v>0</v>
      </c>
      <c r="AE78" s="13">
        <f t="shared" si="68"/>
        <v>0</v>
      </c>
      <c r="AF78" s="50">
        <f>_xlfn.XLOOKUP($A78,'Акция 6'!$F:$F,'Акция 6'!$L:$L,0,0)</f>
        <v>0</v>
      </c>
      <c r="AG78" s="6">
        <f>(_xlfn.XLOOKUP($A78,'Акция 6'!$F:$F,'Акция 6'!$O:$O,0,0))%</f>
        <v>0</v>
      </c>
      <c r="AH78" s="13">
        <f t="shared" si="69"/>
        <v>0</v>
      </c>
      <c r="AI78" s="50">
        <f>_xlfn.XLOOKUP($A78,'Акция 7'!$F:$F,'Акция 7'!$L:$L,0,0)</f>
        <v>0</v>
      </c>
      <c r="AJ78" s="6">
        <f>(_xlfn.XLOOKUP($A78,'Акция 7'!$F:$F,'Акция 7'!$O:$O,0,0))%</f>
        <v>0</v>
      </c>
      <c r="AK78" s="13">
        <f t="shared" si="70"/>
        <v>0</v>
      </c>
      <c r="AL78" s="50">
        <f>_xlfn.XLOOKUP($A78,'Акция 8'!$F:$F,'Акция 8'!$L:$L,0,0)</f>
        <v>0</v>
      </c>
      <c r="AM78" s="6">
        <f>(_xlfn.XLOOKUP($A78,'Акция 8'!$F:$F,'Акция 8'!$S:$S,0,0))%</f>
        <v>0</v>
      </c>
      <c r="AN78" s="13">
        <f t="shared" si="71"/>
        <v>0</v>
      </c>
      <c r="AO78" s="50">
        <f>_xlfn.XLOOKUP($A78,'Акция 9'!$F:$F,'Акция 9'!$L:$L,0,0)</f>
        <v>0</v>
      </c>
      <c r="AP78" s="6">
        <f>(_xlfn.XLOOKUP($A78,'Акция 9'!$F:$F,'Акция 9'!$O:$O,0,0))%</f>
        <v>0</v>
      </c>
      <c r="AQ78" s="13">
        <f t="shared" si="72"/>
        <v>0</v>
      </c>
      <c r="AR78" s="50">
        <f>_xlfn.XLOOKUP($A78,'Акция 10'!$F:$F,'Акция 10'!$L:$L,0,0)</f>
        <v>0</v>
      </c>
      <c r="AS78" s="6">
        <f>(_xlfn.XLOOKUP($A78,'Акция 10'!$F:$F,'Акция 10'!$O:$O,0,0))%</f>
        <v>0</v>
      </c>
      <c r="AT78" s="13">
        <f t="shared" si="73"/>
        <v>0</v>
      </c>
      <c r="AU78" s="50">
        <f>_xlfn.XLOOKUP($A78,'Акция 11'!$F:$F,'Акция 11'!$L:$L,0,0)</f>
        <v>0</v>
      </c>
      <c r="AV78" s="6">
        <f>(_xlfn.XLOOKUP($A78,'Акция 11'!$F:$F,'Акция 11'!$O:$O,0,0))%</f>
        <v>0</v>
      </c>
      <c r="AW78" s="13">
        <f t="shared" si="74"/>
        <v>0</v>
      </c>
      <c r="AX78" s="50"/>
      <c r="AY78" s="6"/>
      <c r="AZ78" s="13"/>
      <c r="BA78" s="17">
        <f t="shared" si="75"/>
        <v>692</v>
      </c>
      <c r="BB78" s="38">
        <f t="shared" si="76"/>
        <v>1</v>
      </c>
      <c r="BC78" s="33">
        <f t="shared" si="38"/>
        <v>692</v>
      </c>
      <c r="BD78" s="5">
        <f t="shared" si="77"/>
        <v>0.4</v>
      </c>
      <c r="BE78" s="53">
        <f t="shared" si="78"/>
        <v>1153.3333333333335</v>
      </c>
      <c r="BF78" s="54">
        <f>_xlfn.XLOOKUP(A78,[1]Юнит!$A:$A,[1]Юнит!$AU:$AU,0)</f>
        <v>0.23463641128433815</v>
      </c>
      <c r="BG78" s="54">
        <f t="shared" si="79"/>
        <v>0.23443538104764669</v>
      </c>
      <c r="BH78" s="5" t="s">
        <v>287</v>
      </c>
      <c r="BI78" s="78">
        <f t="shared" si="80"/>
        <v>1153</v>
      </c>
      <c r="BJ78" s="85">
        <f t="shared" si="81"/>
        <v>0.4</v>
      </c>
      <c r="BK78" s="88">
        <f t="shared" si="82"/>
        <v>692</v>
      </c>
      <c r="BL78" s="79">
        <f t="shared" si="83"/>
        <v>1</v>
      </c>
      <c r="BM78" s="81">
        <f>_xlfn.XLOOKUP(A78,'Текущая цена на ВБ'!C:C,'Текущая цена на ВБ'!F:F)</f>
        <v>106</v>
      </c>
      <c r="BN78" s="84">
        <f>_xlfn.XLOOKUP(A78,'Текущая цена на ВБ'!C:C,'Текущая цена на ВБ'!H:H)</f>
        <v>244</v>
      </c>
    </row>
    <row r="79" spans="1:66" ht="24.95" customHeight="1" x14ac:dyDescent="0.25">
      <c r="A79" s="133">
        <f>[1]Юнит!A78</f>
        <v>321959186</v>
      </c>
      <c r="B79" s="133" t="str">
        <f>[1]Юнит!C78</f>
        <v>AKTA4ST102CL</v>
      </c>
      <c r="C79" s="134" t="str">
        <f>[1]Юнит!D78</f>
        <v>Набор пробок 4 шт.</v>
      </c>
      <c r="D79" s="135">
        <f>[1]Юнит!E78</f>
        <v>2042678197468</v>
      </c>
      <c r="E79" s="50">
        <v>595</v>
      </c>
      <c r="F79" s="6">
        <v>0.4</v>
      </c>
      <c r="G79" s="150" t="s">
        <v>402</v>
      </c>
      <c r="H79" s="54">
        <v>0.15295914897948804</v>
      </c>
      <c r="I79" s="71">
        <f>_xlfn.XLOOKUP(D79,[1]Юнит!$E:$E,[1]Юнит!$AN:$AN)</f>
        <v>699</v>
      </c>
      <c r="J79" s="6">
        <f t="shared" si="43"/>
        <v>0.3</v>
      </c>
      <c r="K79" s="153">
        <f t="shared" si="63"/>
        <v>998.57142857142867</v>
      </c>
      <c r="L79" s="54">
        <f>_xlfn.XLOOKUP(D79,[1]Юнит!$E:$E,[1]Юнит!$AR:$AR)</f>
        <v>0.27202781115879832</v>
      </c>
      <c r="M79" s="50">
        <f t="shared" si="64"/>
        <v>595</v>
      </c>
      <c r="N79" s="6">
        <f>_xlfn.XLOOKUP($A79,'Текущая цена на ВБ'!$C:$C,'Текущая цена на ВБ'!$K:$K,0,0)%</f>
        <v>0.4</v>
      </c>
      <c r="O79" s="150" t="str">
        <f>_xlfn.XLOOKUP($A79,'Текущая цена на ВБ'!$C:$C,'Текущая цена на ВБ'!$I:$I,0,0)</f>
        <v>992</v>
      </c>
      <c r="P79" s="54">
        <f>_xlfn.XLOOKUP($A79,[1]Юнит!$A:$A,[1]Юнит!$AJ:$AJ,0)</f>
        <v>0.15728064516129039</v>
      </c>
      <c r="Q79" s="50">
        <f>_xlfn.XLOOKUP($A79,'Акция 1'!$F:$F,'Акция 1'!$L:$L,0,0)</f>
        <v>595</v>
      </c>
      <c r="R79" s="6">
        <f>(_xlfn.XLOOKUP($A79,'Акция 1'!$F:$F,'Акция 1'!$P:$P,0,0))%</f>
        <v>0.41</v>
      </c>
      <c r="S79" s="13">
        <f t="shared" si="65"/>
        <v>1008.4745762711863</v>
      </c>
      <c r="T79" s="50">
        <f>_xlfn.XLOOKUP($A79,'Акция 2'!$F:$F,'Акция 2'!$L:$L,0,0)</f>
        <v>0</v>
      </c>
      <c r="U79" s="6">
        <f>(_xlfn.XLOOKUP($A79,'Акция 2'!$F:$F,'Акция 2'!$O:$O,0,0))%</f>
        <v>0</v>
      </c>
      <c r="V79" s="13">
        <f t="shared" si="66"/>
        <v>0</v>
      </c>
      <c r="W79" s="50">
        <f>_xlfn.XLOOKUP($A79,'Акция 3'!$F:$F,'Акция 3'!$L:$L,0,0)</f>
        <v>536</v>
      </c>
      <c r="X79" s="6">
        <f>(_xlfn.XLOOKUP($A79,'Акция 3'!$F:$F,'Акция 3'!$P:$P,0,0))%</f>
        <v>0.47</v>
      </c>
      <c r="Y79" s="13">
        <f t="shared" si="48"/>
        <v>1011.3207547169811</v>
      </c>
      <c r="Z79" s="50">
        <f>_xlfn.XLOOKUP($A79,'Акция 4'!$F:$F,'Акция 4'!$L:$L,0,0)</f>
        <v>0</v>
      </c>
      <c r="AA79" s="6">
        <f>(_xlfn.XLOOKUP($A79,'Акция 4'!$F:$F,'Акция 4'!$P:$P,0,0))%</f>
        <v>0</v>
      </c>
      <c r="AB79" s="13">
        <f t="shared" si="67"/>
        <v>0</v>
      </c>
      <c r="AC79" s="50">
        <f>_xlfn.XLOOKUP($A79,'Акция 5'!$F:$F,'Акция 5'!$L:$L,0,0)</f>
        <v>0</v>
      </c>
      <c r="AD79" s="6">
        <f>(_xlfn.XLOOKUP($A79,'Акция 5'!$F:$F,'Акция 5'!O:O,0,0))%</f>
        <v>0</v>
      </c>
      <c r="AE79" s="13">
        <f t="shared" si="68"/>
        <v>0</v>
      </c>
      <c r="AF79" s="50">
        <f>_xlfn.XLOOKUP($A79,'Акция 6'!$F:$F,'Акция 6'!$L:$L,0,0)</f>
        <v>0</v>
      </c>
      <c r="AG79" s="6">
        <f>(_xlfn.XLOOKUP($A79,'Акция 6'!$F:$F,'Акция 6'!$O:$O,0,0))%</f>
        <v>0</v>
      </c>
      <c r="AH79" s="13">
        <f t="shared" si="69"/>
        <v>0</v>
      </c>
      <c r="AI79" s="50">
        <f>_xlfn.XLOOKUP($A79,'Акция 7'!$F:$F,'Акция 7'!$L:$L,0,0)</f>
        <v>0</v>
      </c>
      <c r="AJ79" s="6">
        <f>(_xlfn.XLOOKUP($A79,'Акция 7'!$F:$F,'Акция 7'!$O:$O,0,0))%</f>
        <v>0</v>
      </c>
      <c r="AK79" s="13">
        <f t="shared" si="70"/>
        <v>0</v>
      </c>
      <c r="AL79" s="50">
        <f>_xlfn.XLOOKUP($A79,'Акция 8'!$F:$F,'Акция 8'!$L:$L,0,0)</f>
        <v>0</v>
      </c>
      <c r="AM79" s="6">
        <f>(_xlfn.XLOOKUP($A79,'Акция 8'!$F:$F,'Акция 8'!$S:$S,0,0))%</f>
        <v>0</v>
      </c>
      <c r="AN79" s="13">
        <f t="shared" si="71"/>
        <v>0</v>
      </c>
      <c r="AO79" s="50">
        <f>_xlfn.XLOOKUP($A79,'Акция 9'!$F:$F,'Акция 9'!$L:$L,0,0)</f>
        <v>0</v>
      </c>
      <c r="AP79" s="6">
        <f>(_xlfn.XLOOKUP($A79,'Акция 9'!$F:$F,'Акция 9'!$O:$O,0,0))%</f>
        <v>0</v>
      </c>
      <c r="AQ79" s="13">
        <f t="shared" si="72"/>
        <v>0</v>
      </c>
      <c r="AR79" s="50">
        <f>_xlfn.XLOOKUP($A79,'Акция 10'!$F:$F,'Акция 10'!$L:$L,0,0)</f>
        <v>0</v>
      </c>
      <c r="AS79" s="6">
        <f>(_xlfn.XLOOKUP($A79,'Акция 10'!$F:$F,'Акция 10'!$O:$O,0,0))%</f>
        <v>0</v>
      </c>
      <c r="AT79" s="13">
        <f t="shared" si="73"/>
        <v>0</v>
      </c>
      <c r="AU79" s="50">
        <f>_xlfn.XLOOKUP($A79,'Акция 11'!$F:$F,'Акция 11'!$L:$L,0,0)</f>
        <v>0</v>
      </c>
      <c r="AV79" s="6">
        <f>(_xlfn.XLOOKUP($A79,'Акция 11'!$F:$F,'Акция 11'!$O:$O,0,0))%</f>
        <v>0</v>
      </c>
      <c r="AW79" s="13">
        <f t="shared" si="74"/>
        <v>0</v>
      </c>
      <c r="AX79" s="50"/>
      <c r="AY79" s="6"/>
      <c r="AZ79" s="13"/>
      <c r="BA79" s="17">
        <f t="shared" si="75"/>
        <v>595</v>
      </c>
      <c r="BB79" s="38">
        <f t="shared" si="76"/>
        <v>1</v>
      </c>
      <c r="BC79" s="33">
        <f t="shared" si="38"/>
        <v>595</v>
      </c>
      <c r="BD79" s="5">
        <f t="shared" si="77"/>
        <v>0.4</v>
      </c>
      <c r="BE79" s="53">
        <f t="shared" si="78"/>
        <v>991.66666666666674</v>
      </c>
      <c r="BF79" s="54">
        <f>_xlfn.XLOOKUP(A79,[1]Юнит!$A:$A,[1]Юнит!$AU:$AU,0)</f>
        <v>0.15702090756302525</v>
      </c>
      <c r="BG79" s="54">
        <f t="shared" si="79"/>
        <v>0.15728064516129039</v>
      </c>
      <c r="BH79" s="5" t="s">
        <v>287</v>
      </c>
      <c r="BI79" s="78">
        <f t="shared" si="80"/>
        <v>992</v>
      </c>
      <c r="BJ79" s="85">
        <f t="shared" si="81"/>
        <v>0.4</v>
      </c>
      <c r="BK79" s="88">
        <f t="shared" si="82"/>
        <v>595</v>
      </c>
      <c r="BL79" s="79">
        <f t="shared" si="83"/>
        <v>1</v>
      </c>
      <c r="BM79" s="81">
        <f>_xlfn.XLOOKUP(A79,'Текущая цена на ВБ'!C:C,'Текущая цена на ВБ'!F:F)</f>
        <v>31</v>
      </c>
      <c r="BN79" s="84">
        <f>_xlfn.XLOOKUP(A79,'Текущая цена на ВБ'!C:C,'Текущая цена на ВБ'!H:H)</f>
        <v>246</v>
      </c>
    </row>
    <row r="80" spans="1:66" ht="24.95" customHeight="1" x14ac:dyDescent="0.25">
      <c r="A80" s="133">
        <f>[1]Юнит!A79</f>
        <v>273546535</v>
      </c>
      <c r="B80" s="133" t="str">
        <f>[1]Юнит!C79</f>
        <v>AKTA2KN101YL</v>
      </c>
      <c r="C80" s="134" t="str">
        <f>[1]Юнит!D79</f>
        <v>Шпатель желтый</v>
      </c>
      <c r="D80" s="135">
        <f>[1]Юнит!E79</f>
        <v>2041533399818</v>
      </c>
      <c r="E80" s="50">
        <v>1071</v>
      </c>
      <c r="F80" s="6">
        <v>0.4</v>
      </c>
      <c r="G80" s="150" t="s">
        <v>382</v>
      </c>
      <c r="H80" s="54">
        <v>0.29075388167606647</v>
      </c>
      <c r="I80" s="71">
        <f>_xlfn.XLOOKUP(D80,[1]Юнит!$E:$E,[1]Юнит!$AN:$AN)</f>
        <v>919</v>
      </c>
      <c r="J80" s="6">
        <f t="shared" si="43"/>
        <v>0.3</v>
      </c>
      <c r="K80" s="153">
        <f t="shared" si="63"/>
        <v>1312.8571428571429</v>
      </c>
      <c r="L80" s="54">
        <f>_xlfn.XLOOKUP(D80,[1]Юнит!$E:$E,[1]Юнит!$AR:$AR)</f>
        <v>0.18977279651795423</v>
      </c>
      <c r="M80" s="50">
        <f t="shared" si="64"/>
        <v>1071</v>
      </c>
      <c r="N80" s="6">
        <f>_xlfn.XLOOKUP($A80,'Текущая цена на ВБ'!$C:$C,'Текущая цена на ВБ'!$K:$K,0,0)%</f>
        <v>0.4</v>
      </c>
      <c r="O80" s="150" t="str">
        <f>_xlfn.XLOOKUP($A80,'Текущая цена на ВБ'!$C:$C,'Текущая цена на ВБ'!$I:$I,0,0)</f>
        <v>1785</v>
      </c>
      <c r="P80" s="54">
        <f>_xlfn.XLOOKUP($A80,[1]Юнит!$A:$A,[1]Юнит!$AJ:$AJ,0)</f>
        <v>0.29482838468720812</v>
      </c>
      <c r="Q80" s="50">
        <f>_xlfn.XLOOKUP($A80,'Акция 1'!$F:$F,'Акция 1'!$L:$L,0,0)</f>
        <v>1071</v>
      </c>
      <c r="R80" s="6">
        <f>(_xlfn.XLOOKUP($A80,'Акция 1'!$F:$F,'Акция 1'!$P:$P,0,0))%</f>
        <v>0.42</v>
      </c>
      <c r="S80" s="13">
        <f t="shared" si="65"/>
        <v>1846.5517241379307</v>
      </c>
      <c r="T80" s="50">
        <f>_xlfn.XLOOKUP($A80,'Акция 2'!$F:$F,'Акция 2'!$L:$L,0,0)</f>
        <v>0</v>
      </c>
      <c r="U80" s="6">
        <f>(_xlfn.XLOOKUP($A80,'Акция 2'!$F:$F,'Акция 2'!$O:$O,0,0))%</f>
        <v>0</v>
      </c>
      <c r="V80" s="13">
        <f t="shared" si="66"/>
        <v>0</v>
      </c>
      <c r="W80" s="50">
        <f>_xlfn.XLOOKUP($A80,'Акция 3'!$F:$F,'Акция 3'!$L:$L,0,0)</f>
        <v>951</v>
      </c>
      <c r="X80" s="6">
        <f>(_xlfn.XLOOKUP($A80,'Акция 3'!$F:$F,'Акция 3'!$P:$P,0,0))%</f>
        <v>0.48</v>
      </c>
      <c r="Y80" s="13">
        <f t="shared" si="48"/>
        <v>1828.8461538461538</v>
      </c>
      <c r="Z80" s="50">
        <f>_xlfn.XLOOKUP($A80,'Акция 4'!$F:$F,'Акция 4'!$L:$L,0,0)</f>
        <v>0</v>
      </c>
      <c r="AA80" s="6">
        <f>(_xlfn.XLOOKUP($A80,'Акция 4'!$F:$F,'Акция 4'!$P:$P,0,0))%</f>
        <v>0</v>
      </c>
      <c r="AB80" s="13">
        <f t="shared" si="67"/>
        <v>0</v>
      </c>
      <c r="AC80" s="50">
        <f>_xlfn.XLOOKUP($A80,'Акция 5'!$F:$F,'Акция 5'!$L:$L,0,0)</f>
        <v>0</v>
      </c>
      <c r="AD80" s="6">
        <f>(_xlfn.XLOOKUP($A80,'Акция 5'!$F:$F,'Акция 5'!O:O,0,0))%</f>
        <v>0</v>
      </c>
      <c r="AE80" s="13">
        <f t="shared" si="68"/>
        <v>0</v>
      </c>
      <c r="AF80" s="50">
        <f>_xlfn.XLOOKUP($A80,'Акция 6'!$F:$F,'Акция 6'!$L:$L,0,0)</f>
        <v>0</v>
      </c>
      <c r="AG80" s="6">
        <f>(_xlfn.XLOOKUP($A80,'Акция 6'!$F:$F,'Акция 6'!$O:$O,0,0))%</f>
        <v>0</v>
      </c>
      <c r="AH80" s="13">
        <f t="shared" si="69"/>
        <v>0</v>
      </c>
      <c r="AI80" s="50">
        <f>_xlfn.XLOOKUP($A80,'Акция 7'!$F:$F,'Акция 7'!$L:$L,0,0)</f>
        <v>0</v>
      </c>
      <c r="AJ80" s="6">
        <f>(_xlfn.XLOOKUP($A80,'Акция 7'!$F:$F,'Акция 7'!$O:$O,0,0))%</f>
        <v>0</v>
      </c>
      <c r="AK80" s="13">
        <f t="shared" si="70"/>
        <v>0</v>
      </c>
      <c r="AL80" s="50">
        <f>_xlfn.XLOOKUP($A80,'Акция 8'!$F:$F,'Акция 8'!$L:$L,0,0)</f>
        <v>0</v>
      </c>
      <c r="AM80" s="6">
        <f>(_xlfn.XLOOKUP($A80,'Акция 8'!$F:$F,'Акция 8'!$S:$S,0,0))%</f>
        <v>0</v>
      </c>
      <c r="AN80" s="13">
        <f t="shared" si="71"/>
        <v>0</v>
      </c>
      <c r="AO80" s="50">
        <f>_xlfn.XLOOKUP($A80,'Акция 9'!$F:$F,'Акция 9'!$L:$L,0,0)</f>
        <v>0</v>
      </c>
      <c r="AP80" s="6">
        <f>(_xlfn.XLOOKUP($A80,'Акция 9'!$F:$F,'Акция 9'!$O:$O,0,0))%</f>
        <v>0</v>
      </c>
      <c r="AQ80" s="13">
        <f t="shared" si="72"/>
        <v>0</v>
      </c>
      <c r="AR80" s="50">
        <f>_xlfn.XLOOKUP($A80,'Акция 10'!$F:$F,'Акция 10'!$L:$L,0,0)</f>
        <v>0</v>
      </c>
      <c r="AS80" s="6">
        <f>(_xlfn.XLOOKUP($A80,'Акция 10'!$F:$F,'Акция 10'!$O:$O,0,0))%</f>
        <v>0</v>
      </c>
      <c r="AT80" s="13">
        <f t="shared" si="73"/>
        <v>0</v>
      </c>
      <c r="AU80" s="50">
        <f>_xlfn.XLOOKUP($A80,'Акция 11'!$F:$F,'Акция 11'!$L:$L,0,0)</f>
        <v>0</v>
      </c>
      <c r="AV80" s="6">
        <f>(_xlfn.XLOOKUP($A80,'Акция 11'!$F:$F,'Акция 11'!$O:$O,0,0))%</f>
        <v>0</v>
      </c>
      <c r="AW80" s="13">
        <f t="shared" si="74"/>
        <v>0</v>
      </c>
      <c r="AX80" s="50"/>
      <c r="AY80" s="6"/>
      <c r="AZ80" s="13"/>
      <c r="BA80" s="17">
        <f t="shared" si="75"/>
        <v>1071</v>
      </c>
      <c r="BB80" s="38">
        <f t="shared" si="76"/>
        <v>1</v>
      </c>
      <c r="BC80" s="33">
        <f t="shared" si="38"/>
        <v>1071</v>
      </c>
      <c r="BD80" s="5">
        <f t="shared" si="77"/>
        <v>0.4</v>
      </c>
      <c r="BE80" s="53">
        <f t="shared" si="78"/>
        <v>1785</v>
      </c>
      <c r="BF80" s="54">
        <f>_xlfn.XLOOKUP(A80,[1]Юнит!$A:$A,[1]Юнит!$AU:$AU,0)</f>
        <v>0.29482838468720812</v>
      </c>
      <c r="BG80" s="54">
        <f t="shared" si="79"/>
        <v>0.29482838468720812</v>
      </c>
      <c r="BH80" s="5" t="s">
        <v>287</v>
      </c>
      <c r="BI80" s="78">
        <f t="shared" si="80"/>
        <v>1785</v>
      </c>
      <c r="BJ80" s="85">
        <f t="shared" si="81"/>
        <v>0.4</v>
      </c>
      <c r="BK80" s="88">
        <f t="shared" si="82"/>
        <v>1071</v>
      </c>
      <c r="BL80" s="79">
        <f t="shared" si="83"/>
        <v>1</v>
      </c>
      <c r="BM80" s="81">
        <f>_xlfn.XLOOKUP(A80,'Текущая цена на ВБ'!C:C,'Текущая цена на ВБ'!F:F)</f>
        <v>78</v>
      </c>
      <c r="BN80" s="84">
        <f>_xlfn.XLOOKUP(A80,'Текущая цена на ВБ'!C:C,'Текущая цена на ВБ'!H:H)</f>
        <v>999</v>
      </c>
    </row>
    <row r="81" spans="1:66" ht="24.95" customHeight="1" x14ac:dyDescent="0.25">
      <c r="A81" s="133">
        <f>[1]Юнит!A80</f>
        <v>273551028</v>
      </c>
      <c r="B81" s="133" t="str">
        <f>[1]Юнит!C80</f>
        <v>AKTA2KN101BL</v>
      </c>
      <c r="C81" s="134" t="str">
        <f>[1]Юнит!D80</f>
        <v>Шпатель голубой</v>
      </c>
      <c r="D81" s="135">
        <f>[1]Юнит!E80</f>
        <v>2041533587000</v>
      </c>
      <c r="E81" s="50">
        <v>859</v>
      </c>
      <c r="F81" s="6">
        <v>0.3</v>
      </c>
      <c r="G81" s="150" t="s">
        <v>326</v>
      </c>
      <c r="H81" s="54">
        <v>0.14448140645011068</v>
      </c>
      <c r="I81" s="71">
        <f>_xlfn.XLOOKUP(D81,[1]Юнит!$E:$E,[1]Юнит!$AN:$AN)</f>
        <v>0</v>
      </c>
      <c r="J81" s="6">
        <f t="shared" si="43"/>
        <v>0.3</v>
      </c>
      <c r="K81" s="153">
        <f t="shared" si="63"/>
        <v>0</v>
      </c>
      <c r="L81" s="54" t="e">
        <f>_xlfn.XLOOKUP(D81,[1]Юнит!$E:$E,[1]Юнит!$AR:$AR)</f>
        <v>#DIV/0!</v>
      </c>
      <c r="M81" s="50">
        <f t="shared" si="64"/>
        <v>859</v>
      </c>
      <c r="N81" s="6">
        <f>_xlfn.XLOOKUP($A81,'Текущая цена на ВБ'!$C:$C,'Текущая цена на ВБ'!$K:$K,0,0)%</f>
        <v>0.3</v>
      </c>
      <c r="O81" s="150" t="str">
        <f>_xlfn.XLOOKUP($A81,'Текущая цена на ВБ'!$C:$C,'Текущая цена на ВБ'!$I:$I,0,0)</f>
        <v>1227</v>
      </c>
      <c r="P81" s="54">
        <f>_xlfn.XLOOKUP($A81,[1]Юнит!$A:$A,[1]Юнит!$AJ:$AJ,0)</f>
        <v>0.14448140645011068</v>
      </c>
      <c r="Q81" s="50">
        <f>_xlfn.XLOOKUP($A81,'Акция 1'!$F:$F,'Акция 1'!$L:$L,0,0)</f>
        <v>0</v>
      </c>
      <c r="R81" s="6">
        <f>(_xlfn.XLOOKUP($A81,'Акция 1'!$F:$F,'Акция 1'!$P:$P,0,0))%</f>
        <v>0</v>
      </c>
      <c r="S81" s="13">
        <f t="shared" si="65"/>
        <v>0</v>
      </c>
      <c r="T81" s="50">
        <f>_xlfn.XLOOKUP($A81,'Акция 2'!$F:$F,'Акция 2'!$L:$L,0,0)</f>
        <v>0</v>
      </c>
      <c r="U81" s="6">
        <f>(_xlfn.XLOOKUP($A81,'Акция 2'!$F:$F,'Акция 2'!$O:$O,0,0))%</f>
        <v>0</v>
      </c>
      <c r="V81" s="13">
        <f t="shared" si="66"/>
        <v>0</v>
      </c>
      <c r="W81" s="50">
        <f>_xlfn.XLOOKUP($A81,'Акция 3'!$F:$F,'Акция 3'!$L:$L,0,0)</f>
        <v>0</v>
      </c>
      <c r="X81" s="6">
        <f>(_xlfn.XLOOKUP($A81,'Акция 3'!$F:$F,'Акция 3'!$P:$P,0,0))%</f>
        <v>0</v>
      </c>
      <c r="Y81" s="13">
        <f t="shared" si="48"/>
        <v>0</v>
      </c>
      <c r="Z81" s="50">
        <f>_xlfn.XLOOKUP($A81,'Акция 4'!$F:$F,'Акция 4'!$L:$L,0,0)</f>
        <v>0</v>
      </c>
      <c r="AA81" s="6">
        <f>(_xlfn.XLOOKUP($A81,'Акция 4'!$F:$F,'Акция 4'!$P:$P,0,0))%</f>
        <v>0</v>
      </c>
      <c r="AB81" s="13">
        <f t="shared" si="67"/>
        <v>0</v>
      </c>
      <c r="AC81" s="50">
        <f>_xlfn.XLOOKUP($A81,'Акция 5'!$F:$F,'Акция 5'!$L:$L,0,0)</f>
        <v>0</v>
      </c>
      <c r="AD81" s="6">
        <f>(_xlfn.XLOOKUP($A81,'Акция 5'!$F:$F,'Акция 5'!O:O,0,0))%</f>
        <v>0</v>
      </c>
      <c r="AE81" s="13">
        <f t="shared" si="68"/>
        <v>0</v>
      </c>
      <c r="AF81" s="50">
        <f>_xlfn.XLOOKUP($A81,'Акция 6'!$F:$F,'Акция 6'!$L:$L,0,0)</f>
        <v>0</v>
      </c>
      <c r="AG81" s="6">
        <f>(_xlfn.XLOOKUP($A81,'Акция 6'!$F:$F,'Акция 6'!$O:$O,0,0))%</f>
        <v>0</v>
      </c>
      <c r="AH81" s="13">
        <f t="shared" si="69"/>
        <v>0</v>
      </c>
      <c r="AI81" s="50">
        <f>_xlfn.XLOOKUP($A81,'Акция 7'!$F:$F,'Акция 7'!$L:$L,0,0)</f>
        <v>0</v>
      </c>
      <c r="AJ81" s="6">
        <f>(_xlfn.XLOOKUP($A81,'Акция 7'!$F:$F,'Акция 7'!$O:$O,0,0))%</f>
        <v>0</v>
      </c>
      <c r="AK81" s="13">
        <f t="shared" si="70"/>
        <v>0</v>
      </c>
      <c r="AL81" s="50">
        <f>_xlfn.XLOOKUP($A81,'Акция 8'!$F:$F,'Акция 8'!$L:$L,0,0)</f>
        <v>0</v>
      </c>
      <c r="AM81" s="6">
        <f>(_xlfn.XLOOKUP($A81,'Акция 8'!$F:$F,'Акция 8'!$S:$S,0,0))%</f>
        <v>0</v>
      </c>
      <c r="AN81" s="13">
        <f t="shared" si="71"/>
        <v>0</v>
      </c>
      <c r="AO81" s="50">
        <f>_xlfn.XLOOKUP($A81,'Акция 9'!$F:$F,'Акция 9'!$L:$L,0,0)</f>
        <v>0</v>
      </c>
      <c r="AP81" s="6">
        <f>(_xlfn.XLOOKUP($A81,'Акция 9'!$F:$F,'Акция 9'!$O:$O,0,0))%</f>
        <v>0</v>
      </c>
      <c r="AQ81" s="13">
        <f t="shared" si="72"/>
        <v>0</v>
      </c>
      <c r="AR81" s="50">
        <f>_xlfn.XLOOKUP($A81,'Акция 10'!$F:$F,'Акция 10'!$L:$L,0,0)</f>
        <v>0</v>
      </c>
      <c r="AS81" s="6">
        <f>(_xlfn.XLOOKUP($A81,'Акция 10'!$F:$F,'Акция 10'!$O:$O,0,0))%</f>
        <v>0</v>
      </c>
      <c r="AT81" s="13">
        <f t="shared" si="73"/>
        <v>0</v>
      </c>
      <c r="AU81" s="50">
        <f>_xlfn.XLOOKUP($A81,'Акция 11'!$F:$F,'Акция 11'!$L:$L,0,0)</f>
        <v>0</v>
      </c>
      <c r="AV81" s="6">
        <f>(_xlfn.XLOOKUP($A81,'Акция 11'!$F:$F,'Акция 11'!$O:$O,0,0))%</f>
        <v>0</v>
      </c>
      <c r="AW81" s="13">
        <f t="shared" si="74"/>
        <v>0</v>
      </c>
      <c r="AX81" s="50"/>
      <c r="AY81" s="6"/>
      <c r="AZ81" s="13"/>
      <c r="BA81" s="17">
        <f t="shared" si="75"/>
        <v>0</v>
      </c>
      <c r="BB81" s="38">
        <f t="shared" si="76"/>
        <v>0</v>
      </c>
      <c r="BC81" s="33">
        <f t="shared" si="38"/>
        <v>0</v>
      </c>
      <c r="BD81" s="5">
        <f t="shared" si="77"/>
        <v>0</v>
      </c>
      <c r="BE81" s="53">
        <f t="shared" si="78"/>
        <v>0</v>
      </c>
      <c r="BF81" s="54">
        <f>_xlfn.XLOOKUP(A81,[1]Юнит!$A:$A,[1]Юнит!$AU:$AU,0)</f>
        <v>0</v>
      </c>
      <c r="BG81" s="54">
        <f t="shared" si="79"/>
        <v>0.14448140645011068</v>
      </c>
      <c r="BH81" s="5"/>
      <c r="BI81" s="78">
        <f t="shared" si="80"/>
        <v>0</v>
      </c>
      <c r="BJ81" s="85">
        <f t="shared" si="81"/>
        <v>0.3</v>
      </c>
      <c r="BK81" s="88">
        <f t="shared" si="82"/>
        <v>0</v>
      </c>
      <c r="BL81" s="79">
        <f t="shared" si="83"/>
        <v>0</v>
      </c>
      <c r="BM81" s="81">
        <f>_xlfn.XLOOKUP(A81,'Текущая цена на ВБ'!C:C,'Текущая цена на ВБ'!F:F)</f>
        <v>0</v>
      </c>
      <c r="BN81" s="84">
        <f>_xlfn.XLOOKUP(A81,'Текущая цена на ВБ'!C:C,'Текущая цена на ВБ'!H:H)</f>
        <v>1</v>
      </c>
    </row>
    <row r="82" spans="1:66" ht="24.95" customHeight="1" x14ac:dyDescent="0.25">
      <c r="A82" s="133">
        <f>[1]Юнит!A81</f>
        <v>273527791</v>
      </c>
      <c r="B82" s="133" t="str">
        <f>[1]Юнит!C81</f>
        <v>AKTA2KN102YL</v>
      </c>
      <c r="C82" s="134" t="str">
        <f>[1]Юнит!D81</f>
        <v>Нож для пиццы желтый</v>
      </c>
      <c r="D82" s="135">
        <f>[1]Юнит!E81</f>
        <v>2041533038113</v>
      </c>
      <c r="E82" s="50">
        <v>782</v>
      </c>
      <c r="F82" s="6">
        <v>0.4</v>
      </c>
      <c r="G82" s="150" t="s">
        <v>398</v>
      </c>
      <c r="H82" s="54">
        <v>0.23523680981595091</v>
      </c>
      <c r="I82" s="71">
        <f>_xlfn.XLOOKUP(D82,[1]Юнит!$E:$E,[1]Юнит!$AN:$AN)</f>
        <v>799</v>
      </c>
      <c r="J82" s="6">
        <f t="shared" si="43"/>
        <v>0.3</v>
      </c>
      <c r="K82" s="153">
        <f t="shared" si="63"/>
        <v>1141.4285714285716</v>
      </c>
      <c r="L82" s="54">
        <f>_xlfn.XLOOKUP(D82,[1]Юнит!$E:$E,[1]Юнит!$AR:$AR)</f>
        <v>0.25287479349186476</v>
      </c>
      <c r="M82" s="50">
        <f t="shared" si="64"/>
        <v>782</v>
      </c>
      <c r="N82" s="6">
        <f>_xlfn.XLOOKUP($A82,'Текущая цена на ВБ'!$C:$C,'Текущая цена на ВБ'!$K:$K,0,0)%</f>
        <v>0.4</v>
      </c>
      <c r="O82" s="150" t="str">
        <f>_xlfn.XLOOKUP($A82,'Текущая цена на ВБ'!$C:$C,'Текущая цена на ВБ'!$I:$I,0,0)</f>
        <v>1303</v>
      </c>
      <c r="P82" s="54">
        <f>_xlfn.XLOOKUP($A82,[1]Юнит!$A:$A,[1]Юнит!$AJ:$AJ,0)</f>
        <v>0.23797769250447676</v>
      </c>
      <c r="Q82" s="50">
        <f>_xlfn.XLOOKUP($A82,'Акция 1'!$F:$F,'Акция 1'!$L:$L,0,0)</f>
        <v>782</v>
      </c>
      <c r="R82" s="6">
        <f>(_xlfn.XLOOKUP($A82,'Акция 1'!$F:$F,'Акция 1'!$P:$P,0,0))%</f>
        <v>0.32</v>
      </c>
      <c r="S82" s="13">
        <f t="shared" si="65"/>
        <v>1150</v>
      </c>
      <c r="T82" s="50">
        <f>_xlfn.XLOOKUP($A82,'Акция 2'!$F:$F,'Акция 2'!$L:$L,0,0)</f>
        <v>0</v>
      </c>
      <c r="U82" s="6">
        <f>(_xlfn.XLOOKUP($A82,'Акция 2'!$F:$F,'Акция 2'!$O:$O,0,0))%</f>
        <v>0</v>
      </c>
      <c r="V82" s="13">
        <f t="shared" si="66"/>
        <v>0</v>
      </c>
      <c r="W82" s="50">
        <f>_xlfn.XLOOKUP($A82,'Акция 3'!$F:$F,'Акция 3'!$L:$L,0,0)</f>
        <v>518</v>
      </c>
      <c r="X82" s="6">
        <f>(_xlfn.XLOOKUP($A82,'Акция 3'!$F:$F,'Акция 3'!$P:$P,0,0))%</f>
        <v>0.55000000000000004</v>
      </c>
      <c r="Y82" s="13">
        <f t="shared" si="48"/>
        <v>1151.1111111111113</v>
      </c>
      <c r="Z82" s="50">
        <f>_xlfn.XLOOKUP($A82,'Акция 4'!$F:$F,'Акция 4'!$L:$L,0,0)</f>
        <v>0</v>
      </c>
      <c r="AA82" s="6">
        <f>(_xlfn.XLOOKUP($A82,'Акция 4'!$F:$F,'Акция 4'!$P:$P,0,0))%</f>
        <v>0</v>
      </c>
      <c r="AB82" s="13">
        <f t="shared" si="67"/>
        <v>0</v>
      </c>
      <c r="AC82" s="50">
        <f>_xlfn.XLOOKUP($A82,'Акция 5'!$F:$F,'Акция 5'!$L:$L,0,0)</f>
        <v>0</v>
      </c>
      <c r="AD82" s="6">
        <f>(_xlfn.XLOOKUP($A82,'Акция 5'!$F:$F,'Акция 5'!O:O,0,0))%</f>
        <v>0</v>
      </c>
      <c r="AE82" s="13">
        <f t="shared" si="68"/>
        <v>0</v>
      </c>
      <c r="AF82" s="50">
        <f>_xlfn.XLOOKUP($A82,'Акция 6'!$F:$F,'Акция 6'!$L:$L,0,0)</f>
        <v>0</v>
      </c>
      <c r="AG82" s="6">
        <f>(_xlfn.XLOOKUP($A82,'Акция 6'!$F:$F,'Акция 6'!$O:$O,0,0))%</f>
        <v>0</v>
      </c>
      <c r="AH82" s="13">
        <f t="shared" si="69"/>
        <v>0</v>
      </c>
      <c r="AI82" s="50">
        <f>_xlfn.XLOOKUP($A82,'Акция 7'!$F:$F,'Акция 7'!$L:$L,0,0)</f>
        <v>0</v>
      </c>
      <c r="AJ82" s="6">
        <f>(_xlfn.XLOOKUP($A82,'Акция 7'!$F:$F,'Акция 7'!$O:$O,0,0))%</f>
        <v>0</v>
      </c>
      <c r="AK82" s="13">
        <f t="shared" si="70"/>
        <v>0</v>
      </c>
      <c r="AL82" s="50">
        <f>_xlfn.XLOOKUP($A82,'Акция 8'!$F:$F,'Акция 8'!$L:$L,0,0)</f>
        <v>0</v>
      </c>
      <c r="AM82" s="6">
        <f>(_xlfn.XLOOKUP($A82,'Акция 8'!$F:$F,'Акция 8'!$S:$S,0,0))%</f>
        <v>0</v>
      </c>
      <c r="AN82" s="13">
        <f t="shared" si="71"/>
        <v>0</v>
      </c>
      <c r="AO82" s="50">
        <f>_xlfn.XLOOKUP($A82,'Акция 9'!$F:$F,'Акция 9'!$L:$L,0,0)</f>
        <v>0</v>
      </c>
      <c r="AP82" s="6">
        <f>(_xlfn.XLOOKUP($A82,'Акция 9'!$F:$F,'Акция 9'!$O:$O,0,0))%</f>
        <v>0</v>
      </c>
      <c r="AQ82" s="13">
        <f t="shared" si="72"/>
        <v>0</v>
      </c>
      <c r="AR82" s="50">
        <f>_xlfn.XLOOKUP($A82,'Акция 10'!$F:$F,'Акция 10'!$L:$L,0,0)</f>
        <v>0</v>
      </c>
      <c r="AS82" s="6">
        <f>(_xlfn.XLOOKUP($A82,'Акция 10'!$F:$F,'Акция 10'!$O:$O,0,0))%</f>
        <v>0</v>
      </c>
      <c r="AT82" s="13">
        <f t="shared" si="73"/>
        <v>0</v>
      </c>
      <c r="AU82" s="50">
        <f>_xlfn.XLOOKUP($A82,'Акция 11'!$F:$F,'Акция 11'!$L:$L,0,0)</f>
        <v>0</v>
      </c>
      <c r="AV82" s="6">
        <f>(_xlfn.XLOOKUP($A82,'Акция 11'!$F:$F,'Акция 11'!$O:$O,0,0))%</f>
        <v>0</v>
      </c>
      <c r="AW82" s="13">
        <f t="shared" si="74"/>
        <v>0</v>
      </c>
      <c r="AX82" s="50"/>
      <c r="AY82" s="6"/>
      <c r="AZ82" s="13"/>
      <c r="BA82" s="17">
        <f t="shared" si="75"/>
        <v>782</v>
      </c>
      <c r="BB82" s="38">
        <f t="shared" si="76"/>
        <v>1</v>
      </c>
      <c r="BC82" s="33">
        <f t="shared" si="38"/>
        <v>782</v>
      </c>
      <c r="BD82" s="5">
        <f t="shared" si="77"/>
        <v>0.4</v>
      </c>
      <c r="BE82" s="53">
        <f t="shared" si="78"/>
        <v>1303.3333333333335</v>
      </c>
      <c r="BF82" s="54">
        <f>_xlfn.XLOOKUP(A82,[1]Юнит!$A:$A,[1]Юнит!$AU:$AU,0)</f>
        <v>0.23815468030690531</v>
      </c>
      <c r="BG82" s="54">
        <f t="shared" si="79"/>
        <v>0.23797769250447676</v>
      </c>
      <c r="BH82" s="5" t="s">
        <v>287</v>
      </c>
      <c r="BI82" s="78">
        <f t="shared" si="80"/>
        <v>1303</v>
      </c>
      <c r="BJ82" s="85">
        <f t="shared" si="81"/>
        <v>0.4</v>
      </c>
      <c r="BK82" s="88">
        <f t="shared" si="82"/>
        <v>782</v>
      </c>
      <c r="BL82" s="79">
        <f t="shared" si="83"/>
        <v>1</v>
      </c>
      <c r="BM82" s="81">
        <f>_xlfn.XLOOKUP(A82,'Текущая цена на ВБ'!C:C,'Текущая цена на ВБ'!F:F)</f>
        <v>122</v>
      </c>
      <c r="BN82" s="84">
        <f>_xlfn.XLOOKUP(A82,'Текущая цена на ВБ'!C:C,'Текущая цена на ВБ'!H:H)</f>
        <v>999</v>
      </c>
    </row>
    <row r="83" spans="1:66" ht="24.95" customHeight="1" x14ac:dyDescent="0.25">
      <c r="A83" s="133">
        <f>[1]Юнит!A82</f>
        <v>327442631</v>
      </c>
      <c r="B83" s="133" t="str">
        <f>[1]Юнит!C82</f>
        <v>AKTA2KN102GN</v>
      </c>
      <c r="C83" s="134" t="str">
        <f>[1]Юнит!D82</f>
        <v>Нож для пиццы зеленый</v>
      </c>
      <c r="D83" s="135">
        <f>[1]Юнит!E82</f>
        <v>2042777181566</v>
      </c>
      <c r="E83" s="50">
        <v>766</v>
      </c>
      <c r="F83" s="6">
        <v>0.4</v>
      </c>
      <c r="G83" s="150" t="s">
        <v>400</v>
      </c>
      <c r="H83" s="54">
        <v>0.22983437414156227</v>
      </c>
      <c r="I83" s="71">
        <f>_xlfn.XLOOKUP(D83,[1]Юнит!$E:$E,[1]Юнит!$AN:$AN)</f>
        <v>799</v>
      </c>
      <c r="J83" s="6">
        <f t="shared" si="43"/>
        <v>0.3</v>
      </c>
      <c r="K83" s="153">
        <f t="shared" si="63"/>
        <v>1141.4285714285716</v>
      </c>
      <c r="L83" s="54">
        <f>_xlfn.XLOOKUP(D83,[1]Юнит!$E:$E,[1]Юнит!$AR:$AR)</f>
        <v>0.25937251564455566</v>
      </c>
      <c r="M83" s="50">
        <f t="shared" si="64"/>
        <v>766</v>
      </c>
      <c r="N83" s="6">
        <f>_xlfn.XLOOKUP($A83,'Текущая цена на ВБ'!$C:$C,'Текущая цена на ВБ'!$K:$K,0,0)%</f>
        <v>0.4</v>
      </c>
      <c r="O83" s="150" t="str">
        <f>_xlfn.XLOOKUP($A83,'Текущая цена на ВБ'!$C:$C,'Текущая цена на ВБ'!$I:$I,0,0)</f>
        <v>1277</v>
      </c>
      <c r="P83" s="54">
        <f>_xlfn.XLOOKUP($A83,[1]Юнит!$A:$A,[1]Юнит!$AJ:$AJ,0)</f>
        <v>0.23066384755938399</v>
      </c>
      <c r="Q83" s="50">
        <f>_xlfn.XLOOKUP($A83,'Акция 1'!$F:$F,'Акция 1'!$L:$L,0,0)</f>
        <v>766</v>
      </c>
      <c r="R83" s="6">
        <f>(_xlfn.XLOOKUP($A83,'Акция 1'!$F:$F,'Акция 1'!$P:$P,0,0))%</f>
        <v>0.33</v>
      </c>
      <c r="S83" s="13">
        <f t="shared" si="65"/>
        <v>1143.2835820895523</v>
      </c>
      <c r="T83" s="50">
        <f>_xlfn.XLOOKUP($A83,'Акция 2'!$F:$F,'Акция 2'!$L:$L,0,0)</f>
        <v>0</v>
      </c>
      <c r="U83" s="6">
        <f>(_xlfn.XLOOKUP($A83,'Акция 2'!$F:$F,'Акция 2'!$O:$O,0,0))%</f>
        <v>0</v>
      </c>
      <c r="V83" s="13">
        <f t="shared" si="66"/>
        <v>0</v>
      </c>
      <c r="W83" s="50">
        <f>_xlfn.XLOOKUP($A83,'Акция 3'!$F:$F,'Акция 3'!$L:$L,0,0)</f>
        <v>531</v>
      </c>
      <c r="X83" s="6">
        <f>(_xlfn.XLOOKUP($A83,'Акция 3'!$F:$F,'Акция 3'!$P:$P,0,0))%</f>
        <v>0.54</v>
      </c>
      <c r="Y83" s="13">
        <f t="shared" si="48"/>
        <v>1154.3478260869565</v>
      </c>
      <c r="Z83" s="50">
        <f>_xlfn.XLOOKUP($A83,'Акция 4'!$F:$F,'Акция 4'!$L:$L,0,0)</f>
        <v>0</v>
      </c>
      <c r="AA83" s="6">
        <f>(_xlfn.XLOOKUP($A83,'Акция 4'!$F:$F,'Акция 4'!$P:$P,0,0))%</f>
        <v>0</v>
      </c>
      <c r="AB83" s="13">
        <f t="shared" si="67"/>
        <v>0</v>
      </c>
      <c r="AC83" s="50">
        <f>_xlfn.XLOOKUP($A83,'Акция 5'!$F:$F,'Акция 5'!$L:$L,0,0)</f>
        <v>0</v>
      </c>
      <c r="AD83" s="6">
        <f>(_xlfn.XLOOKUP($A83,'Акция 5'!$F:$F,'Акция 5'!O:O,0,0))%</f>
        <v>0</v>
      </c>
      <c r="AE83" s="13">
        <f t="shared" si="68"/>
        <v>0</v>
      </c>
      <c r="AF83" s="50">
        <f>_xlfn.XLOOKUP($A83,'Акция 6'!$F:$F,'Акция 6'!$L:$L,0,0)</f>
        <v>0</v>
      </c>
      <c r="AG83" s="6">
        <f>(_xlfn.XLOOKUP($A83,'Акция 6'!$F:$F,'Акция 6'!$O:$O,0,0))%</f>
        <v>0</v>
      </c>
      <c r="AH83" s="13">
        <f t="shared" si="69"/>
        <v>0</v>
      </c>
      <c r="AI83" s="50">
        <f>_xlfn.XLOOKUP($A83,'Акция 7'!$F:$F,'Акция 7'!$L:$L,0,0)</f>
        <v>0</v>
      </c>
      <c r="AJ83" s="6">
        <f>(_xlfn.XLOOKUP($A83,'Акция 7'!$F:$F,'Акция 7'!$O:$O,0,0))%</f>
        <v>0</v>
      </c>
      <c r="AK83" s="13">
        <f t="shared" si="70"/>
        <v>0</v>
      </c>
      <c r="AL83" s="50">
        <f>_xlfn.XLOOKUP($A83,'Акция 8'!$F:$F,'Акция 8'!$L:$L,0,0)</f>
        <v>0</v>
      </c>
      <c r="AM83" s="6">
        <f>(_xlfn.XLOOKUP($A83,'Акция 8'!$F:$F,'Акция 8'!$S:$S,0,0))%</f>
        <v>0</v>
      </c>
      <c r="AN83" s="13">
        <f t="shared" si="71"/>
        <v>0</v>
      </c>
      <c r="AO83" s="50">
        <f>_xlfn.XLOOKUP($A83,'Акция 9'!$F:$F,'Акция 9'!$L:$L,0,0)</f>
        <v>0</v>
      </c>
      <c r="AP83" s="6">
        <f>(_xlfn.XLOOKUP($A83,'Акция 9'!$F:$F,'Акция 9'!$O:$O,0,0))%</f>
        <v>0</v>
      </c>
      <c r="AQ83" s="13">
        <f t="shared" si="72"/>
        <v>0</v>
      </c>
      <c r="AR83" s="50">
        <f>_xlfn.XLOOKUP($A83,'Акция 10'!$F:$F,'Акция 10'!$L:$L,0,0)</f>
        <v>0</v>
      </c>
      <c r="AS83" s="6">
        <f>(_xlfn.XLOOKUP($A83,'Акция 10'!$F:$F,'Акция 10'!$O:$O,0,0))%</f>
        <v>0</v>
      </c>
      <c r="AT83" s="13">
        <f t="shared" si="73"/>
        <v>0</v>
      </c>
      <c r="AU83" s="50">
        <f>_xlfn.XLOOKUP($A83,'Акция 11'!$F:$F,'Акция 11'!$L:$L,0,0)</f>
        <v>0</v>
      </c>
      <c r="AV83" s="6">
        <f>(_xlfn.XLOOKUP($A83,'Акция 11'!$F:$F,'Акция 11'!$O:$O,0,0))%</f>
        <v>0</v>
      </c>
      <c r="AW83" s="13">
        <f t="shared" si="74"/>
        <v>0</v>
      </c>
      <c r="AX83" s="50"/>
      <c r="AY83" s="6"/>
      <c r="AZ83" s="13"/>
      <c r="BA83" s="17">
        <f t="shared" si="75"/>
        <v>766</v>
      </c>
      <c r="BB83" s="38">
        <f t="shared" si="76"/>
        <v>1</v>
      </c>
      <c r="BC83" s="33">
        <f t="shared" si="38"/>
        <v>766</v>
      </c>
      <c r="BD83" s="5">
        <f t="shared" si="77"/>
        <v>0.4</v>
      </c>
      <c r="BE83" s="53">
        <f t="shared" si="78"/>
        <v>1276.6666666666667</v>
      </c>
      <c r="BF83" s="54">
        <f>_xlfn.XLOOKUP(A83,[1]Юнит!$A:$A,[1]Юнит!$AU:$AU,0)</f>
        <v>0.23048125326370755</v>
      </c>
      <c r="BG83" s="54">
        <f t="shared" si="79"/>
        <v>0.23066384755938399</v>
      </c>
      <c r="BH83" s="5" t="s">
        <v>287</v>
      </c>
      <c r="BI83" s="78">
        <f t="shared" si="80"/>
        <v>1277</v>
      </c>
      <c r="BJ83" s="85">
        <f t="shared" si="81"/>
        <v>0.4</v>
      </c>
      <c r="BK83" s="88">
        <f t="shared" si="82"/>
        <v>766</v>
      </c>
      <c r="BL83" s="79">
        <f t="shared" si="83"/>
        <v>1</v>
      </c>
      <c r="BM83" s="81">
        <f>_xlfn.XLOOKUP(A83,'Текущая цена на ВБ'!C:C,'Текущая цена на ВБ'!F:F)</f>
        <v>82</v>
      </c>
      <c r="BN83" s="84">
        <f>_xlfn.XLOOKUP(A83,'Текущая цена на ВБ'!C:C,'Текущая цена на ВБ'!H:H)</f>
        <v>999</v>
      </c>
    </row>
    <row r="84" spans="1:66" ht="24.95" customHeight="1" x14ac:dyDescent="0.25">
      <c r="A84" s="133">
        <f>[1]Юнит!A83</f>
        <v>340948906</v>
      </c>
      <c r="B84" s="133" t="str">
        <f>[1]Юнит!C83</f>
        <v>AKTA1KN101GR</v>
      </c>
      <c r="C84" s="134" t="str">
        <f>[1]Юнит!D83</f>
        <v>Консервный нож</v>
      </c>
      <c r="D84" s="135">
        <f>[1]Юнит!E83</f>
        <v>2042988749289</v>
      </c>
      <c r="E84" s="50">
        <v>1219</v>
      </c>
      <c r="F84" s="6">
        <v>0.3</v>
      </c>
      <c r="G84" s="150" t="s">
        <v>337</v>
      </c>
      <c r="H84" s="54">
        <v>0.2682921473701485</v>
      </c>
      <c r="I84" s="71">
        <f>_xlfn.XLOOKUP(D84,[1]Юнит!$E:$E,[1]Юнит!$AN:$AN)</f>
        <v>1219</v>
      </c>
      <c r="J84" s="6">
        <f t="shared" si="43"/>
        <v>0.3</v>
      </c>
      <c r="K84" s="153">
        <f t="shared" si="63"/>
        <v>1741.4285714285716</v>
      </c>
      <c r="L84" s="54">
        <f>_xlfn.XLOOKUP(D84,[1]Юнит!$E:$E,[1]Юнит!$AR:$AR)</f>
        <v>0.26845499589827726</v>
      </c>
      <c r="M84" s="50">
        <f t="shared" si="64"/>
        <v>1219</v>
      </c>
      <c r="N84" s="6">
        <f>_xlfn.XLOOKUP($A84,'Текущая цена на ВБ'!$C:$C,'Текущая цена на ВБ'!$K:$K,0,0)%</f>
        <v>0.3</v>
      </c>
      <c r="O84" s="150" t="str">
        <f>_xlfn.XLOOKUP($A84,'Текущая цена на ВБ'!$C:$C,'Текущая цена на ВБ'!$I:$I,0,0)</f>
        <v>1741</v>
      </c>
      <c r="P84" s="54">
        <f>_xlfn.XLOOKUP($A84,[1]Юнит!$A:$A,[1]Юнит!$AJ:$AJ,0)</f>
        <v>0.2682921473701485</v>
      </c>
      <c r="Q84" s="50">
        <f>_xlfn.XLOOKUP($A84,'Акция 1'!$F:$F,'Акция 1'!$L:$L,0,0)</f>
        <v>0</v>
      </c>
      <c r="R84" s="6">
        <f>(_xlfn.XLOOKUP($A84,'Акция 1'!$F:$F,'Акция 1'!$P:$P,0,0))%</f>
        <v>0</v>
      </c>
      <c r="S84" s="13">
        <f t="shared" si="65"/>
        <v>0</v>
      </c>
      <c r="T84" s="50">
        <f>_xlfn.XLOOKUP($A84,'Акция 2'!$F:$F,'Акция 2'!$L:$L,0,0)</f>
        <v>0</v>
      </c>
      <c r="U84" s="6">
        <f>(_xlfn.XLOOKUP($A84,'Акция 2'!$F:$F,'Акция 2'!$O:$O,0,0))%</f>
        <v>0</v>
      </c>
      <c r="V84" s="13">
        <f t="shared" si="66"/>
        <v>0</v>
      </c>
      <c r="W84" s="50">
        <f>_xlfn.XLOOKUP($A84,'Акция 3'!$F:$F,'Акция 3'!$L:$L,0,0)</f>
        <v>0</v>
      </c>
      <c r="X84" s="6">
        <f>(_xlfn.XLOOKUP($A84,'Акция 3'!$F:$F,'Акция 3'!$P:$P,0,0))%</f>
        <v>0</v>
      </c>
      <c r="Y84" s="13">
        <f t="shared" si="48"/>
        <v>0</v>
      </c>
      <c r="Z84" s="50">
        <f>_xlfn.XLOOKUP($A84,'Акция 4'!$F:$F,'Акция 4'!$L:$L,0,0)</f>
        <v>0</v>
      </c>
      <c r="AA84" s="6">
        <f>(_xlfn.XLOOKUP($A84,'Акция 4'!$F:$F,'Акция 4'!$P:$P,0,0))%</f>
        <v>0</v>
      </c>
      <c r="AB84" s="13">
        <f t="shared" si="67"/>
        <v>0</v>
      </c>
      <c r="AC84" s="50">
        <f>_xlfn.XLOOKUP($A84,'Акция 5'!$F:$F,'Акция 5'!$L:$L,0,0)</f>
        <v>0</v>
      </c>
      <c r="AD84" s="6">
        <f>(_xlfn.XLOOKUP($A84,'Акция 5'!$F:$F,'Акция 5'!O:O,0,0))%</f>
        <v>0</v>
      </c>
      <c r="AE84" s="13">
        <f t="shared" si="68"/>
        <v>0</v>
      </c>
      <c r="AF84" s="50">
        <f>_xlfn.XLOOKUP($A84,'Акция 6'!$F:$F,'Акция 6'!$L:$L,0,0)</f>
        <v>0</v>
      </c>
      <c r="AG84" s="6">
        <f>(_xlfn.XLOOKUP($A84,'Акция 6'!$F:$F,'Акция 6'!$O:$O,0,0))%</f>
        <v>0</v>
      </c>
      <c r="AH84" s="13">
        <f t="shared" si="69"/>
        <v>0</v>
      </c>
      <c r="AI84" s="50">
        <f>_xlfn.XLOOKUP($A84,'Акция 7'!$F:$F,'Акция 7'!$L:$L,0,0)</f>
        <v>0</v>
      </c>
      <c r="AJ84" s="6">
        <f>(_xlfn.XLOOKUP($A84,'Акция 7'!$F:$F,'Акция 7'!$O:$O,0,0))%</f>
        <v>0</v>
      </c>
      <c r="AK84" s="13">
        <f t="shared" si="70"/>
        <v>0</v>
      </c>
      <c r="AL84" s="50">
        <f>_xlfn.XLOOKUP($A84,'Акция 8'!$F:$F,'Акция 8'!$L:$L,0,0)</f>
        <v>0</v>
      </c>
      <c r="AM84" s="6">
        <f>(_xlfn.XLOOKUP($A84,'Акция 8'!$F:$F,'Акция 8'!$S:$S,0,0))%</f>
        <v>0</v>
      </c>
      <c r="AN84" s="13">
        <f t="shared" si="71"/>
        <v>0</v>
      </c>
      <c r="AO84" s="50">
        <f>_xlfn.XLOOKUP($A84,'Акция 9'!$F:$F,'Акция 9'!$L:$L,0,0)</f>
        <v>0</v>
      </c>
      <c r="AP84" s="6">
        <f>(_xlfn.XLOOKUP($A84,'Акция 9'!$F:$F,'Акция 9'!$O:$O,0,0))%</f>
        <v>0</v>
      </c>
      <c r="AQ84" s="13">
        <f t="shared" si="72"/>
        <v>0</v>
      </c>
      <c r="AR84" s="50">
        <f>_xlfn.XLOOKUP($A84,'Акция 10'!$F:$F,'Акция 10'!$L:$L,0,0)</f>
        <v>0</v>
      </c>
      <c r="AS84" s="6">
        <f>(_xlfn.XLOOKUP($A84,'Акция 10'!$F:$F,'Акция 10'!$O:$O,0,0))%</f>
        <v>0</v>
      </c>
      <c r="AT84" s="13">
        <f t="shared" si="73"/>
        <v>0</v>
      </c>
      <c r="AU84" s="50">
        <f>_xlfn.XLOOKUP($A84,'Акция 11'!$F:$F,'Акция 11'!$L:$L,0,0)</f>
        <v>0</v>
      </c>
      <c r="AV84" s="6">
        <f>(_xlfn.XLOOKUP($A84,'Акция 11'!$F:$F,'Акция 11'!$O:$O,0,0))%</f>
        <v>0</v>
      </c>
      <c r="AW84" s="13">
        <f t="shared" si="74"/>
        <v>0</v>
      </c>
      <c r="AX84" s="50"/>
      <c r="AY84" s="6"/>
      <c r="AZ84" s="13"/>
      <c r="BA84" s="17">
        <f t="shared" si="75"/>
        <v>0</v>
      </c>
      <c r="BB84" s="38">
        <f t="shared" si="76"/>
        <v>0</v>
      </c>
      <c r="BC84" s="33">
        <f t="shared" si="38"/>
        <v>0</v>
      </c>
      <c r="BD84" s="5">
        <f t="shared" si="77"/>
        <v>0</v>
      </c>
      <c r="BE84" s="53">
        <f t="shared" si="78"/>
        <v>0</v>
      </c>
      <c r="BF84" s="54">
        <f>_xlfn.XLOOKUP(A84,[1]Юнит!$A:$A,[1]Юнит!$AU:$AU,0)</f>
        <v>0</v>
      </c>
      <c r="BG84" s="54">
        <f t="shared" si="79"/>
        <v>0.2682921473701485</v>
      </c>
      <c r="BH84" s="5"/>
      <c r="BI84" s="78">
        <f t="shared" si="80"/>
        <v>1741</v>
      </c>
      <c r="BJ84" s="85">
        <f t="shared" si="81"/>
        <v>0.3</v>
      </c>
      <c r="BK84" s="88">
        <f t="shared" si="82"/>
        <v>1219</v>
      </c>
      <c r="BL84" s="79">
        <f t="shared" si="83"/>
        <v>0</v>
      </c>
      <c r="BM84" s="81">
        <f>_xlfn.XLOOKUP(A84,'Текущая цена на ВБ'!C:C,'Текущая цена на ВБ'!F:F)</f>
        <v>0</v>
      </c>
      <c r="BN84" s="84">
        <f>_xlfn.XLOOKUP(A84,'Текущая цена на ВБ'!C:C,'Текущая цена на ВБ'!H:H)</f>
        <v>1</v>
      </c>
    </row>
    <row r="85" spans="1:66" ht="24.95" customHeight="1" x14ac:dyDescent="0.25">
      <c r="A85" s="133">
        <f>[1]Юнит!A84</f>
        <v>340802685</v>
      </c>
      <c r="B85" s="133" t="str">
        <f>[1]Юнит!C84</f>
        <v>AKTA1PR101GR</v>
      </c>
      <c r="C85" s="134" t="str">
        <f>[1]Юнит!D84</f>
        <v>Чеснокодавка</v>
      </c>
      <c r="D85" s="135">
        <f>[1]Юнит!E84</f>
        <v>2042987041841</v>
      </c>
      <c r="E85" s="50">
        <v>1028</v>
      </c>
      <c r="F85" s="6">
        <v>0.4</v>
      </c>
      <c r="G85" s="150" t="s">
        <v>380</v>
      </c>
      <c r="H85" s="54">
        <v>0.22259732370600002</v>
      </c>
      <c r="I85" s="71">
        <f>_xlfn.XLOOKUP(D85,[1]Юнит!$E:$E,[1]Юнит!$AN:$AN)</f>
        <v>1049</v>
      </c>
      <c r="J85" s="6">
        <f t="shared" si="43"/>
        <v>0.3</v>
      </c>
      <c r="K85" s="153">
        <f t="shared" si="63"/>
        <v>1498.5714285714287</v>
      </c>
      <c r="L85" s="54">
        <f>_xlfn.XLOOKUP(D85,[1]Юнит!$E:$E,[1]Юнит!$AR:$AR)</f>
        <v>0.23992198284080074</v>
      </c>
      <c r="M85" s="50">
        <f t="shared" si="64"/>
        <v>1028</v>
      </c>
      <c r="N85" s="6">
        <f>_xlfn.XLOOKUP($A85,'Текущая цена на ВБ'!$C:$C,'Текущая цена на ВБ'!$K:$K,0,0)%</f>
        <v>0.4</v>
      </c>
      <c r="O85" s="150" t="str">
        <f>_xlfn.XLOOKUP($A85,'Текущая цена на ВБ'!$C:$C,'Текущая цена на ВБ'!$I:$I,0,0)</f>
        <v>1713</v>
      </c>
      <c r="P85" s="54">
        <f>_xlfn.XLOOKUP($A85,[1]Юнит!$A:$A,[1]Юнит!$AJ:$AJ,0)</f>
        <v>0.22568803269118501</v>
      </c>
      <c r="Q85" s="50">
        <f>_xlfn.XLOOKUP($A85,'Акция 1'!$F:$F,'Акция 1'!$L:$L,0,0)</f>
        <v>1028</v>
      </c>
      <c r="R85" s="6">
        <f>(_xlfn.XLOOKUP($A85,'Акция 1'!$F:$F,'Акция 1'!$P:$P,0,0))%</f>
        <v>0.32</v>
      </c>
      <c r="S85" s="13">
        <f t="shared" si="65"/>
        <v>1511.7647058823532</v>
      </c>
      <c r="T85" s="50">
        <f>_xlfn.XLOOKUP($A85,'Акция 2'!$F:$F,'Акция 2'!$L:$L,0,0)</f>
        <v>0</v>
      </c>
      <c r="U85" s="6">
        <f>(_xlfn.XLOOKUP($A85,'Акция 2'!$F:$F,'Акция 2'!$O:$O,0,0))%</f>
        <v>0</v>
      </c>
      <c r="V85" s="13">
        <f t="shared" si="66"/>
        <v>0</v>
      </c>
      <c r="W85" s="50">
        <f>_xlfn.XLOOKUP($A85,'Акция 3'!$F:$F,'Акция 3'!$L:$L,0,0)</f>
        <v>360</v>
      </c>
      <c r="X85" s="6">
        <f>(_xlfn.XLOOKUP($A85,'Акция 3'!$F:$F,'Акция 3'!$P:$P,0,0))%</f>
        <v>0.76</v>
      </c>
      <c r="Y85" s="13">
        <f t="shared" si="48"/>
        <v>1500</v>
      </c>
      <c r="Z85" s="50">
        <f>_xlfn.XLOOKUP($A85,'Акция 4'!$F:$F,'Акция 4'!$L:$L,0,0)</f>
        <v>0</v>
      </c>
      <c r="AA85" s="6">
        <f>(_xlfn.XLOOKUP($A85,'Акция 4'!$F:$F,'Акция 4'!$P:$P,0,0))%</f>
        <v>0</v>
      </c>
      <c r="AB85" s="13">
        <f t="shared" si="67"/>
        <v>0</v>
      </c>
      <c r="AC85" s="50">
        <f>_xlfn.XLOOKUP($A85,'Акция 5'!$F:$F,'Акция 5'!$L:$L,0,0)</f>
        <v>0</v>
      </c>
      <c r="AD85" s="6">
        <f>(_xlfn.XLOOKUP($A85,'Акция 5'!$F:$F,'Акция 5'!O:O,0,0))%</f>
        <v>0</v>
      </c>
      <c r="AE85" s="13">
        <f t="shared" si="68"/>
        <v>0</v>
      </c>
      <c r="AF85" s="50">
        <f>_xlfn.XLOOKUP($A85,'Акция 6'!$F:$F,'Акция 6'!$L:$L,0,0)</f>
        <v>0</v>
      </c>
      <c r="AG85" s="6">
        <f>(_xlfn.XLOOKUP($A85,'Акция 6'!$F:$F,'Акция 6'!$O:$O,0,0))%</f>
        <v>0</v>
      </c>
      <c r="AH85" s="13">
        <f t="shared" si="69"/>
        <v>0</v>
      </c>
      <c r="AI85" s="50">
        <f>_xlfn.XLOOKUP($A85,'Акция 7'!$F:$F,'Акция 7'!$L:$L,0,0)</f>
        <v>0</v>
      </c>
      <c r="AJ85" s="6">
        <f>(_xlfn.XLOOKUP($A85,'Акция 7'!$F:$F,'Акция 7'!$O:$O,0,0))%</f>
        <v>0</v>
      </c>
      <c r="AK85" s="13">
        <f t="shared" si="70"/>
        <v>0</v>
      </c>
      <c r="AL85" s="50">
        <f>_xlfn.XLOOKUP($A85,'Акция 8'!$F:$F,'Акция 8'!$L:$L,0,0)</f>
        <v>0</v>
      </c>
      <c r="AM85" s="6">
        <f>(_xlfn.XLOOKUP($A85,'Акция 8'!$F:$F,'Акция 8'!$S:$S,0,0))%</f>
        <v>0</v>
      </c>
      <c r="AN85" s="13">
        <f t="shared" si="71"/>
        <v>0</v>
      </c>
      <c r="AO85" s="50">
        <f>_xlfn.XLOOKUP($A85,'Акция 9'!$F:$F,'Акция 9'!$L:$L,0,0)</f>
        <v>0</v>
      </c>
      <c r="AP85" s="6">
        <f>(_xlfn.XLOOKUP($A85,'Акция 9'!$F:$F,'Акция 9'!$O:$O,0,0))%</f>
        <v>0</v>
      </c>
      <c r="AQ85" s="13">
        <f t="shared" si="72"/>
        <v>0</v>
      </c>
      <c r="AR85" s="50">
        <f>_xlfn.XLOOKUP($A85,'Акция 10'!$F:$F,'Акция 10'!$L:$L,0,0)</f>
        <v>0</v>
      </c>
      <c r="AS85" s="6">
        <f>(_xlfn.XLOOKUP($A85,'Акция 10'!$F:$F,'Акция 10'!$O:$O,0,0))%</f>
        <v>0</v>
      </c>
      <c r="AT85" s="13">
        <f t="shared" si="73"/>
        <v>0</v>
      </c>
      <c r="AU85" s="50">
        <f>_xlfn.XLOOKUP($A85,'Акция 11'!$F:$F,'Акция 11'!$L:$L,0,0)</f>
        <v>0</v>
      </c>
      <c r="AV85" s="6">
        <f>(_xlfn.XLOOKUP($A85,'Акция 11'!$F:$F,'Акция 11'!$O:$O,0,0))%</f>
        <v>0</v>
      </c>
      <c r="AW85" s="13">
        <f t="shared" si="74"/>
        <v>0</v>
      </c>
      <c r="AX85" s="50"/>
      <c r="AY85" s="6"/>
      <c r="AZ85" s="13"/>
      <c r="BA85" s="17">
        <f t="shared" si="75"/>
        <v>1028</v>
      </c>
      <c r="BB85" s="38">
        <f t="shared" si="76"/>
        <v>1</v>
      </c>
      <c r="BC85" s="33">
        <f t="shared" si="38"/>
        <v>1028</v>
      </c>
      <c r="BD85" s="5">
        <f t="shared" si="77"/>
        <v>0.4</v>
      </c>
      <c r="BE85" s="53">
        <f t="shared" si="78"/>
        <v>1713.3333333333335</v>
      </c>
      <c r="BF85" s="54">
        <f>_xlfn.XLOOKUP(A85,[1]Юнит!$A:$A,[1]Юнит!$AU:$AU,0)</f>
        <v>0.22582505836575875</v>
      </c>
      <c r="BG85" s="54">
        <f t="shared" si="79"/>
        <v>0.22568803269118501</v>
      </c>
      <c r="BH85" s="5" t="s">
        <v>287</v>
      </c>
      <c r="BI85" s="78">
        <f t="shared" si="80"/>
        <v>1713</v>
      </c>
      <c r="BJ85" s="85">
        <f t="shared" si="81"/>
        <v>0.4</v>
      </c>
      <c r="BK85" s="88">
        <f t="shared" si="82"/>
        <v>1028</v>
      </c>
      <c r="BL85" s="79">
        <f t="shared" si="83"/>
        <v>1</v>
      </c>
      <c r="BM85" s="81">
        <f>_xlfn.XLOOKUP(A85,'Текущая цена на ВБ'!C:C,'Текущая цена на ВБ'!F:F)</f>
        <v>19</v>
      </c>
      <c r="BN85" s="84">
        <f>_xlfn.XLOOKUP(A85,'Текущая цена на ВБ'!C:C,'Текущая цена на ВБ'!H:H)</f>
        <v>999</v>
      </c>
    </row>
    <row r="86" spans="1:66" ht="24.95" customHeight="1" x14ac:dyDescent="0.25">
      <c r="H86" s="10">
        <f t="shared" ref="H86:O86" si="84">SUM(H6:H85)/85</f>
        <v>0.15560963283957646</v>
      </c>
      <c r="I86" s="10"/>
      <c r="K86" s="10"/>
      <c r="L86" s="10"/>
      <c r="M86" s="10"/>
      <c r="O86" s="10">
        <f t="shared" si="84"/>
        <v>0</v>
      </c>
      <c r="P86" s="10">
        <f>SUM(P6:P85)/85</f>
        <v>0.17570263500453706</v>
      </c>
    </row>
  </sheetData>
  <autoFilter ref="A5:BM61" xr:uid="{5EBDC075-6398-43B2-8DB3-292620A10CDC}"/>
  <mergeCells count="46">
    <mergeCell ref="I1:I3"/>
    <mergeCell ref="C1:C3"/>
    <mergeCell ref="BG1:BG4"/>
    <mergeCell ref="BK1:BK3"/>
    <mergeCell ref="AJ2:AK2"/>
    <mergeCell ref="AM2:AN2"/>
    <mergeCell ref="R1:S1"/>
    <mergeCell ref="AI3:AK3"/>
    <mergeCell ref="AL3:AN3"/>
    <mergeCell ref="AJ1:AK1"/>
    <mergeCell ref="BH1:BH4"/>
    <mergeCell ref="BI1:BI3"/>
    <mergeCell ref="BJ1:BJ3"/>
    <mergeCell ref="AM1:AN1"/>
    <mergeCell ref="AP1:AQ1"/>
    <mergeCell ref="AO3:AQ3"/>
    <mergeCell ref="U1:V1"/>
    <mergeCell ref="U2:V2"/>
    <mergeCell ref="BN1:BN5"/>
    <mergeCell ref="BF1:BF4"/>
    <mergeCell ref="BM1:BM4"/>
    <mergeCell ref="AS1:AT1"/>
    <mergeCell ref="AP2:AQ2"/>
    <mergeCell ref="AV2:AW2"/>
    <mergeCell ref="AR3:AT3"/>
    <mergeCell ref="AU3:AW3"/>
    <mergeCell ref="AV1:AW1"/>
    <mergeCell ref="AY1:AZ1"/>
    <mergeCell ref="AY2:AZ2"/>
    <mergeCell ref="AX3:AZ3"/>
    <mergeCell ref="AS2:AT2"/>
    <mergeCell ref="AG1:AH1"/>
    <mergeCell ref="AG2:AH2"/>
    <mergeCell ref="W3:Y3"/>
    <mergeCell ref="AA1:AB1"/>
    <mergeCell ref="AD1:AE1"/>
    <mergeCell ref="AA2:AB2"/>
    <mergeCell ref="X2:Y2"/>
    <mergeCell ref="AF3:AH3"/>
    <mergeCell ref="X1:Y1"/>
    <mergeCell ref="Z3:AB3"/>
    <mergeCell ref="T3:V3"/>
    <mergeCell ref="AD2:AE2"/>
    <mergeCell ref="AC3:AE3"/>
    <mergeCell ref="R2:S2"/>
    <mergeCell ref="Q3:S3"/>
  </mergeCells>
  <phoneticPr fontId="2" type="noConversion"/>
  <conditionalFormatting sqref="E6:AZ85 BF6:BG85">
    <cfRule type="cellIs" dxfId="229" priority="270" operator="equal">
      <formula>$BA6</formula>
    </cfRule>
  </conditionalFormatting>
  <conditionalFormatting sqref="H6">
    <cfRule type="cellIs" dxfId="228" priority="101" stopIfTrue="1" operator="equal">
      <formula>0</formula>
    </cfRule>
    <cfRule type="cellIs" dxfId="227" priority="102" operator="greaterThan">
      <formula>0.2</formula>
    </cfRule>
    <cfRule type="cellIs" dxfId="226" priority="103" operator="between">
      <formula>0.15</formula>
      <formula>0.2</formula>
    </cfRule>
    <cfRule type="cellIs" dxfId="225" priority="104" operator="between">
      <formula>0.1</formula>
      <formula>0.15</formula>
    </cfRule>
    <cfRule type="cellIs" dxfId="224" priority="105" operator="between">
      <formula>0.01</formula>
      <formula>0.1</formula>
    </cfRule>
    <cfRule type="cellIs" dxfId="223" priority="112" operator="greaterThan">
      <formula>0.2</formula>
    </cfRule>
    <cfRule type="cellIs" dxfId="222" priority="113" operator="between">
      <formula>0.15</formula>
      <formula>0.2</formula>
    </cfRule>
    <cfRule type="cellIs" dxfId="221" priority="114" operator="between">
      <formula>0.1</formula>
      <formula>0.15</formula>
    </cfRule>
    <cfRule type="cellIs" dxfId="220" priority="115" operator="between">
      <formula>0.01</formula>
      <formula>0.1</formula>
    </cfRule>
    <cfRule type="cellIs" dxfId="219" priority="159" operator="greaterThan">
      <formula>0.2</formula>
    </cfRule>
    <cfRule type="cellIs" dxfId="218" priority="160" operator="between">
      <formula>0.15</formula>
      <formula>0.2</formula>
    </cfRule>
    <cfRule type="cellIs" dxfId="217" priority="161" operator="between">
      <formula>0.1</formula>
      <formula>0.15</formula>
    </cfRule>
    <cfRule type="cellIs" dxfId="216" priority="162" operator="between">
      <formula>0.01</formula>
      <formula>0.1</formula>
    </cfRule>
    <cfRule type="cellIs" dxfId="215" priority="271" stopIfTrue="1" operator="equal">
      <formula>0</formula>
    </cfRule>
    <cfRule type="cellIs" dxfId="214" priority="272" operator="greaterThan">
      <formula>0.2</formula>
    </cfRule>
    <cfRule type="cellIs" dxfId="213" priority="273" operator="between">
      <formula>0.15</formula>
      <formula>0.2</formula>
    </cfRule>
    <cfRule type="cellIs" dxfId="212" priority="274" operator="between">
      <formula>0.1</formula>
      <formula>0.15</formula>
    </cfRule>
    <cfRule type="cellIs" dxfId="211" priority="275" operator="between">
      <formula>0.01</formula>
      <formula>0.1</formula>
    </cfRule>
  </conditionalFormatting>
  <conditionalFormatting sqref="H6:H85">
    <cfRule type="cellIs" dxfId="210" priority="1" stopIfTrue="1" operator="equal">
      <formula>0</formula>
    </cfRule>
    <cfRule type="cellIs" dxfId="209" priority="2" operator="greaterThan">
      <formula>0.2</formula>
    </cfRule>
    <cfRule type="cellIs" dxfId="208" priority="3" operator="between">
      <formula>0.15</formula>
      <formula>0.2</formula>
    </cfRule>
    <cfRule type="cellIs" dxfId="207" priority="4" operator="between">
      <formula>0.1</formula>
      <formula>0.15</formula>
    </cfRule>
    <cfRule type="cellIs" dxfId="206" priority="5" operator="between">
      <formula>0.01</formula>
      <formula>0.1</formula>
    </cfRule>
    <cfRule type="cellIs" dxfId="205" priority="11" stopIfTrue="1" operator="equal">
      <formula>0</formula>
    </cfRule>
    <cfRule type="cellIs" dxfId="204" priority="12" operator="greaterThan">
      <formula>0.2</formula>
    </cfRule>
    <cfRule type="cellIs" dxfId="203" priority="13" operator="between">
      <formula>0.15</formula>
      <formula>0.2</formula>
    </cfRule>
    <cfRule type="cellIs" dxfId="202" priority="14" operator="between">
      <formula>0.1</formula>
      <formula>0.15</formula>
    </cfRule>
    <cfRule type="cellIs" dxfId="201" priority="15" operator="between">
      <formula>0.01</formula>
      <formula>0.1</formula>
    </cfRule>
    <cfRule type="cellIs" dxfId="200" priority="21" stopIfTrue="1" operator="equal">
      <formula>0</formula>
    </cfRule>
    <cfRule type="cellIs" dxfId="199" priority="22" operator="greaterThan">
      <formula>0.2</formula>
    </cfRule>
    <cfRule type="cellIs" dxfId="198" priority="23" operator="between">
      <formula>0.15</formula>
      <formula>0.2</formula>
    </cfRule>
    <cfRule type="cellIs" dxfId="197" priority="24" operator="between">
      <formula>0.1</formula>
      <formula>0.15</formula>
    </cfRule>
    <cfRule type="cellIs" dxfId="196" priority="25" operator="between">
      <formula>0.01</formula>
      <formula>0.1</formula>
    </cfRule>
    <cfRule type="cellIs" dxfId="195" priority="26" stopIfTrue="1" operator="equal">
      <formula>0</formula>
    </cfRule>
    <cfRule type="cellIs" dxfId="194" priority="27" operator="greaterThan">
      <formula>0.2</formula>
    </cfRule>
    <cfRule type="cellIs" dxfId="193" priority="28" operator="between">
      <formula>0.15</formula>
      <formula>0.2</formula>
    </cfRule>
    <cfRule type="cellIs" dxfId="192" priority="29" operator="between">
      <formula>0.1</formula>
      <formula>0.15</formula>
    </cfRule>
    <cfRule type="cellIs" dxfId="191" priority="30" operator="between">
      <formula>0.01</formula>
      <formula>0.1</formula>
    </cfRule>
    <cfRule type="cellIs" dxfId="190" priority="36" stopIfTrue="1" operator="equal">
      <formula>0</formula>
    </cfRule>
    <cfRule type="cellIs" dxfId="189" priority="37" operator="greaterThan">
      <formula>0.2</formula>
    </cfRule>
    <cfRule type="cellIs" dxfId="188" priority="38" operator="between">
      <formula>0.15</formula>
      <formula>0.2</formula>
    </cfRule>
    <cfRule type="cellIs" dxfId="187" priority="39" operator="between">
      <formula>0.1</formula>
      <formula>0.15</formula>
    </cfRule>
    <cfRule type="cellIs" dxfId="186" priority="40" operator="between">
      <formula>0.01</formula>
      <formula>0.1</formula>
    </cfRule>
    <cfRule type="cellIs" dxfId="185" priority="46" stopIfTrue="1" operator="equal">
      <formula>0</formula>
    </cfRule>
    <cfRule type="cellIs" dxfId="184" priority="47" operator="greaterThan">
      <formula>0.2</formula>
    </cfRule>
    <cfRule type="cellIs" dxfId="183" priority="48" operator="between">
      <formula>0.15</formula>
      <formula>0.2</formula>
    </cfRule>
    <cfRule type="cellIs" dxfId="182" priority="49" operator="between">
      <formula>0.1</formula>
      <formula>0.15</formula>
    </cfRule>
    <cfRule type="cellIs" dxfId="181" priority="50" operator="between">
      <formula>0.01</formula>
      <formula>0.1</formula>
    </cfRule>
    <cfRule type="cellIs" dxfId="180" priority="51" stopIfTrue="1" operator="equal">
      <formula>0</formula>
    </cfRule>
    <cfRule type="cellIs" dxfId="179" priority="52" operator="greaterThan">
      <formula>0.2</formula>
    </cfRule>
    <cfRule type="cellIs" dxfId="178" priority="53" operator="between">
      <formula>0.15</formula>
      <formula>0.2</formula>
    </cfRule>
    <cfRule type="cellIs" dxfId="177" priority="54" operator="between">
      <formula>0.1</formula>
      <formula>0.15</formula>
    </cfRule>
    <cfRule type="cellIs" dxfId="176" priority="55" operator="between">
      <formula>0.01</formula>
      <formula>0.1</formula>
    </cfRule>
    <cfRule type="cellIs" dxfId="175" priority="61" stopIfTrue="1" operator="equal">
      <formula>0</formula>
    </cfRule>
    <cfRule type="cellIs" dxfId="174" priority="62" operator="greaterThan">
      <formula>0.2</formula>
    </cfRule>
    <cfRule type="cellIs" dxfId="173" priority="63" operator="between">
      <formula>0.15</formula>
      <formula>0.2</formula>
    </cfRule>
    <cfRule type="cellIs" dxfId="172" priority="64" operator="between">
      <formula>0.1</formula>
      <formula>0.15</formula>
    </cfRule>
    <cfRule type="cellIs" dxfId="171" priority="65" operator="between">
      <formula>0.01</formula>
      <formula>0.1</formula>
    </cfRule>
    <cfRule type="cellIs" dxfId="170" priority="71" stopIfTrue="1" operator="equal">
      <formula>0</formula>
    </cfRule>
    <cfRule type="cellIs" dxfId="169" priority="72" operator="greaterThan">
      <formula>0.2</formula>
    </cfRule>
    <cfRule type="cellIs" dxfId="168" priority="73" operator="between">
      <formula>0.15</formula>
      <formula>0.2</formula>
    </cfRule>
    <cfRule type="cellIs" dxfId="167" priority="74" operator="between">
      <formula>0.1</formula>
      <formula>0.15</formula>
    </cfRule>
    <cfRule type="cellIs" dxfId="166" priority="75" operator="between">
      <formula>0.01</formula>
      <formula>0.1</formula>
    </cfRule>
    <cfRule type="cellIs" dxfId="165" priority="106" stopIfTrue="1" operator="equal">
      <formula>0</formula>
    </cfRule>
    <cfRule type="cellIs" dxfId="164" priority="116" stopIfTrue="1" operator="equal">
      <formula>0</formula>
    </cfRule>
    <cfRule type="cellIs" dxfId="163" priority="117" operator="greaterThan">
      <formula>0.2</formula>
    </cfRule>
    <cfRule type="cellIs" dxfId="162" priority="118" operator="between">
      <formula>0.15</formula>
      <formula>0.2</formula>
    </cfRule>
    <cfRule type="cellIs" dxfId="161" priority="119" operator="between">
      <formula>0.1</formula>
      <formula>0.15</formula>
    </cfRule>
    <cfRule type="cellIs" dxfId="160" priority="120" operator="between">
      <formula>0.01</formula>
      <formula>0.1</formula>
    </cfRule>
    <cfRule type="cellIs" dxfId="159" priority="138" stopIfTrue="1" operator="equal">
      <formula>0</formula>
    </cfRule>
    <cfRule type="cellIs" dxfId="158" priority="139" operator="greaterThan">
      <formula>0.2</formula>
    </cfRule>
    <cfRule type="cellIs" dxfId="157" priority="140" operator="between">
      <formula>0.15</formula>
      <formula>0.2</formula>
    </cfRule>
    <cfRule type="cellIs" dxfId="156" priority="141" operator="between">
      <formula>0.1</formula>
      <formula>0.15</formula>
    </cfRule>
    <cfRule type="cellIs" dxfId="155" priority="142" operator="between">
      <formula>0.01</formula>
      <formula>0.1</formula>
    </cfRule>
    <cfRule type="cellIs" dxfId="154" priority="148" stopIfTrue="1" operator="equal">
      <formula>0</formula>
    </cfRule>
    <cfRule type="cellIs" dxfId="153" priority="149" operator="greaterThan">
      <formula>0.2</formula>
    </cfRule>
    <cfRule type="cellIs" dxfId="152" priority="150" operator="between">
      <formula>0.15</formula>
      <formula>0.2</formula>
    </cfRule>
    <cfRule type="cellIs" dxfId="151" priority="151" operator="between">
      <formula>0.1</formula>
      <formula>0.15</formula>
    </cfRule>
    <cfRule type="cellIs" dxfId="150" priority="152" operator="between">
      <formula>0.01</formula>
      <formula>0.1</formula>
    </cfRule>
    <cfRule type="cellIs" dxfId="149" priority="158" stopIfTrue="1" operator="equal">
      <formula>0</formula>
    </cfRule>
    <cfRule type="cellIs" dxfId="148" priority="220" stopIfTrue="1" operator="equal">
      <formula>0</formula>
    </cfRule>
    <cfRule type="cellIs" dxfId="147" priority="221" operator="greaterThan">
      <formula>0.2</formula>
    </cfRule>
    <cfRule type="cellIs" dxfId="146" priority="222" operator="between">
      <formula>0.15</formula>
      <formula>0.2</formula>
    </cfRule>
    <cfRule type="cellIs" dxfId="145" priority="223" operator="between">
      <formula>0.1</formula>
      <formula>0.15</formula>
    </cfRule>
    <cfRule type="cellIs" dxfId="144" priority="224" operator="between">
      <formula>0.01</formula>
      <formula>0.1</formula>
    </cfRule>
    <cfRule type="cellIs" dxfId="143" priority="230" stopIfTrue="1" operator="equal">
      <formula>0</formula>
    </cfRule>
    <cfRule type="cellIs" dxfId="142" priority="231" operator="greaterThan">
      <formula>0.2</formula>
    </cfRule>
    <cfRule type="cellIs" dxfId="141" priority="232" operator="between">
      <formula>0.15</formula>
      <formula>0.2</formula>
    </cfRule>
    <cfRule type="cellIs" dxfId="140" priority="233" operator="between">
      <formula>0.1</formula>
      <formula>0.15</formula>
    </cfRule>
    <cfRule type="cellIs" dxfId="139" priority="234" operator="between">
      <formula>0.01</formula>
      <formula>0.1</formula>
    </cfRule>
  </conditionalFormatting>
  <conditionalFormatting sqref="H7:H85">
    <cfRule type="cellIs" dxfId="138" priority="6" stopIfTrue="1" operator="equal">
      <formula>0</formula>
    </cfRule>
    <cfRule type="cellIs" dxfId="137" priority="7" operator="greaterThan">
      <formula>0.2</formula>
    </cfRule>
    <cfRule type="cellIs" dxfId="136" priority="8" operator="between">
      <formula>0.15</formula>
      <formula>0.2</formula>
    </cfRule>
    <cfRule type="cellIs" dxfId="135" priority="9" operator="between">
      <formula>0.1</formula>
      <formula>0.15</formula>
    </cfRule>
    <cfRule type="cellIs" dxfId="134" priority="10" operator="between">
      <formula>0.01</formula>
      <formula>0.1</formula>
    </cfRule>
    <cfRule type="cellIs" dxfId="133" priority="16" stopIfTrue="1" operator="equal">
      <formula>0</formula>
    </cfRule>
    <cfRule type="cellIs" dxfId="132" priority="17" operator="greaterThan">
      <formula>0.2</formula>
    </cfRule>
    <cfRule type="cellIs" dxfId="131" priority="18" operator="between">
      <formula>0.15</formula>
      <formula>0.2</formula>
    </cfRule>
    <cfRule type="cellIs" dxfId="130" priority="19" operator="between">
      <formula>0.1</formula>
      <formula>0.15</formula>
    </cfRule>
    <cfRule type="cellIs" dxfId="129" priority="20" operator="between">
      <formula>0.01</formula>
      <formula>0.1</formula>
    </cfRule>
    <cfRule type="cellIs" dxfId="128" priority="31" stopIfTrue="1" operator="equal">
      <formula>0</formula>
    </cfRule>
    <cfRule type="cellIs" dxfId="127" priority="32" operator="greaterThan">
      <formula>0.2</formula>
    </cfRule>
    <cfRule type="cellIs" dxfId="126" priority="33" operator="between">
      <formula>0.15</formula>
      <formula>0.2</formula>
    </cfRule>
    <cfRule type="cellIs" dxfId="125" priority="34" operator="between">
      <formula>0.1</formula>
      <formula>0.15</formula>
    </cfRule>
    <cfRule type="cellIs" dxfId="124" priority="35" operator="between">
      <formula>0.01</formula>
      <formula>0.1</formula>
    </cfRule>
    <cfRule type="cellIs" dxfId="123" priority="41" stopIfTrue="1" operator="equal">
      <formula>0</formula>
    </cfRule>
    <cfRule type="cellIs" dxfId="122" priority="42" operator="greaterThan">
      <formula>0.2</formula>
    </cfRule>
    <cfRule type="cellIs" dxfId="121" priority="43" operator="between">
      <formula>0.15</formula>
      <formula>0.2</formula>
    </cfRule>
    <cfRule type="cellIs" dxfId="120" priority="44" operator="between">
      <formula>0.1</formula>
      <formula>0.15</formula>
    </cfRule>
    <cfRule type="cellIs" dxfId="119" priority="45" operator="between">
      <formula>0.01</formula>
      <formula>0.1</formula>
    </cfRule>
    <cfRule type="cellIs" dxfId="118" priority="56" stopIfTrue="1" operator="equal">
      <formula>0</formula>
    </cfRule>
    <cfRule type="cellIs" dxfId="117" priority="57" operator="greaterThan">
      <formula>0.2</formula>
    </cfRule>
    <cfRule type="cellIs" dxfId="116" priority="58" operator="between">
      <formula>0.15</formula>
      <formula>0.2</formula>
    </cfRule>
    <cfRule type="cellIs" dxfId="115" priority="59" operator="between">
      <formula>0.1</formula>
      <formula>0.15</formula>
    </cfRule>
    <cfRule type="cellIs" dxfId="114" priority="60" operator="between">
      <formula>0.01</formula>
      <formula>0.1</formula>
    </cfRule>
    <cfRule type="cellIs" dxfId="113" priority="66" stopIfTrue="1" operator="equal">
      <formula>0</formula>
    </cfRule>
    <cfRule type="cellIs" dxfId="112" priority="67" operator="greaterThan">
      <formula>0.2</formula>
    </cfRule>
    <cfRule type="cellIs" dxfId="111" priority="68" operator="between">
      <formula>0.15</formula>
      <formula>0.2</formula>
    </cfRule>
    <cfRule type="cellIs" dxfId="110" priority="69" operator="between">
      <formula>0.1</formula>
      <formula>0.15</formula>
    </cfRule>
    <cfRule type="cellIs" dxfId="109" priority="70" operator="between">
      <formula>0.01</formula>
      <formula>0.1</formula>
    </cfRule>
    <cfRule type="cellIs" dxfId="108" priority="107" operator="greaterThan">
      <formula>0.2</formula>
    </cfRule>
    <cfRule type="cellIs" dxfId="107" priority="108" operator="between">
      <formula>0.15</formula>
      <formula>0.2</formula>
    </cfRule>
    <cfRule type="cellIs" dxfId="106" priority="109" operator="between">
      <formula>0.1</formula>
      <formula>0.15</formula>
    </cfRule>
    <cfRule type="cellIs" dxfId="105" priority="110" operator="between">
      <formula>0.01</formula>
      <formula>0.1</formula>
    </cfRule>
    <cfRule type="cellIs" dxfId="104" priority="216" operator="greaterThan">
      <formula>0.2</formula>
    </cfRule>
    <cfRule type="cellIs" dxfId="103" priority="217" operator="between">
      <formula>0.15</formula>
      <formula>0.2</formula>
    </cfRule>
    <cfRule type="cellIs" dxfId="102" priority="218" operator="between">
      <formula>0.1</formula>
      <formula>0.15</formula>
    </cfRule>
    <cfRule type="cellIs" dxfId="101" priority="219" operator="between">
      <formula>0.01</formula>
      <formula>0.1</formula>
    </cfRule>
  </conditionalFormatting>
  <conditionalFormatting sqref="H50">
    <cfRule type="cellIs" dxfId="100" priority="76" stopIfTrue="1" operator="equal">
      <formula>0</formula>
    </cfRule>
    <cfRule type="cellIs" dxfId="99" priority="77" operator="greaterThan">
      <formula>0.2</formula>
    </cfRule>
    <cfRule type="cellIs" dxfId="98" priority="78" operator="between">
      <formula>0.15</formula>
      <formula>0.2</formula>
    </cfRule>
    <cfRule type="cellIs" dxfId="97" priority="79" operator="between">
      <formula>0.1</formula>
      <formula>0.15</formula>
    </cfRule>
    <cfRule type="cellIs" dxfId="96" priority="80" operator="between">
      <formula>0.01</formula>
      <formula>0.1</formula>
    </cfRule>
    <cfRule type="cellIs" dxfId="95" priority="81" stopIfTrue="1" operator="equal">
      <formula>0</formula>
    </cfRule>
    <cfRule type="cellIs" dxfId="94" priority="82" operator="greaterThan">
      <formula>0.2</formula>
    </cfRule>
    <cfRule type="cellIs" dxfId="93" priority="83" operator="between">
      <formula>0.15</formula>
      <formula>0.2</formula>
    </cfRule>
    <cfRule type="cellIs" dxfId="92" priority="84" operator="between">
      <formula>0.1</formula>
      <formula>0.15</formula>
    </cfRule>
    <cfRule type="cellIs" dxfId="91" priority="85" operator="between">
      <formula>0.01</formula>
      <formula>0.1</formula>
    </cfRule>
    <cfRule type="cellIs" dxfId="90" priority="86" stopIfTrue="1" operator="equal">
      <formula>0</formula>
    </cfRule>
    <cfRule type="cellIs" dxfId="89" priority="87" operator="greaterThan">
      <formula>0.2</formula>
    </cfRule>
    <cfRule type="cellIs" dxfId="88" priority="88" operator="between">
      <formula>0.15</formula>
      <formula>0.2</formula>
    </cfRule>
    <cfRule type="cellIs" dxfId="87" priority="89" operator="between">
      <formula>0.1</formula>
      <formula>0.15</formula>
    </cfRule>
    <cfRule type="cellIs" dxfId="86" priority="90" operator="between">
      <formula>0.01</formula>
      <formula>0.1</formula>
    </cfRule>
    <cfRule type="cellIs" dxfId="85" priority="91" stopIfTrue="1" operator="equal">
      <formula>0</formula>
    </cfRule>
    <cfRule type="cellIs" dxfId="84" priority="92" operator="greaterThan">
      <formula>0.2</formula>
    </cfRule>
    <cfRule type="cellIs" dxfId="83" priority="93" operator="between">
      <formula>0.15</formula>
      <formula>0.2</formula>
    </cfRule>
    <cfRule type="cellIs" dxfId="82" priority="94" operator="between">
      <formula>0.1</formula>
      <formula>0.15</formula>
    </cfRule>
    <cfRule type="cellIs" dxfId="81" priority="95" operator="between">
      <formula>0.01</formula>
      <formula>0.1</formula>
    </cfRule>
    <cfRule type="cellIs" dxfId="80" priority="96" stopIfTrue="1" operator="equal">
      <formula>0</formula>
    </cfRule>
    <cfRule type="cellIs" dxfId="79" priority="97" operator="greaterThan">
      <formula>0.2</formula>
    </cfRule>
    <cfRule type="cellIs" dxfId="78" priority="98" operator="between">
      <formula>0.15</formula>
      <formula>0.2</formula>
    </cfRule>
    <cfRule type="cellIs" dxfId="77" priority="99" operator="between">
      <formula>0.1</formula>
      <formula>0.15</formula>
    </cfRule>
    <cfRule type="cellIs" dxfId="76" priority="100" operator="between">
      <formula>0.01</formula>
      <formula>0.1</formula>
    </cfRule>
  </conditionalFormatting>
  <conditionalFormatting sqref="L6:L85">
    <cfRule type="cellIs" dxfId="75" priority="210" stopIfTrue="1" operator="equal">
      <formula>0</formula>
    </cfRule>
    <cfRule type="cellIs" dxfId="74" priority="211" operator="greaterThan">
      <formula>0.2</formula>
    </cfRule>
    <cfRule type="cellIs" dxfId="73" priority="212" operator="between">
      <formula>0.15</formula>
      <formula>0.2</formula>
    </cfRule>
    <cfRule type="cellIs" dxfId="72" priority="213" operator="between">
      <formula>0.1</formula>
      <formula>0.15</formula>
    </cfRule>
    <cfRule type="cellIs" dxfId="71" priority="214" operator="between">
      <formula>0.01</formula>
      <formula>0.1</formula>
    </cfRule>
    <cfRule type="cellIs" dxfId="70" priority="276" stopIfTrue="1" operator="equal">
      <formula>0</formula>
    </cfRule>
    <cfRule type="cellIs" dxfId="69" priority="277" operator="greaterThan">
      <formula>0.2</formula>
    </cfRule>
    <cfRule type="cellIs" dxfId="68" priority="278" operator="between">
      <formula>0.15</formula>
      <formula>0.2</formula>
    </cfRule>
    <cfRule type="cellIs" dxfId="67" priority="279" operator="between">
      <formula>0.1</formula>
      <formula>0.15</formula>
    </cfRule>
    <cfRule type="cellIs" dxfId="66" priority="280" operator="between">
      <formula>0.01</formula>
      <formula>0.1</formula>
    </cfRule>
  </conditionalFormatting>
  <conditionalFormatting sqref="L7:L85">
    <cfRule type="cellIs" dxfId="65" priority="260" stopIfTrue="1" operator="equal">
      <formula>0</formula>
    </cfRule>
    <cfRule type="cellIs" dxfId="64" priority="261" operator="greaterThan">
      <formula>0.2</formula>
    </cfRule>
    <cfRule type="cellIs" dxfId="63" priority="262" operator="between">
      <formula>0.15</formula>
      <formula>0.2</formula>
    </cfRule>
    <cfRule type="cellIs" dxfId="62" priority="263" operator="between">
      <formula>0.1</formula>
      <formula>0.15</formula>
    </cfRule>
    <cfRule type="cellIs" dxfId="61" priority="264" operator="between">
      <formula>0.01</formula>
      <formula>0.1</formula>
    </cfRule>
  </conditionalFormatting>
  <conditionalFormatting sqref="P6:P85">
    <cfRule type="cellIs" dxfId="60" priority="196" operator="greaterThan">
      <formula>0.2</formula>
    </cfRule>
    <cfRule type="cellIs" dxfId="59" priority="197" operator="between">
      <formula>0.15</formula>
      <formula>0.2</formula>
    </cfRule>
    <cfRule type="cellIs" dxfId="58" priority="198" operator="between">
      <formula>0.1</formula>
      <formula>0.15</formula>
    </cfRule>
    <cfRule type="cellIs" dxfId="57" priority="199" operator="between">
      <formula>0.01</formula>
      <formula>0.1</formula>
    </cfRule>
    <cfRule type="cellIs" dxfId="56" priority="205" stopIfTrue="1" operator="equal">
      <formula>0</formula>
    </cfRule>
    <cfRule type="cellIs" dxfId="55" priority="206" operator="greaterThan">
      <formula>0.2</formula>
    </cfRule>
    <cfRule type="cellIs" dxfId="54" priority="207" operator="between">
      <formula>0.15</formula>
      <formula>0.2</formula>
    </cfRule>
    <cfRule type="cellIs" dxfId="53" priority="208" operator="between">
      <formula>0.1</formula>
      <formula>0.15</formula>
    </cfRule>
    <cfRule type="cellIs" dxfId="52" priority="209" operator="between">
      <formula>0.01</formula>
      <formula>0.1</formula>
    </cfRule>
    <cfRule type="cellIs" dxfId="51" priority="281" stopIfTrue="1" operator="equal">
      <formula>0</formula>
    </cfRule>
    <cfRule type="cellIs" dxfId="50" priority="282" operator="greaterThan">
      <formula>0.2</formula>
    </cfRule>
    <cfRule type="cellIs" dxfId="49" priority="283" operator="between">
      <formula>0.15</formula>
      <formula>0.2</formula>
    </cfRule>
    <cfRule type="cellIs" dxfId="48" priority="284" operator="between">
      <formula>0.1</formula>
      <formula>0.15</formula>
    </cfRule>
    <cfRule type="cellIs" dxfId="47" priority="285" operator="between">
      <formula>0.01</formula>
      <formula>0.1</formula>
    </cfRule>
  </conditionalFormatting>
  <conditionalFormatting sqref="P7:P85">
    <cfRule type="cellIs" dxfId="46" priority="200" stopIfTrue="1" operator="equal">
      <formula>0</formula>
    </cfRule>
    <cfRule type="cellIs" dxfId="45" priority="201" operator="greaterThan">
      <formula>0.2</formula>
    </cfRule>
    <cfRule type="cellIs" dxfId="44" priority="202" operator="between">
      <formula>0.15</formula>
      <formula>0.2</formula>
    </cfRule>
    <cfRule type="cellIs" dxfId="43" priority="203" operator="between">
      <formula>0.1</formula>
      <formula>0.15</formula>
    </cfRule>
    <cfRule type="cellIs" dxfId="42" priority="204" operator="between">
      <formula>0.01</formula>
      <formula>0.1</formula>
    </cfRule>
    <cfRule type="cellIs" dxfId="41" priority="265" stopIfTrue="1" operator="equal">
      <formula>0</formula>
    </cfRule>
    <cfRule type="cellIs" dxfId="40" priority="266" operator="greaterThan">
      <formula>0.2</formula>
    </cfRule>
    <cfRule type="cellIs" dxfId="39" priority="267" operator="between">
      <formula>0.15</formula>
      <formula>0.2</formula>
    </cfRule>
    <cfRule type="cellIs" dxfId="38" priority="268" operator="between">
      <formula>0.1</formula>
      <formula>0.15</formula>
    </cfRule>
    <cfRule type="cellIs" dxfId="37" priority="269" operator="between">
      <formula>0.01</formula>
      <formula>0.1</formula>
    </cfRule>
  </conditionalFormatting>
  <conditionalFormatting sqref="P6:AZ85">
    <cfRule type="cellIs" dxfId="36" priority="126" stopIfTrue="1" operator="equal">
      <formula>0</formula>
    </cfRule>
  </conditionalFormatting>
  <conditionalFormatting sqref="BA6:BB85">
    <cfRule type="expression" dxfId="35" priority="249">
      <formula>$BH6="*"</formula>
    </cfRule>
  </conditionalFormatting>
  <conditionalFormatting sqref="BA6:BE85 BI6:BK84 BH85:BK85">
    <cfRule type="cellIs" dxfId="34" priority="251" stopIfTrue="1" operator="equal">
      <formula>0</formula>
    </cfRule>
  </conditionalFormatting>
  <conditionalFormatting sqref="BF6:BF85">
    <cfRule type="cellIs" dxfId="33" priority="180" operator="greaterThan">
      <formula>0.2</formula>
    </cfRule>
    <cfRule type="cellIs" dxfId="32" priority="181" operator="between">
      <formula>0.15</formula>
      <formula>0.2</formula>
    </cfRule>
    <cfRule type="cellIs" dxfId="31" priority="182" operator="between">
      <formula>0.1</formula>
      <formula>0.15</formula>
    </cfRule>
    <cfRule type="cellIs" dxfId="30" priority="183" operator="between">
      <formula>0.01</formula>
      <formula>0.1</formula>
    </cfRule>
    <cfRule type="cellIs" dxfId="29" priority="190" stopIfTrue="1" operator="equal">
      <formula>0</formula>
    </cfRule>
    <cfRule type="cellIs" dxfId="28" priority="191" operator="greaterThan">
      <formula>0.2</formula>
    </cfRule>
    <cfRule type="cellIs" dxfId="27" priority="192" operator="between">
      <formula>0.15</formula>
      <formula>0.2</formula>
    </cfRule>
    <cfRule type="cellIs" dxfId="26" priority="193" operator="between">
      <formula>0.1</formula>
      <formula>0.15</formula>
    </cfRule>
    <cfRule type="cellIs" dxfId="25" priority="194" operator="between">
      <formula>0.01</formula>
      <formula>0.1</formula>
    </cfRule>
  </conditionalFormatting>
  <conditionalFormatting sqref="BF6:BH85">
    <cfRule type="cellIs" dxfId="24" priority="174" stopIfTrue="1" operator="equal">
      <formula>0</formula>
    </cfRule>
  </conditionalFormatting>
  <conditionalFormatting sqref="BG6:BG85">
    <cfRule type="cellIs" dxfId="23" priority="163" stopIfTrue="1" operator="equal">
      <formula>0</formula>
    </cfRule>
    <cfRule type="cellIs" dxfId="22" priority="164" operator="greaterThan">
      <formula>0.2</formula>
    </cfRule>
    <cfRule type="cellIs" dxfId="21" priority="165" operator="between">
      <formula>0.15</formula>
      <formula>0.2</formula>
    </cfRule>
    <cfRule type="cellIs" dxfId="20" priority="166" operator="between">
      <formula>0.1</formula>
      <formula>0.15</formula>
    </cfRule>
    <cfRule type="cellIs" dxfId="19" priority="167" operator="between">
      <formula>0.01</formula>
      <formula>0.1</formula>
    </cfRule>
    <cfRule type="cellIs" dxfId="18" priority="175" operator="greaterThan">
      <formula>0.2</formula>
    </cfRule>
    <cfRule type="cellIs" dxfId="17" priority="176" operator="between">
      <formula>0.15</formula>
      <formula>0.2</formula>
    </cfRule>
    <cfRule type="cellIs" dxfId="16" priority="177" operator="between">
      <formula>0.1</formula>
      <formula>0.15</formula>
    </cfRule>
    <cfRule type="cellIs" dxfId="15" priority="178" operator="between">
      <formula>0.01</formula>
      <formula>0.1</formula>
    </cfRule>
  </conditionalFormatting>
  <conditionalFormatting sqref="BH6:BH85">
    <cfRule type="cellIs" dxfId="14" priority="479" operator="equal">
      <formula>"*"</formula>
    </cfRule>
  </conditionalFormatting>
  <conditionalFormatting sqref="BH9">
    <cfRule type="cellIs" dxfId="13" priority="372" operator="equal">
      <formula>"*"</formula>
    </cfRule>
  </conditionalFormatting>
  <conditionalFormatting sqref="BH6:BH85">
    <cfRule type="cellIs" dxfId="12" priority="390" stopIfTrue="1" operator="equal">
      <formula>0</formula>
    </cfRule>
    <cfRule type="cellIs" dxfId="11" priority="393" operator="equal">
      <formula>"*"</formula>
    </cfRule>
  </conditionalFormatting>
  <conditionalFormatting sqref="BH56:BH67">
    <cfRule type="cellIs" dxfId="10" priority="476" stopIfTrue="1" operator="equal">
      <formula>0</formula>
    </cfRule>
  </conditionalFormatting>
  <conditionalFormatting sqref="BH6:BH85">
    <cfRule type="cellIs" dxfId="9" priority="311" operator="equal">
      <formula>"*"</formula>
    </cfRule>
  </conditionalFormatting>
  <conditionalFormatting sqref="BN6:BN85">
    <cfRule type="cellIs" dxfId="8" priority="554" operator="lessThan">
      <formula>30</formula>
    </cfRule>
    <cfRule type="cellIs" dxfId="7" priority="555" operator="lessThan">
      <formula>60</formula>
    </cfRule>
    <cfRule type="cellIs" dxfId="6" priority="556" operator="between">
      <formula>60</formula>
      <formula>120</formula>
    </cfRule>
    <cfRule type="cellIs" dxfId="5" priority="557" operator="greaterThan">
      <formula>120</formula>
    </cfRule>
  </conditionalFormatting>
  <pageMargins left="0" right="0" top="0" bottom="0" header="0" footer="0"/>
  <pageSetup paperSize="9" scale="76" fitToHeight="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659D-5A1A-422F-8A9A-8BE613F1C0BE}">
  <dimension ref="A1:N87"/>
  <sheetViews>
    <sheetView workbookViewId="0">
      <selection sqref="A1:XFD1048576"/>
    </sheetView>
  </sheetViews>
  <sheetFormatPr defaultRowHeight="15" x14ac:dyDescent="0.25"/>
  <cols>
    <col min="1" max="1" width="12.5703125" bestFit="1" customWidth="1"/>
    <col min="2" max="2" width="43" customWidth="1"/>
    <col min="3" max="3" width="12" bestFit="1" customWidth="1"/>
    <col min="4" max="4" width="18" bestFit="1" customWidth="1"/>
    <col min="5" max="5" width="18.42578125" bestFit="1" customWidth="1"/>
    <col min="6" max="6" width="11.5703125" bestFit="1" customWidth="1"/>
    <col min="7" max="7" width="17.5703125" bestFit="1" customWidth="1"/>
    <col min="8" max="8" width="17.7109375" bestFit="1" customWidth="1"/>
    <col min="9" max="9" width="13.7109375" bestFit="1" customWidth="1"/>
    <col min="10" max="10" width="15" customWidth="1"/>
    <col min="11" max="11" width="15.42578125" style="61" bestFit="1" customWidth="1"/>
    <col min="12" max="12" width="13.140625" style="60" bestFit="1" customWidth="1"/>
    <col min="13" max="13" width="18.42578125" bestFit="1" customWidth="1"/>
    <col min="14" max="14" width="16.5703125" bestFit="1" customWidth="1"/>
  </cols>
  <sheetData>
    <row r="1" spans="1:14" ht="30" x14ac:dyDescent="0.25">
      <c r="A1" s="111" t="s">
        <v>8</v>
      </c>
      <c r="B1" s="111" t="s">
        <v>128</v>
      </c>
      <c r="C1" s="111" t="s">
        <v>12</v>
      </c>
      <c r="D1" s="111" t="s">
        <v>129</v>
      </c>
      <c r="E1" s="111" t="s">
        <v>13</v>
      </c>
      <c r="F1" s="111" t="s">
        <v>130</v>
      </c>
      <c r="G1" s="111" t="s">
        <v>131</v>
      </c>
      <c r="H1" s="111" t="s">
        <v>15</v>
      </c>
      <c r="I1" s="111" t="s">
        <v>132</v>
      </c>
      <c r="J1" s="112" t="s">
        <v>325</v>
      </c>
      <c r="K1" s="111" t="s">
        <v>133</v>
      </c>
      <c r="L1" s="113" t="s">
        <v>134</v>
      </c>
      <c r="M1" s="111" t="s">
        <v>288</v>
      </c>
      <c r="N1" s="111" t="s">
        <v>289</v>
      </c>
    </row>
    <row r="2" spans="1:14" x14ac:dyDescent="0.25">
      <c r="A2" t="str">
        <f>'Текущая цена на ВБ'!A2</f>
        <v>AROLS</v>
      </c>
      <c r="B2" t="str">
        <f>'Текущая цена на ВБ'!B2</f>
        <v>Капы</v>
      </c>
      <c r="C2">
        <f>'Текущая цена на ВБ'!C2</f>
        <v>550445280</v>
      </c>
      <c r="D2" t="str">
        <f>'Текущая цена на ВБ'!D2</f>
        <v>ACRF1KP101BL</v>
      </c>
      <c r="E2" t="str">
        <f>'Текущая цена на ВБ'!E2</f>
        <v>2046391283545</v>
      </c>
      <c r="F2" t="str">
        <f>'Текущая цена на ВБ'!F2</f>
        <v/>
      </c>
      <c r="G2" t="str">
        <f>'Текущая цена на ВБ'!G2</f>
        <v/>
      </c>
      <c r="H2" t="str">
        <f>'Текущая цена на ВБ'!H2</f>
        <v/>
      </c>
      <c r="I2" t="str">
        <f>'Текущая цена на ВБ'!I2</f>
        <v>860</v>
      </c>
      <c r="J2" s="24">
        <f>_xlfn.XLOOKUP($C2,'Рассчет акции'!$A:$A,'Рассчет акции'!$BI:$BI,0,0)</f>
        <v>0</v>
      </c>
      <c r="K2" s="61">
        <f>'Текущая цена на ВБ'!K2</f>
        <v>30</v>
      </c>
      <c r="L2" s="44">
        <f>_xlfn.XLOOKUP($C2,'Рассчет акции'!$A:$A,'Рассчет акции'!$BJ:$BJ,0,0)*100</f>
        <v>30</v>
      </c>
      <c r="M2">
        <f>IF(J2="",ROUND(I2*(1-IF(ISBLANK(L2),K2,L2)/100),2),ROUND(J2*(1-IF(ISBLANK(L2),K2,L2)/100),2))</f>
        <v>0</v>
      </c>
    </row>
    <row r="3" spans="1:14" x14ac:dyDescent="0.25">
      <c r="A3" t="str">
        <f>'Текущая цена на ВБ'!A3</f>
        <v>AROLS</v>
      </c>
      <c r="B3" t="str">
        <f>'Текущая цена на ВБ'!B3</f>
        <v>Капы</v>
      </c>
      <c r="C3">
        <f>'Текущая цена на ВБ'!C3</f>
        <v>550445283</v>
      </c>
      <c r="D3" t="str">
        <f>'Текущая цена на ВБ'!D3</f>
        <v>ACRF1KP102GN</v>
      </c>
      <c r="E3" t="str">
        <f>'Текущая цена на ВБ'!E3</f>
        <v>2046391283613</v>
      </c>
      <c r="F3" t="str">
        <f>'Текущая цена на ВБ'!F3</f>
        <v/>
      </c>
      <c r="G3" t="str">
        <f>'Текущая цена на ВБ'!G3</f>
        <v/>
      </c>
      <c r="H3" t="str">
        <f>'Текущая цена на ВБ'!H3</f>
        <v/>
      </c>
      <c r="I3" t="str">
        <f>'Текущая цена на ВБ'!I3</f>
        <v>860</v>
      </c>
      <c r="J3" s="24">
        <f>_xlfn.XLOOKUP($C3,'Рассчет акции'!$A:$A,'Рассчет акции'!$BI:$BI,0,0)</f>
        <v>0</v>
      </c>
      <c r="K3" s="61">
        <f>'Текущая цена на ВБ'!K3</f>
        <v>30</v>
      </c>
      <c r="L3" s="44">
        <f>_xlfn.XLOOKUP($C3,'Рассчет акции'!$A:$A,'Рассчет акции'!$BJ:$BJ,0,0)*100</f>
        <v>30</v>
      </c>
      <c r="M3">
        <f t="shared" ref="M3:M66" si="0">IF(J3="",ROUND(I3*(1-IF(ISBLANK(L3),K3,L3)/100),2),ROUND(J3*(1-IF(ISBLANK(L3),K3,L3)/100),2))</f>
        <v>0</v>
      </c>
    </row>
    <row r="4" spans="1:14" x14ac:dyDescent="0.25">
      <c r="A4" t="str">
        <f>'Текущая цена на ВБ'!A4</f>
        <v>AROLS</v>
      </c>
      <c r="B4" t="str">
        <f>'Текущая цена на ВБ'!B4</f>
        <v>Капы</v>
      </c>
      <c r="C4">
        <f>'Текущая цена на ВБ'!C4</f>
        <v>550445277</v>
      </c>
      <c r="D4" t="str">
        <f>'Текущая цена на ВБ'!D4</f>
        <v>ACRF1KP101RD</v>
      </c>
      <c r="E4" t="str">
        <f>'Текущая цена на ВБ'!E4</f>
        <v>2046391283446</v>
      </c>
      <c r="F4" t="str">
        <f>'Текущая цена на ВБ'!F4</f>
        <v/>
      </c>
      <c r="G4" t="str">
        <f>'Текущая цена на ВБ'!G4</f>
        <v/>
      </c>
      <c r="H4" t="str">
        <f>'Текущая цена на ВБ'!H4</f>
        <v/>
      </c>
      <c r="I4" t="str">
        <f>'Текущая цена на ВБ'!I4</f>
        <v>860</v>
      </c>
      <c r="J4" s="24">
        <f>_xlfn.XLOOKUP($C4,'Рассчет акции'!$A:$A,'Рассчет акции'!$BI:$BI,0,0)</f>
        <v>0</v>
      </c>
      <c r="K4" s="61">
        <f>'Текущая цена на ВБ'!K4</f>
        <v>30</v>
      </c>
      <c r="L4" s="44">
        <f>_xlfn.XLOOKUP($C4,'Рассчет акции'!$A:$A,'Рассчет акции'!$BJ:$BJ,0,0)*100</f>
        <v>30</v>
      </c>
      <c r="M4">
        <f t="shared" si="0"/>
        <v>0</v>
      </c>
    </row>
    <row r="5" spans="1:14" x14ac:dyDescent="0.25">
      <c r="A5" t="str">
        <f>'Текущая цена на ВБ'!A5</f>
        <v>AROLS</v>
      </c>
      <c r="B5" t="str">
        <f>'Текущая цена на ВБ'!B5</f>
        <v>Капы</v>
      </c>
      <c r="C5">
        <f>'Текущая цена на ВБ'!C5</f>
        <v>550445275</v>
      </c>
      <c r="D5" t="str">
        <f>'Текущая цена на ВБ'!D5</f>
        <v>ACRF1KP103BC</v>
      </c>
      <c r="E5" t="str">
        <f>'Текущая цена на ВБ'!E5</f>
        <v>2046391283415</v>
      </c>
      <c r="F5" t="str">
        <f>'Текущая цена на ВБ'!F5</f>
        <v/>
      </c>
      <c r="G5" t="str">
        <f>'Текущая цена на ВБ'!G5</f>
        <v/>
      </c>
      <c r="H5" t="str">
        <f>'Текущая цена на ВБ'!H5</f>
        <v/>
      </c>
      <c r="I5" t="str">
        <f>'Текущая цена на ВБ'!I5</f>
        <v>860</v>
      </c>
      <c r="J5" s="24">
        <f>_xlfn.XLOOKUP($C5,'Рассчет акции'!$A:$A,'Рассчет акции'!$BI:$BI,0,0)</f>
        <v>0</v>
      </c>
      <c r="K5" s="61">
        <f>'Текущая цена на ВБ'!K5</f>
        <v>30</v>
      </c>
      <c r="L5" s="44">
        <f>_xlfn.XLOOKUP($C5,'Рассчет акции'!$A:$A,'Рассчет акции'!$BJ:$BJ,0,0)*100</f>
        <v>30</v>
      </c>
      <c r="M5">
        <f t="shared" si="0"/>
        <v>0</v>
      </c>
    </row>
    <row r="6" spans="1:14" x14ac:dyDescent="0.25">
      <c r="A6" t="str">
        <f>'Текущая цена на ВБ'!A6</f>
        <v>AROLS</v>
      </c>
      <c r="B6" t="str">
        <f>'Текущая цена на ВБ'!B6</f>
        <v>Капы</v>
      </c>
      <c r="C6">
        <f>'Текущая цена на ВБ'!C6</f>
        <v>550445281</v>
      </c>
      <c r="D6" t="str">
        <f>'Текущая цена на ВБ'!D6</f>
        <v>ACRF1KP101GN</v>
      </c>
      <c r="E6" t="str">
        <f>'Текущая цена на ВБ'!E6</f>
        <v>2046391283569</v>
      </c>
      <c r="F6" t="str">
        <f>'Текущая цена на ВБ'!F6</f>
        <v/>
      </c>
      <c r="G6" t="str">
        <f>'Текущая цена на ВБ'!G6</f>
        <v/>
      </c>
      <c r="H6" t="str">
        <f>'Текущая цена на ВБ'!H6</f>
        <v/>
      </c>
      <c r="I6" t="str">
        <f>'Текущая цена на ВБ'!I6</f>
        <v>860</v>
      </c>
      <c r="J6" s="24">
        <f>_xlfn.XLOOKUP($C6,'Рассчет акции'!$A:$A,'Рассчет акции'!$BI:$BI,0,0)</f>
        <v>0</v>
      </c>
      <c r="K6" s="61">
        <f>'Текущая цена на ВБ'!K6</f>
        <v>30</v>
      </c>
      <c r="L6" s="44">
        <f>_xlfn.XLOOKUP($C6,'Рассчет акции'!$A:$A,'Рассчет акции'!$BJ:$BJ,0,0)*100</f>
        <v>30</v>
      </c>
      <c r="M6">
        <f t="shared" si="0"/>
        <v>0</v>
      </c>
    </row>
    <row r="7" spans="1:14" x14ac:dyDescent="0.25">
      <c r="A7" t="str">
        <f>'Текущая цена на ВБ'!A7</f>
        <v>AROLS</v>
      </c>
      <c r="B7" t="str">
        <f>'Текущая цена на ВБ'!B7</f>
        <v>Капы</v>
      </c>
      <c r="C7">
        <f>'Текущая цена на ВБ'!C7</f>
        <v>550445272</v>
      </c>
      <c r="D7" t="str">
        <f>'Текущая цена на ВБ'!D7</f>
        <v>ACRF1KP101BC</v>
      </c>
      <c r="E7" t="str">
        <f>'Текущая цена на ВБ'!E7</f>
        <v>2046391283330</v>
      </c>
      <c r="F7" t="str">
        <f>'Текущая цена на ВБ'!F7</f>
        <v/>
      </c>
      <c r="G7" t="str">
        <f>'Текущая цена на ВБ'!G7</f>
        <v/>
      </c>
      <c r="H7" t="str">
        <f>'Текущая цена на ВБ'!H7</f>
        <v/>
      </c>
      <c r="I7" t="str">
        <f>'Текущая цена на ВБ'!I7</f>
        <v>860</v>
      </c>
      <c r="J7" s="24">
        <f>_xlfn.XLOOKUP($C7,'Рассчет акции'!$A:$A,'Рассчет акции'!$BI:$BI,0,0)</f>
        <v>0</v>
      </c>
      <c r="K7" s="61">
        <f>'Текущая цена на ВБ'!K7</f>
        <v>30</v>
      </c>
      <c r="L7" s="44">
        <f>_xlfn.XLOOKUP($C7,'Рассчет акции'!$A:$A,'Рассчет акции'!$BJ:$BJ,0,0)*100</f>
        <v>30</v>
      </c>
      <c r="M7">
        <f t="shared" si="0"/>
        <v>0</v>
      </c>
    </row>
    <row r="8" spans="1:14" x14ac:dyDescent="0.25">
      <c r="A8" t="str">
        <f>'Текущая цена на ВБ'!A8</f>
        <v>AROLS</v>
      </c>
      <c r="B8" t="str">
        <f>'Текущая цена на ВБ'!B8</f>
        <v>Капы</v>
      </c>
      <c r="C8">
        <f>'Текущая цена на ВБ'!C8</f>
        <v>550445279</v>
      </c>
      <c r="D8" t="str">
        <f>'Текущая цена на ВБ'!D8</f>
        <v>ACRF1KP102RD</v>
      </c>
      <c r="E8" t="str">
        <f>'Текущая цена на ВБ'!E8</f>
        <v>2046391283507</v>
      </c>
      <c r="F8" t="str">
        <f>'Текущая цена на ВБ'!F8</f>
        <v/>
      </c>
      <c r="G8" t="str">
        <f>'Текущая цена на ВБ'!G8</f>
        <v/>
      </c>
      <c r="H8" t="str">
        <f>'Текущая цена на ВБ'!H8</f>
        <v/>
      </c>
      <c r="I8" t="str">
        <f>'Текущая цена на ВБ'!I8</f>
        <v>860</v>
      </c>
      <c r="J8" s="24">
        <f>_xlfn.XLOOKUP($C8,'Рассчет акции'!$A:$A,'Рассчет акции'!$BI:$BI,0,0)</f>
        <v>0</v>
      </c>
      <c r="K8" s="61">
        <f>'Текущая цена на ВБ'!K8</f>
        <v>30</v>
      </c>
      <c r="L8" s="44">
        <f>_xlfn.XLOOKUP($C8,'Рассчет акции'!$A:$A,'Рассчет акции'!$BJ:$BJ,0,0)*100</f>
        <v>30</v>
      </c>
      <c r="M8">
        <f t="shared" si="0"/>
        <v>0</v>
      </c>
    </row>
    <row r="9" spans="1:14" x14ac:dyDescent="0.25">
      <c r="A9" t="str">
        <f>'Текущая цена на ВБ'!A9</f>
        <v>AROLS</v>
      </c>
      <c r="B9" t="str">
        <f>'Текущая цена на ВБ'!B9</f>
        <v>Капы</v>
      </c>
      <c r="C9">
        <f>'Текущая цена на ВБ'!C9</f>
        <v>550445274</v>
      </c>
      <c r="D9" t="str">
        <f>'Текущая цена на ВБ'!D9</f>
        <v>ACRF1KP102BC</v>
      </c>
      <c r="E9" t="str">
        <f>'Текущая цена на ВБ'!E9</f>
        <v>2046391283385</v>
      </c>
      <c r="F9" t="str">
        <f>'Текущая цена на ВБ'!F9</f>
        <v/>
      </c>
      <c r="G9" t="str">
        <f>'Текущая цена на ВБ'!G9</f>
        <v/>
      </c>
      <c r="H9" t="str">
        <f>'Текущая цена на ВБ'!H9</f>
        <v/>
      </c>
      <c r="I9" t="str">
        <f>'Текущая цена на ВБ'!I9</f>
        <v>860</v>
      </c>
      <c r="J9" s="24">
        <f>_xlfn.XLOOKUP($C9,'Рассчет акции'!$A:$A,'Рассчет акции'!$BI:$BI,0,0)</f>
        <v>0</v>
      </c>
      <c r="K9" s="61">
        <f>'Текущая цена на ВБ'!K9</f>
        <v>30</v>
      </c>
      <c r="L9" s="44">
        <f>_xlfn.XLOOKUP($C9,'Рассчет акции'!$A:$A,'Рассчет акции'!$BJ:$BJ,0,0)*100</f>
        <v>30</v>
      </c>
      <c r="M9">
        <f t="shared" si="0"/>
        <v>0</v>
      </c>
    </row>
    <row r="10" spans="1:14" x14ac:dyDescent="0.25">
      <c r="A10" t="str">
        <f>'Текущая цена на ВБ'!A10</f>
        <v>AROLS</v>
      </c>
      <c r="B10" t="str">
        <f>'Текущая цена на ВБ'!B10</f>
        <v>Массажеры механические</v>
      </c>
      <c r="C10">
        <f>'Текущая цена на ВБ'!C10</f>
        <v>419145392</v>
      </c>
      <c r="D10" t="str">
        <f>'Текущая цена на ВБ'!D10</f>
        <v>ACRB1MS109WH</v>
      </c>
      <c r="E10" t="str">
        <f>'Текущая цена на ВБ'!E10</f>
        <v>2044025333093</v>
      </c>
      <c r="F10" t="str">
        <f>'Текущая цена на ВБ'!F10</f>
        <v/>
      </c>
      <c r="G10" t="str">
        <f>'Текущая цена на ВБ'!G10</f>
        <v/>
      </c>
      <c r="H10" t="str">
        <f>'Текущая цена на ВБ'!H10</f>
        <v/>
      </c>
      <c r="I10" t="str">
        <f>'Текущая цена на ВБ'!I10</f>
        <v>1889</v>
      </c>
      <c r="J10" s="24">
        <f>_xlfn.XLOOKUP($C10,'Рассчет акции'!$A:$A,'Рассчет акции'!$BI:$BI,0,0)</f>
        <v>0</v>
      </c>
      <c r="K10" s="61">
        <f>'Текущая цена на ВБ'!K10</f>
        <v>20</v>
      </c>
      <c r="L10" s="44">
        <f>_xlfn.XLOOKUP($C10,'Рассчет акции'!$A:$A,'Рассчет акции'!$BJ:$BJ,0,0)*100</f>
        <v>0</v>
      </c>
      <c r="M10">
        <f t="shared" si="0"/>
        <v>0</v>
      </c>
    </row>
    <row r="11" spans="1:14" x14ac:dyDescent="0.25">
      <c r="A11" t="str">
        <f>'Текущая цена на ВБ'!A11</f>
        <v>AROLS HOME</v>
      </c>
      <c r="B11" t="str">
        <f>'Текущая цена на ВБ'!B11</f>
        <v>Прессы для чеснока</v>
      </c>
      <c r="C11">
        <f>'Текущая цена на ВБ'!C11</f>
        <v>340802685</v>
      </c>
      <c r="D11" t="str">
        <f>'Текущая цена на ВБ'!D11</f>
        <v>AKTA1PR101GR</v>
      </c>
      <c r="E11" t="str">
        <f>'Текущая цена на ВБ'!E11</f>
        <v>2042987041841</v>
      </c>
      <c r="F11">
        <f>'Текущая цена на ВБ'!F11</f>
        <v>19</v>
      </c>
      <c r="G11">
        <f>'Текущая цена на ВБ'!G11</f>
        <v>0</v>
      </c>
      <c r="H11">
        <f>'Текущая цена на ВБ'!H11</f>
        <v>999</v>
      </c>
      <c r="I11" t="str">
        <f>'Текущая цена на ВБ'!I11</f>
        <v>1713</v>
      </c>
      <c r="J11" s="24">
        <f>_xlfn.XLOOKUP($C11,'Рассчет акции'!$A:$A,'Рассчет акции'!$BI:$BI,0,0)</f>
        <v>1713</v>
      </c>
      <c r="K11" s="61">
        <f>'Текущая цена на ВБ'!K11</f>
        <v>40</v>
      </c>
      <c r="L11" s="44">
        <f>_xlfn.XLOOKUP($C11,'Рассчет акции'!$A:$A,'Рассчет акции'!$BJ:$BJ,0,0)*100</f>
        <v>40</v>
      </c>
      <c r="M11">
        <f t="shared" si="0"/>
        <v>1027.8</v>
      </c>
    </row>
    <row r="12" spans="1:14" x14ac:dyDescent="0.25">
      <c r="A12" t="str">
        <f>'Текущая цена на ВБ'!A12</f>
        <v>AROLS HOME</v>
      </c>
      <c r="B12" t="str">
        <f>'Текущая цена на ВБ'!B12</f>
        <v>Мешки для стирки</v>
      </c>
      <c r="C12">
        <f>'Текущая цена на ВБ'!C12</f>
        <v>170899505</v>
      </c>
      <c r="D12" t="str">
        <f>'Текущая цена на ВБ'!D12</f>
        <v>AHMA6BW101BG</v>
      </c>
      <c r="E12" t="str">
        <f>'Текущая цена на ВБ'!E12</f>
        <v>2038224716238</v>
      </c>
      <c r="F12">
        <f>'Текущая цена на ВБ'!F12</f>
        <v>0</v>
      </c>
      <c r="G12">
        <f>'Текущая цена на ВБ'!G12</f>
        <v>0</v>
      </c>
      <c r="H12">
        <f>'Текущая цена на ВБ'!H12</f>
        <v>1</v>
      </c>
      <c r="I12" t="str">
        <f>'Текущая цена на ВБ'!I12</f>
        <v>1889</v>
      </c>
      <c r="J12" s="24">
        <f>_xlfn.XLOOKUP($C12,'Рассчет акции'!$A:$A,'Рассчет акции'!$BI:$BI,0,0)</f>
        <v>0</v>
      </c>
      <c r="K12" s="61">
        <f>'Текущая цена на ВБ'!K12</f>
        <v>20</v>
      </c>
      <c r="L12" s="44">
        <f>_xlfn.XLOOKUP($C12,'Рассчет акции'!$A:$A,'Рассчет акции'!$BJ:$BJ,0,0)*100</f>
        <v>0</v>
      </c>
      <c r="M12">
        <f t="shared" si="0"/>
        <v>0</v>
      </c>
    </row>
    <row r="13" spans="1:14" x14ac:dyDescent="0.25">
      <c r="A13" t="str">
        <f>'Текущая цена на ВБ'!A13</f>
        <v>AROLS</v>
      </c>
      <c r="B13" t="str">
        <f>'Текущая цена на ВБ'!B13</f>
        <v>Массажеры механические</v>
      </c>
      <c r="C13">
        <f>'Текущая цена на ВБ'!C13</f>
        <v>220252787</v>
      </c>
      <c r="D13" t="str">
        <f>'Текущая цена на ВБ'!D13</f>
        <v>ACRL1MS101RJ</v>
      </c>
      <c r="E13" t="str">
        <f>'Текущая цена на ВБ'!E13</f>
        <v>2039735724354</v>
      </c>
      <c r="F13">
        <f>'Текущая цена на ВБ'!F13</f>
        <v>0</v>
      </c>
      <c r="G13">
        <f>'Текущая цена на ВБ'!G13</f>
        <v>0</v>
      </c>
      <c r="H13">
        <f>'Текущая цена на ВБ'!H13</f>
        <v>1</v>
      </c>
      <c r="I13" t="str">
        <f>'Текущая цена на ВБ'!I13</f>
        <v>1889</v>
      </c>
      <c r="J13" s="24">
        <f>_xlfn.XLOOKUP($C13,'Рассчет акции'!$A:$A,'Рассчет акции'!$BI:$BI,0,0)</f>
        <v>0</v>
      </c>
      <c r="K13" s="61">
        <f>'Текущая цена на ВБ'!K13</f>
        <v>20</v>
      </c>
      <c r="L13" s="44">
        <f>_xlfn.XLOOKUP($C13,'Рассчет акции'!$A:$A,'Рассчет акции'!$BJ:$BJ,0,0)*100</f>
        <v>0</v>
      </c>
      <c r="M13">
        <f t="shared" si="0"/>
        <v>0</v>
      </c>
    </row>
    <row r="14" spans="1:14" x14ac:dyDescent="0.25">
      <c r="A14" t="str">
        <f>'Текущая цена на ВБ'!A14</f>
        <v>AROLS</v>
      </c>
      <c r="B14" t="str">
        <f>'Текущая цена на ВБ'!B14</f>
        <v>Таблетницы</v>
      </c>
      <c r="C14">
        <f>'Текущая цена на ВБ'!C14</f>
        <v>253681275</v>
      </c>
      <c r="D14" t="str">
        <f>'Текущая цена на ВБ'!D14</f>
        <v>ACRA7TB401CL</v>
      </c>
      <c r="E14" t="str">
        <f>'Текущая цена на ВБ'!E14</f>
        <v>2040957863936</v>
      </c>
      <c r="F14">
        <f>'Текущая цена на ВБ'!F14</f>
        <v>0</v>
      </c>
      <c r="G14">
        <f>'Текущая цена на ВБ'!G14</f>
        <v>0</v>
      </c>
      <c r="H14">
        <f>'Текущая цена на ВБ'!H14</f>
        <v>1</v>
      </c>
      <c r="I14" t="str">
        <f>'Текущая цена на ВБ'!I14</f>
        <v>1889</v>
      </c>
      <c r="J14" s="24">
        <f>_xlfn.XLOOKUP($C14,'Рассчет акции'!$A:$A,'Рассчет акции'!$BI:$BI,0,0)</f>
        <v>0</v>
      </c>
      <c r="K14" s="61">
        <f>'Текущая цена на ВБ'!K14</f>
        <v>20</v>
      </c>
      <c r="L14" s="44">
        <f>_xlfn.XLOOKUP($C14,'Рассчет акции'!$A:$A,'Рассчет акции'!$BJ:$BJ,0,0)*100</f>
        <v>0</v>
      </c>
      <c r="M14">
        <f t="shared" si="0"/>
        <v>0</v>
      </c>
    </row>
    <row r="15" spans="1:14" x14ac:dyDescent="0.25">
      <c r="A15" t="str">
        <f>'Текущая цена на ВБ'!A15</f>
        <v>AROLS</v>
      </c>
      <c r="B15" t="str">
        <f>'Текущая цена на ВБ'!B15</f>
        <v>Таблетницы</v>
      </c>
      <c r="C15">
        <f>'Текущая цена на ВБ'!C15</f>
        <v>186800214</v>
      </c>
      <c r="D15" t="str">
        <f>'Текущая цена на ВБ'!D15</f>
        <v>ACRA7TB101BC</v>
      </c>
      <c r="E15" t="str">
        <f>'Текущая цена на ВБ'!E15</f>
        <v>2038890789598</v>
      </c>
      <c r="F15">
        <f>'Текущая цена на ВБ'!F15</f>
        <v>180</v>
      </c>
      <c r="G15">
        <f>'Текущая цена на ВБ'!G15</f>
        <v>0</v>
      </c>
      <c r="H15">
        <f>'Текущая цена на ВБ'!H15</f>
        <v>168</v>
      </c>
      <c r="I15" t="str">
        <f>'Текущая цена на ВБ'!I15</f>
        <v>1378</v>
      </c>
      <c r="J15" s="24">
        <f>_xlfn.XLOOKUP($C15,'Рассчет акции'!$A:$A,'Рассчет акции'!$BI:$BI,0,0)</f>
        <v>1378</v>
      </c>
      <c r="K15" s="61">
        <f>'Текущая цена на ВБ'!K15</f>
        <v>40</v>
      </c>
      <c r="L15" s="44">
        <f>_xlfn.XLOOKUP($C15,'Рассчет акции'!$A:$A,'Рассчет акции'!$BJ:$BJ,0,0)*100</f>
        <v>40</v>
      </c>
      <c r="M15">
        <f t="shared" si="0"/>
        <v>826.8</v>
      </c>
    </row>
    <row r="16" spans="1:14" x14ac:dyDescent="0.25">
      <c r="A16" t="str">
        <f>'Текущая цена на ВБ'!A16</f>
        <v>AROLS HOME</v>
      </c>
      <c r="B16" t="str">
        <f>'Текущая цена на ВБ'!B16</f>
        <v>Шпатели кондитерские</v>
      </c>
      <c r="C16">
        <f>'Текущая цена на ВБ'!C16</f>
        <v>273546535</v>
      </c>
      <c r="D16" t="str">
        <f>'Текущая цена на ВБ'!D16</f>
        <v>AKTA2KN101YL</v>
      </c>
      <c r="E16" t="str">
        <f>'Текущая цена на ВБ'!E16</f>
        <v>2041533399818</v>
      </c>
      <c r="F16">
        <f>'Текущая цена на ВБ'!F16</f>
        <v>78</v>
      </c>
      <c r="G16">
        <f>'Текущая цена на ВБ'!G16</f>
        <v>0</v>
      </c>
      <c r="H16">
        <f>'Текущая цена на ВБ'!H16</f>
        <v>999</v>
      </c>
      <c r="I16" t="str">
        <f>'Текущая цена на ВБ'!I16</f>
        <v>1785</v>
      </c>
      <c r="J16" s="24">
        <f>_xlfn.XLOOKUP($C16,'Рассчет акции'!$A:$A,'Рассчет акции'!$BI:$BI,0,0)</f>
        <v>1785</v>
      </c>
      <c r="K16" s="61">
        <f>'Текущая цена на ВБ'!K16</f>
        <v>40</v>
      </c>
      <c r="L16" s="44">
        <f>_xlfn.XLOOKUP($C16,'Рассчет акции'!$A:$A,'Рассчет акции'!$BJ:$BJ,0,0)*100</f>
        <v>40</v>
      </c>
      <c r="M16">
        <f t="shared" si="0"/>
        <v>1071</v>
      </c>
    </row>
    <row r="17" spans="1:13" x14ac:dyDescent="0.25">
      <c r="A17" t="str">
        <f>'Текущая цена на ВБ'!A17</f>
        <v>AROLS</v>
      </c>
      <c r="B17" t="str">
        <f>'Текущая цена на ВБ'!B17</f>
        <v>Массажеры механические</v>
      </c>
      <c r="C17">
        <f>'Текущая цена на ВБ'!C17</f>
        <v>236072836</v>
      </c>
      <c r="D17" t="str">
        <f>'Текущая цена на ВБ'!D17</f>
        <v>ACRB1MS106PN</v>
      </c>
      <c r="E17" t="str">
        <f>'Текущая цена на ВБ'!E17</f>
        <v>2040278810534</v>
      </c>
      <c r="F17">
        <f>'Текущая цена на ВБ'!F17</f>
        <v>300</v>
      </c>
      <c r="G17">
        <f>'Текущая цена на ВБ'!G17</f>
        <v>0</v>
      </c>
      <c r="H17">
        <f>'Текущая цена на ВБ'!H17</f>
        <v>638</v>
      </c>
      <c r="I17" t="str">
        <f>'Текущая цена на ВБ'!I17</f>
        <v>988</v>
      </c>
      <c r="J17" s="24">
        <f>_xlfn.XLOOKUP($C17,'Рассчет акции'!$A:$A,'Рассчет акции'!$BI:$BI,0,0)</f>
        <v>988</v>
      </c>
      <c r="K17" s="61">
        <f>'Текущая цена на ВБ'!K17</f>
        <v>40</v>
      </c>
      <c r="L17" s="44">
        <f>_xlfn.XLOOKUP($C17,'Рассчет акции'!$A:$A,'Рассчет акции'!$BJ:$BJ,0,0)*100</f>
        <v>40</v>
      </c>
      <c r="M17">
        <f t="shared" si="0"/>
        <v>592.79999999999995</v>
      </c>
    </row>
    <row r="18" spans="1:13" x14ac:dyDescent="0.25">
      <c r="A18" t="str">
        <f>'Текущая цена на ВБ'!A18</f>
        <v>AROLS HOME</v>
      </c>
      <c r="B18" t="str">
        <f>'Текущая цена на ВБ'!B18</f>
        <v>Мешки для стирки</v>
      </c>
      <c r="C18">
        <f>'Текущая цена на ВБ'!C18</f>
        <v>239235150</v>
      </c>
      <c r="D18" t="str">
        <f>'Текущая цена на ВБ'!D18</f>
        <v>AHMA1BW301WH</v>
      </c>
      <c r="E18" t="str">
        <f>'Текущая цена на ВБ'!E18</f>
        <v>2040478720961</v>
      </c>
      <c r="F18">
        <f>'Текущая цена на ВБ'!F18</f>
        <v>1</v>
      </c>
      <c r="G18">
        <f>'Текущая цена на ВБ'!G18</f>
        <v>0</v>
      </c>
      <c r="H18">
        <f>'Текущая цена на ВБ'!H18</f>
        <v>18</v>
      </c>
      <c r="I18" t="str">
        <f>'Текущая цена на ВБ'!I18</f>
        <v>823</v>
      </c>
      <c r="J18" s="24">
        <f>_xlfn.XLOOKUP($C18,'Рассчет акции'!$A:$A,'Рассчет акции'!$BI:$BI,0,0)</f>
        <v>713</v>
      </c>
      <c r="K18" s="61">
        <f>'Текущая цена на ВБ'!K18</f>
        <v>40</v>
      </c>
      <c r="L18" s="44">
        <f>_xlfn.XLOOKUP($C18,'Рассчет акции'!$A:$A,'Рассчет акции'!$BJ:$BJ,0,0)*100</f>
        <v>30</v>
      </c>
      <c r="M18">
        <f t="shared" si="0"/>
        <v>499.1</v>
      </c>
    </row>
    <row r="19" spans="1:13" x14ac:dyDescent="0.25">
      <c r="A19" t="str">
        <f>'Текущая цена на ВБ'!A19</f>
        <v>AROLS</v>
      </c>
      <c r="B19" t="str">
        <f>'Текущая цена на ВБ'!B19</f>
        <v>Массажеры механические</v>
      </c>
      <c r="C19">
        <f>'Текущая цена на ВБ'!C19</f>
        <v>236072835</v>
      </c>
      <c r="D19" t="str">
        <f>'Текущая цена на ВБ'!D19</f>
        <v>ACRB1MS106WH</v>
      </c>
      <c r="E19" t="str">
        <f>'Текущая цена на ВБ'!E19</f>
        <v>2040278804496</v>
      </c>
      <c r="F19">
        <f>'Текущая цена на ВБ'!F19</f>
        <v>427</v>
      </c>
      <c r="G19">
        <f>'Текущая цена на ВБ'!G19</f>
        <v>0</v>
      </c>
      <c r="H19">
        <f>'Текущая цена на ВБ'!H19</f>
        <v>256</v>
      </c>
      <c r="I19" t="str">
        <f>'Текущая цена на ВБ'!I19</f>
        <v>995</v>
      </c>
      <c r="J19" s="24">
        <f>_xlfn.XLOOKUP($C19,'Рассчет акции'!$A:$A,'Рассчет акции'!$BI:$BI,0,0)</f>
        <v>995</v>
      </c>
      <c r="K19" s="61">
        <f>'Текущая цена на ВБ'!K19</f>
        <v>40</v>
      </c>
      <c r="L19" s="44">
        <f>_xlfn.XLOOKUP($C19,'Рассчет акции'!$A:$A,'Рассчет акции'!$BJ:$BJ,0,0)*100</f>
        <v>40</v>
      </c>
      <c r="M19">
        <f t="shared" si="0"/>
        <v>597</v>
      </c>
    </row>
    <row r="20" spans="1:13" x14ac:dyDescent="0.25">
      <c r="A20" t="str">
        <f>'Текущая цена на ВБ'!A20</f>
        <v>DOG JOY</v>
      </c>
      <c r="B20" t="str">
        <f>'Текущая цена на ВБ'!B20</f>
        <v>Игрушки для животных</v>
      </c>
      <c r="C20">
        <f>'Текущая цена на ВБ'!C20</f>
        <v>251516159</v>
      </c>
      <c r="D20" t="str">
        <f>'Текущая цена на ВБ'!D20</f>
        <v>AAND1BL102RD</v>
      </c>
      <c r="E20" t="str">
        <f>'Текущая цена на ВБ'!E20</f>
        <v>2040902555480</v>
      </c>
      <c r="F20">
        <f>'Текущая цена на ВБ'!F20</f>
        <v>137</v>
      </c>
      <c r="G20">
        <f>'Текущая цена на ВБ'!G20</f>
        <v>0</v>
      </c>
      <c r="H20">
        <f>'Текущая цена на ВБ'!H20</f>
        <v>210</v>
      </c>
      <c r="I20" t="str">
        <f>'Текущая цена на ВБ'!I20</f>
        <v>913</v>
      </c>
      <c r="J20" s="24">
        <f>_xlfn.XLOOKUP($C20,'Рассчет акции'!$A:$A,'Рассчет акции'!$BI:$BI,0,0)</f>
        <v>913</v>
      </c>
      <c r="K20" s="61">
        <f>'Текущая цена на ВБ'!K20</f>
        <v>30</v>
      </c>
      <c r="L20" s="44">
        <f>_xlfn.XLOOKUP($C20,'Рассчет акции'!$A:$A,'Рассчет акции'!$BJ:$BJ,0,0)*100</f>
        <v>30</v>
      </c>
      <c r="M20">
        <f t="shared" si="0"/>
        <v>639.1</v>
      </c>
    </row>
    <row r="21" spans="1:13" x14ac:dyDescent="0.25">
      <c r="A21" t="str">
        <f>'Текущая цена на ВБ'!A21</f>
        <v>DOG JOY</v>
      </c>
      <c r="B21" t="str">
        <f>'Текущая цена на ВБ'!B21</f>
        <v>Игрушки для животных</v>
      </c>
      <c r="C21">
        <f>'Текущая цена на ВБ'!C21</f>
        <v>251407392</v>
      </c>
      <c r="D21" t="str">
        <f>'Текущая цена на ВБ'!D21</f>
        <v>AAND1BL102BL</v>
      </c>
      <c r="E21" t="str">
        <f>'Текущая цена на ВБ'!E21</f>
        <v>2040900511679</v>
      </c>
      <c r="F21">
        <f>'Текущая цена на ВБ'!F21</f>
        <v>192</v>
      </c>
      <c r="G21">
        <f>'Текущая цена на ВБ'!G21</f>
        <v>0</v>
      </c>
      <c r="H21">
        <f>'Текущая цена на ВБ'!H21</f>
        <v>643</v>
      </c>
      <c r="I21" t="str">
        <f>'Текущая цена на ВБ'!I21</f>
        <v>1235</v>
      </c>
      <c r="J21" s="24">
        <f>_xlfn.XLOOKUP($C21,'Рассчет акции'!$A:$A,'Рассчет акции'!$BI:$BI,0,0)</f>
        <v>1235</v>
      </c>
      <c r="K21" s="61">
        <f>'Текущая цена на ВБ'!K21</f>
        <v>40</v>
      </c>
      <c r="L21" s="44">
        <f>_xlfn.XLOOKUP($C21,'Рассчет акции'!$A:$A,'Рассчет акции'!$BJ:$BJ,0,0)*100</f>
        <v>40</v>
      </c>
      <c r="M21">
        <f t="shared" si="0"/>
        <v>741</v>
      </c>
    </row>
    <row r="22" spans="1:13" x14ac:dyDescent="0.25">
      <c r="A22" t="str">
        <f>'Текущая цена на ВБ'!A22</f>
        <v>AROLS</v>
      </c>
      <c r="B22" t="str">
        <f>'Текущая цена на ВБ'!B22</f>
        <v>Таблетницы</v>
      </c>
      <c r="C22">
        <f>'Текущая цена на ВБ'!C22</f>
        <v>419130077</v>
      </c>
      <c r="D22" t="str">
        <f>'Текущая цена на ВБ'!D22</f>
        <v>ACRA7TB201CL</v>
      </c>
      <c r="E22" t="str">
        <f>'Текущая цена на ВБ'!E22</f>
        <v>2044025155923</v>
      </c>
      <c r="F22">
        <f>'Текущая цена на ВБ'!F22</f>
        <v>266</v>
      </c>
      <c r="G22">
        <f>'Текущая цена на ВБ'!G22</f>
        <v>0</v>
      </c>
      <c r="H22">
        <f>'Текущая цена на ВБ'!H22</f>
        <v>999</v>
      </c>
      <c r="I22" t="str">
        <f>'Текущая цена на ВБ'!I22</f>
        <v>1432</v>
      </c>
      <c r="J22" s="24">
        <f>_xlfn.XLOOKUP($C22,'Рассчет акции'!$A:$A,'Рассчет акции'!$BI:$BI,0,0)</f>
        <v>1432</v>
      </c>
      <c r="K22" s="61">
        <f>'Текущая цена на ВБ'!K22</f>
        <v>40</v>
      </c>
      <c r="L22" s="44">
        <f>_xlfn.XLOOKUP($C22,'Рассчет акции'!$A:$A,'Рассчет акции'!$BJ:$BJ,0,0)*100</f>
        <v>40</v>
      </c>
      <c r="M22">
        <f t="shared" si="0"/>
        <v>859.2</v>
      </c>
    </row>
    <row r="23" spans="1:13" x14ac:dyDescent="0.25">
      <c r="A23" t="str">
        <f>'Текущая цена на ВБ'!A23</f>
        <v>DOG JOY</v>
      </c>
      <c r="B23" t="str">
        <f>'Текущая цена на ВБ'!B23</f>
        <v>Игрушки для животных</v>
      </c>
      <c r="C23">
        <f>'Текущая цена на ВБ'!C23</f>
        <v>251537223</v>
      </c>
      <c r="D23" t="str">
        <f>'Текущая цена на ВБ'!D23</f>
        <v>AAND1BL101RD</v>
      </c>
      <c r="E23" t="str">
        <f>'Текущая цена на ВБ'!E23</f>
        <v>2040903539366</v>
      </c>
      <c r="F23">
        <f>'Текущая цена на ВБ'!F23</f>
        <v>152</v>
      </c>
      <c r="G23">
        <f>'Текущая цена на ВБ'!G23</f>
        <v>0</v>
      </c>
      <c r="H23">
        <f>'Текущая цена на ВБ'!H23</f>
        <v>286</v>
      </c>
      <c r="I23" t="str">
        <f>'Текущая цена на ВБ'!I23</f>
        <v>1020</v>
      </c>
      <c r="J23" s="24">
        <f>_xlfn.XLOOKUP($C23,'Рассчет акции'!$A:$A,'Рассчет акции'!$BI:$BI,0,0)</f>
        <v>1020</v>
      </c>
      <c r="K23" s="61">
        <f>'Текущая цена на ВБ'!K23</f>
        <v>40</v>
      </c>
      <c r="L23" s="44">
        <f>_xlfn.XLOOKUP($C23,'Рассчет акции'!$A:$A,'Рассчет акции'!$BJ:$BJ,0,0)*100</f>
        <v>40</v>
      </c>
      <c r="M23">
        <f t="shared" si="0"/>
        <v>612</v>
      </c>
    </row>
    <row r="24" spans="1:13" x14ac:dyDescent="0.25">
      <c r="A24" t="str">
        <f>'Текущая цена на ВБ'!A24</f>
        <v>DOG JOY</v>
      </c>
      <c r="B24" t="str">
        <f>'Текущая цена на ВБ'!B24</f>
        <v>Игрушки для животных</v>
      </c>
      <c r="C24">
        <f>'Текущая цена на ВБ'!C24</f>
        <v>251537413</v>
      </c>
      <c r="D24" t="str">
        <f>'Текущая цена на ВБ'!D24</f>
        <v>AAND1BL101BL</v>
      </c>
      <c r="E24" t="str">
        <f>'Текущая цена на ВБ'!E24</f>
        <v>2040903547941</v>
      </c>
      <c r="F24">
        <f>'Текущая цена на ВБ'!F24</f>
        <v>188</v>
      </c>
      <c r="G24">
        <f>'Текущая цена на ВБ'!G24</f>
        <v>0</v>
      </c>
      <c r="H24">
        <f>'Текущая цена на ВБ'!H24</f>
        <v>877</v>
      </c>
      <c r="I24" t="str">
        <f>'Текущая цена на ВБ'!I24</f>
        <v>930</v>
      </c>
      <c r="J24" s="24">
        <f>_xlfn.XLOOKUP($C24,'Рассчет акции'!$A:$A,'Рассчет акции'!$BI:$BI,0,0)</f>
        <v>930</v>
      </c>
      <c r="K24" s="61">
        <f>'Текущая цена на ВБ'!K24</f>
        <v>40</v>
      </c>
      <c r="L24" s="44">
        <f>_xlfn.XLOOKUP($C24,'Рассчет акции'!$A:$A,'Рассчет акции'!$BJ:$BJ,0,0)*100</f>
        <v>40</v>
      </c>
      <c r="M24">
        <f t="shared" si="0"/>
        <v>558</v>
      </c>
    </row>
    <row r="25" spans="1:13" x14ac:dyDescent="0.25">
      <c r="A25" t="str">
        <f>'Текущая цена на ВБ'!A25</f>
        <v>AROLS</v>
      </c>
      <c r="B25" t="str">
        <f>'Текущая цена на ВБ'!B25</f>
        <v>Таблетницы</v>
      </c>
      <c r="C25">
        <f>'Текущая цена на ВБ'!C25</f>
        <v>321907864</v>
      </c>
      <c r="D25" t="str">
        <f>'Текущая цена на ВБ'!D25</f>
        <v>ACRA7TB401BC</v>
      </c>
      <c r="E25" t="str">
        <f>'Текущая цена на ВБ'!E25</f>
        <v>2042676873814</v>
      </c>
      <c r="F25">
        <f>'Текущая цена на ВБ'!F25</f>
        <v>0</v>
      </c>
      <c r="G25">
        <f>'Текущая цена на ВБ'!G25</f>
        <v>0</v>
      </c>
      <c r="H25">
        <f>'Текущая цена на ВБ'!H25</f>
        <v>1</v>
      </c>
      <c r="I25" t="str">
        <f>'Текущая цена на ВБ'!I25</f>
        <v>2141</v>
      </c>
      <c r="J25" s="24">
        <f>_xlfn.XLOOKUP($C25,'Рассчет акции'!$A:$A,'Рассчет акции'!$BI:$BI,0,0)</f>
        <v>0</v>
      </c>
      <c r="K25" s="61">
        <f>'Текущая цена на ВБ'!K25</f>
        <v>30</v>
      </c>
      <c r="L25" s="44">
        <f>_xlfn.XLOOKUP($C25,'Рассчет акции'!$A:$A,'Рассчет акции'!$BJ:$BJ,0,0)*100</f>
        <v>30</v>
      </c>
      <c r="M25">
        <f t="shared" si="0"/>
        <v>0</v>
      </c>
    </row>
    <row r="26" spans="1:13" x14ac:dyDescent="0.25">
      <c r="A26" t="str">
        <f>'Текущая цена на ВБ'!A26</f>
        <v>AROLS</v>
      </c>
      <c r="B26" t="str">
        <f>'Текущая цена на ВБ'!B26</f>
        <v>Таблетницы</v>
      </c>
      <c r="C26">
        <f>'Текущая цена на ВБ'!C26</f>
        <v>448254852</v>
      </c>
      <c r="D26" t="str">
        <f>'Текущая цена на ВБ'!D26</f>
        <v>ACRA7TB201LI</v>
      </c>
      <c r="E26" t="str">
        <f>'Текущая цена на ВБ'!E26</f>
        <v>2044516498812</v>
      </c>
      <c r="F26">
        <f>'Текущая цена на ВБ'!F26</f>
        <v>208</v>
      </c>
      <c r="G26">
        <f>'Текущая цена на ВБ'!G26</f>
        <v>0</v>
      </c>
      <c r="H26">
        <f>'Текущая цена на ВБ'!H26</f>
        <v>627</v>
      </c>
      <c r="I26" t="str">
        <f>'Текущая цена на ВБ'!I26</f>
        <v>1432</v>
      </c>
      <c r="J26" s="24">
        <f>_xlfn.XLOOKUP($C26,'Рассчет акции'!$A:$A,'Рассчет акции'!$BI:$BI,0,0)</f>
        <v>1432</v>
      </c>
      <c r="K26" s="61">
        <f>'Текущая цена на ВБ'!K26</f>
        <v>40</v>
      </c>
      <c r="L26" s="44">
        <f>_xlfn.XLOOKUP($C26,'Рассчет акции'!$A:$A,'Рассчет акции'!$BJ:$BJ,0,0)*100</f>
        <v>40</v>
      </c>
      <c r="M26">
        <f t="shared" si="0"/>
        <v>859.2</v>
      </c>
    </row>
    <row r="27" spans="1:13" x14ac:dyDescent="0.25">
      <c r="A27" t="str">
        <f>'Текущая цена на ВБ'!A27</f>
        <v>AROLS</v>
      </c>
      <c r="B27" t="str">
        <f>'Текущая цена на ВБ'!B27</f>
        <v>Таблетницы</v>
      </c>
      <c r="C27">
        <f>'Текущая цена на ВБ'!C27</f>
        <v>448248943</v>
      </c>
      <c r="D27" t="str">
        <f>'Текущая цена на ВБ'!D27</f>
        <v>ACRA7TB201WH</v>
      </c>
      <c r="E27" t="str">
        <f>'Текущая цена на ВБ'!E27</f>
        <v>2044516485386</v>
      </c>
      <c r="F27">
        <f>'Текущая цена на ВБ'!F27</f>
        <v>221</v>
      </c>
      <c r="G27">
        <f>'Текущая цена на ВБ'!G27</f>
        <v>0</v>
      </c>
      <c r="H27">
        <f>'Текущая цена на ВБ'!H27</f>
        <v>773</v>
      </c>
      <c r="I27" t="str">
        <f>'Текущая цена на ВБ'!I27</f>
        <v>1432</v>
      </c>
      <c r="J27" s="24">
        <f>_xlfn.XLOOKUP($C27,'Рассчет акции'!$A:$A,'Рассчет акции'!$BI:$BI,0,0)</f>
        <v>1432</v>
      </c>
      <c r="K27" s="61">
        <f>'Текущая цена на ВБ'!K27</f>
        <v>40</v>
      </c>
      <c r="L27" s="44">
        <f>_xlfn.XLOOKUP($C27,'Рассчет акции'!$A:$A,'Рассчет акции'!$BJ:$BJ,0,0)*100</f>
        <v>40</v>
      </c>
      <c r="M27">
        <f t="shared" si="0"/>
        <v>859.2</v>
      </c>
    </row>
    <row r="28" spans="1:13" x14ac:dyDescent="0.25">
      <c r="A28" t="str">
        <f>'Текущая цена на ВБ'!A28</f>
        <v>AROLS HOME</v>
      </c>
      <c r="B28" t="str">
        <f>'Текущая цена на ВБ'!B28</f>
        <v>Мешки для стирки</v>
      </c>
      <c r="C28">
        <f>'Текущая цена на ВБ'!C28</f>
        <v>176500218</v>
      </c>
      <c r="D28" t="str">
        <f>'Текущая цена на ВБ'!D28</f>
        <v>AHMA1BW101BG</v>
      </c>
      <c r="E28" t="str">
        <f>'Текущая цена на ВБ'!E28</f>
        <v>2038597850744</v>
      </c>
      <c r="F28">
        <f>'Текущая цена на ВБ'!F28</f>
        <v>320</v>
      </c>
      <c r="G28">
        <f>'Текущая цена на ВБ'!G28</f>
        <v>0</v>
      </c>
      <c r="H28">
        <f>'Текущая цена на ВБ'!H28</f>
        <v>726</v>
      </c>
      <c r="I28" t="str">
        <f>'Текущая цена на ВБ'!I28</f>
        <v>898</v>
      </c>
      <c r="J28" s="24">
        <f>_xlfn.XLOOKUP($C28,'Рассчет акции'!$A:$A,'Рассчет акции'!$BI:$BI,0,0)</f>
        <v>898</v>
      </c>
      <c r="K28" s="61">
        <f>'Текущая цена на ВБ'!K28</f>
        <v>40</v>
      </c>
      <c r="L28" s="44">
        <f>_xlfn.XLOOKUP($C28,'Рассчет акции'!$A:$A,'Рассчет акции'!$BJ:$BJ,0,0)*100</f>
        <v>40</v>
      </c>
      <c r="M28">
        <f t="shared" si="0"/>
        <v>538.79999999999995</v>
      </c>
    </row>
    <row r="29" spans="1:13" x14ac:dyDescent="0.25">
      <c r="A29" t="str">
        <f>'Текущая цена на ВБ'!A29</f>
        <v>AROLS</v>
      </c>
      <c r="B29" t="str">
        <f>'Текущая цена на ВБ'!B29</f>
        <v>Таблетницы</v>
      </c>
      <c r="C29">
        <f>'Текущая цена на ВБ'!C29</f>
        <v>186826338</v>
      </c>
      <c r="D29" t="str">
        <f>'Текущая цена на ВБ'!D29</f>
        <v>ACRA7TB201BC</v>
      </c>
      <c r="E29" t="str">
        <f>'Текущая цена на ВБ'!E29</f>
        <v>2038891723249</v>
      </c>
      <c r="F29">
        <f>'Текущая цена на ВБ'!F29</f>
        <v>457</v>
      </c>
      <c r="G29">
        <f>'Текущая цена на ВБ'!G29</f>
        <v>0</v>
      </c>
      <c r="H29">
        <f>'Текущая цена на ВБ'!H29</f>
        <v>273</v>
      </c>
      <c r="I29" t="str">
        <f>'Текущая цена на ВБ'!I29</f>
        <v>1447</v>
      </c>
      <c r="J29" s="24">
        <f>_xlfn.XLOOKUP($C29,'Рассчет акции'!$A:$A,'Рассчет акции'!$BI:$BI,0,0)</f>
        <v>1447</v>
      </c>
      <c r="K29" s="61">
        <f>'Текущая цена на ВБ'!K29</f>
        <v>40</v>
      </c>
      <c r="L29" s="44">
        <f>_xlfn.XLOOKUP($C29,'Рассчет акции'!$A:$A,'Рассчет акции'!$BJ:$BJ,0,0)*100</f>
        <v>40</v>
      </c>
      <c r="M29">
        <f t="shared" si="0"/>
        <v>868.2</v>
      </c>
    </row>
    <row r="30" spans="1:13" x14ac:dyDescent="0.25">
      <c r="A30" t="str">
        <f>'Текущая цена на ВБ'!A30</f>
        <v>DOG JOY</v>
      </c>
      <c r="B30" t="str">
        <f>'Текущая цена на ВБ'!B30</f>
        <v>Игрушки для животных</v>
      </c>
      <c r="C30">
        <f>'Текущая цена на ВБ'!C30</f>
        <v>302564795</v>
      </c>
      <c r="D30" t="str">
        <f>'Текущая цена на ВБ'!D30</f>
        <v>AAND1ST202BL</v>
      </c>
      <c r="E30" t="str">
        <f>'Текущая цена на ВБ'!E30</f>
        <v>2042253544953</v>
      </c>
      <c r="F30">
        <f>'Текущая цена на ВБ'!F30</f>
        <v>0</v>
      </c>
      <c r="G30">
        <f>'Текущая цена на ВБ'!G30</f>
        <v>0</v>
      </c>
      <c r="H30">
        <f>'Текущая цена на ВБ'!H30</f>
        <v>1</v>
      </c>
      <c r="I30" t="str">
        <f>'Текущая цена на ВБ'!I30</f>
        <v>1084</v>
      </c>
      <c r="J30" s="24">
        <f>_xlfn.XLOOKUP($C30,'Рассчет акции'!$A:$A,'Рассчет акции'!$BI:$BI,0,0)</f>
        <v>0</v>
      </c>
      <c r="K30" s="61">
        <f>'Текущая цена на ВБ'!K30</f>
        <v>30</v>
      </c>
      <c r="L30" s="44">
        <f>_xlfn.XLOOKUP($C30,'Рассчет акции'!$A:$A,'Рассчет акции'!$BJ:$BJ,0,0)*100</f>
        <v>30</v>
      </c>
      <c r="M30">
        <f t="shared" si="0"/>
        <v>0</v>
      </c>
    </row>
    <row r="31" spans="1:13" x14ac:dyDescent="0.25">
      <c r="A31" t="str">
        <f>'Текущая цена на ВБ'!A31</f>
        <v>AROLS</v>
      </c>
      <c r="B31" t="str">
        <f>'Текущая цена на ВБ'!B31</f>
        <v>Таблетницы</v>
      </c>
      <c r="C31">
        <f>'Текущая цена на ВБ'!C31</f>
        <v>298193176</v>
      </c>
      <c r="D31" t="str">
        <f>'Текущая цена на ВБ'!D31</f>
        <v>ACRA7TB101CL</v>
      </c>
      <c r="E31" t="str">
        <f>'Текущая цена на ВБ'!E31</f>
        <v>2042160422832</v>
      </c>
      <c r="F31">
        <f>'Текущая цена на ВБ'!F31</f>
        <v>157</v>
      </c>
      <c r="G31">
        <f>'Текущая цена на ВБ'!G31</f>
        <v>0</v>
      </c>
      <c r="H31">
        <f>'Текущая цена на ВБ'!H31</f>
        <v>259</v>
      </c>
      <c r="I31" t="str">
        <f>'Текущая цена на ВБ'!I31</f>
        <v>1318</v>
      </c>
      <c r="J31" s="24">
        <f>_xlfn.XLOOKUP($C31,'Рассчет акции'!$A:$A,'Рассчет акции'!$BI:$BI,0,0)</f>
        <v>1318</v>
      </c>
      <c r="K31" s="61">
        <f>'Текущая цена на ВБ'!K31</f>
        <v>40</v>
      </c>
      <c r="L31" s="44">
        <f>_xlfn.XLOOKUP($C31,'Рассчет акции'!$A:$A,'Рассчет акции'!$BJ:$BJ,0,0)*100</f>
        <v>40</v>
      </c>
      <c r="M31">
        <f t="shared" si="0"/>
        <v>790.8</v>
      </c>
    </row>
    <row r="32" spans="1:13" x14ac:dyDescent="0.25">
      <c r="A32" t="str">
        <f>'Текущая цена на ВБ'!A32</f>
        <v>DOG JOY</v>
      </c>
      <c r="B32" t="str">
        <f>'Текущая цена на ВБ'!B32</f>
        <v>Игрушки для животных</v>
      </c>
      <c r="C32">
        <f>'Текущая цена на ВБ'!C32</f>
        <v>273588520</v>
      </c>
      <c r="D32" t="str">
        <f>'Текущая цена на ВБ'!D32</f>
        <v>AAND1RP301BG</v>
      </c>
      <c r="E32" t="str">
        <f>'Текущая цена на ВБ'!E32</f>
        <v>2041534216404</v>
      </c>
      <c r="F32">
        <f>'Текущая цена на ВБ'!F32</f>
        <v>6</v>
      </c>
      <c r="G32">
        <f>'Текущая цена на ВБ'!G32</f>
        <v>0</v>
      </c>
      <c r="H32">
        <f>'Текущая цена на ВБ'!H32</f>
        <v>203</v>
      </c>
      <c r="I32" t="str">
        <f>'Текущая цена на ВБ'!I32</f>
        <v>1617</v>
      </c>
      <c r="J32" s="24">
        <f>_xlfn.XLOOKUP($C32,'Рассчет акции'!$A:$A,'Рассчет акции'!$BI:$BI,0,0)</f>
        <v>1617</v>
      </c>
      <c r="K32" s="61">
        <f>'Текущая цена на ВБ'!K32</f>
        <v>40</v>
      </c>
      <c r="L32" s="44">
        <f>_xlfn.XLOOKUP($C32,'Рассчет акции'!$A:$A,'Рассчет акции'!$BJ:$BJ,0,0)*100</f>
        <v>40</v>
      </c>
      <c r="M32">
        <f t="shared" si="0"/>
        <v>970.2</v>
      </c>
    </row>
    <row r="33" spans="1:13" x14ac:dyDescent="0.25">
      <c r="A33" t="str">
        <f>'Текущая цена на ВБ'!A33</f>
        <v>AROLS HOME</v>
      </c>
      <c r="B33" t="str">
        <f>'Текущая цена на ВБ'!B33</f>
        <v>Мешки для стирки</v>
      </c>
      <c r="C33">
        <f>'Текущая цена на ВБ'!C33</f>
        <v>177405495</v>
      </c>
      <c r="D33" t="str">
        <f>'Текущая цена на ВБ'!D33</f>
        <v>AHMA3BW102BG</v>
      </c>
      <c r="E33" t="str">
        <f>'Текущая цена на ВБ'!E33</f>
        <v>2038627713902</v>
      </c>
      <c r="F33">
        <f>'Текущая цена на ВБ'!F33</f>
        <v>264</v>
      </c>
      <c r="G33">
        <f>'Текущая цена на ВБ'!G33</f>
        <v>0</v>
      </c>
      <c r="H33">
        <f>'Текущая цена на ВБ'!H33</f>
        <v>999</v>
      </c>
      <c r="I33" t="str">
        <f>'Текущая цена на ВБ'!I33</f>
        <v>1847</v>
      </c>
      <c r="J33" s="24">
        <f>_xlfn.XLOOKUP($C33,'Рассчет акции'!$A:$A,'Рассчет акции'!$BI:$BI,0,0)</f>
        <v>1847</v>
      </c>
      <c r="K33" s="61">
        <f>'Текущая цена на ВБ'!K33</f>
        <v>40</v>
      </c>
      <c r="L33" s="44">
        <f>_xlfn.XLOOKUP($C33,'Рассчет акции'!$A:$A,'Рассчет акции'!$BJ:$BJ,0,0)*100</f>
        <v>40</v>
      </c>
      <c r="M33">
        <f t="shared" si="0"/>
        <v>1108.2</v>
      </c>
    </row>
    <row r="34" spans="1:13" x14ac:dyDescent="0.25">
      <c r="A34" t="str">
        <f>'Текущая цена на ВБ'!A34</f>
        <v>DOG JOY</v>
      </c>
      <c r="B34" t="str">
        <f>'Текущая цена на ВБ'!B34</f>
        <v>Игрушки для животных</v>
      </c>
      <c r="C34">
        <f>'Текущая цена на ВБ'!C34</f>
        <v>273589771</v>
      </c>
      <c r="D34" t="str">
        <f>'Текущая цена на ВБ'!D34</f>
        <v>AAND1RP301YL</v>
      </c>
      <c r="E34" t="str">
        <f>'Текущая цена на ВБ'!E34</f>
        <v>2041534288661</v>
      </c>
      <c r="F34">
        <f>'Текущая цена на ВБ'!F34</f>
        <v>10</v>
      </c>
      <c r="G34">
        <f>'Текущая цена на ВБ'!G34</f>
        <v>0</v>
      </c>
      <c r="H34">
        <f>'Текущая цена на ВБ'!H34</f>
        <v>94</v>
      </c>
      <c r="I34" t="str">
        <f>'Текущая цена на ВБ'!I34</f>
        <v>1730</v>
      </c>
      <c r="J34" s="24">
        <f>_xlfn.XLOOKUP($C34,'Рассчет акции'!$A:$A,'Рассчет акции'!$BI:$BI,0,0)</f>
        <v>1730</v>
      </c>
      <c r="K34" s="61">
        <f>'Текущая цена на ВБ'!K34</f>
        <v>40</v>
      </c>
      <c r="L34" s="44">
        <f>_xlfn.XLOOKUP($C34,'Рассчет акции'!$A:$A,'Рассчет акции'!$BJ:$BJ,0,0)*100</f>
        <v>40</v>
      </c>
      <c r="M34">
        <f t="shared" si="0"/>
        <v>1038</v>
      </c>
    </row>
    <row r="35" spans="1:13" x14ac:dyDescent="0.25">
      <c r="A35" t="str">
        <f>'Текущая цена на ВБ'!A35</f>
        <v>AROLS</v>
      </c>
      <c r="B35" t="str">
        <f>'Текущая цена на ВБ'!B35</f>
        <v>Массажеры механические</v>
      </c>
      <c r="C35">
        <f>'Текущая цена на ВБ'!C35</f>
        <v>340734340</v>
      </c>
      <c r="D35" t="str">
        <f>'Текущая цена на ВБ'!D35</f>
        <v>ACRB1MS103PN</v>
      </c>
      <c r="E35" t="str">
        <f>'Текущая цена на ВБ'!E35</f>
        <v>2042985583893</v>
      </c>
      <c r="F35">
        <f>'Текущая цена на ВБ'!F35</f>
        <v>4</v>
      </c>
      <c r="G35">
        <f>'Текущая цена на ВБ'!G35</f>
        <v>0</v>
      </c>
      <c r="H35">
        <f>'Текущая цена на ВБ'!H35</f>
        <v>999</v>
      </c>
      <c r="I35" t="str">
        <f>'Текущая цена на ВБ'!I35</f>
        <v>855</v>
      </c>
      <c r="J35" s="24">
        <f>_xlfn.XLOOKUP($C35,'Рассчет акции'!$A:$A,'Рассчет акции'!$BI:$BI,0,0)</f>
        <v>855</v>
      </c>
      <c r="K35" s="61">
        <f>'Текущая цена на ВБ'!K35</f>
        <v>40</v>
      </c>
      <c r="L35" s="44">
        <f>_xlfn.XLOOKUP($C35,'Рассчет акции'!$A:$A,'Рассчет акции'!$BJ:$BJ,0,0)*100</f>
        <v>40</v>
      </c>
      <c r="M35">
        <f t="shared" si="0"/>
        <v>513</v>
      </c>
    </row>
    <row r="36" spans="1:13" x14ac:dyDescent="0.25">
      <c r="A36" t="str">
        <f>'Текущая цена на ВБ'!A36</f>
        <v>AROLS HOME</v>
      </c>
      <c r="B36" t="str">
        <f>'Текущая цена на ВБ'!B36</f>
        <v>Мешки для стирки</v>
      </c>
      <c r="C36">
        <f>'Текущая цена на ВБ'!C36</f>
        <v>172832355</v>
      </c>
      <c r="D36" t="str">
        <f>'Текущая цена на ВБ'!D36</f>
        <v>AHMA7BW101BG</v>
      </c>
      <c r="E36" t="str">
        <f>'Текущая цена на ВБ'!E36</f>
        <v>2038337652454</v>
      </c>
      <c r="F36">
        <f>'Текущая цена на ВБ'!F36</f>
        <v>139</v>
      </c>
      <c r="G36">
        <f>'Текущая цена на ВБ'!G36</f>
        <v>0</v>
      </c>
      <c r="H36">
        <f>'Текущая цена на ВБ'!H36</f>
        <v>269</v>
      </c>
      <c r="I36" t="str">
        <f>'Текущая цена на ВБ'!I36</f>
        <v>3495</v>
      </c>
      <c r="J36" s="24">
        <f>_xlfn.XLOOKUP($C36,'Рассчет акции'!$A:$A,'Рассчет акции'!$BI:$BI,0,0)</f>
        <v>3495</v>
      </c>
      <c r="K36" s="61">
        <f>'Текущая цена на ВБ'!K36</f>
        <v>40</v>
      </c>
      <c r="L36" s="44">
        <f>_xlfn.XLOOKUP($C36,'Рассчет акции'!$A:$A,'Рассчет акции'!$BJ:$BJ,0,0)*100</f>
        <v>40</v>
      </c>
      <c r="M36">
        <f t="shared" si="0"/>
        <v>2097</v>
      </c>
    </row>
    <row r="37" spans="1:13" x14ac:dyDescent="0.25">
      <c r="A37" t="str">
        <f>'Текущая цена на ВБ'!A37</f>
        <v>AROLS</v>
      </c>
      <c r="B37" t="str">
        <f>'Текущая цена на ВБ'!B37</f>
        <v>Бандажи косметические</v>
      </c>
      <c r="C37">
        <f>'Текущая цена на ВБ'!C37</f>
        <v>169153168</v>
      </c>
      <c r="D37" t="str">
        <f>'Текущая цена на ВБ'!D37</f>
        <v>ACRF1BN101BC</v>
      </c>
      <c r="E37" t="str">
        <f>'Текущая цена на ВБ'!E37</f>
        <v>2038162681926</v>
      </c>
      <c r="F37">
        <f>'Текущая цена на ВБ'!F37</f>
        <v>216</v>
      </c>
      <c r="G37">
        <f>'Текущая цена на ВБ'!G37</f>
        <v>0</v>
      </c>
      <c r="H37">
        <f>'Текущая цена на ВБ'!H37</f>
        <v>999</v>
      </c>
      <c r="I37" t="str">
        <f>'Текущая цена на ВБ'!I37</f>
        <v>1243</v>
      </c>
      <c r="J37" s="24">
        <f>_xlfn.XLOOKUP($C37,'Рассчет акции'!$A:$A,'Рассчет акции'!$BI:$BI,0,0)</f>
        <v>1243</v>
      </c>
      <c r="K37" s="61">
        <f>'Текущая цена на ВБ'!K37</f>
        <v>40</v>
      </c>
      <c r="L37" s="44">
        <f>_xlfn.XLOOKUP($C37,'Рассчет акции'!$A:$A,'Рассчет акции'!$BJ:$BJ,0,0)*100</f>
        <v>40</v>
      </c>
      <c r="M37">
        <f t="shared" si="0"/>
        <v>745.8</v>
      </c>
    </row>
    <row r="38" spans="1:13" x14ac:dyDescent="0.25">
      <c r="A38" t="str">
        <f>'Текущая цена на ВБ'!A38</f>
        <v>AROLS</v>
      </c>
      <c r="B38" t="str">
        <f>'Текущая цена на ВБ'!B38</f>
        <v>Бандажи косметические</v>
      </c>
      <c r="C38">
        <f>'Текущая цена на ВБ'!C38</f>
        <v>169395410</v>
      </c>
      <c r="D38" t="str">
        <f>'Текущая цена на ВБ'!D38</f>
        <v>ACRF1BN201GR</v>
      </c>
      <c r="E38" t="str">
        <f>'Текущая цена на ВБ'!E38</f>
        <v>2038172050200</v>
      </c>
      <c r="F38">
        <f>'Текущая цена на ВБ'!F38</f>
        <v>202</v>
      </c>
      <c r="G38">
        <f>'Текущая цена на ВБ'!G38</f>
        <v>0</v>
      </c>
      <c r="H38">
        <f>'Текущая цена на ВБ'!H38</f>
        <v>999</v>
      </c>
      <c r="I38" t="str">
        <f>'Текущая цена на ВБ'!I38</f>
        <v>1742</v>
      </c>
      <c r="J38" s="24">
        <f>_xlfn.XLOOKUP($C38,'Рассчет акции'!$A:$A,'Рассчет акции'!$BI:$BI,0,0)</f>
        <v>1742</v>
      </c>
      <c r="K38" s="61">
        <f>'Текущая цена на ВБ'!K38</f>
        <v>40</v>
      </c>
      <c r="L38" s="44">
        <f>_xlfn.XLOOKUP($C38,'Рассчет акции'!$A:$A,'Рассчет акции'!$BJ:$BJ,0,0)*100</f>
        <v>40</v>
      </c>
      <c r="M38">
        <f t="shared" si="0"/>
        <v>1045.2</v>
      </c>
    </row>
    <row r="39" spans="1:13" x14ac:dyDescent="0.25">
      <c r="A39" t="str">
        <f>'Текущая цена на ВБ'!A39</f>
        <v>AROLS HOME</v>
      </c>
      <c r="B39" t="str">
        <f>'Текущая цена на ВБ'!B39</f>
        <v>Мешки для стирки</v>
      </c>
      <c r="C39">
        <f>'Текущая цена на ВБ'!C39</f>
        <v>177404837</v>
      </c>
      <c r="D39" t="str">
        <f>'Текущая цена на ВБ'!D39</f>
        <v>AHMA3BW101BG</v>
      </c>
      <c r="E39" t="str">
        <f>'Текущая цена на ВБ'!E39</f>
        <v>2038627692689</v>
      </c>
      <c r="F39">
        <f>'Текущая цена на ВБ'!F39</f>
        <v>146</v>
      </c>
      <c r="G39">
        <f>'Текущая цена на ВБ'!G39</f>
        <v>0</v>
      </c>
      <c r="H39">
        <f>'Текущая цена на ВБ'!H39</f>
        <v>502</v>
      </c>
      <c r="I39" t="str">
        <f>'Текущая цена на ВБ'!I39</f>
        <v>2077</v>
      </c>
      <c r="J39" s="24">
        <f>_xlfn.XLOOKUP($C39,'Рассчет акции'!$A:$A,'Рассчет акции'!$BI:$BI,0,0)</f>
        <v>2077</v>
      </c>
      <c r="K39" s="61">
        <f>'Текущая цена на ВБ'!K39</f>
        <v>40</v>
      </c>
      <c r="L39" s="44">
        <f>_xlfn.XLOOKUP($C39,'Рассчет акции'!$A:$A,'Рассчет акции'!$BJ:$BJ,0,0)*100</f>
        <v>40</v>
      </c>
      <c r="M39">
        <f t="shared" si="0"/>
        <v>1246.2</v>
      </c>
    </row>
    <row r="40" spans="1:13" x14ac:dyDescent="0.25">
      <c r="A40" t="str">
        <f>'Текущая цена на ВБ'!A40</f>
        <v>AROLS</v>
      </c>
      <c r="B40" t="str">
        <f>'Текущая цена на ВБ'!B40</f>
        <v>Массажеры механические</v>
      </c>
      <c r="C40">
        <f>'Текущая цена на ВБ'!C40</f>
        <v>173605843</v>
      </c>
      <c r="D40" t="str">
        <f>'Текущая цена на ВБ'!D40</f>
        <v>ACRH1MS101RJ</v>
      </c>
      <c r="E40" t="str">
        <f>'Текущая цена на ВБ'!E40</f>
        <v>2038430289250</v>
      </c>
      <c r="F40">
        <f>'Текущая цена на ВБ'!F40</f>
        <v>535</v>
      </c>
      <c r="G40">
        <f>'Текущая цена на ВБ'!G40</f>
        <v>0</v>
      </c>
      <c r="H40">
        <f>'Текущая цена на ВБ'!H40</f>
        <v>999</v>
      </c>
      <c r="I40" t="str">
        <f>'Текущая цена на ВБ'!I40</f>
        <v>572</v>
      </c>
      <c r="J40" s="24">
        <f>_xlfn.XLOOKUP($C40,'Рассчет акции'!$A:$A,'Рассчет акции'!$BI:$BI,0,0)</f>
        <v>572</v>
      </c>
      <c r="K40" s="61">
        <f>'Текущая цена на ВБ'!K40</f>
        <v>40</v>
      </c>
      <c r="L40" s="44">
        <f>_xlfn.XLOOKUP($C40,'Рассчет акции'!$A:$A,'Рассчет акции'!$BJ:$BJ,0,0)*100</f>
        <v>40</v>
      </c>
      <c r="M40">
        <f t="shared" si="0"/>
        <v>343.2</v>
      </c>
    </row>
    <row r="41" spans="1:13" x14ac:dyDescent="0.25">
      <c r="A41" t="str">
        <f>'Текущая цена на ВБ'!A41</f>
        <v>AROLS HOME</v>
      </c>
      <c r="B41" t="str">
        <f>'Текущая цена на ВБ'!B41</f>
        <v>Ножи для пиццы</v>
      </c>
      <c r="C41">
        <f>'Текущая цена на ВБ'!C41</f>
        <v>273527791</v>
      </c>
      <c r="D41" t="str">
        <f>'Текущая цена на ВБ'!D41</f>
        <v>AKTA2KN102YL</v>
      </c>
      <c r="E41" t="str">
        <f>'Текущая цена на ВБ'!E41</f>
        <v>2041533038113</v>
      </c>
      <c r="F41">
        <f>'Текущая цена на ВБ'!F41</f>
        <v>122</v>
      </c>
      <c r="G41">
        <f>'Текущая цена на ВБ'!G41</f>
        <v>0</v>
      </c>
      <c r="H41">
        <f>'Текущая цена на ВБ'!H41</f>
        <v>999</v>
      </c>
      <c r="I41" t="str">
        <f>'Текущая цена на ВБ'!I41</f>
        <v>1303</v>
      </c>
      <c r="J41" s="24">
        <f>_xlfn.XLOOKUP($C41,'Рассчет акции'!$A:$A,'Рассчет акции'!$BI:$BI,0,0)</f>
        <v>1303</v>
      </c>
      <c r="K41" s="61">
        <f>'Текущая цена на ВБ'!K41</f>
        <v>40</v>
      </c>
      <c r="L41" s="44">
        <f>_xlfn.XLOOKUP($C41,'Рассчет акции'!$A:$A,'Рассчет акции'!$BJ:$BJ,0,0)*100</f>
        <v>40</v>
      </c>
      <c r="M41">
        <f t="shared" si="0"/>
        <v>781.8</v>
      </c>
    </row>
    <row r="42" spans="1:13" x14ac:dyDescent="0.25">
      <c r="A42" t="str">
        <f>'Текущая цена на ВБ'!A42</f>
        <v>AROLS</v>
      </c>
      <c r="B42" t="str">
        <f>'Текущая цена на ВБ'!B42</f>
        <v>Бандажи косметические</v>
      </c>
      <c r="C42">
        <f>'Текущая цена на ВБ'!C42</f>
        <v>169112569</v>
      </c>
      <c r="D42" t="str">
        <f>'Текущая цена на ВБ'!D42</f>
        <v>ACRF1BN101PN</v>
      </c>
      <c r="E42" t="str">
        <f>'Текущая цена на ВБ'!E42</f>
        <v>2038161736993</v>
      </c>
      <c r="F42">
        <f>'Текущая цена на ВБ'!F42</f>
        <v>128</v>
      </c>
      <c r="G42">
        <f>'Текущая цена на ВБ'!G42</f>
        <v>0</v>
      </c>
      <c r="H42">
        <f>'Текущая цена на ВБ'!H42</f>
        <v>984</v>
      </c>
      <c r="I42" t="str">
        <f>'Текущая цена на ВБ'!I42</f>
        <v>1243</v>
      </c>
      <c r="J42" s="24">
        <f>_xlfn.XLOOKUP($C42,'Рассчет акции'!$A:$A,'Рассчет акции'!$BI:$BI,0,0)</f>
        <v>1243</v>
      </c>
      <c r="K42" s="61">
        <f>'Текущая цена на ВБ'!K42</f>
        <v>40</v>
      </c>
      <c r="L42" s="44">
        <f>_xlfn.XLOOKUP($C42,'Рассчет акции'!$A:$A,'Рассчет акции'!$BJ:$BJ,0,0)*100</f>
        <v>40</v>
      </c>
      <c r="M42">
        <f t="shared" si="0"/>
        <v>745.8</v>
      </c>
    </row>
    <row r="43" spans="1:13" x14ac:dyDescent="0.25">
      <c r="A43" t="str">
        <f>'Текущая цена на ВБ'!A43</f>
        <v>AROLS HOME</v>
      </c>
      <c r="B43" t="str">
        <f>'Текущая цена на ВБ'!B43</f>
        <v>Пробки для бутылок</v>
      </c>
      <c r="C43">
        <f>'Текущая цена на ВБ'!C43</f>
        <v>370594147</v>
      </c>
      <c r="D43" t="str">
        <f>'Текущая цена на ВБ'!D43</f>
        <v>AKTA4ST103CL</v>
      </c>
      <c r="E43" t="str">
        <f>'Текущая цена на ВБ'!E43</f>
        <v>2043369755509</v>
      </c>
      <c r="F43">
        <f>'Текущая цена на ВБ'!F43</f>
        <v>106</v>
      </c>
      <c r="G43">
        <f>'Текущая цена на ВБ'!G43</f>
        <v>0</v>
      </c>
      <c r="H43">
        <f>'Текущая цена на ВБ'!H43</f>
        <v>244</v>
      </c>
      <c r="I43" t="str">
        <f>'Текущая цена на ВБ'!I43</f>
        <v>1153</v>
      </c>
      <c r="J43" s="24">
        <f>_xlfn.XLOOKUP($C43,'Рассчет акции'!$A:$A,'Рассчет акции'!$BI:$BI,0,0)</f>
        <v>1153</v>
      </c>
      <c r="K43" s="61">
        <f>'Текущая цена на ВБ'!K43</f>
        <v>40</v>
      </c>
      <c r="L43" s="44">
        <f>_xlfn.XLOOKUP($C43,'Рассчет акции'!$A:$A,'Рассчет акции'!$BJ:$BJ,0,0)*100</f>
        <v>40</v>
      </c>
      <c r="M43">
        <f t="shared" si="0"/>
        <v>691.8</v>
      </c>
    </row>
    <row r="44" spans="1:13" x14ac:dyDescent="0.25">
      <c r="A44" t="str">
        <f>'Текущая цена на ВБ'!A44</f>
        <v>AROLS HOME</v>
      </c>
      <c r="B44" t="str">
        <f>'Текущая цена на ВБ'!B44</f>
        <v>Консервные ножи</v>
      </c>
      <c r="C44">
        <f>'Текущая цена на ВБ'!C44</f>
        <v>340948906</v>
      </c>
      <c r="D44" t="str">
        <f>'Текущая цена на ВБ'!D44</f>
        <v>AKTA1KN101GR</v>
      </c>
      <c r="E44" t="str">
        <f>'Текущая цена на ВБ'!E44</f>
        <v>2042988749289</v>
      </c>
      <c r="F44">
        <f>'Текущая цена на ВБ'!F44</f>
        <v>0</v>
      </c>
      <c r="G44">
        <f>'Текущая цена на ВБ'!G44</f>
        <v>0</v>
      </c>
      <c r="H44">
        <f>'Текущая цена на ВБ'!H44</f>
        <v>1</v>
      </c>
      <c r="I44" t="str">
        <f>'Текущая цена на ВБ'!I44</f>
        <v>1741</v>
      </c>
      <c r="J44" s="24">
        <f>_xlfn.XLOOKUP($C44,'Рассчет акции'!$A:$A,'Рассчет акции'!$BI:$BI,0,0)</f>
        <v>1741</v>
      </c>
      <c r="K44" s="61">
        <f>'Текущая цена на ВБ'!K44</f>
        <v>30</v>
      </c>
      <c r="L44" s="44">
        <f>_xlfn.XLOOKUP($C44,'Рассчет акции'!$A:$A,'Рассчет акции'!$BJ:$BJ,0,0)*100</f>
        <v>30</v>
      </c>
      <c r="M44">
        <f t="shared" si="0"/>
        <v>1218.7</v>
      </c>
    </row>
    <row r="45" spans="1:13" x14ac:dyDescent="0.25">
      <c r="A45" t="str">
        <f>'Текущая цена на ВБ'!A45</f>
        <v>AROLS HOME</v>
      </c>
      <c r="B45" t="str">
        <f>'Текущая цена на ВБ'!B45</f>
        <v>Ножи для пиццы</v>
      </c>
      <c r="C45">
        <f>'Текущая цена на ВБ'!C45</f>
        <v>327442631</v>
      </c>
      <c r="D45" t="str">
        <f>'Текущая цена на ВБ'!D45</f>
        <v>AKTA2KN102GN</v>
      </c>
      <c r="E45" t="str">
        <f>'Текущая цена на ВБ'!E45</f>
        <v>2042777181566</v>
      </c>
      <c r="F45">
        <f>'Текущая цена на ВБ'!F45</f>
        <v>82</v>
      </c>
      <c r="G45">
        <f>'Текущая цена на ВБ'!G45</f>
        <v>0</v>
      </c>
      <c r="H45">
        <f>'Текущая цена на ВБ'!H45</f>
        <v>999</v>
      </c>
      <c r="I45" t="str">
        <f>'Текущая цена на ВБ'!I45</f>
        <v>1277</v>
      </c>
      <c r="J45" s="24">
        <f>_xlfn.XLOOKUP($C45,'Рассчет акции'!$A:$A,'Рассчет акции'!$BI:$BI,0,0)</f>
        <v>1277</v>
      </c>
      <c r="K45" s="61">
        <f>'Текущая цена на ВБ'!K45</f>
        <v>40</v>
      </c>
      <c r="L45" s="44">
        <f>_xlfn.XLOOKUP($C45,'Рассчет акции'!$A:$A,'Рассчет акции'!$BJ:$BJ,0,0)*100</f>
        <v>40</v>
      </c>
      <c r="M45">
        <f t="shared" si="0"/>
        <v>766.2</v>
      </c>
    </row>
    <row r="46" spans="1:13" x14ac:dyDescent="0.25">
      <c r="A46" t="str">
        <f>'Текущая цена на ВБ'!A46</f>
        <v>AROLS</v>
      </c>
      <c r="B46" t="str">
        <f>'Текущая цена на ВБ'!B46</f>
        <v>Массажеры механические</v>
      </c>
      <c r="C46">
        <f>'Текущая цена на ВБ'!C46</f>
        <v>223420736</v>
      </c>
      <c r="D46" t="str">
        <f>'Текущая цена на ВБ'!D46</f>
        <v>ACRB1MS101RJ</v>
      </c>
      <c r="E46" t="str">
        <f>'Текущая цена на ВБ'!E46</f>
        <v>2039813223373</v>
      </c>
      <c r="F46">
        <f>'Текущая цена на ВБ'!F46</f>
        <v>56</v>
      </c>
      <c r="G46">
        <f>'Текущая цена на ВБ'!G46</f>
        <v>0</v>
      </c>
      <c r="H46">
        <f>'Текущая цена на ВБ'!H46</f>
        <v>368</v>
      </c>
      <c r="I46" t="str">
        <f>'Текущая цена на ВБ'!I46</f>
        <v>1502</v>
      </c>
      <c r="J46" s="24">
        <f>_xlfn.XLOOKUP($C46,'Рассчет акции'!$A:$A,'Рассчет акции'!$BI:$BI,0,0)</f>
        <v>1502</v>
      </c>
      <c r="K46" s="61">
        <f>'Текущая цена на ВБ'!K46</f>
        <v>40</v>
      </c>
      <c r="L46" s="44">
        <f>_xlfn.XLOOKUP($C46,'Рассчет акции'!$A:$A,'Рассчет акции'!$BJ:$BJ,0,0)*100</f>
        <v>40</v>
      </c>
      <c r="M46">
        <f t="shared" si="0"/>
        <v>901.2</v>
      </c>
    </row>
    <row r="47" spans="1:13" x14ac:dyDescent="0.25">
      <c r="A47" t="str">
        <f>'Текущая цена на ВБ'!A47</f>
        <v>AROLS HOME</v>
      </c>
      <c r="B47" t="str">
        <f>'Текущая цена на ВБ'!B47</f>
        <v>Пробки для бутылок</v>
      </c>
      <c r="C47">
        <f>'Текущая цена на ВБ'!C47</f>
        <v>321959186</v>
      </c>
      <c r="D47" t="str">
        <f>'Текущая цена на ВБ'!D47</f>
        <v>AKTA4ST102CL</v>
      </c>
      <c r="E47" t="str">
        <f>'Текущая цена на ВБ'!E47</f>
        <v>2042678197468</v>
      </c>
      <c r="F47">
        <f>'Текущая цена на ВБ'!F47</f>
        <v>31</v>
      </c>
      <c r="G47">
        <f>'Текущая цена на ВБ'!G47</f>
        <v>0</v>
      </c>
      <c r="H47">
        <f>'Текущая цена на ВБ'!H47</f>
        <v>246</v>
      </c>
      <c r="I47" t="str">
        <f>'Текущая цена на ВБ'!I47</f>
        <v>992</v>
      </c>
      <c r="J47" s="24">
        <f>_xlfn.XLOOKUP($C47,'Рассчет акции'!$A:$A,'Рассчет акции'!$BI:$BI,0,0)</f>
        <v>992</v>
      </c>
      <c r="K47" s="61">
        <f>'Текущая цена на ВБ'!K47</f>
        <v>40</v>
      </c>
      <c r="L47" s="44">
        <f>_xlfn.XLOOKUP($C47,'Рассчет акции'!$A:$A,'Рассчет акции'!$BJ:$BJ,0,0)*100</f>
        <v>40</v>
      </c>
      <c r="M47">
        <f t="shared" si="0"/>
        <v>595.20000000000005</v>
      </c>
    </row>
    <row r="48" spans="1:13" x14ac:dyDescent="0.25">
      <c r="A48" t="str">
        <f>'Текущая цена на ВБ'!A48</f>
        <v>AROLS HOME</v>
      </c>
      <c r="B48" t="str">
        <f>'Текущая цена на ВБ'!B48</f>
        <v>Пробки для бутылок</v>
      </c>
      <c r="C48">
        <f>'Текущая цена на ВБ'!C48</f>
        <v>273556717</v>
      </c>
      <c r="D48" t="str">
        <f>'Текущая цена на ВБ'!D48</f>
        <v>AKTA4ST101CL</v>
      </c>
      <c r="E48" t="str">
        <f>'Текущая цена на ВБ'!E48</f>
        <v>2041533648312</v>
      </c>
      <c r="F48">
        <f>'Текущая цена на ВБ'!F48</f>
        <v>134</v>
      </c>
      <c r="G48">
        <f>'Текущая цена на ВБ'!G48</f>
        <v>0</v>
      </c>
      <c r="H48">
        <f>'Текущая цена на ВБ'!H48</f>
        <v>193</v>
      </c>
      <c r="I48" t="str">
        <f>'Текущая цена на ВБ'!I48</f>
        <v>868</v>
      </c>
      <c r="J48" s="24">
        <f>_xlfn.XLOOKUP($C48,'Рассчет акции'!$A:$A,'Рассчет акции'!$BI:$BI,0,0)</f>
        <v>868</v>
      </c>
      <c r="K48" s="61">
        <f>'Текущая цена на ВБ'!K48</f>
        <v>40</v>
      </c>
      <c r="L48" s="44">
        <f>_xlfn.XLOOKUP($C48,'Рассчет акции'!$A:$A,'Рассчет акции'!$BJ:$BJ,0,0)*100</f>
        <v>40</v>
      </c>
      <c r="M48">
        <f t="shared" si="0"/>
        <v>520.79999999999995</v>
      </c>
    </row>
    <row r="49" spans="1:13" x14ac:dyDescent="0.25">
      <c r="A49" t="str">
        <f>'Текущая цена на ВБ'!A49</f>
        <v>AROLS</v>
      </c>
      <c r="B49" t="str">
        <f>'Текущая цена на ВБ'!B49</f>
        <v>Массажеры механические</v>
      </c>
      <c r="C49">
        <f>'Текущая цена на ВБ'!C49</f>
        <v>419145985</v>
      </c>
      <c r="D49" t="str">
        <f>'Текущая цена на ВБ'!D49</f>
        <v>ACRB1MS107BС</v>
      </c>
      <c r="E49" t="str">
        <f>'Текущая цена на ВБ'!E49</f>
        <v>2044025344532</v>
      </c>
      <c r="F49">
        <f>'Текущая цена на ВБ'!F49</f>
        <v>90</v>
      </c>
      <c r="G49">
        <f>'Текущая цена на ВБ'!G49</f>
        <v>0</v>
      </c>
      <c r="H49">
        <f>'Текущая цена на ВБ'!H49</f>
        <v>999</v>
      </c>
      <c r="I49" t="str">
        <f>'Текущая цена на ВБ'!I49</f>
        <v>920</v>
      </c>
      <c r="J49" s="24">
        <f>_xlfn.XLOOKUP($C49,'Рассчет акции'!$A:$A,'Рассчет акции'!$BI:$BI,0,0)</f>
        <v>920</v>
      </c>
      <c r="K49" s="61">
        <f>'Текущая цена на ВБ'!K49</f>
        <v>40</v>
      </c>
      <c r="L49" s="44">
        <f>_xlfn.XLOOKUP($C49,'Рассчет акции'!$A:$A,'Рассчет акции'!$BJ:$BJ,0,0)*100</f>
        <v>40</v>
      </c>
      <c r="M49">
        <f t="shared" si="0"/>
        <v>552</v>
      </c>
    </row>
    <row r="50" spans="1:13" x14ac:dyDescent="0.25">
      <c r="A50" t="str">
        <f>'Текущая цена на ВБ'!A50</f>
        <v>AROLS</v>
      </c>
      <c r="B50" t="str">
        <f>'Текущая цена на ВБ'!B50</f>
        <v>Массажеры механические</v>
      </c>
      <c r="C50">
        <f>'Текущая цена на ВБ'!C50</f>
        <v>340743911</v>
      </c>
      <c r="D50" t="str">
        <f>'Текущая цена на ВБ'!D50</f>
        <v>ACRB1MS103RJ</v>
      </c>
      <c r="E50" t="str">
        <f>'Текущая цена на ВБ'!E50</f>
        <v>2042986377583</v>
      </c>
      <c r="F50">
        <f>'Текущая цена на ВБ'!F50</f>
        <v>13</v>
      </c>
      <c r="G50">
        <f>'Текущая цена на ВБ'!G50</f>
        <v>0</v>
      </c>
      <c r="H50">
        <f>'Текущая цена на ВБ'!H50</f>
        <v>416</v>
      </c>
      <c r="I50" t="str">
        <f>'Текущая цена на ВБ'!I50</f>
        <v>847</v>
      </c>
      <c r="J50" s="24">
        <f>_xlfn.XLOOKUP($C50,'Рассчет акции'!$A:$A,'Рассчет акции'!$BI:$BI,0,0)</f>
        <v>847</v>
      </c>
      <c r="K50" s="61">
        <f>'Текущая цена на ВБ'!K50</f>
        <v>40</v>
      </c>
      <c r="L50" s="44">
        <f>_xlfn.XLOOKUP($C50,'Рассчет акции'!$A:$A,'Рассчет акции'!$BJ:$BJ,0,0)*100</f>
        <v>40</v>
      </c>
      <c r="M50">
        <f t="shared" si="0"/>
        <v>508.2</v>
      </c>
    </row>
    <row r="51" spans="1:13" x14ac:dyDescent="0.25">
      <c r="A51" t="str">
        <f>'Текущая цена на ВБ'!A51</f>
        <v>AROLS</v>
      </c>
      <c r="B51" t="str">
        <f>'Текущая цена на ВБ'!B51</f>
        <v>Массажеры механические</v>
      </c>
      <c r="C51">
        <f>'Текущая цена на ВБ'!C51</f>
        <v>275208802</v>
      </c>
      <c r="D51" t="str">
        <f>'Текущая цена на ВБ'!D51</f>
        <v>ACRB1MS101BL</v>
      </c>
      <c r="E51" t="str">
        <f>'Текущая цена на ВБ'!E51</f>
        <v>2041591055954</v>
      </c>
      <c r="F51">
        <f>'Текущая цена на ВБ'!F51</f>
        <v>60</v>
      </c>
      <c r="G51">
        <f>'Текущая цена на ВБ'!G51</f>
        <v>0</v>
      </c>
      <c r="H51">
        <f>'Текущая цена на ВБ'!H51</f>
        <v>999</v>
      </c>
      <c r="I51" t="str">
        <f>'Текущая цена на ВБ'!I51</f>
        <v>1313</v>
      </c>
      <c r="J51" s="24">
        <f>_xlfn.XLOOKUP($C51,'Рассчет акции'!$A:$A,'Рассчет акции'!$BI:$BI,0,0)</f>
        <v>1313</v>
      </c>
      <c r="K51" s="61">
        <f>'Текущая цена на ВБ'!K51</f>
        <v>30</v>
      </c>
      <c r="L51" s="44">
        <f>_xlfn.XLOOKUP($C51,'Рассчет акции'!$A:$A,'Рассчет акции'!$BJ:$BJ,0,0)*100</f>
        <v>30</v>
      </c>
      <c r="M51">
        <f t="shared" si="0"/>
        <v>919.1</v>
      </c>
    </row>
    <row r="52" spans="1:13" x14ac:dyDescent="0.25">
      <c r="A52" t="str">
        <f>'Текущая цена на ВБ'!A52</f>
        <v>AROLS</v>
      </c>
      <c r="B52" t="str">
        <f>'Текущая цена на ВБ'!B52</f>
        <v>Массажеры механические</v>
      </c>
      <c r="C52">
        <f>'Текущая цена на ВБ'!C52</f>
        <v>419145389</v>
      </c>
      <c r="D52" t="str">
        <f>'Текущая цена на ВБ'!D52</f>
        <v>ACRB1MS107PN</v>
      </c>
      <c r="E52" t="str">
        <f>'Текущая цена на ВБ'!E52</f>
        <v>2044025316447</v>
      </c>
      <c r="F52">
        <f>'Текущая цена на ВБ'!F52</f>
        <v>118</v>
      </c>
      <c r="G52">
        <f>'Текущая цена на ВБ'!G52</f>
        <v>0</v>
      </c>
      <c r="H52">
        <f>'Текущая цена на ВБ'!H52</f>
        <v>717</v>
      </c>
      <c r="I52" t="str">
        <f>'Текущая цена на ВБ'!I52</f>
        <v>1020</v>
      </c>
      <c r="J52" s="24">
        <f>_xlfn.XLOOKUP($C52,'Рассчет акции'!$A:$A,'Рассчет акции'!$BI:$BI,0,0)</f>
        <v>1020</v>
      </c>
      <c r="K52" s="61">
        <f>'Текущая цена на ВБ'!K52</f>
        <v>40</v>
      </c>
      <c r="L52" s="44">
        <f>_xlfn.XLOOKUP($C52,'Рассчет акции'!$A:$A,'Рассчет акции'!$BJ:$BJ,0,0)*100</f>
        <v>40</v>
      </c>
      <c r="M52">
        <f t="shared" si="0"/>
        <v>612</v>
      </c>
    </row>
    <row r="53" spans="1:13" x14ac:dyDescent="0.25">
      <c r="A53" t="str">
        <f>'Текущая цена на ВБ'!A53</f>
        <v>AROLS</v>
      </c>
      <c r="B53" t="str">
        <f>'Текущая цена на ВБ'!B53</f>
        <v>Массажеры механические</v>
      </c>
      <c r="C53">
        <f>'Текущая цена на ВБ'!C53</f>
        <v>275208801</v>
      </c>
      <c r="D53" t="str">
        <f>'Текущая цена на ВБ'!D53</f>
        <v>ACRB1MS101PN</v>
      </c>
      <c r="E53" t="str">
        <f>'Текущая цена на ВБ'!E53</f>
        <v>2041591042329</v>
      </c>
      <c r="F53">
        <f>'Текущая цена на ВБ'!F53</f>
        <v>58</v>
      </c>
      <c r="G53">
        <f>'Текущая цена на ВБ'!G53</f>
        <v>0</v>
      </c>
      <c r="H53">
        <f>'Текущая цена на ВБ'!H53</f>
        <v>215</v>
      </c>
      <c r="I53" t="str">
        <f>'Текущая цена на ВБ'!I53</f>
        <v>1208</v>
      </c>
      <c r="J53" s="24">
        <f>_xlfn.XLOOKUP($C53,'Рассчет акции'!$A:$A,'Рассчет акции'!$BI:$BI,0,0)</f>
        <v>1208</v>
      </c>
      <c r="K53" s="61">
        <f>'Текущая цена на ВБ'!K53</f>
        <v>40</v>
      </c>
      <c r="L53" s="44">
        <f>_xlfn.XLOOKUP($C53,'Рассчет акции'!$A:$A,'Рассчет акции'!$BJ:$BJ,0,0)*100</f>
        <v>40</v>
      </c>
      <c r="M53">
        <f t="shared" si="0"/>
        <v>724.8</v>
      </c>
    </row>
    <row r="54" spans="1:13" x14ac:dyDescent="0.25">
      <c r="A54" t="str">
        <f>'Текущая цена на ВБ'!A54</f>
        <v>AROLS</v>
      </c>
      <c r="B54" t="str">
        <f>'Текущая цена на ВБ'!B54</f>
        <v>Массажеры механические</v>
      </c>
      <c r="C54">
        <f>'Текущая цена на ВБ'!C54</f>
        <v>419145748</v>
      </c>
      <c r="D54" t="str">
        <f>'Текущая цена на ВБ'!D54</f>
        <v>ACRB1MS107BL</v>
      </c>
      <c r="E54" t="str">
        <f>'Текущая цена на ВБ'!E54</f>
        <v>2044025338661</v>
      </c>
      <c r="F54">
        <f>'Текущая цена на ВБ'!F54</f>
        <v>109</v>
      </c>
      <c r="G54">
        <f>'Текущая цена на ВБ'!G54</f>
        <v>0</v>
      </c>
      <c r="H54">
        <f>'Текущая цена на ВБ'!H54</f>
        <v>999</v>
      </c>
      <c r="I54" t="str">
        <f>'Текущая цена на ВБ'!I54</f>
        <v>922</v>
      </c>
      <c r="J54" s="24">
        <f>_xlfn.XLOOKUP($C54,'Рассчет акции'!$A:$A,'Рассчет акции'!$BI:$BI,0,0)</f>
        <v>922</v>
      </c>
      <c r="K54" s="61">
        <f>'Текущая цена на ВБ'!K54</f>
        <v>40</v>
      </c>
      <c r="L54" s="44">
        <f>_xlfn.XLOOKUP($C54,'Рассчет акции'!$A:$A,'Рассчет акции'!$BJ:$BJ,0,0)*100</f>
        <v>40</v>
      </c>
      <c r="M54">
        <f t="shared" si="0"/>
        <v>553.20000000000005</v>
      </c>
    </row>
    <row r="55" spans="1:13" x14ac:dyDescent="0.25">
      <c r="A55" t="str">
        <f>'Текущая цена на ВБ'!A55</f>
        <v>AROLS</v>
      </c>
      <c r="B55" t="str">
        <f>'Текущая цена на ВБ'!B55</f>
        <v>Массажеры механические</v>
      </c>
      <c r="C55">
        <f>'Текущая цена на ВБ'!C55</f>
        <v>340743352</v>
      </c>
      <c r="D55" t="str">
        <f>'Текущая цена на ВБ'!D55</f>
        <v>ACRB1MS103LI</v>
      </c>
      <c r="E55" t="str">
        <f>'Текущая цена на ВБ'!E55</f>
        <v>2042986372359</v>
      </c>
      <c r="F55">
        <f>'Текущая цена на ВБ'!F55</f>
        <v>27</v>
      </c>
      <c r="G55">
        <f>'Текущая цена на ВБ'!G55</f>
        <v>0</v>
      </c>
      <c r="H55">
        <f>'Текущая цена на ВБ'!H55</f>
        <v>216</v>
      </c>
      <c r="I55" t="str">
        <f>'Текущая цена на ВБ'!I55</f>
        <v>855</v>
      </c>
      <c r="J55" s="24">
        <f>_xlfn.XLOOKUP($C55,'Рассчет акции'!$A:$A,'Рассчет акции'!$BI:$BI,0,0)</f>
        <v>855</v>
      </c>
      <c r="K55" s="61">
        <f>'Текущая цена на ВБ'!K55</f>
        <v>40</v>
      </c>
      <c r="L55" s="44">
        <f>_xlfn.XLOOKUP($C55,'Рассчет акции'!$A:$A,'Рассчет акции'!$BJ:$BJ,0,0)*100</f>
        <v>40</v>
      </c>
      <c r="M55">
        <f t="shared" si="0"/>
        <v>513</v>
      </c>
    </row>
    <row r="56" spans="1:13" x14ac:dyDescent="0.25">
      <c r="A56" t="str">
        <f>'Текущая цена на ВБ'!A56</f>
        <v>AROLS</v>
      </c>
      <c r="B56" t="str">
        <f>'Текущая цена на ВБ'!B56</f>
        <v>Массажеры механические</v>
      </c>
      <c r="C56">
        <f>'Текущая цена на ВБ'!C56</f>
        <v>419145391</v>
      </c>
      <c r="D56" t="str">
        <f>'Текущая цена на ВБ'!D56</f>
        <v>ACRB1MS107WH</v>
      </c>
      <c r="E56" t="str">
        <f>'Текущая цена на ВБ'!E56</f>
        <v>2044025326637</v>
      </c>
      <c r="F56">
        <f>'Текущая цена на ВБ'!F56</f>
        <v>298</v>
      </c>
      <c r="G56">
        <f>'Текущая цена на ВБ'!G56</f>
        <v>0</v>
      </c>
      <c r="H56">
        <f>'Текущая цена на ВБ'!H56</f>
        <v>999</v>
      </c>
      <c r="I56" t="str">
        <f>'Текущая цена на ВБ'!I56</f>
        <v>884</v>
      </c>
      <c r="J56" s="24">
        <f>_xlfn.XLOOKUP($C56,'Рассчет акции'!$A:$A,'Рассчет акции'!$BI:$BI,0,0)</f>
        <v>884</v>
      </c>
      <c r="K56" s="61">
        <f>'Текущая цена на ВБ'!K56</f>
        <v>30</v>
      </c>
      <c r="L56" s="44">
        <f>_xlfn.XLOOKUP($C56,'Рассчет акции'!$A:$A,'Рассчет акции'!$BJ:$BJ,0,0)*100</f>
        <v>30</v>
      </c>
      <c r="M56">
        <f t="shared" si="0"/>
        <v>618.79999999999995</v>
      </c>
    </row>
    <row r="57" spans="1:13" x14ac:dyDescent="0.25">
      <c r="A57" t="str">
        <f>'Текущая цена на ВБ'!A57</f>
        <v>AROLS</v>
      </c>
      <c r="B57" t="str">
        <f>'Текущая цена на ВБ'!B57</f>
        <v>Массажеры механические</v>
      </c>
      <c r="C57">
        <f>'Текущая цена на ВБ'!C57</f>
        <v>419141548</v>
      </c>
      <c r="D57" t="str">
        <f>'Текущая цена на ВБ'!D57</f>
        <v>ACRB1MS107RJ</v>
      </c>
      <c r="E57" t="str">
        <f>'Текущая цена на ВБ'!E57</f>
        <v>2044025288003</v>
      </c>
      <c r="F57">
        <f>'Текущая цена на ВБ'!F57</f>
        <v>76</v>
      </c>
      <c r="G57">
        <f>'Текущая цена на ВБ'!G57</f>
        <v>0</v>
      </c>
      <c r="H57">
        <f>'Текущая цена на ВБ'!H57</f>
        <v>258</v>
      </c>
      <c r="I57" t="str">
        <f>'Текущая цена на ВБ'!I57</f>
        <v>988</v>
      </c>
      <c r="J57" s="24">
        <f>_xlfn.XLOOKUP($C57,'Рассчет акции'!$A:$A,'Рассчет акции'!$BI:$BI,0,0)</f>
        <v>988</v>
      </c>
      <c r="K57" s="61">
        <f>'Текущая цена на ВБ'!K57</f>
        <v>40</v>
      </c>
      <c r="L57" s="44">
        <f>_xlfn.XLOOKUP($C57,'Рассчет акции'!$A:$A,'Рассчет акции'!$BJ:$BJ,0,0)*100</f>
        <v>40</v>
      </c>
      <c r="M57">
        <f t="shared" si="0"/>
        <v>592.79999999999995</v>
      </c>
    </row>
    <row r="58" spans="1:13" x14ac:dyDescent="0.25">
      <c r="A58" t="str">
        <f>'Текущая цена на ВБ'!A58</f>
        <v>AROLS HOME</v>
      </c>
      <c r="B58" t="str">
        <f>'Текущая цена на ВБ'!B58</f>
        <v>Мешки для стирки</v>
      </c>
      <c r="C58">
        <f>'Текущая цена на ВБ'!C58</f>
        <v>273513216</v>
      </c>
      <c r="D58" t="str">
        <f>'Текущая цена на ВБ'!D58</f>
        <v>AHMA4BW401BG</v>
      </c>
      <c r="E58" t="str">
        <f>'Текущая цена на ВБ'!E58</f>
        <v>2041532752478</v>
      </c>
      <c r="F58">
        <f>'Текущая цена на ВБ'!F58</f>
        <v>0</v>
      </c>
      <c r="G58">
        <f>'Текущая цена на ВБ'!G58</f>
        <v>0</v>
      </c>
      <c r="H58">
        <f>'Текущая цена на ВБ'!H58</f>
        <v>999</v>
      </c>
      <c r="I58" t="str">
        <f>'Текущая цена на ВБ'!I58</f>
        <v>1889</v>
      </c>
      <c r="J58" s="24">
        <f>_xlfn.XLOOKUP($C58,'Рассчет акции'!$A:$A,'Рассчет акции'!$BI:$BI,0,0)</f>
        <v>0</v>
      </c>
      <c r="K58" s="61">
        <f>'Текущая цена на ВБ'!K58</f>
        <v>20</v>
      </c>
      <c r="L58" s="44">
        <f>_xlfn.XLOOKUP($C58,'Рассчет акции'!$A:$A,'Рассчет акции'!$BJ:$BJ,0,0)*100</f>
        <v>0</v>
      </c>
      <c r="M58">
        <f t="shared" si="0"/>
        <v>0</v>
      </c>
    </row>
    <row r="59" spans="1:13" x14ac:dyDescent="0.25">
      <c r="A59" t="str">
        <f>'Текущая цена на ВБ'!A59</f>
        <v>AROLS HOME</v>
      </c>
      <c r="B59" t="str">
        <f>'Текущая цена на ВБ'!B59</f>
        <v>Мешки для стирки</v>
      </c>
      <c r="C59">
        <f>'Текущая цена на ВБ'!C59</f>
        <v>236074677</v>
      </c>
      <c r="D59" t="str">
        <f>'Текущая цена на ВБ'!D59</f>
        <v>AHMA2BW202WH</v>
      </c>
      <c r="E59" t="str">
        <f>'Текущая цена на ВБ'!E59</f>
        <v>2040278862540</v>
      </c>
      <c r="F59">
        <f>'Текущая цена на ВБ'!F59</f>
        <v>18</v>
      </c>
      <c r="G59">
        <f>'Текущая цена на ВБ'!G59</f>
        <v>0</v>
      </c>
      <c r="H59">
        <f>'Текущая цена на ВБ'!H59</f>
        <v>152</v>
      </c>
      <c r="I59" t="str">
        <f>'Текущая цена на ВБ'!I59</f>
        <v>1250</v>
      </c>
      <c r="J59" s="24">
        <f>_xlfn.XLOOKUP($C59,'Рассчет акции'!$A:$A,'Рассчет акции'!$BI:$BI,0,0)</f>
        <v>1250</v>
      </c>
      <c r="K59" s="61">
        <f>'Текущая цена на ВБ'!K59</f>
        <v>40</v>
      </c>
      <c r="L59" s="44">
        <f>_xlfn.XLOOKUP($C59,'Рассчет акции'!$A:$A,'Рассчет акции'!$BJ:$BJ,0,0)*100</f>
        <v>40</v>
      </c>
      <c r="M59">
        <f t="shared" si="0"/>
        <v>750</v>
      </c>
    </row>
    <row r="60" spans="1:13" x14ac:dyDescent="0.25">
      <c r="A60" t="str">
        <f>'Текущая цена на ВБ'!A60</f>
        <v>AROLS</v>
      </c>
      <c r="B60" t="str">
        <f>'Текущая цена на ВБ'!B60</f>
        <v>Массажеры механические</v>
      </c>
      <c r="C60">
        <f>'Текущая цена на ВБ'!C60</f>
        <v>340741532</v>
      </c>
      <c r="D60" t="str">
        <f>'Текущая цена на ВБ'!D60</f>
        <v>ACRB1MS103BL</v>
      </c>
      <c r="E60" t="str">
        <f>'Текущая цена на ВБ'!E60</f>
        <v>2042986356632</v>
      </c>
      <c r="F60">
        <f>'Текущая цена на ВБ'!F60</f>
        <v>60</v>
      </c>
      <c r="G60">
        <f>'Текущая цена на ВБ'!G60</f>
        <v>0</v>
      </c>
      <c r="H60">
        <f>'Текущая цена на ВБ'!H60</f>
        <v>999</v>
      </c>
      <c r="I60" t="str">
        <f>'Текущая цена на ВБ'!I60</f>
        <v>855</v>
      </c>
      <c r="J60" s="24">
        <f>_xlfn.XLOOKUP($C60,'Рассчет акции'!$A:$A,'Рассчет акции'!$BI:$BI,0,0)</f>
        <v>855</v>
      </c>
      <c r="K60" s="61">
        <f>'Текущая цена на ВБ'!K60</f>
        <v>40</v>
      </c>
      <c r="L60" s="44">
        <f>_xlfn.XLOOKUP($C60,'Рассчет акции'!$A:$A,'Рассчет акции'!$BJ:$BJ,0,0)*100</f>
        <v>40</v>
      </c>
      <c r="M60">
        <f t="shared" si="0"/>
        <v>513</v>
      </c>
    </row>
    <row r="61" spans="1:13" x14ac:dyDescent="0.25">
      <c r="A61" t="str">
        <f>'Текущая цена на ВБ'!A61</f>
        <v>AROLS HOME</v>
      </c>
      <c r="B61" t="str">
        <f>'Текущая цена на ВБ'!B61</f>
        <v>Мешки для стирки</v>
      </c>
      <c r="C61">
        <f>'Текущая цена на ВБ'!C61</f>
        <v>239233529</v>
      </c>
      <c r="D61" t="str">
        <f>'Текущая цена на ВБ'!D61</f>
        <v>AHMA1BW302WH</v>
      </c>
      <c r="E61" t="str">
        <f>'Текущая цена на ВБ'!E61</f>
        <v>2040478696884</v>
      </c>
      <c r="F61">
        <f>'Текущая цена на ВБ'!F61</f>
        <v>55</v>
      </c>
      <c r="G61">
        <f>'Текущая цена на ВБ'!G61</f>
        <v>0</v>
      </c>
      <c r="H61">
        <f>'Текущая цена на ВБ'!H61</f>
        <v>290</v>
      </c>
      <c r="I61" t="str">
        <f>'Текущая цена на ВБ'!I61</f>
        <v>1170</v>
      </c>
      <c r="J61" s="24">
        <f>_xlfn.XLOOKUP($C61,'Рассчет акции'!$A:$A,'Рассчет акции'!$BI:$BI,0,0)</f>
        <v>1170</v>
      </c>
      <c r="K61" s="61">
        <f>'Текущая цена на ВБ'!K61</f>
        <v>40</v>
      </c>
      <c r="L61" s="44">
        <f>_xlfn.XLOOKUP($C61,'Рассчет акции'!$A:$A,'Рассчет акции'!$BJ:$BJ,0,0)*100</f>
        <v>40</v>
      </c>
      <c r="M61">
        <f t="shared" si="0"/>
        <v>702</v>
      </c>
    </row>
    <row r="62" spans="1:13" x14ac:dyDescent="0.25">
      <c r="A62" t="str">
        <f>'Текущая цена на ВБ'!A62</f>
        <v>AROLS HOME</v>
      </c>
      <c r="B62" t="str">
        <f>'Текущая цена на ВБ'!B62</f>
        <v>Шпатели кондитерские</v>
      </c>
      <c r="C62">
        <f>'Текущая цена на ВБ'!C62</f>
        <v>273551028</v>
      </c>
      <c r="D62" t="str">
        <f>'Текущая цена на ВБ'!D62</f>
        <v>AKTA2KN101BL</v>
      </c>
      <c r="E62" t="str">
        <f>'Текущая цена на ВБ'!E62</f>
        <v>2041533587000</v>
      </c>
      <c r="F62">
        <f>'Текущая цена на ВБ'!F62</f>
        <v>0</v>
      </c>
      <c r="G62">
        <f>'Текущая цена на ВБ'!G62</f>
        <v>0</v>
      </c>
      <c r="H62">
        <f>'Текущая цена на ВБ'!H62</f>
        <v>1</v>
      </c>
      <c r="I62" t="str">
        <f>'Текущая цена на ВБ'!I62</f>
        <v>1227</v>
      </c>
      <c r="J62" s="24">
        <f>_xlfn.XLOOKUP($C62,'Рассчет акции'!$A:$A,'Рассчет акции'!$BI:$BI,0,0)</f>
        <v>0</v>
      </c>
      <c r="K62" s="61">
        <f>'Текущая цена на ВБ'!K62</f>
        <v>30</v>
      </c>
      <c r="L62" s="44">
        <f>_xlfn.XLOOKUP($C62,'Рассчет акции'!$A:$A,'Рассчет акции'!$BJ:$BJ,0,0)*100</f>
        <v>30</v>
      </c>
      <c r="M62">
        <f t="shared" si="0"/>
        <v>0</v>
      </c>
    </row>
    <row r="63" spans="1:13" x14ac:dyDescent="0.25">
      <c r="A63" t="str">
        <f>'Текущая цена на ВБ'!A63</f>
        <v>AROLS</v>
      </c>
      <c r="B63" t="str">
        <f>'Текущая цена на ВБ'!B63</f>
        <v>Таблетницы</v>
      </c>
      <c r="C63">
        <f>'Текущая цена на ВБ'!C63</f>
        <v>273516556</v>
      </c>
      <c r="D63" t="str">
        <f>'Текущая цена на ВБ'!D63</f>
        <v>ACRA7TB301WH</v>
      </c>
      <c r="E63" t="str">
        <f>'Текущая цена на ВБ'!E63</f>
        <v>2041532808502</v>
      </c>
      <c r="F63">
        <f>'Текущая цена на ВБ'!F63</f>
        <v>112</v>
      </c>
      <c r="G63">
        <f>'Текущая цена на ВБ'!G63</f>
        <v>0</v>
      </c>
      <c r="H63">
        <f>'Текущая цена на ВБ'!H63</f>
        <v>338</v>
      </c>
      <c r="I63" t="str">
        <f>'Текущая цена на ВБ'!I63</f>
        <v>1615</v>
      </c>
      <c r="J63" s="24">
        <f>_xlfn.XLOOKUP($C63,'Рассчет акции'!$A:$A,'Рассчет акции'!$BI:$BI,0,0)</f>
        <v>1615</v>
      </c>
      <c r="K63" s="61">
        <f>'Текущая цена на ВБ'!K63</f>
        <v>40</v>
      </c>
      <c r="L63" s="44">
        <f>_xlfn.XLOOKUP($C63,'Рассчет акции'!$A:$A,'Рассчет акции'!$BJ:$BJ,0,0)*100</f>
        <v>40</v>
      </c>
      <c r="M63">
        <f t="shared" si="0"/>
        <v>969</v>
      </c>
    </row>
    <row r="64" spans="1:13" x14ac:dyDescent="0.25">
      <c r="A64" t="str">
        <f>'Текущая цена на ВБ'!A64</f>
        <v>AROLS</v>
      </c>
      <c r="B64" t="str">
        <f>'Текущая цена на ВБ'!B64</f>
        <v>Таблетницы</v>
      </c>
      <c r="C64">
        <f>'Текущая цена на ВБ'!C64</f>
        <v>278515093</v>
      </c>
      <c r="D64" t="str">
        <f>'Текущая цена на ВБ'!D64</f>
        <v>ACRA7TB301GR</v>
      </c>
      <c r="E64" t="str">
        <f>'Текущая цена на ВБ'!E64</f>
        <v>2041680530447</v>
      </c>
      <c r="F64">
        <f>'Текущая цена на ВБ'!F64</f>
        <v>337</v>
      </c>
      <c r="G64">
        <f>'Текущая цена на ВБ'!G64</f>
        <v>0</v>
      </c>
      <c r="H64">
        <f>'Текущая цена на ВБ'!H64</f>
        <v>999</v>
      </c>
      <c r="I64" t="str">
        <f>'Текущая цена на ВБ'!I64</f>
        <v>1455</v>
      </c>
      <c r="J64" s="24">
        <f>_xlfn.XLOOKUP($C64,'Рассчет акции'!$A:$A,'Рассчет акции'!$BI:$BI,0,0)</f>
        <v>1455</v>
      </c>
      <c r="K64" s="61">
        <f>'Текущая цена на ВБ'!K64</f>
        <v>40</v>
      </c>
      <c r="L64" s="44">
        <f>_xlfn.XLOOKUP($C64,'Рассчет акции'!$A:$A,'Рассчет акции'!$BJ:$BJ,0,0)*100</f>
        <v>40</v>
      </c>
      <c r="M64">
        <f t="shared" si="0"/>
        <v>873</v>
      </c>
    </row>
    <row r="65" spans="1:13" x14ac:dyDescent="0.25">
      <c r="A65" t="str">
        <f>'Текущая цена на ВБ'!A65</f>
        <v>AROLS HOME</v>
      </c>
      <c r="B65" t="str">
        <f>'Текущая цена на ВБ'!B65</f>
        <v>Мешки для стирки</v>
      </c>
      <c r="C65">
        <f>'Текущая цена на ВБ'!C65</f>
        <v>236929188</v>
      </c>
      <c r="D65" t="str">
        <f>'Текущая цена на ВБ'!D65</f>
        <v>AHMA1BW111WH</v>
      </c>
      <c r="E65" t="str">
        <f>'Текущая цена на ВБ'!E65</f>
        <v>2040335648124</v>
      </c>
      <c r="F65">
        <f>'Текущая цена на ВБ'!F65</f>
        <v>130</v>
      </c>
      <c r="G65">
        <f>'Текущая цена на ВБ'!G65</f>
        <v>0</v>
      </c>
      <c r="H65">
        <f>'Текущая цена на ВБ'!H65</f>
        <v>999</v>
      </c>
      <c r="I65" t="str">
        <f>'Текущая цена на ВБ'!I65</f>
        <v>956</v>
      </c>
      <c r="J65" s="24">
        <f>_xlfn.XLOOKUP($C65,'Рассчет акции'!$A:$A,'Рассчет акции'!$BI:$BI,0,0)</f>
        <v>0</v>
      </c>
      <c r="K65" s="61">
        <f>'Текущая цена на ВБ'!K65</f>
        <v>30</v>
      </c>
      <c r="L65" s="44">
        <f>_xlfn.XLOOKUP($C65,'Рассчет акции'!$A:$A,'Рассчет акции'!$BJ:$BJ,0,0)*100</f>
        <v>0</v>
      </c>
      <c r="M65">
        <f t="shared" si="0"/>
        <v>0</v>
      </c>
    </row>
    <row r="66" spans="1:13" x14ac:dyDescent="0.25">
      <c r="A66" t="str">
        <f>'Текущая цена на ВБ'!A66</f>
        <v>AROLS</v>
      </c>
      <c r="B66" t="str">
        <f>'Текущая цена на ВБ'!B66</f>
        <v>Массажеры механические</v>
      </c>
      <c r="C66">
        <f>'Текущая цена на ВБ'!C66</f>
        <v>419145986</v>
      </c>
      <c r="D66" t="str">
        <f>'Текущая цена на ВБ'!D66</f>
        <v>ACRB1MS109BС</v>
      </c>
      <c r="E66" t="str">
        <f>'Текущая цена на ВБ'!E66</f>
        <v>2044025347953</v>
      </c>
      <c r="F66">
        <f>'Текущая цена на ВБ'!F66</f>
        <v>119</v>
      </c>
      <c r="G66">
        <f>'Текущая цена на ВБ'!G66</f>
        <v>0</v>
      </c>
      <c r="H66">
        <f>'Текущая цена на ВБ'!H66</f>
        <v>999</v>
      </c>
      <c r="I66" t="str">
        <f>'Текущая цена на ВБ'!I66</f>
        <v>1135</v>
      </c>
      <c r="J66" s="24">
        <f>_xlfn.XLOOKUP($C66,'Рассчет акции'!$A:$A,'Рассчет акции'!$BI:$BI,0,0)</f>
        <v>1135</v>
      </c>
      <c r="K66" s="61">
        <f>'Текущая цена на ВБ'!K66</f>
        <v>40</v>
      </c>
      <c r="L66" s="44">
        <f>_xlfn.XLOOKUP($C66,'Рассчет акции'!$A:$A,'Рассчет акции'!$BJ:$BJ,0,0)*100</f>
        <v>40</v>
      </c>
      <c r="M66">
        <f t="shared" si="0"/>
        <v>681</v>
      </c>
    </row>
    <row r="67" spans="1:13" x14ac:dyDescent="0.25">
      <c r="A67" t="str">
        <f>'Текущая цена на ВБ'!A67</f>
        <v>AROLS</v>
      </c>
      <c r="B67" t="str">
        <f>'Текущая цена на ВБ'!B67</f>
        <v>Массажеры механические</v>
      </c>
      <c r="C67">
        <f>'Текущая цена на ВБ'!C67</f>
        <v>236072834</v>
      </c>
      <c r="D67" t="str">
        <f>'Текущая цена на ВБ'!D67</f>
        <v>ACRB1MS106BL</v>
      </c>
      <c r="E67" t="str">
        <f>'Текущая цена на ВБ'!E67</f>
        <v>2040278804649</v>
      </c>
      <c r="F67">
        <f>'Текущая цена на ВБ'!F67</f>
        <v>254</v>
      </c>
      <c r="G67">
        <f>'Текущая цена на ВБ'!G67</f>
        <v>0</v>
      </c>
      <c r="H67">
        <f>'Текущая цена на ВБ'!H67</f>
        <v>443</v>
      </c>
      <c r="I67" t="str">
        <f>'Текущая цена на ВБ'!I67</f>
        <v>908</v>
      </c>
      <c r="J67" s="24">
        <f>_xlfn.XLOOKUP($C67,'Рассчет акции'!$A:$A,'Рассчет акции'!$BI:$BI,0,0)</f>
        <v>908</v>
      </c>
      <c r="K67" s="61">
        <f>'Текущая цена на ВБ'!K67</f>
        <v>40</v>
      </c>
      <c r="L67" s="44">
        <f>_xlfn.XLOOKUP($C67,'Рассчет акции'!$A:$A,'Рассчет акции'!$BJ:$BJ,0,0)*100</f>
        <v>40</v>
      </c>
      <c r="M67">
        <f t="shared" ref="M67:M87" si="1">IF(J67="",ROUND(I67*(1-IF(ISBLANK(L67),K67,L67)/100),2),ROUND(J67*(1-IF(ISBLANK(L67),K67,L67)/100),2))</f>
        <v>544.79999999999995</v>
      </c>
    </row>
    <row r="68" spans="1:13" x14ac:dyDescent="0.25">
      <c r="A68" t="str">
        <f>'Текущая цена на ВБ'!A68</f>
        <v>AROLS</v>
      </c>
      <c r="B68" t="str">
        <f>'Текущая цена на ВБ'!B68</f>
        <v>Таблетницы</v>
      </c>
      <c r="C68">
        <f>'Текущая цена на ВБ'!C68</f>
        <v>345168494</v>
      </c>
      <c r="D68" t="str">
        <f>'Текущая цена на ВБ'!D68</f>
        <v>ACRA7TB301CL</v>
      </c>
      <c r="E68" t="str">
        <f>'Текущая цена на ВБ'!E68</f>
        <v>2043048226719</v>
      </c>
      <c r="F68">
        <f>'Текущая цена на ВБ'!F68</f>
        <v>196</v>
      </c>
      <c r="G68">
        <f>'Текущая цена на ВБ'!G68</f>
        <v>0</v>
      </c>
      <c r="H68">
        <f>'Текущая цена на ВБ'!H68</f>
        <v>587</v>
      </c>
      <c r="I68" t="str">
        <f>'Текущая цена на ВБ'!I68</f>
        <v>1615</v>
      </c>
      <c r="J68" s="24">
        <f>_xlfn.XLOOKUP($C68,'Рассчет акции'!$A:$A,'Рассчет акции'!$BI:$BI,0,0)</f>
        <v>1615</v>
      </c>
      <c r="K68" s="61">
        <f>'Текущая цена на ВБ'!K68</f>
        <v>40</v>
      </c>
      <c r="L68" s="44">
        <f>_xlfn.XLOOKUP($C68,'Рассчет акции'!$A:$A,'Рассчет акции'!$BJ:$BJ,0,0)*100</f>
        <v>40</v>
      </c>
      <c r="M68">
        <f t="shared" si="1"/>
        <v>969</v>
      </c>
    </row>
    <row r="69" spans="1:13" x14ac:dyDescent="0.25">
      <c r="A69" t="str">
        <f>'Текущая цена на ВБ'!A69</f>
        <v>AROLS</v>
      </c>
      <c r="B69" t="str">
        <f>'Текущая цена на ВБ'!B69</f>
        <v>Эспандеры</v>
      </c>
      <c r="C69">
        <f>'Текущая цена на ВБ'!C69</f>
        <v>550540000</v>
      </c>
      <c r="D69" t="str">
        <f>'Текущая цена на ВБ'!D69</f>
        <v>ACRB5FR400CL</v>
      </c>
      <c r="E69" t="str">
        <f>'Текущая цена на ВБ'!E69</f>
        <v>2046392546656</v>
      </c>
      <c r="F69" t="str">
        <f>'Текущая цена на ВБ'!F69</f>
        <v/>
      </c>
      <c r="G69" t="str">
        <f>'Текущая цена на ВБ'!G69</f>
        <v/>
      </c>
      <c r="H69" t="str">
        <f>'Текущая цена на ВБ'!H69</f>
        <v/>
      </c>
      <c r="I69" t="str">
        <f>'Текущая цена на ВБ'!I69</f>
        <v>1070</v>
      </c>
      <c r="J69" s="24">
        <f>_xlfn.XLOOKUP($C69,'Рассчет акции'!$A:$A,'Рассчет акции'!$BI:$BI,0,0)</f>
        <v>0</v>
      </c>
      <c r="K69" s="61">
        <f>'Текущая цена на ВБ'!K69</f>
        <v>30</v>
      </c>
      <c r="L69" s="44">
        <f>_xlfn.XLOOKUP($C69,'Рассчет акции'!$A:$A,'Рассчет акции'!$BJ:$BJ,0,0)*100</f>
        <v>30</v>
      </c>
      <c r="M69">
        <f t="shared" si="1"/>
        <v>0</v>
      </c>
    </row>
    <row r="70" spans="1:13" x14ac:dyDescent="0.25">
      <c r="A70" t="str">
        <f>'Текущая цена на ВБ'!A70</f>
        <v>AROLS</v>
      </c>
      <c r="B70" t="str">
        <f>'Текущая цена на ВБ'!B70</f>
        <v>Массажеры механические</v>
      </c>
      <c r="C70">
        <f>'Текущая цена на ВБ'!C70</f>
        <v>370591238</v>
      </c>
      <c r="D70" t="str">
        <f>'Текущая цена на ВБ'!D70</f>
        <v>ACRB1MS106BС</v>
      </c>
      <c r="E70" t="str">
        <f>'Текущая цена на ВБ'!E70</f>
        <v>2043369663040</v>
      </c>
      <c r="F70">
        <f>'Текущая цена на ВБ'!F70</f>
        <v>252</v>
      </c>
      <c r="G70">
        <f>'Текущая цена на ВБ'!G70</f>
        <v>0</v>
      </c>
      <c r="H70">
        <f>'Текущая цена на ВБ'!H70</f>
        <v>999</v>
      </c>
      <c r="I70" t="str">
        <f>'Текущая цена на ВБ'!I70</f>
        <v>856</v>
      </c>
      <c r="J70" s="24">
        <f>_xlfn.XLOOKUP($C70,'Рассчет акции'!$A:$A,'Рассчет акции'!$BI:$BI,0,0)</f>
        <v>856</v>
      </c>
      <c r="K70" s="61">
        <f>'Текущая цена на ВБ'!K70</f>
        <v>30</v>
      </c>
      <c r="L70" s="44">
        <f>_xlfn.XLOOKUP($C70,'Рассчет акции'!$A:$A,'Рассчет акции'!$BJ:$BJ,0,0)*100</f>
        <v>30</v>
      </c>
      <c r="M70">
        <f t="shared" si="1"/>
        <v>599.20000000000005</v>
      </c>
    </row>
    <row r="71" spans="1:13" x14ac:dyDescent="0.25">
      <c r="A71" t="str">
        <f>'Текущая цена на ВБ'!A71</f>
        <v>AROLS</v>
      </c>
      <c r="B71" t="str">
        <f>'Текущая цена на ВБ'!B71</f>
        <v>Массажеры механические</v>
      </c>
      <c r="C71">
        <f>'Текущая цена на ВБ'!C71</f>
        <v>419146579</v>
      </c>
      <c r="D71" t="str">
        <f>'Текущая цена на ВБ'!D71</f>
        <v>ACRB1MS109LI</v>
      </c>
      <c r="E71" t="str">
        <f>'Текущая цена на ВБ'!E71</f>
        <v>2044025354937</v>
      </c>
      <c r="F71">
        <f>'Текущая цена на ВБ'!F71</f>
        <v>120</v>
      </c>
      <c r="G71">
        <f>'Текущая цена на ВБ'!G71</f>
        <v>0</v>
      </c>
      <c r="H71">
        <f>'Текущая цена на ВБ'!H71</f>
        <v>999</v>
      </c>
      <c r="I71" t="str">
        <f>'Текущая цена на ВБ'!I71</f>
        <v>1170</v>
      </c>
      <c r="J71" s="24">
        <f>_xlfn.XLOOKUP($C71,'Рассчет акции'!$A:$A,'Рассчет акции'!$BI:$BI,0,0)</f>
        <v>1170</v>
      </c>
      <c r="K71" s="61">
        <f>'Текущая цена на ВБ'!K71</f>
        <v>40</v>
      </c>
      <c r="L71" s="44">
        <f>_xlfn.XLOOKUP($C71,'Рассчет акции'!$A:$A,'Рассчет акции'!$BJ:$BJ,0,0)*100</f>
        <v>40</v>
      </c>
      <c r="M71">
        <f t="shared" si="1"/>
        <v>702</v>
      </c>
    </row>
    <row r="72" spans="1:13" x14ac:dyDescent="0.25">
      <c r="A72" t="str">
        <f>'Текущая цена на ВБ'!A72</f>
        <v>AROLS</v>
      </c>
      <c r="B72" t="str">
        <f>'Текущая цена на ВБ'!B72</f>
        <v>Массажеры механические</v>
      </c>
      <c r="C72">
        <f>'Текущая цена на ВБ'!C72</f>
        <v>419141549</v>
      </c>
      <c r="D72" t="str">
        <f>'Текущая цена на ВБ'!D72</f>
        <v>ACRB1MS109RJ</v>
      </c>
      <c r="E72" t="str">
        <f>'Текущая цена на ВБ'!E72</f>
        <v>2044025291485</v>
      </c>
      <c r="F72">
        <f>'Текущая цена на ВБ'!F72</f>
        <v>98</v>
      </c>
      <c r="G72">
        <f>'Текущая цена на ВБ'!G72</f>
        <v>0</v>
      </c>
      <c r="H72">
        <f>'Текущая цена на ВБ'!H72</f>
        <v>339</v>
      </c>
      <c r="I72" t="str">
        <f>'Текущая цена на ВБ'!I72</f>
        <v>1013</v>
      </c>
      <c r="J72" s="24">
        <f>_xlfn.XLOOKUP($C72,'Рассчет акции'!$A:$A,'Рассчет акции'!$BI:$BI,0,0)</f>
        <v>1013</v>
      </c>
      <c r="K72" s="61">
        <f>'Текущая цена на ВБ'!K72</f>
        <v>30</v>
      </c>
      <c r="L72" s="44">
        <f>_xlfn.XLOOKUP($C72,'Рассчет акции'!$A:$A,'Рассчет акции'!$BJ:$BJ,0,0)*100</f>
        <v>30</v>
      </c>
      <c r="M72">
        <f t="shared" si="1"/>
        <v>709.1</v>
      </c>
    </row>
    <row r="73" spans="1:13" x14ac:dyDescent="0.25">
      <c r="A73" t="str">
        <f>'Текущая цена на ВБ'!A73</f>
        <v>AROLS</v>
      </c>
      <c r="B73" t="str">
        <f>'Текущая цена на ВБ'!B73</f>
        <v>Массажеры механические</v>
      </c>
      <c r="C73">
        <f>'Текущая цена на ВБ'!C73</f>
        <v>419145390</v>
      </c>
      <c r="D73" t="str">
        <f>'Текущая цена на ВБ'!D73</f>
        <v>ACRB1MS109PN</v>
      </c>
      <c r="E73" t="str">
        <f>'Текущая цена на ВБ'!E73</f>
        <v>2044025321588</v>
      </c>
      <c r="F73">
        <f>'Текущая цена на ВБ'!F73</f>
        <v>152</v>
      </c>
      <c r="G73">
        <f>'Текущая цена на ВБ'!G73</f>
        <v>0</v>
      </c>
      <c r="H73">
        <f>'Текущая цена на ВБ'!H73</f>
        <v>999</v>
      </c>
      <c r="I73" t="str">
        <f>'Текущая цена на ВБ'!I73</f>
        <v>1013</v>
      </c>
      <c r="J73" s="24">
        <f>_xlfn.XLOOKUP($C73,'Рассчет акции'!$A:$A,'Рассчет акции'!$BI:$BI,0,0)</f>
        <v>1013</v>
      </c>
      <c r="K73" s="61">
        <f>'Текущая цена на ВБ'!K73</f>
        <v>30</v>
      </c>
      <c r="L73" s="44">
        <f>_xlfn.XLOOKUP($C73,'Рассчет акции'!$A:$A,'Рассчет акции'!$BJ:$BJ,0,0)*100</f>
        <v>30</v>
      </c>
      <c r="M73">
        <f t="shared" si="1"/>
        <v>709.1</v>
      </c>
    </row>
    <row r="74" spans="1:13" x14ac:dyDescent="0.25">
      <c r="A74" t="str">
        <f>'Текущая цена на ВБ'!A74</f>
        <v>AROLS HOME</v>
      </c>
      <c r="B74" t="str">
        <f>'Текущая цена на ВБ'!B74</f>
        <v>Мешки для стирки</v>
      </c>
      <c r="C74">
        <f>'Текущая цена на ВБ'!C74</f>
        <v>176721350</v>
      </c>
      <c r="D74" t="str">
        <f>'Текущая цена на ВБ'!D74</f>
        <v>AHMA3BW201WH</v>
      </c>
      <c r="E74" t="str">
        <f>'Текущая цена на ВБ'!E74</f>
        <v>2038606201642</v>
      </c>
      <c r="F74">
        <f>'Текущая цена на ВБ'!F74</f>
        <v>258</v>
      </c>
      <c r="G74">
        <f>'Текущая цена на ВБ'!G74</f>
        <v>0</v>
      </c>
      <c r="H74">
        <f>'Текущая цена на ВБ'!H74</f>
        <v>334</v>
      </c>
      <c r="I74" t="str">
        <f>'Текущая цена на ВБ'!I74</f>
        <v>1262</v>
      </c>
      <c r="J74" s="24">
        <f>_xlfn.XLOOKUP($C74,'Рассчет акции'!$A:$A,'Рассчет акции'!$BI:$BI,0,0)</f>
        <v>1262</v>
      </c>
      <c r="K74" s="61">
        <f>'Текущая цена на ВБ'!K74</f>
        <v>40</v>
      </c>
      <c r="L74" s="44">
        <f>_xlfn.XLOOKUP($C74,'Рассчет акции'!$A:$A,'Рассчет акции'!$BJ:$BJ,0,0)*100</f>
        <v>40</v>
      </c>
      <c r="M74">
        <f t="shared" si="1"/>
        <v>757.2</v>
      </c>
    </row>
    <row r="75" spans="1:13" x14ac:dyDescent="0.25">
      <c r="A75" t="str">
        <f>'Текущая цена на ВБ'!A75</f>
        <v>AROLS</v>
      </c>
      <c r="B75" t="str">
        <f>'Текущая цена на ВБ'!B75</f>
        <v>Массажеры механические</v>
      </c>
      <c r="C75">
        <f>'Текущая цена на ВБ'!C75</f>
        <v>419145749</v>
      </c>
      <c r="D75" t="str">
        <f>'Текущая цена на ВБ'!D75</f>
        <v>ACRB1MS109BL</v>
      </c>
      <c r="E75" t="str">
        <f>'Текущая цена на ВБ'!E75</f>
        <v>2044025342057</v>
      </c>
      <c r="F75">
        <f>'Текущая цена на ВБ'!F75</f>
        <v>106</v>
      </c>
      <c r="G75">
        <f>'Текущая цена на ВБ'!G75</f>
        <v>0</v>
      </c>
      <c r="H75">
        <f>'Текущая цена на ВБ'!H75</f>
        <v>816</v>
      </c>
      <c r="I75" t="str">
        <f>'Текущая цена на ВБ'!I75</f>
        <v>837</v>
      </c>
      <c r="J75" s="24">
        <f>_xlfn.XLOOKUP($C75,'Рассчет акции'!$A:$A,'Рассчет акции'!$BI:$BI,0,0)</f>
        <v>837</v>
      </c>
      <c r="K75" s="61">
        <f>'Текущая цена на ВБ'!K75</f>
        <v>40</v>
      </c>
      <c r="L75" s="44">
        <f>_xlfn.XLOOKUP($C75,'Рассчет акции'!$A:$A,'Рассчет акции'!$BJ:$BJ,0,0)*100</f>
        <v>40</v>
      </c>
      <c r="M75">
        <f t="shared" si="1"/>
        <v>502.2</v>
      </c>
    </row>
    <row r="76" spans="1:13" x14ac:dyDescent="0.25">
      <c r="A76" t="str">
        <f>'Текущая цена на ВБ'!A76</f>
        <v>AROLS HOME</v>
      </c>
      <c r="B76" t="str">
        <f>'Текущая цена на ВБ'!B76</f>
        <v>Мешки для стирки</v>
      </c>
      <c r="C76">
        <f>'Текущая цена на ВБ'!C76</f>
        <v>236929187</v>
      </c>
      <c r="D76" t="str">
        <f>'Текущая цена на ВБ'!D76</f>
        <v>AHMA1BW112WH</v>
      </c>
      <c r="E76" t="str">
        <f>'Текущая цена на ВБ'!E76</f>
        <v>2040335626849</v>
      </c>
      <c r="F76">
        <f>'Текущая цена на ВБ'!F76</f>
        <v>94</v>
      </c>
      <c r="G76">
        <f>'Текущая цена на ВБ'!G76</f>
        <v>0</v>
      </c>
      <c r="H76">
        <f>'Текущая цена на ВБ'!H76</f>
        <v>72</v>
      </c>
      <c r="I76" t="str">
        <f>'Текущая цена на ВБ'!I76</f>
        <v>1115</v>
      </c>
      <c r="J76" s="24">
        <f>_xlfn.XLOOKUP($C76,'Рассчет акции'!$A:$A,'Рассчет акции'!$BI:$BI,0,0)</f>
        <v>956</v>
      </c>
      <c r="K76" s="61">
        <f>'Текущая цена на ВБ'!K76</f>
        <v>40</v>
      </c>
      <c r="L76" s="44">
        <f>_xlfn.XLOOKUP($C76,'Рассчет акции'!$A:$A,'Рассчет акции'!$BJ:$BJ,0,0)*100</f>
        <v>30</v>
      </c>
      <c r="M76">
        <f t="shared" si="1"/>
        <v>669.2</v>
      </c>
    </row>
    <row r="77" spans="1:13" x14ac:dyDescent="0.25">
      <c r="A77" t="str">
        <f>'Текущая цена на ВБ'!A77</f>
        <v>AROLS HOME</v>
      </c>
      <c r="B77" t="str">
        <f>'Текущая цена на ВБ'!B77</f>
        <v>Мешки для стирки</v>
      </c>
      <c r="C77">
        <f>'Текущая цена на ВБ'!C77</f>
        <v>204615141</v>
      </c>
      <c r="D77" t="str">
        <f>'Текущая цена на ВБ'!D77</f>
        <v>AHMA2BW201WH</v>
      </c>
      <c r="E77" t="str">
        <f>'Текущая цена на ВБ'!E77</f>
        <v>2039404446068</v>
      </c>
      <c r="F77">
        <f>'Текущая цена на ВБ'!F77</f>
        <v>222</v>
      </c>
      <c r="G77">
        <f>'Текущая цена на ВБ'!G77</f>
        <v>0</v>
      </c>
      <c r="H77">
        <f>'Текущая цена на ВБ'!H77</f>
        <v>602</v>
      </c>
      <c r="I77" t="str">
        <f>'Текущая цена на ВБ'!I77</f>
        <v>997</v>
      </c>
      <c r="J77" s="24">
        <f>_xlfn.XLOOKUP($C77,'Рассчет акции'!$A:$A,'Рассчет акции'!$BI:$BI,0,0)</f>
        <v>997</v>
      </c>
      <c r="K77" s="61">
        <f>'Текущая цена на ВБ'!K77</f>
        <v>40</v>
      </c>
      <c r="L77" s="44">
        <f>_xlfn.XLOOKUP($C77,'Рассчет акции'!$A:$A,'Рассчет акции'!$BJ:$BJ,0,0)*100</f>
        <v>40</v>
      </c>
      <c r="M77">
        <f t="shared" si="1"/>
        <v>598.20000000000005</v>
      </c>
    </row>
    <row r="78" spans="1:13" x14ac:dyDescent="0.25">
      <c r="A78" t="str">
        <f>'Текущая цена на ВБ'!A78</f>
        <v>AROLS HOME</v>
      </c>
      <c r="B78" t="str">
        <f>'Текущая цена на ВБ'!B78</f>
        <v>Мешки для стирки</v>
      </c>
      <c r="C78">
        <f>'Текущая цена на ВБ'!C78</f>
        <v>176723275</v>
      </c>
      <c r="D78" t="str">
        <f>'Текущая цена на ВБ'!D78</f>
        <v>AHMA3BW202WH</v>
      </c>
      <c r="E78" t="str">
        <f>'Текущая цена на ВБ'!E78</f>
        <v>2038606256161</v>
      </c>
      <c r="F78">
        <f>'Текущая цена на ВБ'!F78</f>
        <v>92</v>
      </c>
      <c r="G78">
        <f>'Текущая цена на ВБ'!G78</f>
        <v>0</v>
      </c>
      <c r="H78">
        <f>'Текущая цена на ВБ'!H78</f>
        <v>87</v>
      </c>
      <c r="I78" t="str">
        <f>'Текущая цена на ВБ'!I78</f>
        <v>1398</v>
      </c>
      <c r="J78" s="24">
        <f>_xlfn.XLOOKUP($C78,'Рассчет акции'!$A:$A,'Рассчет акции'!$BI:$BI,0,0)</f>
        <v>1199</v>
      </c>
      <c r="K78" s="61">
        <f>'Текущая цена на ВБ'!K78</f>
        <v>40</v>
      </c>
      <c r="L78" s="44">
        <f>_xlfn.XLOOKUP($C78,'Рассчет акции'!$A:$A,'Рассчет акции'!$BJ:$BJ,0,0)*100</f>
        <v>30</v>
      </c>
      <c r="M78">
        <f t="shared" si="1"/>
        <v>839.3</v>
      </c>
    </row>
    <row r="79" spans="1:13" x14ac:dyDescent="0.25">
      <c r="A79" t="str">
        <f>'Текущая цена на ВБ'!A79</f>
        <v>AROLS</v>
      </c>
      <c r="B79" t="str">
        <f>'Текущая цена на ВБ'!B79</f>
        <v>Эспандеры</v>
      </c>
      <c r="C79">
        <f>'Текущая цена на ВБ'!C79</f>
        <v>550539998</v>
      </c>
      <c r="D79" t="str">
        <f>'Текущая цена на ВБ'!D79</f>
        <v>ACRB5FR200CL</v>
      </c>
      <c r="E79" t="str">
        <f>'Текущая цена на ВБ'!E79</f>
        <v>2046392546618</v>
      </c>
      <c r="F79">
        <f>'Текущая цена на ВБ'!F79</f>
        <v>59</v>
      </c>
      <c r="G79">
        <f>'Текущая цена на ВБ'!G79</f>
        <v>0</v>
      </c>
      <c r="H79">
        <f>'Текущая цена на ВБ'!H79</f>
        <v>999</v>
      </c>
      <c r="I79" t="str">
        <f>'Текущая цена на ВБ'!I79</f>
        <v>2707</v>
      </c>
      <c r="J79" s="24">
        <f>_xlfn.XLOOKUP($C79,'Рассчет акции'!$A:$A,'Рассчет акции'!$BI:$BI,0,0)</f>
        <v>2707</v>
      </c>
      <c r="K79" s="61">
        <f>'Текущая цена на ВБ'!K79</f>
        <v>40</v>
      </c>
      <c r="L79" s="44">
        <f>_xlfn.XLOOKUP($C79,'Рассчет акции'!$A:$A,'Рассчет акции'!$BJ:$BJ,0,0)*100</f>
        <v>40</v>
      </c>
      <c r="M79">
        <f t="shared" si="1"/>
        <v>1624.2</v>
      </c>
    </row>
    <row r="80" spans="1:13" x14ac:dyDescent="0.25">
      <c r="A80" t="str">
        <f>'Текущая цена на ВБ'!A80</f>
        <v>AROLS</v>
      </c>
      <c r="B80" t="str">
        <f>'Текущая цена на ВБ'!B80</f>
        <v>Массажеры механические</v>
      </c>
      <c r="C80">
        <f>'Текущая цена на ВБ'!C80</f>
        <v>223671295</v>
      </c>
      <c r="D80" t="str">
        <f>'Текущая цена на ВБ'!D80</f>
        <v>ACRB1MS106RJ</v>
      </c>
      <c r="E80" t="str">
        <f>'Текущая цена на ВБ'!E80</f>
        <v>2039818580389</v>
      </c>
      <c r="F80">
        <f>'Текущая цена на ВБ'!F80</f>
        <v>447</v>
      </c>
      <c r="G80">
        <f>'Текущая цена на ВБ'!G80</f>
        <v>0</v>
      </c>
      <c r="H80">
        <f>'Текущая цена на ВБ'!H80</f>
        <v>823</v>
      </c>
      <c r="I80" t="str">
        <f>'Текущая цена на ВБ'!I80</f>
        <v>718</v>
      </c>
      <c r="J80" s="24">
        <f>_xlfn.XLOOKUP($C80,'Рассчет акции'!$A:$A,'Рассчет акции'!$BI:$BI,0,0)</f>
        <v>718</v>
      </c>
      <c r="K80" s="61">
        <f>'Текущая цена на ВБ'!K80</f>
        <v>40</v>
      </c>
      <c r="L80" s="44">
        <f>_xlfn.XLOOKUP($C80,'Рассчет акции'!$A:$A,'Рассчет акции'!$BJ:$BJ,0,0)*100</f>
        <v>40</v>
      </c>
      <c r="M80">
        <f t="shared" si="1"/>
        <v>430.8</v>
      </c>
    </row>
    <row r="81" spans="1:13" x14ac:dyDescent="0.25">
      <c r="A81" t="str">
        <f>'Текущая цена на ВБ'!A81</f>
        <v>AROLS</v>
      </c>
      <c r="B81" t="str">
        <f>'Текущая цена на ВБ'!B81</f>
        <v>Скакалки</v>
      </c>
      <c r="C81">
        <f>'Текущая цена на ВБ'!C81</f>
        <v>271441230</v>
      </c>
      <c r="D81" t="str">
        <f>'Текущая цена на ВБ'!D81</f>
        <v>ACRB1SK201BC</v>
      </c>
      <c r="E81" t="str">
        <f>'Текущая цена на ВБ'!E81</f>
        <v>2041473042966</v>
      </c>
      <c r="F81">
        <f>'Текущая цена на ВБ'!F81</f>
        <v>0</v>
      </c>
      <c r="G81">
        <f>'Текущая цена на ВБ'!G81</f>
        <v>0</v>
      </c>
      <c r="H81">
        <f>'Текущая цена на ВБ'!H81</f>
        <v>1</v>
      </c>
      <c r="I81" t="str">
        <f>'Текущая цена на ВБ'!I81</f>
        <v>1799</v>
      </c>
      <c r="J81" s="24">
        <f>_xlfn.XLOOKUP($C81,'Рассчет акции'!$A:$A,'Рассчет акции'!$BI:$BI,0,0)</f>
        <v>0</v>
      </c>
      <c r="K81" s="61">
        <f>'Текущая цена на ВБ'!K81</f>
        <v>30</v>
      </c>
      <c r="L81" s="44">
        <f>_xlfn.XLOOKUP($C81,'Рассчет акции'!$A:$A,'Рассчет акции'!$BJ:$BJ,0,0)*100</f>
        <v>30</v>
      </c>
      <c r="M81">
        <f t="shared" si="1"/>
        <v>0</v>
      </c>
    </row>
    <row r="82" spans="1:13" x14ac:dyDescent="0.25">
      <c r="A82" t="str">
        <f>'Текущая цена на ВБ'!A82</f>
        <v>AROLS</v>
      </c>
      <c r="B82" t="str">
        <f>'Текущая цена на ВБ'!B82</f>
        <v>Эспандеры</v>
      </c>
      <c r="C82">
        <f>'Текущая цена на ВБ'!C82</f>
        <v>550539999</v>
      </c>
      <c r="D82" t="str">
        <f>'Текущая цена на ВБ'!D82</f>
        <v>ACRB4FR300CL</v>
      </c>
      <c r="E82" t="str">
        <f>'Текущая цена на ВБ'!E82</f>
        <v>2046392546632</v>
      </c>
      <c r="F82">
        <f>'Текущая цена на ВБ'!F82</f>
        <v>40</v>
      </c>
      <c r="G82">
        <f>'Текущая цена на ВБ'!G82</f>
        <v>0</v>
      </c>
      <c r="H82">
        <f>'Текущая цена на ВБ'!H82</f>
        <v>999</v>
      </c>
      <c r="I82" t="str">
        <f>'Текущая цена на ВБ'!I82</f>
        <v>1665</v>
      </c>
      <c r="J82" s="24">
        <f>_xlfn.XLOOKUP($C82,'Рассчет акции'!$A:$A,'Рассчет акции'!$BI:$BI,0,0)</f>
        <v>1665</v>
      </c>
      <c r="K82" s="61">
        <f>'Текущая цена на ВБ'!K82</f>
        <v>40</v>
      </c>
      <c r="L82" s="44">
        <f>_xlfn.XLOOKUP($C82,'Рассчет акции'!$A:$A,'Рассчет акции'!$BJ:$BJ,0,0)*100</f>
        <v>40</v>
      </c>
      <c r="M82">
        <f t="shared" si="1"/>
        <v>999</v>
      </c>
    </row>
    <row r="83" spans="1:13" x14ac:dyDescent="0.25">
      <c r="A83" t="str">
        <f>'Текущая цена на ВБ'!A83</f>
        <v>AROLS</v>
      </c>
      <c r="B83" t="str">
        <f>'Текущая цена на ВБ'!B83</f>
        <v>Скакалки</v>
      </c>
      <c r="C83">
        <f>'Текущая цена на ВБ'!C83</f>
        <v>271440668</v>
      </c>
      <c r="D83" t="str">
        <f>'Текущая цена на ВБ'!D83</f>
        <v>ACRB1SK101BC</v>
      </c>
      <c r="E83" t="str">
        <f>'Текущая цена на ВБ'!E83</f>
        <v>2041473034138</v>
      </c>
      <c r="F83">
        <f>'Текущая цена на ВБ'!F83</f>
        <v>130</v>
      </c>
      <c r="G83">
        <f>'Текущая цена на ВБ'!G83</f>
        <v>0</v>
      </c>
      <c r="H83">
        <f>'Текущая цена на ВБ'!H83</f>
        <v>983</v>
      </c>
      <c r="I83" t="str">
        <f>'Текущая цена на ВБ'!I83</f>
        <v>2010</v>
      </c>
      <c r="J83" s="24">
        <f>_xlfn.XLOOKUP($C83,'Рассчет акции'!$A:$A,'Рассчет акции'!$BI:$BI,0,0)</f>
        <v>2010</v>
      </c>
      <c r="K83" s="61">
        <f>'Текущая цена на ВБ'!K83</f>
        <v>40</v>
      </c>
      <c r="L83" s="44">
        <f>_xlfn.XLOOKUP($C83,'Рассчет акции'!$A:$A,'Рассчет акции'!$BJ:$BJ,0,0)*100</f>
        <v>40</v>
      </c>
      <c r="M83">
        <f t="shared" si="1"/>
        <v>1206</v>
      </c>
    </row>
    <row r="84" spans="1:13" x14ac:dyDescent="0.25">
      <c r="A84" t="str">
        <f>'Текущая цена на ВБ'!A84</f>
        <v>AROLS</v>
      </c>
      <c r="B84" t="str">
        <f>'Текущая цена на ВБ'!B84</f>
        <v>Скакалки</v>
      </c>
      <c r="C84">
        <f>'Текущая цена на ВБ'!C84</f>
        <v>271440669</v>
      </c>
      <c r="D84" t="str">
        <f>'Текущая цена на ВБ'!D84</f>
        <v>ACRB1SK101RD</v>
      </c>
      <c r="E84" t="str">
        <f>'Текущая цена на ВБ'!E84</f>
        <v>2041473034145</v>
      </c>
      <c r="F84">
        <f>'Текущая цена на ВБ'!F84</f>
        <v>128</v>
      </c>
      <c r="G84">
        <f>'Текущая цена на ВБ'!G84</f>
        <v>0</v>
      </c>
      <c r="H84">
        <f>'Текущая цена на ВБ'!H84</f>
        <v>440</v>
      </c>
      <c r="I84" t="str">
        <f>'Текущая цена на ВБ'!I84</f>
        <v>1813</v>
      </c>
      <c r="J84" s="24">
        <f>_xlfn.XLOOKUP($C84,'Рассчет акции'!$A:$A,'Рассчет акции'!$BI:$BI,0,0)</f>
        <v>1813</v>
      </c>
      <c r="K84" s="61">
        <f>'Текущая цена на ВБ'!K84</f>
        <v>40</v>
      </c>
      <c r="L84" s="44">
        <f>_xlfn.XLOOKUP($C84,'Рассчет акции'!$A:$A,'Рассчет акции'!$BJ:$BJ,0,0)*100</f>
        <v>40</v>
      </c>
      <c r="M84">
        <f t="shared" si="1"/>
        <v>1087.8</v>
      </c>
    </row>
    <row r="85" spans="1:13" x14ac:dyDescent="0.25">
      <c r="A85" t="str">
        <f>'Текущая цена на ВБ'!A85</f>
        <v>AROLS</v>
      </c>
      <c r="B85" t="str">
        <f>'Текущая цена на ВБ'!B85</f>
        <v>Эспандеры</v>
      </c>
      <c r="C85">
        <f>'Текущая цена на ВБ'!C85</f>
        <v>820643010</v>
      </c>
      <c r="D85" t="str">
        <f>'Текущая цена на ВБ'!D85</f>
        <v>ACRB3FR101CL</v>
      </c>
      <c r="E85" t="str">
        <f>'Текущая цена на ВБ'!E85</f>
        <v>2048933027488</v>
      </c>
      <c r="F85">
        <f>'Текущая цена на ВБ'!F85</f>
        <v>89</v>
      </c>
      <c r="G85">
        <f>'Текущая цена на ВБ'!G85</f>
        <v>0</v>
      </c>
      <c r="H85">
        <f>'Текущая цена на ВБ'!H85</f>
        <v>520</v>
      </c>
      <c r="I85" t="str">
        <f>'Текущая цена на ВБ'!I85</f>
        <v>2472</v>
      </c>
      <c r="J85" s="24">
        <f>_xlfn.XLOOKUP($C85,'Рассчет акции'!$A:$A,'Рассчет акции'!$BI:$BI,0,0)</f>
        <v>2472</v>
      </c>
      <c r="K85" s="61">
        <f>'Текущая цена на ВБ'!K85</f>
        <v>40</v>
      </c>
      <c r="L85" s="44">
        <f>_xlfn.XLOOKUP($C85,'Рассчет акции'!$A:$A,'Рассчет акции'!$BJ:$BJ,0,0)*100</f>
        <v>40</v>
      </c>
      <c r="M85">
        <f t="shared" si="1"/>
        <v>1483.2</v>
      </c>
    </row>
    <row r="86" spans="1:13" x14ac:dyDescent="0.25">
      <c r="A86" t="str">
        <f>'Текущая цена на ВБ'!A86</f>
        <v>AROLS</v>
      </c>
      <c r="B86" t="str">
        <f>'Текущая цена на ВБ'!B86</f>
        <v>Скакалки</v>
      </c>
      <c r="C86">
        <f>'Текущая цена на ВБ'!C86</f>
        <v>271440670</v>
      </c>
      <c r="D86" t="str">
        <f>'Текущая цена на ВБ'!D86</f>
        <v>ACRB1SK101BL</v>
      </c>
      <c r="E86" t="str">
        <f>'Текущая цена на ВБ'!E86</f>
        <v>2041473034169</v>
      </c>
      <c r="F86">
        <f>'Текущая цена на ВБ'!F86</f>
        <v>100</v>
      </c>
      <c r="G86">
        <f>'Текущая цена на ВБ'!G86</f>
        <v>0</v>
      </c>
      <c r="H86">
        <f>'Текущая цена на ВБ'!H86</f>
        <v>999</v>
      </c>
      <c r="I86" t="str">
        <f>'Текущая цена на ВБ'!I86</f>
        <v>1813</v>
      </c>
      <c r="J86" s="24">
        <f>_xlfn.XLOOKUP($C86,'Рассчет акции'!$A:$A,'Рассчет акции'!$BI:$BI,0,0)</f>
        <v>1813</v>
      </c>
      <c r="K86" s="61">
        <f>'Текущая цена на ВБ'!K86</f>
        <v>40</v>
      </c>
      <c r="L86" s="44">
        <f>_xlfn.XLOOKUP($C86,'Рассчет акции'!$A:$A,'Рассчет акции'!$BJ:$BJ,0,0)*100</f>
        <v>40</v>
      </c>
      <c r="M86">
        <f t="shared" si="1"/>
        <v>1087.8</v>
      </c>
    </row>
    <row r="87" spans="1:13" x14ac:dyDescent="0.25">
      <c r="A87">
        <f>'Текущая цена на ВБ'!A87</f>
        <v>0</v>
      </c>
      <c r="B87">
        <f>'Текущая цена на ВБ'!B87</f>
        <v>0</v>
      </c>
      <c r="C87">
        <f>'Текущая цена на ВБ'!C87</f>
        <v>0</v>
      </c>
      <c r="D87">
        <f>'Текущая цена на ВБ'!D87</f>
        <v>0</v>
      </c>
      <c r="E87">
        <f>'Текущая цена на ВБ'!E87</f>
        <v>0</v>
      </c>
      <c r="F87">
        <f>'Текущая цена на ВБ'!F87</f>
        <v>0</v>
      </c>
      <c r="G87">
        <f>'Текущая цена на ВБ'!G87</f>
        <v>0</v>
      </c>
      <c r="H87">
        <f>'Текущая цена на ВБ'!H87</f>
        <v>0</v>
      </c>
      <c r="I87">
        <f>'Текущая цена на ВБ'!I87</f>
        <v>0</v>
      </c>
      <c r="J87" s="24">
        <f>_xlfn.XLOOKUP($C87,'Рассчет акции'!$A:$A,'Рассчет акции'!$BI:$BI,0,0)</f>
        <v>0</v>
      </c>
      <c r="K87" s="61">
        <f>'Текущая цена на ВБ'!K87</f>
        <v>0</v>
      </c>
      <c r="L87" s="44">
        <f>_xlfn.XLOOKUP($C87,'Рассчет акции'!$A:$A,'Рассчет акции'!$BJ:$BJ,0,0)*100</f>
        <v>0</v>
      </c>
      <c r="M87">
        <f t="shared" si="1"/>
        <v>0</v>
      </c>
    </row>
  </sheetData>
  <autoFilter ref="A1:M56" xr:uid="{3FE8659D-5A1A-422F-8A9A-8BE613F1C0BE}"/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190F-0C8F-449E-95E8-9CA65896832B}">
  <sheetPr>
    <tabColor rgb="FF7030A0"/>
  </sheetPr>
  <dimension ref="A1:N99"/>
  <sheetViews>
    <sheetView workbookViewId="0">
      <selection sqref="A1:XFD1048576"/>
    </sheetView>
  </sheetViews>
  <sheetFormatPr defaultRowHeight="15" x14ac:dyDescent="0.25"/>
  <cols>
    <col min="1" max="1" width="12.5703125" bestFit="1" customWidth="1"/>
    <col min="2" max="2" width="43" customWidth="1"/>
    <col min="3" max="3" width="12" bestFit="1" customWidth="1"/>
    <col min="4" max="4" width="18" bestFit="1" customWidth="1"/>
    <col min="5" max="5" width="18.42578125" bestFit="1" customWidth="1"/>
    <col min="6" max="6" width="11.5703125" bestFit="1" customWidth="1"/>
    <col min="7" max="7" width="17.5703125" bestFit="1" customWidth="1"/>
    <col min="8" max="8" width="17.7109375" bestFit="1" customWidth="1"/>
    <col min="9" max="9" width="13.7109375" bestFit="1" customWidth="1"/>
    <col min="10" max="10" width="11.28515625" bestFit="1" customWidth="1"/>
    <col min="11" max="11" width="15.42578125" style="61" bestFit="1" customWidth="1"/>
    <col min="12" max="12" width="13.140625" style="60" bestFit="1" customWidth="1"/>
    <col min="13" max="13" width="16.140625" bestFit="1" customWidth="1"/>
    <col min="14" max="14" width="16.5703125" bestFit="1" customWidth="1"/>
  </cols>
  <sheetData>
    <row r="1" spans="1:14" x14ac:dyDescent="0.25">
      <c r="A1" t="s">
        <v>8</v>
      </c>
      <c r="B1" t="s">
        <v>128</v>
      </c>
      <c r="C1" t="s">
        <v>12</v>
      </c>
      <c r="D1" t="s">
        <v>129</v>
      </c>
      <c r="E1" t="s">
        <v>13</v>
      </c>
      <c r="F1" t="s">
        <v>130</v>
      </c>
      <c r="G1" t="s">
        <v>131</v>
      </c>
      <c r="H1" t="s">
        <v>15</v>
      </c>
      <c r="I1" t="s">
        <v>132</v>
      </c>
      <c r="J1" t="s">
        <v>325</v>
      </c>
      <c r="K1" s="61" t="s">
        <v>133</v>
      </c>
      <c r="L1" s="60" t="s">
        <v>134</v>
      </c>
      <c r="M1" s="60" t="s">
        <v>288</v>
      </c>
      <c r="N1" s="60" t="s">
        <v>289</v>
      </c>
    </row>
    <row r="2" spans="1:14" x14ac:dyDescent="0.25">
      <c r="A2" t="s">
        <v>23</v>
      </c>
      <c r="B2" t="s">
        <v>268</v>
      </c>
      <c r="C2">
        <v>550445280</v>
      </c>
      <c r="D2" t="s">
        <v>281</v>
      </c>
      <c r="E2" t="s">
        <v>282</v>
      </c>
      <c r="F2" t="s">
        <v>27</v>
      </c>
      <c r="G2" t="s">
        <v>27</v>
      </c>
      <c r="H2" t="s">
        <v>27</v>
      </c>
      <c r="I2" t="s">
        <v>327</v>
      </c>
      <c r="J2" s="24">
        <v>0</v>
      </c>
      <c r="K2" s="61">
        <v>30</v>
      </c>
      <c r="L2" s="44">
        <v>30</v>
      </c>
      <c r="M2">
        <v>0</v>
      </c>
    </row>
    <row r="3" spans="1:14" x14ac:dyDescent="0.25">
      <c r="A3" t="s">
        <v>23</v>
      </c>
      <c r="B3" t="s">
        <v>268</v>
      </c>
      <c r="C3">
        <v>550445283</v>
      </c>
      <c r="D3" t="s">
        <v>283</v>
      </c>
      <c r="E3" t="s">
        <v>284</v>
      </c>
      <c r="F3" t="s">
        <v>27</v>
      </c>
      <c r="G3" t="s">
        <v>27</v>
      </c>
      <c r="H3" t="s">
        <v>27</v>
      </c>
      <c r="I3" t="s">
        <v>327</v>
      </c>
      <c r="J3" s="24">
        <v>0</v>
      </c>
      <c r="K3" s="61">
        <v>30</v>
      </c>
      <c r="L3" s="44">
        <v>30</v>
      </c>
      <c r="M3">
        <v>0</v>
      </c>
    </row>
    <row r="4" spans="1:14" x14ac:dyDescent="0.25">
      <c r="A4" t="s">
        <v>23</v>
      </c>
      <c r="B4" t="s">
        <v>268</v>
      </c>
      <c r="C4">
        <v>550445277</v>
      </c>
      <c r="D4" t="s">
        <v>269</v>
      </c>
      <c r="E4" t="s">
        <v>270</v>
      </c>
      <c r="F4" t="s">
        <v>27</v>
      </c>
      <c r="G4" t="s">
        <v>27</v>
      </c>
      <c r="H4" t="s">
        <v>27</v>
      </c>
      <c r="I4" t="s">
        <v>327</v>
      </c>
      <c r="J4" s="24">
        <v>0</v>
      </c>
      <c r="K4" s="61">
        <v>30</v>
      </c>
      <c r="L4" s="44">
        <v>30</v>
      </c>
      <c r="M4">
        <v>0</v>
      </c>
    </row>
    <row r="5" spans="1:14" x14ac:dyDescent="0.25">
      <c r="A5" t="s">
        <v>23</v>
      </c>
      <c r="B5" t="s">
        <v>268</v>
      </c>
      <c r="C5">
        <v>550445275</v>
      </c>
      <c r="D5" t="s">
        <v>271</v>
      </c>
      <c r="E5" t="s">
        <v>272</v>
      </c>
      <c r="F5" t="s">
        <v>27</v>
      </c>
      <c r="G5" t="s">
        <v>27</v>
      </c>
      <c r="H5" t="s">
        <v>27</v>
      </c>
      <c r="I5" t="s">
        <v>327</v>
      </c>
      <c r="J5" s="24">
        <v>0</v>
      </c>
      <c r="K5" s="61">
        <v>30</v>
      </c>
      <c r="L5" s="44">
        <v>30</v>
      </c>
      <c r="M5">
        <v>0</v>
      </c>
    </row>
    <row r="6" spans="1:14" x14ac:dyDescent="0.25">
      <c r="A6" t="s">
        <v>23</v>
      </c>
      <c r="B6" t="s">
        <v>268</v>
      </c>
      <c r="C6">
        <v>550445281</v>
      </c>
      <c r="D6" t="s">
        <v>273</v>
      </c>
      <c r="E6" t="s">
        <v>274</v>
      </c>
      <c r="F6" t="s">
        <v>27</v>
      </c>
      <c r="G6" t="s">
        <v>27</v>
      </c>
      <c r="H6" t="s">
        <v>27</v>
      </c>
      <c r="I6" t="s">
        <v>327</v>
      </c>
      <c r="J6" s="24">
        <v>0</v>
      </c>
      <c r="K6" s="61">
        <v>30</v>
      </c>
      <c r="L6" s="44">
        <v>30</v>
      </c>
      <c r="M6">
        <v>0</v>
      </c>
    </row>
    <row r="7" spans="1:14" x14ac:dyDescent="0.25">
      <c r="A7" t="s">
        <v>23</v>
      </c>
      <c r="B7" t="s">
        <v>268</v>
      </c>
      <c r="C7">
        <v>550445272</v>
      </c>
      <c r="D7" t="s">
        <v>275</v>
      </c>
      <c r="E7" t="s">
        <v>276</v>
      </c>
      <c r="F7" t="s">
        <v>27</v>
      </c>
      <c r="G7" t="s">
        <v>27</v>
      </c>
      <c r="H7" t="s">
        <v>27</v>
      </c>
      <c r="I7" t="s">
        <v>327</v>
      </c>
      <c r="J7" s="24">
        <v>0</v>
      </c>
      <c r="K7" s="61">
        <v>30</v>
      </c>
      <c r="L7" s="44">
        <v>30</v>
      </c>
      <c r="M7">
        <v>0</v>
      </c>
    </row>
    <row r="8" spans="1:14" x14ac:dyDescent="0.25">
      <c r="A8" t="s">
        <v>23</v>
      </c>
      <c r="B8" t="s">
        <v>268</v>
      </c>
      <c r="C8">
        <v>550445279</v>
      </c>
      <c r="D8" t="s">
        <v>277</v>
      </c>
      <c r="E8" t="s">
        <v>278</v>
      </c>
      <c r="F8" t="s">
        <v>27</v>
      </c>
      <c r="G8" t="s">
        <v>27</v>
      </c>
      <c r="H8" t="s">
        <v>27</v>
      </c>
      <c r="I8" t="s">
        <v>327</v>
      </c>
      <c r="J8" s="24">
        <v>0</v>
      </c>
      <c r="K8" s="61">
        <v>30</v>
      </c>
      <c r="L8" s="44">
        <v>30</v>
      </c>
      <c r="M8">
        <v>0</v>
      </c>
    </row>
    <row r="9" spans="1:14" x14ac:dyDescent="0.25">
      <c r="A9" t="s">
        <v>23</v>
      </c>
      <c r="B9" t="s">
        <v>268</v>
      </c>
      <c r="C9">
        <v>550445274</v>
      </c>
      <c r="D9" t="s">
        <v>279</v>
      </c>
      <c r="E9" t="s">
        <v>280</v>
      </c>
      <c r="F9" t="s">
        <v>27</v>
      </c>
      <c r="G9" t="s">
        <v>27</v>
      </c>
      <c r="H9" t="s">
        <v>27</v>
      </c>
      <c r="I9" t="s">
        <v>327</v>
      </c>
      <c r="J9" s="24">
        <v>0</v>
      </c>
      <c r="K9" s="61">
        <v>30</v>
      </c>
      <c r="L9" s="44">
        <v>30</v>
      </c>
      <c r="M9">
        <v>0</v>
      </c>
    </row>
    <row r="10" spans="1:14" x14ac:dyDescent="0.25">
      <c r="A10" t="s">
        <v>23</v>
      </c>
      <c r="B10" t="s">
        <v>34</v>
      </c>
      <c r="C10">
        <v>419145392</v>
      </c>
      <c r="D10" t="s">
        <v>224</v>
      </c>
      <c r="E10" t="s">
        <v>225</v>
      </c>
      <c r="F10" t="s">
        <v>27</v>
      </c>
      <c r="G10" t="s">
        <v>27</v>
      </c>
      <c r="H10" t="s">
        <v>27</v>
      </c>
      <c r="I10" t="s">
        <v>260</v>
      </c>
      <c r="J10" s="24">
        <v>0</v>
      </c>
      <c r="K10" s="61">
        <v>20</v>
      </c>
      <c r="L10" s="44">
        <v>0</v>
      </c>
      <c r="M10">
        <v>0</v>
      </c>
    </row>
    <row r="11" spans="1:14" x14ac:dyDescent="0.25">
      <c r="A11" t="s">
        <v>30</v>
      </c>
      <c r="B11" t="s">
        <v>182</v>
      </c>
      <c r="C11">
        <v>340802685</v>
      </c>
      <c r="D11" t="s">
        <v>183</v>
      </c>
      <c r="E11" t="s">
        <v>184</v>
      </c>
      <c r="F11">
        <v>19</v>
      </c>
      <c r="G11">
        <v>0</v>
      </c>
      <c r="H11">
        <v>999</v>
      </c>
      <c r="I11" t="s">
        <v>380</v>
      </c>
      <c r="J11" s="24">
        <v>1713</v>
      </c>
      <c r="K11" s="61">
        <v>40</v>
      </c>
      <c r="L11" s="44">
        <v>40</v>
      </c>
      <c r="M11">
        <v>1027.8</v>
      </c>
    </row>
    <row r="12" spans="1:14" x14ac:dyDescent="0.25">
      <c r="A12" t="s">
        <v>30</v>
      </c>
      <c r="B12" t="s">
        <v>31</v>
      </c>
      <c r="C12">
        <v>170899505</v>
      </c>
      <c r="D12" t="s">
        <v>32</v>
      </c>
      <c r="E12" t="s">
        <v>33</v>
      </c>
      <c r="F12">
        <v>0</v>
      </c>
      <c r="G12">
        <v>0</v>
      </c>
      <c r="H12">
        <v>1</v>
      </c>
      <c r="I12" t="s">
        <v>260</v>
      </c>
      <c r="J12" s="24">
        <v>0</v>
      </c>
      <c r="K12" s="61">
        <v>20</v>
      </c>
      <c r="L12" s="44">
        <v>0</v>
      </c>
      <c r="M12">
        <v>0</v>
      </c>
    </row>
    <row r="13" spans="1:14" x14ac:dyDescent="0.25">
      <c r="A13" t="s">
        <v>23</v>
      </c>
      <c r="B13" t="s">
        <v>34</v>
      </c>
      <c r="C13">
        <v>220252787</v>
      </c>
      <c r="D13" t="s">
        <v>178</v>
      </c>
      <c r="E13" t="s">
        <v>179</v>
      </c>
      <c r="F13">
        <v>0</v>
      </c>
      <c r="G13">
        <v>0</v>
      </c>
      <c r="H13">
        <v>1</v>
      </c>
      <c r="I13" t="s">
        <v>260</v>
      </c>
      <c r="J13" s="24">
        <v>0</v>
      </c>
      <c r="K13" s="61">
        <v>20</v>
      </c>
      <c r="L13" s="44">
        <v>0</v>
      </c>
      <c r="M13">
        <v>0</v>
      </c>
    </row>
    <row r="14" spans="1:14" x14ac:dyDescent="0.25">
      <c r="A14" t="s">
        <v>23</v>
      </c>
      <c r="B14" t="s">
        <v>45</v>
      </c>
      <c r="C14">
        <v>253681275</v>
      </c>
      <c r="D14" t="s">
        <v>86</v>
      </c>
      <c r="E14" t="s">
        <v>87</v>
      </c>
      <c r="F14">
        <v>0</v>
      </c>
      <c r="G14">
        <v>0</v>
      </c>
      <c r="H14">
        <v>1</v>
      </c>
      <c r="I14" t="s">
        <v>260</v>
      </c>
      <c r="J14" s="24">
        <v>0</v>
      </c>
      <c r="K14" s="61">
        <v>20</v>
      </c>
      <c r="L14" s="44">
        <v>0</v>
      </c>
      <c r="M14">
        <v>0</v>
      </c>
    </row>
    <row r="15" spans="1:14" x14ac:dyDescent="0.25">
      <c r="A15" t="s">
        <v>23</v>
      </c>
      <c r="B15" t="s">
        <v>45</v>
      </c>
      <c r="C15">
        <v>186800214</v>
      </c>
      <c r="D15" t="s">
        <v>58</v>
      </c>
      <c r="E15" t="s">
        <v>59</v>
      </c>
      <c r="F15">
        <v>180</v>
      </c>
      <c r="G15">
        <v>0</v>
      </c>
      <c r="H15">
        <v>168</v>
      </c>
      <c r="I15" t="s">
        <v>381</v>
      </c>
      <c r="J15" s="24">
        <v>1378</v>
      </c>
      <c r="K15" s="61">
        <v>40</v>
      </c>
      <c r="L15" s="44">
        <v>40</v>
      </c>
      <c r="M15">
        <v>826.8</v>
      </c>
    </row>
    <row r="16" spans="1:14" x14ac:dyDescent="0.25">
      <c r="A16" t="s">
        <v>30</v>
      </c>
      <c r="B16" t="s">
        <v>102</v>
      </c>
      <c r="C16">
        <v>273546535</v>
      </c>
      <c r="D16" t="s">
        <v>103</v>
      </c>
      <c r="E16" t="s">
        <v>104</v>
      </c>
      <c r="F16">
        <v>78</v>
      </c>
      <c r="G16">
        <v>0</v>
      </c>
      <c r="H16">
        <v>999</v>
      </c>
      <c r="I16" t="s">
        <v>382</v>
      </c>
      <c r="J16" s="24">
        <v>1785</v>
      </c>
      <c r="K16" s="61">
        <v>40</v>
      </c>
      <c r="L16" s="44">
        <v>40</v>
      </c>
      <c r="M16">
        <v>1071</v>
      </c>
    </row>
    <row r="17" spans="1:13" x14ac:dyDescent="0.25">
      <c r="A17" t="s">
        <v>23</v>
      </c>
      <c r="B17" t="s">
        <v>34</v>
      </c>
      <c r="C17">
        <v>236072836</v>
      </c>
      <c r="D17" t="s">
        <v>235</v>
      </c>
      <c r="E17" t="s">
        <v>69</v>
      </c>
      <c r="F17">
        <v>300</v>
      </c>
      <c r="G17">
        <v>0</v>
      </c>
      <c r="H17">
        <v>638</v>
      </c>
      <c r="I17" t="s">
        <v>383</v>
      </c>
      <c r="J17" s="24">
        <v>988</v>
      </c>
      <c r="K17" s="61">
        <v>40</v>
      </c>
      <c r="L17" s="44">
        <v>40</v>
      </c>
      <c r="M17">
        <v>592.79999999999995</v>
      </c>
    </row>
    <row r="18" spans="1:13" x14ac:dyDescent="0.25">
      <c r="A18" t="s">
        <v>30</v>
      </c>
      <c r="B18" t="s">
        <v>31</v>
      </c>
      <c r="C18">
        <v>239235150</v>
      </c>
      <c r="D18" t="s">
        <v>50</v>
      </c>
      <c r="E18" t="s">
        <v>51</v>
      </c>
      <c r="F18">
        <v>1</v>
      </c>
      <c r="G18">
        <v>0</v>
      </c>
      <c r="H18">
        <v>18</v>
      </c>
      <c r="I18" t="s">
        <v>384</v>
      </c>
      <c r="J18" s="24">
        <v>713</v>
      </c>
      <c r="K18" s="61">
        <v>40</v>
      </c>
      <c r="L18" s="44">
        <v>30</v>
      </c>
      <c r="M18">
        <v>499.1</v>
      </c>
    </row>
    <row r="19" spans="1:13" x14ac:dyDescent="0.25">
      <c r="A19" t="s">
        <v>23</v>
      </c>
      <c r="B19" t="s">
        <v>34</v>
      </c>
      <c r="C19">
        <v>236072835</v>
      </c>
      <c r="D19" t="s">
        <v>230</v>
      </c>
      <c r="E19" t="s">
        <v>68</v>
      </c>
      <c r="F19">
        <v>427</v>
      </c>
      <c r="G19">
        <v>0</v>
      </c>
      <c r="H19">
        <v>256</v>
      </c>
      <c r="I19" t="s">
        <v>341</v>
      </c>
      <c r="J19" s="24">
        <v>995</v>
      </c>
      <c r="K19" s="61">
        <v>40</v>
      </c>
      <c r="L19" s="44">
        <v>40</v>
      </c>
      <c r="M19">
        <v>597</v>
      </c>
    </row>
    <row r="20" spans="1:13" x14ac:dyDescent="0.25">
      <c r="A20" t="s">
        <v>75</v>
      </c>
      <c r="B20" t="s">
        <v>76</v>
      </c>
      <c r="C20">
        <v>251516159</v>
      </c>
      <c r="D20" t="s">
        <v>80</v>
      </c>
      <c r="E20" t="s">
        <v>81</v>
      </c>
      <c r="F20">
        <v>137</v>
      </c>
      <c r="G20">
        <v>0</v>
      </c>
      <c r="H20">
        <v>210</v>
      </c>
      <c r="I20" t="s">
        <v>354</v>
      </c>
      <c r="J20" s="24">
        <v>913</v>
      </c>
      <c r="K20" s="61">
        <v>30</v>
      </c>
      <c r="L20" s="44">
        <v>30</v>
      </c>
      <c r="M20">
        <v>639.1</v>
      </c>
    </row>
    <row r="21" spans="1:13" x14ac:dyDescent="0.25">
      <c r="A21" t="s">
        <v>75</v>
      </c>
      <c r="B21" t="s">
        <v>76</v>
      </c>
      <c r="C21">
        <v>251407392</v>
      </c>
      <c r="D21" t="s">
        <v>78</v>
      </c>
      <c r="E21" t="s">
        <v>79</v>
      </c>
      <c r="F21">
        <v>192</v>
      </c>
      <c r="G21">
        <v>0</v>
      </c>
      <c r="H21">
        <v>643</v>
      </c>
      <c r="I21" t="s">
        <v>355</v>
      </c>
      <c r="J21" s="24">
        <v>1235</v>
      </c>
      <c r="K21" s="61">
        <v>40</v>
      </c>
      <c r="L21" s="44">
        <v>40</v>
      </c>
      <c r="M21">
        <v>741</v>
      </c>
    </row>
    <row r="22" spans="1:13" x14ac:dyDescent="0.25">
      <c r="A22" t="s">
        <v>23</v>
      </c>
      <c r="B22" t="s">
        <v>45</v>
      </c>
      <c r="C22">
        <v>419130077</v>
      </c>
      <c r="D22" t="s">
        <v>240</v>
      </c>
      <c r="E22" t="s">
        <v>228</v>
      </c>
      <c r="F22">
        <v>266</v>
      </c>
      <c r="G22">
        <v>0</v>
      </c>
      <c r="H22">
        <v>999</v>
      </c>
      <c r="I22" t="s">
        <v>385</v>
      </c>
      <c r="J22" s="24">
        <v>1432</v>
      </c>
      <c r="K22" s="61">
        <v>40</v>
      </c>
      <c r="L22" s="44">
        <v>40</v>
      </c>
      <c r="M22">
        <v>859.2</v>
      </c>
    </row>
    <row r="23" spans="1:13" x14ac:dyDescent="0.25">
      <c r="A23" t="s">
        <v>75</v>
      </c>
      <c r="B23" t="s">
        <v>76</v>
      </c>
      <c r="C23">
        <v>251537223</v>
      </c>
      <c r="D23" t="s">
        <v>82</v>
      </c>
      <c r="E23" t="s">
        <v>83</v>
      </c>
      <c r="F23">
        <v>152</v>
      </c>
      <c r="G23">
        <v>0</v>
      </c>
      <c r="H23">
        <v>286</v>
      </c>
      <c r="I23" t="s">
        <v>386</v>
      </c>
      <c r="J23" s="24">
        <v>1020</v>
      </c>
      <c r="K23" s="61">
        <v>40</v>
      </c>
      <c r="L23" s="44">
        <v>40</v>
      </c>
      <c r="M23">
        <v>612</v>
      </c>
    </row>
    <row r="24" spans="1:13" x14ac:dyDescent="0.25">
      <c r="A24" t="s">
        <v>75</v>
      </c>
      <c r="B24" t="s">
        <v>76</v>
      </c>
      <c r="C24">
        <v>251537413</v>
      </c>
      <c r="D24" t="s">
        <v>84</v>
      </c>
      <c r="E24" t="s">
        <v>85</v>
      </c>
      <c r="F24">
        <v>188</v>
      </c>
      <c r="G24">
        <v>0</v>
      </c>
      <c r="H24">
        <v>877</v>
      </c>
      <c r="I24" t="s">
        <v>357</v>
      </c>
      <c r="J24" s="24">
        <v>930</v>
      </c>
      <c r="K24" s="61">
        <v>40</v>
      </c>
      <c r="L24" s="44">
        <v>40</v>
      </c>
      <c r="M24">
        <v>558</v>
      </c>
    </row>
    <row r="25" spans="1:13" x14ac:dyDescent="0.25">
      <c r="A25" t="s">
        <v>23</v>
      </c>
      <c r="B25" t="s">
        <v>45</v>
      </c>
      <c r="C25">
        <v>321907864</v>
      </c>
      <c r="D25" t="s">
        <v>232</v>
      </c>
      <c r="E25" t="s">
        <v>175</v>
      </c>
      <c r="F25">
        <v>0</v>
      </c>
      <c r="G25">
        <v>0</v>
      </c>
      <c r="H25">
        <v>1</v>
      </c>
      <c r="I25" t="s">
        <v>330</v>
      </c>
      <c r="J25" s="24">
        <v>0</v>
      </c>
      <c r="K25" s="61">
        <v>30</v>
      </c>
      <c r="L25" s="44">
        <v>30</v>
      </c>
      <c r="M25">
        <v>0</v>
      </c>
    </row>
    <row r="26" spans="1:13" x14ac:dyDescent="0.25">
      <c r="A26" t="s">
        <v>23</v>
      </c>
      <c r="B26" t="s">
        <v>45</v>
      </c>
      <c r="C26">
        <v>448254852</v>
      </c>
      <c r="D26" t="s">
        <v>243</v>
      </c>
      <c r="E26" t="s">
        <v>244</v>
      </c>
      <c r="F26">
        <v>208</v>
      </c>
      <c r="G26">
        <v>0</v>
      </c>
      <c r="H26">
        <v>627</v>
      </c>
      <c r="I26" t="s">
        <v>385</v>
      </c>
      <c r="J26" s="24">
        <v>1432</v>
      </c>
      <c r="K26" s="61">
        <v>40</v>
      </c>
      <c r="L26" s="44">
        <v>40</v>
      </c>
      <c r="M26">
        <v>859.2</v>
      </c>
    </row>
    <row r="27" spans="1:13" x14ac:dyDescent="0.25">
      <c r="A27" t="s">
        <v>23</v>
      </c>
      <c r="B27" t="s">
        <v>45</v>
      </c>
      <c r="C27">
        <v>448248943</v>
      </c>
      <c r="D27" t="s">
        <v>241</v>
      </c>
      <c r="E27" t="s">
        <v>242</v>
      </c>
      <c r="F27">
        <v>221</v>
      </c>
      <c r="G27">
        <v>0</v>
      </c>
      <c r="H27">
        <v>773</v>
      </c>
      <c r="I27" t="s">
        <v>385</v>
      </c>
      <c r="J27" s="24">
        <v>1432</v>
      </c>
      <c r="K27" s="61">
        <v>40</v>
      </c>
      <c r="L27" s="44">
        <v>40</v>
      </c>
      <c r="M27">
        <v>859.2</v>
      </c>
    </row>
    <row r="28" spans="1:13" x14ac:dyDescent="0.25">
      <c r="A28" t="s">
        <v>30</v>
      </c>
      <c r="B28" t="s">
        <v>31</v>
      </c>
      <c r="C28">
        <v>176500218</v>
      </c>
      <c r="D28" t="s">
        <v>37</v>
      </c>
      <c r="E28" t="s">
        <v>38</v>
      </c>
      <c r="F28">
        <v>320</v>
      </c>
      <c r="G28">
        <v>0</v>
      </c>
      <c r="H28">
        <v>726</v>
      </c>
      <c r="I28" t="s">
        <v>387</v>
      </c>
      <c r="J28" s="24">
        <v>898</v>
      </c>
      <c r="K28" s="61">
        <v>40</v>
      </c>
      <c r="L28" s="44">
        <v>40</v>
      </c>
      <c r="M28">
        <v>538.79999999999995</v>
      </c>
    </row>
    <row r="29" spans="1:13" x14ac:dyDescent="0.25">
      <c r="A29" t="s">
        <v>23</v>
      </c>
      <c r="B29" t="s">
        <v>45</v>
      </c>
      <c r="C29">
        <v>186826338</v>
      </c>
      <c r="D29" t="s">
        <v>60</v>
      </c>
      <c r="E29" t="s">
        <v>61</v>
      </c>
      <c r="F29">
        <v>457</v>
      </c>
      <c r="G29">
        <v>0</v>
      </c>
      <c r="H29">
        <v>273</v>
      </c>
      <c r="I29" t="s">
        <v>388</v>
      </c>
      <c r="J29" s="24">
        <v>1447</v>
      </c>
      <c r="K29" s="61">
        <v>40</v>
      </c>
      <c r="L29" s="44">
        <v>40</v>
      </c>
      <c r="M29">
        <v>868.2</v>
      </c>
    </row>
    <row r="30" spans="1:13" x14ac:dyDescent="0.25">
      <c r="A30" t="s">
        <v>75</v>
      </c>
      <c r="B30" t="s">
        <v>76</v>
      </c>
      <c r="C30">
        <v>302564795</v>
      </c>
      <c r="D30" t="s">
        <v>136</v>
      </c>
      <c r="E30" t="s">
        <v>137</v>
      </c>
      <c r="F30">
        <v>0</v>
      </c>
      <c r="G30">
        <v>0</v>
      </c>
      <c r="H30">
        <v>1</v>
      </c>
      <c r="I30" t="s">
        <v>290</v>
      </c>
      <c r="J30" s="24">
        <v>0</v>
      </c>
      <c r="K30" s="61">
        <v>30</v>
      </c>
      <c r="L30" s="44">
        <v>30</v>
      </c>
      <c r="M30">
        <v>0</v>
      </c>
    </row>
    <row r="31" spans="1:13" x14ac:dyDescent="0.25">
      <c r="A31" t="s">
        <v>23</v>
      </c>
      <c r="B31" t="s">
        <v>45</v>
      </c>
      <c r="C31">
        <v>298193176</v>
      </c>
      <c r="D31" t="s">
        <v>97</v>
      </c>
      <c r="E31" t="s">
        <v>135</v>
      </c>
      <c r="F31">
        <v>157</v>
      </c>
      <c r="G31">
        <v>0</v>
      </c>
      <c r="H31">
        <v>259</v>
      </c>
      <c r="I31" t="s">
        <v>360</v>
      </c>
      <c r="J31" s="24">
        <v>1318</v>
      </c>
      <c r="K31" s="61">
        <v>40</v>
      </c>
      <c r="L31" s="44">
        <v>40</v>
      </c>
      <c r="M31">
        <v>790.8</v>
      </c>
    </row>
    <row r="32" spans="1:13" x14ac:dyDescent="0.25">
      <c r="A32" t="s">
        <v>75</v>
      </c>
      <c r="B32" t="s">
        <v>76</v>
      </c>
      <c r="C32">
        <v>273588520</v>
      </c>
      <c r="D32" t="s">
        <v>110</v>
      </c>
      <c r="E32" t="s">
        <v>111</v>
      </c>
      <c r="F32">
        <v>6</v>
      </c>
      <c r="G32">
        <v>0</v>
      </c>
      <c r="H32">
        <v>203</v>
      </c>
      <c r="I32" t="s">
        <v>389</v>
      </c>
      <c r="J32" s="24">
        <v>1617</v>
      </c>
      <c r="K32" s="61">
        <v>40</v>
      </c>
      <c r="L32" s="44">
        <v>40</v>
      </c>
      <c r="M32">
        <v>970.2</v>
      </c>
    </row>
    <row r="33" spans="1:13" x14ac:dyDescent="0.25">
      <c r="A33" t="s">
        <v>30</v>
      </c>
      <c r="B33" t="s">
        <v>31</v>
      </c>
      <c r="C33">
        <v>177405495</v>
      </c>
      <c r="D33" t="s">
        <v>56</v>
      </c>
      <c r="E33" t="s">
        <v>57</v>
      </c>
      <c r="F33">
        <v>264</v>
      </c>
      <c r="G33">
        <v>0</v>
      </c>
      <c r="H33">
        <v>999</v>
      </c>
      <c r="I33" t="s">
        <v>390</v>
      </c>
      <c r="J33" s="24">
        <v>1847</v>
      </c>
      <c r="K33" s="61">
        <v>40</v>
      </c>
      <c r="L33" s="44">
        <v>40</v>
      </c>
      <c r="M33">
        <v>1108.2</v>
      </c>
    </row>
    <row r="34" spans="1:13" x14ac:dyDescent="0.25">
      <c r="A34" t="s">
        <v>75</v>
      </c>
      <c r="B34" t="s">
        <v>76</v>
      </c>
      <c r="C34">
        <v>273589771</v>
      </c>
      <c r="D34" t="s">
        <v>112</v>
      </c>
      <c r="E34" t="s">
        <v>113</v>
      </c>
      <c r="F34">
        <v>10</v>
      </c>
      <c r="G34">
        <v>0</v>
      </c>
      <c r="H34">
        <v>94</v>
      </c>
      <c r="I34" t="s">
        <v>391</v>
      </c>
      <c r="J34" s="24">
        <v>1730</v>
      </c>
      <c r="K34" s="61">
        <v>40</v>
      </c>
      <c r="L34" s="44">
        <v>40</v>
      </c>
      <c r="M34">
        <v>1038</v>
      </c>
    </row>
    <row r="35" spans="1:13" x14ac:dyDescent="0.25">
      <c r="A35" t="s">
        <v>23</v>
      </c>
      <c r="B35" t="s">
        <v>34</v>
      </c>
      <c r="C35">
        <v>340734340</v>
      </c>
      <c r="D35" t="s">
        <v>188</v>
      </c>
      <c r="E35" t="s">
        <v>189</v>
      </c>
      <c r="F35">
        <v>4</v>
      </c>
      <c r="G35">
        <v>0</v>
      </c>
      <c r="H35">
        <v>999</v>
      </c>
      <c r="I35" t="s">
        <v>392</v>
      </c>
      <c r="J35" s="24">
        <v>855</v>
      </c>
      <c r="K35" s="61">
        <v>40</v>
      </c>
      <c r="L35" s="44">
        <v>40</v>
      </c>
      <c r="M35">
        <v>513</v>
      </c>
    </row>
    <row r="36" spans="1:13" x14ac:dyDescent="0.25">
      <c r="A36" t="s">
        <v>30</v>
      </c>
      <c r="B36" t="s">
        <v>31</v>
      </c>
      <c r="C36">
        <v>172832355</v>
      </c>
      <c r="D36" t="s">
        <v>54</v>
      </c>
      <c r="E36" t="s">
        <v>55</v>
      </c>
      <c r="F36">
        <v>139</v>
      </c>
      <c r="G36">
        <v>0</v>
      </c>
      <c r="H36">
        <v>269</v>
      </c>
      <c r="I36" t="s">
        <v>393</v>
      </c>
      <c r="J36" s="24">
        <v>3495</v>
      </c>
      <c r="K36" s="61">
        <v>40</v>
      </c>
      <c r="L36" s="44">
        <v>40</v>
      </c>
      <c r="M36">
        <v>2097</v>
      </c>
    </row>
    <row r="37" spans="1:13" x14ac:dyDescent="0.25">
      <c r="A37" t="s">
        <v>23</v>
      </c>
      <c r="B37" t="s">
        <v>24</v>
      </c>
      <c r="C37">
        <v>169153168</v>
      </c>
      <c r="D37" t="s">
        <v>28</v>
      </c>
      <c r="E37" t="s">
        <v>29</v>
      </c>
      <c r="F37">
        <v>216</v>
      </c>
      <c r="G37">
        <v>0</v>
      </c>
      <c r="H37">
        <v>999</v>
      </c>
      <c r="I37" t="s">
        <v>394</v>
      </c>
      <c r="J37" s="24">
        <v>1243</v>
      </c>
      <c r="K37" s="61">
        <v>40</v>
      </c>
      <c r="L37" s="44">
        <v>40</v>
      </c>
      <c r="M37">
        <v>745.8</v>
      </c>
    </row>
    <row r="38" spans="1:13" x14ac:dyDescent="0.25">
      <c r="A38" t="s">
        <v>23</v>
      </c>
      <c r="B38" t="s">
        <v>24</v>
      </c>
      <c r="C38">
        <v>169395410</v>
      </c>
      <c r="D38" t="s">
        <v>52</v>
      </c>
      <c r="E38" t="s">
        <v>53</v>
      </c>
      <c r="F38">
        <v>202</v>
      </c>
      <c r="G38">
        <v>0</v>
      </c>
      <c r="H38">
        <v>999</v>
      </c>
      <c r="I38" t="s">
        <v>395</v>
      </c>
      <c r="J38" s="24">
        <v>1742</v>
      </c>
      <c r="K38" s="61">
        <v>40</v>
      </c>
      <c r="L38" s="44">
        <v>40</v>
      </c>
      <c r="M38">
        <v>1045.2</v>
      </c>
    </row>
    <row r="39" spans="1:13" x14ac:dyDescent="0.25">
      <c r="A39" t="s">
        <v>30</v>
      </c>
      <c r="B39" t="s">
        <v>31</v>
      </c>
      <c r="C39">
        <v>177404837</v>
      </c>
      <c r="D39" t="s">
        <v>43</v>
      </c>
      <c r="E39" t="s">
        <v>44</v>
      </c>
      <c r="F39">
        <v>146</v>
      </c>
      <c r="G39">
        <v>0</v>
      </c>
      <c r="H39">
        <v>502</v>
      </c>
      <c r="I39" t="s">
        <v>396</v>
      </c>
      <c r="J39" s="24">
        <v>2077</v>
      </c>
      <c r="K39" s="61">
        <v>40</v>
      </c>
      <c r="L39" s="44">
        <v>40</v>
      </c>
      <c r="M39">
        <v>1246.2</v>
      </c>
    </row>
    <row r="40" spans="1:13" x14ac:dyDescent="0.25">
      <c r="A40" t="s">
        <v>23</v>
      </c>
      <c r="B40" t="s">
        <v>34</v>
      </c>
      <c r="C40">
        <v>173605843</v>
      </c>
      <c r="D40" t="s">
        <v>35</v>
      </c>
      <c r="E40" t="s">
        <v>36</v>
      </c>
      <c r="F40">
        <v>535</v>
      </c>
      <c r="G40">
        <v>0</v>
      </c>
      <c r="H40">
        <v>999</v>
      </c>
      <c r="I40" t="s">
        <v>397</v>
      </c>
      <c r="J40" s="24">
        <v>572</v>
      </c>
      <c r="K40" s="61">
        <v>40</v>
      </c>
      <c r="L40" s="44">
        <v>40</v>
      </c>
      <c r="M40">
        <v>343.2</v>
      </c>
    </row>
    <row r="41" spans="1:13" x14ac:dyDescent="0.25">
      <c r="A41" t="s">
        <v>30</v>
      </c>
      <c r="B41" t="s">
        <v>99</v>
      </c>
      <c r="C41">
        <v>273527791</v>
      </c>
      <c r="D41" t="s">
        <v>100</v>
      </c>
      <c r="E41" t="s">
        <v>101</v>
      </c>
      <c r="F41">
        <v>122</v>
      </c>
      <c r="G41">
        <v>0</v>
      </c>
      <c r="H41">
        <v>999</v>
      </c>
      <c r="I41" t="s">
        <v>398</v>
      </c>
      <c r="J41" s="24">
        <v>1303</v>
      </c>
      <c r="K41" s="61">
        <v>40</v>
      </c>
      <c r="L41" s="44">
        <v>40</v>
      </c>
      <c r="M41">
        <v>781.8</v>
      </c>
    </row>
    <row r="42" spans="1:13" x14ac:dyDescent="0.25">
      <c r="A42" t="s">
        <v>23</v>
      </c>
      <c r="B42" t="s">
        <v>24</v>
      </c>
      <c r="C42">
        <v>169112569</v>
      </c>
      <c r="D42" t="s">
        <v>25</v>
      </c>
      <c r="E42" t="s">
        <v>26</v>
      </c>
      <c r="F42">
        <v>128</v>
      </c>
      <c r="G42">
        <v>0</v>
      </c>
      <c r="H42">
        <v>984</v>
      </c>
      <c r="I42" t="s">
        <v>394</v>
      </c>
      <c r="J42" s="24">
        <v>1243</v>
      </c>
      <c r="K42" s="61">
        <v>40</v>
      </c>
      <c r="L42" s="44">
        <v>40</v>
      </c>
      <c r="M42">
        <v>745.8</v>
      </c>
    </row>
    <row r="43" spans="1:13" x14ac:dyDescent="0.25">
      <c r="A43" t="s">
        <v>30</v>
      </c>
      <c r="B43" t="s">
        <v>107</v>
      </c>
      <c r="C43">
        <v>370594147</v>
      </c>
      <c r="D43" t="s">
        <v>201</v>
      </c>
      <c r="E43" t="s">
        <v>202</v>
      </c>
      <c r="F43">
        <v>106</v>
      </c>
      <c r="G43">
        <v>0</v>
      </c>
      <c r="H43">
        <v>244</v>
      </c>
      <c r="I43" t="s">
        <v>399</v>
      </c>
      <c r="J43" s="24">
        <v>1153</v>
      </c>
      <c r="K43" s="61">
        <v>40</v>
      </c>
      <c r="L43" s="44">
        <v>40</v>
      </c>
      <c r="M43">
        <v>691.8</v>
      </c>
    </row>
    <row r="44" spans="1:13" x14ac:dyDescent="0.25">
      <c r="A44" t="s">
        <v>30</v>
      </c>
      <c r="B44" t="s">
        <v>185</v>
      </c>
      <c r="C44">
        <v>340948906</v>
      </c>
      <c r="D44" t="s">
        <v>186</v>
      </c>
      <c r="E44" t="s">
        <v>187</v>
      </c>
      <c r="F44">
        <v>0</v>
      </c>
      <c r="G44">
        <v>0</v>
      </c>
      <c r="H44">
        <v>1</v>
      </c>
      <c r="I44" t="s">
        <v>337</v>
      </c>
      <c r="J44" s="24">
        <v>1741</v>
      </c>
      <c r="K44" s="61">
        <v>30</v>
      </c>
      <c r="L44" s="44">
        <v>30</v>
      </c>
      <c r="M44">
        <v>1218.7</v>
      </c>
    </row>
    <row r="45" spans="1:13" x14ac:dyDescent="0.25">
      <c r="A45" t="s">
        <v>30</v>
      </c>
      <c r="B45" t="s">
        <v>99</v>
      </c>
      <c r="C45">
        <v>327442631</v>
      </c>
      <c r="D45" t="s">
        <v>180</v>
      </c>
      <c r="E45" t="s">
        <v>181</v>
      </c>
      <c r="F45">
        <v>82</v>
      </c>
      <c r="G45">
        <v>0</v>
      </c>
      <c r="H45">
        <v>999</v>
      </c>
      <c r="I45" t="s">
        <v>400</v>
      </c>
      <c r="J45" s="24">
        <v>1277</v>
      </c>
      <c r="K45" s="61">
        <v>40</v>
      </c>
      <c r="L45" s="44">
        <v>40</v>
      </c>
      <c r="M45">
        <v>766.2</v>
      </c>
    </row>
    <row r="46" spans="1:13" x14ac:dyDescent="0.25">
      <c r="A46" t="s">
        <v>23</v>
      </c>
      <c r="B46" t="s">
        <v>34</v>
      </c>
      <c r="C46">
        <v>223420736</v>
      </c>
      <c r="D46" t="s">
        <v>64</v>
      </c>
      <c r="E46" t="s">
        <v>65</v>
      </c>
      <c r="F46">
        <v>56</v>
      </c>
      <c r="G46">
        <v>0</v>
      </c>
      <c r="H46">
        <v>368</v>
      </c>
      <c r="I46" t="s">
        <v>401</v>
      </c>
      <c r="J46" s="24">
        <v>1502</v>
      </c>
      <c r="K46" s="61">
        <v>40</v>
      </c>
      <c r="L46" s="44">
        <v>40</v>
      </c>
      <c r="M46">
        <v>901.2</v>
      </c>
    </row>
    <row r="47" spans="1:13" x14ac:dyDescent="0.25">
      <c r="A47" t="s">
        <v>30</v>
      </c>
      <c r="B47" t="s">
        <v>107</v>
      </c>
      <c r="C47">
        <v>321959186</v>
      </c>
      <c r="D47" t="s">
        <v>176</v>
      </c>
      <c r="E47" t="s">
        <v>177</v>
      </c>
      <c r="F47">
        <v>31</v>
      </c>
      <c r="G47">
        <v>0</v>
      </c>
      <c r="H47">
        <v>246</v>
      </c>
      <c r="I47" t="s">
        <v>402</v>
      </c>
      <c r="J47" s="24">
        <v>992</v>
      </c>
      <c r="K47" s="61">
        <v>40</v>
      </c>
      <c r="L47" s="44">
        <v>40</v>
      </c>
      <c r="M47">
        <v>595.20000000000005</v>
      </c>
    </row>
    <row r="48" spans="1:13" x14ac:dyDescent="0.25">
      <c r="A48" t="s">
        <v>30</v>
      </c>
      <c r="B48" t="s">
        <v>107</v>
      </c>
      <c r="C48">
        <v>273556717</v>
      </c>
      <c r="D48" t="s">
        <v>108</v>
      </c>
      <c r="E48" t="s">
        <v>109</v>
      </c>
      <c r="F48">
        <v>134</v>
      </c>
      <c r="G48">
        <v>0</v>
      </c>
      <c r="H48">
        <v>193</v>
      </c>
      <c r="I48" t="s">
        <v>403</v>
      </c>
      <c r="J48" s="24">
        <v>868</v>
      </c>
      <c r="K48" s="61">
        <v>40</v>
      </c>
      <c r="L48" s="44">
        <v>40</v>
      </c>
      <c r="M48">
        <v>520.79999999999995</v>
      </c>
    </row>
    <row r="49" spans="1:13" x14ac:dyDescent="0.25">
      <c r="A49" t="s">
        <v>23</v>
      </c>
      <c r="B49" t="s">
        <v>34</v>
      </c>
      <c r="C49">
        <v>419145985</v>
      </c>
      <c r="D49" t="s">
        <v>210</v>
      </c>
      <c r="E49" t="s">
        <v>211</v>
      </c>
      <c r="F49">
        <v>90</v>
      </c>
      <c r="G49">
        <v>0</v>
      </c>
      <c r="H49">
        <v>999</v>
      </c>
      <c r="I49" t="s">
        <v>404</v>
      </c>
      <c r="J49" s="24">
        <v>920</v>
      </c>
      <c r="K49" s="61">
        <v>40</v>
      </c>
      <c r="L49" s="44">
        <v>40</v>
      </c>
      <c r="M49">
        <v>552</v>
      </c>
    </row>
    <row r="50" spans="1:13" x14ac:dyDescent="0.25">
      <c r="A50" t="s">
        <v>23</v>
      </c>
      <c r="B50" t="s">
        <v>34</v>
      </c>
      <c r="C50">
        <v>340743911</v>
      </c>
      <c r="D50" t="s">
        <v>194</v>
      </c>
      <c r="E50" t="s">
        <v>195</v>
      </c>
      <c r="F50">
        <v>13</v>
      </c>
      <c r="G50">
        <v>0</v>
      </c>
      <c r="H50">
        <v>416</v>
      </c>
      <c r="I50" t="s">
        <v>405</v>
      </c>
      <c r="J50" s="24">
        <v>847</v>
      </c>
      <c r="K50" s="61">
        <v>40</v>
      </c>
      <c r="L50" s="44">
        <v>40</v>
      </c>
      <c r="M50">
        <v>508.2</v>
      </c>
    </row>
    <row r="51" spans="1:13" x14ac:dyDescent="0.25">
      <c r="A51" t="s">
        <v>23</v>
      </c>
      <c r="B51" t="s">
        <v>34</v>
      </c>
      <c r="C51">
        <v>275208802</v>
      </c>
      <c r="D51" t="s">
        <v>116</v>
      </c>
      <c r="E51" t="s">
        <v>117</v>
      </c>
      <c r="F51">
        <v>60</v>
      </c>
      <c r="G51">
        <v>0</v>
      </c>
      <c r="H51">
        <v>999</v>
      </c>
      <c r="I51" t="s">
        <v>338</v>
      </c>
      <c r="J51" s="24">
        <v>1313</v>
      </c>
      <c r="K51" s="61">
        <v>30</v>
      </c>
      <c r="L51" s="44">
        <v>30</v>
      </c>
      <c r="M51">
        <v>919.1</v>
      </c>
    </row>
    <row r="52" spans="1:13" x14ac:dyDescent="0.25">
      <c r="A52" t="s">
        <v>23</v>
      </c>
      <c r="B52" t="s">
        <v>34</v>
      </c>
      <c r="C52">
        <v>419145389</v>
      </c>
      <c r="D52" t="s">
        <v>216</v>
      </c>
      <c r="E52" t="s">
        <v>217</v>
      </c>
      <c r="F52">
        <v>118</v>
      </c>
      <c r="G52">
        <v>0</v>
      </c>
      <c r="H52">
        <v>717</v>
      </c>
      <c r="I52" t="s">
        <v>386</v>
      </c>
      <c r="J52" s="24">
        <v>1020</v>
      </c>
      <c r="K52" s="61">
        <v>40</v>
      </c>
      <c r="L52" s="44">
        <v>40</v>
      </c>
      <c r="M52">
        <v>612</v>
      </c>
    </row>
    <row r="53" spans="1:13" x14ac:dyDescent="0.25">
      <c r="A53" t="s">
        <v>23</v>
      </c>
      <c r="B53" t="s">
        <v>34</v>
      </c>
      <c r="C53">
        <v>275208801</v>
      </c>
      <c r="D53" t="s">
        <v>114</v>
      </c>
      <c r="E53" t="s">
        <v>115</v>
      </c>
      <c r="F53">
        <v>58</v>
      </c>
      <c r="G53">
        <v>0</v>
      </c>
      <c r="H53">
        <v>215</v>
      </c>
      <c r="I53" t="s">
        <v>406</v>
      </c>
      <c r="J53" s="24">
        <v>1208</v>
      </c>
      <c r="K53" s="61">
        <v>40</v>
      </c>
      <c r="L53" s="44">
        <v>40</v>
      </c>
      <c r="M53">
        <v>724.8</v>
      </c>
    </row>
    <row r="54" spans="1:13" x14ac:dyDescent="0.25">
      <c r="A54" t="s">
        <v>23</v>
      </c>
      <c r="B54" t="s">
        <v>34</v>
      </c>
      <c r="C54">
        <v>419145748</v>
      </c>
      <c r="D54" t="s">
        <v>226</v>
      </c>
      <c r="E54" t="s">
        <v>227</v>
      </c>
      <c r="F54">
        <v>109</v>
      </c>
      <c r="G54">
        <v>0</v>
      </c>
      <c r="H54">
        <v>999</v>
      </c>
      <c r="I54" t="s">
        <v>407</v>
      </c>
      <c r="J54" s="24">
        <v>922</v>
      </c>
      <c r="K54" s="61">
        <v>40</v>
      </c>
      <c r="L54" s="44">
        <v>40</v>
      </c>
      <c r="M54">
        <v>553.20000000000005</v>
      </c>
    </row>
    <row r="55" spans="1:13" x14ac:dyDescent="0.25">
      <c r="A55" t="s">
        <v>23</v>
      </c>
      <c r="B55" t="s">
        <v>34</v>
      </c>
      <c r="C55">
        <v>340743352</v>
      </c>
      <c r="D55" t="s">
        <v>192</v>
      </c>
      <c r="E55" t="s">
        <v>193</v>
      </c>
      <c r="F55">
        <v>27</v>
      </c>
      <c r="G55">
        <v>0</v>
      </c>
      <c r="H55">
        <v>216</v>
      </c>
      <c r="I55" t="s">
        <v>392</v>
      </c>
      <c r="J55" s="24">
        <v>855</v>
      </c>
      <c r="K55" s="61">
        <v>40</v>
      </c>
      <c r="L55" s="44">
        <v>40</v>
      </c>
      <c r="M55">
        <v>513</v>
      </c>
    </row>
    <row r="56" spans="1:13" x14ac:dyDescent="0.25">
      <c r="A56" t="s">
        <v>23</v>
      </c>
      <c r="B56" t="s">
        <v>34</v>
      </c>
      <c r="C56">
        <v>419145391</v>
      </c>
      <c r="D56" t="s">
        <v>222</v>
      </c>
      <c r="E56" t="s">
        <v>223</v>
      </c>
      <c r="F56">
        <v>298</v>
      </c>
      <c r="G56">
        <v>0</v>
      </c>
      <c r="H56">
        <v>999</v>
      </c>
      <c r="I56" t="s">
        <v>329</v>
      </c>
      <c r="J56" s="24">
        <v>884</v>
      </c>
      <c r="K56" s="61">
        <v>30</v>
      </c>
      <c r="L56" s="44">
        <v>30</v>
      </c>
      <c r="M56">
        <v>618.79999999999995</v>
      </c>
    </row>
    <row r="57" spans="1:13" x14ac:dyDescent="0.25">
      <c r="A57" t="s">
        <v>23</v>
      </c>
      <c r="B57" t="s">
        <v>34</v>
      </c>
      <c r="C57">
        <v>419141548</v>
      </c>
      <c r="D57" t="s">
        <v>214</v>
      </c>
      <c r="E57" t="s">
        <v>215</v>
      </c>
      <c r="F57">
        <v>76</v>
      </c>
      <c r="G57">
        <v>0</v>
      </c>
      <c r="H57">
        <v>258</v>
      </c>
      <c r="I57" t="s">
        <v>383</v>
      </c>
      <c r="J57" s="24">
        <v>988</v>
      </c>
      <c r="K57" s="61">
        <v>40</v>
      </c>
      <c r="L57" s="44">
        <v>40</v>
      </c>
      <c r="M57">
        <v>592.79999999999995</v>
      </c>
    </row>
    <row r="58" spans="1:13" x14ac:dyDescent="0.25">
      <c r="A58" t="s">
        <v>30</v>
      </c>
      <c r="B58" t="s">
        <v>31</v>
      </c>
      <c r="C58">
        <v>273513216</v>
      </c>
      <c r="D58" t="s">
        <v>168</v>
      </c>
      <c r="E58" t="s">
        <v>169</v>
      </c>
      <c r="F58">
        <v>0</v>
      </c>
      <c r="G58">
        <v>0</v>
      </c>
      <c r="H58">
        <v>999</v>
      </c>
      <c r="I58" t="s">
        <v>260</v>
      </c>
      <c r="J58" s="24">
        <v>0</v>
      </c>
      <c r="K58" s="61">
        <v>20</v>
      </c>
      <c r="L58" s="44">
        <v>0</v>
      </c>
      <c r="M58">
        <v>0</v>
      </c>
    </row>
    <row r="59" spans="1:13" x14ac:dyDescent="0.25">
      <c r="A59" t="s">
        <v>30</v>
      </c>
      <c r="B59" t="s">
        <v>31</v>
      </c>
      <c r="C59">
        <v>236074677</v>
      </c>
      <c r="D59" t="s">
        <v>46</v>
      </c>
      <c r="E59" t="s">
        <v>47</v>
      </c>
      <c r="F59">
        <v>18</v>
      </c>
      <c r="G59">
        <v>0</v>
      </c>
      <c r="H59">
        <v>152</v>
      </c>
      <c r="I59" t="s">
        <v>408</v>
      </c>
      <c r="J59" s="24">
        <v>1250</v>
      </c>
      <c r="K59" s="61">
        <v>40</v>
      </c>
      <c r="L59" s="44">
        <v>40</v>
      </c>
      <c r="M59">
        <v>750</v>
      </c>
    </row>
    <row r="60" spans="1:13" x14ac:dyDescent="0.25">
      <c r="A60" t="s">
        <v>23</v>
      </c>
      <c r="B60" t="s">
        <v>34</v>
      </c>
      <c r="C60">
        <v>340741532</v>
      </c>
      <c r="D60" t="s">
        <v>190</v>
      </c>
      <c r="E60" t="s">
        <v>191</v>
      </c>
      <c r="F60">
        <v>60</v>
      </c>
      <c r="G60">
        <v>0</v>
      </c>
      <c r="H60">
        <v>999</v>
      </c>
      <c r="I60" t="s">
        <v>392</v>
      </c>
      <c r="J60" s="24">
        <v>855</v>
      </c>
      <c r="K60" s="61">
        <v>40</v>
      </c>
      <c r="L60" s="44">
        <v>40</v>
      </c>
      <c r="M60">
        <v>513</v>
      </c>
    </row>
    <row r="61" spans="1:13" x14ac:dyDescent="0.25">
      <c r="A61" t="s">
        <v>30</v>
      </c>
      <c r="B61" t="s">
        <v>31</v>
      </c>
      <c r="C61">
        <v>239233529</v>
      </c>
      <c r="D61" t="s">
        <v>48</v>
      </c>
      <c r="E61" t="s">
        <v>49</v>
      </c>
      <c r="F61">
        <v>55</v>
      </c>
      <c r="G61">
        <v>0</v>
      </c>
      <c r="H61">
        <v>290</v>
      </c>
      <c r="I61" t="s">
        <v>409</v>
      </c>
      <c r="J61" s="24">
        <v>1170</v>
      </c>
      <c r="K61" s="61">
        <v>40</v>
      </c>
      <c r="L61" s="44">
        <v>40</v>
      </c>
      <c r="M61">
        <v>702</v>
      </c>
    </row>
    <row r="62" spans="1:13" x14ac:dyDescent="0.25">
      <c r="A62" t="s">
        <v>30</v>
      </c>
      <c r="B62" t="s">
        <v>102</v>
      </c>
      <c r="C62">
        <v>273551028</v>
      </c>
      <c r="D62" t="s">
        <v>105</v>
      </c>
      <c r="E62" t="s">
        <v>106</v>
      </c>
      <c r="F62">
        <v>0</v>
      </c>
      <c r="G62">
        <v>0</v>
      </c>
      <c r="H62">
        <v>1</v>
      </c>
      <c r="I62" t="s">
        <v>326</v>
      </c>
      <c r="J62" s="24">
        <v>0</v>
      </c>
      <c r="K62" s="61">
        <v>30</v>
      </c>
      <c r="L62" s="44">
        <v>30</v>
      </c>
      <c r="M62">
        <v>0</v>
      </c>
    </row>
    <row r="63" spans="1:13" x14ac:dyDescent="0.25">
      <c r="A63" t="s">
        <v>23</v>
      </c>
      <c r="B63" t="s">
        <v>45</v>
      </c>
      <c r="C63">
        <v>273516556</v>
      </c>
      <c r="D63" t="s">
        <v>233</v>
      </c>
      <c r="E63" t="s">
        <v>98</v>
      </c>
      <c r="F63">
        <v>112</v>
      </c>
      <c r="G63">
        <v>0</v>
      </c>
      <c r="H63">
        <v>338</v>
      </c>
      <c r="I63" t="s">
        <v>410</v>
      </c>
      <c r="J63" s="24">
        <v>1615</v>
      </c>
      <c r="K63" s="61">
        <v>40</v>
      </c>
      <c r="L63" s="44">
        <v>40</v>
      </c>
      <c r="M63">
        <v>969</v>
      </c>
    </row>
    <row r="64" spans="1:13" x14ac:dyDescent="0.25">
      <c r="A64" t="s">
        <v>23</v>
      </c>
      <c r="B64" t="s">
        <v>45</v>
      </c>
      <c r="C64">
        <v>278515093</v>
      </c>
      <c r="D64" t="s">
        <v>229</v>
      </c>
      <c r="E64" t="s">
        <v>174</v>
      </c>
      <c r="F64">
        <v>337</v>
      </c>
      <c r="G64">
        <v>0</v>
      </c>
      <c r="H64">
        <v>999</v>
      </c>
      <c r="I64" t="s">
        <v>411</v>
      </c>
      <c r="J64" s="24">
        <v>1455</v>
      </c>
      <c r="K64" s="61">
        <v>40</v>
      </c>
      <c r="L64" s="44">
        <v>40</v>
      </c>
      <c r="M64">
        <v>873</v>
      </c>
    </row>
    <row r="65" spans="1:13" x14ac:dyDescent="0.25">
      <c r="A65" t="s">
        <v>30</v>
      </c>
      <c r="B65" t="s">
        <v>31</v>
      </c>
      <c r="C65">
        <v>236929188</v>
      </c>
      <c r="D65" t="s">
        <v>73</v>
      </c>
      <c r="E65" t="s">
        <v>74</v>
      </c>
      <c r="F65">
        <v>130</v>
      </c>
      <c r="G65">
        <v>0</v>
      </c>
      <c r="H65">
        <v>999</v>
      </c>
      <c r="I65" t="s">
        <v>352</v>
      </c>
      <c r="J65" s="24">
        <v>0</v>
      </c>
      <c r="K65" s="61">
        <v>30</v>
      </c>
      <c r="L65" s="44">
        <v>0</v>
      </c>
      <c r="M65">
        <v>0</v>
      </c>
    </row>
    <row r="66" spans="1:13" x14ac:dyDescent="0.25">
      <c r="A66" t="s">
        <v>23</v>
      </c>
      <c r="B66" t="s">
        <v>34</v>
      </c>
      <c r="C66">
        <v>419145986</v>
      </c>
      <c r="D66" t="s">
        <v>212</v>
      </c>
      <c r="E66" t="s">
        <v>213</v>
      </c>
      <c r="F66">
        <v>119</v>
      </c>
      <c r="G66">
        <v>0</v>
      </c>
      <c r="H66">
        <v>999</v>
      </c>
      <c r="I66" t="s">
        <v>412</v>
      </c>
      <c r="J66" s="24">
        <v>1135</v>
      </c>
      <c r="K66" s="61">
        <v>40</v>
      </c>
      <c r="L66" s="44">
        <v>40</v>
      </c>
      <c r="M66">
        <v>681</v>
      </c>
    </row>
    <row r="67" spans="1:13" x14ac:dyDescent="0.25">
      <c r="A67" t="s">
        <v>23</v>
      </c>
      <c r="B67" t="s">
        <v>34</v>
      </c>
      <c r="C67">
        <v>236072834</v>
      </c>
      <c r="D67" t="s">
        <v>234</v>
      </c>
      <c r="E67" t="s">
        <v>67</v>
      </c>
      <c r="F67">
        <v>254</v>
      </c>
      <c r="G67">
        <v>0</v>
      </c>
      <c r="H67">
        <v>443</v>
      </c>
      <c r="I67" t="s">
        <v>356</v>
      </c>
      <c r="J67" s="24">
        <v>908</v>
      </c>
      <c r="K67" s="61">
        <v>40</v>
      </c>
      <c r="L67" s="44">
        <v>40</v>
      </c>
      <c r="M67">
        <v>544.79999999999995</v>
      </c>
    </row>
    <row r="68" spans="1:13" x14ac:dyDescent="0.25">
      <c r="A68" t="s">
        <v>23</v>
      </c>
      <c r="B68" t="s">
        <v>45</v>
      </c>
      <c r="C68">
        <v>345168494</v>
      </c>
      <c r="D68" t="s">
        <v>231</v>
      </c>
      <c r="E68" t="s">
        <v>196</v>
      </c>
      <c r="F68">
        <v>196</v>
      </c>
      <c r="G68">
        <v>0</v>
      </c>
      <c r="H68">
        <v>587</v>
      </c>
      <c r="I68" t="s">
        <v>410</v>
      </c>
      <c r="J68" s="24">
        <v>1615</v>
      </c>
      <c r="K68" s="61">
        <v>40</v>
      </c>
      <c r="L68" s="44">
        <v>40</v>
      </c>
      <c r="M68">
        <v>969</v>
      </c>
    </row>
    <row r="69" spans="1:13" x14ac:dyDescent="0.25">
      <c r="A69" t="s">
        <v>23</v>
      </c>
      <c r="B69" t="s">
        <v>261</v>
      </c>
      <c r="C69">
        <v>550540000</v>
      </c>
      <c r="D69" t="s">
        <v>266</v>
      </c>
      <c r="E69" t="s">
        <v>267</v>
      </c>
      <c r="F69" t="s">
        <v>27</v>
      </c>
      <c r="G69" t="s">
        <v>27</v>
      </c>
      <c r="H69" t="s">
        <v>27</v>
      </c>
      <c r="I69" t="s">
        <v>285</v>
      </c>
      <c r="J69" s="24">
        <v>0</v>
      </c>
      <c r="K69" s="61">
        <v>30</v>
      </c>
      <c r="L69" s="44">
        <v>30</v>
      </c>
      <c r="M69">
        <v>0</v>
      </c>
    </row>
    <row r="70" spans="1:13" x14ac:dyDescent="0.25">
      <c r="A70" t="s">
        <v>23</v>
      </c>
      <c r="B70" t="s">
        <v>34</v>
      </c>
      <c r="C70">
        <v>370591238</v>
      </c>
      <c r="D70" t="s">
        <v>236</v>
      </c>
      <c r="E70" t="s">
        <v>200</v>
      </c>
      <c r="F70">
        <v>252</v>
      </c>
      <c r="G70">
        <v>0</v>
      </c>
      <c r="H70">
        <v>999</v>
      </c>
      <c r="I70" t="s">
        <v>332</v>
      </c>
      <c r="J70" s="24">
        <v>856</v>
      </c>
      <c r="K70" s="61">
        <v>30</v>
      </c>
      <c r="L70" s="44">
        <v>30</v>
      </c>
      <c r="M70">
        <v>599.20000000000005</v>
      </c>
    </row>
    <row r="71" spans="1:13" x14ac:dyDescent="0.25">
      <c r="A71" t="s">
        <v>23</v>
      </c>
      <c r="B71" t="s">
        <v>34</v>
      </c>
      <c r="C71">
        <v>419146579</v>
      </c>
      <c r="D71" t="s">
        <v>208</v>
      </c>
      <c r="E71" t="s">
        <v>209</v>
      </c>
      <c r="F71">
        <v>120</v>
      </c>
      <c r="G71">
        <v>0</v>
      </c>
      <c r="H71">
        <v>999</v>
      </c>
      <c r="I71" t="s">
        <v>409</v>
      </c>
      <c r="J71" s="24">
        <v>1170</v>
      </c>
      <c r="K71" s="61">
        <v>40</v>
      </c>
      <c r="L71" s="44">
        <v>40</v>
      </c>
      <c r="M71">
        <v>702</v>
      </c>
    </row>
    <row r="72" spans="1:13" x14ac:dyDescent="0.25">
      <c r="A72" t="s">
        <v>23</v>
      </c>
      <c r="B72" t="s">
        <v>34</v>
      </c>
      <c r="C72">
        <v>419141549</v>
      </c>
      <c r="D72" t="s">
        <v>206</v>
      </c>
      <c r="E72" t="s">
        <v>207</v>
      </c>
      <c r="F72">
        <v>98</v>
      </c>
      <c r="G72">
        <v>0</v>
      </c>
      <c r="H72">
        <v>339</v>
      </c>
      <c r="I72" t="s">
        <v>331</v>
      </c>
      <c r="J72" s="24">
        <v>1013</v>
      </c>
      <c r="K72" s="61">
        <v>30</v>
      </c>
      <c r="L72" s="44">
        <v>30</v>
      </c>
      <c r="M72">
        <v>709.1</v>
      </c>
    </row>
    <row r="73" spans="1:13" x14ac:dyDescent="0.25">
      <c r="A73" t="s">
        <v>23</v>
      </c>
      <c r="B73" t="s">
        <v>34</v>
      </c>
      <c r="C73">
        <v>419145390</v>
      </c>
      <c r="D73" t="s">
        <v>220</v>
      </c>
      <c r="E73" t="s">
        <v>221</v>
      </c>
      <c r="F73">
        <v>152</v>
      </c>
      <c r="G73">
        <v>0</v>
      </c>
      <c r="H73">
        <v>999</v>
      </c>
      <c r="I73" t="s">
        <v>331</v>
      </c>
      <c r="J73" s="24">
        <v>1013</v>
      </c>
      <c r="K73" s="61">
        <v>30</v>
      </c>
      <c r="L73" s="44">
        <v>30</v>
      </c>
      <c r="M73">
        <v>709.1</v>
      </c>
    </row>
    <row r="74" spans="1:13" x14ac:dyDescent="0.25">
      <c r="A74" t="s">
        <v>30</v>
      </c>
      <c r="B74" t="s">
        <v>31</v>
      </c>
      <c r="C74">
        <v>176721350</v>
      </c>
      <c r="D74" t="s">
        <v>39</v>
      </c>
      <c r="E74" t="s">
        <v>40</v>
      </c>
      <c r="F74">
        <v>258</v>
      </c>
      <c r="G74">
        <v>0</v>
      </c>
      <c r="H74">
        <v>334</v>
      </c>
      <c r="I74" t="s">
        <v>413</v>
      </c>
      <c r="J74" s="24">
        <v>1262</v>
      </c>
      <c r="K74" s="61">
        <v>40</v>
      </c>
      <c r="L74" s="44">
        <v>40</v>
      </c>
      <c r="M74">
        <v>757.2</v>
      </c>
    </row>
    <row r="75" spans="1:13" x14ac:dyDescent="0.25">
      <c r="A75" t="s">
        <v>23</v>
      </c>
      <c r="B75" t="s">
        <v>34</v>
      </c>
      <c r="C75">
        <v>419145749</v>
      </c>
      <c r="D75" t="s">
        <v>218</v>
      </c>
      <c r="E75" t="s">
        <v>219</v>
      </c>
      <c r="F75">
        <v>106</v>
      </c>
      <c r="G75">
        <v>0</v>
      </c>
      <c r="H75">
        <v>816</v>
      </c>
      <c r="I75" t="s">
        <v>414</v>
      </c>
      <c r="J75" s="24">
        <v>837</v>
      </c>
      <c r="K75" s="61">
        <v>40</v>
      </c>
      <c r="L75" s="44">
        <v>40</v>
      </c>
      <c r="M75">
        <v>502.2</v>
      </c>
    </row>
    <row r="76" spans="1:13" x14ac:dyDescent="0.25">
      <c r="A76" t="s">
        <v>30</v>
      </c>
      <c r="B76" t="s">
        <v>31</v>
      </c>
      <c r="C76">
        <v>236929187</v>
      </c>
      <c r="D76" t="s">
        <v>71</v>
      </c>
      <c r="E76" t="s">
        <v>72</v>
      </c>
      <c r="F76">
        <v>94</v>
      </c>
      <c r="G76">
        <v>0</v>
      </c>
      <c r="H76">
        <v>72</v>
      </c>
      <c r="I76" t="s">
        <v>415</v>
      </c>
      <c r="J76" s="24">
        <v>956</v>
      </c>
      <c r="K76" s="61">
        <v>40</v>
      </c>
      <c r="L76" s="44">
        <v>30</v>
      </c>
      <c r="M76">
        <v>669.2</v>
      </c>
    </row>
    <row r="77" spans="1:13" x14ac:dyDescent="0.25">
      <c r="A77" t="s">
        <v>30</v>
      </c>
      <c r="B77" t="s">
        <v>31</v>
      </c>
      <c r="C77">
        <v>204615141</v>
      </c>
      <c r="D77" t="s">
        <v>62</v>
      </c>
      <c r="E77" t="s">
        <v>63</v>
      </c>
      <c r="F77">
        <v>222</v>
      </c>
      <c r="G77">
        <v>0</v>
      </c>
      <c r="H77">
        <v>602</v>
      </c>
      <c r="I77" t="s">
        <v>416</v>
      </c>
      <c r="J77" s="24">
        <v>997</v>
      </c>
      <c r="K77" s="61">
        <v>40</v>
      </c>
      <c r="L77" s="44">
        <v>40</v>
      </c>
      <c r="M77">
        <v>598.20000000000005</v>
      </c>
    </row>
    <row r="78" spans="1:13" x14ac:dyDescent="0.25">
      <c r="A78" t="s">
        <v>30</v>
      </c>
      <c r="B78" t="s">
        <v>31</v>
      </c>
      <c r="C78">
        <v>176723275</v>
      </c>
      <c r="D78" t="s">
        <v>41</v>
      </c>
      <c r="E78" t="s">
        <v>42</v>
      </c>
      <c r="F78">
        <v>92</v>
      </c>
      <c r="G78">
        <v>0</v>
      </c>
      <c r="H78">
        <v>87</v>
      </c>
      <c r="I78" t="s">
        <v>417</v>
      </c>
      <c r="J78" s="24">
        <v>1199</v>
      </c>
      <c r="K78" s="61">
        <v>40</v>
      </c>
      <c r="L78" s="44">
        <v>30</v>
      </c>
      <c r="M78">
        <v>839.3</v>
      </c>
    </row>
    <row r="79" spans="1:13" x14ac:dyDescent="0.25">
      <c r="A79" t="s">
        <v>23</v>
      </c>
      <c r="B79" t="s">
        <v>261</v>
      </c>
      <c r="C79">
        <v>550539998</v>
      </c>
      <c r="D79" t="s">
        <v>262</v>
      </c>
      <c r="E79" t="s">
        <v>263</v>
      </c>
      <c r="F79">
        <v>59</v>
      </c>
      <c r="G79">
        <v>0</v>
      </c>
      <c r="H79">
        <v>999</v>
      </c>
      <c r="I79" t="s">
        <v>418</v>
      </c>
      <c r="J79" s="24">
        <v>2707</v>
      </c>
      <c r="K79" s="61">
        <v>40</v>
      </c>
      <c r="L79" s="44">
        <v>40</v>
      </c>
      <c r="M79">
        <v>1624.2</v>
      </c>
    </row>
    <row r="80" spans="1:13" x14ac:dyDescent="0.25">
      <c r="A80" t="s">
        <v>23</v>
      </c>
      <c r="B80" t="s">
        <v>34</v>
      </c>
      <c r="C80">
        <v>223671295</v>
      </c>
      <c r="D80" t="s">
        <v>237</v>
      </c>
      <c r="E80" t="s">
        <v>66</v>
      </c>
      <c r="F80">
        <v>447</v>
      </c>
      <c r="G80">
        <v>0</v>
      </c>
      <c r="H80">
        <v>823</v>
      </c>
      <c r="I80" t="s">
        <v>419</v>
      </c>
      <c r="J80" s="24">
        <v>718</v>
      </c>
      <c r="K80" s="61">
        <v>40</v>
      </c>
      <c r="L80" s="44">
        <v>40</v>
      </c>
      <c r="M80">
        <v>430.8</v>
      </c>
    </row>
    <row r="81" spans="1:13" x14ac:dyDescent="0.25">
      <c r="A81" t="s">
        <v>23</v>
      </c>
      <c r="B81" t="s">
        <v>88</v>
      </c>
      <c r="C81">
        <v>271441230</v>
      </c>
      <c r="D81" t="s">
        <v>95</v>
      </c>
      <c r="E81" t="s">
        <v>96</v>
      </c>
      <c r="F81">
        <v>0</v>
      </c>
      <c r="G81">
        <v>0</v>
      </c>
      <c r="H81">
        <v>1</v>
      </c>
      <c r="I81" t="s">
        <v>328</v>
      </c>
      <c r="J81" s="24">
        <v>0</v>
      </c>
      <c r="K81" s="61">
        <v>30</v>
      </c>
      <c r="L81" s="44">
        <v>30</v>
      </c>
      <c r="M81">
        <v>0</v>
      </c>
    </row>
    <row r="82" spans="1:13" x14ac:dyDescent="0.25">
      <c r="A82" t="s">
        <v>23</v>
      </c>
      <c r="B82" t="s">
        <v>261</v>
      </c>
      <c r="C82">
        <v>550539999</v>
      </c>
      <c r="D82" t="s">
        <v>264</v>
      </c>
      <c r="E82" t="s">
        <v>265</v>
      </c>
      <c r="F82">
        <v>40</v>
      </c>
      <c r="G82">
        <v>0</v>
      </c>
      <c r="H82">
        <v>999</v>
      </c>
      <c r="I82" t="s">
        <v>420</v>
      </c>
      <c r="J82" s="24">
        <v>1665</v>
      </c>
      <c r="K82" s="61">
        <v>40</v>
      </c>
      <c r="L82" s="44">
        <v>40</v>
      </c>
      <c r="M82">
        <v>999</v>
      </c>
    </row>
    <row r="83" spans="1:13" x14ac:dyDescent="0.25">
      <c r="A83" t="s">
        <v>23</v>
      </c>
      <c r="B83" t="s">
        <v>88</v>
      </c>
      <c r="C83">
        <v>271440668</v>
      </c>
      <c r="D83" t="s">
        <v>89</v>
      </c>
      <c r="E83" t="s">
        <v>90</v>
      </c>
      <c r="F83">
        <v>130</v>
      </c>
      <c r="G83">
        <v>0</v>
      </c>
      <c r="H83">
        <v>983</v>
      </c>
      <c r="I83" t="s">
        <v>421</v>
      </c>
      <c r="J83" s="24">
        <v>2010</v>
      </c>
      <c r="K83" s="61">
        <v>40</v>
      </c>
      <c r="L83" s="44">
        <v>40</v>
      </c>
      <c r="M83">
        <v>1206</v>
      </c>
    </row>
    <row r="84" spans="1:13" x14ac:dyDescent="0.25">
      <c r="A84" t="s">
        <v>23</v>
      </c>
      <c r="B84" t="s">
        <v>88</v>
      </c>
      <c r="C84">
        <v>271440669</v>
      </c>
      <c r="D84" t="s">
        <v>91</v>
      </c>
      <c r="E84" t="s">
        <v>92</v>
      </c>
      <c r="F84">
        <v>128</v>
      </c>
      <c r="G84">
        <v>0</v>
      </c>
      <c r="H84">
        <v>440</v>
      </c>
      <c r="I84" t="s">
        <v>422</v>
      </c>
      <c r="J84" s="24">
        <v>1813</v>
      </c>
      <c r="K84" s="61">
        <v>40</v>
      </c>
      <c r="L84" s="44">
        <v>40</v>
      </c>
      <c r="M84">
        <v>1087.8</v>
      </c>
    </row>
    <row r="85" spans="1:13" x14ac:dyDescent="0.25">
      <c r="A85" t="s">
        <v>23</v>
      </c>
      <c r="B85" t="s">
        <v>261</v>
      </c>
      <c r="C85">
        <v>820643010</v>
      </c>
      <c r="D85" t="s">
        <v>291</v>
      </c>
      <c r="E85" t="s">
        <v>292</v>
      </c>
      <c r="F85">
        <v>89</v>
      </c>
      <c r="G85">
        <v>0</v>
      </c>
      <c r="H85">
        <v>520</v>
      </c>
      <c r="I85" t="s">
        <v>423</v>
      </c>
      <c r="J85" s="24">
        <v>2472</v>
      </c>
      <c r="K85" s="61">
        <v>40</v>
      </c>
      <c r="L85" s="44">
        <v>40</v>
      </c>
      <c r="M85">
        <v>1483.2</v>
      </c>
    </row>
    <row r="86" spans="1:13" x14ac:dyDescent="0.25">
      <c r="A86" t="s">
        <v>23</v>
      </c>
      <c r="B86" t="s">
        <v>88</v>
      </c>
      <c r="C86">
        <v>271440670</v>
      </c>
      <c r="D86" t="s">
        <v>93</v>
      </c>
      <c r="E86" t="s">
        <v>94</v>
      </c>
      <c r="F86">
        <v>100</v>
      </c>
      <c r="G86">
        <v>0</v>
      </c>
      <c r="H86">
        <v>999</v>
      </c>
      <c r="I86" t="s">
        <v>422</v>
      </c>
      <c r="J86" s="24">
        <v>1813</v>
      </c>
      <c r="K86" s="61">
        <v>40</v>
      </c>
      <c r="L86" s="44">
        <v>40</v>
      </c>
      <c r="M86">
        <v>1087.8</v>
      </c>
    </row>
    <row r="87" spans="1:13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s="24">
        <v>0</v>
      </c>
      <c r="K87" s="61">
        <v>0</v>
      </c>
      <c r="L87" s="44">
        <v>0</v>
      </c>
      <c r="M87">
        <v>0</v>
      </c>
    </row>
    <row r="88" spans="1:13" x14ac:dyDescent="0.25">
      <c r="J88" s="24"/>
      <c r="L88" s="44"/>
    </row>
    <row r="89" spans="1:13" x14ac:dyDescent="0.25">
      <c r="J89" s="24"/>
      <c r="L89" s="44"/>
    </row>
    <row r="90" spans="1:13" x14ac:dyDescent="0.25">
      <c r="J90" s="24"/>
      <c r="L90" s="44"/>
    </row>
    <row r="91" spans="1:13" x14ac:dyDescent="0.25">
      <c r="J91" s="24"/>
      <c r="L91" s="44"/>
    </row>
    <row r="92" spans="1:13" x14ac:dyDescent="0.25">
      <c r="J92" s="24"/>
      <c r="L92" s="44"/>
    </row>
    <row r="93" spans="1:13" x14ac:dyDescent="0.25">
      <c r="J93" s="24"/>
      <c r="L93" s="44"/>
    </row>
    <row r="94" spans="1:13" x14ac:dyDescent="0.25">
      <c r="J94" s="24"/>
      <c r="L94" s="44"/>
    </row>
    <row r="95" spans="1:13" x14ac:dyDescent="0.25">
      <c r="J95" s="24"/>
      <c r="L95" s="44"/>
    </row>
    <row r="96" spans="1:13" x14ac:dyDescent="0.25">
      <c r="J96" s="24"/>
      <c r="L96" s="44"/>
    </row>
    <row r="97" spans="10:12" x14ac:dyDescent="0.25">
      <c r="J97" s="24"/>
      <c r="L97" s="44"/>
    </row>
    <row r="98" spans="10:12" x14ac:dyDescent="0.25">
      <c r="J98" s="24"/>
      <c r="L98" s="44"/>
    </row>
    <row r="99" spans="10:12" x14ac:dyDescent="0.25">
      <c r="J99" s="24"/>
      <c r="L99" s="4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09F8-C5CC-4BC5-B8F2-FFDF5793A8FB}">
  <sheetPr>
    <tabColor rgb="FFCCCCFF"/>
  </sheetPr>
  <dimension ref="A1:N86"/>
  <sheetViews>
    <sheetView workbookViewId="0">
      <selection sqref="A1:XFD1048576"/>
    </sheetView>
  </sheetViews>
  <sheetFormatPr defaultRowHeight="15" x14ac:dyDescent="0.25"/>
  <cols>
    <col min="1" max="3" width="15.85546875" customWidth="1"/>
    <col min="4" max="5" width="20" customWidth="1"/>
    <col min="6" max="6" width="15.85546875" customWidth="1"/>
    <col min="7" max="7" width="20" customWidth="1"/>
    <col min="8" max="12" width="18.28515625" customWidth="1"/>
    <col min="13" max="13" width="20" customWidth="1"/>
    <col min="14" max="14" width="68.28515625" customWidth="1"/>
  </cols>
  <sheetData>
    <row r="1" spans="1:14" x14ac:dyDescent="0.25">
      <c r="A1" s="111" t="s">
        <v>8</v>
      </c>
      <c r="B1" s="111" t="s">
        <v>128</v>
      </c>
      <c r="C1" s="111" t="s">
        <v>12</v>
      </c>
      <c r="D1" s="111" t="s">
        <v>129</v>
      </c>
      <c r="E1" s="111" t="s">
        <v>13</v>
      </c>
      <c r="F1" s="111" t="s">
        <v>130</v>
      </c>
      <c r="G1" s="111" t="s">
        <v>131</v>
      </c>
      <c r="H1" s="111" t="s">
        <v>15</v>
      </c>
      <c r="I1" s="111" t="s">
        <v>132</v>
      </c>
      <c r="J1" s="112" t="s">
        <v>325</v>
      </c>
      <c r="K1" s="111" t="s">
        <v>133</v>
      </c>
      <c r="L1" s="113" t="s">
        <v>134</v>
      </c>
      <c r="M1" s="111" t="s">
        <v>288</v>
      </c>
      <c r="N1" s="111" t="s">
        <v>289</v>
      </c>
    </row>
    <row r="2" spans="1:14" x14ac:dyDescent="0.25">
      <c r="A2" s="114" t="s">
        <v>23</v>
      </c>
      <c r="B2" s="114" t="s">
        <v>268</v>
      </c>
      <c r="C2" s="114">
        <v>550445280</v>
      </c>
      <c r="D2" s="114" t="s">
        <v>281</v>
      </c>
      <c r="E2" s="114" t="s">
        <v>282</v>
      </c>
      <c r="F2" s="114" t="s">
        <v>27</v>
      </c>
      <c r="G2" s="114" t="s">
        <v>27</v>
      </c>
      <c r="H2" s="114" t="s">
        <v>27</v>
      </c>
      <c r="I2" s="114" t="s">
        <v>327</v>
      </c>
      <c r="J2" s="115"/>
      <c r="K2" s="114">
        <v>30</v>
      </c>
      <c r="L2" s="116"/>
      <c r="M2" s="114">
        <v>602</v>
      </c>
      <c r="N2" s="117" t="s">
        <v>27</v>
      </c>
    </row>
    <row r="3" spans="1:14" x14ac:dyDescent="0.25">
      <c r="A3" s="114" t="s">
        <v>23</v>
      </c>
      <c r="B3" s="114" t="s">
        <v>268</v>
      </c>
      <c r="C3" s="114">
        <v>550445283</v>
      </c>
      <c r="D3" s="114" t="s">
        <v>283</v>
      </c>
      <c r="E3" s="114" t="s">
        <v>284</v>
      </c>
      <c r="F3" s="114" t="s">
        <v>27</v>
      </c>
      <c r="G3" s="114" t="s">
        <v>27</v>
      </c>
      <c r="H3" s="114" t="s">
        <v>27</v>
      </c>
      <c r="I3" s="114" t="s">
        <v>327</v>
      </c>
      <c r="J3" s="115"/>
      <c r="K3" s="114">
        <v>30</v>
      </c>
      <c r="L3" s="116"/>
      <c r="M3" s="114">
        <v>602</v>
      </c>
      <c r="N3" s="117" t="s">
        <v>27</v>
      </c>
    </row>
    <row r="4" spans="1:14" x14ac:dyDescent="0.25">
      <c r="A4" s="114" t="s">
        <v>23</v>
      </c>
      <c r="B4" s="114" t="s">
        <v>268</v>
      </c>
      <c r="C4" s="114">
        <v>550445277</v>
      </c>
      <c r="D4" s="114" t="s">
        <v>269</v>
      </c>
      <c r="E4" s="114" t="s">
        <v>270</v>
      </c>
      <c r="F4" s="114" t="s">
        <v>27</v>
      </c>
      <c r="G4" s="114" t="s">
        <v>27</v>
      </c>
      <c r="H4" s="114" t="s">
        <v>27</v>
      </c>
      <c r="I4" s="114" t="s">
        <v>327</v>
      </c>
      <c r="J4" s="115"/>
      <c r="K4" s="114">
        <v>30</v>
      </c>
      <c r="L4" s="116"/>
      <c r="M4" s="114">
        <v>602</v>
      </c>
      <c r="N4" s="117" t="s">
        <v>27</v>
      </c>
    </row>
    <row r="5" spans="1:14" x14ac:dyDescent="0.25">
      <c r="A5" s="114" t="s">
        <v>23</v>
      </c>
      <c r="B5" s="114" t="s">
        <v>268</v>
      </c>
      <c r="C5" s="114">
        <v>550445275</v>
      </c>
      <c r="D5" s="114" t="s">
        <v>271</v>
      </c>
      <c r="E5" s="114" t="s">
        <v>272</v>
      </c>
      <c r="F5" s="114" t="s">
        <v>27</v>
      </c>
      <c r="G5" s="114" t="s">
        <v>27</v>
      </c>
      <c r="H5" s="114" t="s">
        <v>27</v>
      </c>
      <c r="I5" s="114" t="s">
        <v>327</v>
      </c>
      <c r="J5" s="115"/>
      <c r="K5" s="114">
        <v>30</v>
      </c>
      <c r="L5" s="116"/>
      <c r="M5" s="114">
        <v>602</v>
      </c>
      <c r="N5" s="117" t="s">
        <v>27</v>
      </c>
    </row>
    <row r="6" spans="1:14" x14ac:dyDescent="0.25">
      <c r="A6" s="114" t="s">
        <v>23</v>
      </c>
      <c r="B6" s="114" t="s">
        <v>268</v>
      </c>
      <c r="C6" s="114">
        <v>550445281</v>
      </c>
      <c r="D6" s="114" t="s">
        <v>273</v>
      </c>
      <c r="E6" s="114" t="s">
        <v>274</v>
      </c>
      <c r="F6" s="114" t="s">
        <v>27</v>
      </c>
      <c r="G6" s="114" t="s">
        <v>27</v>
      </c>
      <c r="H6" s="114" t="s">
        <v>27</v>
      </c>
      <c r="I6" s="114" t="s">
        <v>327</v>
      </c>
      <c r="J6" s="115"/>
      <c r="K6" s="114">
        <v>30</v>
      </c>
      <c r="L6" s="116"/>
      <c r="M6" s="114">
        <v>602</v>
      </c>
      <c r="N6" s="117" t="s">
        <v>27</v>
      </c>
    </row>
    <row r="7" spans="1:14" x14ac:dyDescent="0.25">
      <c r="A7" s="114" t="s">
        <v>23</v>
      </c>
      <c r="B7" s="114" t="s">
        <v>268</v>
      </c>
      <c r="C7" s="114">
        <v>550445272</v>
      </c>
      <c r="D7" s="114" t="s">
        <v>275</v>
      </c>
      <c r="E7" s="114" t="s">
        <v>276</v>
      </c>
      <c r="F7" s="114" t="s">
        <v>27</v>
      </c>
      <c r="G7" s="114" t="s">
        <v>27</v>
      </c>
      <c r="H7" s="114" t="s">
        <v>27</v>
      </c>
      <c r="I7" s="114" t="s">
        <v>327</v>
      </c>
      <c r="J7" s="115"/>
      <c r="K7" s="114">
        <v>30</v>
      </c>
      <c r="L7" s="116"/>
      <c r="M7" s="114">
        <v>602</v>
      </c>
      <c r="N7" s="117" t="s">
        <v>27</v>
      </c>
    </row>
    <row r="8" spans="1:14" x14ac:dyDescent="0.25">
      <c r="A8" s="114" t="s">
        <v>23</v>
      </c>
      <c r="B8" s="114" t="s">
        <v>268</v>
      </c>
      <c r="C8" s="114">
        <v>550445279</v>
      </c>
      <c r="D8" s="114" t="s">
        <v>277</v>
      </c>
      <c r="E8" s="114" t="s">
        <v>278</v>
      </c>
      <c r="F8" s="114" t="s">
        <v>27</v>
      </c>
      <c r="G8" s="114" t="s">
        <v>27</v>
      </c>
      <c r="H8" s="114" t="s">
        <v>27</v>
      </c>
      <c r="I8" s="114" t="s">
        <v>327</v>
      </c>
      <c r="J8" s="115"/>
      <c r="K8" s="114">
        <v>30</v>
      </c>
      <c r="L8" s="116"/>
      <c r="M8" s="114">
        <v>602</v>
      </c>
      <c r="N8" s="117" t="s">
        <v>27</v>
      </c>
    </row>
    <row r="9" spans="1:14" x14ac:dyDescent="0.25">
      <c r="A9" s="114" t="s">
        <v>23</v>
      </c>
      <c r="B9" s="114" t="s">
        <v>268</v>
      </c>
      <c r="C9" s="114">
        <v>550445274</v>
      </c>
      <c r="D9" s="114" t="s">
        <v>279</v>
      </c>
      <c r="E9" s="114" t="s">
        <v>280</v>
      </c>
      <c r="F9" s="114" t="s">
        <v>27</v>
      </c>
      <c r="G9" s="114" t="s">
        <v>27</v>
      </c>
      <c r="H9" s="114" t="s">
        <v>27</v>
      </c>
      <c r="I9" s="114" t="s">
        <v>327</v>
      </c>
      <c r="J9" s="115"/>
      <c r="K9" s="114">
        <v>30</v>
      </c>
      <c r="L9" s="116"/>
      <c r="M9" s="114">
        <v>602</v>
      </c>
      <c r="N9" s="117" t="s">
        <v>27</v>
      </c>
    </row>
    <row r="10" spans="1:14" x14ac:dyDescent="0.25">
      <c r="A10" s="114" t="s">
        <v>23</v>
      </c>
      <c r="B10" s="114" t="s">
        <v>34</v>
      </c>
      <c r="C10" s="114">
        <v>419145392</v>
      </c>
      <c r="D10" s="114" t="s">
        <v>224</v>
      </c>
      <c r="E10" s="114" t="s">
        <v>225</v>
      </c>
      <c r="F10" s="114" t="s">
        <v>27</v>
      </c>
      <c r="G10" s="114" t="s">
        <v>27</v>
      </c>
      <c r="H10" s="114" t="s">
        <v>27</v>
      </c>
      <c r="I10" s="114" t="s">
        <v>260</v>
      </c>
      <c r="J10" s="115"/>
      <c r="K10" s="114">
        <v>20</v>
      </c>
      <c r="L10" s="116"/>
      <c r="M10" s="114">
        <v>1511.2</v>
      </c>
      <c r="N10" s="117" t="s">
        <v>27</v>
      </c>
    </row>
    <row r="11" spans="1:14" x14ac:dyDescent="0.25">
      <c r="A11" s="114" t="s">
        <v>30</v>
      </c>
      <c r="B11" s="114" t="s">
        <v>182</v>
      </c>
      <c r="C11" s="114">
        <v>340802685</v>
      </c>
      <c r="D11" s="114" t="s">
        <v>183</v>
      </c>
      <c r="E11" s="114" t="s">
        <v>184</v>
      </c>
      <c r="F11" s="114">
        <v>19</v>
      </c>
      <c r="G11" s="114">
        <v>0</v>
      </c>
      <c r="H11" s="114">
        <v>999</v>
      </c>
      <c r="I11" s="114" t="s">
        <v>380</v>
      </c>
      <c r="J11" s="115"/>
      <c r="K11" s="114">
        <v>40</v>
      </c>
      <c r="L11" s="116"/>
      <c r="M11" s="114">
        <v>1027.8</v>
      </c>
      <c r="N11" s="117" t="s">
        <v>27</v>
      </c>
    </row>
    <row r="12" spans="1:14" x14ac:dyDescent="0.25">
      <c r="A12" s="114" t="s">
        <v>30</v>
      </c>
      <c r="B12" s="114" t="s">
        <v>31</v>
      </c>
      <c r="C12" s="114">
        <v>170899505</v>
      </c>
      <c r="D12" s="114" t="s">
        <v>32</v>
      </c>
      <c r="E12" s="114" t="s">
        <v>33</v>
      </c>
      <c r="F12" s="114">
        <v>0</v>
      </c>
      <c r="G12" s="114">
        <v>0</v>
      </c>
      <c r="H12" s="114">
        <v>1</v>
      </c>
      <c r="I12" s="114" t="s">
        <v>260</v>
      </c>
      <c r="J12" s="115"/>
      <c r="K12" s="114">
        <v>20</v>
      </c>
      <c r="L12" s="116"/>
      <c r="M12" s="114">
        <v>1511.2</v>
      </c>
      <c r="N12" s="117" t="s">
        <v>27</v>
      </c>
    </row>
    <row r="13" spans="1:14" x14ac:dyDescent="0.25">
      <c r="A13" s="114" t="s">
        <v>23</v>
      </c>
      <c r="B13" s="114" t="s">
        <v>34</v>
      </c>
      <c r="C13" s="114">
        <v>220252787</v>
      </c>
      <c r="D13" s="114" t="s">
        <v>178</v>
      </c>
      <c r="E13" s="114" t="s">
        <v>179</v>
      </c>
      <c r="F13" s="114">
        <v>0</v>
      </c>
      <c r="G13" s="114">
        <v>0</v>
      </c>
      <c r="H13" s="114">
        <v>1</v>
      </c>
      <c r="I13" s="114" t="s">
        <v>260</v>
      </c>
      <c r="J13" s="115"/>
      <c r="K13" s="114">
        <v>20</v>
      </c>
      <c r="L13" s="116"/>
      <c r="M13" s="114">
        <v>1511.2</v>
      </c>
      <c r="N13" s="117" t="s">
        <v>27</v>
      </c>
    </row>
    <row r="14" spans="1:14" x14ac:dyDescent="0.25">
      <c r="A14" s="114" t="s">
        <v>23</v>
      </c>
      <c r="B14" s="114" t="s">
        <v>45</v>
      </c>
      <c r="C14" s="114">
        <v>253681275</v>
      </c>
      <c r="D14" s="114" t="s">
        <v>86</v>
      </c>
      <c r="E14" s="114" t="s">
        <v>87</v>
      </c>
      <c r="F14" s="114">
        <v>0</v>
      </c>
      <c r="G14" s="114">
        <v>0</v>
      </c>
      <c r="H14" s="114">
        <v>1</v>
      </c>
      <c r="I14" s="114" t="s">
        <v>260</v>
      </c>
      <c r="J14" s="115"/>
      <c r="K14" s="114">
        <v>20</v>
      </c>
      <c r="L14" s="116"/>
      <c r="M14" s="114">
        <v>1511.2</v>
      </c>
      <c r="N14" s="117" t="s">
        <v>27</v>
      </c>
    </row>
    <row r="15" spans="1:14" x14ac:dyDescent="0.25">
      <c r="A15" s="114" t="s">
        <v>23</v>
      </c>
      <c r="B15" s="114" t="s">
        <v>45</v>
      </c>
      <c r="C15" s="114">
        <v>186800214</v>
      </c>
      <c r="D15" s="114" t="s">
        <v>58</v>
      </c>
      <c r="E15" s="114" t="s">
        <v>59</v>
      </c>
      <c r="F15" s="114">
        <v>180</v>
      </c>
      <c r="G15" s="114">
        <v>0</v>
      </c>
      <c r="H15" s="114">
        <v>168</v>
      </c>
      <c r="I15" s="114" t="s">
        <v>381</v>
      </c>
      <c r="J15" s="115"/>
      <c r="K15" s="114">
        <v>40</v>
      </c>
      <c r="L15" s="116"/>
      <c r="M15" s="114">
        <v>826.8</v>
      </c>
      <c r="N15" s="117" t="s">
        <v>27</v>
      </c>
    </row>
    <row r="16" spans="1:14" x14ac:dyDescent="0.25">
      <c r="A16" s="114" t="s">
        <v>30</v>
      </c>
      <c r="B16" s="114" t="s">
        <v>102</v>
      </c>
      <c r="C16" s="114">
        <v>273546535</v>
      </c>
      <c r="D16" s="114" t="s">
        <v>103</v>
      </c>
      <c r="E16" s="114" t="s">
        <v>104</v>
      </c>
      <c r="F16" s="114">
        <v>78</v>
      </c>
      <c r="G16" s="114">
        <v>0</v>
      </c>
      <c r="H16" s="114">
        <v>999</v>
      </c>
      <c r="I16" s="114" t="s">
        <v>382</v>
      </c>
      <c r="J16" s="115"/>
      <c r="K16" s="114">
        <v>40</v>
      </c>
      <c r="L16" s="116"/>
      <c r="M16" s="114">
        <v>1071</v>
      </c>
      <c r="N16" s="117" t="s">
        <v>27</v>
      </c>
    </row>
    <row r="17" spans="1:14" x14ac:dyDescent="0.25">
      <c r="A17" s="114" t="s">
        <v>23</v>
      </c>
      <c r="B17" s="114" t="s">
        <v>34</v>
      </c>
      <c r="C17" s="114">
        <v>236072836</v>
      </c>
      <c r="D17" s="114" t="s">
        <v>235</v>
      </c>
      <c r="E17" s="114" t="s">
        <v>69</v>
      </c>
      <c r="F17" s="114">
        <v>300</v>
      </c>
      <c r="G17" s="114">
        <v>0</v>
      </c>
      <c r="H17" s="114">
        <v>638</v>
      </c>
      <c r="I17" s="114" t="s">
        <v>383</v>
      </c>
      <c r="J17" s="115"/>
      <c r="K17" s="114">
        <v>40</v>
      </c>
      <c r="L17" s="116"/>
      <c r="M17" s="114">
        <v>592.79999999999995</v>
      </c>
      <c r="N17" s="117" t="s">
        <v>27</v>
      </c>
    </row>
    <row r="18" spans="1:14" x14ac:dyDescent="0.25">
      <c r="A18" s="114" t="s">
        <v>30</v>
      </c>
      <c r="B18" s="114" t="s">
        <v>31</v>
      </c>
      <c r="C18" s="114">
        <v>239235150</v>
      </c>
      <c r="D18" s="114" t="s">
        <v>50</v>
      </c>
      <c r="E18" s="114" t="s">
        <v>51</v>
      </c>
      <c r="F18" s="114">
        <v>1</v>
      </c>
      <c r="G18" s="114">
        <v>0</v>
      </c>
      <c r="H18" s="114">
        <v>18</v>
      </c>
      <c r="I18" s="114" t="s">
        <v>384</v>
      </c>
      <c r="J18" s="115"/>
      <c r="K18" s="114">
        <v>40</v>
      </c>
      <c r="L18" s="116"/>
      <c r="M18" s="114">
        <v>493.8</v>
      </c>
      <c r="N18" s="117" t="s">
        <v>27</v>
      </c>
    </row>
    <row r="19" spans="1:14" x14ac:dyDescent="0.25">
      <c r="A19" s="114" t="s">
        <v>23</v>
      </c>
      <c r="B19" s="114" t="s">
        <v>34</v>
      </c>
      <c r="C19" s="114">
        <v>236072835</v>
      </c>
      <c r="D19" s="114" t="s">
        <v>230</v>
      </c>
      <c r="E19" s="114" t="s">
        <v>68</v>
      </c>
      <c r="F19" s="114">
        <v>427</v>
      </c>
      <c r="G19" s="114">
        <v>0</v>
      </c>
      <c r="H19" s="114">
        <v>256</v>
      </c>
      <c r="I19" s="114" t="s">
        <v>341</v>
      </c>
      <c r="J19" s="115"/>
      <c r="K19" s="114">
        <v>40</v>
      </c>
      <c r="L19" s="116"/>
      <c r="M19" s="114">
        <v>597</v>
      </c>
      <c r="N19" s="117" t="s">
        <v>27</v>
      </c>
    </row>
    <row r="20" spans="1:14" x14ac:dyDescent="0.25">
      <c r="A20" s="114" t="s">
        <v>75</v>
      </c>
      <c r="B20" s="114" t="s">
        <v>76</v>
      </c>
      <c r="C20" s="114">
        <v>251516159</v>
      </c>
      <c r="D20" s="114" t="s">
        <v>80</v>
      </c>
      <c r="E20" s="114" t="s">
        <v>81</v>
      </c>
      <c r="F20" s="114">
        <v>137</v>
      </c>
      <c r="G20" s="114">
        <v>0</v>
      </c>
      <c r="H20" s="114">
        <v>210</v>
      </c>
      <c r="I20" s="114" t="s">
        <v>354</v>
      </c>
      <c r="J20" s="115"/>
      <c r="K20" s="114">
        <v>30</v>
      </c>
      <c r="L20" s="116"/>
      <c r="M20" s="114">
        <v>639.1</v>
      </c>
      <c r="N20" s="117" t="s">
        <v>27</v>
      </c>
    </row>
    <row r="21" spans="1:14" x14ac:dyDescent="0.25">
      <c r="A21" s="114" t="s">
        <v>75</v>
      </c>
      <c r="B21" s="114" t="s">
        <v>76</v>
      </c>
      <c r="C21" s="114">
        <v>251407392</v>
      </c>
      <c r="D21" s="114" t="s">
        <v>78</v>
      </c>
      <c r="E21" s="114" t="s">
        <v>79</v>
      </c>
      <c r="F21" s="114">
        <v>192</v>
      </c>
      <c r="G21" s="114">
        <v>0</v>
      </c>
      <c r="H21" s="114">
        <v>643</v>
      </c>
      <c r="I21" s="114" t="s">
        <v>355</v>
      </c>
      <c r="J21" s="115"/>
      <c r="K21" s="114">
        <v>40</v>
      </c>
      <c r="L21" s="116"/>
      <c r="M21" s="114">
        <v>741</v>
      </c>
      <c r="N21" s="117" t="s">
        <v>27</v>
      </c>
    </row>
    <row r="22" spans="1:14" x14ac:dyDescent="0.25">
      <c r="A22" s="114" t="s">
        <v>23</v>
      </c>
      <c r="B22" s="114" t="s">
        <v>45</v>
      </c>
      <c r="C22" s="114">
        <v>419130077</v>
      </c>
      <c r="D22" s="114" t="s">
        <v>240</v>
      </c>
      <c r="E22" s="114" t="s">
        <v>228</v>
      </c>
      <c r="F22" s="114">
        <v>266</v>
      </c>
      <c r="G22" s="114">
        <v>0</v>
      </c>
      <c r="H22" s="114">
        <v>999</v>
      </c>
      <c r="I22" s="114" t="s">
        <v>385</v>
      </c>
      <c r="J22" s="115"/>
      <c r="K22" s="114">
        <v>40</v>
      </c>
      <c r="L22" s="116"/>
      <c r="M22" s="114">
        <v>859.2</v>
      </c>
      <c r="N22" s="117" t="s">
        <v>27</v>
      </c>
    </row>
    <row r="23" spans="1:14" x14ac:dyDescent="0.25">
      <c r="A23" s="114" t="s">
        <v>75</v>
      </c>
      <c r="B23" s="114" t="s">
        <v>76</v>
      </c>
      <c r="C23" s="114">
        <v>251537223</v>
      </c>
      <c r="D23" s="114" t="s">
        <v>82</v>
      </c>
      <c r="E23" s="114" t="s">
        <v>83</v>
      </c>
      <c r="F23" s="114">
        <v>152</v>
      </c>
      <c r="G23" s="114">
        <v>0</v>
      </c>
      <c r="H23" s="114">
        <v>286</v>
      </c>
      <c r="I23" s="114" t="s">
        <v>386</v>
      </c>
      <c r="J23" s="115"/>
      <c r="K23" s="114">
        <v>40</v>
      </c>
      <c r="L23" s="116"/>
      <c r="M23" s="114">
        <v>612</v>
      </c>
      <c r="N23" s="117" t="s">
        <v>27</v>
      </c>
    </row>
    <row r="24" spans="1:14" x14ac:dyDescent="0.25">
      <c r="A24" s="114" t="s">
        <v>75</v>
      </c>
      <c r="B24" s="114" t="s">
        <v>76</v>
      </c>
      <c r="C24" s="114">
        <v>251537413</v>
      </c>
      <c r="D24" s="114" t="s">
        <v>84</v>
      </c>
      <c r="E24" s="114" t="s">
        <v>85</v>
      </c>
      <c r="F24" s="114">
        <v>188</v>
      </c>
      <c r="G24" s="114">
        <v>0</v>
      </c>
      <c r="H24" s="114">
        <v>877</v>
      </c>
      <c r="I24" s="114" t="s">
        <v>357</v>
      </c>
      <c r="J24" s="115"/>
      <c r="K24" s="114">
        <v>40</v>
      </c>
      <c r="L24" s="116"/>
      <c r="M24" s="114">
        <v>558</v>
      </c>
      <c r="N24" s="117" t="s">
        <v>27</v>
      </c>
    </row>
    <row r="25" spans="1:14" x14ac:dyDescent="0.25">
      <c r="A25" s="114" t="s">
        <v>23</v>
      </c>
      <c r="B25" s="114" t="s">
        <v>45</v>
      </c>
      <c r="C25" s="114">
        <v>321907864</v>
      </c>
      <c r="D25" s="114" t="s">
        <v>232</v>
      </c>
      <c r="E25" s="114" t="s">
        <v>175</v>
      </c>
      <c r="F25" s="114">
        <v>0</v>
      </c>
      <c r="G25" s="114">
        <v>0</v>
      </c>
      <c r="H25" s="114">
        <v>1</v>
      </c>
      <c r="I25" s="114" t="s">
        <v>330</v>
      </c>
      <c r="J25" s="115"/>
      <c r="K25" s="114">
        <v>30</v>
      </c>
      <c r="L25" s="116"/>
      <c r="M25" s="114">
        <v>1498.7</v>
      </c>
      <c r="N25" s="117" t="s">
        <v>27</v>
      </c>
    </row>
    <row r="26" spans="1:14" x14ac:dyDescent="0.25">
      <c r="A26" s="114" t="s">
        <v>23</v>
      </c>
      <c r="B26" s="114" t="s">
        <v>45</v>
      </c>
      <c r="C26" s="114">
        <v>448254852</v>
      </c>
      <c r="D26" s="114" t="s">
        <v>243</v>
      </c>
      <c r="E26" s="114" t="s">
        <v>244</v>
      </c>
      <c r="F26" s="114">
        <v>208</v>
      </c>
      <c r="G26" s="114">
        <v>0</v>
      </c>
      <c r="H26" s="114">
        <v>627</v>
      </c>
      <c r="I26" s="114" t="s">
        <v>385</v>
      </c>
      <c r="J26" s="115"/>
      <c r="K26" s="114">
        <v>40</v>
      </c>
      <c r="L26" s="116"/>
      <c r="M26" s="114">
        <v>859.2</v>
      </c>
      <c r="N26" s="117" t="s">
        <v>27</v>
      </c>
    </row>
    <row r="27" spans="1:14" x14ac:dyDescent="0.25">
      <c r="A27" s="114" t="s">
        <v>23</v>
      </c>
      <c r="B27" s="114" t="s">
        <v>45</v>
      </c>
      <c r="C27" s="114">
        <v>448248943</v>
      </c>
      <c r="D27" s="114" t="s">
        <v>241</v>
      </c>
      <c r="E27" s="114" t="s">
        <v>242</v>
      </c>
      <c r="F27" s="114">
        <v>221</v>
      </c>
      <c r="G27" s="114">
        <v>0</v>
      </c>
      <c r="H27" s="114">
        <v>773</v>
      </c>
      <c r="I27" s="114" t="s">
        <v>385</v>
      </c>
      <c r="J27" s="115"/>
      <c r="K27" s="114">
        <v>40</v>
      </c>
      <c r="L27" s="116"/>
      <c r="M27" s="114">
        <v>859.2</v>
      </c>
      <c r="N27" s="117" t="s">
        <v>27</v>
      </c>
    </row>
    <row r="28" spans="1:14" x14ac:dyDescent="0.25">
      <c r="A28" s="114" t="s">
        <v>30</v>
      </c>
      <c r="B28" s="114" t="s">
        <v>31</v>
      </c>
      <c r="C28" s="114">
        <v>176500218</v>
      </c>
      <c r="D28" s="114" t="s">
        <v>37</v>
      </c>
      <c r="E28" s="114" t="s">
        <v>38</v>
      </c>
      <c r="F28" s="114">
        <v>320</v>
      </c>
      <c r="G28" s="114">
        <v>0</v>
      </c>
      <c r="H28" s="114">
        <v>726</v>
      </c>
      <c r="I28" s="114" t="s">
        <v>387</v>
      </c>
      <c r="J28" s="115"/>
      <c r="K28" s="114">
        <v>40</v>
      </c>
      <c r="L28" s="116"/>
      <c r="M28" s="114">
        <v>538.79999999999995</v>
      </c>
      <c r="N28" s="117" t="s">
        <v>27</v>
      </c>
    </row>
    <row r="29" spans="1:14" x14ac:dyDescent="0.25">
      <c r="A29" s="114" t="s">
        <v>23</v>
      </c>
      <c r="B29" s="114" t="s">
        <v>45</v>
      </c>
      <c r="C29" s="114">
        <v>186826338</v>
      </c>
      <c r="D29" s="114" t="s">
        <v>60</v>
      </c>
      <c r="E29" s="114" t="s">
        <v>61</v>
      </c>
      <c r="F29" s="114">
        <v>457</v>
      </c>
      <c r="G29" s="114">
        <v>0</v>
      </c>
      <c r="H29" s="114">
        <v>273</v>
      </c>
      <c r="I29" s="114" t="s">
        <v>388</v>
      </c>
      <c r="J29" s="115"/>
      <c r="K29" s="114">
        <v>40</v>
      </c>
      <c r="L29" s="116"/>
      <c r="M29" s="114">
        <v>868.2</v>
      </c>
      <c r="N29" s="117" t="s">
        <v>27</v>
      </c>
    </row>
    <row r="30" spans="1:14" x14ac:dyDescent="0.25">
      <c r="A30" s="114" t="s">
        <v>75</v>
      </c>
      <c r="B30" s="114" t="s">
        <v>76</v>
      </c>
      <c r="C30" s="114">
        <v>302564795</v>
      </c>
      <c r="D30" s="114" t="s">
        <v>136</v>
      </c>
      <c r="E30" s="114" t="s">
        <v>137</v>
      </c>
      <c r="F30" s="114">
        <v>0</v>
      </c>
      <c r="G30" s="114">
        <v>0</v>
      </c>
      <c r="H30" s="114">
        <v>1</v>
      </c>
      <c r="I30" s="114" t="s">
        <v>290</v>
      </c>
      <c r="J30" s="115"/>
      <c r="K30" s="114">
        <v>30</v>
      </c>
      <c r="L30" s="116"/>
      <c r="M30" s="114">
        <v>758.8</v>
      </c>
      <c r="N30" s="117" t="s">
        <v>27</v>
      </c>
    </row>
    <row r="31" spans="1:14" x14ac:dyDescent="0.25">
      <c r="A31" s="114" t="s">
        <v>23</v>
      </c>
      <c r="B31" s="114" t="s">
        <v>45</v>
      </c>
      <c r="C31" s="114">
        <v>298193176</v>
      </c>
      <c r="D31" s="114" t="s">
        <v>97</v>
      </c>
      <c r="E31" s="114" t="s">
        <v>135</v>
      </c>
      <c r="F31" s="114">
        <v>157</v>
      </c>
      <c r="G31" s="114">
        <v>0</v>
      </c>
      <c r="H31" s="114">
        <v>259</v>
      </c>
      <c r="I31" s="114" t="s">
        <v>360</v>
      </c>
      <c r="J31" s="115"/>
      <c r="K31" s="114">
        <v>40</v>
      </c>
      <c r="L31" s="116"/>
      <c r="M31" s="114">
        <v>790.8</v>
      </c>
      <c r="N31" s="117" t="s">
        <v>27</v>
      </c>
    </row>
    <row r="32" spans="1:14" x14ac:dyDescent="0.25">
      <c r="A32" s="114" t="s">
        <v>75</v>
      </c>
      <c r="B32" s="114" t="s">
        <v>76</v>
      </c>
      <c r="C32" s="114">
        <v>273588520</v>
      </c>
      <c r="D32" s="114" t="s">
        <v>110</v>
      </c>
      <c r="E32" s="114" t="s">
        <v>111</v>
      </c>
      <c r="F32" s="114">
        <v>6</v>
      </c>
      <c r="G32" s="114">
        <v>0</v>
      </c>
      <c r="H32" s="114">
        <v>203</v>
      </c>
      <c r="I32" s="114" t="s">
        <v>389</v>
      </c>
      <c r="J32" s="115"/>
      <c r="K32" s="114">
        <v>40</v>
      </c>
      <c r="L32" s="116"/>
      <c r="M32" s="114">
        <v>970.2</v>
      </c>
      <c r="N32" s="117" t="s">
        <v>27</v>
      </c>
    </row>
    <row r="33" spans="1:14" x14ac:dyDescent="0.25">
      <c r="A33" s="114" t="s">
        <v>30</v>
      </c>
      <c r="B33" s="114" t="s">
        <v>31</v>
      </c>
      <c r="C33" s="114">
        <v>177405495</v>
      </c>
      <c r="D33" s="114" t="s">
        <v>56</v>
      </c>
      <c r="E33" s="114" t="s">
        <v>57</v>
      </c>
      <c r="F33" s="114">
        <v>264</v>
      </c>
      <c r="G33" s="114">
        <v>0</v>
      </c>
      <c r="H33" s="114">
        <v>999</v>
      </c>
      <c r="I33" s="114" t="s">
        <v>390</v>
      </c>
      <c r="J33" s="115"/>
      <c r="K33" s="114">
        <v>40</v>
      </c>
      <c r="L33" s="116"/>
      <c r="M33" s="114">
        <v>1108.2</v>
      </c>
      <c r="N33" s="117" t="s">
        <v>27</v>
      </c>
    </row>
    <row r="34" spans="1:14" x14ac:dyDescent="0.25">
      <c r="A34" s="114" t="s">
        <v>75</v>
      </c>
      <c r="B34" s="114" t="s">
        <v>76</v>
      </c>
      <c r="C34" s="114">
        <v>273589771</v>
      </c>
      <c r="D34" s="114" t="s">
        <v>112</v>
      </c>
      <c r="E34" s="114" t="s">
        <v>113</v>
      </c>
      <c r="F34" s="114">
        <v>10</v>
      </c>
      <c r="G34" s="114">
        <v>0</v>
      </c>
      <c r="H34" s="114">
        <v>94</v>
      </c>
      <c r="I34" s="114" t="s">
        <v>391</v>
      </c>
      <c r="J34" s="115"/>
      <c r="K34" s="114">
        <v>40</v>
      </c>
      <c r="L34" s="116"/>
      <c r="M34" s="114">
        <v>1038</v>
      </c>
      <c r="N34" s="117" t="s">
        <v>27</v>
      </c>
    </row>
    <row r="35" spans="1:14" x14ac:dyDescent="0.25">
      <c r="A35" s="114" t="s">
        <v>23</v>
      </c>
      <c r="B35" s="114" t="s">
        <v>34</v>
      </c>
      <c r="C35" s="114">
        <v>340734340</v>
      </c>
      <c r="D35" s="114" t="s">
        <v>188</v>
      </c>
      <c r="E35" s="114" t="s">
        <v>189</v>
      </c>
      <c r="F35" s="114">
        <v>4</v>
      </c>
      <c r="G35" s="114">
        <v>0</v>
      </c>
      <c r="H35" s="114">
        <v>999</v>
      </c>
      <c r="I35" s="114" t="s">
        <v>392</v>
      </c>
      <c r="J35" s="115"/>
      <c r="K35" s="114">
        <v>40</v>
      </c>
      <c r="L35" s="116"/>
      <c r="M35" s="114">
        <v>513</v>
      </c>
      <c r="N35" s="117" t="s">
        <v>27</v>
      </c>
    </row>
    <row r="36" spans="1:14" x14ac:dyDescent="0.25">
      <c r="A36" s="114" t="s">
        <v>30</v>
      </c>
      <c r="B36" s="114" t="s">
        <v>31</v>
      </c>
      <c r="C36" s="114">
        <v>172832355</v>
      </c>
      <c r="D36" s="114" t="s">
        <v>54</v>
      </c>
      <c r="E36" s="114" t="s">
        <v>55</v>
      </c>
      <c r="F36" s="114">
        <v>139</v>
      </c>
      <c r="G36" s="114">
        <v>0</v>
      </c>
      <c r="H36" s="114">
        <v>269</v>
      </c>
      <c r="I36" s="114" t="s">
        <v>393</v>
      </c>
      <c r="J36" s="115"/>
      <c r="K36" s="114">
        <v>40</v>
      </c>
      <c r="L36" s="116"/>
      <c r="M36" s="114">
        <v>2097</v>
      </c>
      <c r="N36" s="117" t="s">
        <v>27</v>
      </c>
    </row>
    <row r="37" spans="1:14" x14ac:dyDescent="0.25">
      <c r="A37" s="114" t="s">
        <v>23</v>
      </c>
      <c r="B37" s="114" t="s">
        <v>24</v>
      </c>
      <c r="C37" s="114">
        <v>169153168</v>
      </c>
      <c r="D37" s="114" t="s">
        <v>28</v>
      </c>
      <c r="E37" s="114" t="s">
        <v>29</v>
      </c>
      <c r="F37" s="114">
        <v>216</v>
      </c>
      <c r="G37" s="114">
        <v>0</v>
      </c>
      <c r="H37" s="114">
        <v>999</v>
      </c>
      <c r="I37" s="114" t="s">
        <v>394</v>
      </c>
      <c r="J37" s="115"/>
      <c r="K37" s="114">
        <v>40</v>
      </c>
      <c r="L37" s="116"/>
      <c r="M37" s="114">
        <v>745.8</v>
      </c>
      <c r="N37" s="117" t="s">
        <v>27</v>
      </c>
    </row>
    <row r="38" spans="1:14" x14ac:dyDescent="0.25">
      <c r="A38" s="114" t="s">
        <v>23</v>
      </c>
      <c r="B38" s="114" t="s">
        <v>24</v>
      </c>
      <c r="C38" s="114">
        <v>169395410</v>
      </c>
      <c r="D38" s="114" t="s">
        <v>52</v>
      </c>
      <c r="E38" s="114" t="s">
        <v>53</v>
      </c>
      <c r="F38" s="114">
        <v>202</v>
      </c>
      <c r="G38" s="114">
        <v>0</v>
      </c>
      <c r="H38" s="114">
        <v>999</v>
      </c>
      <c r="I38" s="114" t="s">
        <v>395</v>
      </c>
      <c r="J38" s="115"/>
      <c r="K38" s="114">
        <v>40</v>
      </c>
      <c r="L38" s="116"/>
      <c r="M38" s="114">
        <v>1045.2</v>
      </c>
      <c r="N38" s="117" t="s">
        <v>27</v>
      </c>
    </row>
    <row r="39" spans="1:14" x14ac:dyDescent="0.25">
      <c r="A39" s="114" t="s">
        <v>30</v>
      </c>
      <c r="B39" s="114" t="s">
        <v>31</v>
      </c>
      <c r="C39" s="114">
        <v>177404837</v>
      </c>
      <c r="D39" s="114" t="s">
        <v>43</v>
      </c>
      <c r="E39" s="114" t="s">
        <v>44</v>
      </c>
      <c r="F39" s="114">
        <v>146</v>
      </c>
      <c r="G39" s="114">
        <v>0</v>
      </c>
      <c r="H39" s="114">
        <v>502</v>
      </c>
      <c r="I39" s="114" t="s">
        <v>396</v>
      </c>
      <c r="J39" s="115"/>
      <c r="K39" s="114">
        <v>40</v>
      </c>
      <c r="L39" s="116"/>
      <c r="M39" s="114">
        <v>1246.2</v>
      </c>
      <c r="N39" s="117" t="s">
        <v>27</v>
      </c>
    </row>
    <row r="40" spans="1:14" x14ac:dyDescent="0.25">
      <c r="A40" s="114" t="s">
        <v>23</v>
      </c>
      <c r="B40" s="114" t="s">
        <v>34</v>
      </c>
      <c r="C40" s="114">
        <v>173605843</v>
      </c>
      <c r="D40" s="114" t="s">
        <v>35</v>
      </c>
      <c r="E40" s="114" t="s">
        <v>36</v>
      </c>
      <c r="F40" s="114">
        <v>535</v>
      </c>
      <c r="G40" s="114">
        <v>0</v>
      </c>
      <c r="H40" s="114">
        <v>999</v>
      </c>
      <c r="I40" s="114" t="s">
        <v>397</v>
      </c>
      <c r="J40" s="115"/>
      <c r="K40" s="114">
        <v>40</v>
      </c>
      <c r="L40" s="116"/>
      <c r="M40" s="114">
        <v>343.2</v>
      </c>
      <c r="N40" s="117" t="s">
        <v>27</v>
      </c>
    </row>
    <row r="41" spans="1:14" x14ac:dyDescent="0.25">
      <c r="A41" s="114" t="s">
        <v>30</v>
      </c>
      <c r="B41" s="114" t="s">
        <v>99</v>
      </c>
      <c r="C41" s="114">
        <v>273527791</v>
      </c>
      <c r="D41" s="114" t="s">
        <v>100</v>
      </c>
      <c r="E41" s="114" t="s">
        <v>101</v>
      </c>
      <c r="F41" s="114">
        <v>122</v>
      </c>
      <c r="G41" s="114">
        <v>0</v>
      </c>
      <c r="H41" s="114">
        <v>999</v>
      </c>
      <c r="I41" s="114" t="s">
        <v>398</v>
      </c>
      <c r="J41" s="115"/>
      <c r="K41" s="114">
        <v>40</v>
      </c>
      <c r="L41" s="116"/>
      <c r="M41" s="114">
        <v>781.8</v>
      </c>
      <c r="N41" s="117" t="s">
        <v>27</v>
      </c>
    </row>
    <row r="42" spans="1:14" x14ac:dyDescent="0.25">
      <c r="A42" s="114" t="s">
        <v>23</v>
      </c>
      <c r="B42" s="114" t="s">
        <v>24</v>
      </c>
      <c r="C42" s="114">
        <v>169112569</v>
      </c>
      <c r="D42" s="114" t="s">
        <v>25</v>
      </c>
      <c r="E42" s="114" t="s">
        <v>26</v>
      </c>
      <c r="F42" s="114">
        <v>128</v>
      </c>
      <c r="G42" s="114">
        <v>0</v>
      </c>
      <c r="H42" s="114">
        <v>984</v>
      </c>
      <c r="I42" s="114" t="s">
        <v>394</v>
      </c>
      <c r="J42" s="115"/>
      <c r="K42" s="114">
        <v>40</v>
      </c>
      <c r="L42" s="116"/>
      <c r="M42" s="114">
        <v>745.8</v>
      </c>
      <c r="N42" s="117" t="s">
        <v>27</v>
      </c>
    </row>
    <row r="43" spans="1:14" x14ac:dyDescent="0.25">
      <c r="A43" s="114" t="s">
        <v>30</v>
      </c>
      <c r="B43" s="114" t="s">
        <v>107</v>
      </c>
      <c r="C43" s="114">
        <v>370594147</v>
      </c>
      <c r="D43" s="114" t="s">
        <v>201</v>
      </c>
      <c r="E43" s="114" t="s">
        <v>202</v>
      </c>
      <c r="F43" s="114">
        <v>106</v>
      </c>
      <c r="G43" s="114">
        <v>0</v>
      </c>
      <c r="H43" s="114">
        <v>244</v>
      </c>
      <c r="I43" s="114" t="s">
        <v>399</v>
      </c>
      <c r="J43" s="115"/>
      <c r="K43" s="114">
        <v>40</v>
      </c>
      <c r="L43" s="116"/>
      <c r="M43" s="114">
        <v>691.8</v>
      </c>
      <c r="N43" s="117" t="s">
        <v>27</v>
      </c>
    </row>
    <row r="44" spans="1:14" x14ac:dyDescent="0.25">
      <c r="A44" s="114" t="s">
        <v>30</v>
      </c>
      <c r="B44" s="114" t="s">
        <v>185</v>
      </c>
      <c r="C44" s="114">
        <v>340948906</v>
      </c>
      <c r="D44" s="114" t="s">
        <v>186</v>
      </c>
      <c r="E44" s="114" t="s">
        <v>187</v>
      </c>
      <c r="F44" s="114">
        <v>0</v>
      </c>
      <c r="G44" s="114">
        <v>0</v>
      </c>
      <c r="H44" s="114">
        <v>1</v>
      </c>
      <c r="I44" s="114" t="s">
        <v>337</v>
      </c>
      <c r="J44" s="115"/>
      <c r="K44" s="114">
        <v>30</v>
      </c>
      <c r="L44" s="116"/>
      <c r="M44" s="114">
        <v>1218.7</v>
      </c>
      <c r="N44" s="117" t="s">
        <v>27</v>
      </c>
    </row>
    <row r="45" spans="1:14" x14ac:dyDescent="0.25">
      <c r="A45" s="114" t="s">
        <v>30</v>
      </c>
      <c r="B45" s="114" t="s">
        <v>99</v>
      </c>
      <c r="C45" s="114">
        <v>327442631</v>
      </c>
      <c r="D45" s="114" t="s">
        <v>180</v>
      </c>
      <c r="E45" s="114" t="s">
        <v>181</v>
      </c>
      <c r="F45" s="114">
        <v>82</v>
      </c>
      <c r="G45" s="114">
        <v>0</v>
      </c>
      <c r="H45" s="114">
        <v>999</v>
      </c>
      <c r="I45" s="114" t="s">
        <v>400</v>
      </c>
      <c r="J45" s="115"/>
      <c r="K45" s="114">
        <v>40</v>
      </c>
      <c r="L45" s="116"/>
      <c r="M45" s="114">
        <v>766.2</v>
      </c>
      <c r="N45" s="117" t="s">
        <v>27</v>
      </c>
    </row>
    <row r="46" spans="1:14" x14ac:dyDescent="0.25">
      <c r="A46" s="114" t="s">
        <v>23</v>
      </c>
      <c r="B46" s="114" t="s">
        <v>34</v>
      </c>
      <c r="C46" s="114">
        <v>223420736</v>
      </c>
      <c r="D46" s="114" t="s">
        <v>64</v>
      </c>
      <c r="E46" s="114" t="s">
        <v>65</v>
      </c>
      <c r="F46" s="114">
        <v>56</v>
      </c>
      <c r="G46" s="114">
        <v>0</v>
      </c>
      <c r="H46" s="114">
        <v>368</v>
      </c>
      <c r="I46" s="114" t="s">
        <v>401</v>
      </c>
      <c r="J46" s="115"/>
      <c r="K46" s="114">
        <v>40</v>
      </c>
      <c r="L46" s="116"/>
      <c r="M46" s="114">
        <v>901.2</v>
      </c>
      <c r="N46" s="117" t="s">
        <v>27</v>
      </c>
    </row>
    <row r="47" spans="1:14" x14ac:dyDescent="0.25">
      <c r="A47" s="114" t="s">
        <v>30</v>
      </c>
      <c r="B47" s="114" t="s">
        <v>107</v>
      </c>
      <c r="C47" s="114">
        <v>321959186</v>
      </c>
      <c r="D47" s="114" t="s">
        <v>176</v>
      </c>
      <c r="E47" s="114" t="s">
        <v>177</v>
      </c>
      <c r="F47" s="114">
        <v>31</v>
      </c>
      <c r="G47" s="114">
        <v>0</v>
      </c>
      <c r="H47" s="114">
        <v>246</v>
      </c>
      <c r="I47" s="114" t="s">
        <v>402</v>
      </c>
      <c r="J47" s="115"/>
      <c r="K47" s="114">
        <v>40</v>
      </c>
      <c r="L47" s="116"/>
      <c r="M47" s="114">
        <v>595.20000000000005</v>
      </c>
      <c r="N47" s="117" t="s">
        <v>27</v>
      </c>
    </row>
    <row r="48" spans="1:14" x14ac:dyDescent="0.25">
      <c r="A48" s="114" t="s">
        <v>30</v>
      </c>
      <c r="B48" s="114" t="s">
        <v>107</v>
      </c>
      <c r="C48" s="114">
        <v>273556717</v>
      </c>
      <c r="D48" s="114" t="s">
        <v>108</v>
      </c>
      <c r="E48" s="114" t="s">
        <v>109</v>
      </c>
      <c r="F48" s="114">
        <v>134</v>
      </c>
      <c r="G48" s="114">
        <v>0</v>
      </c>
      <c r="H48" s="114">
        <v>193</v>
      </c>
      <c r="I48" s="114" t="s">
        <v>403</v>
      </c>
      <c r="J48" s="115"/>
      <c r="K48" s="114">
        <v>40</v>
      </c>
      <c r="L48" s="116"/>
      <c r="M48" s="114">
        <v>520.79999999999995</v>
      </c>
      <c r="N48" s="117" t="s">
        <v>27</v>
      </c>
    </row>
    <row r="49" spans="1:14" x14ac:dyDescent="0.25">
      <c r="A49" s="114" t="s">
        <v>23</v>
      </c>
      <c r="B49" s="114" t="s">
        <v>34</v>
      </c>
      <c r="C49" s="114">
        <v>419145985</v>
      </c>
      <c r="D49" s="114" t="s">
        <v>210</v>
      </c>
      <c r="E49" s="114" t="s">
        <v>211</v>
      </c>
      <c r="F49" s="114">
        <v>90</v>
      </c>
      <c r="G49" s="114">
        <v>0</v>
      </c>
      <c r="H49" s="114">
        <v>999</v>
      </c>
      <c r="I49" s="114" t="s">
        <v>404</v>
      </c>
      <c r="J49" s="115"/>
      <c r="K49" s="114">
        <v>40</v>
      </c>
      <c r="L49" s="116"/>
      <c r="M49" s="114">
        <v>552</v>
      </c>
      <c r="N49" s="117" t="s">
        <v>27</v>
      </c>
    </row>
    <row r="50" spans="1:14" x14ac:dyDescent="0.25">
      <c r="A50" s="114" t="s">
        <v>23</v>
      </c>
      <c r="B50" s="114" t="s">
        <v>34</v>
      </c>
      <c r="C50" s="114">
        <v>340743911</v>
      </c>
      <c r="D50" s="114" t="s">
        <v>194</v>
      </c>
      <c r="E50" s="114" t="s">
        <v>195</v>
      </c>
      <c r="F50" s="114">
        <v>13</v>
      </c>
      <c r="G50" s="114">
        <v>0</v>
      </c>
      <c r="H50" s="114">
        <v>416</v>
      </c>
      <c r="I50" s="114" t="s">
        <v>405</v>
      </c>
      <c r="J50" s="115"/>
      <c r="K50" s="114">
        <v>40</v>
      </c>
      <c r="L50" s="116"/>
      <c r="M50" s="114">
        <v>508.2</v>
      </c>
      <c r="N50" s="117" t="s">
        <v>27</v>
      </c>
    </row>
    <row r="51" spans="1:14" x14ac:dyDescent="0.25">
      <c r="A51" s="114" t="s">
        <v>23</v>
      </c>
      <c r="B51" s="114" t="s">
        <v>34</v>
      </c>
      <c r="C51" s="114">
        <v>275208802</v>
      </c>
      <c r="D51" s="114" t="s">
        <v>116</v>
      </c>
      <c r="E51" s="114" t="s">
        <v>117</v>
      </c>
      <c r="F51" s="114">
        <v>60</v>
      </c>
      <c r="G51" s="114">
        <v>0</v>
      </c>
      <c r="H51" s="114">
        <v>999</v>
      </c>
      <c r="I51" s="114" t="s">
        <v>338</v>
      </c>
      <c r="J51" s="115"/>
      <c r="K51" s="114">
        <v>30</v>
      </c>
      <c r="L51" s="116"/>
      <c r="M51" s="114">
        <v>919.1</v>
      </c>
      <c r="N51" s="117" t="s">
        <v>27</v>
      </c>
    </row>
    <row r="52" spans="1:14" x14ac:dyDescent="0.25">
      <c r="A52" s="114" t="s">
        <v>23</v>
      </c>
      <c r="B52" s="114" t="s">
        <v>34</v>
      </c>
      <c r="C52" s="114">
        <v>419145389</v>
      </c>
      <c r="D52" s="114" t="s">
        <v>216</v>
      </c>
      <c r="E52" s="114" t="s">
        <v>217</v>
      </c>
      <c r="F52" s="114">
        <v>118</v>
      </c>
      <c r="G52" s="114">
        <v>0</v>
      </c>
      <c r="H52" s="114">
        <v>717</v>
      </c>
      <c r="I52" s="114" t="s">
        <v>386</v>
      </c>
      <c r="J52" s="115"/>
      <c r="K52" s="114">
        <v>40</v>
      </c>
      <c r="L52" s="116"/>
      <c r="M52" s="114">
        <v>612</v>
      </c>
      <c r="N52" s="117" t="s">
        <v>27</v>
      </c>
    </row>
    <row r="53" spans="1:14" x14ac:dyDescent="0.25">
      <c r="A53" s="114" t="s">
        <v>23</v>
      </c>
      <c r="B53" s="114" t="s">
        <v>34</v>
      </c>
      <c r="C53" s="114">
        <v>275208801</v>
      </c>
      <c r="D53" s="114" t="s">
        <v>114</v>
      </c>
      <c r="E53" s="114" t="s">
        <v>115</v>
      </c>
      <c r="F53" s="114">
        <v>58</v>
      </c>
      <c r="G53" s="114">
        <v>0</v>
      </c>
      <c r="H53" s="114">
        <v>215</v>
      </c>
      <c r="I53" s="114" t="s">
        <v>406</v>
      </c>
      <c r="J53" s="115"/>
      <c r="K53" s="114">
        <v>40</v>
      </c>
      <c r="L53" s="116"/>
      <c r="M53" s="114">
        <v>724.8</v>
      </c>
      <c r="N53" s="117" t="s">
        <v>27</v>
      </c>
    </row>
    <row r="54" spans="1:14" x14ac:dyDescent="0.25">
      <c r="A54" s="114" t="s">
        <v>23</v>
      </c>
      <c r="B54" s="114" t="s">
        <v>34</v>
      </c>
      <c r="C54" s="114">
        <v>419145748</v>
      </c>
      <c r="D54" s="114" t="s">
        <v>226</v>
      </c>
      <c r="E54" s="114" t="s">
        <v>227</v>
      </c>
      <c r="F54" s="114">
        <v>109</v>
      </c>
      <c r="G54" s="114">
        <v>0</v>
      </c>
      <c r="H54" s="114">
        <v>999</v>
      </c>
      <c r="I54" s="114" t="s">
        <v>407</v>
      </c>
      <c r="J54" s="115"/>
      <c r="K54" s="114">
        <v>40</v>
      </c>
      <c r="L54" s="116"/>
      <c r="M54" s="114">
        <v>553.20000000000005</v>
      </c>
      <c r="N54" s="117" t="s">
        <v>27</v>
      </c>
    </row>
    <row r="55" spans="1:14" x14ac:dyDescent="0.25">
      <c r="A55" s="114" t="s">
        <v>23</v>
      </c>
      <c r="B55" s="114" t="s">
        <v>34</v>
      </c>
      <c r="C55" s="114">
        <v>340743352</v>
      </c>
      <c r="D55" s="114" t="s">
        <v>192</v>
      </c>
      <c r="E55" s="114" t="s">
        <v>193</v>
      </c>
      <c r="F55" s="114">
        <v>27</v>
      </c>
      <c r="G55" s="114">
        <v>0</v>
      </c>
      <c r="H55" s="114">
        <v>216</v>
      </c>
      <c r="I55" s="114" t="s">
        <v>392</v>
      </c>
      <c r="J55" s="115"/>
      <c r="K55" s="114">
        <v>40</v>
      </c>
      <c r="L55" s="116"/>
      <c r="M55" s="114">
        <v>513</v>
      </c>
      <c r="N55" s="117" t="s">
        <v>27</v>
      </c>
    </row>
    <row r="56" spans="1:14" x14ac:dyDescent="0.25">
      <c r="A56" s="114" t="s">
        <v>23</v>
      </c>
      <c r="B56" s="114" t="s">
        <v>34</v>
      </c>
      <c r="C56" s="114">
        <v>419145391</v>
      </c>
      <c r="D56" s="114" t="s">
        <v>222</v>
      </c>
      <c r="E56" s="114" t="s">
        <v>223</v>
      </c>
      <c r="F56" s="114">
        <v>298</v>
      </c>
      <c r="G56" s="114">
        <v>0</v>
      </c>
      <c r="H56" s="114">
        <v>999</v>
      </c>
      <c r="I56" s="114" t="s">
        <v>329</v>
      </c>
      <c r="J56" s="115"/>
      <c r="K56" s="114">
        <v>30</v>
      </c>
      <c r="L56" s="116"/>
      <c r="M56" s="114">
        <v>618.79999999999995</v>
      </c>
      <c r="N56" s="117" t="s">
        <v>27</v>
      </c>
    </row>
    <row r="57" spans="1:14" x14ac:dyDescent="0.25">
      <c r="A57" s="114" t="s">
        <v>23</v>
      </c>
      <c r="B57" s="114" t="s">
        <v>34</v>
      </c>
      <c r="C57" s="114">
        <v>419141548</v>
      </c>
      <c r="D57" s="114" t="s">
        <v>214</v>
      </c>
      <c r="E57" s="114" t="s">
        <v>215</v>
      </c>
      <c r="F57" s="114">
        <v>76</v>
      </c>
      <c r="G57" s="114">
        <v>0</v>
      </c>
      <c r="H57" s="114">
        <v>258</v>
      </c>
      <c r="I57" s="114" t="s">
        <v>383</v>
      </c>
      <c r="J57" s="115"/>
      <c r="K57" s="114">
        <v>40</v>
      </c>
      <c r="L57" s="116"/>
      <c r="M57" s="114">
        <v>592.79999999999995</v>
      </c>
      <c r="N57" s="117" t="s">
        <v>27</v>
      </c>
    </row>
    <row r="58" spans="1:14" x14ac:dyDescent="0.25">
      <c r="A58" s="114" t="s">
        <v>30</v>
      </c>
      <c r="B58" s="114" t="s">
        <v>31</v>
      </c>
      <c r="C58" s="114">
        <v>273513216</v>
      </c>
      <c r="D58" s="114" t="s">
        <v>168</v>
      </c>
      <c r="E58" s="114" t="s">
        <v>169</v>
      </c>
      <c r="F58" s="114">
        <v>0</v>
      </c>
      <c r="G58" s="114">
        <v>0</v>
      </c>
      <c r="H58" s="114">
        <v>999</v>
      </c>
      <c r="I58" s="114" t="s">
        <v>260</v>
      </c>
      <c r="J58" s="115"/>
      <c r="K58" s="114">
        <v>20</v>
      </c>
      <c r="L58" s="116"/>
      <c r="M58" s="114">
        <v>1511.2</v>
      </c>
      <c r="N58" s="117" t="s">
        <v>27</v>
      </c>
    </row>
    <row r="59" spans="1:14" x14ac:dyDescent="0.25">
      <c r="A59" s="114" t="s">
        <v>30</v>
      </c>
      <c r="B59" s="114" t="s">
        <v>31</v>
      </c>
      <c r="C59" s="114">
        <v>236074677</v>
      </c>
      <c r="D59" s="114" t="s">
        <v>46</v>
      </c>
      <c r="E59" s="114" t="s">
        <v>47</v>
      </c>
      <c r="F59" s="114">
        <v>18</v>
      </c>
      <c r="G59" s="114">
        <v>0</v>
      </c>
      <c r="H59" s="114">
        <v>152</v>
      </c>
      <c r="I59" s="114" t="s">
        <v>408</v>
      </c>
      <c r="J59" s="115"/>
      <c r="K59" s="114">
        <v>40</v>
      </c>
      <c r="L59" s="116"/>
      <c r="M59" s="114">
        <v>750</v>
      </c>
      <c r="N59" s="117" t="s">
        <v>27</v>
      </c>
    </row>
    <row r="60" spans="1:14" x14ac:dyDescent="0.25">
      <c r="A60" s="114" t="s">
        <v>23</v>
      </c>
      <c r="B60" s="114" t="s">
        <v>34</v>
      </c>
      <c r="C60" s="114">
        <v>340741532</v>
      </c>
      <c r="D60" s="114" t="s">
        <v>190</v>
      </c>
      <c r="E60" s="114" t="s">
        <v>191</v>
      </c>
      <c r="F60" s="114">
        <v>60</v>
      </c>
      <c r="G60" s="114">
        <v>0</v>
      </c>
      <c r="H60" s="114">
        <v>999</v>
      </c>
      <c r="I60" s="114" t="s">
        <v>392</v>
      </c>
      <c r="J60" s="115"/>
      <c r="K60" s="114">
        <v>40</v>
      </c>
      <c r="L60" s="116"/>
      <c r="M60" s="114">
        <v>513</v>
      </c>
      <c r="N60" s="117" t="s">
        <v>27</v>
      </c>
    </row>
    <row r="61" spans="1:14" x14ac:dyDescent="0.25">
      <c r="A61" s="114" t="s">
        <v>30</v>
      </c>
      <c r="B61" s="114" t="s">
        <v>31</v>
      </c>
      <c r="C61" s="114">
        <v>239233529</v>
      </c>
      <c r="D61" s="114" t="s">
        <v>48</v>
      </c>
      <c r="E61" s="114" t="s">
        <v>49</v>
      </c>
      <c r="F61" s="114">
        <v>55</v>
      </c>
      <c r="G61" s="114">
        <v>0</v>
      </c>
      <c r="H61" s="114">
        <v>290</v>
      </c>
      <c r="I61" s="114" t="s">
        <v>409</v>
      </c>
      <c r="J61" s="115"/>
      <c r="K61" s="114">
        <v>40</v>
      </c>
      <c r="L61" s="116"/>
      <c r="M61" s="114">
        <v>702</v>
      </c>
      <c r="N61" s="117" t="s">
        <v>27</v>
      </c>
    </row>
    <row r="62" spans="1:14" x14ac:dyDescent="0.25">
      <c r="A62" s="114" t="s">
        <v>30</v>
      </c>
      <c r="B62" s="114" t="s">
        <v>102</v>
      </c>
      <c r="C62" s="114">
        <v>273551028</v>
      </c>
      <c r="D62" s="114" t="s">
        <v>105</v>
      </c>
      <c r="E62" s="114" t="s">
        <v>106</v>
      </c>
      <c r="F62" s="114">
        <v>0</v>
      </c>
      <c r="G62" s="114">
        <v>0</v>
      </c>
      <c r="H62" s="114">
        <v>1</v>
      </c>
      <c r="I62" s="114" t="s">
        <v>326</v>
      </c>
      <c r="J62" s="115"/>
      <c r="K62" s="114">
        <v>30</v>
      </c>
      <c r="L62" s="116"/>
      <c r="M62" s="114">
        <v>858.9</v>
      </c>
      <c r="N62" s="117" t="s">
        <v>27</v>
      </c>
    </row>
    <row r="63" spans="1:14" x14ac:dyDescent="0.25">
      <c r="A63" s="114" t="s">
        <v>23</v>
      </c>
      <c r="B63" s="114" t="s">
        <v>45</v>
      </c>
      <c r="C63" s="114">
        <v>273516556</v>
      </c>
      <c r="D63" s="114" t="s">
        <v>233</v>
      </c>
      <c r="E63" s="114" t="s">
        <v>98</v>
      </c>
      <c r="F63" s="114">
        <v>112</v>
      </c>
      <c r="G63" s="114">
        <v>0</v>
      </c>
      <c r="H63" s="114">
        <v>338</v>
      </c>
      <c r="I63" s="114" t="s">
        <v>410</v>
      </c>
      <c r="J63" s="115"/>
      <c r="K63" s="114">
        <v>40</v>
      </c>
      <c r="L63" s="116"/>
      <c r="M63" s="114">
        <v>969</v>
      </c>
      <c r="N63" s="117" t="s">
        <v>27</v>
      </c>
    </row>
    <row r="64" spans="1:14" x14ac:dyDescent="0.25">
      <c r="A64" s="114" t="s">
        <v>23</v>
      </c>
      <c r="B64" s="114" t="s">
        <v>45</v>
      </c>
      <c r="C64" s="114">
        <v>278515093</v>
      </c>
      <c r="D64" s="114" t="s">
        <v>229</v>
      </c>
      <c r="E64" s="114" t="s">
        <v>174</v>
      </c>
      <c r="F64" s="114">
        <v>337</v>
      </c>
      <c r="G64" s="114">
        <v>0</v>
      </c>
      <c r="H64" s="114">
        <v>999</v>
      </c>
      <c r="I64" s="114" t="s">
        <v>411</v>
      </c>
      <c r="J64" s="115"/>
      <c r="K64" s="114">
        <v>40</v>
      </c>
      <c r="L64" s="116"/>
      <c r="M64" s="114">
        <v>873</v>
      </c>
      <c r="N64" s="117" t="s">
        <v>27</v>
      </c>
    </row>
    <row r="65" spans="1:14" x14ac:dyDescent="0.25">
      <c r="A65" s="114" t="s">
        <v>30</v>
      </c>
      <c r="B65" s="114" t="s">
        <v>31</v>
      </c>
      <c r="C65" s="114">
        <v>236929188</v>
      </c>
      <c r="D65" s="114" t="s">
        <v>73</v>
      </c>
      <c r="E65" s="114" t="s">
        <v>74</v>
      </c>
      <c r="F65" s="114">
        <v>130</v>
      </c>
      <c r="G65" s="114">
        <v>0</v>
      </c>
      <c r="H65" s="114">
        <v>999</v>
      </c>
      <c r="I65" s="114" t="s">
        <v>352</v>
      </c>
      <c r="J65" s="115"/>
      <c r="K65" s="114">
        <v>30</v>
      </c>
      <c r="L65" s="116"/>
      <c r="M65" s="114">
        <v>669.2</v>
      </c>
      <c r="N65" s="117" t="s">
        <v>27</v>
      </c>
    </row>
    <row r="66" spans="1:14" x14ac:dyDescent="0.25">
      <c r="A66" s="114" t="s">
        <v>23</v>
      </c>
      <c r="B66" s="114" t="s">
        <v>34</v>
      </c>
      <c r="C66" s="114">
        <v>419145986</v>
      </c>
      <c r="D66" s="114" t="s">
        <v>212</v>
      </c>
      <c r="E66" s="114" t="s">
        <v>213</v>
      </c>
      <c r="F66" s="114">
        <v>119</v>
      </c>
      <c r="G66" s="114">
        <v>0</v>
      </c>
      <c r="H66" s="114">
        <v>999</v>
      </c>
      <c r="I66" s="114" t="s">
        <v>412</v>
      </c>
      <c r="J66" s="115"/>
      <c r="K66" s="114">
        <v>40</v>
      </c>
      <c r="L66" s="116"/>
      <c r="M66" s="114">
        <v>681</v>
      </c>
      <c r="N66" s="117" t="s">
        <v>27</v>
      </c>
    </row>
    <row r="67" spans="1:14" x14ac:dyDescent="0.25">
      <c r="A67" s="114" t="s">
        <v>23</v>
      </c>
      <c r="B67" s="114" t="s">
        <v>34</v>
      </c>
      <c r="C67" s="114">
        <v>236072834</v>
      </c>
      <c r="D67" s="114" t="s">
        <v>234</v>
      </c>
      <c r="E67" s="114" t="s">
        <v>67</v>
      </c>
      <c r="F67" s="114">
        <v>254</v>
      </c>
      <c r="G67" s="114">
        <v>0</v>
      </c>
      <c r="H67" s="114">
        <v>443</v>
      </c>
      <c r="I67" s="114" t="s">
        <v>356</v>
      </c>
      <c r="J67" s="115"/>
      <c r="K67" s="114">
        <v>40</v>
      </c>
      <c r="L67" s="116"/>
      <c r="M67" s="114">
        <v>544.79999999999995</v>
      </c>
      <c r="N67" s="117" t="s">
        <v>27</v>
      </c>
    </row>
    <row r="68" spans="1:14" x14ac:dyDescent="0.25">
      <c r="A68" s="114" t="s">
        <v>23</v>
      </c>
      <c r="B68" s="114" t="s">
        <v>45</v>
      </c>
      <c r="C68" s="114">
        <v>345168494</v>
      </c>
      <c r="D68" s="114" t="s">
        <v>231</v>
      </c>
      <c r="E68" s="114" t="s">
        <v>196</v>
      </c>
      <c r="F68" s="114">
        <v>196</v>
      </c>
      <c r="G68" s="114">
        <v>0</v>
      </c>
      <c r="H68" s="114">
        <v>587</v>
      </c>
      <c r="I68" s="114" t="s">
        <v>410</v>
      </c>
      <c r="J68" s="115"/>
      <c r="K68" s="114">
        <v>40</v>
      </c>
      <c r="L68" s="116"/>
      <c r="M68" s="114">
        <v>969</v>
      </c>
      <c r="N68" s="117" t="s">
        <v>27</v>
      </c>
    </row>
    <row r="69" spans="1:14" x14ac:dyDescent="0.25">
      <c r="A69" s="114" t="s">
        <v>23</v>
      </c>
      <c r="B69" s="114" t="s">
        <v>261</v>
      </c>
      <c r="C69" s="114">
        <v>550540000</v>
      </c>
      <c r="D69" s="114" t="s">
        <v>266</v>
      </c>
      <c r="E69" s="114" t="s">
        <v>267</v>
      </c>
      <c r="F69" s="114" t="s">
        <v>27</v>
      </c>
      <c r="G69" s="114" t="s">
        <v>27</v>
      </c>
      <c r="H69" s="114" t="s">
        <v>27</v>
      </c>
      <c r="I69" s="114" t="s">
        <v>285</v>
      </c>
      <c r="J69" s="115"/>
      <c r="K69" s="114">
        <v>30</v>
      </c>
      <c r="L69" s="116"/>
      <c r="M69" s="114">
        <v>749</v>
      </c>
      <c r="N69" s="117" t="s">
        <v>27</v>
      </c>
    </row>
    <row r="70" spans="1:14" x14ac:dyDescent="0.25">
      <c r="A70" s="114" t="s">
        <v>23</v>
      </c>
      <c r="B70" s="114" t="s">
        <v>34</v>
      </c>
      <c r="C70" s="114">
        <v>370591238</v>
      </c>
      <c r="D70" s="114" t="s">
        <v>236</v>
      </c>
      <c r="E70" s="114" t="s">
        <v>200</v>
      </c>
      <c r="F70" s="114">
        <v>252</v>
      </c>
      <c r="G70" s="114">
        <v>0</v>
      </c>
      <c r="H70" s="114">
        <v>999</v>
      </c>
      <c r="I70" s="114" t="s">
        <v>332</v>
      </c>
      <c r="J70" s="115"/>
      <c r="K70" s="114">
        <v>30</v>
      </c>
      <c r="L70" s="116"/>
      <c r="M70" s="114">
        <v>599.20000000000005</v>
      </c>
      <c r="N70" s="117" t="s">
        <v>27</v>
      </c>
    </row>
    <row r="71" spans="1:14" x14ac:dyDescent="0.25">
      <c r="A71" s="114" t="s">
        <v>23</v>
      </c>
      <c r="B71" s="114" t="s">
        <v>34</v>
      </c>
      <c r="C71" s="114">
        <v>419146579</v>
      </c>
      <c r="D71" s="114" t="s">
        <v>208</v>
      </c>
      <c r="E71" s="114" t="s">
        <v>209</v>
      </c>
      <c r="F71" s="114">
        <v>120</v>
      </c>
      <c r="G71" s="114">
        <v>0</v>
      </c>
      <c r="H71" s="114">
        <v>999</v>
      </c>
      <c r="I71" s="114" t="s">
        <v>409</v>
      </c>
      <c r="J71" s="115"/>
      <c r="K71" s="114">
        <v>40</v>
      </c>
      <c r="L71" s="116"/>
      <c r="M71" s="114">
        <v>702</v>
      </c>
      <c r="N71" s="117" t="s">
        <v>27</v>
      </c>
    </row>
    <row r="72" spans="1:14" x14ac:dyDescent="0.25">
      <c r="A72" s="114" t="s">
        <v>23</v>
      </c>
      <c r="B72" s="114" t="s">
        <v>34</v>
      </c>
      <c r="C72" s="114">
        <v>419141549</v>
      </c>
      <c r="D72" s="114" t="s">
        <v>206</v>
      </c>
      <c r="E72" s="114" t="s">
        <v>207</v>
      </c>
      <c r="F72" s="114">
        <v>98</v>
      </c>
      <c r="G72" s="114">
        <v>0</v>
      </c>
      <c r="H72" s="114">
        <v>339</v>
      </c>
      <c r="I72" s="114" t="s">
        <v>331</v>
      </c>
      <c r="J72" s="115"/>
      <c r="K72" s="114">
        <v>30</v>
      </c>
      <c r="L72" s="116"/>
      <c r="M72" s="114">
        <v>709.1</v>
      </c>
      <c r="N72" s="117" t="s">
        <v>27</v>
      </c>
    </row>
    <row r="73" spans="1:14" x14ac:dyDescent="0.25">
      <c r="A73" s="114" t="s">
        <v>23</v>
      </c>
      <c r="B73" s="114" t="s">
        <v>34</v>
      </c>
      <c r="C73" s="114">
        <v>419145390</v>
      </c>
      <c r="D73" s="114" t="s">
        <v>220</v>
      </c>
      <c r="E73" s="114" t="s">
        <v>221</v>
      </c>
      <c r="F73" s="114">
        <v>152</v>
      </c>
      <c r="G73" s="114">
        <v>0</v>
      </c>
      <c r="H73" s="114">
        <v>999</v>
      </c>
      <c r="I73" s="114" t="s">
        <v>331</v>
      </c>
      <c r="J73" s="115"/>
      <c r="K73" s="114">
        <v>30</v>
      </c>
      <c r="L73" s="116"/>
      <c r="M73" s="114">
        <v>709.1</v>
      </c>
      <c r="N73" s="117" t="s">
        <v>27</v>
      </c>
    </row>
    <row r="74" spans="1:14" x14ac:dyDescent="0.25">
      <c r="A74" s="114" t="s">
        <v>30</v>
      </c>
      <c r="B74" s="114" t="s">
        <v>31</v>
      </c>
      <c r="C74" s="114">
        <v>176721350</v>
      </c>
      <c r="D74" s="114" t="s">
        <v>39</v>
      </c>
      <c r="E74" s="114" t="s">
        <v>40</v>
      </c>
      <c r="F74" s="114">
        <v>258</v>
      </c>
      <c r="G74" s="114">
        <v>0</v>
      </c>
      <c r="H74" s="114">
        <v>334</v>
      </c>
      <c r="I74" s="114" t="s">
        <v>413</v>
      </c>
      <c r="J74" s="115"/>
      <c r="K74" s="114">
        <v>40</v>
      </c>
      <c r="L74" s="116"/>
      <c r="M74" s="114">
        <v>757.2</v>
      </c>
      <c r="N74" s="117" t="s">
        <v>27</v>
      </c>
    </row>
    <row r="75" spans="1:14" x14ac:dyDescent="0.25">
      <c r="A75" s="114" t="s">
        <v>23</v>
      </c>
      <c r="B75" s="114" t="s">
        <v>34</v>
      </c>
      <c r="C75" s="114">
        <v>419145749</v>
      </c>
      <c r="D75" s="114" t="s">
        <v>218</v>
      </c>
      <c r="E75" s="114" t="s">
        <v>219</v>
      </c>
      <c r="F75" s="114">
        <v>106</v>
      </c>
      <c r="G75" s="114">
        <v>0</v>
      </c>
      <c r="H75" s="114">
        <v>816</v>
      </c>
      <c r="I75" s="114" t="s">
        <v>414</v>
      </c>
      <c r="J75" s="115"/>
      <c r="K75" s="114">
        <v>40</v>
      </c>
      <c r="L75" s="116"/>
      <c r="M75" s="114">
        <v>502.2</v>
      </c>
      <c r="N75" s="117" t="s">
        <v>27</v>
      </c>
    </row>
    <row r="76" spans="1:14" x14ac:dyDescent="0.25">
      <c r="A76" s="114" t="s">
        <v>30</v>
      </c>
      <c r="B76" s="114" t="s">
        <v>31</v>
      </c>
      <c r="C76" s="114">
        <v>236929187</v>
      </c>
      <c r="D76" s="114" t="s">
        <v>71</v>
      </c>
      <c r="E76" s="114" t="s">
        <v>72</v>
      </c>
      <c r="F76" s="114">
        <v>94</v>
      </c>
      <c r="G76" s="114">
        <v>0</v>
      </c>
      <c r="H76" s="114">
        <v>72</v>
      </c>
      <c r="I76" s="114" t="s">
        <v>415</v>
      </c>
      <c r="J76" s="115"/>
      <c r="K76" s="114">
        <v>40</v>
      </c>
      <c r="L76" s="116"/>
      <c r="M76" s="114">
        <v>669</v>
      </c>
      <c r="N76" s="117" t="s">
        <v>27</v>
      </c>
    </row>
    <row r="77" spans="1:14" x14ac:dyDescent="0.25">
      <c r="A77" s="114" t="s">
        <v>30</v>
      </c>
      <c r="B77" s="114" t="s">
        <v>31</v>
      </c>
      <c r="C77" s="114">
        <v>204615141</v>
      </c>
      <c r="D77" s="114" t="s">
        <v>62</v>
      </c>
      <c r="E77" s="114" t="s">
        <v>63</v>
      </c>
      <c r="F77" s="114">
        <v>222</v>
      </c>
      <c r="G77" s="114">
        <v>0</v>
      </c>
      <c r="H77" s="114">
        <v>602</v>
      </c>
      <c r="I77" s="114" t="s">
        <v>416</v>
      </c>
      <c r="J77" s="115"/>
      <c r="K77" s="114">
        <v>40</v>
      </c>
      <c r="L77" s="116"/>
      <c r="M77" s="114">
        <v>598.20000000000005</v>
      </c>
      <c r="N77" s="117" t="s">
        <v>27</v>
      </c>
    </row>
    <row r="78" spans="1:14" x14ac:dyDescent="0.25">
      <c r="A78" s="114" t="s">
        <v>30</v>
      </c>
      <c r="B78" s="114" t="s">
        <v>31</v>
      </c>
      <c r="C78" s="114">
        <v>176723275</v>
      </c>
      <c r="D78" s="114" t="s">
        <v>41</v>
      </c>
      <c r="E78" s="114" t="s">
        <v>42</v>
      </c>
      <c r="F78" s="114">
        <v>92</v>
      </c>
      <c r="G78" s="114">
        <v>0</v>
      </c>
      <c r="H78" s="114">
        <v>87</v>
      </c>
      <c r="I78" s="114" t="s">
        <v>417</v>
      </c>
      <c r="J78" s="115"/>
      <c r="K78" s="114">
        <v>40</v>
      </c>
      <c r="L78" s="116"/>
      <c r="M78" s="114">
        <v>838.8</v>
      </c>
      <c r="N78" s="117" t="s">
        <v>27</v>
      </c>
    </row>
    <row r="79" spans="1:14" x14ac:dyDescent="0.25">
      <c r="A79" s="114" t="s">
        <v>23</v>
      </c>
      <c r="B79" s="114" t="s">
        <v>261</v>
      </c>
      <c r="C79" s="114">
        <v>550539998</v>
      </c>
      <c r="D79" s="114" t="s">
        <v>262</v>
      </c>
      <c r="E79" s="114" t="s">
        <v>263</v>
      </c>
      <c r="F79" s="114">
        <v>59</v>
      </c>
      <c r="G79" s="114">
        <v>0</v>
      </c>
      <c r="H79" s="114">
        <v>999</v>
      </c>
      <c r="I79" s="114" t="s">
        <v>418</v>
      </c>
      <c r="J79" s="115"/>
      <c r="K79" s="114">
        <v>40</v>
      </c>
      <c r="L79" s="116"/>
      <c r="M79" s="114">
        <v>1624.2</v>
      </c>
      <c r="N79" s="117" t="s">
        <v>27</v>
      </c>
    </row>
    <row r="80" spans="1:14" x14ac:dyDescent="0.25">
      <c r="A80" s="114" t="s">
        <v>23</v>
      </c>
      <c r="B80" s="114" t="s">
        <v>34</v>
      </c>
      <c r="C80" s="114">
        <v>223671295</v>
      </c>
      <c r="D80" s="114" t="s">
        <v>237</v>
      </c>
      <c r="E80" s="114" t="s">
        <v>66</v>
      </c>
      <c r="F80" s="114">
        <v>447</v>
      </c>
      <c r="G80" s="114">
        <v>0</v>
      </c>
      <c r="H80" s="114">
        <v>823</v>
      </c>
      <c r="I80" s="114" t="s">
        <v>419</v>
      </c>
      <c r="J80" s="115"/>
      <c r="K80" s="114">
        <v>40</v>
      </c>
      <c r="L80" s="116"/>
      <c r="M80" s="114">
        <v>430.8</v>
      </c>
      <c r="N80" s="117" t="s">
        <v>27</v>
      </c>
    </row>
    <row r="81" spans="1:14" x14ac:dyDescent="0.25">
      <c r="A81" s="114" t="s">
        <v>23</v>
      </c>
      <c r="B81" s="114" t="s">
        <v>88</v>
      </c>
      <c r="C81" s="114">
        <v>271441230</v>
      </c>
      <c r="D81" s="114" t="s">
        <v>95</v>
      </c>
      <c r="E81" s="114" t="s">
        <v>96</v>
      </c>
      <c r="F81" s="114">
        <v>0</v>
      </c>
      <c r="G81" s="114">
        <v>0</v>
      </c>
      <c r="H81" s="114">
        <v>1</v>
      </c>
      <c r="I81" s="114" t="s">
        <v>328</v>
      </c>
      <c r="J81" s="115"/>
      <c r="K81" s="114">
        <v>30</v>
      </c>
      <c r="L81" s="116"/>
      <c r="M81" s="114">
        <v>1259.3</v>
      </c>
      <c r="N81" s="117" t="s">
        <v>27</v>
      </c>
    </row>
    <row r="82" spans="1:14" x14ac:dyDescent="0.25">
      <c r="A82" s="114" t="s">
        <v>23</v>
      </c>
      <c r="B82" s="114" t="s">
        <v>261</v>
      </c>
      <c r="C82" s="114">
        <v>550539999</v>
      </c>
      <c r="D82" s="114" t="s">
        <v>264</v>
      </c>
      <c r="E82" s="114" t="s">
        <v>265</v>
      </c>
      <c r="F82" s="114">
        <v>40</v>
      </c>
      <c r="G82" s="114">
        <v>0</v>
      </c>
      <c r="H82" s="114">
        <v>999</v>
      </c>
      <c r="I82" s="114" t="s">
        <v>420</v>
      </c>
      <c r="J82" s="115"/>
      <c r="K82" s="114">
        <v>40</v>
      </c>
      <c r="L82" s="116"/>
      <c r="M82" s="114">
        <v>999</v>
      </c>
      <c r="N82" s="117" t="s">
        <v>27</v>
      </c>
    </row>
    <row r="83" spans="1:14" x14ac:dyDescent="0.25">
      <c r="A83" s="114" t="s">
        <v>23</v>
      </c>
      <c r="B83" s="114" t="s">
        <v>88</v>
      </c>
      <c r="C83" s="114">
        <v>271440668</v>
      </c>
      <c r="D83" s="114" t="s">
        <v>89</v>
      </c>
      <c r="E83" s="114" t="s">
        <v>90</v>
      </c>
      <c r="F83" s="114">
        <v>130</v>
      </c>
      <c r="G83" s="114">
        <v>0</v>
      </c>
      <c r="H83" s="114">
        <v>983</v>
      </c>
      <c r="I83" s="114" t="s">
        <v>421</v>
      </c>
      <c r="J83" s="115"/>
      <c r="K83" s="114">
        <v>40</v>
      </c>
      <c r="L83" s="116"/>
      <c r="M83" s="114">
        <v>1206</v>
      </c>
      <c r="N83" s="117" t="s">
        <v>27</v>
      </c>
    </row>
    <row r="84" spans="1:14" x14ac:dyDescent="0.25">
      <c r="A84" s="114" t="s">
        <v>23</v>
      </c>
      <c r="B84" s="114" t="s">
        <v>88</v>
      </c>
      <c r="C84" s="114">
        <v>271440669</v>
      </c>
      <c r="D84" s="114" t="s">
        <v>91</v>
      </c>
      <c r="E84" s="114" t="s">
        <v>92</v>
      </c>
      <c r="F84" s="114">
        <v>128</v>
      </c>
      <c r="G84" s="114">
        <v>0</v>
      </c>
      <c r="H84" s="114">
        <v>440</v>
      </c>
      <c r="I84" s="114" t="s">
        <v>422</v>
      </c>
      <c r="J84" s="115"/>
      <c r="K84" s="114">
        <v>40</v>
      </c>
      <c r="L84" s="116"/>
      <c r="M84" s="114">
        <v>1087.8</v>
      </c>
      <c r="N84" s="117" t="s">
        <v>27</v>
      </c>
    </row>
    <row r="85" spans="1:14" x14ac:dyDescent="0.25">
      <c r="A85" s="114" t="s">
        <v>23</v>
      </c>
      <c r="B85" s="114" t="s">
        <v>261</v>
      </c>
      <c r="C85" s="114">
        <v>820643010</v>
      </c>
      <c r="D85" s="114" t="s">
        <v>291</v>
      </c>
      <c r="E85" s="114" t="s">
        <v>292</v>
      </c>
      <c r="F85" s="114">
        <v>89</v>
      </c>
      <c r="G85" s="114">
        <v>0</v>
      </c>
      <c r="H85" s="114">
        <v>520</v>
      </c>
      <c r="I85" s="114" t="s">
        <v>423</v>
      </c>
      <c r="J85" s="115"/>
      <c r="K85" s="114">
        <v>40</v>
      </c>
      <c r="L85" s="116"/>
      <c r="M85" s="114">
        <v>1483.2</v>
      </c>
      <c r="N85" s="117" t="s">
        <v>27</v>
      </c>
    </row>
    <row r="86" spans="1:14" x14ac:dyDescent="0.25">
      <c r="A86" s="114" t="s">
        <v>23</v>
      </c>
      <c r="B86" s="114" t="s">
        <v>88</v>
      </c>
      <c r="C86" s="114">
        <v>271440670</v>
      </c>
      <c r="D86" s="114" t="s">
        <v>93</v>
      </c>
      <c r="E86" s="114" t="s">
        <v>94</v>
      </c>
      <c r="F86" s="114">
        <v>100</v>
      </c>
      <c r="G86" s="114">
        <v>0</v>
      </c>
      <c r="H86" s="114">
        <v>999</v>
      </c>
      <c r="I86" s="114" t="s">
        <v>422</v>
      </c>
      <c r="J86" s="115"/>
      <c r="K86" s="114">
        <v>40</v>
      </c>
      <c r="L86" s="116"/>
      <c r="M86" s="114">
        <v>1087.8</v>
      </c>
      <c r="N86" s="117" t="s">
        <v>27</v>
      </c>
    </row>
  </sheetData>
  <autoFilter ref="A1:M87" xr:uid="{F8BF09F8-C5CC-4BC5-B8F2-FFDF5793A8FB}"/>
  <conditionalFormatting sqref="J2:J86">
    <cfRule type="containsBlanks" priority="1" stopIfTrue="1">
      <formula>LEN(TRIM(J2))=0</formula>
    </cfRule>
    <cfRule type="cellIs" dxfId="4" priority="2" operator="notBetween">
      <formula>50</formula>
      <formula>20000000</formula>
    </cfRule>
  </conditionalFormatting>
  <conditionalFormatting sqref="L2:L86">
    <cfRule type="containsBlanks" priority="3" stopIfTrue="1">
      <formula>LEN(TRIM(L2))=0</formula>
    </cfRule>
    <cfRule type="cellIs" dxfId="3" priority="4" operator="notBetween">
      <formula>0</formula>
      <formula>95</formula>
    </cfRule>
  </conditionalFormatting>
  <conditionalFormatting sqref="N2:N86">
    <cfRule type="cellIs" dxfId="2" priority="5" operator="equal">
      <formula>"Вы уменьшили цену в несколько раз, товар попадет в карантин цен"</formula>
    </cfRule>
    <cfRule type="beginsWith" dxfId="1" priority="6" operator="beginsWith" text="Проверьте цену товара. Большинство товаров в выбранной категории стоят дороже ">
      <formula>LEFT(N2,LEN("Проверьте цену товара. Большинство товаров в выбранной категории стоят дороже "))="Проверьте цену товара. Большинство товаров в выбранной категории стоят дороже "</formula>
    </cfRule>
    <cfRule type="cellIs" dxfId="0" priority="7" operator="notEqual">
      <formula>""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Акция 1</vt:lpstr>
      <vt:lpstr>Акция 2</vt:lpstr>
      <vt:lpstr>Акция 3</vt:lpstr>
      <vt:lpstr>Акция 4</vt:lpstr>
      <vt:lpstr>Акция 5</vt:lpstr>
      <vt:lpstr>Акция 6</vt:lpstr>
      <vt:lpstr>Акция 7</vt:lpstr>
      <vt:lpstr>Акция 8</vt:lpstr>
      <vt:lpstr>Акция 9</vt:lpstr>
      <vt:lpstr>Акция 10</vt:lpstr>
      <vt:lpstr>Акция 11</vt:lpstr>
      <vt:lpstr>Рассчет акции</vt:lpstr>
      <vt:lpstr>Шаблон ВБ(сводная)</vt:lpstr>
      <vt:lpstr> Шаблон ВБ (вставлены зачения)</vt:lpstr>
      <vt:lpstr>Текущая цена на ВБ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S</dc:creator>
  <cp:lastModifiedBy>A S</cp:lastModifiedBy>
  <cp:lastPrinted>2025-03-19T07:55:09Z</cp:lastPrinted>
  <dcterms:created xsi:type="dcterms:W3CDTF">2024-12-17T17:19:24Z</dcterms:created>
  <dcterms:modified xsi:type="dcterms:W3CDTF">2026-06-19T08:25:16Z</dcterms:modified>
</cp:coreProperties>
</file>