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WORK\ИП Сидоренко АЕ\МАРКЕТПЛЕЙСЫ\"/>
    </mc:Choice>
  </mc:AlternateContent>
  <xr:revisionPtr revIDLastSave="0" documentId="13_ncr:1_{4831AFA9-2625-4C8C-A09E-A7A5BBB22E07}" xr6:coauthVersionLast="47" xr6:coauthVersionMax="47" xr10:uidLastSave="{00000000-0000-0000-0000-000000000000}"/>
  <bookViews>
    <workbookView xWindow="-120" yWindow="-120" windowWidth="29040" windowHeight="15720" tabRatio="668" xr2:uid="{D2EF915D-AFF8-4E10-80BF-B83D434B6615}"/>
  </bookViews>
  <sheets>
    <sheet name="Юнит" sheetId="3" r:id="rId1"/>
    <sheet name="Юнит Карго" sheetId="1" r:id="rId2"/>
    <sheet name="Расчет Карго" sheetId="14" r:id="rId3"/>
    <sheet name="Себес" sheetId="25" r:id="rId4"/>
    <sheet name="Себес 1С текущ" sheetId="29" r:id="rId5"/>
    <sheet name="Структура артикула" sheetId="2" r:id="rId6"/>
    <sheet name="Тарифы ОЗОН" sheetId="32" r:id="rId7"/>
    <sheet name="Тарифы ВБ" sheetId="34" r:id="rId8"/>
    <sheet name="Нормативное время доставки" sheetId="33" r:id="rId9"/>
  </sheets>
  <externalReferences>
    <externalReference r:id="rId10"/>
    <externalReference r:id="rId11"/>
    <externalReference r:id="rId12"/>
    <externalReference r:id="rId13"/>
  </externalReferences>
  <definedNames>
    <definedName name="_12_18__15_3__утолщенный_шелк_7_100шт">#REF!</definedName>
    <definedName name="_14_20__17_3___утолщенный_шелк_7_100шт">#REF!</definedName>
    <definedName name="_169112569_2038161736993_ACRF1BN101PN_Маска_бандаж_для_лица_розовая">#REF!</definedName>
    <definedName name="_169153168_2038162681926_ACRF1BN101BC_Маска_бандаж_для_лица_черная">#REF!</definedName>
    <definedName name="_169395410_2038172050200_ACRF1BN201GR_Маска_бандаж_для_лица_серая">#REF!</definedName>
    <definedName name="_170899505_2038224716238_AHMA6BW101BG_Набор_мешков_для_стирки_6_шт.">#REF!</definedName>
    <definedName name="_172832355_2038337652454_AHMA7BW101BG_Набор_мешков_для_стирки_7_шт.">#REF!</definedName>
    <definedName name="_173605843_2038430289250_ACRH1MS101RJ_Массажер_для_пальцев_суставов">#REF!</definedName>
    <definedName name="_176170511_2038586639107_ACRF1SK101WH_Скребок_Гуаша_белый_короб">#REF!</definedName>
    <definedName name="_176500218_2038597850744_AHMA1BW101BG_Мешок_для_стирки_бюстгалтеров">#REF!</definedName>
    <definedName name="_176709293_2038605982115_ACRF2RS201NF_Комплект_Гуаша_роллер_и_скребок_бол_нефрит_прем">#REF!</definedName>
    <definedName name="_176721350_2038606201642_AHMA3BW201WH_Комплект_мешков_сетка_мелкая_на_шнурке_3_шт.">#REF!</definedName>
    <definedName name="_176723275_2038606256161_AHMA3BW202WH_Комплект_мешков_сетка_крупная_на_шнурке_3_шт.">#REF!</definedName>
    <definedName name="_177404837_2038627692689_AHMA3BW101BG_Комплект_мешков_для_стирки_3_шт.">#REF!</definedName>
    <definedName name="_177405495_2038627713902_AHMA3BW102BG_Комплект_мешков_для_деликатной_стирки_3_шт.">#REF!</definedName>
    <definedName name="_18_27__23_4___утолщенный_шелк_7_100шт">#REF!</definedName>
    <definedName name="_186800214_2038890789598_ACRA7TB101BC_Таблетница_круглая_7_2">#REF!</definedName>
    <definedName name="_186826338_2038891723249_ACRA7TB201BC_Таблетница_прямоугольная_7_2_черная">#REF!</definedName>
    <definedName name="_188194883_2038931439581_AHMA3BW211WH_Комплект_мешков_сетка_мелкая_на_шнурке_3_шт._с_шаром">#REF!</definedName>
    <definedName name="_199452263_2039291528267_AHMA3BW212WH_Комплект_мешков_сетка_крупная_на_шнурке_3_шт._с_шаром">#REF!</definedName>
    <definedName name="_20_30__26_4___утолщенный_шелк_7_100шт">#REF!</definedName>
    <definedName name="_20_34__30_4___утолщенный_шелк_7_100шт">#REF!</definedName>
    <definedName name="_200946531_2039323172727_AHMA3BW221WH_Комплект_мешков_сетка_крупная_на_шнурке_3_шт._с_цилиндром">#REF!</definedName>
    <definedName name="_200953158_2039323305576_ACRA7TB301BC_Таблетница_прямоугольная_7_3">#REF!</definedName>
    <definedName name="_204260887_2039399347548_AHMA3BW222WH_Комплект_мешков_мелкая_сетка_на_шнурке_3_шт._с_цилиндром">#REF!</definedName>
    <definedName name="_204615141_2039404446068_AHMA2BW201WH_Комплект_мешков_2_шт._серый">#REF!</definedName>
    <definedName name="_205841460_2039422231875_ACRF1SK202NF_Скребок_Гуаша_нефрит">#REF!</definedName>
    <definedName name="_22_34__30_4___утолщенный_шелк_7_100шт">#REF!</definedName>
    <definedName name="_220252787_2039735724354_ACRL1MS101RJ_Массажер_для_ног">#REF!</definedName>
    <definedName name="_223420736_2039813223373_ACRB1MS101RJ_Массажер_для_тела">#REF!</definedName>
    <definedName name="_223671295_2039818580389_ACRB1MS102RJ_Массажер_мяч_оранжевый">#REF!</definedName>
    <definedName name="_236072834_2040278804649_ACRB1MS102BL_Массажер_мяч_голубой">#REF!</definedName>
    <definedName name="_236072835_2040278804496_ACRB1MS102WH_Массажер_мяч_белый">#REF!</definedName>
    <definedName name="_236072836_2040278810534_ACRB1MS102PN_Массажер_мяч_розовый">#REF!</definedName>
    <definedName name="_236074677_2040278862540_AHMA2BW202WH_Комплект_мешков_2_шт._розовый">#REF!</definedName>
    <definedName name="_236929187_2040335626849_AHMA1BW112WH_Мешок_большой_крупная_сетка_60_80">#REF!</definedName>
    <definedName name="_236929188_2040335648124_AHMA1BW111WH_Мешок_большой_мелкая_сетка_60_80">#REF!</definedName>
    <definedName name="_239233529_2040478696884_AHMA1BW302WH_Мешок_для_стирки_обуви_XL___35_см">#REF!</definedName>
    <definedName name="_239235150_2040478720961_AHMA1BW301WH_Мешок_для_стирки_обуви_L___30_см">#REF!</definedName>
    <definedName name="_24_34__30_4___утолщенный_шелк_7_100шт">#REF!</definedName>
    <definedName name="_248267432_2040797652776_AAND1ST201BL_Палочка_для_жевания">#REF!</definedName>
    <definedName name="_251407392_2040900511679_AAND1BL102BL_Мяч_шина_синий">#REF!</definedName>
    <definedName name="_251516159_2040902555480_AAND1BL102RD_Мяч_шина_красный">#REF!</definedName>
    <definedName name="_251537223_2040903539366_AAND1BL101RD_Мяч_регби_красный">#REF!</definedName>
    <definedName name="_251537413_2040903547941_AAND1BL101BL_Мяч_регби_синий">#REF!</definedName>
    <definedName name="_253681275_2040957863936_ACRA7TB401CL_Таблетница_прямоугольная_7_2_цветная">#REF!</definedName>
    <definedName name="_xlnm._FilterDatabase" localSheetId="3" hidden="1">Себес!$A$1:$G$69</definedName>
    <definedName name="_xlnm._FilterDatabase" localSheetId="4" hidden="1">'Себес 1С текущ'!$A$1:$H$146</definedName>
    <definedName name="_xlnm._FilterDatabase" localSheetId="0" hidden="1">Юнит!$A$4:$AZ$84</definedName>
    <definedName name="_xlnm._FilterDatabase" localSheetId="1" hidden="1">'Юнит Карго'!$A$3:$U$127</definedName>
    <definedName name="A1016__мелкое_отверстие_30_40">#REF!</definedName>
    <definedName name="A1016__толстое_отверстие_30_40">#REF!</definedName>
    <definedName name="A1016__толстое_отверстие_40_50">#REF!</definedName>
    <definedName name="A1016__толстое_отверстие_60_80">#REF!</definedName>
    <definedName name="A1016__тонкое_отверстие_40_50">#REF!</definedName>
    <definedName name="A1016__тонкое_отверстие_50_60">#REF!</definedName>
    <definedName name="A1016__тонкое_отверстие_60_80">#REF!</definedName>
    <definedName name="A1016_толстое_отверстие_50_60">#REF!</definedName>
    <definedName name="f0dc96c6222a403080c007be8425481a0" comment="8​​9‌3​d​a​e​c‍8​b​7‌1​a‌4‌1​1‍f​a​1​b​8‌5‌1​9‍2​4​6‌f​0​5​7‍4​9​f​3​d‌a‌5​e‍5​1​b‌f‌b​4​4​5‍3​4​b‌a‌4‌8​a‌6‍3​1​9‌7‌d‌f​0​b‍0​7​b‌9‌d​0​4‌3‍a​c​d‌2​1​c​4‍8​2​f​b‌9‌c‌4‍6​6​a‌2​2​0​b​4‍2​2​7‌e‌0‌1​3‌1‍6​9​8‌b​b‌4​2​5‍4​0​4​c‌9‌4​5‌b‍e​6​a‌4‌5​5‌b‌d‍6" hidden="1">#REF!</definedName>
    <definedName name="f0dc96c6222a403080c007be8425481a1" comment="​e​3​‌‌​‌‍​​‌‌​​‍​​​‌​‌​‍​​‌‌​​‌‍​​​​‌‌‌‍​​‌‌​‌‌‍​​‌‌‌‌​‍​​​‌‌‌‌‍​​​‌​​​‍​​‌‌​‌​7" hidden="1">#REF!</definedName>
    <definedName name="Бандаж_лайкра_розовый">#REF!</definedName>
    <definedName name="Бандаж_лайкра_черный">#REF!</definedName>
    <definedName name="Бандаж_силикон_серый">#REF!</definedName>
    <definedName name="Бежевые_трусики_20_20">#REF!</definedName>
    <definedName name="Бежевый_Бюстгальтер_Раковина_18_16">#REF!</definedName>
    <definedName name="Белый__скребок_Гуаша_в_коробке">#REF!</definedName>
    <definedName name="Белый_набор_гуаша_в_коробке">#REF!</definedName>
    <definedName name="Белый_скребок_Гуаша">#REF!</definedName>
    <definedName name="Жевательная_щеткадля_собак">#REF!</definedName>
    <definedName name="Зеленый_набор_гуаша_в_коробке">#REF!</definedName>
    <definedName name="Зеленый_ролик_в_коробке">#REF!</definedName>
    <definedName name="Зеленый_скребок_Гуаша">#REF!</definedName>
    <definedName name="Зеленый_скребок_Гуаша_в_коробке">#REF!</definedName>
    <definedName name="Массажер_для_ног">#REF!</definedName>
    <definedName name="Массажер_для_пальцев">#REF!</definedName>
    <definedName name="Массажер_для_тела">#REF!</definedName>
    <definedName name="Массажер_мячик_белый">#REF!</definedName>
    <definedName name="Массажер_мячик_голубой">#REF!</definedName>
    <definedName name="Массажер_мячик_оранжевый">#REF!</definedName>
    <definedName name="Массажер_мячик_розовый">#REF!</definedName>
    <definedName name="Матовый_пластиковый_пакет_слайдер_18х25_100_шт">#REF!</definedName>
    <definedName name="Матовый_пластиковый_пакет_слайдер_20х25">#REF!</definedName>
    <definedName name="Матовый_пластиковый_пакет_слайдер_20х30">#REF!</definedName>
    <definedName name="Матовый_пластиковый_пакет_слайдер_25х30">#REF!</definedName>
    <definedName name="Мешки_для_мусора_голубой">#REF!</definedName>
    <definedName name="Мешки_для_мусора_зеленый">#REF!</definedName>
    <definedName name="Мешки_для_мусора_красный">#REF!</definedName>
    <definedName name="Мешки_для_мусора_кроричневый">#REF!</definedName>
    <definedName name="Мешки_для_мусора_серый">#REF!</definedName>
    <definedName name="Мешок_бежевый_для_бюстгальтера_цилиндр_17_17">#REF!</definedName>
    <definedName name="мешок_для_мусора_45_50_СМ_двусторонний_провод_2.2__35_шт.">#REF!</definedName>
    <definedName name="мешок_для_мусора_45_50см_39шт_рулон_одностороннего_1.2_шелка">#REF!</definedName>
    <definedName name="мешок_для_мусора_упаковка_45_50_по_30_шт.">#REF!</definedName>
    <definedName name="мешок_для_мусора_упаковка_из_30_штук">#REF!</definedName>
    <definedName name="мешок_для_мусора_утолщенная_двусторонняя_2_х_проводная_проволока_32_шт__45_50_см">#REF!</definedName>
    <definedName name="Мешок_для_стирки_бежевый_20_30">#REF!</definedName>
    <definedName name="Мешок_для_стирки_бежевый_30_40">#REF!</definedName>
    <definedName name="Мешок_для_стирки_бежевый_40_50">#REF!</definedName>
    <definedName name="Мешок_для_стирки_Молния_светло_серого_цвета_с_крупной_сеткой_70_г_форма_шара_25">#REF!</definedName>
    <definedName name="Мешок_для_стирки_Молния_светло_серого_цвета_с_крупной_сеткой_70_г_Цилиндрический_22_33">#REF!</definedName>
    <definedName name="Мешок_для_стирки_на_шнурке_крупная_сетка_30х40__компл">#REF!</definedName>
    <definedName name="Мешок_для_стирки_на_шнурке_крупная_сетка_40х50__компл">#REF!</definedName>
    <definedName name="Мешок_для_стирки_на_шнурке_крупная_сетка_50х60__компл">#REF!</definedName>
    <definedName name="Мешок_для_стирки_на_шнурке_мелкая_сетка_30х40__компл">#REF!</definedName>
    <definedName name="Мешок_для_стирки_на_шнурке_мелкая_сетка_40х50__компл">#REF!</definedName>
    <definedName name="Мешок_для_стирки_на_шнурке_мелкая_сетка_50х60__компл">#REF!</definedName>
    <definedName name="Мешок_для_стирки_обуви_большой_35см">#REF!</definedName>
    <definedName name="Мешок_для_стирки_обуви_средний_30см">#REF!</definedName>
    <definedName name="Мяч_для_шин_с_эластичной_веревкой_красного_цвета">#REF!</definedName>
    <definedName name="Мяч_для_шин_с_эластичной_веревкой_синего_цвета">#REF!</definedName>
    <definedName name="Набор_6_шт._мешков_для_стирки_с_вышивкой">#REF!</definedName>
    <definedName name="Набор_7_шт._мешков__для_стирки_с_вышивкой">#REF!</definedName>
    <definedName name="Нефритовый_скребок_гуаша_большой">#REF!</definedName>
    <definedName name="Нефритовый_скребок_гуаша_маленький__компл">#REF!</definedName>
    <definedName name="Регби_с_эластичной_веревкой_красного_цвета">#REF!</definedName>
    <definedName name="Регби_с_эластичной_веревкой_синего_цвета">#REF!</definedName>
    <definedName name="Розовая_сумка_для_бюстгальтера_в_виде_ракушки_18_15_см">#REF!</definedName>
    <definedName name="Розовая_цилиндрическая_сумка_для_бюстгальтера_17_15_см">#REF!</definedName>
    <definedName name="Розовый__скребок_Гуаша_в_коробке">#REF!</definedName>
    <definedName name="Розовый_набор_гуаша_в_коробке">#REF!</definedName>
    <definedName name="Розовый_скребок_Гуаша">#REF!</definedName>
    <definedName name="Ролик_гуаша_белый">#REF!</definedName>
    <definedName name="Ролик_гуаша_в_коробке_белый">#REF!</definedName>
    <definedName name="Ролик_гуаша_в_коробке_розовый">#REF!</definedName>
    <definedName name="Ролик_гуаша_в_коробке_черный">#REF!</definedName>
    <definedName name="Ролик_гуаша_зеленый">#REF!</definedName>
    <definedName name="Ролик_гуаша_нефрит">#REF!</definedName>
    <definedName name="Ролик_гуаша_нефрит__компл">#REF!</definedName>
    <definedName name="Ролик_гуаша_розовый">#REF!</definedName>
    <definedName name="Ролик_гуаша_черный">#REF!</definedName>
    <definedName name="Серая_сумка_для_бюстгальтера_в_виде_ракушки_18_15_см">#REF!</definedName>
    <definedName name="Серая_цилиндрическая_сумка_для_бюстгальтера_17_15_см">#REF!</definedName>
    <definedName name="Сумка_для_бюстгальтера_Sandwich_4_шт._Молния_светло_серого_цвета">#REF!</definedName>
    <definedName name="Сумка_для_бюстгальтера_Sandwich_светло_серая_цилиндрическая_Молния_светло_серого_цвета">#REF!</definedName>
    <definedName name="Сумка_для_бюстгальтера_Sandwich_Светло_серый_треугольник_Молния_светло_серого_цвета">#REF!</definedName>
    <definedName name="Таблетница_круглая_7_2_черная">#REF!</definedName>
    <definedName name="Таблетница_прямоугольная_7_2">#REF!</definedName>
    <definedName name="Таблетница_прямоугольная_7_2_автомат_цветная">#REF!</definedName>
    <definedName name="Таблетница_прямоугольная_7_2_автомат_черная">#REF!</definedName>
    <definedName name="Таблетница_прямоугольная_7_2_черная">#REF!</definedName>
    <definedName name="Таблетница_прямоугольная_7_3">#REF!</definedName>
    <definedName name="Цилиндр_бежевый_20_3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3" l="1"/>
  <c r="I17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9" i="3"/>
  <c r="I70" i="3"/>
  <c r="I71" i="3"/>
  <c r="I72" i="3"/>
  <c r="I76" i="3"/>
  <c r="I77" i="3"/>
  <c r="I78" i="3"/>
  <c r="I79" i="3"/>
  <c r="I81" i="3"/>
  <c r="I82" i="3"/>
  <c r="I6" i="3"/>
  <c r="I7" i="3"/>
  <c r="I8" i="3"/>
  <c r="I9" i="3"/>
  <c r="I10" i="3"/>
  <c r="I11" i="3"/>
  <c r="I12" i="3"/>
  <c r="I13" i="3"/>
  <c r="I14" i="3"/>
  <c r="N8" i="14" l="1"/>
  <c r="N6" i="14"/>
  <c r="K6" i="14"/>
  <c r="H5" i="14"/>
  <c r="H4" i="14"/>
  <c r="H3" i="14"/>
  <c r="E6" i="14"/>
  <c r="C3" i="14"/>
  <c r="Q36" i="1" l="1"/>
  <c r="AB5" i="3"/>
  <c r="A3" i="25" l="1"/>
  <c r="C3" i="25" s="1"/>
  <c r="A4" i="25"/>
  <c r="C4" i="25" s="1"/>
  <c r="A5" i="25"/>
  <c r="A6" i="25"/>
  <c r="E6" i="25" s="1"/>
  <c r="B6" i="25" s="1"/>
  <c r="A7" i="25"/>
  <c r="C7" i="25" s="1"/>
  <c r="A8" i="25"/>
  <c r="C8" i="25" s="1"/>
  <c r="D8" i="25"/>
  <c r="E8" i="25"/>
  <c r="B8" i="25" s="1"/>
  <c r="A9" i="25"/>
  <c r="E9" i="25"/>
  <c r="B9" i="25" s="1"/>
  <c r="A10" i="25"/>
  <c r="D10" i="25" s="1"/>
  <c r="C10" i="25"/>
  <c r="A11" i="25"/>
  <c r="E11" i="25" s="1"/>
  <c r="B11" i="25" s="1"/>
  <c r="A12" i="25"/>
  <c r="A13" i="25"/>
  <c r="E13" i="25" s="1"/>
  <c r="B13" i="25" s="1"/>
  <c r="A14" i="25"/>
  <c r="C14" i="25" s="1"/>
  <c r="A15" i="25"/>
  <c r="C15" i="25" s="1"/>
  <c r="A16" i="25"/>
  <c r="C16" i="25" s="1"/>
  <c r="A17" i="25"/>
  <c r="C17" i="25" s="1"/>
  <c r="D17" i="25"/>
  <c r="A18" i="25"/>
  <c r="C18" i="25" s="1"/>
  <c r="A19" i="25"/>
  <c r="C19" i="25" s="1"/>
  <c r="A20" i="25"/>
  <c r="C20" i="25" s="1"/>
  <c r="A21" i="25"/>
  <c r="A22" i="25"/>
  <c r="C22" i="25" s="1"/>
  <c r="A23" i="25"/>
  <c r="D23" i="25" s="1"/>
  <c r="C23" i="25"/>
  <c r="A24" i="25"/>
  <c r="E24" i="25" s="1"/>
  <c r="B24" i="25" s="1"/>
  <c r="A25" i="25"/>
  <c r="C25" i="25" s="1"/>
  <c r="A26" i="25"/>
  <c r="C26" i="25" s="1"/>
  <c r="A27" i="25"/>
  <c r="C27" i="25" s="1"/>
  <c r="A28" i="25"/>
  <c r="A29" i="25"/>
  <c r="E29" i="25" s="1"/>
  <c r="B29" i="25" s="1"/>
  <c r="A30" i="25"/>
  <c r="C30" i="25" s="1"/>
  <c r="A31" i="25"/>
  <c r="C31" i="25" s="1"/>
  <c r="A32" i="25"/>
  <c r="A33" i="25"/>
  <c r="C33" i="25" s="1"/>
  <c r="E33" i="25"/>
  <c r="B33" i="25" s="1"/>
  <c r="A34" i="25"/>
  <c r="C34" i="25"/>
  <c r="A35" i="25"/>
  <c r="E35" i="25" s="1"/>
  <c r="B35" i="25" s="1"/>
  <c r="A36" i="25"/>
  <c r="C36" i="25" s="1"/>
  <c r="A37" i="25"/>
  <c r="C37" i="25" s="1"/>
  <c r="A38" i="25"/>
  <c r="C38" i="25" s="1"/>
  <c r="A39" i="25"/>
  <c r="D39" i="25" s="1"/>
  <c r="A40" i="25"/>
  <c r="C40" i="25" s="1"/>
  <c r="A41" i="25"/>
  <c r="C41" i="25" s="1"/>
  <c r="A42" i="25"/>
  <c r="C42" i="25" s="1"/>
  <c r="A43" i="25"/>
  <c r="C43" i="25" s="1"/>
  <c r="D43" i="25"/>
  <c r="A44" i="25"/>
  <c r="A45" i="25"/>
  <c r="A46" i="25"/>
  <c r="C46" i="25" s="1"/>
  <c r="A47" i="25"/>
  <c r="D47" i="25" s="1"/>
  <c r="A48" i="25"/>
  <c r="C48" i="25" s="1"/>
  <c r="A49" i="25"/>
  <c r="D49" i="25" s="1"/>
  <c r="A50" i="25"/>
  <c r="E50" i="25" s="1"/>
  <c r="B50" i="25" s="1"/>
  <c r="A51" i="25"/>
  <c r="E51" i="25" s="1"/>
  <c r="B51" i="25" s="1"/>
  <c r="A52" i="25"/>
  <c r="C52" i="25" s="1"/>
  <c r="A53" i="25"/>
  <c r="C53" i="25" s="1"/>
  <c r="A54" i="25"/>
  <c r="C54" i="25" s="1"/>
  <c r="A55" i="25"/>
  <c r="C55" i="25" s="1"/>
  <c r="A56" i="25"/>
  <c r="E56" i="25" s="1"/>
  <c r="B56" i="25" s="1"/>
  <c r="A57" i="25"/>
  <c r="C57" i="25" s="1"/>
  <c r="A58" i="25"/>
  <c r="C58" i="25" s="1"/>
  <c r="A59" i="25"/>
  <c r="C59" i="25" s="1"/>
  <c r="A60" i="25"/>
  <c r="A61" i="25"/>
  <c r="C61" i="25" s="1"/>
  <c r="A62" i="25"/>
  <c r="C62" i="25" s="1"/>
  <c r="A63" i="25"/>
  <c r="C63" i="25" s="1"/>
  <c r="A64" i="25"/>
  <c r="C64" i="25" s="1"/>
  <c r="A65" i="25"/>
  <c r="D65" i="25" s="1"/>
  <c r="A66" i="25"/>
  <c r="E66" i="25" s="1"/>
  <c r="B66" i="25" s="1"/>
  <c r="A67" i="25"/>
  <c r="E67" i="25" s="1"/>
  <c r="B67" i="25" s="1"/>
  <c r="A68" i="25"/>
  <c r="C68" i="25" s="1"/>
  <c r="A69" i="25"/>
  <c r="C69" i="25" s="1"/>
  <c r="A70" i="25"/>
  <c r="C70" i="25" s="1"/>
  <c r="A71" i="25"/>
  <c r="C71" i="25" s="1"/>
  <c r="A72" i="25"/>
  <c r="C72" i="25" s="1"/>
  <c r="A73" i="25"/>
  <c r="C73" i="25" s="1"/>
  <c r="A74" i="25"/>
  <c r="D74" i="25" s="1"/>
  <c r="A75" i="25"/>
  <c r="C75" i="25" s="1"/>
  <c r="A76" i="25"/>
  <c r="A77" i="25"/>
  <c r="E77" i="25" s="1"/>
  <c r="B77" i="25" s="1"/>
  <c r="C77" i="25"/>
  <c r="A78" i="25"/>
  <c r="D78" i="25" s="1"/>
  <c r="A79" i="25"/>
  <c r="D79" i="25" s="1"/>
  <c r="A80" i="25"/>
  <c r="C80" i="25" s="1"/>
  <c r="A81" i="25"/>
  <c r="C81" i="25" s="1"/>
  <c r="E17" i="25" l="1"/>
  <c r="B17" i="25" s="1"/>
  <c r="E42" i="25"/>
  <c r="B42" i="25" s="1"/>
  <c r="D42" i="25"/>
  <c r="D66" i="25"/>
  <c r="E52" i="25"/>
  <c r="B52" i="25" s="1"/>
  <c r="C65" i="25"/>
  <c r="E26" i="25"/>
  <c r="B26" i="25" s="1"/>
  <c r="C50" i="25"/>
  <c r="C49" i="25"/>
  <c r="E38" i="25"/>
  <c r="B38" i="25" s="1"/>
  <c r="D73" i="25"/>
  <c r="E25" i="25"/>
  <c r="B25" i="25" s="1"/>
  <c r="C24" i="25"/>
  <c r="E81" i="25"/>
  <c r="B81" i="25" s="1"/>
  <c r="D81" i="25"/>
  <c r="E23" i="25"/>
  <c r="B23" i="25" s="1"/>
  <c r="G23" i="25" s="1"/>
  <c r="E43" i="25"/>
  <c r="B43" i="25" s="1"/>
  <c r="G43" i="25" s="1"/>
  <c r="D13" i="25"/>
  <c r="C56" i="25"/>
  <c r="C39" i="25"/>
  <c r="C74" i="25"/>
  <c r="E63" i="25"/>
  <c r="B63" i="25" s="1"/>
  <c r="D24" i="25"/>
  <c r="G8" i="25"/>
  <c r="E79" i="25"/>
  <c r="B79" i="25" s="1"/>
  <c r="E47" i="25"/>
  <c r="B47" i="25" s="1"/>
  <c r="E39" i="25"/>
  <c r="B39" i="25" s="1"/>
  <c r="E10" i="25"/>
  <c r="B10" i="25" s="1"/>
  <c r="G10" i="25" s="1"/>
  <c r="C79" i="25"/>
  <c r="D56" i="25"/>
  <c r="C47" i="25"/>
  <c r="E58" i="25"/>
  <c r="B58" i="25" s="1"/>
  <c r="D58" i="25"/>
  <c r="C78" i="25"/>
  <c r="E74" i="25"/>
  <c r="B74" i="25" s="1"/>
  <c r="E65" i="25"/>
  <c r="B65" i="25" s="1"/>
  <c r="G65" i="25" s="1"/>
  <c r="E48" i="25"/>
  <c r="B48" i="25" s="1"/>
  <c r="E71" i="25"/>
  <c r="B71" i="25" s="1"/>
  <c r="E20" i="25"/>
  <c r="B20" i="25" s="1"/>
  <c r="D71" i="25"/>
  <c r="G71" i="25" s="1"/>
  <c r="D20" i="25"/>
  <c r="D11" i="25"/>
  <c r="C11" i="25"/>
  <c r="G17" i="25"/>
  <c r="C13" i="25"/>
  <c r="C9" i="25"/>
  <c r="G42" i="25"/>
  <c r="D63" i="25"/>
  <c r="D38" i="25"/>
  <c r="D33" i="25"/>
  <c r="G33" i="25" s="1"/>
  <c r="D26" i="25"/>
  <c r="G26" i="25" s="1"/>
  <c r="F15" i="25"/>
  <c r="D50" i="25"/>
  <c r="D15" i="25"/>
  <c r="E55" i="25"/>
  <c r="B55" i="25" s="1"/>
  <c r="D72" i="25"/>
  <c r="C66" i="25"/>
  <c r="D55" i="25"/>
  <c r="E49" i="25"/>
  <c r="B49" i="25" s="1"/>
  <c r="D40" i="25"/>
  <c r="D36" i="25"/>
  <c r="D31" i="25"/>
  <c r="E3" i="25"/>
  <c r="B3" i="25" s="1"/>
  <c r="E72" i="25"/>
  <c r="B72" i="25" s="1"/>
  <c r="E40" i="25"/>
  <c r="B40" i="25" s="1"/>
  <c r="E36" i="25"/>
  <c r="B36" i="25" s="1"/>
  <c r="E31" i="25"/>
  <c r="B31" i="25" s="1"/>
  <c r="D77" i="25"/>
  <c r="G77" i="25" s="1"/>
  <c r="E19" i="25"/>
  <c r="B19" i="25" s="1"/>
  <c r="E45" i="25"/>
  <c r="B45" i="25" s="1"/>
  <c r="E61" i="25"/>
  <c r="B61" i="25" s="1"/>
  <c r="C29" i="25"/>
  <c r="D80" i="25"/>
  <c r="D29" i="25"/>
  <c r="D45" i="25"/>
  <c r="E34" i="25"/>
  <c r="B34" i="25" s="1"/>
  <c r="D6" i="25"/>
  <c r="D61" i="25"/>
  <c r="C45" i="25"/>
  <c r="D34" i="25"/>
  <c r="C6" i="25"/>
  <c r="D69" i="25"/>
  <c r="E69" i="25"/>
  <c r="B69" i="25" s="1"/>
  <c r="D14" i="25"/>
  <c r="E14" i="25"/>
  <c r="B14" i="25" s="1"/>
  <c r="D53" i="25"/>
  <c r="E53" i="25"/>
  <c r="B53" i="25" s="1"/>
  <c r="G53" i="25" s="1"/>
  <c r="C28" i="25"/>
  <c r="D28" i="25"/>
  <c r="E28" i="25"/>
  <c r="B28" i="25" s="1"/>
  <c r="C5" i="25"/>
  <c r="D5" i="25"/>
  <c r="E5" i="25"/>
  <c r="B5" i="25" s="1"/>
  <c r="E68" i="25"/>
  <c r="B68" i="25" s="1"/>
  <c r="D52" i="25"/>
  <c r="G52" i="25" s="1"/>
  <c r="C44" i="25"/>
  <c r="D44" i="25"/>
  <c r="E44" i="25"/>
  <c r="B44" i="25" s="1"/>
  <c r="E41" i="25"/>
  <c r="B41" i="25" s="1"/>
  <c r="D25" i="25"/>
  <c r="E16" i="25"/>
  <c r="B16" i="25" s="1"/>
  <c r="D68" i="25"/>
  <c r="C60" i="25"/>
  <c r="D60" i="25"/>
  <c r="E60" i="25"/>
  <c r="B60" i="25" s="1"/>
  <c r="E57" i="25"/>
  <c r="B57" i="25" s="1"/>
  <c r="D41" i="25"/>
  <c r="D30" i="25"/>
  <c r="D16" i="25"/>
  <c r="E4" i="25"/>
  <c r="B4" i="25" s="1"/>
  <c r="C76" i="25"/>
  <c r="D76" i="25"/>
  <c r="E76" i="25"/>
  <c r="B76" i="25" s="1"/>
  <c r="E73" i="25"/>
  <c r="B73" i="25" s="1"/>
  <c r="D57" i="25"/>
  <c r="D46" i="25"/>
  <c r="E27" i="25"/>
  <c r="B27" i="25" s="1"/>
  <c r="E22" i="25"/>
  <c r="B22" i="25" s="1"/>
  <c r="D7" i="25"/>
  <c r="D4" i="25"/>
  <c r="D62" i="25"/>
  <c r="D27" i="25"/>
  <c r="D22" i="25"/>
  <c r="E59" i="25"/>
  <c r="B59" i="25" s="1"/>
  <c r="E54" i="25"/>
  <c r="B54" i="25" s="1"/>
  <c r="E30" i="25"/>
  <c r="B30" i="25" s="1"/>
  <c r="F16" i="25"/>
  <c r="E75" i="25"/>
  <c r="B75" i="25" s="1"/>
  <c r="E70" i="25"/>
  <c r="B70" i="25" s="1"/>
  <c r="D59" i="25"/>
  <c r="D54" i="25"/>
  <c r="E46" i="25"/>
  <c r="B46" i="25" s="1"/>
  <c r="E32" i="25"/>
  <c r="B32" i="25" s="1"/>
  <c r="E18" i="25"/>
  <c r="B18" i="25" s="1"/>
  <c r="E7" i="25"/>
  <c r="B7" i="25" s="1"/>
  <c r="D75" i="25"/>
  <c r="D70" i="25"/>
  <c r="E62" i="25"/>
  <c r="B62" i="25" s="1"/>
  <c r="C35" i="25"/>
  <c r="D35" i="25"/>
  <c r="D32" i="25"/>
  <c r="D18" i="25"/>
  <c r="E80" i="25"/>
  <c r="B80" i="25" s="1"/>
  <c r="E78" i="25"/>
  <c r="B78" i="25" s="1"/>
  <c r="E64" i="25"/>
  <c r="B64" i="25" s="1"/>
  <c r="C51" i="25"/>
  <c r="D51" i="25"/>
  <c r="D48" i="25"/>
  <c r="G48" i="25" s="1"/>
  <c r="C32" i="25"/>
  <c r="E15" i="25"/>
  <c r="B15" i="25" s="1"/>
  <c r="C12" i="25"/>
  <c r="D12" i="25"/>
  <c r="E12" i="25"/>
  <c r="B12" i="25" s="1"/>
  <c r="D9" i="25"/>
  <c r="D37" i="25"/>
  <c r="E37" i="25"/>
  <c r="B37" i="25" s="1"/>
  <c r="C67" i="25"/>
  <c r="D67" i="25"/>
  <c r="D64" i="25"/>
  <c r="C21" i="25"/>
  <c r="D21" i="25"/>
  <c r="E21" i="25"/>
  <c r="B21" i="25" s="1"/>
  <c r="D19" i="25"/>
  <c r="D3" i="25"/>
  <c r="G38" i="25" l="1"/>
  <c r="G78" i="25"/>
  <c r="G66" i="25"/>
  <c r="G69" i="25"/>
  <c r="G25" i="25"/>
  <c r="G79" i="25"/>
  <c r="G24" i="25"/>
  <c r="G73" i="25"/>
  <c r="G50" i="25"/>
  <c r="G49" i="25"/>
  <c r="G13" i="25"/>
  <c r="G39" i="25"/>
  <c r="G81" i="25"/>
  <c r="G56" i="25"/>
  <c r="G47" i="25"/>
  <c r="G55" i="25"/>
  <c r="G51" i="25"/>
  <c r="G63" i="25"/>
  <c r="G74" i="25"/>
  <c r="G57" i="25"/>
  <c r="G58" i="25"/>
  <c r="G11" i="25"/>
  <c r="G20" i="25"/>
  <c r="G9" i="25"/>
  <c r="G62" i="25"/>
  <c r="G75" i="25"/>
  <c r="G14" i="25"/>
  <c r="G16" i="25"/>
  <c r="G72" i="25"/>
  <c r="G45" i="25"/>
  <c r="G34" i="25"/>
  <c r="G67" i="25"/>
  <c r="G15" i="25"/>
  <c r="G22" i="25"/>
  <c r="G27" i="25"/>
  <c r="G29" i="25"/>
  <c r="G64" i="25"/>
  <c r="G70" i="25"/>
  <c r="G4" i="25"/>
  <c r="G40" i="25"/>
  <c r="G3" i="25"/>
  <c r="G44" i="25"/>
  <c r="G21" i="25"/>
  <c r="G35" i="25"/>
  <c r="G6" i="25"/>
  <c r="G76" i="25"/>
  <c r="G28" i="25"/>
  <c r="G19" i="25"/>
  <c r="G36" i="25"/>
  <c r="G30" i="25"/>
  <c r="G60" i="25"/>
  <c r="G7" i="25"/>
  <c r="G68" i="25"/>
  <c r="G18" i="25"/>
  <c r="G54" i="25"/>
  <c r="G37" i="25"/>
  <c r="G59" i="25"/>
  <c r="G32" i="25"/>
  <c r="G80" i="25"/>
  <c r="G12" i="25"/>
  <c r="G46" i="25"/>
  <c r="G31" i="25"/>
  <c r="G61" i="25"/>
  <c r="G41" i="25"/>
  <c r="G5" i="25"/>
  <c r="BC5" i="3" l="1"/>
  <c r="BC66" i="3" l="1"/>
  <c r="BC67" i="3"/>
  <c r="BC47" i="3"/>
  <c r="BC48" i="3"/>
  <c r="BC9" i="3"/>
  <c r="BC57" i="3"/>
  <c r="BC58" i="3"/>
  <c r="BC59" i="3"/>
  <c r="BC24" i="3"/>
  <c r="BC25" i="3"/>
  <c r="BC71" i="3"/>
  <c r="BC72" i="3"/>
  <c r="BC73" i="3"/>
  <c r="BC74" i="3"/>
  <c r="BC10" i="3"/>
  <c r="BC15" i="3"/>
  <c r="BC16" i="3"/>
  <c r="BC17" i="3"/>
  <c r="BC18" i="3"/>
  <c r="BC6" i="3"/>
  <c r="BC7" i="3"/>
  <c r="BC8" i="3"/>
  <c r="BC11" i="3"/>
  <c r="BC12" i="3"/>
  <c r="BC13" i="3"/>
  <c r="BC14" i="3"/>
  <c r="BC19" i="3"/>
  <c r="BC20" i="3"/>
  <c r="BC21" i="3"/>
  <c r="BC22" i="3"/>
  <c r="BC23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50" i="3"/>
  <c r="BC51" i="3"/>
  <c r="BC52" i="3"/>
  <c r="BC53" i="3"/>
  <c r="BC54" i="3"/>
  <c r="BC55" i="3"/>
  <c r="BC56" i="3"/>
  <c r="BC60" i="3"/>
  <c r="BC61" i="3"/>
  <c r="BC62" i="3"/>
  <c r="BC63" i="3"/>
  <c r="BC64" i="3"/>
  <c r="BC65" i="3"/>
  <c r="BC49" i="3"/>
  <c r="BC68" i="3"/>
  <c r="BC69" i="3"/>
  <c r="BC70" i="3"/>
  <c r="BC75" i="3"/>
  <c r="BC76" i="3"/>
  <c r="BC77" i="3"/>
  <c r="BC78" i="3"/>
  <c r="BC79" i="3"/>
  <c r="BC80" i="3"/>
  <c r="BC81" i="3"/>
  <c r="BC82" i="3"/>
  <c r="BC83" i="3"/>
  <c r="BC84" i="3"/>
  <c r="E38" i="1" l="1"/>
  <c r="E39" i="1"/>
  <c r="E40" i="1"/>
  <c r="E41" i="1"/>
  <c r="E42" i="1"/>
  <c r="D38" i="1"/>
  <c r="D39" i="1"/>
  <c r="D40" i="1"/>
  <c r="D41" i="1"/>
  <c r="D42" i="1"/>
  <c r="J50" i="3"/>
  <c r="F50" i="3" s="1"/>
  <c r="F44" i="25" s="1"/>
  <c r="K50" i="3"/>
  <c r="CB50" i="3"/>
  <c r="CC50" i="3" s="1"/>
  <c r="BM50" i="3"/>
  <c r="BO50" i="3" s="1"/>
  <c r="BP50" i="3"/>
  <c r="BR50" i="3"/>
  <c r="CO50" i="3"/>
  <c r="J51" i="3"/>
  <c r="F51" i="3" s="1"/>
  <c r="F45" i="25" s="1"/>
  <c r="K51" i="3"/>
  <c r="BU51" i="3"/>
  <c r="BM51" i="3"/>
  <c r="BN51" i="3" s="1"/>
  <c r="BP51" i="3"/>
  <c r="BR51" i="3"/>
  <c r="CO51" i="3"/>
  <c r="J52" i="3"/>
  <c r="F52" i="3" s="1"/>
  <c r="F46" i="25" s="1"/>
  <c r="K52" i="3"/>
  <c r="CN52" i="3"/>
  <c r="BM52" i="3"/>
  <c r="BN52" i="3" s="1"/>
  <c r="BP52" i="3"/>
  <c r="BR52" i="3"/>
  <c r="CO52" i="3"/>
  <c r="J53" i="3"/>
  <c r="F53" i="3" s="1"/>
  <c r="F47" i="25" s="1"/>
  <c r="K53" i="3"/>
  <c r="CI53" i="3"/>
  <c r="CJ53" i="3" s="1"/>
  <c r="BM53" i="3"/>
  <c r="BO53" i="3" s="1"/>
  <c r="BP53" i="3"/>
  <c r="BR53" i="3"/>
  <c r="CO53" i="3"/>
  <c r="J54" i="3"/>
  <c r="F54" i="3" s="1"/>
  <c r="F48" i="25" s="1"/>
  <c r="K54" i="3"/>
  <c r="CI54" i="3"/>
  <c r="CJ54" i="3" s="1"/>
  <c r="BM54" i="3"/>
  <c r="BP54" i="3"/>
  <c r="BR54" i="3"/>
  <c r="CO54" i="3"/>
  <c r="J55" i="3"/>
  <c r="F55" i="3" s="1"/>
  <c r="F49" i="25" s="1"/>
  <c r="K55" i="3"/>
  <c r="BU55" i="3"/>
  <c r="BM55" i="3"/>
  <c r="BN55" i="3" s="1"/>
  <c r="BP55" i="3"/>
  <c r="BR55" i="3"/>
  <c r="CO55" i="3"/>
  <c r="J56" i="3"/>
  <c r="F56" i="3" s="1"/>
  <c r="F50" i="25" s="1"/>
  <c r="K56" i="3"/>
  <c r="BJ56" i="3"/>
  <c r="BM56" i="3"/>
  <c r="BN56" i="3" s="1"/>
  <c r="BP56" i="3"/>
  <c r="BR56" i="3"/>
  <c r="CO56" i="3"/>
  <c r="J57" i="3"/>
  <c r="F57" i="3" s="1"/>
  <c r="F51" i="25" s="1"/>
  <c r="K57" i="3"/>
  <c r="CN57" i="3"/>
  <c r="BM57" i="3"/>
  <c r="BN57" i="3" s="1"/>
  <c r="BP57" i="3"/>
  <c r="BR57" i="3"/>
  <c r="CO57" i="3"/>
  <c r="T38" i="1"/>
  <c r="T39" i="1"/>
  <c r="T40" i="1"/>
  <c r="T41" i="1"/>
  <c r="Y57" i="3" l="1"/>
  <c r="AB57" i="3"/>
  <c r="BK55" i="3"/>
  <c r="Y55" i="3"/>
  <c r="AB55" i="3"/>
  <c r="BL53" i="3"/>
  <c r="Y53" i="3"/>
  <c r="AB53" i="3"/>
  <c r="BK51" i="3"/>
  <c r="AB51" i="3"/>
  <c r="Y51" i="3"/>
  <c r="BK56" i="3"/>
  <c r="Y56" i="3"/>
  <c r="AB56" i="3"/>
  <c r="BK52" i="3"/>
  <c r="AB52" i="3"/>
  <c r="Y52" i="3"/>
  <c r="BL54" i="3"/>
  <c r="Y54" i="3"/>
  <c r="AB54" i="3"/>
  <c r="BK50" i="3"/>
  <c r="AB50" i="3"/>
  <c r="Y50" i="3"/>
  <c r="BO52" i="3"/>
  <c r="BK53" i="3"/>
  <c r="BL50" i="3"/>
  <c r="BL56" i="3"/>
  <c r="BO56" i="3"/>
  <c r="CI57" i="3"/>
  <c r="CJ57" i="3" s="1"/>
  <c r="CB56" i="3"/>
  <c r="CC56" i="3" s="1"/>
  <c r="CE56" i="3" s="1"/>
  <c r="BD57" i="3"/>
  <c r="BD55" i="3"/>
  <c r="BU56" i="3"/>
  <c r="CN56" i="3"/>
  <c r="BN53" i="3"/>
  <c r="CI56" i="3"/>
  <c r="CJ56" i="3" s="1"/>
  <c r="CK56" i="3" s="1"/>
  <c r="BU57" i="3"/>
  <c r="BU53" i="3"/>
  <c r="CB55" i="3"/>
  <c r="CC55" i="3" s="1"/>
  <c r="CD55" i="3" s="1"/>
  <c r="CB51" i="3"/>
  <c r="CC51" i="3" s="1"/>
  <c r="CD51" i="3" s="1"/>
  <c r="BD56" i="3"/>
  <c r="BO55" i="3"/>
  <c r="BO57" i="3"/>
  <c r="BO51" i="3"/>
  <c r="BN50" i="3"/>
  <c r="BJ52" i="3"/>
  <c r="BJ51" i="3"/>
  <c r="BJ55" i="3"/>
  <c r="BI52" i="3"/>
  <c r="BI51" i="3"/>
  <c r="BI56" i="3"/>
  <c r="CN55" i="3"/>
  <c r="BI55" i="3"/>
  <c r="BD52" i="3"/>
  <c r="CN51" i="3"/>
  <c r="BD51" i="3"/>
  <c r="CN53" i="3"/>
  <c r="BJ53" i="3"/>
  <c r="CI51" i="3"/>
  <c r="CJ51" i="3" s="1"/>
  <c r="CI55" i="3"/>
  <c r="CJ55" i="3" s="1"/>
  <c r="BD53" i="3"/>
  <c r="CB53" i="3"/>
  <c r="CC53" i="3" s="1"/>
  <c r="CK54" i="3"/>
  <c r="CD50" i="3"/>
  <c r="CE50" i="3"/>
  <c r="CK53" i="3"/>
  <c r="BK57" i="3"/>
  <c r="BL57" i="3"/>
  <c r="BN54" i="3"/>
  <c r="BO54" i="3"/>
  <c r="CN54" i="3"/>
  <c r="BI54" i="3"/>
  <c r="BJ54" i="3"/>
  <c r="CB54" i="3"/>
  <c r="CC54" i="3" s="1"/>
  <c r="BD54" i="3"/>
  <c r="BU54" i="3"/>
  <c r="CI50" i="3"/>
  <c r="CJ50" i="3" s="1"/>
  <c r="BD50" i="3"/>
  <c r="CN50" i="3"/>
  <c r="BI50" i="3"/>
  <c r="BJ50" i="3"/>
  <c r="BU50" i="3"/>
  <c r="BL51" i="3"/>
  <c r="BK54" i="3"/>
  <c r="CB52" i="3"/>
  <c r="CC52" i="3" s="1"/>
  <c r="CI52" i="3"/>
  <c r="CJ52" i="3" s="1"/>
  <c r="BI57" i="3"/>
  <c r="CB57" i="3"/>
  <c r="CC57" i="3" s="1"/>
  <c r="BJ57" i="3"/>
  <c r="BU52" i="3"/>
  <c r="BL55" i="3"/>
  <c r="BI53" i="3"/>
  <c r="BL52" i="3"/>
  <c r="BQ53" i="3" l="1"/>
  <c r="BS53" i="3" s="1"/>
  <c r="BT53" i="3" s="1"/>
  <c r="BQ52" i="3"/>
  <c r="BS52" i="3" s="1"/>
  <c r="BT52" i="3" s="1"/>
  <c r="BQ50" i="3"/>
  <c r="BS50" i="3" s="1"/>
  <c r="BF50" i="3" s="1"/>
  <c r="BQ56" i="3"/>
  <c r="BS56" i="3" s="1"/>
  <c r="BT56" i="3" s="1"/>
  <c r="CK57" i="3"/>
  <c r="CD56" i="3"/>
  <c r="CE55" i="3"/>
  <c r="BQ57" i="3"/>
  <c r="BS57" i="3" s="1"/>
  <c r="BF57" i="3" s="1"/>
  <c r="CE51" i="3"/>
  <c r="BQ51" i="3"/>
  <c r="BS51" i="3" s="1"/>
  <c r="BT51" i="3" s="1"/>
  <c r="BQ55" i="3"/>
  <c r="BS55" i="3" s="1"/>
  <c r="BT55" i="3" s="1"/>
  <c r="CK55" i="3"/>
  <c r="CK51" i="3"/>
  <c r="CE53" i="3"/>
  <c r="CD53" i="3"/>
  <c r="CK50" i="3"/>
  <c r="BQ54" i="3"/>
  <c r="BS54" i="3" s="1"/>
  <c r="CD57" i="3"/>
  <c r="CE57" i="3"/>
  <c r="CE54" i="3"/>
  <c r="CD54" i="3"/>
  <c r="CK52" i="3"/>
  <c r="CD52" i="3"/>
  <c r="CE52" i="3"/>
  <c r="BF53" i="3" l="1"/>
  <c r="BV53" i="3" s="1"/>
  <c r="BX53" i="3" s="1"/>
  <c r="BY53" i="3" s="1"/>
  <c r="BZ53" i="3" s="1"/>
  <c r="BF52" i="3"/>
  <c r="BV52" i="3" s="1"/>
  <c r="BX52" i="3" s="1"/>
  <c r="BY52" i="3" s="1"/>
  <c r="BF56" i="3"/>
  <c r="BV56" i="3" s="1"/>
  <c r="BX56" i="3" s="1"/>
  <c r="BY56" i="3" s="1"/>
  <c r="BW56" i="3" s="1"/>
  <c r="BT50" i="3"/>
  <c r="BT57" i="3"/>
  <c r="BF55" i="3"/>
  <c r="BV55" i="3" s="1"/>
  <c r="BX55" i="3" s="1"/>
  <c r="BY55" i="3" s="1"/>
  <c r="BF51" i="3"/>
  <c r="BG51" i="3" s="1"/>
  <c r="BV57" i="3"/>
  <c r="BX57" i="3" s="1"/>
  <c r="BY57" i="3" s="1"/>
  <c r="BG57" i="3"/>
  <c r="BF54" i="3"/>
  <c r="BT54" i="3"/>
  <c r="BV50" i="3"/>
  <c r="BX50" i="3" s="1"/>
  <c r="BY50" i="3" s="1"/>
  <c r="BG50" i="3"/>
  <c r="BW53" i="3" l="1"/>
  <c r="BG53" i="3"/>
  <c r="BG52" i="3"/>
  <c r="BZ56" i="3"/>
  <c r="BG56" i="3"/>
  <c r="BG55" i="3"/>
  <c r="BV51" i="3"/>
  <c r="BX51" i="3" s="1"/>
  <c r="BY51" i="3" s="1"/>
  <c r="BW51" i="3" s="1"/>
  <c r="BW50" i="3"/>
  <c r="BZ50" i="3"/>
  <c r="BZ57" i="3"/>
  <c r="BW57" i="3"/>
  <c r="BW52" i="3"/>
  <c r="BZ52" i="3"/>
  <c r="BG54" i="3"/>
  <c r="BV54" i="3"/>
  <c r="BX54" i="3" s="1"/>
  <c r="BY54" i="3" s="1"/>
  <c r="BW55" i="3"/>
  <c r="BZ55" i="3"/>
  <c r="BZ51" i="3" l="1"/>
  <c r="BW54" i="3"/>
  <c r="BZ54" i="3"/>
  <c r="CO5" i="3" l="1"/>
  <c r="CO6" i="3"/>
  <c r="CO7" i="3"/>
  <c r="CO8" i="3"/>
  <c r="CO9" i="3"/>
  <c r="CO10" i="3"/>
  <c r="CO11" i="3"/>
  <c r="CO12" i="3"/>
  <c r="CO13" i="3"/>
  <c r="CO14" i="3"/>
  <c r="CO15" i="3"/>
  <c r="CO16" i="3"/>
  <c r="CO17" i="3"/>
  <c r="CO18" i="3"/>
  <c r="CO19" i="3"/>
  <c r="CO20" i="3"/>
  <c r="CO21" i="3"/>
  <c r="CO22" i="3"/>
  <c r="CO23" i="3"/>
  <c r="CO24" i="3"/>
  <c r="CO25" i="3"/>
  <c r="CO26" i="3"/>
  <c r="CO27" i="3"/>
  <c r="CO28" i="3"/>
  <c r="CO29" i="3"/>
  <c r="CO30" i="3"/>
  <c r="CO31" i="3"/>
  <c r="CO32" i="3"/>
  <c r="CO33" i="3"/>
  <c r="CO34" i="3"/>
  <c r="CO35" i="3"/>
  <c r="CO36" i="3"/>
  <c r="CO37" i="3"/>
  <c r="CO38" i="3"/>
  <c r="CO39" i="3"/>
  <c r="CO40" i="3"/>
  <c r="CO41" i="3"/>
  <c r="CO42" i="3"/>
  <c r="CO43" i="3"/>
  <c r="CO44" i="3"/>
  <c r="CO45" i="3"/>
  <c r="CO46" i="3"/>
  <c r="CO58" i="3"/>
  <c r="CO59" i="3"/>
  <c r="CO60" i="3"/>
  <c r="CO61" i="3"/>
  <c r="CO62" i="3"/>
  <c r="CO63" i="3"/>
  <c r="CO64" i="3"/>
  <c r="CO65" i="3"/>
  <c r="CO66" i="3"/>
  <c r="CO67" i="3"/>
  <c r="CO47" i="3"/>
  <c r="CO48" i="3"/>
  <c r="CO49" i="3"/>
  <c r="CO68" i="3"/>
  <c r="CO69" i="3"/>
  <c r="CO70" i="3"/>
  <c r="CO71" i="3"/>
  <c r="CO72" i="3"/>
  <c r="CO73" i="3"/>
  <c r="CO74" i="3"/>
  <c r="CO75" i="3"/>
  <c r="CO76" i="3"/>
  <c r="CO77" i="3"/>
  <c r="CO78" i="3"/>
  <c r="CO79" i="3"/>
  <c r="CO80" i="3"/>
  <c r="CO81" i="3"/>
  <c r="CO82" i="3"/>
  <c r="CO83" i="3"/>
  <c r="CO84" i="3"/>
  <c r="CB5" i="3"/>
  <c r="CC5" i="3" s="1"/>
  <c r="CI18" i="3"/>
  <c r="CJ18" i="3" s="1"/>
  <c r="CB19" i="3"/>
  <c r="CC19" i="3" s="1"/>
  <c r="CB39" i="3"/>
  <c r="CC39" i="3" s="1"/>
  <c r="CI40" i="3"/>
  <c r="CJ40" i="3" s="1"/>
  <c r="CI41" i="3"/>
  <c r="CJ41" i="3" s="1"/>
  <c r="CI42" i="3"/>
  <c r="CJ42" i="3" s="1"/>
  <c r="CB43" i="3"/>
  <c r="CC43" i="3" s="1"/>
  <c r="CI44" i="3"/>
  <c r="CJ44" i="3" s="1"/>
  <c r="CB45" i="3"/>
  <c r="CC45" i="3" s="1"/>
  <c r="CB46" i="3"/>
  <c r="CC46" i="3" s="1"/>
  <c r="CB62" i="3"/>
  <c r="CC62" i="3" s="1"/>
  <c r="CI63" i="3"/>
  <c r="CJ63" i="3" s="1"/>
  <c r="CB67" i="3"/>
  <c r="CC67" i="3" s="1"/>
  <c r="CB68" i="3"/>
  <c r="CC68" i="3" s="1"/>
  <c r="CI73" i="3"/>
  <c r="CJ73" i="3" s="1"/>
  <c r="CI74" i="3"/>
  <c r="CJ74" i="3" s="1"/>
  <c r="CB75" i="3"/>
  <c r="CC75" i="3" s="1"/>
  <c r="CB78" i="3"/>
  <c r="CC78" i="3" s="1"/>
  <c r="CI80" i="3"/>
  <c r="CJ80" i="3" s="1"/>
  <c r="CI83" i="3"/>
  <c r="CJ83" i="3" s="1"/>
  <c r="CB84" i="3"/>
  <c r="CC84" i="3" s="1"/>
  <c r="CI84" i="3" l="1"/>
  <c r="CJ84" i="3" s="1"/>
  <c r="CI68" i="3"/>
  <c r="CJ68" i="3" s="1"/>
  <c r="CB83" i="3"/>
  <c r="CC83" i="3" s="1"/>
  <c r="CB80" i="3"/>
  <c r="CC80" i="3" s="1"/>
  <c r="CB63" i="3"/>
  <c r="CC63" i="3" s="1"/>
  <c r="CI19" i="3"/>
  <c r="CJ19" i="3" s="1"/>
  <c r="CB44" i="3"/>
  <c r="CC44" i="3" s="1"/>
  <c r="CB18" i="3"/>
  <c r="CC18" i="3" s="1"/>
  <c r="CB40" i="3"/>
  <c r="CC40" i="3" s="1"/>
  <c r="CI67" i="3"/>
  <c r="CJ67" i="3" s="1"/>
  <c r="CB74" i="3"/>
  <c r="CC74" i="3" s="1"/>
  <c r="CB42" i="3"/>
  <c r="CC42" i="3" s="1"/>
  <c r="CB73" i="3"/>
  <c r="CC73" i="3" s="1"/>
  <c r="CB41" i="3"/>
  <c r="CC41" i="3" s="1"/>
  <c r="CI39" i="3"/>
  <c r="CJ39" i="3" s="1"/>
  <c r="CI78" i="3"/>
  <c r="CJ78" i="3" s="1"/>
  <c r="CI46" i="3"/>
  <c r="CJ46" i="3" s="1"/>
  <c r="CI45" i="3"/>
  <c r="CJ45" i="3" s="1"/>
  <c r="CI75" i="3"/>
  <c r="CJ75" i="3" s="1"/>
  <c r="CI62" i="3"/>
  <c r="CJ62" i="3" s="1"/>
  <c r="CI43" i="3"/>
  <c r="CJ43" i="3" s="1"/>
  <c r="BD43" i="3"/>
  <c r="BU45" i="3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43" i="1"/>
  <c r="A44" i="1"/>
  <c r="A45" i="1"/>
  <c r="A46" i="1"/>
  <c r="A47" i="1"/>
  <c r="A48" i="1"/>
  <c r="A49" i="1"/>
  <c r="A50" i="1"/>
  <c r="A4" i="1"/>
  <c r="BD46" i="3"/>
  <c r="BM43" i="3"/>
  <c r="BO43" i="3" s="1"/>
  <c r="BP43" i="3"/>
  <c r="BR43" i="3"/>
  <c r="BU43" i="3"/>
  <c r="BU44" i="3"/>
  <c r="BM44" i="3"/>
  <c r="BN44" i="3" s="1"/>
  <c r="BP44" i="3"/>
  <c r="BR44" i="3"/>
  <c r="BM45" i="3"/>
  <c r="BO45" i="3" s="1"/>
  <c r="BP45" i="3"/>
  <c r="BR45" i="3"/>
  <c r="BM46" i="3"/>
  <c r="BO46" i="3" s="1"/>
  <c r="BP46" i="3"/>
  <c r="BR46" i="3"/>
  <c r="K43" i="3"/>
  <c r="K44" i="3"/>
  <c r="K45" i="3"/>
  <c r="K46" i="3"/>
  <c r="J43" i="3"/>
  <c r="J44" i="3"/>
  <c r="J45" i="3"/>
  <c r="J46" i="3"/>
  <c r="T34" i="1"/>
  <c r="T35" i="1"/>
  <c r="T36" i="1"/>
  <c r="T37" i="1"/>
  <c r="T43" i="1"/>
  <c r="T44" i="1"/>
  <c r="T45" i="1"/>
  <c r="T46" i="1"/>
  <c r="T47" i="1"/>
  <c r="T48" i="1"/>
  <c r="T49" i="1"/>
  <c r="T50" i="1"/>
  <c r="Y46" i="3" l="1"/>
  <c r="AB46" i="3"/>
  <c r="BL44" i="3"/>
  <c r="AB44" i="3"/>
  <c r="Y44" i="3"/>
  <c r="Y45" i="3"/>
  <c r="AB45" i="3"/>
  <c r="AB43" i="3"/>
  <c r="Y43" i="3"/>
  <c r="B29" i="1"/>
  <c r="D29" i="1"/>
  <c r="E29" i="1"/>
  <c r="B28" i="1"/>
  <c r="E28" i="1"/>
  <c r="B27" i="1"/>
  <c r="E27" i="1"/>
  <c r="B26" i="1"/>
  <c r="E26" i="1"/>
  <c r="B25" i="1"/>
  <c r="E25" i="1"/>
  <c r="E37" i="1"/>
  <c r="D37" i="1"/>
  <c r="B50" i="1"/>
  <c r="E50" i="1"/>
  <c r="D50" i="1"/>
  <c r="B13" i="1"/>
  <c r="E13" i="1"/>
  <c r="B49" i="1"/>
  <c r="E49" i="1"/>
  <c r="D49" i="1"/>
  <c r="B12" i="1"/>
  <c r="E12" i="1"/>
  <c r="E48" i="1"/>
  <c r="D48" i="1"/>
  <c r="B11" i="1"/>
  <c r="E11" i="1"/>
  <c r="D47" i="1"/>
  <c r="E47" i="1"/>
  <c r="B10" i="1"/>
  <c r="E10" i="1"/>
  <c r="B46" i="1"/>
  <c r="D46" i="1"/>
  <c r="E46" i="1"/>
  <c r="B9" i="1"/>
  <c r="E9" i="1"/>
  <c r="B45" i="1"/>
  <c r="D45" i="1"/>
  <c r="E45" i="1"/>
  <c r="B24" i="1"/>
  <c r="E24" i="1"/>
  <c r="B8" i="1"/>
  <c r="E8" i="1"/>
  <c r="B44" i="1"/>
  <c r="E44" i="1"/>
  <c r="D44" i="1"/>
  <c r="B23" i="1"/>
  <c r="E23" i="1"/>
  <c r="B7" i="1"/>
  <c r="E7" i="1"/>
  <c r="B43" i="1"/>
  <c r="E43" i="1"/>
  <c r="D43" i="1"/>
  <c r="B22" i="1"/>
  <c r="E22" i="1"/>
  <c r="B6" i="1"/>
  <c r="E6" i="1"/>
  <c r="B21" i="1"/>
  <c r="E21" i="1"/>
  <c r="B5" i="1"/>
  <c r="E5" i="1"/>
  <c r="E36" i="1"/>
  <c r="D36" i="1"/>
  <c r="B20" i="1"/>
  <c r="E20" i="1"/>
  <c r="E35" i="1"/>
  <c r="D35" i="1"/>
  <c r="B19" i="1"/>
  <c r="E19" i="1"/>
  <c r="E34" i="1"/>
  <c r="D34" i="1"/>
  <c r="B18" i="1"/>
  <c r="E18" i="1"/>
  <c r="D33" i="1"/>
  <c r="E33" i="1"/>
  <c r="B17" i="1"/>
  <c r="E17" i="1"/>
  <c r="B32" i="1"/>
  <c r="E32" i="1"/>
  <c r="D32" i="1"/>
  <c r="B16" i="1"/>
  <c r="E16" i="1"/>
  <c r="B31" i="1"/>
  <c r="D31" i="1"/>
  <c r="E31" i="1"/>
  <c r="B15" i="1"/>
  <c r="E15" i="1"/>
  <c r="B30" i="1"/>
  <c r="D30" i="1"/>
  <c r="E30" i="1"/>
  <c r="B14" i="1"/>
  <c r="E14" i="1"/>
  <c r="O50" i="3"/>
  <c r="O56" i="3"/>
  <c r="O53" i="3"/>
  <c r="O55" i="3"/>
  <c r="O52" i="3"/>
  <c r="O57" i="3"/>
  <c r="O54" i="3"/>
  <c r="O51" i="3"/>
  <c r="BN43" i="3"/>
  <c r="B4" i="1"/>
  <c r="BN45" i="3"/>
  <c r="BK44" i="3"/>
  <c r="BK43" i="3"/>
  <c r="BL45" i="3"/>
  <c r="BK45" i="3"/>
  <c r="BK46" i="3"/>
  <c r="BL46" i="3"/>
  <c r="BL43" i="3"/>
  <c r="BO44" i="3"/>
  <c r="BJ46" i="3"/>
  <c r="BU46" i="3"/>
  <c r="BI46" i="3"/>
  <c r="BJ45" i="3"/>
  <c r="BD45" i="3"/>
  <c r="BI43" i="3"/>
  <c r="BN46" i="3"/>
  <c r="B34" i="1"/>
  <c r="B35" i="1"/>
  <c r="B48" i="1"/>
  <c r="B33" i="1"/>
  <c r="B47" i="1"/>
  <c r="BJ44" i="3"/>
  <c r="BI44" i="3"/>
  <c r="BI45" i="3"/>
  <c r="BJ43" i="3"/>
  <c r="BD44" i="3"/>
  <c r="S4" i="1" l="1"/>
  <c r="Q4" i="1"/>
  <c r="H4" i="1"/>
  <c r="I4" i="1" s="1"/>
  <c r="Q15" i="1"/>
  <c r="Q22" i="1"/>
  <c r="Q12" i="1"/>
  <c r="Q19" i="1"/>
  <c r="Q31" i="1"/>
  <c r="Q9" i="1"/>
  <c r="Q16" i="1"/>
  <c r="S7" i="1"/>
  <c r="Q7" i="1"/>
  <c r="H7" i="1"/>
  <c r="Q13" i="1"/>
  <c r="Q23" i="1"/>
  <c r="Q17" i="1"/>
  <c r="Q32" i="1"/>
  <c r="Q20" i="1"/>
  <c r="Q8" i="1"/>
  <c r="Q11" i="1"/>
  <c r="Q25" i="1"/>
  <c r="Q21" i="1"/>
  <c r="S5" i="1"/>
  <c r="Q5" i="1"/>
  <c r="H5" i="1"/>
  <c r="Q35" i="1"/>
  <c r="Q30" i="1"/>
  <c r="Q18" i="1"/>
  <c r="S6" i="1"/>
  <c r="Q6" i="1"/>
  <c r="H6" i="1"/>
  <c r="Q24" i="1"/>
  <c r="Q10" i="1"/>
  <c r="Q14" i="1"/>
  <c r="Q34" i="1"/>
  <c r="BQ44" i="3"/>
  <c r="BS44" i="3" s="1"/>
  <c r="BT44" i="3" s="1"/>
  <c r="BQ43" i="3"/>
  <c r="BS43" i="3" s="1"/>
  <c r="BT43" i="3" s="1"/>
  <c r="BQ45" i="3"/>
  <c r="BS45" i="3" s="1"/>
  <c r="BT45" i="3" s="1"/>
  <c r="BQ46" i="3"/>
  <c r="BS46" i="3" s="1"/>
  <c r="BF46" i="3" s="1"/>
  <c r="BF44" i="3" l="1"/>
  <c r="BG44" i="3" s="1"/>
  <c r="BF43" i="3"/>
  <c r="BG43" i="3" s="1"/>
  <c r="BF45" i="3"/>
  <c r="BG45" i="3" s="1"/>
  <c r="BT46" i="3"/>
  <c r="BG46" i="3"/>
  <c r="CE45" i="3" l="1"/>
  <c r="CE44" i="3"/>
  <c r="CE43" i="3"/>
  <c r="CE46" i="3" l="1"/>
  <c r="BR62" i="3" l="1"/>
  <c r="BP62" i="3"/>
  <c r="BM62" i="3"/>
  <c r="BN62" i="3" s="1"/>
  <c r="BJ62" i="3"/>
  <c r="K62" i="3"/>
  <c r="J62" i="3"/>
  <c r="BR61" i="3"/>
  <c r="BP61" i="3"/>
  <c r="BM61" i="3"/>
  <c r="BN61" i="3" s="1"/>
  <c r="K61" i="3"/>
  <c r="J61" i="3"/>
  <c r="BR60" i="3"/>
  <c r="BP60" i="3"/>
  <c r="BM60" i="3"/>
  <c r="BN60" i="3" s="1"/>
  <c r="BU60" i="3"/>
  <c r="K60" i="3"/>
  <c r="J60" i="3"/>
  <c r="BR59" i="3"/>
  <c r="BP59" i="3"/>
  <c r="BM59" i="3"/>
  <c r="BN59" i="3" s="1"/>
  <c r="BJ59" i="3"/>
  <c r="K59" i="3"/>
  <c r="J59" i="3"/>
  <c r="BR58" i="3"/>
  <c r="BP58" i="3"/>
  <c r="BM58" i="3"/>
  <c r="BO58" i="3" s="1"/>
  <c r="BJ58" i="3"/>
  <c r="K58" i="3"/>
  <c r="J58" i="3"/>
  <c r="BK62" i="3" l="1"/>
  <c r="Y62" i="3"/>
  <c r="AB62" i="3"/>
  <c r="Y61" i="3"/>
  <c r="AB61" i="3"/>
  <c r="Y59" i="3"/>
  <c r="AB59" i="3"/>
  <c r="AB60" i="3"/>
  <c r="Y60" i="3"/>
  <c r="Y58" i="3"/>
  <c r="AB58" i="3"/>
  <c r="BL61" i="3"/>
  <c r="BK61" i="3"/>
  <c r="BL59" i="3"/>
  <c r="BK59" i="3"/>
  <c r="BL58" i="3"/>
  <c r="BK58" i="3"/>
  <c r="BL60" i="3"/>
  <c r="BK60" i="3"/>
  <c r="BO60" i="3"/>
  <c r="BI59" i="3"/>
  <c r="BN58" i="3"/>
  <c r="BI62" i="3"/>
  <c r="BL62" i="3"/>
  <c r="BI58" i="3"/>
  <c r="BO62" i="3"/>
  <c r="BO61" i="3"/>
  <c r="BO59" i="3"/>
  <c r="BJ60" i="3"/>
  <c r="BI61" i="3"/>
  <c r="BJ61" i="3"/>
  <c r="BU59" i="3"/>
  <c r="BI60" i="3"/>
  <c r="BU62" i="3"/>
  <c r="BU58" i="3"/>
  <c r="BU61" i="3"/>
  <c r="BQ58" i="3" l="1"/>
  <c r="BS58" i="3" s="1"/>
  <c r="BT58" i="3" s="1"/>
  <c r="BQ60" i="3"/>
  <c r="BS60" i="3" s="1"/>
  <c r="BF60" i="3" s="1"/>
  <c r="BQ61" i="3"/>
  <c r="BS61" i="3" s="1"/>
  <c r="BQ59" i="3"/>
  <c r="BS59" i="3" s="1"/>
  <c r="BF59" i="3" s="1"/>
  <c r="BQ62" i="3"/>
  <c r="BS62" i="3" s="1"/>
  <c r="BF62" i="3" s="1"/>
  <c r="BT60" i="3" l="1"/>
  <c r="BF58" i="3"/>
  <c r="BG58" i="3" s="1"/>
  <c r="BT59" i="3"/>
  <c r="BT61" i="3"/>
  <c r="BF61" i="3"/>
  <c r="BG61" i="3" s="1"/>
  <c r="BT62" i="3"/>
  <c r="BG60" i="3"/>
  <c r="BG59" i="3"/>
  <c r="BG62" i="3"/>
  <c r="I43" i="1" l="1"/>
  <c r="I44" i="1"/>
  <c r="I48" i="1"/>
  <c r="I45" i="1"/>
  <c r="I46" i="1"/>
  <c r="I49" i="1"/>
  <c r="I50" i="1"/>
  <c r="I47" i="1"/>
  <c r="J47" i="1" l="1"/>
  <c r="J50" i="1"/>
  <c r="J49" i="1"/>
  <c r="J46" i="1"/>
  <c r="J45" i="1"/>
  <c r="J48" i="1"/>
  <c r="J44" i="1"/>
  <c r="J43" i="1"/>
  <c r="A57" i="1" l="1"/>
  <c r="E57" i="1" s="1"/>
  <c r="A58" i="1" l="1"/>
  <c r="B57" i="1"/>
  <c r="BE3" i="3"/>
  <c r="B58" i="1" l="1"/>
  <c r="E58" i="1"/>
  <c r="BU5" i="3"/>
  <c r="BU11" i="3"/>
  <c r="BU14" i="3"/>
  <c r="BU15" i="3"/>
  <c r="BU18" i="3"/>
  <c r="BU19" i="3"/>
  <c r="BU68" i="3"/>
  <c r="BU73" i="3"/>
  <c r="BU74" i="3"/>
  <c r="BU75" i="3"/>
  <c r="BU80" i="3"/>
  <c r="BU83" i="3"/>
  <c r="BU76" i="3" l="1"/>
  <c r="BU63" i="3"/>
  <c r="BU16" i="3"/>
  <c r="BU32" i="3"/>
  <c r="BU31" i="3"/>
  <c r="BU30" i="3"/>
  <c r="BU13" i="3"/>
  <c r="BU29" i="3"/>
  <c r="BU72" i="3"/>
  <c r="BU12" i="3"/>
  <c r="BU28" i="3"/>
  <c r="BU9" i="3"/>
  <c r="BU71" i="3"/>
  <c r="BU27" i="3"/>
  <c r="BU42" i="3"/>
  <c r="BU10" i="3"/>
  <c r="BU41" i="3"/>
  <c r="BU24" i="3"/>
  <c r="BU39" i="3"/>
  <c r="BU7" i="3"/>
  <c r="BU48" i="3"/>
  <c r="BU22" i="3"/>
  <c r="BU81" i="3"/>
  <c r="BU37" i="3"/>
  <c r="BU21" i="3"/>
  <c r="BU67" i="3"/>
  <c r="BU20" i="3"/>
  <c r="BU79" i="3"/>
  <c r="BU66" i="3"/>
  <c r="BU35" i="3"/>
  <c r="BU65" i="3"/>
  <c r="BU70" i="3"/>
  <c r="BU26" i="3"/>
  <c r="BU69" i="3"/>
  <c r="BU25" i="3"/>
  <c r="BU40" i="3"/>
  <c r="BU8" i="3"/>
  <c r="BU49" i="3"/>
  <c r="BU23" i="3"/>
  <c r="BU82" i="3"/>
  <c r="BU38" i="3"/>
  <c r="BU6" i="3"/>
  <c r="BU47" i="3"/>
  <c r="BU36" i="3"/>
  <c r="BU78" i="3"/>
  <c r="BU77" i="3"/>
  <c r="BU64" i="3"/>
  <c r="BU33" i="3"/>
  <c r="BU17" i="3"/>
  <c r="BU34" i="3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BU84" i="3" l="1"/>
  <c r="BJ80" i="3" l="1"/>
  <c r="BI83" i="3"/>
  <c r="BI68" i="3"/>
  <c r="BI73" i="3"/>
  <c r="BJ74" i="3"/>
  <c r="BI75" i="3"/>
  <c r="BI5" i="3"/>
  <c r="BJ18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42" i="3"/>
  <c r="BR63" i="3"/>
  <c r="BR64" i="3"/>
  <c r="BR65" i="3"/>
  <c r="BR66" i="3"/>
  <c r="BR67" i="3"/>
  <c r="BR47" i="3"/>
  <c r="BR48" i="3"/>
  <c r="BR49" i="3"/>
  <c r="BR68" i="3"/>
  <c r="BR69" i="3"/>
  <c r="BR70" i="3"/>
  <c r="BR71" i="3"/>
  <c r="BR72" i="3"/>
  <c r="BR73" i="3"/>
  <c r="BR74" i="3"/>
  <c r="BR75" i="3"/>
  <c r="BR76" i="3"/>
  <c r="BR77" i="3"/>
  <c r="BR78" i="3"/>
  <c r="BR79" i="3"/>
  <c r="BR80" i="3"/>
  <c r="BR81" i="3"/>
  <c r="BR82" i="3"/>
  <c r="BR83" i="3"/>
  <c r="BR84" i="3"/>
  <c r="BR5" i="3"/>
  <c r="BM81" i="3"/>
  <c r="BN81" i="3" s="1"/>
  <c r="BP81" i="3"/>
  <c r="BM82" i="3"/>
  <c r="BN82" i="3" s="1"/>
  <c r="BP82" i="3"/>
  <c r="BM83" i="3"/>
  <c r="BN83" i="3" s="1"/>
  <c r="BP83" i="3"/>
  <c r="BM84" i="3"/>
  <c r="BN84" i="3" s="1"/>
  <c r="BP84" i="3"/>
  <c r="BM5" i="3"/>
  <c r="BN5" i="3" s="1"/>
  <c r="BJ15" i="3"/>
  <c r="BJ19" i="3"/>
  <c r="BJ75" i="3"/>
  <c r="BJ83" i="3"/>
  <c r="BJ84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63" i="3"/>
  <c r="BP64" i="3"/>
  <c r="BP65" i="3"/>
  <c r="BP66" i="3"/>
  <c r="BP67" i="3"/>
  <c r="BP47" i="3"/>
  <c r="BP48" i="3"/>
  <c r="BP49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5" i="3"/>
  <c r="BM6" i="3"/>
  <c r="BO6" i="3" s="1"/>
  <c r="BM7" i="3"/>
  <c r="BO7" i="3" s="1"/>
  <c r="BM8" i="3"/>
  <c r="BO8" i="3" s="1"/>
  <c r="BM9" i="3"/>
  <c r="BN9" i="3" s="1"/>
  <c r="BM10" i="3"/>
  <c r="BO10" i="3" s="1"/>
  <c r="BM11" i="3"/>
  <c r="BO11" i="3" s="1"/>
  <c r="BM12" i="3"/>
  <c r="BO12" i="3" s="1"/>
  <c r="BM13" i="3"/>
  <c r="BN13" i="3" s="1"/>
  <c r="BM14" i="3"/>
  <c r="BO14" i="3" s="1"/>
  <c r="BM15" i="3"/>
  <c r="BM16" i="3"/>
  <c r="BO16" i="3" s="1"/>
  <c r="BM17" i="3"/>
  <c r="BN17" i="3" s="1"/>
  <c r="BM18" i="3"/>
  <c r="BO18" i="3" s="1"/>
  <c r="BM19" i="3"/>
  <c r="BO19" i="3" s="1"/>
  <c r="BM20" i="3"/>
  <c r="BO20" i="3" s="1"/>
  <c r="BM21" i="3"/>
  <c r="BO21" i="3" s="1"/>
  <c r="BM22" i="3"/>
  <c r="BO22" i="3" s="1"/>
  <c r="BM23" i="3"/>
  <c r="BO23" i="3" s="1"/>
  <c r="BM24" i="3"/>
  <c r="BO24" i="3" s="1"/>
  <c r="BM25" i="3"/>
  <c r="BN25" i="3" s="1"/>
  <c r="BM26" i="3"/>
  <c r="BO26" i="3" s="1"/>
  <c r="BM27" i="3"/>
  <c r="BM28" i="3"/>
  <c r="BO28" i="3" s="1"/>
  <c r="BM29" i="3"/>
  <c r="BO29" i="3" s="1"/>
  <c r="BM30" i="3"/>
  <c r="BO30" i="3" s="1"/>
  <c r="BM31" i="3"/>
  <c r="BM32" i="3"/>
  <c r="BO32" i="3" s="1"/>
  <c r="BM33" i="3"/>
  <c r="BN33" i="3" s="1"/>
  <c r="BM34" i="3"/>
  <c r="BO34" i="3" s="1"/>
  <c r="BM35" i="3"/>
  <c r="BO35" i="3" s="1"/>
  <c r="BM36" i="3"/>
  <c r="BO36" i="3" s="1"/>
  <c r="BM37" i="3"/>
  <c r="BO37" i="3" s="1"/>
  <c r="BM38" i="3"/>
  <c r="BO38" i="3" s="1"/>
  <c r="BM39" i="3"/>
  <c r="BM40" i="3"/>
  <c r="BN40" i="3" s="1"/>
  <c r="BM41" i="3"/>
  <c r="BO41" i="3" s="1"/>
  <c r="BM42" i="3"/>
  <c r="BO42" i="3" s="1"/>
  <c r="BM63" i="3"/>
  <c r="BN63" i="3" s="1"/>
  <c r="BM64" i="3"/>
  <c r="BO64" i="3" s="1"/>
  <c r="BM65" i="3"/>
  <c r="BO65" i="3" s="1"/>
  <c r="BM66" i="3"/>
  <c r="BO66" i="3" s="1"/>
  <c r="BM67" i="3"/>
  <c r="BN67" i="3" s="1"/>
  <c r="BM47" i="3"/>
  <c r="BN47" i="3" s="1"/>
  <c r="BM48" i="3"/>
  <c r="BO48" i="3" s="1"/>
  <c r="BM49" i="3"/>
  <c r="BO49" i="3" s="1"/>
  <c r="BM68" i="3"/>
  <c r="BO68" i="3" s="1"/>
  <c r="BM69" i="3"/>
  <c r="BN69" i="3" s="1"/>
  <c r="BM70" i="3"/>
  <c r="BO70" i="3" s="1"/>
  <c r="BM71" i="3"/>
  <c r="BO71" i="3" s="1"/>
  <c r="BM72" i="3"/>
  <c r="BO72" i="3" s="1"/>
  <c r="BM73" i="3"/>
  <c r="BO73" i="3" s="1"/>
  <c r="BM74" i="3"/>
  <c r="BO74" i="3" s="1"/>
  <c r="BM75" i="3"/>
  <c r="BO75" i="3" s="1"/>
  <c r="BM76" i="3"/>
  <c r="BO76" i="3" s="1"/>
  <c r="BM77" i="3"/>
  <c r="BN77" i="3" s="1"/>
  <c r="BM78" i="3"/>
  <c r="BO78" i="3" s="1"/>
  <c r="BM79" i="3"/>
  <c r="BM80" i="3"/>
  <c r="BN80" i="3" s="1"/>
  <c r="BI84" i="3"/>
  <c r="BI74" i="3"/>
  <c r="BI19" i="3"/>
  <c r="BI18" i="3"/>
  <c r="BI15" i="3"/>
  <c r="BJ68" i="3" l="1"/>
  <c r="BN30" i="3"/>
  <c r="BJ73" i="3"/>
  <c r="BI80" i="3"/>
  <c r="BJ5" i="3"/>
  <c r="BN19" i="3"/>
  <c r="BN10" i="3"/>
  <c r="BN48" i="3"/>
  <c r="BO83" i="3"/>
  <c r="BO81" i="3"/>
  <c r="BN21" i="3"/>
  <c r="BO47" i="3"/>
  <c r="BO84" i="3"/>
  <c r="BO82" i="3"/>
  <c r="BN14" i="3"/>
  <c r="BO33" i="3"/>
  <c r="BN22" i="3"/>
  <c r="BN38" i="3"/>
  <c r="BN74" i="3"/>
  <c r="BO5" i="3"/>
  <c r="BO13" i="3"/>
  <c r="BN70" i="3"/>
  <c r="BO17" i="3"/>
  <c r="BN6" i="3"/>
  <c r="BN18" i="3"/>
  <c r="BN26" i="3"/>
  <c r="BN42" i="3"/>
  <c r="BN65" i="3"/>
  <c r="BN78" i="3"/>
  <c r="BO69" i="3"/>
  <c r="BO25" i="3"/>
  <c r="BO9" i="3"/>
  <c r="BN79" i="3"/>
  <c r="BO79" i="3"/>
  <c r="BN39" i="3"/>
  <c r="BO39" i="3"/>
  <c r="BO31" i="3"/>
  <c r="BN31" i="3"/>
  <c r="BN27" i="3"/>
  <c r="BO27" i="3"/>
  <c r="BN15" i="3"/>
  <c r="BO15" i="3"/>
  <c r="BO77" i="3"/>
  <c r="BO80" i="3"/>
  <c r="BO67" i="3"/>
  <c r="BO63" i="3"/>
  <c r="BO40" i="3"/>
  <c r="BN7" i="3"/>
  <c r="BN8" i="3"/>
  <c r="BN35" i="3"/>
  <c r="BN36" i="3"/>
  <c r="BN66" i="3"/>
  <c r="BN71" i="3"/>
  <c r="BN49" i="3"/>
  <c r="BN11" i="3"/>
  <c r="BN23" i="3"/>
  <c r="BN76" i="3"/>
  <c r="BN73" i="3"/>
  <c r="BN12" i="3"/>
  <c r="BN16" i="3"/>
  <c r="BN20" i="3"/>
  <c r="BN24" i="3"/>
  <c r="BN72" i="3"/>
  <c r="BN32" i="3"/>
  <c r="BN28" i="3"/>
  <c r="BN29" i="3"/>
  <c r="BN34" i="3"/>
  <c r="BN41" i="3"/>
  <c r="BN37" i="3"/>
  <c r="BN64" i="3"/>
  <c r="BN75" i="3"/>
  <c r="BN68" i="3"/>
  <c r="A53" i="1" l="1"/>
  <c r="A54" i="1"/>
  <c r="D54" i="1" l="1"/>
  <c r="E54" i="1"/>
  <c r="D53" i="1"/>
  <c r="E53" i="1"/>
  <c r="B53" i="1"/>
  <c r="B54" i="1"/>
  <c r="Z5" i="32"/>
  <c r="K29" i="3" l="1"/>
  <c r="K30" i="3"/>
  <c r="K31" i="3"/>
  <c r="K32" i="3"/>
  <c r="K33" i="3"/>
  <c r="K34" i="3"/>
  <c r="K35" i="3"/>
  <c r="K36" i="3"/>
  <c r="K37" i="3"/>
  <c r="K38" i="3"/>
  <c r="J29" i="3"/>
  <c r="J30" i="3"/>
  <c r="J31" i="3"/>
  <c r="J32" i="3"/>
  <c r="J33" i="3"/>
  <c r="J34" i="3"/>
  <c r="J35" i="3"/>
  <c r="J36" i="3"/>
  <c r="J37" i="3"/>
  <c r="J38" i="3"/>
  <c r="AB35" i="3" l="1"/>
  <c r="Y35" i="3"/>
  <c r="AB36" i="3"/>
  <c r="Y36" i="3"/>
  <c r="AB34" i="3"/>
  <c r="Y34" i="3"/>
  <c r="AB33" i="3"/>
  <c r="Y33" i="3"/>
  <c r="Y32" i="3"/>
  <c r="AB32" i="3"/>
  <c r="Y31" i="3"/>
  <c r="AB31" i="3"/>
  <c r="Y30" i="3"/>
  <c r="AB30" i="3"/>
  <c r="Y29" i="3"/>
  <c r="AB29" i="3"/>
  <c r="BK38" i="3"/>
  <c r="Y38" i="3"/>
  <c r="AB38" i="3"/>
  <c r="Y37" i="3"/>
  <c r="AB37" i="3"/>
  <c r="BK36" i="3"/>
  <c r="BK31" i="3"/>
  <c r="BK37" i="3"/>
  <c r="BK35" i="3"/>
  <c r="BK33" i="3"/>
  <c r="BK29" i="3"/>
  <c r="BK32" i="3"/>
  <c r="BK34" i="3"/>
  <c r="BK30" i="3"/>
  <c r="BL38" i="3"/>
  <c r="BL37" i="3"/>
  <c r="J5" i="3" l="1"/>
  <c r="A69" i="1" l="1"/>
  <c r="D6" i="1"/>
  <c r="D8" i="1"/>
  <c r="D9" i="1"/>
  <c r="D10" i="1"/>
  <c r="D11" i="1"/>
  <c r="D12" i="1"/>
  <c r="D15" i="1"/>
  <c r="D16" i="1"/>
  <c r="D17" i="1"/>
  <c r="D18" i="1"/>
  <c r="D19" i="1"/>
  <c r="D20" i="1"/>
  <c r="D21" i="1"/>
  <c r="D22" i="1"/>
  <c r="D23" i="1"/>
  <c r="D24" i="1"/>
  <c r="D25" i="1"/>
  <c r="A51" i="1"/>
  <c r="E51" i="1" s="1"/>
  <c r="A52" i="1"/>
  <c r="A55" i="1"/>
  <c r="A56" i="1"/>
  <c r="D58" i="1"/>
  <c r="D57" i="1"/>
  <c r="A59" i="1"/>
  <c r="A60" i="1"/>
  <c r="E60" i="1" s="1"/>
  <c r="A61" i="1"/>
  <c r="A62" i="1"/>
  <c r="A63" i="1"/>
  <c r="A64" i="1"/>
  <c r="A65" i="1"/>
  <c r="A66" i="1"/>
  <c r="A67" i="1"/>
  <c r="A68" i="1"/>
  <c r="A70" i="1"/>
  <c r="A71" i="1"/>
  <c r="A72" i="1"/>
  <c r="A73" i="1"/>
  <c r="E73" i="1" s="1"/>
  <c r="A74" i="1"/>
  <c r="E74" i="1" s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E87" i="1" s="1"/>
  <c r="A88" i="1"/>
  <c r="E88" i="1" s="1"/>
  <c r="A89" i="1"/>
  <c r="E89" i="1" s="1"/>
  <c r="A90" i="1"/>
  <c r="A91" i="1"/>
  <c r="A92" i="1"/>
  <c r="A93" i="1"/>
  <c r="A94" i="1"/>
  <c r="A95" i="1"/>
  <c r="A96" i="1"/>
  <c r="E96" i="1" s="1"/>
  <c r="A97" i="1"/>
  <c r="A98" i="1"/>
  <c r="A99" i="1"/>
  <c r="E99" i="1" s="1"/>
  <c r="A100" i="1"/>
  <c r="E100" i="1" s="1"/>
  <c r="D83" i="1" l="1"/>
  <c r="E83" i="1"/>
  <c r="D97" i="1"/>
  <c r="E97" i="1"/>
  <c r="D81" i="1"/>
  <c r="E81" i="1"/>
  <c r="D64" i="1"/>
  <c r="E64" i="1"/>
  <c r="D80" i="1"/>
  <c r="E80" i="1"/>
  <c r="D95" i="1"/>
  <c r="E95" i="1"/>
  <c r="D62" i="1"/>
  <c r="E62" i="1"/>
  <c r="D63" i="1"/>
  <c r="E63" i="1"/>
  <c r="D78" i="1"/>
  <c r="E78" i="1"/>
  <c r="D61" i="1"/>
  <c r="E61" i="1"/>
  <c r="D93" i="1"/>
  <c r="E93" i="1"/>
  <c r="D77" i="1"/>
  <c r="E77" i="1"/>
  <c r="D59" i="1"/>
  <c r="E59" i="1"/>
  <c r="D90" i="1"/>
  <c r="E90" i="1"/>
  <c r="D55" i="1"/>
  <c r="E55" i="1"/>
  <c r="D71" i="1"/>
  <c r="E71" i="1"/>
  <c r="D86" i="1"/>
  <c r="E86" i="1"/>
  <c r="D70" i="1"/>
  <c r="E70" i="1"/>
  <c r="D85" i="1"/>
  <c r="E85" i="1"/>
  <c r="D68" i="1"/>
  <c r="E68" i="1"/>
  <c r="D66" i="1"/>
  <c r="E66" i="1"/>
  <c r="D98" i="1"/>
  <c r="E98" i="1"/>
  <c r="D82" i="1"/>
  <c r="E82" i="1"/>
  <c r="D65" i="1"/>
  <c r="E65" i="1"/>
  <c r="D79" i="1"/>
  <c r="E79" i="1"/>
  <c r="D94" i="1"/>
  <c r="E94" i="1"/>
  <c r="D92" i="1"/>
  <c r="E92" i="1"/>
  <c r="D76" i="1"/>
  <c r="E76" i="1"/>
  <c r="D91" i="1"/>
  <c r="E91" i="1"/>
  <c r="D75" i="1"/>
  <c r="E75" i="1"/>
  <c r="D56" i="1"/>
  <c r="E56" i="1"/>
  <c r="D72" i="1"/>
  <c r="E72" i="1"/>
  <c r="D52" i="1"/>
  <c r="E52" i="1"/>
  <c r="D84" i="1"/>
  <c r="E84" i="1"/>
  <c r="D67" i="1"/>
  <c r="E67" i="1"/>
  <c r="D69" i="1"/>
  <c r="E69" i="1"/>
  <c r="D51" i="1"/>
  <c r="D13" i="1"/>
  <c r="D27" i="1"/>
  <c r="D14" i="1"/>
  <c r="B100" i="1"/>
  <c r="D100" i="1"/>
  <c r="B99" i="1"/>
  <c r="D99" i="1"/>
  <c r="D28" i="1"/>
  <c r="D26" i="1"/>
  <c r="B60" i="1"/>
  <c r="D60" i="1"/>
  <c r="B89" i="1"/>
  <c r="D89" i="1"/>
  <c r="B74" i="1"/>
  <c r="D74" i="1"/>
  <c r="B88" i="1"/>
  <c r="D88" i="1"/>
  <c r="B73" i="1"/>
  <c r="D73" i="1"/>
  <c r="D7" i="1"/>
  <c r="B96" i="1"/>
  <c r="D96" i="1"/>
  <c r="B87" i="1"/>
  <c r="D87" i="1"/>
  <c r="B85" i="1"/>
  <c r="B61" i="1"/>
  <c r="B52" i="1"/>
  <c r="B51" i="1"/>
  <c r="B98" i="1"/>
  <c r="B90" i="1"/>
  <c r="B83" i="1"/>
  <c r="B56" i="1"/>
  <c r="D5" i="1"/>
  <c r="B95" i="1"/>
  <c r="B84" i="1"/>
  <c r="B97" i="1"/>
  <c r="B86" i="1"/>
  <c r="B82" i="1"/>
  <c r="B78" i="1"/>
  <c r="B62" i="1"/>
  <c r="B59" i="1"/>
  <c r="B55" i="1"/>
  <c r="I6" i="1" l="1"/>
  <c r="J6" i="1" s="1"/>
  <c r="I5" i="1"/>
  <c r="J5" i="1" s="1"/>
  <c r="I7" i="1"/>
  <c r="J7" i="1" s="1"/>
  <c r="A2" i="25"/>
  <c r="O46" i="3" l="1"/>
  <c r="O44" i="3"/>
  <c r="O43" i="3"/>
  <c r="O45" i="3"/>
  <c r="E4" i="1"/>
  <c r="D4" i="1"/>
  <c r="C2" i="25"/>
  <c r="E2" i="25"/>
  <c r="B2" i="25" s="1"/>
  <c r="D2" i="25"/>
  <c r="J28" i="3" l="1"/>
  <c r="K28" i="3"/>
  <c r="J77" i="3"/>
  <c r="K77" i="3"/>
  <c r="Y77" i="3" l="1"/>
  <c r="AB77" i="3"/>
  <c r="Y28" i="3"/>
  <c r="AB28" i="3"/>
  <c r="BK77" i="3"/>
  <c r="BK28" i="3"/>
  <c r="J82" i="3" l="1"/>
  <c r="K82" i="3"/>
  <c r="J83" i="3"/>
  <c r="K83" i="3"/>
  <c r="J84" i="3"/>
  <c r="K84" i="3"/>
  <c r="J78" i="3"/>
  <c r="K78" i="3"/>
  <c r="J39" i="3"/>
  <c r="K39" i="3"/>
  <c r="J40" i="3"/>
  <c r="K40" i="3"/>
  <c r="J41" i="3"/>
  <c r="K41" i="3"/>
  <c r="J42" i="3"/>
  <c r="K42" i="3"/>
  <c r="K65" i="3"/>
  <c r="J65" i="3"/>
  <c r="T127" i="1"/>
  <c r="AB84" i="3" l="1"/>
  <c r="Y84" i="3"/>
  <c r="BK41" i="3"/>
  <c r="Y41" i="3"/>
  <c r="AB41" i="3"/>
  <c r="Y42" i="3"/>
  <c r="AB42" i="3"/>
  <c r="BK39" i="3"/>
  <c r="Y39" i="3"/>
  <c r="AB39" i="3"/>
  <c r="Y78" i="3"/>
  <c r="AB78" i="3"/>
  <c r="AB83" i="3"/>
  <c r="Y83" i="3"/>
  <c r="BK40" i="3"/>
  <c r="Y40" i="3"/>
  <c r="AB40" i="3"/>
  <c r="BK65" i="3"/>
  <c r="AB65" i="3"/>
  <c r="Y65" i="3"/>
  <c r="AB82" i="3"/>
  <c r="Y82" i="3"/>
  <c r="BK78" i="3"/>
  <c r="BK42" i="3"/>
  <c r="BK84" i="3"/>
  <c r="BK83" i="3"/>
  <c r="BK82" i="3"/>
  <c r="BL40" i="3"/>
  <c r="BL41" i="3"/>
  <c r="BL65" i="3"/>
  <c r="BL39" i="3"/>
  <c r="BL35" i="3"/>
  <c r="BL33" i="3"/>
  <c r="BL34" i="3"/>
  <c r="I127" i="1" l="1"/>
  <c r="J127" i="1" l="1"/>
  <c r="K67" i="3" l="1"/>
  <c r="J67" i="3"/>
  <c r="BK67" i="3" l="1"/>
  <c r="AB67" i="3"/>
  <c r="Y67" i="3"/>
  <c r="BL67" i="3"/>
  <c r="K73" i="3" l="1"/>
  <c r="Y73" i="3" l="1"/>
  <c r="AB73" i="3"/>
  <c r="BK73" i="3"/>
  <c r="BL36" i="3"/>
  <c r="O73" i="3" l="1"/>
  <c r="J4" i="1" l="1"/>
  <c r="T7" i="1" l="1"/>
  <c r="T6" i="1"/>
  <c r="T5" i="1"/>
  <c r="J63" i="3"/>
  <c r="K63" i="3"/>
  <c r="Y63" i="3" l="1"/>
  <c r="AB63" i="3"/>
  <c r="BK63" i="3"/>
  <c r="BL73" i="3"/>
  <c r="BQ73" i="3" s="1"/>
  <c r="BS73" i="3" s="1"/>
  <c r="BF73" i="3" s="1"/>
  <c r="O20" i="3"/>
  <c r="O6" i="3"/>
  <c r="O7" i="3"/>
  <c r="J64" i="3" l="1"/>
  <c r="K64" i="3"/>
  <c r="K22" i="3"/>
  <c r="K23" i="3"/>
  <c r="J22" i="3"/>
  <c r="J23" i="3"/>
  <c r="Y22" i="3" l="1"/>
  <c r="AB22" i="3"/>
  <c r="BK23" i="3"/>
  <c r="Y23" i="3"/>
  <c r="AB23" i="3"/>
  <c r="Y64" i="3"/>
  <c r="AB64" i="3"/>
  <c r="BK22" i="3"/>
  <c r="BK64" i="3"/>
  <c r="BL23" i="3"/>
  <c r="J74" i="3" l="1"/>
  <c r="K74" i="3"/>
  <c r="J75" i="3"/>
  <c r="K75" i="3"/>
  <c r="J76" i="3"/>
  <c r="K76" i="3"/>
  <c r="J79" i="3"/>
  <c r="K79" i="3"/>
  <c r="J80" i="3"/>
  <c r="K80" i="3"/>
  <c r="J81" i="3"/>
  <c r="K81" i="3"/>
  <c r="J66" i="3"/>
  <c r="K66" i="3"/>
  <c r="J47" i="3"/>
  <c r="K47" i="3"/>
  <c r="J48" i="3"/>
  <c r="K48" i="3"/>
  <c r="J49" i="3"/>
  <c r="K49" i="3"/>
  <c r="J68" i="3"/>
  <c r="K68" i="3"/>
  <c r="BK75" i="3" l="1"/>
  <c r="Y75" i="3"/>
  <c r="AB75" i="3"/>
  <c r="Y48" i="3"/>
  <c r="AB48" i="3"/>
  <c r="AB49" i="3"/>
  <c r="Y49" i="3"/>
  <c r="AB76" i="3"/>
  <c r="Y76" i="3"/>
  <c r="Y79" i="3"/>
  <c r="AB79" i="3"/>
  <c r="Y47" i="3"/>
  <c r="AB47" i="3"/>
  <c r="BK66" i="3"/>
  <c r="AB66" i="3"/>
  <c r="Y66" i="3"/>
  <c r="Y74" i="3"/>
  <c r="AB74" i="3"/>
  <c r="Y81" i="3"/>
  <c r="AB81" i="3"/>
  <c r="AB68" i="3"/>
  <c r="Y68" i="3"/>
  <c r="Y80" i="3"/>
  <c r="AB80" i="3"/>
  <c r="BK68" i="3"/>
  <c r="BK81" i="3"/>
  <c r="BK48" i="3"/>
  <c r="BK74" i="3"/>
  <c r="BK76" i="3"/>
  <c r="BK49" i="3"/>
  <c r="BK80" i="3"/>
  <c r="BK47" i="3"/>
  <c r="BK79" i="3"/>
  <c r="BL75" i="3"/>
  <c r="BQ75" i="3" s="1"/>
  <c r="BS75" i="3" s="1"/>
  <c r="BF75" i="3" s="1"/>
  <c r="BL66" i="3"/>
  <c r="BL74" i="3"/>
  <c r="BQ74" i="3" s="1"/>
  <c r="BS74" i="3" s="1"/>
  <c r="BL83" i="3"/>
  <c r="BQ83" i="3" s="1"/>
  <c r="BS83" i="3" s="1"/>
  <c r="BF83" i="3" s="1"/>
  <c r="BL22" i="3"/>
  <c r="BL76" i="3"/>
  <c r="BL81" i="3"/>
  <c r="BL32" i="3"/>
  <c r="BL80" i="3"/>
  <c r="BQ80" i="3" s="1"/>
  <c r="BS80" i="3" s="1"/>
  <c r="BL29" i="3"/>
  <c r="BL68" i="3"/>
  <c r="BQ68" i="3" s="1"/>
  <c r="BS68" i="3" s="1"/>
  <c r="BL77" i="3"/>
  <c r="BL64" i="3"/>
  <c r="BL28" i="3"/>
  <c r="BF74" i="3" l="1"/>
  <c r="BF80" i="3"/>
  <c r="BF68" i="3"/>
  <c r="BG68" i="3" s="1"/>
  <c r="K12" i="3" l="1"/>
  <c r="AB12" i="3" l="1"/>
  <c r="Y12" i="3"/>
  <c r="BK12" i="3"/>
  <c r="J70" i="3"/>
  <c r="J69" i="3"/>
  <c r="J72" i="3"/>
  <c r="J71" i="3"/>
  <c r="K69" i="3"/>
  <c r="K72" i="3"/>
  <c r="K71" i="3"/>
  <c r="K70" i="3"/>
  <c r="Y72" i="3" l="1"/>
  <c r="AB72" i="3"/>
  <c r="Y70" i="3"/>
  <c r="AB70" i="3"/>
  <c r="Y69" i="3"/>
  <c r="AB69" i="3"/>
  <c r="Y71" i="3"/>
  <c r="AB71" i="3"/>
  <c r="BK72" i="3"/>
  <c r="BK69" i="3"/>
  <c r="BK70" i="3"/>
  <c r="BK71" i="3"/>
  <c r="BL70" i="3"/>
  <c r="BL69" i="3"/>
  <c r="K19" i="3" l="1"/>
  <c r="K18" i="3"/>
  <c r="J18" i="3"/>
  <c r="J19" i="3"/>
  <c r="AB18" i="3" l="1"/>
  <c r="Y18" i="3"/>
  <c r="AB19" i="3"/>
  <c r="Y19" i="3"/>
  <c r="BK19" i="3"/>
  <c r="BK18" i="3"/>
  <c r="BL18" i="3"/>
  <c r="BQ18" i="3" s="1"/>
  <c r="BS18" i="3" s="1"/>
  <c r="BF18" i="3" s="1"/>
  <c r="BL48" i="3"/>
  <c r="BL19" i="3"/>
  <c r="BQ19" i="3" s="1"/>
  <c r="BS19" i="3" s="1"/>
  <c r="BF19" i="3" s="1"/>
  <c r="BL78" i="3"/>
  <c r="K17" i="3" l="1"/>
  <c r="K16" i="3"/>
  <c r="K15" i="3"/>
  <c r="J17" i="3"/>
  <c r="J16" i="3"/>
  <c r="J15" i="3"/>
  <c r="K26" i="3"/>
  <c r="K24" i="3"/>
  <c r="K25" i="3"/>
  <c r="J26" i="3"/>
  <c r="J24" i="3"/>
  <c r="J25" i="3"/>
  <c r="BK24" i="3" l="1"/>
  <c r="Y24" i="3"/>
  <c r="AB24" i="3"/>
  <c r="Y15" i="3"/>
  <c r="AB15" i="3"/>
  <c r="AB17" i="3"/>
  <c r="Y17" i="3"/>
  <c r="BK25" i="3"/>
  <c r="Y25" i="3"/>
  <c r="AB25" i="3"/>
  <c r="Y26" i="3"/>
  <c r="AB26" i="3"/>
  <c r="Y16" i="3"/>
  <c r="AB16" i="3"/>
  <c r="BK16" i="3"/>
  <c r="BK26" i="3"/>
  <c r="BK15" i="3"/>
  <c r="BK17" i="3"/>
  <c r="BL24" i="3"/>
  <c r="BL25" i="3"/>
  <c r="BL16" i="3"/>
  <c r="BL30" i="3"/>
  <c r="BL26" i="3"/>
  <c r="BL12" i="3"/>
  <c r="BL15" i="3"/>
  <c r="BQ15" i="3" s="1"/>
  <c r="BS15" i="3" s="1"/>
  <c r="BL47" i="3"/>
  <c r="BL17" i="3"/>
  <c r="BL31" i="3"/>
  <c r="BF15" i="3" l="1"/>
  <c r="K27" i="3"/>
  <c r="J27" i="3"/>
  <c r="J21" i="3"/>
  <c r="K21" i="3"/>
  <c r="Y21" i="3" l="1"/>
  <c r="AB21" i="3"/>
  <c r="BK27" i="3"/>
  <c r="AB27" i="3"/>
  <c r="Y27" i="3"/>
  <c r="BK21" i="3"/>
  <c r="BL27" i="3"/>
  <c r="BL21" i="3"/>
  <c r="BL49" i="3"/>
  <c r="J6" i="3"/>
  <c r="J7" i="3"/>
  <c r="J20" i="3"/>
  <c r="J8" i="3"/>
  <c r="J9" i="3"/>
  <c r="J10" i="3"/>
  <c r="J11" i="3"/>
  <c r="J12" i="3"/>
  <c r="J13" i="3"/>
  <c r="J14" i="3"/>
  <c r="K14" i="3" l="1"/>
  <c r="Y14" i="3" l="1"/>
  <c r="AB14" i="3"/>
  <c r="BK14" i="3"/>
  <c r="BL72" i="3"/>
  <c r="BL14" i="3"/>
  <c r="K5" i="3" l="1"/>
  <c r="Y5" i="3" l="1"/>
  <c r="BK5" i="3"/>
  <c r="BL5" i="3"/>
  <c r="K6" i="3"/>
  <c r="BK6" i="3" l="1"/>
  <c r="Y6" i="3"/>
  <c r="AB6" i="3"/>
  <c r="BL6" i="3"/>
  <c r="K11" i="3" l="1"/>
  <c r="K10" i="3"/>
  <c r="K13" i="3"/>
  <c r="K9" i="3"/>
  <c r="K8" i="3"/>
  <c r="K20" i="3"/>
  <c r="K7" i="3"/>
  <c r="Y7" i="3" l="1"/>
  <c r="AB7" i="3"/>
  <c r="AB20" i="3"/>
  <c r="Y20" i="3"/>
  <c r="BK8" i="3"/>
  <c r="Y8" i="3"/>
  <c r="AB8" i="3"/>
  <c r="BK9" i="3"/>
  <c r="Y9" i="3"/>
  <c r="AB9" i="3"/>
  <c r="Y13" i="3"/>
  <c r="AB13" i="3"/>
  <c r="Y10" i="3"/>
  <c r="AB10" i="3"/>
  <c r="AB11" i="3"/>
  <c r="Y11" i="3"/>
  <c r="BK20" i="3"/>
  <c r="BK7" i="3"/>
  <c r="BK13" i="3"/>
  <c r="BK10" i="3"/>
  <c r="BK11" i="3"/>
  <c r="BL8" i="3"/>
  <c r="BL84" i="3"/>
  <c r="BQ84" i="3" s="1"/>
  <c r="BS84" i="3" s="1"/>
  <c r="BF84" i="3" s="1"/>
  <c r="BL63" i="3"/>
  <c r="BL13" i="3"/>
  <c r="BL71" i="3"/>
  <c r="BL7" i="3"/>
  <c r="BL42" i="3"/>
  <c r="BL20" i="3"/>
  <c r="BQ5" i="3"/>
  <c r="BS5" i="3" s="1"/>
  <c r="BF5" i="3" s="1"/>
  <c r="BL10" i="3"/>
  <c r="BL82" i="3"/>
  <c r="BL11" i="3"/>
  <c r="BL79" i="3"/>
  <c r="BL9" i="3"/>
  <c r="T4" i="1" l="1"/>
  <c r="O5" i="3" l="1"/>
  <c r="F6" i="14" l="1"/>
  <c r="D6" i="14"/>
  <c r="CN73" i="3" l="1"/>
  <c r="F73" i="3"/>
  <c r="F70" i="25" s="1"/>
  <c r="CE83" i="3" l="1"/>
  <c r="CE5" i="3"/>
  <c r="CE84" i="3"/>
  <c r="G2" i="25"/>
  <c r="BG5" i="3" l="1"/>
  <c r="BT5" i="3"/>
  <c r="BT15" i="3" l="1"/>
  <c r="BT68" i="3"/>
  <c r="BT83" i="3"/>
  <c r="BT74" i="3"/>
  <c r="BT19" i="3"/>
  <c r="BT18" i="3"/>
  <c r="BT84" i="3"/>
  <c r="CE80" i="3" l="1"/>
  <c r="BG80" i="3"/>
  <c r="BT80" i="3"/>
  <c r="BV18" i="3"/>
  <c r="BT73" i="3"/>
  <c r="BV73" i="3"/>
  <c r="BT75" i="3"/>
  <c r="BV19" i="3"/>
  <c r="CE75" i="3" l="1"/>
  <c r="CE68" i="3"/>
  <c r="CE19" i="3"/>
  <c r="CE73" i="3"/>
  <c r="CD73" i="3"/>
  <c r="CE74" i="3"/>
  <c r="CE18" i="3"/>
  <c r="BG74" i="3"/>
  <c r="BG18" i="3"/>
  <c r="BG84" i="3"/>
  <c r="BG15" i="3"/>
  <c r="BG73" i="3"/>
  <c r="BG83" i="3"/>
  <c r="BG75" i="3"/>
  <c r="BG19" i="3"/>
  <c r="BX18" i="3" l="1"/>
  <c r="BY18" i="3" s="1"/>
  <c r="BW18" i="3" s="1"/>
  <c r="BX73" i="3" l="1"/>
  <c r="BY73" i="3" s="1"/>
  <c r="BW73" i="3" s="1"/>
  <c r="BX19" i="3"/>
  <c r="BY19" i="3" s="1"/>
  <c r="BW19" i="3" s="1"/>
  <c r="BZ73" i="3" l="1"/>
  <c r="BQ31" i="3" l="1"/>
  <c r="BS31" i="3" s="1"/>
  <c r="BJ31" i="3"/>
  <c r="BI31" i="3"/>
  <c r="BQ41" i="3"/>
  <c r="BS41" i="3" s="1"/>
  <c r="BI41" i="3"/>
  <c r="BJ41" i="3"/>
  <c r="BI69" i="3"/>
  <c r="BJ69" i="3"/>
  <c r="BQ69" i="3"/>
  <c r="BS69" i="3" s="1"/>
  <c r="BI70" i="3"/>
  <c r="BQ70" i="3"/>
  <c r="BS70" i="3" s="1"/>
  <c r="BJ70" i="3"/>
  <c r="BQ13" i="3"/>
  <c r="BS13" i="3" s="1"/>
  <c r="BI13" i="3"/>
  <c r="BJ13" i="3"/>
  <c r="BI63" i="3"/>
  <c r="BQ63" i="3"/>
  <c r="BS63" i="3" s="1"/>
  <c r="BJ63" i="3"/>
  <c r="BJ40" i="3"/>
  <c r="BI40" i="3"/>
  <c r="BQ40" i="3"/>
  <c r="BS40" i="3" s="1"/>
  <c r="BJ20" i="3"/>
  <c r="BI20" i="3"/>
  <c r="BQ20" i="3"/>
  <c r="BS20" i="3" s="1"/>
  <c r="BJ64" i="3"/>
  <c r="BQ64" i="3"/>
  <c r="BS64" i="3" s="1"/>
  <c r="BI64" i="3"/>
  <c r="BI71" i="3"/>
  <c r="BQ71" i="3"/>
  <c r="BS71" i="3" s="1"/>
  <c r="BJ71" i="3"/>
  <c r="BI42" i="3"/>
  <c r="BJ42" i="3"/>
  <c r="BQ42" i="3"/>
  <c r="BS42" i="3" s="1"/>
  <c r="BI14" i="3"/>
  <c r="BJ14" i="3"/>
  <c r="BQ14" i="3"/>
  <c r="BS14" i="3" s="1"/>
  <c r="BQ12" i="3"/>
  <c r="BS12" i="3" s="1"/>
  <c r="BI12" i="3"/>
  <c r="BJ12" i="3"/>
  <c r="BJ21" i="3"/>
  <c r="BQ21" i="3"/>
  <c r="BS21" i="3" s="1"/>
  <c r="BI21" i="3"/>
  <c r="BQ65" i="3"/>
  <c r="BS65" i="3" s="1"/>
  <c r="BI65" i="3"/>
  <c r="BJ65" i="3"/>
  <c r="BQ22" i="3"/>
  <c r="BS22" i="3" s="1"/>
  <c r="BI22" i="3"/>
  <c r="BJ22" i="3"/>
  <c r="BI66" i="3"/>
  <c r="BQ66" i="3"/>
  <c r="BS66" i="3" s="1"/>
  <c r="BJ66" i="3"/>
  <c r="BI67" i="3"/>
  <c r="BJ67" i="3"/>
  <c r="BQ67" i="3"/>
  <c r="BS67" i="3" s="1"/>
  <c r="BQ76" i="3"/>
  <c r="BS76" i="3" s="1"/>
  <c r="BJ76" i="3"/>
  <c r="BI76" i="3"/>
  <c r="BI35" i="3"/>
  <c r="BJ35" i="3"/>
  <c r="BQ35" i="3"/>
  <c r="BS35" i="3" s="1"/>
  <c r="BJ16" i="3"/>
  <c r="BQ16" i="3"/>
  <c r="BS16" i="3" s="1"/>
  <c r="BI16" i="3"/>
  <c r="BQ47" i="3"/>
  <c r="BS47" i="3" s="1"/>
  <c r="BF47" i="3" s="1"/>
  <c r="BI47" i="3"/>
  <c r="BJ47" i="3"/>
  <c r="BI6" i="3"/>
  <c r="BJ6" i="3"/>
  <c r="BQ6" i="3"/>
  <c r="BS6" i="3" s="1"/>
  <c r="BJ36" i="3"/>
  <c r="BQ36" i="3"/>
  <c r="BS36" i="3" s="1"/>
  <c r="BI36" i="3"/>
  <c r="BQ7" i="3"/>
  <c r="BS7" i="3" s="1"/>
  <c r="BI7" i="3"/>
  <c r="BJ7" i="3"/>
  <c r="BQ27" i="3"/>
  <c r="BS27" i="3" s="1"/>
  <c r="BJ27" i="3"/>
  <c r="BI27" i="3"/>
  <c r="BQ49" i="3"/>
  <c r="BS49" i="3" s="1"/>
  <c r="BI49" i="3"/>
  <c r="BJ49" i="3"/>
  <c r="BJ9" i="3"/>
  <c r="BI9" i="3"/>
  <c r="BQ9" i="3"/>
  <c r="BS9" i="3" s="1"/>
  <c r="BI28" i="3"/>
  <c r="BQ28" i="3"/>
  <c r="BS28" i="3" s="1"/>
  <c r="BJ28" i="3"/>
  <c r="BI25" i="3"/>
  <c r="BQ25" i="3"/>
  <c r="BS25" i="3" s="1"/>
  <c r="BJ25" i="3"/>
  <c r="BJ10" i="3"/>
  <c r="BQ10" i="3"/>
  <c r="BS10" i="3" s="1"/>
  <c r="BI10" i="3"/>
  <c r="BJ38" i="3"/>
  <c r="BI38" i="3"/>
  <c r="BQ38" i="3"/>
  <c r="BS38" i="3" s="1"/>
  <c r="BF38" i="3" s="1"/>
  <c r="BJ78" i="3"/>
  <c r="BQ78" i="3"/>
  <c r="BS78" i="3" s="1"/>
  <c r="BI78" i="3"/>
  <c r="BJ17" i="3"/>
  <c r="BQ17" i="3"/>
  <c r="BS17" i="3" s="1"/>
  <c r="BI17" i="3"/>
  <c r="BQ26" i="3"/>
  <c r="BS26" i="3" s="1"/>
  <c r="BI26" i="3"/>
  <c r="BJ26" i="3"/>
  <c r="BI8" i="3"/>
  <c r="BQ8" i="3"/>
  <c r="BS8" i="3" s="1"/>
  <c r="BJ8" i="3"/>
  <c r="BI37" i="3"/>
  <c r="BJ37" i="3"/>
  <c r="BQ37" i="3"/>
  <c r="BS37" i="3" s="1"/>
  <c r="BI29" i="3"/>
  <c r="BJ29" i="3"/>
  <c r="BQ29" i="3"/>
  <c r="BS29" i="3" s="1"/>
  <c r="BI82" i="3"/>
  <c r="BQ82" i="3"/>
  <c r="BS82" i="3" s="1"/>
  <c r="BJ82" i="3"/>
  <c r="BQ32" i="3"/>
  <c r="BS32" i="3" s="1"/>
  <c r="BJ32" i="3"/>
  <c r="BI32" i="3"/>
  <c r="BQ33" i="3"/>
  <c r="BS33" i="3" s="1"/>
  <c r="BI33" i="3"/>
  <c r="BJ33" i="3"/>
  <c r="BJ23" i="3"/>
  <c r="BQ23" i="3"/>
  <c r="BS23" i="3" s="1"/>
  <c r="BI23" i="3"/>
  <c r="BJ34" i="3"/>
  <c r="BI34" i="3"/>
  <c r="BQ34" i="3"/>
  <c r="BS34" i="3" s="1"/>
  <c r="BI24" i="3"/>
  <c r="BJ24" i="3"/>
  <c r="BQ24" i="3"/>
  <c r="BS24" i="3" s="1"/>
  <c r="BJ72" i="3"/>
  <c r="BQ72" i="3"/>
  <c r="BS72" i="3" s="1"/>
  <c r="BI72" i="3"/>
  <c r="BQ48" i="3"/>
  <c r="BS48" i="3" s="1"/>
  <c r="BJ48" i="3"/>
  <c r="BI48" i="3"/>
  <c r="BJ30" i="3"/>
  <c r="BI30" i="3"/>
  <c r="BQ30" i="3"/>
  <c r="BS30" i="3" s="1"/>
  <c r="BF30" i="3" s="1"/>
  <c r="BQ39" i="3"/>
  <c r="BS39" i="3" s="1"/>
  <c r="BJ39" i="3"/>
  <c r="BI39" i="3"/>
  <c r="BJ81" i="3"/>
  <c r="BQ81" i="3"/>
  <c r="BS81" i="3" s="1"/>
  <c r="BI81" i="3"/>
  <c r="BQ79" i="3"/>
  <c r="BS79" i="3" s="1"/>
  <c r="BI79" i="3"/>
  <c r="BJ79" i="3"/>
  <c r="BQ77" i="3"/>
  <c r="BS77" i="3" s="1"/>
  <c r="BI77" i="3"/>
  <c r="BJ77" i="3"/>
  <c r="BF20" i="3" l="1"/>
  <c r="BF69" i="3"/>
  <c r="BF67" i="3"/>
  <c r="BF40" i="3"/>
  <c r="BF9" i="3"/>
  <c r="BF14" i="3"/>
  <c r="BF6" i="3"/>
  <c r="BF37" i="3"/>
  <c r="BF24" i="3"/>
  <c r="BF35" i="3"/>
  <c r="BF71" i="3"/>
  <c r="BF16" i="3"/>
  <c r="BF21" i="3"/>
  <c r="BF78" i="3"/>
  <c r="BF81" i="3"/>
  <c r="BF33" i="3"/>
  <c r="BF7" i="3"/>
  <c r="BF25" i="3"/>
  <c r="BF66" i="3"/>
  <c r="BF23" i="3"/>
  <c r="BF22" i="3"/>
  <c r="BF13" i="3"/>
  <c r="BF39" i="3"/>
  <c r="BF10" i="3"/>
  <c r="BF8" i="3"/>
  <c r="BF70" i="3"/>
  <c r="BF27" i="3"/>
  <c r="BF65" i="3"/>
  <c r="BG65" i="3" s="1"/>
  <c r="BF64" i="3"/>
  <c r="BF26" i="3"/>
  <c r="BF77" i="3"/>
  <c r="BF72" i="3"/>
  <c r="BF41" i="3"/>
  <c r="BF76" i="3"/>
  <c r="BF82" i="3"/>
  <c r="BF48" i="3"/>
  <c r="BF32" i="3"/>
  <c r="BF12" i="3"/>
  <c r="BF79" i="3"/>
  <c r="BF29" i="3"/>
  <c r="BF49" i="3"/>
  <c r="BF36" i="3"/>
  <c r="BF28" i="3"/>
  <c r="BF17" i="3"/>
  <c r="BF34" i="3"/>
  <c r="BF42" i="3"/>
  <c r="BF63" i="3"/>
  <c r="BF31" i="3"/>
  <c r="BT13" i="3"/>
  <c r="BT65" i="3"/>
  <c r="BT70" i="3"/>
  <c r="BT77" i="3"/>
  <c r="BT26" i="3"/>
  <c r="BT28" i="3"/>
  <c r="BT12" i="3"/>
  <c r="BT79" i="3"/>
  <c r="BT39" i="3"/>
  <c r="BT24" i="3"/>
  <c r="BT33" i="3"/>
  <c r="BT71" i="3"/>
  <c r="BT10" i="3"/>
  <c r="BT69" i="3"/>
  <c r="BT30" i="3"/>
  <c r="BT22" i="3"/>
  <c r="BT17" i="3"/>
  <c r="BT76" i="3"/>
  <c r="BT63" i="3"/>
  <c r="BT81" i="3"/>
  <c r="BT34" i="3"/>
  <c r="BT32" i="3"/>
  <c r="BT9" i="3"/>
  <c r="BT47" i="3"/>
  <c r="BT14" i="3"/>
  <c r="BT64" i="3"/>
  <c r="BT27" i="3"/>
  <c r="BT37" i="3"/>
  <c r="BT7" i="3"/>
  <c r="BT25" i="3"/>
  <c r="BT67" i="3"/>
  <c r="BJ11" i="3"/>
  <c r="BI11" i="3"/>
  <c r="BQ11" i="3"/>
  <c r="BS11" i="3" s="1"/>
  <c r="BT16" i="3"/>
  <c r="BT20" i="3"/>
  <c r="BT41" i="3"/>
  <c r="BT42" i="3"/>
  <c r="BT8" i="3"/>
  <c r="BT82" i="3"/>
  <c r="BT36" i="3"/>
  <c r="BT23" i="3"/>
  <c r="BT72" i="3"/>
  <c r="BT38" i="3"/>
  <c r="BT49" i="3"/>
  <c r="BT21" i="3"/>
  <c r="BT35" i="3"/>
  <c r="BT66" i="3"/>
  <c r="BT48" i="3"/>
  <c r="BT6" i="3"/>
  <c r="BT40" i="3"/>
  <c r="BT31" i="3"/>
  <c r="BT29" i="3"/>
  <c r="BT78" i="3"/>
  <c r="BF11" i="3" l="1"/>
  <c r="BG77" i="3"/>
  <c r="BG13" i="3"/>
  <c r="BG70" i="3"/>
  <c r="BG32" i="3"/>
  <c r="BG67" i="3"/>
  <c r="BG27" i="3"/>
  <c r="BG12" i="3"/>
  <c r="BG26" i="3"/>
  <c r="BG28" i="3"/>
  <c r="BG14" i="3"/>
  <c r="BG33" i="3"/>
  <c r="BG63" i="3"/>
  <c r="BG24" i="3"/>
  <c r="BG29" i="3"/>
  <c r="BG39" i="3"/>
  <c r="BG30" i="3"/>
  <c r="BG81" i="3"/>
  <c r="BG48" i="3"/>
  <c r="BG36" i="3"/>
  <c r="BG37" i="3"/>
  <c r="BG71" i="3"/>
  <c r="BG72" i="3"/>
  <c r="BG42" i="3"/>
  <c r="BG69" i="3"/>
  <c r="BG22" i="3"/>
  <c r="BG49" i="3"/>
  <c r="BT11" i="3"/>
  <c r="BG31" i="3"/>
  <c r="BG35" i="3"/>
  <c r="BG38" i="3"/>
  <c r="BG9" i="3"/>
  <c r="BG76" i="3"/>
  <c r="BG10" i="3"/>
  <c r="BG79" i="3"/>
  <c r="BG78" i="3"/>
  <c r="BG40" i="3"/>
  <c r="BG8" i="3"/>
  <c r="BG16" i="3"/>
  <c r="BG34" i="3"/>
  <c r="BG17" i="3"/>
  <c r="BG25" i="3"/>
  <c r="BG6" i="3"/>
  <c r="BG82" i="3"/>
  <c r="BG64" i="3"/>
  <c r="BG21" i="3"/>
  <c r="BG23" i="3"/>
  <c r="BG41" i="3"/>
  <c r="BG47" i="3"/>
  <c r="BG66" i="3"/>
  <c r="BG20" i="3"/>
  <c r="BG7" i="3"/>
  <c r="BG11" i="3" l="1"/>
  <c r="CE39" i="3" l="1"/>
  <c r="CE42" i="3"/>
  <c r="CE67" i="3"/>
  <c r="CE41" i="3"/>
  <c r="CE40" i="3"/>
  <c r="CE78" i="3" l="1"/>
  <c r="CE63" i="3"/>
  <c r="CE62" i="3"/>
  <c r="CK73" i="3" l="1"/>
  <c r="CB29" i="3" l="1"/>
  <c r="CC29" i="3" s="1"/>
  <c r="CB33" i="3"/>
  <c r="CC33" i="3" s="1"/>
  <c r="CB77" i="3"/>
  <c r="CC77" i="3" s="1"/>
  <c r="CB25" i="3"/>
  <c r="CC25" i="3" s="1"/>
  <c r="CB31" i="3"/>
  <c r="CC31" i="3" s="1"/>
  <c r="CB30" i="3"/>
  <c r="CC30" i="3" s="1"/>
  <c r="CB32" i="3"/>
  <c r="CC32" i="3" s="1"/>
  <c r="CB81" i="3"/>
  <c r="CC81" i="3" s="1"/>
  <c r="CB76" i="3"/>
  <c r="CC76" i="3" s="1"/>
  <c r="CE77" i="3" l="1"/>
  <c r="CE30" i="3"/>
  <c r="CE32" i="3"/>
  <c r="CE29" i="3"/>
  <c r="CE33" i="3"/>
  <c r="CE81" i="3"/>
  <c r="CE31" i="3"/>
  <c r="CE76" i="3"/>
  <c r="CE25" i="3"/>
  <c r="CN46" i="3" l="1"/>
  <c r="F46" i="3"/>
  <c r="F43" i="25" s="1"/>
  <c r="CD46" i="3"/>
  <c r="CK46" i="3"/>
  <c r="CB17" i="3" l="1"/>
  <c r="CC17" i="3" s="1"/>
  <c r="CB20" i="3"/>
  <c r="CC20" i="3" s="1"/>
  <c r="CB7" i="3"/>
  <c r="CC7" i="3" s="1"/>
  <c r="CB6" i="3"/>
  <c r="CC6" i="3" s="1"/>
  <c r="CB21" i="3"/>
  <c r="CC21" i="3" s="1"/>
  <c r="CB23" i="3"/>
  <c r="CC23" i="3" s="1"/>
  <c r="CB22" i="3"/>
  <c r="CC22" i="3" s="1"/>
  <c r="CB9" i="3"/>
  <c r="CC9" i="3" s="1"/>
  <c r="CB72" i="3"/>
  <c r="CC72" i="3" s="1"/>
  <c r="BV46" i="3"/>
  <c r="BX46" i="3" s="1"/>
  <c r="BY46" i="3" s="1"/>
  <c r="CB66" i="3"/>
  <c r="CC66" i="3" s="1"/>
  <c r="CB37" i="3"/>
  <c r="CC37" i="3" s="1"/>
  <c r="CB79" i="3"/>
  <c r="CC79" i="3" s="1"/>
  <c r="CB64" i="3"/>
  <c r="CC64" i="3" s="1"/>
  <c r="CB47" i="3"/>
  <c r="CC47" i="3" s="1"/>
  <c r="CB82" i="3"/>
  <c r="CC82" i="3" s="1"/>
  <c r="CB49" i="3"/>
  <c r="CC49" i="3" s="1"/>
  <c r="CB35" i="3"/>
  <c r="CC35" i="3" s="1"/>
  <c r="CB8" i="3"/>
  <c r="CC8" i="3" s="1"/>
  <c r="CB16" i="3"/>
  <c r="CC16" i="3" s="1"/>
  <c r="CB48" i="3"/>
  <c r="CC48" i="3" s="1"/>
  <c r="CB36" i="3"/>
  <c r="CC36" i="3" s="1"/>
  <c r="CB60" i="3"/>
  <c r="CC60" i="3" s="1"/>
  <c r="CB61" i="3"/>
  <c r="CC61" i="3" s="1"/>
  <c r="CB69" i="3"/>
  <c r="CC69" i="3" s="1"/>
  <c r="CB65" i="3"/>
  <c r="CC65" i="3" s="1"/>
  <c r="CB27" i="3"/>
  <c r="CC27" i="3" s="1"/>
  <c r="CB59" i="3"/>
  <c r="CC59" i="3" s="1"/>
  <c r="CB34" i="3"/>
  <c r="CC34" i="3" s="1"/>
  <c r="CB70" i="3"/>
  <c r="CC70" i="3" s="1"/>
  <c r="CB28" i="3"/>
  <c r="CC28" i="3" s="1"/>
  <c r="CB71" i="3"/>
  <c r="CC71" i="3" s="1"/>
  <c r="CB58" i="3"/>
  <c r="CC58" i="3" s="1"/>
  <c r="CB38" i="3"/>
  <c r="CC38" i="3" s="1"/>
  <c r="CB26" i="3"/>
  <c r="CC26" i="3" s="1"/>
  <c r="CB24" i="3"/>
  <c r="CC24" i="3" s="1"/>
  <c r="CI15" i="3" l="1"/>
  <c r="CJ15" i="3" s="1"/>
  <c r="CB15" i="3"/>
  <c r="CC15" i="3" s="1"/>
  <c r="CE21" i="3"/>
  <c r="CE9" i="3"/>
  <c r="CE17" i="3"/>
  <c r="CE6" i="3"/>
  <c r="CE20" i="3"/>
  <c r="CB14" i="3"/>
  <c r="CC14" i="3" s="1"/>
  <c r="CE7" i="3"/>
  <c r="CE22" i="3"/>
  <c r="CE23" i="3"/>
  <c r="CE72" i="3"/>
  <c r="BW46" i="3"/>
  <c r="BZ46" i="3"/>
  <c r="CE60" i="3"/>
  <c r="CE49" i="3"/>
  <c r="CB11" i="3"/>
  <c r="CC11" i="3" s="1"/>
  <c r="CE82" i="3"/>
  <c r="CE70" i="3"/>
  <c r="CE48" i="3"/>
  <c r="CE65" i="3"/>
  <c r="CE36" i="3"/>
  <c r="CE34" i="3"/>
  <c r="CE26" i="3"/>
  <c r="CE16" i="3"/>
  <c r="CB10" i="3"/>
  <c r="CC10" i="3" s="1"/>
  <c r="CE69" i="3"/>
  <c r="CE47" i="3"/>
  <c r="CE35" i="3"/>
  <c r="CE59" i="3"/>
  <c r="CE61" i="3"/>
  <c r="CE24" i="3"/>
  <c r="CE38" i="3"/>
  <c r="CB12" i="3"/>
  <c r="CC12" i="3" s="1"/>
  <c r="CE58" i="3"/>
  <c r="CE28" i="3"/>
  <c r="CE27" i="3"/>
  <c r="CE64" i="3"/>
  <c r="CE79" i="3"/>
  <c r="CE71" i="3"/>
  <c r="CB13" i="3"/>
  <c r="CC13" i="3" s="1"/>
  <c r="CE8" i="3"/>
  <c r="CE37" i="3"/>
  <c r="CE66" i="3"/>
  <c r="CE15" i="3" l="1"/>
  <c r="CE14" i="3"/>
  <c r="CE11" i="3"/>
  <c r="CE12" i="3"/>
  <c r="CE13" i="3"/>
  <c r="CE10" i="3"/>
  <c r="CF18" i="3" l="1"/>
  <c r="BE72" i="3"/>
  <c r="BD72" i="3" s="1"/>
  <c r="CG6" i="3"/>
  <c r="CF11" i="3"/>
  <c r="BE27" i="3"/>
  <c r="BD27" i="3" s="1"/>
  <c r="CL73" i="3"/>
  <c r="CP69" i="3"/>
  <c r="CG59" i="3"/>
  <c r="BE69" i="3"/>
  <c r="BD69" i="3" s="1"/>
  <c r="CG72" i="3"/>
  <c r="CL19" i="3"/>
  <c r="CP72" i="3"/>
  <c r="CM75" i="3"/>
  <c r="CF44" i="3"/>
  <c r="BE64" i="3"/>
  <c r="BD64" i="3" s="1"/>
  <c r="CL71" i="3"/>
  <c r="CP24" i="3"/>
  <c r="CL77" i="3"/>
  <c r="CM57" i="3"/>
  <c r="BE24" i="3"/>
  <c r="BD24" i="3" s="1"/>
  <c r="CF40" i="3"/>
  <c r="CL63" i="3"/>
  <c r="CF83" i="3"/>
  <c r="CP63" i="3"/>
  <c r="BE63" i="3"/>
  <c r="BD63" i="3" s="1"/>
  <c r="CP20" i="3"/>
  <c r="CL36" i="3"/>
  <c r="CP55" i="3"/>
  <c r="CG55" i="3"/>
  <c r="CH55" i="3" s="1"/>
  <c r="CG54" i="3"/>
  <c r="CH54" i="3" s="1"/>
  <c r="CL55" i="3"/>
  <c r="CG56" i="3"/>
  <c r="CH56" i="3" s="1"/>
  <c r="CM18" i="3"/>
  <c r="CP6" i="3"/>
  <c r="CM24" i="3"/>
  <c r="BE12" i="3"/>
  <c r="BD12" i="3" s="1"/>
  <c r="CP57" i="3"/>
  <c r="CL67" i="3"/>
  <c r="CL84" i="3"/>
  <c r="CG34" i="3"/>
  <c r="BE13" i="3"/>
  <c r="BD13" i="3" s="1"/>
  <c r="CL23" i="3"/>
  <c r="CM67" i="3"/>
  <c r="BE6" i="3"/>
  <c r="BD6" i="3" s="1"/>
  <c r="CL78" i="3"/>
  <c r="CP66" i="3"/>
  <c r="CP16" i="3"/>
  <c r="BE18" i="3"/>
  <c r="BD18" i="3" s="1"/>
  <c r="CP51" i="3"/>
  <c r="CL35" i="3"/>
  <c r="CG33" i="3"/>
  <c r="CM51" i="3"/>
  <c r="CG17" i="3"/>
  <c r="CG68" i="3"/>
  <c r="CH68" i="3" s="1"/>
  <c r="CM5" i="3"/>
  <c r="CL11" i="3"/>
  <c r="CG60" i="3"/>
  <c r="CF82" i="3"/>
  <c r="BE83" i="3"/>
  <c r="BD83" i="3" s="1"/>
  <c r="CF32" i="3"/>
  <c r="CF69" i="3"/>
  <c r="CF26" i="3"/>
  <c r="BE36" i="3"/>
  <c r="BD36" i="3" s="1"/>
  <c r="CP50" i="3"/>
  <c r="CF74" i="3"/>
  <c r="CL70" i="3"/>
  <c r="CP28" i="3"/>
  <c r="BE29" i="3"/>
  <c r="BD29" i="3" s="1"/>
  <c r="CF6" i="3"/>
  <c r="CL16" i="3"/>
  <c r="BE26" i="3"/>
  <c r="BD26" i="3" s="1"/>
  <c r="CP14" i="3"/>
  <c r="BE7" i="3"/>
  <c r="BD7" i="3" s="1"/>
  <c r="CF38" i="3"/>
  <c r="CF57" i="3"/>
  <c r="CG48" i="3"/>
  <c r="CG40" i="3"/>
  <c r="BE59" i="3"/>
  <c r="BD59" i="3" s="1"/>
  <c r="CG53" i="3"/>
  <c r="CH53" i="3" s="1"/>
  <c r="CG9" i="3"/>
  <c r="CM41" i="3"/>
  <c r="CP41" i="3"/>
  <c r="CG71" i="3"/>
  <c r="CP75" i="3"/>
  <c r="CL18" i="3"/>
  <c r="CG80" i="3"/>
  <c r="CH80" i="3" s="1"/>
  <c r="CG65" i="3"/>
  <c r="CP74" i="3"/>
  <c r="CG47" i="3"/>
  <c r="CP52" i="3"/>
  <c r="CG28" i="3"/>
  <c r="CL34" i="3"/>
  <c r="CM46" i="3"/>
  <c r="CG12" i="3"/>
  <c r="BE37" i="3"/>
  <c r="BD37" i="3" s="1"/>
  <c r="CF63" i="3"/>
  <c r="CL65" i="3"/>
  <c r="CP45" i="3"/>
  <c r="CF37" i="3"/>
  <c r="CG50" i="3"/>
  <c r="CH50" i="3" s="1"/>
  <c r="CM73" i="3"/>
  <c r="CP53" i="3"/>
  <c r="CF29" i="3"/>
  <c r="BE76" i="3"/>
  <c r="BD76" i="3" s="1"/>
  <c r="CF55" i="3"/>
  <c r="CF77" i="3"/>
  <c r="CL51" i="3"/>
  <c r="CL39" i="3"/>
  <c r="CP38" i="3"/>
  <c r="BE31" i="3"/>
  <c r="BD31" i="3" s="1"/>
  <c r="CG46" i="3"/>
  <c r="CH46" i="3" s="1"/>
  <c r="CP48" i="3"/>
  <c r="BE65" i="3"/>
  <c r="BD65" i="3" s="1"/>
  <c r="CL8" i="3"/>
  <c r="CL79" i="3"/>
  <c r="BE8" i="3"/>
  <c r="BD8" i="3" s="1"/>
  <c r="CP17" i="3"/>
  <c r="CP84" i="3"/>
  <c r="BE62" i="3"/>
  <c r="BD62" i="3" s="1"/>
  <c r="CL52" i="3"/>
  <c r="CF28" i="3"/>
  <c r="BE34" i="3"/>
  <c r="BD34" i="3" s="1"/>
  <c r="CL26" i="3"/>
  <c r="CF39" i="3"/>
  <c r="CL60" i="3"/>
  <c r="CL37" i="3"/>
  <c r="CM84" i="3"/>
  <c r="CG44" i="3"/>
  <c r="CH44" i="3" s="1"/>
  <c r="CF49" i="3"/>
  <c r="CF12" i="3"/>
  <c r="CF78" i="3"/>
  <c r="CL30" i="3"/>
  <c r="CP19" i="3"/>
  <c r="CP26" i="3"/>
  <c r="CL24" i="3"/>
  <c r="CM47" i="3"/>
  <c r="BE25" i="3"/>
  <c r="BD25" i="3" s="1"/>
  <c r="CP9" i="3"/>
  <c r="BE20" i="3"/>
  <c r="BD20" i="3" s="1"/>
  <c r="CP60" i="3"/>
  <c r="BE32" i="3"/>
  <c r="BD32" i="3" s="1"/>
  <c r="CP39" i="3"/>
  <c r="CP43" i="3"/>
  <c r="CF17" i="3"/>
  <c r="BE71" i="3"/>
  <c r="BD71" i="3" s="1"/>
  <c r="CL74" i="3"/>
  <c r="CF70" i="3"/>
  <c r="BE21" i="3"/>
  <c r="BD21" i="3" s="1"/>
  <c r="CL17" i="3"/>
  <c r="CP82" i="3"/>
  <c r="CL33" i="3"/>
  <c r="BE23" i="3"/>
  <c r="BD23" i="3" s="1"/>
  <c r="CF47" i="3"/>
  <c r="CL41" i="3"/>
  <c r="CG25" i="3"/>
  <c r="CP23" i="3"/>
  <c r="CL10" i="3"/>
  <c r="CM14" i="3"/>
  <c r="CF10" i="3"/>
  <c r="CF59" i="3"/>
  <c r="CM23" i="3"/>
  <c r="CM54" i="3"/>
  <c r="CP68" i="3"/>
  <c r="CG14" i="3"/>
  <c r="CM49" i="3"/>
  <c r="CG31" i="3"/>
  <c r="CP61" i="3"/>
  <c r="CG66" i="3"/>
  <c r="BE78" i="3"/>
  <c r="BD78" i="3" s="1"/>
  <c r="CM60" i="3"/>
  <c r="CG69" i="3"/>
  <c r="CG76" i="3"/>
  <c r="CG29" i="3"/>
  <c r="CG70" i="3"/>
  <c r="BE81" i="3"/>
  <c r="BD81" i="3" s="1"/>
  <c r="CP70" i="3"/>
  <c r="CG38" i="3"/>
  <c r="BE30" i="3"/>
  <c r="BD30" i="3" s="1"/>
  <c r="CF52" i="3"/>
  <c r="CL15" i="3"/>
  <c r="CL80" i="3"/>
  <c r="CF19" i="3"/>
  <c r="CL31" i="3"/>
  <c r="CF48" i="3"/>
  <c r="CF60" i="3"/>
  <c r="CL56" i="3"/>
  <c r="CM65" i="3"/>
  <c r="CF13" i="3"/>
  <c r="CF31" i="3"/>
  <c r="CM69" i="3"/>
  <c r="CF61" i="3"/>
  <c r="CF79" i="3"/>
  <c r="CG7" i="3"/>
  <c r="CM72" i="3"/>
  <c r="CG62" i="3"/>
  <c r="CP37" i="3"/>
  <c r="CG84" i="3"/>
  <c r="CH84" i="3" s="1"/>
  <c r="CP7" i="3"/>
  <c r="BE28" i="3"/>
  <c r="BD28" i="3" s="1"/>
  <c r="BE49" i="3"/>
  <c r="BD49" i="3" s="1"/>
  <c r="CP27" i="3"/>
  <c r="CP73" i="3"/>
  <c r="BE22" i="3"/>
  <c r="BD22" i="3" s="1"/>
  <c r="CM66" i="3"/>
  <c r="CP78" i="3"/>
  <c r="BE42" i="3"/>
  <c r="BD42" i="3" s="1"/>
  <c r="BE66" i="3"/>
  <c r="BD66" i="3" s="1"/>
  <c r="CM28" i="3"/>
  <c r="CL61" i="3"/>
  <c r="CF21" i="3"/>
  <c r="CF62" i="3"/>
  <c r="CM58" i="3"/>
  <c r="CM32" i="3"/>
  <c r="CF65" i="3"/>
  <c r="CF67" i="3"/>
  <c r="CP31" i="3"/>
  <c r="CF64" i="3"/>
  <c r="CP12" i="3"/>
  <c r="BE40" i="3"/>
  <c r="BD40" i="3" s="1"/>
  <c r="CM35" i="3"/>
  <c r="CL46" i="3"/>
  <c r="CP11" i="3"/>
  <c r="CG19" i="3"/>
  <c r="CH19" i="3" s="1"/>
  <c r="CP62" i="3"/>
  <c r="CL58" i="3"/>
  <c r="CP33" i="3"/>
  <c r="CF7" i="3"/>
  <c r="CG8" i="3"/>
  <c r="CL40" i="3"/>
  <c r="CM27" i="3"/>
  <c r="CL50" i="3"/>
  <c r="CG58" i="3"/>
  <c r="CM11" i="3"/>
  <c r="CF58" i="3"/>
  <c r="CM45" i="3"/>
  <c r="CF30" i="3"/>
  <c r="CM31" i="3"/>
  <c r="CL76" i="3"/>
  <c r="CF24" i="3"/>
  <c r="CP29" i="3"/>
  <c r="CF36" i="3"/>
  <c r="CP10" i="3"/>
  <c r="CP77" i="3"/>
  <c r="BE80" i="3"/>
  <c r="BD80" i="3" s="1"/>
  <c r="CG41" i="3"/>
  <c r="CL57" i="3"/>
  <c r="CP44" i="3"/>
  <c r="BE70" i="3"/>
  <c r="BD70" i="3" s="1"/>
  <c r="CM80" i="3"/>
  <c r="BE38" i="3"/>
  <c r="BD38" i="3" s="1"/>
  <c r="CP76" i="3"/>
  <c r="BE17" i="3"/>
  <c r="BD17" i="3" s="1"/>
  <c r="CM36" i="3"/>
  <c r="CP71" i="3"/>
  <c r="CG83" i="3"/>
  <c r="CH83" i="3" s="1"/>
  <c r="CM22" i="3"/>
  <c r="CM10" i="3"/>
  <c r="CL66" i="3"/>
  <c r="CM21" i="3"/>
  <c r="CM62" i="3"/>
  <c r="CF35" i="3"/>
  <c r="CM53" i="3"/>
  <c r="CP54" i="3"/>
  <c r="CM19" i="3"/>
  <c r="CG16" i="3"/>
  <c r="CF15" i="3"/>
  <c r="CF72" i="3"/>
  <c r="CF71" i="3"/>
  <c r="CP36" i="3"/>
  <c r="CM37" i="3"/>
  <c r="CP79" i="3"/>
  <c r="CG18" i="3"/>
  <c r="CH18" i="3" s="1"/>
  <c r="CM20" i="3"/>
  <c r="CM74" i="3"/>
  <c r="CG36" i="3"/>
  <c r="CM83" i="3"/>
  <c r="BE47" i="3"/>
  <c r="BD47" i="3" s="1"/>
  <c r="BE41" i="3"/>
  <c r="BD41" i="3" s="1"/>
  <c r="CP30" i="3"/>
  <c r="CG52" i="3"/>
  <c r="CH52" i="3" s="1"/>
  <c r="CP46" i="3"/>
  <c r="CL53" i="3"/>
  <c r="CM48" i="3"/>
  <c r="CL72" i="3"/>
  <c r="BE5" i="3"/>
  <c r="BD5" i="3" s="1"/>
  <c r="CL83" i="3"/>
  <c r="CM25" i="3"/>
  <c r="CM70" i="3"/>
  <c r="CP47" i="3"/>
  <c r="CL20" i="3"/>
  <c r="CG73" i="3"/>
  <c r="CH73" i="3" s="1"/>
  <c r="BE79" i="3"/>
  <c r="BD79" i="3" s="1"/>
  <c r="CP32" i="3"/>
  <c r="CP34" i="3"/>
  <c r="CL9" i="3"/>
  <c r="BE77" i="3"/>
  <c r="BD77" i="3" s="1"/>
  <c r="CM77" i="3"/>
  <c r="BE35" i="3"/>
  <c r="BD35" i="3" s="1"/>
  <c r="CG30" i="3"/>
  <c r="CL82" i="3"/>
  <c r="CM34" i="3"/>
  <c r="CF41" i="3"/>
  <c r="CP40" i="3"/>
  <c r="CF56" i="3"/>
  <c r="CG67" i="3"/>
  <c r="CF51" i="3"/>
  <c r="CM81" i="3"/>
  <c r="CF76" i="3"/>
  <c r="CF66" i="3"/>
  <c r="CF84" i="3"/>
  <c r="CG63" i="3"/>
  <c r="CM39" i="3"/>
  <c r="CM50" i="3"/>
  <c r="CG10" i="3"/>
  <c r="BE39" i="3"/>
  <c r="BD39" i="3" s="1"/>
  <c r="CL43" i="3"/>
  <c r="BE16" i="3"/>
  <c r="BD16" i="3" s="1"/>
  <c r="CL48" i="3"/>
  <c r="CM61" i="3"/>
  <c r="CL6" i="3"/>
  <c r="CL12" i="3"/>
  <c r="CG39" i="3"/>
  <c r="CF33" i="3"/>
  <c r="CG51" i="3"/>
  <c r="CH51" i="3" s="1"/>
  <c r="CL75" i="3"/>
  <c r="CL29" i="3"/>
  <c r="CP8" i="3"/>
  <c r="CF53" i="3"/>
  <c r="CG43" i="3"/>
  <c r="CH43" i="3" s="1"/>
  <c r="BE14" i="3"/>
  <c r="BD14" i="3" s="1"/>
  <c r="CF43" i="3"/>
  <c r="CF16" i="3"/>
  <c r="CP18" i="3"/>
  <c r="CG20" i="3"/>
  <c r="CP13" i="3"/>
  <c r="CM76" i="3"/>
  <c r="CF42" i="3"/>
  <c r="CM68" i="3"/>
  <c r="CM79" i="3"/>
  <c r="CF8" i="3"/>
  <c r="CL49" i="3"/>
  <c r="CG82" i="3"/>
  <c r="CM40" i="3"/>
  <c r="CG81" i="3"/>
  <c r="CF22" i="3"/>
  <c r="CL38" i="3"/>
  <c r="BE58" i="3"/>
  <c r="BD58" i="3" s="1"/>
  <c r="CM26" i="3"/>
  <c r="CG27" i="3"/>
  <c r="CM8" i="3"/>
  <c r="CL62" i="3"/>
  <c r="CG74" i="3"/>
  <c r="CH74" i="3" s="1"/>
  <c r="CF75" i="3"/>
  <c r="CM55" i="3"/>
  <c r="CL25" i="3"/>
  <c r="CG79" i="3"/>
  <c r="CP65" i="3"/>
  <c r="CG24" i="3"/>
  <c r="CF34" i="3"/>
  <c r="CG64" i="3"/>
  <c r="CM29" i="3"/>
  <c r="CP80" i="3"/>
  <c r="CL54" i="3"/>
  <c r="CG77" i="3"/>
  <c r="CF14" i="3"/>
  <c r="CM15" i="3"/>
  <c r="CP58" i="3"/>
  <c r="BE75" i="3"/>
  <c r="BD75" i="3" s="1"/>
  <c r="CG35" i="3"/>
  <c r="CM71" i="3"/>
  <c r="CF45" i="3"/>
  <c r="CP64" i="3"/>
  <c r="CM16" i="3"/>
  <c r="CP59" i="3"/>
  <c r="CL22" i="3"/>
  <c r="CG45" i="3"/>
  <c r="CH45" i="3" s="1"/>
  <c r="CM59" i="3"/>
  <c r="BE84" i="3"/>
  <c r="BD84" i="3" s="1"/>
  <c r="CP22" i="3"/>
  <c r="CL68" i="3"/>
  <c r="CG75" i="3"/>
  <c r="CH75" i="3" s="1"/>
  <c r="CM30" i="3"/>
  <c r="CG78" i="3"/>
  <c r="CM33" i="3"/>
  <c r="CL81" i="3"/>
  <c r="CM9" i="3"/>
  <c r="CP56" i="3"/>
  <c r="CG23" i="3"/>
  <c r="CG26" i="3"/>
  <c r="CG49" i="3"/>
  <c r="CM42" i="3"/>
  <c r="CG32" i="3"/>
  <c r="CP67" i="3"/>
  <c r="CL13" i="3"/>
  <c r="CL44" i="3"/>
  <c r="CP81" i="3"/>
  <c r="CG42" i="3"/>
  <c r="CL69" i="3"/>
  <c r="CF81" i="3"/>
  <c r="CF54" i="3"/>
  <c r="CF73" i="3"/>
  <c r="CG13" i="3"/>
  <c r="CG61" i="3"/>
  <c r="CF5" i="3"/>
  <c r="CM56" i="3"/>
  <c r="CG5" i="3"/>
  <c r="CI5" i="3" s="1"/>
  <c r="CJ5" i="3" s="1"/>
  <c r="BE67" i="3"/>
  <c r="BD67" i="3" s="1"/>
  <c r="CM52" i="3"/>
  <c r="CL32" i="3"/>
  <c r="CL5" i="3"/>
  <c r="CM12" i="3"/>
  <c r="BE60" i="3"/>
  <c r="BD60" i="3" s="1"/>
  <c r="CP25" i="3"/>
  <c r="CG57" i="3"/>
  <c r="CH57" i="3" s="1"/>
  <c r="BE61" i="3"/>
  <c r="BD61" i="3" s="1"/>
  <c r="CM63" i="3"/>
  <c r="CM38" i="3"/>
  <c r="CM7" i="3"/>
  <c r="CG21" i="3"/>
  <c r="CL28" i="3"/>
  <c r="CG22" i="3"/>
  <c r="CP15" i="3"/>
  <c r="BE19" i="3"/>
  <c r="BD19" i="3" s="1"/>
  <c r="CL45" i="3"/>
  <c r="CM17" i="3"/>
  <c r="CP35" i="3"/>
  <c r="CL7" i="3"/>
  <c r="BE10" i="3"/>
  <c r="BD10" i="3" s="1"/>
  <c r="BE15" i="3"/>
  <c r="BD15" i="3" s="1"/>
  <c r="CF25" i="3"/>
  <c r="CG37" i="3"/>
  <c r="CL47" i="3"/>
  <c r="BE11" i="3"/>
  <c r="BD11" i="3" s="1"/>
  <c r="CM64" i="3"/>
  <c r="CF46" i="3"/>
  <c r="CM82" i="3"/>
  <c r="CF20" i="3"/>
  <c r="BE73" i="3"/>
  <c r="BD73" i="3" s="1"/>
  <c r="CF50" i="3"/>
  <c r="CF68" i="3"/>
  <c r="CG15" i="3"/>
  <c r="CH15" i="3" s="1"/>
  <c r="CP42" i="3"/>
  <c r="CL21" i="3"/>
  <c r="CM43" i="3"/>
  <c r="CL27" i="3"/>
  <c r="BE9" i="3"/>
  <c r="BD9" i="3" s="1"/>
  <c r="CP5" i="3"/>
  <c r="CM6" i="3"/>
  <c r="CM13" i="3"/>
  <c r="CF9" i="3"/>
  <c r="BE74" i="3"/>
  <c r="BD74" i="3" s="1"/>
  <c r="CL59" i="3"/>
  <c r="CF27" i="3"/>
  <c r="BE48" i="3"/>
  <c r="BD48" i="3" s="1"/>
  <c r="CL42" i="3"/>
  <c r="CL14" i="3"/>
  <c r="CM78" i="3"/>
  <c r="CP83" i="3"/>
  <c r="BE33" i="3"/>
  <c r="BD33" i="3" s="1"/>
  <c r="CF23" i="3"/>
  <c r="BE82" i="3"/>
  <c r="BD82" i="3" s="1"/>
  <c r="CF80" i="3"/>
  <c r="CP49" i="3"/>
  <c r="CL64" i="3"/>
  <c r="CP21" i="3"/>
  <c r="CG11" i="3"/>
  <c r="CM44" i="3"/>
  <c r="BE68" i="3"/>
  <c r="BD68" i="3" s="1"/>
  <c r="CH40" i="3" l="1"/>
  <c r="CI48" i="3"/>
  <c r="CJ48" i="3" s="1"/>
  <c r="CH48" i="3" s="1"/>
  <c r="CI28" i="3"/>
  <c r="CJ28" i="3" s="1"/>
  <c r="CI72" i="3"/>
  <c r="CJ72" i="3" s="1"/>
  <c r="CH72" i="3" s="1"/>
  <c r="CI34" i="3"/>
  <c r="CJ34" i="3" s="1"/>
  <c r="CH34" i="3" s="1"/>
  <c r="CI59" i="3"/>
  <c r="CJ59" i="3" s="1"/>
  <c r="CH59" i="3" s="1"/>
  <c r="CH63" i="3"/>
  <c r="CI65" i="3"/>
  <c r="CJ65" i="3" s="1"/>
  <c r="CH65" i="3" s="1"/>
  <c r="CI9" i="3"/>
  <c r="CJ9" i="3" s="1"/>
  <c r="CH9" i="3" s="1"/>
  <c r="CI77" i="3"/>
  <c r="CJ77" i="3" s="1"/>
  <c r="CI47" i="3"/>
  <c r="CJ47" i="3" s="1"/>
  <c r="CI31" i="3"/>
  <c r="CJ31" i="3" s="1"/>
  <c r="CH31" i="3" s="1"/>
  <c r="CI12" i="3"/>
  <c r="CJ12" i="3" s="1"/>
  <c r="CH12" i="3" s="1"/>
  <c r="CH42" i="3"/>
  <c r="CI76" i="3"/>
  <c r="CJ76" i="3" s="1"/>
  <c r="CH76" i="3" s="1"/>
  <c r="CI32" i="3"/>
  <c r="CJ32" i="3" s="1"/>
  <c r="CH41" i="3"/>
  <c r="CI17" i="3"/>
  <c r="CJ17" i="3" s="1"/>
  <c r="CH17" i="3" s="1"/>
  <c r="CI20" i="3"/>
  <c r="CJ20" i="3" s="1"/>
  <c r="CH20" i="3" s="1"/>
  <c r="CI64" i="3"/>
  <c r="CJ64" i="3" s="1"/>
  <c r="CH64" i="3" s="1"/>
  <c r="CI66" i="3"/>
  <c r="CJ66" i="3" s="1"/>
  <c r="CH66" i="3" s="1"/>
  <c r="CI82" i="3"/>
  <c r="CJ82" i="3" s="1"/>
  <c r="CI8" i="3"/>
  <c r="CJ8" i="3" s="1"/>
  <c r="CH8" i="3" s="1"/>
  <c r="CI14" i="3"/>
  <c r="CJ14" i="3" s="1"/>
  <c r="CH14" i="3" s="1"/>
  <c r="CI70" i="3"/>
  <c r="CJ70" i="3" s="1"/>
  <c r="CI29" i="3"/>
  <c r="CJ29" i="3" s="1"/>
  <c r="CI30" i="3"/>
  <c r="CJ30" i="3" s="1"/>
  <c r="CH30" i="3" s="1"/>
  <c r="CI16" i="3"/>
  <c r="CJ16" i="3" s="1"/>
  <c r="CI49" i="3"/>
  <c r="CJ49" i="3" s="1"/>
  <c r="CI22" i="3"/>
  <c r="CJ22" i="3" s="1"/>
  <c r="CI26" i="3"/>
  <c r="CJ26" i="3" s="1"/>
  <c r="CH26" i="3" s="1"/>
  <c r="CI79" i="3"/>
  <c r="CJ79" i="3" s="1"/>
  <c r="CI21" i="3"/>
  <c r="CJ21" i="3" s="1"/>
  <c r="CI61" i="3"/>
  <c r="CJ61" i="3" s="1"/>
  <c r="CI36" i="3"/>
  <c r="CJ36" i="3" s="1"/>
  <c r="CH62" i="3"/>
  <c r="CI71" i="3"/>
  <c r="CJ71" i="3" s="1"/>
  <c r="CH71" i="3" s="1"/>
  <c r="CI33" i="3"/>
  <c r="CJ33" i="3" s="1"/>
  <c r="CH33" i="3" s="1"/>
  <c r="CI6" i="3"/>
  <c r="CJ6" i="3" s="1"/>
  <c r="CI37" i="3"/>
  <c r="CJ37" i="3" s="1"/>
  <c r="CI27" i="3"/>
  <c r="CJ27" i="3" s="1"/>
  <c r="CI69" i="3"/>
  <c r="CJ69" i="3" s="1"/>
  <c r="CH69" i="3" s="1"/>
  <c r="CI60" i="3"/>
  <c r="CJ60" i="3" s="1"/>
  <c r="CI81" i="3"/>
  <c r="CJ81" i="3" s="1"/>
  <c r="CI58" i="3"/>
  <c r="CJ58" i="3" s="1"/>
  <c r="CI24" i="3"/>
  <c r="CJ24" i="3" s="1"/>
  <c r="CH24" i="3" s="1"/>
  <c r="CI11" i="3"/>
  <c r="CJ11" i="3" s="1"/>
  <c r="CH11" i="3" s="1"/>
  <c r="CI13" i="3"/>
  <c r="CJ13" i="3" s="1"/>
  <c r="CH13" i="3" s="1"/>
  <c r="CH39" i="3"/>
  <c r="CH78" i="3"/>
  <c r="CI25" i="3"/>
  <c r="CJ25" i="3" s="1"/>
  <c r="CI10" i="3"/>
  <c r="CJ10" i="3" s="1"/>
  <c r="CH10" i="3" s="1"/>
  <c r="CI23" i="3"/>
  <c r="CJ23" i="3" s="1"/>
  <c r="CI35" i="3"/>
  <c r="CJ35" i="3" s="1"/>
  <c r="CH35" i="3" s="1"/>
  <c r="CH67" i="3"/>
  <c r="CI7" i="3"/>
  <c r="CJ7" i="3" s="1"/>
  <c r="CI38" i="3"/>
  <c r="CJ38" i="3" s="1"/>
  <c r="CH38" i="3" s="1"/>
  <c r="CH5" i="3"/>
  <c r="CH29" i="3" l="1"/>
  <c r="CH70" i="3"/>
  <c r="CH27" i="3"/>
  <c r="CH61" i="3"/>
  <c r="CH28" i="3"/>
  <c r="CH25" i="3"/>
  <c r="CH36" i="3"/>
  <c r="CH47" i="3"/>
  <c r="CH23" i="3"/>
  <c r="CH49" i="3"/>
  <c r="CH77" i="3"/>
  <c r="CH21" i="3"/>
  <c r="CH58" i="3"/>
  <c r="CH81" i="3"/>
  <c r="CH82" i="3"/>
  <c r="CH60" i="3"/>
  <c r="CH79" i="3"/>
  <c r="CH37" i="3"/>
  <c r="CH32" i="3"/>
  <c r="CH7" i="3"/>
  <c r="CH22" i="3"/>
  <c r="CH6" i="3"/>
  <c r="CH16" i="3"/>
  <c r="AI73" i="3" l="1"/>
  <c r="AO73" i="3" l="1"/>
  <c r="AP73" i="3" s="1"/>
  <c r="AQ73" i="3" l="1"/>
  <c r="AR73" i="3"/>
  <c r="G42" i="1" l="1"/>
  <c r="G101" i="1"/>
  <c r="U101" i="1" s="1"/>
  <c r="Q43" i="1" l="1"/>
  <c r="Q44" i="1"/>
  <c r="Q47" i="1"/>
  <c r="Q46" i="1"/>
  <c r="Q45" i="1"/>
  <c r="Q57" i="1"/>
  <c r="Q58" i="1"/>
  <c r="Q53" i="1"/>
  <c r="Q54" i="1"/>
  <c r="Q85" i="1"/>
  <c r="Q98" i="1"/>
  <c r="Q51" i="1"/>
  <c r="Q95" i="1"/>
  <c r="Q59" i="1"/>
  <c r="Q55" i="1"/>
  <c r="Q83" i="1"/>
  <c r="Q61" i="1"/>
  <c r="Q84" i="1"/>
  <c r="Q56" i="1"/>
  <c r="Q96" i="1"/>
  <c r="Q62" i="1"/>
  <c r="Q78" i="1"/>
  <c r="Q90" i="1"/>
  <c r="Q89" i="1"/>
  <c r="Q97" i="1"/>
  <c r="Q82" i="1"/>
  <c r="Q86" i="1"/>
  <c r="Q52" i="1"/>
  <c r="H76" i="1" l="1"/>
  <c r="I76" i="1" s="1"/>
  <c r="J76" i="1" s="1"/>
  <c r="H66" i="1"/>
  <c r="I66" i="1" s="1"/>
  <c r="J66" i="1" s="1"/>
  <c r="H65" i="1"/>
  <c r="I65" i="1" s="1"/>
  <c r="J65" i="1" s="1"/>
  <c r="S66" i="1"/>
  <c r="H64" i="1"/>
  <c r="I64" i="1" s="1"/>
  <c r="J64" i="1" s="1"/>
  <c r="S65" i="1"/>
  <c r="H63" i="1"/>
  <c r="I63" i="1" s="1"/>
  <c r="J63" i="1" s="1"/>
  <c r="S64" i="1"/>
  <c r="H70" i="1"/>
  <c r="I70" i="1" s="1"/>
  <c r="J70" i="1" s="1"/>
  <c r="S63" i="1"/>
  <c r="S70" i="1"/>
  <c r="S69" i="1"/>
  <c r="S77" i="1"/>
  <c r="S67" i="1"/>
  <c r="H37" i="1"/>
  <c r="I37" i="1" s="1"/>
  <c r="J37" i="1" s="1"/>
  <c r="H75" i="1"/>
  <c r="I75" i="1" s="1"/>
  <c r="J75" i="1" s="1"/>
  <c r="S76" i="1"/>
  <c r="H36" i="1"/>
  <c r="I36" i="1" s="1"/>
  <c r="J36" i="1" s="1"/>
  <c r="H72" i="1"/>
  <c r="I72" i="1" s="1"/>
  <c r="J72" i="1" s="1"/>
  <c r="S75" i="1"/>
  <c r="H71" i="1"/>
  <c r="I71" i="1" s="1"/>
  <c r="J71" i="1" s="1"/>
  <c r="S72" i="1"/>
  <c r="H81" i="1"/>
  <c r="I81" i="1" s="1"/>
  <c r="J81" i="1" s="1"/>
  <c r="S71" i="1"/>
  <c r="H41" i="1"/>
  <c r="I41" i="1" s="1"/>
  <c r="J41" i="1" s="1"/>
  <c r="H80" i="1"/>
  <c r="I80" i="1" s="1"/>
  <c r="J80" i="1" s="1"/>
  <c r="S81" i="1"/>
  <c r="H40" i="1"/>
  <c r="I40" i="1" s="1"/>
  <c r="J40" i="1" s="1"/>
  <c r="S80" i="1"/>
  <c r="H39" i="1"/>
  <c r="I39" i="1" s="1"/>
  <c r="J39" i="1" s="1"/>
  <c r="S79" i="1"/>
  <c r="H69" i="1"/>
  <c r="I69" i="1" s="1"/>
  <c r="J69" i="1" s="1"/>
  <c r="H68" i="1"/>
  <c r="I68" i="1" s="1"/>
  <c r="J68" i="1" s="1"/>
  <c r="H77" i="1"/>
  <c r="I77" i="1" s="1"/>
  <c r="J77" i="1" s="1"/>
  <c r="S68" i="1"/>
  <c r="H79" i="1"/>
  <c r="I79" i="1" s="1"/>
  <c r="J79" i="1" s="1"/>
  <c r="H67" i="1"/>
  <c r="I67" i="1" s="1"/>
  <c r="J67" i="1" s="1"/>
  <c r="H38" i="1"/>
  <c r="I38" i="1" s="1"/>
  <c r="J38" i="1" s="1"/>
  <c r="H31" i="1"/>
  <c r="I31" i="1" s="1"/>
  <c r="J31" i="1" s="1"/>
  <c r="H8" i="1"/>
  <c r="I8" i="1" s="1"/>
  <c r="J8" i="1" s="1"/>
  <c r="H11" i="1"/>
  <c r="I11" i="1" s="1"/>
  <c r="J11" i="1" s="1"/>
  <c r="S10" i="1"/>
  <c r="S32" i="1"/>
  <c r="H18" i="1"/>
  <c r="I18" i="1" s="1"/>
  <c r="J18" i="1" s="1"/>
  <c r="H32" i="1"/>
  <c r="I32" i="1" s="1"/>
  <c r="J32" i="1" s="1"/>
  <c r="S14" i="1"/>
  <c r="H14" i="1"/>
  <c r="I14" i="1" s="1"/>
  <c r="J14" i="1" s="1"/>
  <c r="H34" i="1"/>
  <c r="I34" i="1" s="1"/>
  <c r="J34" i="1" s="1"/>
  <c r="H16" i="1"/>
  <c r="I16" i="1" s="1"/>
  <c r="J16" i="1" s="1"/>
  <c r="H12" i="1"/>
  <c r="I12" i="1" s="1"/>
  <c r="J12" i="1" s="1"/>
  <c r="S17" i="1"/>
  <c r="H30" i="1"/>
  <c r="I30" i="1" s="1"/>
  <c r="J30" i="1" s="1"/>
  <c r="H10" i="1"/>
  <c r="I10" i="1" s="1"/>
  <c r="J10" i="1" s="1"/>
  <c r="H25" i="1"/>
  <c r="I25" i="1" s="1"/>
  <c r="J25" i="1" s="1"/>
  <c r="S24" i="1"/>
  <c r="H23" i="1"/>
  <c r="I23" i="1" s="1"/>
  <c r="J23" i="1" s="1"/>
  <c r="S12" i="1"/>
  <c r="H17" i="1"/>
  <c r="I17" i="1" s="1"/>
  <c r="J17" i="1" s="1"/>
  <c r="S13" i="1"/>
  <c r="S18" i="1"/>
  <c r="H13" i="1"/>
  <c r="I13" i="1" s="1"/>
  <c r="J13" i="1" s="1"/>
  <c r="S11" i="1"/>
  <c r="S19" i="1"/>
  <c r="H35" i="1"/>
  <c r="I35" i="1" s="1"/>
  <c r="J35" i="1" s="1"/>
  <c r="S15" i="1"/>
  <c r="S22" i="1"/>
  <c r="H9" i="1"/>
  <c r="I9" i="1" s="1"/>
  <c r="J9" i="1" s="1"/>
  <c r="S31" i="1"/>
  <c r="S30" i="1"/>
  <c r="H15" i="1"/>
  <c r="I15" i="1" s="1"/>
  <c r="J15" i="1" s="1"/>
  <c r="S25" i="1"/>
  <c r="S20" i="1"/>
  <c r="H24" i="1"/>
  <c r="I24" i="1" s="1"/>
  <c r="J24" i="1" s="1"/>
  <c r="H19" i="1"/>
  <c r="I19" i="1" s="1"/>
  <c r="J19" i="1" s="1"/>
  <c r="S9" i="1"/>
  <c r="S21" i="1"/>
  <c r="H20" i="1"/>
  <c r="I20" i="1" s="1"/>
  <c r="J20" i="1" s="1"/>
  <c r="S8" i="1"/>
  <c r="H21" i="1"/>
  <c r="I21" i="1" s="1"/>
  <c r="J21" i="1" s="1"/>
  <c r="H22" i="1"/>
  <c r="I22" i="1" s="1"/>
  <c r="J22" i="1" s="1"/>
  <c r="S16" i="1"/>
  <c r="S23" i="1"/>
  <c r="H57" i="1"/>
  <c r="I57" i="1" s="1"/>
  <c r="J57" i="1" s="1"/>
  <c r="S57" i="1"/>
  <c r="S58" i="1"/>
  <c r="H58" i="1"/>
  <c r="I58" i="1" s="1"/>
  <c r="J58" i="1" s="1"/>
  <c r="S54" i="1"/>
  <c r="S53" i="1"/>
  <c r="H53" i="1"/>
  <c r="I53" i="1" s="1"/>
  <c r="J53" i="1" s="1"/>
  <c r="H54" i="1"/>
  <c r="I54" i="1" s="1"/>
  <c r="J54" i="1" s="1"/>
  <c r="S51" i="1"/>
  <c r="H96" i="1"/>
  <c r="I96" i="1" s="1"/>
  <c r="J96" i="1" s="1"/>
  <c r="S85" i="1"/>
  <c r="S62" i="1"/>
  <c r="H61" i="1"/>
  <c r="I61" i="1" s="1"/>
  <c r="J61" i="1" s="1"/>
  <c r="H83" i="1"/>
  <c r="I83" i="1" s="1"/>
  <c r="J83" i="1" s="1"/>
  <c r="S90" i="1"/>
  <c r="S52" i="1"/>
  <c r="S56" i="1"/>
  <c r="H95" i="1"/>
  <c r="I95" i="1" s="1"/>
  <c r="J95" i="1" s="1"/>
  <c r="H55" i="1"/>
  <c r="I55" i="1" s="1"/>
  <c r="J55" i="1" s="1"/>
  <c r="S83" i="1"/>
  <c r="S84" i="1"/>
  <c r="H98" i="1"/>
  <c r="I98" i="1" s="1"/>
  <c r="J98" i="1" s="1"/>
  <c r="S96" i="1"/>
  <c r="S95" i="1"/>
  <c r="S55" i="1"/>
  <c r="H85" i="1"/>
  <c r="I85" i="1" s="1"/>
  <c r="J85" i="1" s="1"/>
  <c r="H97" i="1"/>
  <c r="I97" i="1" s="1"/>
  <c r="J97" i="1" s="1"/>
  <c r="S61" i="1"/>
  <c r="H52" i="1"/>
  <c r="I52" i="1" s="1"/>
  <c r="J52" i="1" s="1"/>
  <c r="H51" i="1"/>
  <c r="I51" i="1" s="1"/>
  <c r="J51" i="1" s="1"/>
  <c r="H90" i="1"/>
  <c r="I90" i="1" s="1"/>
  <c r="J90" i="1" s="1"/>
  <c r="H89" i="1"/>
  <c r="I89" i="1" s="1"/>
  <c r="J89" i="1" s="1"/>
  <c r="H86" i="1"/>
  <c r="I86" i="1" s="1"/>
  <c r="J86" i="1" s="1"/>
  <c r="S89" i="1"/>
  <c r="S97" i="1"/>
  <c r="H62" i="1"/>
  <c r="I62" i="1" s="1"/>
  <c r="J62" i="1" s="1"/>
  <c r="S98" i="1"/>
  <c r="S78" i="1"/>
  <c r="H78" i="1"/>
  <c r="I78" i="1" s="1"/>
  <c r="J78" i="1" s="1"/>
  <c r="S82" i="1"/>
  <c r="H82" i="1"/>
  <c r="I82" i="1" s="1"/>
  <c r="J82" i="1" s="1"/>
  <c r="H84" i="1"/>
  <c r="I84" i="1" s="1"/>
  <c r="J84" i="1" s="1"/>
  <c r="H59" i="1"/>
  <c r="I59" i="1" s="1"/>
  <c r="J59" i="1" s="1"/>
  <c r="H56" i="1"/>
  <c r="I56" i="1" s="1"/>
  <c r="J56" i="1" s="1"/>
  <c r="S86" i="1"/>
  <c r="S59" i="1"/>
  <c r="T79" i="1" l="1"/>
  <c r="O13" i="3" s="1"/>
  <c r="T66" i="1"/>
  <c r="O11" i="3" s="1"/>
  <c r="T55" i="1"/>
  <c r="O62" i="3" s="1"/>
  <c r="T20" i="1"/>
  <c r="O33" i="3" s="1"/>
  <c r="T57" i="1"/>
  <c r="O64" i="3" s="1"/>
  <c r="T25" i="1"/>
  <c r="O38" i="3" s="1"/>
  <c r="T19" i="1"/>
  <c r="O32" i="3" s="1"/>
  <c r="T32" i="1"/>
  <c r="O49" i="3" s="1"/>
  <c r="T61" i="1"/>
  <c r="O8" i="3" s="1"/>
  <c r="T14" i="1"/>
  <c r="O27" i="3" s="1"/>
  <c r="T51" i="1"/>
  <c r="O58" i="3" s="1"/>
  <c r="T17" i="1"/>
  <c r="O30" i="3" s="1"/>
  <c r="T10" i="1"/>
  <c r="O23" i="3" s="1"/>
  <c r="T23" i="1"/>
  <c r="O36" i="3" s="1"/>
  <c r="T75" i="1"/>
  <c r="O12" i="3" s="1"/>
  <c r="T63" i="1"/>
  <c r="O10" i="3" s="1"/>
  <c r="T16" i="1"/>
  <c r="O29" i="3" s="1"/>
  <c r="T12" i="1"/>
  <c r="O25" i="3" s="1"/>
  <c r="T71" i="1"/>
  <c r="O15" i="3" s="1"/>
  <c r="T30" i="1"/>
  <c r="O47" i="3" s="1"/>
  <c r="T11" i="1"/>
  <c r="O24" i="3" s="1"/>
  <c r="T13" i="1"/>
  <c r="O26" i="3" s="1"/>
  <c r="T52" i="1"/>
  <c r="O59" i="3" s="1"/>
  <c r="T90" i="1"/>
  <c r="O77" i="3" s="1"/>
  <c r="T53" i="1"/>
  <c r="O60" i="3" s="1"/>
  <c r="T31" i="1"/>
  <c r="O48" i="3" s="1"/>
  <c r="T24" i="1"/>
  <c r="O37" i="3" s="1"/>
  <c r="T69" i="1"/>
  <c r="O14" i="3" s="1"/>
  <c r="T96" i="1"/>
  <c r="O80" i="3" s="1"/>
  <c r="T85" i="1"/>
  <c r="O72" i="3" s="1"/>
  <c r="T56" i="1"/>
  <c r="O63" i="3" s="1"/>
  <c r="T59" i="1"/>
  <c r="O66" i="3" s="1"/>
  <c r="T18" i="1"/>
  <c r="O31" i="3" s="1"/>
  <c r="T83" i="1"/>
  <c r="O70" i="3" s="1"/>
  <c r="T9" i="1"/>
  <c r="O22" i="3" s="1"/>
  <c r="T78" i="1"/>
  <c r="O17" i="3" s="1"/>
  <c r="T98" i="1"/>
  <c r="T84" i="1"/>
  <c r="O69" i="3" s="1"/>
  <c r="T8" i="1"/>
  <c r="O21" i="3" s="1"/>
  <c r="T89" i="1"/>
  <c r="O76" i="3" s="1"/>
  <c r="T15" i="1"/>
  <c r="O28" i="3" s="1"/>
  <c r="T82" i="1"/>
  <c r="O16" i="3" s="1"/>
  <c r="T86" i="1"/>
  <c r="O71" i="3" s="1"/>
  <c r="T97" i="1"/>
  <c r="O81" i="3" s="1"/>
  <c r="T54" i="1"/>
  <c r="O61" i="3" s="1"/>
  <c r="T62" i="1"/>
  <c r="O9" i="3" s="1"/>
  <c r="T21" i="1"/>
  <c r="O34" i="3" s="1"/>
  <c r="T95" i="1"/>
  <c r="O79" i="3" s="1"/>
  <c r="T58" i="1"/>
  <c r="O65" i="3" s="1"/>
  <c r="T22" i="1"/>
  <c r="O35" i="3" s="1"/>
  <c r="D5" i="14" l="1"/>
  <c r="E5" i="14" s="1"/>
  <c r="F5" i="14" s="1"/>
  <c r="G4" i="1" l="1"/>
  <c r="H5" i="3" l="1"/>
  <c r="K4" i="1"/>
  <c r="M4" i="1"/>
  <c r="L4" i="1"/>
  <c r="U4" i="1"/>
  <c r="F5" i="3" l="1"/>
  <c r="CD5" i="3"/>
  <c r="CN5" i="3"/>
  <c r="CK5" i="3"/>
  <c r="F2" i="25" l="1"/>
  <c r="BV5" i="3"/>
  <c r="BX5" i="3" s="1"/>
  <c r="BY5" i="3" s="1"/>
  <c r="BW5" i="3" l="1"/>
  <c r="BZ5" i="3"/>
  <c r="G30" i="1" l="1"/>
  <c r="H47" i="3" s="1"/>
  <c r="G78" i="1"/>
  <c r="G11" i="1"/>
  <c r="G19" i="1"/>
  <c r="G16" i="1"/>
  <c r="G64" i="1"/>
  <c r="G41" i="1"/>
  <c r="G22" i="1"/>
  <c r="G79" i="1"/>
  <c r="G23" i="1"/>
  <c r="G12" i="1"/>
  <c r="G6" i="1"/>
  <c r="G52" i="1"/>
  <c r="G45" i="1"/>
  <c r="G67" i="1"/>
  <c r="G76" i="1"/>
  <c r="G98" i="1"/>
  <c r="G89" i="1"/>
  <c r="G85" i="1"/>
  <c r="G56" i="1"/>
  <c r="G86" i="1"/>
  <c r="G5" i="1"/>
  <c r="G44" i="1"/>
  <c r="G65" i="1"/>
  <c r="G81" i="1"/>
  <c r="G68" i="1"/>
  <c r="G36" i="1"/>
  <c r="H45" i="3" s="1"/>
  <c r="G47" i="1"/>
  <c r="G10" i="1"/>
  <c r="G58" i="1"/>
  <c r="G80" i="1"/>
  <c r="G24" i="1"/>
  <c r="G37" i="1"/>
  <c r="G54" i="1"/>
  <c r="G59" i="1"/>
  <c r="G7" i="1"/>
  <c r="G90" i="1"/>
  <c r="G35" i="1"/>
  <c r="G84" i="1"/>
  <c r="G72" i="1"/>
  <c r="G61" i="1"/>
  <c r="G77" i="1"/>
  <c r="G55" i="1"/>
  <c r="G18" i="1"/>
  <c r="G53" i="1"/>
  <c r="G34" i="1"/>
  <c r="G82" i="1"/>
  <c r="G14" i="1"/>
  <c r="G25" i="1"/>
  <c r="G32" i="1"/>
  <c r="H49" i="3" s="1"/>
  <c r="G51" i="1"/>
  <c r="G96" i="1"/>
  <c r="G63" i="1"/>
  <c r="G40" i="1"/>
  <c r="G8" i="1"/>
  <c r="G57" i="1"/>
  <c r="G46" i="1"/>
  <c r="G95" i="1"/>
  <c r="G70" i="1"/>
  <c r="G39" i="1"/>
  <c r="G17" i="1"/>
  <c r="G75" i="1"/>
  <c r="G69" i="1"/>
  <c r="G83" i="1"/>
  <c r="G38" i="1"/>
  <c r="G13" i="1"/>
  <c r="G62" i="1"/>
  <c r="G9" i="1"/>
  <c r="G20" i="1"/>
  <c r="G71" i="1"/>
  <c r="G21" i="1"/>
  <c r="G31" i="1"/>
  <c r="G66" i="1"/>
  <c r="G97" i="1"/>
  <c r="G15" i="1"/>
  <c r="G43" i="1"/>
  <c r="F45" i="3" l="1"/>
  <c r="CD45" i="3"/>
  <c r="CK45" i="3"/>
  <c r="CN45" i="3"/>
  <c r="K66" i="1"/>
  <c r="L66" i="1"/>
  <c r="U66" i="1"/>
  <c r="M66" i="1"/>
  <c r="L62" i="1"/>
  <c r="K62" i="1"/>
  <c r="U62" i="1"/>
  <c r="M62" i="1"/>
  <c r="L63" i="1"/>
  <c r="K63" i="1"/>
  <c r="U63" i="1"/>
  <c r="M63" i="1"/>
  <c r="K35" i="1"/>
  <c r="U35" i="1"/>
  <c r="L35" i="1"/>
  <c r="M35" i="1"/>
  <c r="K65" i="1"/>
  <c r="L65" i="1"/>
  <c r="U65" i="1"/>
  <c r="M65" i="1"/>
  <c r="U12" i="1"/>
  <c r="L12" i="1"/>
  <c r="K12" i="1"/>
  <c r="M12" i="1"/>
  <c r="L13" i="1"/>
  <c r="K13" i="1"/>
  <c r="U13" i="1"/>
  <c r="M13" i="1"/>
  <c r="U96" i="1"/>
  <c r="H80" i="3"/>
  <c r="L96" i="1"/>
  <c r="K96" i="1"/>
  <c r="M96" i="1"/>
  <c r="L90" i="1"/>
  <c r="K90" i="1"/>
  <c r="U90" i="1"/>
  <c r="M90" i="1"/>
  <c r="K44" i="1"/>
  <c r="U44" i="1"/>
  <c r="L44" i="1"/>
  <c r="M44" i="1"/>
  <c r="U23" i="1"/>
  <c r="K23" i="1"/>
  <c r="L23" i="1"/>
  <c r="M23" i="1"/>
  <c r="K79" i="1"/>
  <c r="L79" i="1"/>
  <c r="U79" i="1"/>
  <c r="M79" i="1"/>
  <c r="U38" i="1"/>
  <c r="K38" i="1"/>
  <c r="L38" i="1"/>
  <c r="M38" i="1"/>
  <c r="K51" i="1"/>
  <c r="U51" i="1"/>
  <c r="L51" i="1"/>
  <c r="M51" i="1"/>
  <c r="M7" i="1"/>
  <c r="K7" i="1"/>
  <c r="L7" i="1"/>
  <c r="U7" i="1"/>
  <c r="K83" i="1"/>
  <c r="U83" i="1"/>
  <c r="L83" i="1"/>
  <c r="M83" i="1"/>
  <c r="K32" i="1"/>
  <c r="U32" i="1"/>
  <c r="L32" i="1"/>
  <c r="M32" i="1"/>
  <c r="L59" i="1"/>
  <c r="K59" i="1"/>
  <c r="U59" i="1"/>
  <c r="M59" i="1"/>
  <c r="M5" i="1"/>
  <c r="K5" i="1"/>
  <c r="L5" i="1"/>
  <c r="U5" i="1"/>
  <c r="K22" i="1"/>
  <c r="L22" i="1"/>
  <c r="U22" i="1"/>
  <c r="M22" i="1"/>
  <c r="L69" i="1"/>
  <c r="K69" i="1"/>
  <c r="U69" i="1"/>
  <c r="M69" i="1"/>
  <c r="U25" i="1"/>
  <c r="L25" i="1"/>
  <c r="K25" i="1"/>
  <c r="M25" i="1"/>
  <c r="L54" i="1"/>
  <c r="K54" i="1"/>
  <c r="U54" i="1"/>
  <c r="M54" i="1"/>
  <c r="K86" i="1"/>
  <c r="L86" i="1"/>
  <c r="U86" i="1"/>
  <c r="M86" i="1"/>
  <c r="U41" i="1"/>
  <c r="K41" i="1"/>
  <c r="L41" i="1"/>
  <c r="M41" i="1"/>
  <c r="M43" i="1"/>
  <c r="K43" i="1"/>
  <c r="U43" i="1"/>
  <c r="L43" i="1"/>
  <c r="L75" i="1"/>
  <c r="K75" i="1"/>
  <c r="U75" i="1"/>
  <c r="M75" i="1"/>
  <c r="L14" i="1"/>
  <c r="U14" i="1"/>
  <c r="K14" i="1"/>
  <c r="M14" i="1"/>
  <c r="K56" i="1"/>
  <c r="L56" i="1"/>
  <c r="U56" i="1"/>
  <c r="M56" i="1"/>
  <c r="K64" i="1"/>
  <c r="L64" i="1"/>
  <c r="U64" i="1"/>
  <c r="M64" i="1"/>
  <c r="U17" i="1"/>
  <c r="K17" i="1"/>
  <c r="L17" i="1"/>
  <c r="M17" i="1"/>
  <c r="K37" i="1"/>
  <c r="U37" i="1"/>
  <c r="L37" i="1"/>
  <c r="M37" i="1"/>
  <c r="L85" i="1"/>
  <c r="U85" i="1"/>
  <c r="K85" i="1"/>
  <c r="M85" i="1"/>
  <c r="K16" i="1"/>
  <c r="L16" i="1"/>
  <c r="U16" i="1"/>
  <c r="M16" i="1"/>
  <c r="L15" i="1"/>
  <c r="U15" i="1"/>
  <c r="K15" i="1"/>
  <c r="M15" i="1"/>
  <c r="U82" i="1"/>
  <c r="L82" i="1"/>
  <c r="K82" i="1"/>
  <c r="M82" i="1"/>
  <c r="K24" i="1"/>
  <c r="L24" i="1"/>
  <c r="U24" i="1"/>
  <c r="M24" i="1"/>
  <c r="U97" i="1"/>
  <c r="L97" i="1"/>
  <c r="K97" i="1"/>
  <c r="M97" i="1"/>
  <c r="U39" i="1"/>
  <c r="K39" i="1"/>
  <c r="L39" i="1"/>
  <c r="M39" i="1"/>
  <c r="K34" i="1"/>
  <c r="U34" i="1"/>
  <c r="L34" i="1"/>
  <c r="M34" i="1"/>
  <c r="K80" i="1"/>
  <c r="L80" i="1"/>
  <c r="U80" i="1"/>
  <c r="M80" i="1"/>
  <c r="U89" i="1"/>
  <c r="K89" i="1"/>
  <c r="L89" i="1"/>
  <c r="M89" i="1"/>
  <c r="K19" i="1"/>
  <c r="L19" i="1"/>
  <c r="U19" i="1"/>
  <c r="M19" i="1"/>
  <c r="K70" i="1"/>
  <c r="L70" i="1"/>
  <c r="U70" i="1"/>
  <c r="M70" i="1"/>
  <c r="L53" i="1"/>
  <c r="U53" i="1"/>
  <c r="K53" i="1"/>
  <c r="M53" i="1"/>
  <c r="L58" i="1"/>
  <c r="K58" i="1"/>
  <c r="U58" i="1"/>
  <c r="M58" i="1"/>
  <c r="L98" i="1"/>
  <c r="K98" i="1"/>
  <c r="U98" i="1"/>
  <c r="M98" i="1"/>
  <c r="L18" i="1"/>
  <c r="K18" i="1"/>
  <c r="U18" i="1"/>
  <c r="M18" i="1"/>
  <c r="L10" i="1"/>
  <c r="K10" i="1"/>
  <c r="U10" i="1"/>
  <c r="M10" i="1"/>
  <c r="K76" i="1"/>
  <c r="L76" i="1"/>
  <c r="U76" i="1"/>
  <c r="M76" i="1"/>
  <c r="U31" i="1"/>
  <c r="L31" i="1"/>
  <c r="K31" i="1"/>
  <c r="M31" i="1"/>
  <c r="U95" i="1"/>
  <c r="K95" i="1"/>
  <c r="L95" i="1"/>
  <c r="M95" i="1"/>
  <c r="L55" i="1"/>
  <c r="K55" i="1"/>
  <c r="U55" i="1"/>
  <c r="M55" i="1"/>
  <c r="K47" i="1"/>
  <c r="U47" i="1"/>
  <c r="L47" i="1"/>
  <c r="M47" i="1"/>
  <c r="L67" i="1"/>
  <c r="K67" i="1"/>
  <c r="U67" i="1"/>
  <c r="M67" i="1"/>
  <c r="U11" i="1"/>
  <c r="K11" i="1"/>
  <c r="L11" i="1"/>
  <c r="M11" i="1"/>
  <c r="U21" i="1"/>
  <c r="L21" i="1"/>
  <c r="K21" i="1"/>
  <c r="M21" i="1"/>
  <c r="L46" i="1"/>
  <c r="U46" i="1"/>
  <c r="M46" i="1"/>
  <c r="K46" i="1"/>
  <c r="K77" i="1"/>
  <c r="L77" i="1"/>
  <c r="U77" i="1"/>
  <c r="M77" i="1"/>
  <c r="U36" i="1"/>
  <c r="K36" i="1"/>
  <c r="L36" i="1"/>
  <c r="M36" i="1"/>
  <c r="M45" i="1"/>
  <c r="K45" i="1"/>
  <c r="U45" i="1"/>
  <c r="L45" i="1"/>
  <c r="L78" i="1"/>
  <c r="U78" i="1"/>
  <c r="K78" i="1"/>
  <c r="M78" i="1"/>
  <c r="L71" i="1"/>
  <c r="K71" i="1"/>
  <c r="U71" i="1"/>
  <c r="M71" i="1"/>
  <c r="K57" i="1"/>
  <c r="L57" i="1"/>
  <c r="U57" i="1"/>
  <c r="M57" i="1"/>
  <c r="K61" i="1"/>
  <c r="U61" i="1"/>
  <c r="L61" i="1"/>
  <c r="M61" i="1"/>
  <c r="U68" i="1"/>
  <c r="L68" i="1"/>
  <c r="K68" i="1"/>
  <c r="M68" i="1"/>
  <c r="U20" i="1"/>
  <c r="K20" i="1"/>
  <c r="L20" i="1"/>
  <c r="M20" i="1"/>
  <c r="L8" i="1"/>
  <c r="K8" i="1"/>
  <c r="U8" i="1"/>
  <c r="M8" i="1"/>
  <c r="L72" i="1"/>
  <c r="K72" i="1"/>
  <c r="U72" i="1"/>
  <c r="M72" i="1"/>
  <c r="K52" i="1"/>
  <c r="L52" i="1"/>
  <c r="U52" i="1"/>
  <c r="M52" i="1"/>
  <c r="L30" i="1"/>
  <c r="K30" i="1"/>
  <c r="U30" i="1"/>
  <c r="M30" i="1"/>
  <c r="K9" i="1"/>
  <c r="L9" i="1"/>
  <c r="U9" i="1"/>
  <c r="M9" i="1"/>
  <c r="U40" i="1"/>
  <c r="L40" i="1"/>
  <c r="K40" i="1"/>
  <c r="M40" i="1"/>
  <c r="L84" i="1"/>
  <c r="K84" i="1"/>
  <c r="U84" i="1"/>
  <c r="M84" i="1"/>
  <c r="L81" i="1"/>
  <c r="U81" i="1"/>
  <c r="K81" i="1"/>
  <c r="M81" i="1"/>
  <c r="M6" i="1"/>
  <c r="L6" i="1"/>
  <c r="K6" i="1"/>
  <c r="U6" i="1"/>
  <c r="F42" i="25" l="1"/>
  <c r="BV45" i="3"/>
  <c r="BX45" i="3" s="1"/>
  <c r="BY45" i="3" s="1"/>
  <c r="CK80" i="3"/>
  <c r="CN80" i="3"/>
  <c r="CD80" i="3"/>
  <c r="F80" i="3"/>
  <c r="BZ45" i="3" l="1"/>
  <c r="BW45" i="3"/>
  <c r="K5" i="14"/>
  <c r="K7" i="14" s="1"/>
  <c r="N5" i="14"/>
  <c r="N7" i="14" s="1"/>
  <c r="G125" i="1"/>
  <c r="G123" i="1"/>
  <c r="H113" i="1"/>
  <c r="I113" i="1" s="1"/>
  <c r="J113" i="1" s="1"/>
  <c r="H111" i="1"/>
  <c r="I111" i="1" s="1"/>
  <c r="J111" i="1" s="1"/>
  <c r="H107" i="1"/>
  <c r="I107" i="1" s="1"/>
  <c r="J107" i="1" s="1"/>
  <c r="S107" i="1"/>
  <c r="H103" i="1"/>
  <c r="I103" i="1" s="1"/>
  <c r="J103" i="1" s="1"/>
  <c r="S33" i="1"/>
  <c r="S99" i="1"/>
  <c r="G73" i="1"/>
  <c r="S60" i="1"/>
  <c r="G60" i="1"/>
  <c r="S73" i="1"/>
  <c r="G100" i="1"/>
  <c r="S100" i="1"/>
  <c r="S113" i="1"/>
  <c r="G91" i="1"/>
  <c r="G117" i="1"/>
  <c r="G115" i="1"/>
  <c r="H124" i="1"/>
  <c r="I124" i="1" s="1"/>
  <c r="J124" i="1" s="1"/>
  <c r="H119" i="1"/>
  <c r="I119" i="1" s="1"/>
  <c r="J119" i="1" s="1"/>
  <c r="G26" i="1"/>
  <c r="G29" i="1"/>
  <c r="H60" i="1"/>
  <c r="I60" i="1" s="1"/>
  <c r="J60" i="1" s="1"/>
  <c r="G109" i="1"/>
  <c r="H92" i="1"/>
  <c r="I92" i="1" s="1"/>
  <c r="J92" i="1" s="1"/>
  <c r="G121" i="1"/>
  <c r="H116" i="1"/>
  <c r="I116" i="1" s="1"/>
  <c r="J116" i="1" s="1"/>
  <c r="H121" i="1"/>
  <c r="I121" i="1" s="1"/>
  <c r="J121" i="1" s="1"/>
  <c r="G119" i="1"/>
  <c r="S27" i="1"/>
  <c r="H28" i="1"/>
  <c r="I28" i="1" s="1"/>
  <c r="J28" i="1" s="1"/>
  <c r="H99" i="1"/>
  <c r="I99" i="1" s="1"/>
  <c r="J99" i="1" s="1"/>
  <c r="H118" i="1"/>
  <c r="I118" i="1" s="1"/>
  <c r="J118" i="1" s="1"/>
  <c r="H33" i="1"/>
  <c r="I33" i="1" s="1"/>
  <c r="J33" i="1" s="1"/>
  <c r="H74" i="1"/>
  <c r="I74" i="1" s="1"/>
  <c r="J74" i="1" s="1"/>
  <c r="H94" i="1"/>
  <c r="I94" i="1" s="1"/>
  <c r="J94" i="1" s="1"/>
  <c r="G105" i="1"/>
  <c r="S120" i="1"/>
  <c r="H108" i="1"/>
  <c r="I108" i="1" s="1"/>
  <c r="J108" i="1" s="1"/>
  <c r="G107" i="1"/>
  <c r="H105" i="1"/>
  <c r="I105" i="1" s="1"/>
  <c r="J105" i="1" s="1"/>
  <c r="G111" i="1"/>
  <c r="S74" i="1"/>
  <c r="H117" i="1"/>
  <c r="I117" i="1" s="1"/>
  <c r="J117" i="1" s="1"/>
  <c r="S116" i="1"/>
  <c r="S104" i="1"/>
  <c r="G94" i="1"/>
  <c r="G103" i="1"/>
  <c r="S28" i="1"/>
  <c r="G99" i="1"/>
  <c r="S102" i="1"/>
  <c r="S93" i="1"/>
  <c r="S114" i="1"/>
  <c r="G113" i="1"/>
  <c r="G74" i="1"/>
  <c r="H26" i="1"/>
  <c r="I26" i="1" s="1"/>
  <c r="J26" i="1" s="1"/>
  <c r="S123" i="1"/>
  <c r="S106" i="1"/>
  <c r="H102" i="1"/>
  <c r="I102" i="1" s="1"/>
  <c r="J102" i="1" s="1"/>
  <c r="S124" i="1"/>
  <c r="S112" i="1"/>
  <c r="S122" i="1"/>
  <c r="G48" i="1"/>
  <c r="G28" i="1"/>
  <c r="G88" i="1"/>
  <c r="G116" i="1"/>
  <c r="H114" i="1"/>
  <c r="I114" i="1" s="1"/>
  <c r="J114" i="1" s="1"/>
  <c r="S91" i="1"/>
  <c r="S108" i="1"/>
  <c r="S105" i="1"/>
  <c r="H27" i="1"/>
  <c r="I27" i="1" s="1"/>
  <c r="J27" i="1" s="1"/>
  <c r="S29" i="1"/>
  <c r="S87" i="1"/>
  <c r="H109" i="1"/>
  <c r="I109" i="1" s="1"/>
  <c r="J109" i="1" s="1"/>
  <c r="H93" i="1"/>
  <c r="I93" i="1" s="1"/>
  <c r="J93" i="1" s="1"/>
  <c r="G92" i="1"/>
  <c r="G118" i="1"/>
  <c r="G124" i="1"/>
  <c r="H120" i="1"/>
  <c r="I120" i="1" s="1"/>
  <c r="J120" i="1" s="1"/>
  <c r="H126" i="1"/>
  <c r="I126" i="1" s="1"/>
  <c r="J126" i="1" s="1"/>
  <c r="G50" i="1"/>
  <c r="G93" i="1"/>
  <c r="G49" i="1"/>
  <c r="H112" i="1"/>
  <c r="I112" i="1" s="1"/>
  <c r="J112" i="1" s="1"/>
  <c r="G108" i="1"/>
  <c r="H122" i="1"/>
  <c r="I122" i="1" s="1"/>
  <c r="J122" i="1" s="1"/>
  <c r="H104" i="1"/>
  <c r="I104" i="1" s="1"/>
  <c r="J104" i="1" s="1"/>
  <c r="H110" i="1"/>
  <c r="I110" i="1" s="1"/>
  <c r="J110" i="1" s="1"/>
  <c r="M110" i="1" s="1"/>
  <c r="H29" i="1"/>
  <c r="I29" i="1" s="1"/>
  <c r="J29" i="1" s="1"/>
  <c r="G27" i="1"/>
  <c r="S117" i="1"/>
  <c r="G114" i="1"/>
  <c r="S103" i="1"/>
  <c r="H106" i="1"/>
  <c r="I106" i="1" s="1"/>
  <c r="J106" i="1" s="1"/>
  <c r="H87" i="1"/>
  <c r="I87" i="1" s="1"/>
  <c r="J87" i="1" s="1"/>
  <c r="S88" i="1"/>
  <c r="S94" i="1"/>
  <c r="H91" i="1"/>
  <c r="I91" i="1" s="1"/>
  <c r="J91" i="1" s="1"/>
  <c r="S126" i="1"/>
  <c r="G120" i="1"/>
  <c r="G110" i="1"/>
  <c r="H125" i="1"/>
  <c r="I125" i="1" s="1"/>
  <c r="J125" i="1" s="1"/>
  <c r="S26" i="1"/>
  <c r="G33" i="1"/>
  <c r="G87" i="1"/>
  <c r="H73" i="1"/>
  <c r="I73" i="1" s="1"/>
  <c r="J73" i="1" s="1"/>
  <c r="S92" i="1"/>
  <c r="H123" i="1"/>
  <c r="I123" i="1" s="1"/>
  <c r="J123" i="1" s="1"/>
  <c r="G104" i="1"/>
  <c r="S118" i="1"/>
  <c r="S125" i="1"/>
  <c r="G122" i="1"/>
  <c r="G112" i="1"/>
  <c r="S111" i="1"/>
  <c r="G126" i="1"/>
  <c r="H115" i="1"/>
  <c r="I115" i="1" s="1"/>
  <c r="J115" i="1" s="1"/>
  <c r="S115" i="1"/>
  <c r="S110" i="1"/>
  <c r="S109" i="1"/>
  <c r="G106" i="1"/>
  <c r="G102" i="1"/>
  <c r="H88" i="1"/>
  <c r="I88" i="1" s="1"/>
  <c r="J88" i="1" s="1"/>
  <c r="H100" i="1"/>
  <c r="I100" i="1" s="1"/>
  <c r="J100" i="1" s="1"/>
  <c r="S121" i="1"/>
  <c r="S119" i="1"/>
  <c r="I10" i="14"/>
  <c r="L10" i="14" s="1"/>
  <c r="I11" i="14"/>
  <c r="F77" i="25"/>
  <c r="BV80" i="3"/>
  <c r="BX80" i="3" s="1"/>
  <c r="BY80" i="3" s="1"/>
  <c r="D4" i="14"/>
  <c r="M102" i="1" l="1"/>
  <c r="M73" i="1"/>
  <c r="M92" i="1"/>
  <c r="M105" i="1"/>
  <c r="M108" i="1"/>
  <c r="M60" i="1"/>
  <c r="M112" i="1"/>
  <c r="M93" i="1"/>
  <c r="M116" i="1"/>
  <c r="M88" i="1"/>
  <c r="M106" i="1"/>
  <c r="M117" i="1"/>
  <c r="M103" i="1"/>
  <c r="M107" i="1"/>
  <c r="M111" i="1"/>
  <c r="M113" i="1"/>
  <c r="M123" i="1"/>
  <c r="M109" i="1"/>
  <c r="M29" i="1"/>
  <c r="M115" i="1"/>
  <c r="M126" i="1"/>
  <c r="M99" i="1"/>
  <c r="M87" i="1"/>
  <c r="M120" i="1"/>
  <c r="K8" i="14"/>
  <c r="M121" i="1"/>
  <c r="T73" i="1"/>
  <c r="O18" i="3" s="1"/>
  <c r="H67" i="3"/>
  <c r="L60" i="1"/>
  <c r="K60" i="1"/>
  <c r="L121" i="1"/>
  <c r="K121" i="1"/>
  <c r="T60" i="1"/>
  <c r="O67" i="3" s="1"/>
  <c r="L73" i="1"/>
  <c r="H18" i="3"/>
  <c r="K73" i="1"/>
  <c r="T99" i="1"/>
  <c r="O83" i="3" s="1"/>
  <c r="T33" i="1"/>
  <c r="O68" i="3" s="1"/>
  <c r="K26" i="1"/>
  <c r="L26" i="1"/>
  <c r="H39" i="3"/>
  <c r="G127" i="1"/>
  <c r="T107" i="1"/>
  <c r="U107" i="1" s="1"/>
  <c r="K122" i="1"/>
  <c r="L122" i="1"/>
  <c r="T88" i="1"/>
  <c r="O75" i="3" s="1"/>
  <c r="H41" i="3"/>
  <c r="L28" i="1"/>
  <c r="K28" i="1"/>
  <c r="K103" i="1"/>
  <c r="L103" i="1"/>
  <c r="K91" i="1"/>
  <c r="L91" i="1"/>
  <c r="H78" i="3"/>
  <c r="J4" i="14"/>
  <c r="L11" i="14"/>
  <c r="I12" i="14" s="1"/>
  <c r="I14" i="14" s="1"/>
  <c r="T125" i="1"/>
  <c r="U125" i="1" s="1"/>
  <c r="K48" i="1"/>
  <c r="U48" i="1"/>
  <c r="L48" i="1"/>
  <c r="M48" i="1"/>
  <c r="K94" i="1"/>
  <c r="L94" i="1"/>
  <c r="U94" i="1"/>
  <c r="M28" i="1"/>
  <c r="T118" i="1"/>
  <c r="U118" i="1" s="1"/>
  <c r="K124" i="1"/>
  <c r="L124" i="1"/>
  <c r="T122" i="1"/>
  <c r="U122" i="1" s="1"/>
  <c r="T104" i="1"/>
  <c r="U104" i="1" s="1"/>
  <c r="T27" i="1"/>
  <c r="O40" i="3" s="1"/>
  <c r="K104" i="1"/>
  <c r="L104" i="1"/>
  <c r="T103" i="1"/>
  <c r="U103" i="1" s="1"/>
  <c r="K118" i="1"/>
  <c r="L118" i="1"/>
  <c r="T112" i="1"/>
  <c r="U112" i="1" s="1"/>
  <c r="T116" i="1"/>
  <c r="U116" i="1" s="1"/>
  <c r="U119" i="1"/>
  <c r="L119" i="1"/>
  <c r="K119" i="1"/>
  <c r="T121" i="1"/>
  <c r="U121" i="1" s="1"/>
  <c r="K114" i="1"/>
  <c r="L114" i="1"/>
  <c r="K92" i="1"/>
  <c r="U92" i="1"/>
  <c r="L92" i="1"/>
  <c r="T124" i="1"/>
  <c r="U124" i="1" s="1"/>
  <c r="M100" i="1"/>
  <c r="T117" i="1"/>
  <c r="U117" i="1" s="1"/>
  <c r="T74" i="1"/>
  <c r="O19" i="3" s="1"/>
  <c r="L27" i="1"/>
  <c r="H40" i="3"/>
  <c r="K27" i="1"/>
  <c r="T106" i="1"/>
  <c r="U106" i="1" s="1"/>
  <c r="K111" i="1"/>
  <c r="L111" i="1"/>
  <c r="L102" i="1"/>
  <c r="K102" i="1"/>
  <c r="K87" i="1"/>
  <c r="L87" i="1"/>
  <c r="H74" i="3"/>
  <c r="T87" i="1"/>
  <c r="O74" i="3" s="1"/>
  <c r="T123" i="1"/>
  <c r="U123" i="1" s="1"/>
  <c r="L106" i="1"/>
  <c r="K106" i="1"/>
  <c r="K33" i="1"/>
  <c r="L33" i="1"/>
  <c r="T29" i="1"/>
  <c r="O42" i="3" s="1"/>
  <c r="M26" i="1"/>
  <c r="L107" i="1"/>
  <c r="K107" i="1"/>
  <c r="K109" i="1"/>
  <c r="L109" i="1"/>
  <c r="T109" i="1"/>
  <c r="U109" i="1" s="1"/>
  <c r="T26" i="1"/>
  <c r="O39" i="3" s="1"/>
  <c r="M104" i="1"/>
  <c r="M27" i="1"/>
  <c r="K74" i="1"/>
  <c r="L74" i="1"/>
  <c r="E4" i="14"/>
  <c r="D7" i="14"/>
  <c r="T110" i="1"/>
  <c r="U110" i="1" s="1"/>
  <c r="M125" i="1"/>
  <c r="M122" i="1"/>
  <c r="T105" i="1"/>
  <c r="U105" i="1" s="1"/>
  <c r="K113" i="1"/>
  <c r="L113" i="1"/>
  <c r="H42" i="3"/>
  <c r="L29" i="1"/>
  <c r="K29" i="1"/>
  <c r="T115" i="1"/>
  <c r="U115" i="1" s="1"/>
  <c r="K110" i="1"/>
  <c r="L110" i="1"/>
  <c r="L108" i="1"/>
  <c r="K108" i="1"/>
  <c r="T108" i="1"/>
  <c r="U108" i="1" s="1"/>
  <c r="T114" i="1"/>
  <c r="U114" i="1" s="1"/>
  <c r="K105" i="1"/>
  <c r="L105" i="1"/>
  <c r="K120" i="1"/>
  <c r="L120" i="1"/>
  <c r="U120" i="1"/>
  <c r="T91" i="1"/>
  <c r="O78" i="3" s="1"/>
  <c r="M94" i="1"/>
  <c r="M119" i="1"/>
  <c r="L126" i="1"/>
  <c r="K126" i="1"/>
  <c r="T126" i="1"/>
  <c r="U126" i="1" s="1"/>
  <c r="M49" i="1"/>
  <c r="L49" i="1"/>
  <c r="U49" i="1"/>
  <c r="K49" i="1"/>
  <c r="M114" i="1"/>
  <c r="T102" i="1"/>
  <c r="U102" i="1" s="1"/>
  <c r="M74" i="1"/>
  <c r="M124" i="1"/>
  <c r="T111" i="1"/>
  <c r="U111" i="1" s="1"/>
  <c r="M91" i="1"/>
  <c r="K93" i="1"/>
  <c r="L93" i="1"/>
  <c r="U93" i="1"/>
  <c r="K116" i="1"/>
  <c r="L116" i="1"/>
  <c r="L99" i="1"/>
  <c r="H83" i="3"/>
  <c r="K99" i="1"/>
  <c r="M33" i="1"/>
  <c r="K115" i="1"/>
  <c r="L115" i="1"/>
  <c r="BZ80" i="3"/>
  <c r="BW80" i="3"/>
  <c r="K112" i="1"/>
  <c r="L112" i="1"/>
  <c r="L50" i="1"/>
  <c r="M50" i="1"/>
  <c r="K50" i="1"/>
  <c r="U50" i="1"/>
  <c r="K88" i="1"/>
  <c r="H75" i="3"/>
  <c r="L88" i="1"/>
  <c r="T28" i="1"/>
  <c r="O41" i="3" s="1"/>
  <c r="M118" i="1"/>
  <c r="L117" i="1"/>
  <c r="K117" i="1"/>
  <c r="K123" i="1"/>
  <c r="L123" i="1"/>
  <c r="L125" i="1"/>
  <c r="K125" i="1"/>
  <c r="T113" i="1"/>
  <c r="U113" i="1" s="1"/>
  <c r="T100" i="1"/>
  <c r="O84" i="3" s="1"/>
  <c r="K100" i="1"/>
  <c r="L100" i="1"/>
  <c r="H84" i="3"/>
  <c r="U100" i="1" l="1"/>
  <c r="U91" i="1"/>
  <c r="U87" i="1"/>
  <c r="U73" i="1"/>
  <c r="F84" i="3"/>
  <c r="CN84" i="3"/>
  <c r="CK84" i="3"/>
  <c r="CD84" i="3"/>
  <c r="U27" i="1"/>
  <c r="CN42" i="3"/>
  <c r="CD42" i="3"/>
  <c r="F42" i="3"/>
  <c r="CK42" i="3"/>
  <c r="F41" i="3"/>
  <c r="CD41" i="3"/>
  <c r="CK41" i="3"/>
  <c r="CN41" i="3"/>
  <c r="CN40" i="3"/>
  <c r="F40" i="3"/>
  <c r="CD40" i="3"/>
  <c r="CK40" i="3"/>
  <c r="CN18" i="3"/>
  <c r="CD18" i="3"/>
  <c r="BZ18" i="3"/>
  <c r="CK18" i="3"/>
  <c r="M4" i="14"/>
  <c r="L14" i="14"/>
  <c r="CD74" i="3"/>
  <c r="CK74" i="3"/>
  <c r="CN74" i="3"/>
  <c r="F74" i="3"/>
  <c r="I4" i="14"/>
  <c r="K4" i="14"/>
  <c r="K127" i="1"/>
  <c r="M127" i="1"/>
  <c r="L127" i="1"/>
  <c r="CN78" i="3"/>
  <c r="F78" i="3"/>
  <c r="CD78" i="3"/>
  <c r="CK78" i="3"/>
  <c r="U26" i="1"/>
  <c r="U60" i="1"/>
  <c r="CN39" i="3"/>
  <c r="CD39" i="3"/>
  <c r="F39" i="3"/>
  <c r="CK39" i="3"/>
  <c r="E7" i="14"/>
  <c r="F4" i="14"/>
  <c r="F7" i="14" s="1"/>
  <c r="CN67" i="3"/>
  <c r="CD67" i="3"/>
  <c r="F67" i="3"/>
  <c r="CK67" i="3"/>
  <c r="U88" i="1"/>
  <c r="U99" i="1"/>
  <c r="U74" i="1"/>
  <c r="U33" i="1"/>
  <c r="U29" i="1"/>
  <c r="U28" i="1"/>
  <c r="CN75" i="3"/>
  <c r="CK75" i="3"/>
  <c r="F75" i="3"/>
  <c r="CD75" i="3"/>
  <c r="CK83" i="3"/>
  <c r="CN83" i="3"/>
  <c r="F83" i="3"/>
  <c r="CD83" i="3"/>
  <c r="N50" i="1" l="1"/>
  <c r="O50" i="1" s="1"/>
  <c r="P50" i="1" s="1"/>
  <c r="N36" i="1"/>
  <c r="O36" i="1" s="1"/>
  <c r="P36" i="1" s="1"/>
  <c r="N37" i="1"/>
  <c r="O37" i="1" s="1"/>
  <c r="N46" i="1"/>
  <c r="O46" i="1" s="1"/>
  <c r="P46" i="1" s="1"/>
  <c r="N38" i="1"/>
  <c r="O38" i="1" s="1"/>
  <c r="N6" i="1"/>
  <c r="O6" i="1" s="1"/>
  <c r="P6" i="1" s="1"/>
  <c r="H7" i="3" s="1"/>
  <c r="N48" i="1"/>
  <c r="O48" i="1" s="1"/>
  <c r="P48" i="1" s="1"/>
  <c r="L4" i="14"/>
  <c r="N41" i="1"/>
  <c r="O41" i="1" s="1"/>
  <c r="N35" i="1"/>
  <c r="O35" i="1" s="1"/>
  <c r="P35" i="1" s="1"/>
  <c r="H44" i="3" s="1"/>
  <c r="N49" i="1"/>
  <c r="O49" i="1" s="1"/>
  <c r="P49" i="1" s="1"/>
  <c r="N47" i="1"/>
  <c r="O47" i="1" s="1"/>
  <c r="P47" i="1" s="1"/>
  <c r="N45" i="1"/>
  <c r="O45" i="1" s="1"/>
  <c r="P45" i="1" s="1"/>
  <c r="N39" i="1"/>
  <c r="O39" i="1" s="1"/>
  <c r="N127" i="1"/>
  <c r="O127" i="1" s="1"/>
  <c r="P127" i="1" s="1"/>
  <c r="N40" i="1"/>
  <c r="O40" i="1" s="1"/>
  <c r="N34" i="1"/>
  <c r="O34" i="1" s="1"/>
  <c r="P34" i="1" s="1"/>
  <c r="H43" i="3" s="1"/>
  <c r="N5" i="1"/>
  <c r="O5" i="1" s="1"/>
  <c r="P5" i="1" s="1"/>
  <c r="H6" i="3" s="1"/>
  <c r="N44" i="1"/>
  <c r="O44" i="1" s="1"/>
  <c r="P44" i="1" s="1"/>
  <c r="N4" i="14"/>
  <c r="N4" i="1"/>
  <c r="O4" i="1" s="1"/>
  <c r="P4" i="1" s="1"/>
  <c r="N7" i="1"/>
  <c r="O7" i="1" s="1"/>
  <c r="P7" i="1" s="1"/>
  <c r="H20" i="3" s="1"/>
  <c r="N43" i="1"/>
  <c r="O43" i="1" s="1"/>
  <c r="P43" i="1" s="1"/>
  <c r="N23" i="1"/>
  <c r="O23" i="1" s="1"/>
  <c r="P23" i="1" s="1"/>
  <c r="H36" i="3" s="1"/>
  <c r="N84" i="1"/>
  <c r="O84" i="1" s="1"/>
  <c r="P84" i="1" s="1"/>
  <c r="H69" i="3" s="1"/>
  <c r="N76" i="1"/>
  <c r="O76" i="1" s="1"/>
  <c r="N53" i="1"/>
  <c r="O53" i="1" s="1"/>
  <c r="P53" i="1" s="1"/>
  <c r="H60" i="3" s="1"/>
  <c r="N83" i="1"/>
  <c r="O83" i="1" s="1"/>
  <c r="P83" i="1" s="1"/>
  <c r="H70" i="3" s="1"/>
  <c r="N82" i="1"/>
  <c r="O82" i="1" s="1"/>
  <c r="P82" i="1" s="1"/>
  <c r="H16" i="3" s="1"/>
  <c r="N30" i="1"/>
  <c r="O30" i="1" s="1"/>
  <c r="P30" i="1" s="1"/>
  <c r="N57" i="1"/>
  <c r="O57" i="1" s="1"/>
  <c r="P57" i="1" s="1"/>
  <c r="H64" i="3" s="1"/>
  <c r="N81" i="1"/>
  <c r="O81" i="1" s="1"/>
  <c r="N70" i="1"/>
  <c r="O70" i="1" s="1"/>
  <c r="N90" i="1"/>
  <c r="O90" i="1" s="1"/>
  <c r="P90" i="1" s="1"/>
  <c r="H77" i="3" s="1"/>
  <c r="N96" i="1"/>
  <c r="O96" i="1" s="1"/>
  <c r="P96" i="1" s="1"/>
  <c r="N72" i="1"/>
  <c r="O72" i="1" s="1"/>
  <c r="N67" i="1"/>
  <c r="O67" i="1" s="1"/>
  <c r="N89" i="1"/>
  <c r="O89" i="1" s="1"/>
  <c r="P89" i="1" s="1"/>
  <c r="H76" i="3" s="1"/>
  <c r="N8" i="1"/>
  <c r="O8" i="1" s="1"/>
  <c r="P8" i="1" s="1"/>
  <c r="H21" i="3" s="1"/>
  <c r="N61" i="1"/>
  <c r="O61" i="1" s="1"/>
  <c r="P61" i="1" s="1"/>
  <c r="H8" i="3" s="1"/>
  <c r="N75" i="1"/>
  <c r="O75" i="1" s="1"/>
  <c r="N9" i="1"/>
  <c r="O9" i="1" s="1"/>
  <c r="P9" i="1" s="1"/>
  <c r="H22" i="3" s="1"/>
  <c r="N95" i="1"/>
  <c r="O95" i="1" s="1"/>
  <c r="P95" i="1" s="1"/>
  <c r="H79" i="3" s="1"/>
  <c r="N79" i="1"/>
  <c r="O79" i="1" s="1"/>
  <c r="N14" i="1"/>
  <c r="O14" i="1" s="1"/>
  <c r="P14" i="1" s="1"/>
  <c r="H27" i="3" s="1"/>
  <c r="N63" i="1"/>
  <c r="O63" i="1" s="1"/>
  <c r="N25" i="1"/>
  <c r="O25" i="1" s="1"/>
  <c r="P25" i="1" s="1"/>
  <c r="H38" i="3" s="1"/>
  <c r="N11" i="1"/>
  <c r="O11" i="1" s="1"/>
  <c r="P11" i="1" s="1"/>
  <c r="H24" i="3" s="1"/>
  <c r="N31" i="1"/>
  <c r="O31" i="1" s="1"/>
  <c r="P31" i="1" s="1"/>
  <c r="H48" i="3" s="1"/>
  <c r="N64" i="1"/>
  <c r="O64" i="1" s="1"/>
  <c r="N86" i="1"/>
  <c r="O86" i="1" s="1"/>
  <c r="P86" i="1" s="1"/>
  <c r="H71" i="3" s="1"/>
  <c r="N51" i="1"/>
  <c r="O51" i="1" s="1"/>
  <c r="P51" i="1" s="1"/>
  <c r="H58" i="3" s="1"/>
  <c r="N66" i="1"/>
  <c r="O66" i="1" s="1"/>
  <c r="N19" i="1"/>
  <c r="O19" i="1" s="1"/>
  <c r="P19" i="1" s="1"/>
  <c r="H32" i="3" s="1"/>
  <c r="N16" i="1"/>
  <c r="O16" i="1" s="1"/>
  <c r="P16" i="1" s="1"/>
  <c r="H29" i="3" s="1"/>
  <c r="N85" i="1"/>
  <c r="O85" i="1" s="1"/>
  <c r="P85" i="1" s="1"/>
  <c r="H72" i="3" s="1"/>
  <c r="N97" i="1"/>
  <c r="O97" i="1" s="1"/>
  <c r="P97" i="1" s="1"/>
  <c r="H81" i="3" s="1"/>
  <c r="N65" i="1"/>
  <c r="O65" i="1" s="1"/>
  <c r="N56" i="1"/>
  <c r="O56" i="1" s="1"/>
  <c r="P56" i="1" s="1"/>
  <c r="H63" i="3" s="1"/>
  <c r="N54" i="1"/>
  <c r="O54" i="1" s="1"/>
  <c r="P54" i="1" s="1"/>
  <c r="H61" i="3" s="1"/>
  <c r="N17" i="1"/>
  <c r="O17" i="1" s="1"/>
  <c r="P17" i="1" s="1"/>
  <c r="H30" i="3" s="1"/>
  <c r="N24" i="1"/>
  <c r="O24" i="1" s="1"/>
  <c r="P24" i="1" s="1"/>
  <c r="H37" i="3" s="1"/>
  <c r="N55" i="1"/>
  <c r="O55" i="1" s="1"/>
  <c r="P55" i="1" s="1"/>
  <c r="H62" i="3" s="1"/>
  <c r="N32" i="1"/>
  <c r="O32" i="1" s="1"/>
  <c r="P32" i="1" s="1"/>
  <c r="N10" i="1"/>
  <c r="O10" i="1" s="1"/>
  <c r="P10" i="1" s="1"/>
  <c r="H23" i="3" s="1"/>
  <c r="N12" i="1"/>
  <c r="O12" i="1" s="1"/>
  <c r="P12" i="1" s="1"/>
  <c r="H25" i="3" s="1"/>
  <c r="N68" i="1"/>
  <c r="O68" i="1" s="1"/>
  <c r="N78" i="1"/>
  <c r="O78" i="1" s="1"/>
  <c r="P78" i="1" s="1"/>
  <c r="H17" i="3" s="1"/>
  <c r="N58" i="1"/>
  <c r="O58" i="1" s="1"/>
  <c r="P58" i="1" s="1"/>
  <c r="H65" i="3" s="1"/>
  <c r="N13" i="1"/>
  <c r="O13" i="1" s="1"/>
  <c r="P13" i="1" s="1"/>
  <c r="H26" i="3" s="1"/>
  <c r="N59" i="1"/>
  <c r="O59" i="1" s="1"/>
  <c r="P59" i="1" s="1"/>
  <c r="H66" i="3" s="1"/>
  <c r="N62" i="1"/>
  <c r="O62" i="1" s="1"/>
  <c r="P62" i="1" s="1"/>
  <c r="H9" i="3" s="1"/>
  <c r="F9" i="3" s="1"/>
  <c r="N21" i="1"/>
  <c r="O21" i="1" s="1"/>
  <c r="P21" i="1" s="1"/>
  <c r="H34" i="3" s="1"/>
  <c r="N71" i="1"/>
  <c r="O71" i="1" s="1"/>
  <c r="N52" i="1"/>
  <c r="O52" i="1" s="1"/>
  <c r="P52" i="1" s="1"/>
  <c r="H59" i="3" s="1"/>
  <c r="N18" i="1"/>
  <c r="O18" i="1" s="1"/>
  <c r="P18" i="1" s="1"/>
  <c r="H31" i="3" s="1"/>
  <c r="N20" i="1"/>
  <c r="O20" i="1" s="1"/>
  <c r="P20" i="1" s="1"/>
  <c r="H33" i="3" s="1"/>
  <c r="N80" i="1"/>
  <c r="O80" i="1" s="1"/>
  <c r="N69" i="1"/>
  <c r="O69" i="1" s="1"/>
  <c r="N98" i="1"/>
  <c r="O98" i="1" s="1"/>
  <c r="P98" i="1" s="1"/>
  <c r="H82" i="3" s="1"/>
  <c r="N77" i="1"/>
  <c r="O77" i="1" s="1"/>
  <c r="N22" i="1"/>
  <c r="O22" i="1" s="1"/>
  <c r="P22" i="1" s="1"/>
  <c r="H35" i="3" s="1"/>
  <c r="N15" i="1"/>
  <c r="O15" i="1" s="1"/>
  <c r="P15" i="1" s="1"/>
  <c r="H28" i="3" s="1"/>
  <c r="N99" i="1"/>
  <c r="O99" i="1" s="1"/>
  <c r="P99" i="1" s="1"/>
  <c r="N106" i="1"/>
  <c r="O106" i="1" s="1"/>
  <c r="P106" i="1" s="1"/>
  <c r="N73" i="1"/>
  <c r="O73" i="1" s="1"/>
  <c r="P73" i="1" s="1"/>
  <c r="N33" i="1"/>
  <c r="O33" i="1" s="1"/>
  <c r="P33" i="1" s="1"/>
  <c r="H68" i="3" s="1"/>
  <c r="N103" i="1"/>
  <c r="O103" i="1" s="1"/>
  <c r="P103" i="1" s="1"/>
  <c r="N115" i="1"/>
  <c r="O115" i="1" s="1"/>
  <c r="P115" i="1" s="1"/>
  <c r="N91" i="1"/>
  <c r="O91" i="1" s="1"/>
  <c r="N29" i="1"/>
  <c r="O29" i="1" s="1"/>
  <c r="P29" i="1" s="1"/>
  <c r="N93" i="1"/>
  <c r="O93" i="1" s="1"/>
  <c r="N102" i="1"/>
  <c r="O102" i="1" s="1"/>
  <c r="P102" i="1" s="1"/>
  <c r="N28" i="1"/>
  <c r="O28" i="1" s="1"/>
  <c r="P28" i="1" s="1"/>
  <c r="N124" i="1"/>
  <c r="O124" i="1" s="1"/>
  <c r="P124" i="1" s="1"/>
  <c r="N118" i="1"/>
  <c r="O118" i="1" s="1"/>
  <c r="P118" i="1" s="1"/>
  <c r="N110" i="1"/>
  <c r="O110" i="1" s="1"/>
  <c r="P110" i="1" s="1"/>
  <c r="N112" i="1"/>
  <c r="O112" i="1" s="1"/>
  <c r="P112" i="1" s="1"/>
  <c r="N92" i="1"/>
  <c r="O92" i="1" s="1"/>
  <c r="N111" i="1"/>
  <c r="O111" i="1" s="1"/>
  <c r="P111" i="1" s="1"/>
  <c r="N107" i="1"/>
  <c r="O107" i="1" s="1"/>
  <c r="P107" i="1" s="1"/>
  <c r="N116" i="1"/>
  <c r="O116" i="1" s="1"/>
  <c r="P116" i="1" s="1"/>
  <c r="N117" i="1"/>
  <c r="O117" i="1" s="1"/>
  <c r="P117" i="1" s="1"/>
  <c r="N108" i="1"/>
  <c r="O108" i="1" s="1"/>
  <c r="P108" i="1" s="1"/>
  <c r="N100" i="1"/>
  <c r="O100" i="1" s="1"/>
  <c r="P100" i="1" s="1"/>
  <c r="N60" i="1"/>
  <c r="O60" i="1" s="1"/>
  <c r="P60" i="1" s="1"/>
  <c r="N122" i="1"/>
  <c r="O122" i="1" s="1"/>
  <c r="P122" i="1" s="1"/>
  <c r="N105" i="1"/>
  <c r="O105" i="1" s="1"/>
  <c r="P105" i="1" s="1"/>
  <c r="N94" i="1"/>
  <c r="O94" i="1" s="1"/>
  <c r="N74" i="1"/>
  <c r="O74" i="1" s="1"/>
  <c r="P74" i="1" s="1"/>
  <c r="H19" i="3" s="1"/>
  <c r="N87" i="1"/>
  <c r="O87" i="1" s="1"/>
  <c r="P87" i="1" s="1"/>
  <c r="N109" i="1"/>
  <c r="O109" i="1" s="1"/>
  <c r="P109" i="1" s="1"/>
  <c r="N114" i="1"/>
  <c r="O114" i="1" s="1"/>
  <c r="P114" i="1" s="1"/>
  <c r="N125" i="1"/>
  <c r="O125" i="1" s="1"/>
  <c r="P125" i="1" s="1"/>
  <c r="N104" i="1"/>
  <c r="O104" i="1" s="1"/>
  <c r="P104" i="1" s="1"/>
  <c r="N88" i="1"/>
  <c r="O88" i="1" s="1"/>
  <c r="P88" i="1" s="1"/>
  <c r="N123" i="1"/>
  <c r="O123" i="1" s="1"/>
  <c r="P123" i="1" s="1"/>
  <c r="N26" i="1"/>
  <c r="O26" i="1" s="1"/>
  <c r="P26" i="1" s="1"/>
  <c r="N120" i="1"/>
  <c r="O120" i="1" s="1"/>
  <c r="P120" i="1" s="1"/>
  <c r="N126" i="1"/>
  <c r="O126" i="1" s="1"/>
  <c r="P126" i="1" s="1"/>
  <c r="N113" i="1"/>
  <c r="O113" i="1" s="1"/>
  <c r="P113" i="1" s="1"/>
  <c r="N27" i="1"/>
  <c r="O27" i="1" s="1"/>
  <c r="P27" i="1" s="1"/>
  <c r="N121" i="1"/>
  <c r="O121" i="1" s="1"/>
  <c r="P121" i="1" s="1"/>
  <c r="N119" i="1"/>
  <c r="O119" i="1" s="1"/>
  <c r="P119" i="1" s="1"/>
  <c r="F80" i="25"/>
  <c r="BV83" i="3"/>
  <c r="BX83" i="3" s="1"/>
  <c r="BY83" i="3" s="1"/>
  <c r="F38" i="25"/>
  <c r="BV41" i="3"/>
  <c r="F72" i="25"/>
  <c r="BV75" i="3"/>
  <c r="BX75" i="3" s="1"/>
  <c r="BY75" i="3" s="1"/>
  <c r="F39" i="25"/>
  <c r="BV42" i="3"/>
  <c r="F71" i="25"/>
  <c r="BV74" i="3"/>
  <c r="BX74" i="3" s="1"/>
  <c r="BY74" i="3" s="1"/>
  <c r="F61" i="25"/>
  <c r="BV67" i="3"/>
  <c r="BX67" i="3" s="1"/>
  <c r="BY67" i="3" s="1"/>
  <c r="F37" i="25"/>
  <c r="BV40" i="3"/>
  <c r="F36" i="25"/>
  <c r="BV39" i="3"/>
  <c r="U127" i="1"/>
  <c r="Q92" i="1"/>
  <c r="Q50" i="1"/>
  <c r="Q126" i="1"/>
  <c r="Q66" i="1"/>
  <c r="Q67" i="1"/>
  <c r="Q80" i="1"/>
  <c r="Q108" i="1"/>
  <c r="Q88" i="1"/>
  <c r="Q68" i="1"/>
  <c r="Q81" i="1"/>
  <c r="Q104" i="1"/>
  <c r="Q37" i="1"/>
  <c r="Q64" i="1"/>
  <c r="Q117" i="1"/>
  <c r="Q73" i="1"/>
  <c r="Q91" i="1"/>
  <c r="Q28" i="1"/>
  <c r="Q65" i="1"/>
  <c r="Q124" i="1"/>
  <c r="Q105" i="1"/>
  <c r="Q111" i="1"/>
  <c r="Q72" i="1"/>
  <c r="Q60" i="1"/>
  <c r="Q77" i="1"/>
  <c r="Q116" i="1"/>
  <c r="Q100" i="1"/>
  <c r="Q49" i="1"/>
  <c r="Q26" i="1"/>
  <c r="Q74" i="1"/>
  <c r="Q75" i="1"/>
  <c r="Q99" i="1"/>
  <c r="Q125" i="1"/>
  <c r="Q93" i="1"/>
  <c r="Q118" i="1"/>
  <c r="Q103" i="1"/>
  <c r="Q63" i="1"/>
  <c r="Q122" i="1"/>
  <c r="Q113" i="1"/>
  <c r="Q120" i="1"/>
  <c r="Q69" i="1"/>
  <c r="Q87" i="1"/>
  <c r="Q114" i="1"/>
  <c r="Q110" i="1"/>
  <c r="Q33" i="1"/>
  <c r="Q27" i="1"/>
  <c r="Q123" i="1"/>
  <c r="Q115" i="1"/>
  <c r="Q48" i="1"/>
  <c r="Q121" i="1"/>
  <c r="Q109" i="1"/>
  <c r="Q70" i="1"/>
  <c r="Q112" i="1"/>
  <c r="Q94" i="1"/>
  <c r="Q29" i="1"/>
  <c r="Q79" i="1"/>
  <c r="Q119" i="1"/>
  <c r="Q106" i="1"/>
  <c r="Q107" i="1"/>
  <c r="Q71" i="1"/>
  <c r="Q102" i="1"/>
  <c r="Q76" i="1"/>
  <c r="F75" i="25"/>
  <c r="BV78" i="3"/>
  <c r="BX78" i="3" s="1"/>
  <c r="BY78" i="3" s="1"/>
  <c r="F81" i="25"/>
  <c r="BV84" i="3"/>
  <c r="BX84" i="3" s="1"/>
  <c r="BY84" i="3" s="1"/>
  <c r="P69" i="1" l="1"/>
  <c r="H14" i="3" s="1"/>
  <c r="F14" i="3" s="1"/>
  <c r="P63" i="1"/>
  <c r="H10" i="3" s="1"/>
  <c r="F10" i="3" s="1"/>
  <c r="P75" i="1"/>
  <c r="H12" i="3" s="1"/>
  <c r="F12" i="3" s="1"/>
  <c r="P71" i="1"/>
  <c r="H15" i="3" s="1"/>
  <c r="F15" i="3" s="1"/>
  <c r="CN44" i="3"/>
  <c r="F44" i="3"/>
  <c r="CD44" i="3"/>
  <c r="CK44" i="3"/>
  <c r="CN43" i="3"/>
  <c r="CD43" i="3"/>
  <c r="CK43" i="3"/>
  <c r="F43" i="3"/>
  <c r="P66" i="1"/>
  <c r="H11" i="3" s="1"/>
  <c r="CN11" i="3" s="1"/>
  <c r="BW84" i="3"/>
  <c r="BZ84" i="3"/>
  <c r="CN82" i="3"/>
  <c r="F82" i="3"/>
  <c r="CD82" i="3"/>
  <c r="CK82" i="3"/>
  <c r="CN49" i="3"/>
  <c r="F49" i="3"/>
  <c r="CD49" i="3"/>
  <c r="CK49" i="3"/>
  <c r="F24" i="3"/>
  <c r="CN24" i="3"/>
  <c r="CD24" i="3"/>
  <c r="CK24" i="3"/>
  <c r="CN62" i="3"/>
  <c r="F62" i="3"/>
  <c r="CD62" i="3"/>
  <c r="CK62" i="3"/>
  <c r="F38" i="3"/>
  <c r="CN38" i="3"/>
  <c r="CD38" i="3"/>
  <c r="CK38" i="3"/>
  <c r="CN64" i="3"/>
  <c r="F64" i="3"/>
  <c r="CD64" i="3"/>
  <c r="CK64" i="3"/>
  <c r="BW74" i="3"/>
  <c r="BZ74" i="3"/>
  <c r="BZ83" i="3"/>
  <c r="BW83" i="3"/>
  <c r="CD19" i="3"/>
  <c r="BZ19" i="3"/>
  <c r="CK19" i="3"/>
  <c r="CN19" i="3"/>
  <c r="CN37" i="3"/>
  <c r="F37" i="3"/>
  <c r="CD37" i="3"/>
  <c r="CK37" i="3"/>
  <c r="CN47" i="3"/>
  <c r="F47" i="3"/>
  <c r="CD47" i="3"/>
  <c r="CK47" i="3"/>
  <c r="CD33" i="3"/>
  <c r="CN33" i="3"/>
  <c r="F33" i="3"/>
  <c r="CK33" i="3"/>
  <c r="F30" i="3"/>
  <c r="CN30" i="3"/>
  <c r="CD30" i="3"/>
  <c r="CK30" i="3"/>
  <c r="CN27" i="3"/>
  <c r="F27" i="3"/>
  <c r="CD27" i="3"/>
  <c r="CK27" i="3"/>
  <c r="CN16" i="3"/>
  <c r="F16" i="3"/>
  <c r="CD16" i="3"/>
  <c r="CK16" i="3"/>
  <c r="BW78" i="3"/>
  <c r="BZ78" i="3"/>
  <c r="F31" i="3"/>
  <c r="CD31" i="3"/>
  <c r="CN31" i="3"/>
  <c r="CK31" i="3"/>
  <c r="CN61" i="3"/>
  <c r="F61" i="3"/>
  <c r="CD61" i="3"/>
  <c r="CK61" i="3"/>
  <c r="P79" i="1"/>
  <c r="H13" i="3" s="1"/>
  <c r="F70" i="3"/>
  <c r="CN70" i="3"/>
  <c r="CD70" i="3"/>
  <c r="CK70" i="3"/>
  <c r="CN59" i="3"/>
  <c r="F59" i="3"/>
  <c r="CD59" i="3"/>
  <c r="CK59" i="3"/>
  <c r="CD63" i="3"/>
  <c r="CN63" i="3"/>
  <c r="F63" i="3"/>
  <c r="CK63" i="3"/>
  <c r="CN79" i="3"/>
  <c r="F79" i="3"/>
  <c r="CD79" i="3"/>
  <c r="CK79" i="3"/>
  <c r="F60" i="3"/>
  <c r="CN60" i="3"/>
  <c r="CD60" i="3"/>
  <c r="CK60" i="3"/>
  <c r="P91" i="1"/>
  <c r="CN22" i="3"/>
  <c r="F22" i="3"/>
  <c r="CD22" i="3"/>
  <c r="CK22" i="3"/>
  <c r="CN34" i="3"/>
  <c r="F34" i="3"/>
  <c r="CD34" i="3"/>
  <c r="CK34" i="3"/>
  <c r="CN81" i="3"/>
  <c r="F81" i="3"/>
  <c r="CD81" i="3"/>
  <c r="CK81" i="3"/>
  <c r="CK12" i="3"/>
  <c r="CN69" i="3"/>
  <c r="F69" i="3"/>
  <c r="CD69" i="3"/>
  <c r="CK69" i="3"/>
  <c r="CN9" i="3"/>
  <c r="CD9" i="3"/>
  <c r="CK9" i="3"/>
  <c r="CN72" i="3"/>
  <c r="F72" i="3"/>
  <c r="CD72" i="3"/>
  <c r="CK72" i="3"/>
  <c r="CN8" i="3"/>
  <c r="F8" i="3"/>
  <c r="CD8" i="3"/>
  <c r="CK8" i="3"/>
  <c r="CN36" i="3"/>
  <c r="F36" i="3"/>
  <c r="CD36" i="3"/>
  <c r="CK36" i="3"/>
  <c r="CN68" i="3"/>
  <c r="F68" i="3"/>
  <c r="CK68" i="3"/>
  <c r="CD68" i="3"/>
  <c r="CN66" i="3"/>
  <c r="F66" i="3"/>
  <c r="CD66" i="3"/>
  <c r="CK66" i="3"/>
  <c r="CN29" i="3"/>
  <c r="F29" i="3"/>
  <c r="CD29" i="3"/>
  <c r="CK29" i="3"/>
  <c r="F21" i="3"/>
  <c r="CN21" i="3"/>
  <c r="CD21" i="3"/>
  <c r="CK21" i="3"/>
  <c r="BZ75" i="3"/>
  <c r="BW75" i="3"/>
  <c r="CN26" i="3"/>
  <c r="F26" i="3"/>
  <c r="CD26" i="3"/>
  <c r="CK26" i="3"/>
  <c r="CN32" i="3"/>
  <c r="F32" i="3"/>
  <c r="CD32" i="3"/>
  <c r="CK32" i="3"/>
  <c r="F76" i="3"/>
  <c r="CN76" i="3"/>
  <c r="CD76" i="3"/>
  <c r="CK76" i="3"/>
  <c r="CN20" i="3"/>
  <c r="F20" i="3"/>
  <c r="CD20" i="3"/>
  <c r="CK20" i="3"/>
  <c r="CN7" i="3"/>
  <c r="F7" i="3"/>
  <c r="CD7" i="3"/>
  <c r="CK7" i="3"/>
  <c r="F65" i="3"/>
  <c r="CN65" i="3"/>
  <c r="CD65" i="3"/>
  <c r="CK65" i="3"/>
  <c r="F17" i="3"/>
  <c r="CN17" i="3"/>
  <c r="CD17" i="3"/>
  <c r="CK17" i="3"/>
  <c r="CN58" i="3"/>
  <c r="F58" i="3"/>
  <c r="CD58" i="3"/>
  <c r="CK58" i="3"/>
  <c r="CN28" i="3"/>
  <c r="F28" i="3"/>
  <c r="CD28" i="3"/>
  <c r="CK28" i="3"/>
  <c r="CN71" i="3"/>
  <c r="F71" i="3"/>
  <c r="CD71" i="3"/>
  <c r="CK71" i="3"/>
  <c r="P37" i="1"/>
  <c r="BW67" i="3"/>
  <c r="BZ67" i="3"/>
  <c r="CN35" i="3"/>
  <c r="F35" i="3"/>
  <c r="CD35" i="3"/>
  <c r="CK35" i="3"/>
  <c r="F25" i="3"/>
  <c r="CN25" i="3"/>
  <c r="CD25" i="3"/>
  <c r="CK25" i="3"/>
  <c r="CN77" i="3"/>
  <c r="F77" i="3"/>
  <c r="CD77" i="3"/>
  <c r="CK77" i="3"/>
  <c r="CN6" i="3"/>
  <c r="F6" i="3"/>
  <c r="CD6" i="3"/>
  <c r="CK6" i="3"/>
  <c r="CN23" i="3"/>
  <c r="F23" i="3"/>
  <c r="CD23" i="3"/>
  <c r="CK23" i="3"/>
  <c r="CN48" i="3"/>
  <c r="F48" i="3"/>
  <c r="CD48" i="3"/>
  <c r="CK48" i="3"/>
  <c r="CK10" i="3" l="1"/>
  <c r="CD10" i="3"/>
  <c r="CN10" i="3"/>
  <c r="CK14" i="3"/>
  <c r="CD14" i="3"/>
  <c r="CN14" i="3"/>
  <c r="CN12" i="3"/>
  <c r="CD12" i="3"/>
  <c r="CK15" i="3"/>
  <c r="CD15" i="3"/>
  <c r="CN15" i="3"/>
  <c r="F40" i="25"/>
  <c r="BV43" i="3"/>
  <c r="F41" i="25"/>
  <c r="BV44" i="3"/>
  <c r="BX44" i="3" s="1"/>
  <c r="BY44" i="3" s="1"/>
  <c r="CK11" i="3"/>
  <c r="CD11" i="3"/>
  <c r="F11" i="3"/>
  <c r="BV11" i="3" s="1"/>
  <c r="BX11" i="3" s="1"/>
  <c r="BY11" i="3" s="1"/>
  <c r="F73" i="25"/>
  <c r="BV76" i="3"/>
  <c r="BX76" i="3" s="1"/>
  <c r="BY76" i="3" s="1"/>
  <c r="F76" i="25"/>
  <c r="BV79" i="3"/>
  <c r="BX79" i="3" s="1"/>
  <c r="BY79" i="3" s="1"/>
  <c r="F13" i="3"/>
  <c r="CN13" i="3"/>
  <c r="CD13" i="3"/>
  <c r="CK13" i="3"/>
  <c r="F56" i="25"/>
  <c r="BV62" i="3"/>
  <c r="BX62" i="3" s="1"/>
  <c r="BY62" i="3" s="1"/>
  <c r="F59" i="25"/>
  <c r="BV65" i="3"/>
  <c r="BX65" i="3" s="1"/>
  <c r="BY65" i="3" s="1"/>
  <c r="F27" i="25"/>
  <c r="BV30" i="3"/>
  <c r="BX30" i="3" s="1"/>
  <c r="BY30" i="3" s="1"/>
  <c r="F68" i="25"/>
  <c r="BV71" i="3"/>
  <c r="BX71" i="3" s="1"/>
  <c r="BY71" i="3" s="1"/>
  <c r="F14" i="25"/>
  <c r="BV17" i="3"/>
  <c r="BX17" i="3" s="1"/>
  <c r="BY17" i="3" s="1"/>
  <c r="F18" i="25"/>
  <c r="BV21" i="3"/>
  <c r="BX21" i="3" s="1"/>
  <c r="BY21" i="3" s="1"/>
  <c r="F64" i="25"/>
  <c r="BV49" i="3"/>
  <c r="BX49" i="3" s="1"/>
  <c r="BY49" i="3" s="1"/>
  <c r="F6" i="25"/>
  <c r="BV9" i="3"/>
  <c r="BX9" i="3" s="1"/>
  <c r="BY9" i="3" s="1"/>
  <c r="F9" i="25"/>
  <c r="BV12" i="3"/>
  <c r="BX12" i="3" s="1"/>
  <c r="BY12" i="3" s="1"/>
  <c r="F7" i="25"/>
  <c r="BV10" i="3"/>
  <c r="BX10" i="3" s="1"/>
  <c r="BY10" i="3" s="1"/>
  <c r="F29" i="25"/>
  <c r="BV32" i="3"/>
  <c r="BX32" i="3" s="1"/>
  <c r="BY32" i="3" s="1"/>
  <c r="F25" i="25"/>
  <c r="BV28" i="3"/>
  <c r="BX28" i="3" s="1"/>
  <c r="BY28" i="3" s="1"/>
  <c r="F79" i="25"/>
  <c r="BV82" i="3"/>
  <c r="BX82" i="3" s="1"/>
  <c r="BY82" i="3" s="1"/>
  <c r="F3" i="25"/>
  <c r="BV6" i="3"/>
  <c r="BX6" i="3" s="1"/>
  <c r="BY6" i="3" s="1"/>
  <c r="F55" i="25"/>
  <c r="BV61" i="3"/>
  <c r="BX61" i="3" s="1"/>
  <c r="BY61" i="3" s="1"/>
  <c r="F78" i="25"/>
  <c r="BV81" i="3"/>
  <c r="BX81" i="3" s="1"/>
  <c r="BY81" i="3" s="1"/>
  <c r="F23" i="25"/>
  <c r="BV26" i="3"/>
  <c r="BX26" i="3" s="1"/>
  <c r="BY26" i="3" s="1"/>
  <c r="F5" i="25"/>
  <c r="BV8" i="3"/>
  <c r="BX8" i="3" s="1"/>
  <c r="BY8" i="3" s="1"/>
  <c r="F13" i="25"/>
  <c r="BV16" i="3"/>
  <c r="BX16" i="3" s="1"/>
  <c r="BY16" i="3" s="1"/>
  <c r="F60" i="25"/>
  <c r="BV66" i="3"/>
  <c r="BX66" i="3" s="1"/>
  <c r="BY66" i="3" s="1"/>
  <c r="F52" i="25"/>
  <c r="BV58" i="3"/>
  <c r="BX58" i="3" s="1"/>
  <c r="BY58" i="3" s="1"/>
  <c r="F74" i="25"/>
  <c r="BV77" i="3"/>
  <c r="BX77" i="3" s="1"/>
  <c r="BY77" i="3" s="1"/>
  <c r="F53" i="25"/>
  <c r="BV59" i="3"/>
  <c r="BX59" i="3" s="1"/>
  <c r="BY59" i="3" s="1"/>
  <c r="F22" i="25"/>
  <c r="BV25" i="3"/>
  <c r="BX25" i="3" s="1"/>
  <c r="BY25" i="3" s="1"/>
  <c r="F19" i="25"/>
  <c r="BV22" i="3"/>
  <c r="BX22" i="3" s="1"/>
  <c r="BY22" i="3" s="1"/>
  <c r="F67" i="25"/>
  <c r="BV70" i="3"/>
  <c r="BX70" i="3" s="1"/>
  <c r="BY70" i="3" s="1"/>
  <c r="F33" i="25"/>
  <c r="BV36" i="3"/>
  <c r="BX36" i="3" s="1"/>
  <c r="BY36" i="3" s="1"/>
  <c r="F32" i="25"/>
  <c r="BV35" i="3"/>
  <c r="BX35" i="3" s="1"/>
  <c r="BY35" i="3" s="1"/>
  <c r="F34" i="25"/>
  <c r="BV37" i="3"/>
  <c r="BX37" i="3" s="1"/>
  <c r="BY37" i="3" s="1"/>
  <c r="F11" i="25"/>
  <c r="BV14" i="3"/>
  <c r="BX14" i="3" s="1"/>
  <c r="BY14" i="3" s="1"/>
  <c r="F31" i="25"/>
  <c r="BV34" i="3"/>
  <c r="BX34" i="3" s="1"/>
  <c r="BY34" i="3" s="1"/>
  <c r="BV31" i="3"/>
  <c r="BX31" i="3" s="1"/>
  <c r="BY31" i="3" s="1"/>
  <c r="F28" i="25"/>
  <c r="F62" i="25"/>
  <c r="BV47" i="3"/>
  <c r="BX47" i="3" s="1"/>
  <c r="BY47" i="3" s="1"/>
  <c r="F21" i="25"/>
  <c r="BV24" i="3"/>
  <c r="BX24" i="3" s="1"/>
  <c r="BY24" i="3" s="1"/>
  <c r="F4" i="25"/>
  <c r="BV7" i="3"/>
  <c r="BX7" i="3" s="1"/>
  <c r="BY7" i="3" s="1"/>
  <c r="F26" i="25"/>
  <c r="BV29" i="3"/>
  <c r="BX29" i="3" s="1"/>
  <c r="BY29" i="3" s="1"/>
  <c r="F57" i="25"/>
  <c r="BV63" i="3"/>
  <c r="BX63" i="3" s="1"/>
  <c r="BY63" i="3" s="1"/>
  <c r="F30" i="25"/>
  <c r="BV33" i="3"/>
  <c r="BX33" i="3" s="1"/>
  <c r="BY33" i="3" s="1"/>
  <c r="F12" i="25"/>
  <c r="BV15" i="3"/>
  <c r="BX15" i="3" s="1"/>
  <c r="BY15" i="3" s="1"/>
  <c r="F58" i="25"/>
  <c r="BV64" i="3"/>
  <c r="BX64" i="3" s="1"/>
  <c r="BY64" i="3" s="1"/>
  <c r="F63" i="25"/>
  <c r="BV48" i="3"/>
  <c r="BX48" i="3" s="1"/>
  <c r="BY48" i="3" s="1"/>
  <c r="F17" i="25"/>
  <c r="BV20" i="3"/>
  <c r="BX20" i="3" s="1"/>
  <c r="BY20" i="3" s="1"/>
  <c r="F69" i="25"/>
  <c r="BV72" i="3"/>
  <c r="BX72" i="3" s="1"/>
  <c r="BY72" i="3" s="1"/>
  <c r="F66" i="25"/>
  <c r="BV69" i="3"/>
  <c r="BX69" i="3" s="1"/>
  <c r="BY69" i="3" s="1"/>
  <c r="F54" i="25"/>
  <c r="BV60" i="3"/>
  <c r="BX60" i="3" s="1"/>
  <c r="BY60" i="3" s="1"/>
  <c r="F24" i="25"/>
  <c r="BV27" i="3"/>
  <c r="BX27" i="3" s="1"/>
  <c r="BY27" i="3" s="1"/>
  <c r="F35" i="25"/>
  <c r="BV38" i="3"/>
  <c r="BX38" i="3" s="1"/>
  <c r="BY38" i="3" s="1"/>
  <c r="F20" i="25"/>
  <c r="BV23" i="3"/>
  <c r="BX23" i="3" s="1"/>
  <c r="BY23" i="3" s="1"/>
  <c r="F65" i="25"/>
  <c r="BV68" i="3"/>
  <c r="BX68" i="3" s="1"/>
  <c r="BY68" i="3" s="1"/>
  <c r="BW44" i="3" l="1"/>
  <c r="BZ44" i="3"/>
  <c r="F8" i="25"/>
  <c r="BZ70" i="3"/>
  <c r="BW70" i="3"/>
  <c r="BW82" i="3"/>
  <c r="BZ82" i="3"/>
  <c r="BW15" i="3"/>
  <c r="BZ15" i="3"/>
  <c r="BZ22" i="3"/>
  <c r="BW22" i="3"/>
  <c r="BW30" i="3"/>
  <c r="BZ30" i="3"/>
  <c r="F10" i="25"/>
  <c r="BV13" i="3"/>
  <c r="BX13" i="3" s="1"/>
  <c r="BY13" i="3" s="1"/>
  <c r="BW29" i="3"/>
  <c r="BZ29" i="3"/>
  <c r="BZ24" i="3"/>
  <c r="BW24" i="3"/>
  <c r="BZ12" i="3"/>
  <c r="BW12" i="3"/>
  <c r="BW66" i="3"/>
  <c r="BZ66" i="3"/>
  <c r="BZ10" i="3"/>
  <c r="BW10" i="3"/>
  <c r="BW35" i="3"/>
  <c r="BZ35" i="3"/>
  <c r="BW81" i="3"/>
  <c r="BZ81" i="3"/>
  <c r="BZ28" i="3"/>
  <c r="BW28" i="3"/>
  <c r="BW20" i="3"/>
  <c r="BZ20" i="3"/>
  <c r="BW77" i="3"/>
  <c r="BZ77" i="3"/>
  <c r="BW14" i="3"/>
  <c r="BZ14" i="3"/>
  <c r="BW61" i="3"/>
  <c r="BZ61" i="3"/>
  <c r="BZ38" i="3"/>
  <c r="BW38" i="3"/>
  <c r="BZ48" i="3"/>
  <c r="BW48" i="3"/>
  <c r="BZ25" i="3"/>
  <c r="BW25" i="3"/>
  <c r="BZ8" i="3"/>
  <c r="BW8" i="3"/>
  <c r="BZ32" i="3"/>
  <c r="BW32" i="3"/>
  <c r="BZ9" i="3"/>
  <c r="BW9" i="3"/>
  <c r="BW7" i="3"/>
  <c r="BZ7" i="3"/>
  <c r="BZ11" i="3"/>
  <c r="BW11" i="3"/>
  <c r="BZ60" i="3"/>
  <c r="BW60" i="3"/>
  <c r="BW33" i="3"/>
  <c r="BZ33" i="3"/>
  <c r="BW16" i="3"/>
  <c r="BZ16" i="3"/>
  <c r="BZ65" i="3"/>
  <c r="BW65" i="3"/>
  <c r="BW79" i="3"/>
  <c r="BZ79" i="3"/>
  <c r="BW69" i="3"/>
  <c r="BZ69" i="3"/>
  <c r="BW36" i="3"/>
  <c r="BZ36" i="3"/>
  <c r="BW17" i="3"/>
  <c r="BZ17" i="3"/>
  <c r="BZ72" i="3"/>
  <c r="BW72" i="3"/>
  <c r="BZ34" i="3"/>
  <c r="BW34" i="3"/>
  <c r="BW58" i="3"/>
  <c r="BZ58" i="3"/>
  <c r="BW6" i="3"/>
  <c r="BZ6" i="3"/>
  <c r="BW71" i="3"/>
  <c r="BZ71" i="3"/>
  <c r="BW62" i="3"/>
  <c r="BZ62" i="3"/>
  <c r="BW21" i="3"/>
  <c r="BZ21" i="3"/>
  <c r="BZ23" i="3"/>
  <c r="BW23" i="3"/>
  <c r="BZ76" i="3"/>
  <c r="BW76" i="3"/>
  <c r="BZ59" i="3"/>
  <c r="BW59" i="3"/>
  <c r="BW49" i="3"/>
  <c r="BZ49" i="3"/>
  <c r="BZ68" i="3"/>
  <c r="BW68" i="3"/>
  <c r="BZ47" i="3"/>
  <c r="BW47" i="3"/>
  <c r="BW31" i="3"/>
  <c r="BZ31" i="3"/>
  <c r="BZ27" i="3"/>
  <c r="BW27" i="3"/>
  <c r="BZ64" i="3"/>
  <c r="BW64" i="3"/>
  <c r="BZ63" i="3"/>
  <c r="BW63" i="3"/>
  <c r="BW37" i="3"/>
  <c r="BZ37" i="3"/>
  <c r="BW26" i="3"/>
  <c r="BZ26" i="3"/>
  <c r="BZ13" i="3" l="1"/>
  <c r="BW13" i="3"/>
  <c r="T43" i="3" l="1"/>
  <c r="T21" i="3"/>
  <c r="T67" i="3"/>
  <c r="U20" i="3"/>
  <c r="U8" i="3"/>
  <c r="U64" i="3"/>
  <c r="AY84" i="3"/>
  <c r="U30" i="3"/>
  <c r="U65" i="3"/>
  <c r="U60" i="3"/>
  <c r="U59" i="3"/>
  <c r="T81" i="3"/>
  <c r="T65" i="3"/>
  <c r="U53" i="3"/>
  <c r="S53" i="3" s="1"/>
  <c r="T29" i="3"/>
  <c r="U39" i="3"/>
  <c r="U49" i="3"/>
  <c r="T25" i="3"/>
  <c r="T76" i="3"/>
  <c r="T44" i="3"/>
  <c r="U78" i="3"/>
  <c r="U12" i="3"/>
  <c r="T38" i="3"/>
  <c r="S38" i="3" s="1"/>
  <c r="T10" i="3"/>
  <c r="S10" i="3" s="1"/>
  <c r="U67" i="3"/>
  <c r="AY78" i="3"/>
  <c r="U26" i="3"/>
  <c r="T66" i="3"/>
  <c r="U5" i="3"/>
  <c r="U18" i="3"/>
  <c r="T20" i="3"/>
  <c r="S20" i="3" s="1"/>
  <c r="T73" i="3"/>
  <c r="T8" i="3"/>
  <c r="AY82" i="3"/>
  <c r="U7" i="3"/>
  <c r="T63" i="3"/>
  <c r="U6" i="3"/>
  <c r="T58" i="3"/>
  <c r="T22" i="3"/>
  <c r="S22" i="3" s="1"/>
  <c r="U70" i="3"/>
  <c r="T83" i="3"/>
  <c r="T45" i="3"/>
  <c r="U35" i="3"/>
  <c r="T78" i="3"/>
  <c r="T32" i="3"/>
  <c r="S32" i="3" s="1"/>
  <c r="U66" i="3"/>
  <c r="AY73" i="3"/>
  <c r="U52" i="3"/>
  <c r="S52" i="3" s="1"/>
  <c r="U11" i="3"/>
  <c r="AZ76" i="3"/>
  <c r="U80" i="3"/>
  <c r="T70" i="3"/>
  <c r="T72" i="3"/>
  <c r="U48" i="3"/>
  <c r="U45" i="3"/>
  <c r="S45" i="3" s="1"/>
  <c r="U75" i="3"/>
  <c r="U19" i="3"/>
  <c r="AY83" i="3"/>
  <c r="U69" i="3"/>
  <c r="T75" i="3"/>
  <c r="T26" i="3"/>
  <c r="S26" i="3" s="1"/>
  <c r="AZ74" i="3"/>
  <c r="T39" i="3"/>
  <c r="T9" i="3"/>
  <c r="T46" i="3"/>
  <c r="T37" i="3"/>
  <c r="U55" i="3"/>
  <c r="S55" i="3" s="1"/>
  <c r="AZ78" i="3"/>
  <c r="T33" i="3"/>
  <c r="U73" i="3"/>
  <c r="T71" i="3"/>
  <c r="S71" i="3" s="1"/>
  <c r="AY80" i="3"/>
  <c r="U9" i="3"/>
  <c r="T62" i="3"/>
  <c r="U23" i="3"/>
  <c r="U34" i="3"/>
  <c r="T36" i="3"/>
  <c r="U37" i="3"/>
  <c r="AZ75" i="3"/>
  <c r="T41" i="3"/>
  <c r="T74" i="3"/>
  <c r="T28" i="3"/>
  <c r="T64" i="3"/>
  <c r="AY75" i="3"/>
  <c r="AZ73" i="3"/>
  <c r="T18" i="3"/>
  <c r="T60" i="3"/>
  <c r="S60" i="3" s="1"/>
  <c r="T27" i="3"/>
  <c r="U74" i="3"/>
  <c r="T47" i="3"/>
  <c r="U71" i="3"/>
  <c r="T7" i="3"/>
  <c r="S7" i="3" s="1"/>
  <c r="U41" i="3"/>
  <c r="AY74" i="3"/>
  <c r="AZ84" i="3"/>
  <c r="T12" i="3"/>
  <c r="U15" i="3"/>
  <c r="U32" i="3"/>
  <c r="U63" i="3"/>
  <c r="AZ83" i="3"/>
  <c r="T30" i="3"/>
  <c r="U50" i="3"/>
  <c r="S50" i="3" s="1"/>
  <c r="T19" i="3"/>
  <c r="U58" i="3"/>
  <c r="U27" i="3"/>
  <c r="T79" i="3"/>
  <c r="U43" i="3"/>
  <c r="U44" i="3"/>
  <c r="U51" i="3"/>
  <c r="S51" i="3" s="1"/>
  <c r="T13" i="3"/>
  <c r="S13" i="3" s="1"/>
  <c r="U68" i="3"/>
  <c r="T23" i="3"/>
  <c r="U40" i="3"/>
  <c r="AZ79" i="3"/>
  <c r="T40" i="3"/>
  <c r="S40" i="3" s="1"/>
  <c r="AY76" i="3"/>
  <c r="T24" i="3"/>
  <c r="U38" i="3"/>
  <c r="U62" i="3"/>
  <c r="T5" i="3"/>
  <c r="T17" i="3"/>
  <c r="S17" i="3" s="1"/>
  <c r="U76" i="3"/>
  <c r="T15" i="3"/>
  <c r="S15" i="3" s="1"/>
  <c r="U29" i="3"/>
  <c r="U79" i="3"/>
  <c r="T11" i="3"/>
  <c r="S11" i="3" s="1"/>
  <c r="T82" i="3"/>
  <c r="U14" i="3"/>
  <c r="U77" i="3"/>
  <c r="U84" i="3"/>
  <c r="T34" i="3"/>
  <c r="U83" i="3"/>
  <c r="T16" i="3"/>
  <c r="U22" i="3"/>
  <c r="U33" i="3"/>
  <c r="U72" i="3"/>
  <c r="AY77" i="3"/>
  <c r="AZ81" i="3"/>
  <c r="U61" i="3"/>
  <c r="U13" i="3"/>
  <c r="U81" i="3"/>
  <c r="T35" i="3"/>
  <c r="S35" i="3" s="1"/>
  <c r="AZ80" i="3"/>
  <c r="U28" i="3"/>
  <c r="U10" i="3"/>
  <c r="T31" i="3"/>
  <c r="U24" i="3"/>
  <c r="T77" i="3"/>
  <c r="S77" i="3" s="1"/>
  <c r="T84" i="3"/>
  <c r="S84" i="3" s="1"/>
  <c r="U82" i="3"/>
  <c r="U25" i="3"/>
  <c r="T42" i="3"/>
  <c r="AY81" i="3"/>
  <c r="U47" i="3"/>
  <c r="U56" i="3"/>
  <c r="S56" i="3" s="1"/>
  <c r="T69" i="3"/>
  <c r="S69" i="3" s="1"/>
  <c r="U31" i="3"/>
  <c r="T68" i="3"/>
  <c r="U57" i="3"/>
  <c r="S57" i="3" s="1"/>
  <c r="U16" i="3"/>
  <c r="T14" i="3"/>
  <c r="U21" i="3"/>
  <c r="T48" i="3"/>
  <c r="U42" i="3"/>
  <c r="U17" i="3"/>
  <c r="U54" i="3"/>
  <c r="S54" i="3" s="1"/>
  <c r="T61" i="3"/>
  <c r="U36" i="3"/>
  <c r="U46" i="3"/>
  <c r="AY79" i="3"/>
  <c r="AZ82" i="3"/>
  <c r="T80" i="3"/>
  <c r="S80" i="3" s="1"/>
  <c r="T6" i="3"/>
  <c r="S6" i="3" s="1"/>
  <c r="AZ77" i="3"/>
  <c r="T59" i="3"/>
  <c r="T49" i="3"/>
  <c r="S49" i="3" s="1"/>
  <c r="AS83" i="3"/>
  <c r="AS84" i="3"/>
  <c r="AS75" i="3"/>
  <c r="AS34" i="3"/>
  <c r="AT84" i="3"/>
  <c r="AT78" i="3"/>
  <c r="AS48" i="3"/>
  <c r="AS78" i="3"/>
  <c r="AS71" i="3"/>
  <c r="AS63" i="3"/>
  <c r="AS40" i="3"/>
  <c r="AS18" i="3"/>
  <c r="AS66" i="3"/>
  <c r="AS27" i="3"/>
  <c r="AT74" i="3"/>
  <c r="AS74" i="3"/>
  <c r="AS33" i="3"/>
  <c r="AS31" i="3"/>
  <c r="AS45" i="3"/>
  <c r="AS35" i="3"/>
  <c r="AS16" i="3"/>
  <c r="AS14" i="3"/>
  <c r="AS81" i="3"/>
  <c r="AS30" i="3"/>
  <c r="AT75" i="3"/>
  <c r="AS54" i="3"/>
  <c r="AS59" i="3"/>
  <c r="AS57" i="3"/>
  <c r="AS55" i="3"/>
  <c r="AT73" i="3"/>
  <c r="AV73" i="3" s="1"/>
  <c r="AW73" i="3" s="1"/>
  <c r="AS42" i="3"/>
  <c r="AS10" i="3"/>
  <c r="AT80" i="3"/>
  <c r="AS39" i="3"/>
  <c r="AS65" i="3"/>
  <c r="AS26" i="3"/>
  <c r="AS58" i="3"/>
  <c r="AS82" i="3"/>
  <c r="AT83" i="3"/>
  <c r="AS70" i="3"/>
  <c r="AS67" i="3"/>
  <c r="AS69" i="3"/>
  <c r="AS50" i="3"/>
  <c r="AT79" i="3"/>
  <c r="AS73" i="3"/>
  <c r="AS52" i="3"/>
  <c r="AS37" i="3"/>
  <c r="AT82" i="3"/>
  <c r="AS17" i="3"/>
  <c r="AS62" i="3"/>
  <c r="AT77" i="3"/>
  <c r="AS11" i="3"/>
  <c r="AS13" i="3"/>
  <c r="AS28" i="3"/>
  <c r="AS23" i="3"/>
  <c r="AS20" i="3"/>
  <c r="AS8" i="3"/>
  <c r="AS72" i="3"/>
  <c r="AS9" i="3"/>
  <c r="AS79" i="3"/>
  <c r="AS60" i="3"/>
  <c r="AT81" i="3"/>
  <c r="AS49" i="3"/>
  <c r="AS44" i="3"/>
  <c r="AS36" i="3"/>
  <c r="AS38" i="3"/>
  <c r="AS53" i="3"/>
  <c r="AS80" i="3"/>
  <c r="AS32" i="3"/>
  <c r="AS76" i="3"/>
  <c r="AS43" i="3"/>
  <c r="AS5" i="3"/>
  <c r="AS77" i="3"/>
  <c r="AT76" i="3"/>
  <c r="AS47" i="3"/>
  <c r="AS22" i="3"/>
  <c r="AS19" i="3"/>
  <c r="AS46" i="3"/>
  <c r="AS29" i="3"/>
  <c r="AS64" i="3"/>
  <c r="AS68" i="3"/>
  <c r="AS15" i="3"/>
  <c r="AS51" i="3"/>
  <c r="AS6" i="3"/>
  <c r="AS41" i="3"/>
  <c r="AS7" i="3"/>
  <c r="AS21" i="3"/>
  <c r="AS61" i="3"/>
  <c r="AS12" i="3"/>
  <c r="AS24" i="3"/>
  <c r="AS25" i="3"/>
  <c r="AS56" i="3"/>
  <c r="S23" i="3" l="1"/>
  <c r="S12" i="3"/>
  <c r="S41" i="3"/>
  <c r="S9" i="3"/>
  <c r="S73" i="3"/>
  <c r="AH73" i="3" s="1"/>
  <c r="S59" i="3"/>
  <c r="AH59" i="3" s="1"/>
  <c r="S82" i="3"/>
  <c r="AG82" i="3" s="1"/>
  <c r="S29" i="3"/>
  <c r="AH29" i="3" s="1"/>
  <c r="S70" i="3"/>
  <c r="AH70" i="3" s="1"/>
  <c r="S63" i="3"/>
  <c r="S19" i="3"/>
  <c r="X19" i="3" s="1"/>
  <c r="S61" i="3"/>
  <c r="X61" i="3" s="1"/>
  <c r="S39" i="3"/>
  <c r="AG39" i="3" s="1"/>
  <c r="S36" i="3"/>
  <c r="AH36" i="3" s="1"/>
  <c r="S65" i="3"/>
  <c r="X65" i="3" s="1"/>
  <c r="S75" i="3"/>
  <c r="AG75" i="3" s="1"/>
  <c r="S78" i="3"/>
  <c r="AH78" i="3" s="1"/>
  <c r="S8" i="3"/>
  <c r="AH8" i="3" s="1"/>
  <c r="AF49" i="3"/>
  <c r="AH49" i="3"/>
  <c r="BA49" i="3"/>
  <c r="X49" i="3"/>
  <c r="AG49" i="3"/>
  <c r="G49" i="3"/>
  <c r="X23" i="3"/>
  <c r="AH23" i="3"/>
  <c r="AG23" i="3"/>
  <c r="AF23" i="3"/>
  <c r="BA23" i="3"/>
  <c r="G23" i="3"/>
  <c r="BA12" i="3"/>
  <c r="X12" i="3"/>
  <c r="G12" i="3"/>
  <c r="AF12" i="3"/>
  <c r="AH12" i="3"/>
  <c r="AG12" i="3"/>
  <c r="X41" i="3"/>
  <c r="AH41" i="3"/>
  <c r="AG41" i="3"/>
  <c r="AF41" i="3"/>
  <c r="BA41" i="3"/>
  <c r="G41" i="3"/>
  <c r="G9" i="3"/>
  <c r="AG9" i="3"/>
  <c r="X9" i="3"/>
  <c r="AF9" i="3"/>
  <c r="AH9" i="3"/>
  <c r="BA9" i="3"/>
  <c r="AF52" i="3"/>
  <c r="BA52" i="3"/>
  <c r="AG52" i="3"/>
  <c r="G52" i="3"/>
  <c r="AH52" i="3"/>
  <c r="X52" i="3"/>
  <c r="G73" i="3"/>
  <c r="BA73" i="3"/>
  <c r="AG73" i="3"/>
  <c r="AK73" i="3"/>
  <c r="AL73" i="3" s="1"/>
  <c r="W73" i="3"/>
  <c r="X73" i="3"/>
  <c r="AF73" i="3"/>
  <c r="AH57" i="3"/>
  <c r="AG57" i="3"/>
  <c r="AF57" i="3"/>
  <c r="X57" i="3"/>
  <c r="G57" i="3"/>
  <c r="BA57" i="3"/>
  <c r="G82" i="3"/>
  <c r="X82" i="3"/>
  <c r="AH82" i="3"/>
  <c r="AH20" i="3"/>
  <c r="AF20" i="3"/>
  <c r="X20" i="3"/>
  <c r="G20" i="3"/>
  <c r="AG20" i="3"/>
  <c r="BA20" i="3"/>
  <c r="BA29" i="3"/>
  <c r="G29" i="3"/>
  <c r="X29" i="3"/>
  <c r="S68" i="3"/>
  <c r="AF35" i="3"/>
  <c r="AG35" i="3"/>
  <c r="X35" i="3"/>
  <c r="AH35" i="3"/>
  <c r="BA35" i="3"/>
  <c r="G35" i="3"/>
  <c r="AF11" i="3"/>
  <c r="AG11" i="3"/>
  <c r="X11" i="3"/>
  <c r="AH11" i="3"/>
  <c r="BA11" i="3"/>
  <c r="G11" i="3"/>
  <c r="AH13" i="3"/>
  <c r="AF13" i="3"/>
  <c r="X13" i="3"/>
  <c r="AG13" i="3"/>
  <c r="BA13" i="3"/>
  <c r="G13" i="3"/>
  <c r="AF53" i="3"/>
  <c r="AG53" i="3"/>
  <c r="X53" i="3"/>
  <c r="AH53" i="3"/>
  <c r="G53" i="3"/>
  <c r="BA53" i="3"/>
  <c r="BA6" i="3"/>
  <c r="G6" i="3"/>
  <c r="AG6" i="3"/>
  <c r="AH6" i="3"/>
  <c r="X6" i="3"/>
  <c r="AF6" i="3"/>
  <c r="AH51" i="3"/>
  <c r="BA51" i="3"/>
  <c r="AF51" i="3"/>
  <c r="AG51" i="3"/>
  <c r="X51" i="3"/>
  <c r="G51" i="3"/>
  <c r="BA26" i="3"/>
  <c r="AG26" i="3"/>
  <c r="AH26" i="3"/>
  <c r="X26" i="3"/>
  <c r="G26" i="3"/>
  <c r="AF26" i="3"/>
  <c r="AF32" i="3"/>
  <c r="AG32" i="3"/>
  <c r="X32" i="3"/>
  <c r="G32" i="3"/>
  <c r="AH32" i="3"/>
  <c r="BA32" i="3"/>
  <c r="AG65" i="3"/>
  <c r="G65" i="3"/>
  <c r="AF65" i="3"/>
  <c r="AH65" i="3"/>
  <c r="BA80" i="3"/>
  <c r="G80" i="3"/>
  <c r="X80" i="3"/>
  <c r="AH80" i="3"/>
  <c r="AF80" i="3"/>
  <c r="AG80" i="3"/>
  <c r="BA69" i="3"/>
  <c r="X69" i="3"/>
  <c r="AF69" i="3"/>
  <c r="AH69" i="3"/>
  <c r="AG69" i="3"/>
  <c r="G69" i="3"/>
  <c r="BA7" i="3"/>
  <c r="G7" i="3"/>
  <c r="AG7" i="3"/>
  <c r="AF7" i="3"/>
  <c r="X7" i="3"/>
  <c r="AH7" i="3"/>
  <c r="AH75" i="3"/>
  <c r="AF75" i="3"/>
  <c r="AG78" i="3"/>
  <c r="AF78" i="3"/>
  <c r="X78" i="3"/>
  <c r="BA78" i="3"/>
  <c r="G78" i="3"/>
  <c r="S66" i="3"/>
  <c r="S81" i="3"/>
  <c r="AH56" i="3"/>
  <c r="G56" i="3"/>
  <c r="BA56" i="3"/>
  <c r="AG56" i="3"/>
  <c r="X56" i="3"/>
  <c r="AF56" i="3"/>
  <c r="AF15" i="3"/>
  <c r="X15" i="3"/>
  <c r="AG15" i="3"/>
  <c r="AH15" i="3"/>
  <c r="G15" i="3"/>
  <c r="BA15" i="3"/>
  <c r="S79" i="3"/>
  <c r="S47" i="3"/>
  <c r="S62" i="3"/>
  <c r="G17" i="3"/>
  <c r="AH17" i="3"/>
  <c r="AF17" i="3"/>
  <c r="AG17" i="3"/>
  <c r="X17" i="3"/>
  <c r="BA17" i="3"/>
  <c r="S83" i="3"/>
  <c r="S42" i="3"/>
  <c r="S5" i="3"/>
  <c r="S27" i="3"/>
  <c r="BA10" i="3"/>
  <c r="AF10" i="3"/>
  <c r="X10" i="3"/>
  <c r="AG10" i="3"/>
  <c r="G10" i="3"/>
  <c r="AH10" i="3"/>
  <c r="G19" i="3"/>
  <c r="AG19" i="3"/>
  <c r="BA19" i="3"/>
  <c r="AF19" i="3"/>
  <c r="AH19" i="3"/>
  <c r="BA60" i="3"/>
  <c r="AG60" i="3"/>
  <c r="G60" i="3"/>
  <c r="X60" i="3"/>
  <c r="AF60" i="3"/>
  <c r="AH60" i="3"/>
  <c r="X71" i="3"/>
  <c r="AF71" i="3"/>
  <c r="G71" i="3"/>
  <c r="AH71" i="3"/>
  <c r="AG71" i="3"/>
  <c r="BA71" i="3"/>
  <c r="BA45" i="3"/>
  <c r="G45" i="3"/>
  <c r="AH45" i="3"/>
  <c r="AF45" i="3"/>
  <c r="AG45" i="3"/>
  <c r="X45" i="3"/>
  <c r="BA22" i="3"/>
  <c r="AF22" i="3"/>
  <c r="AG22" i="3"/>
  <c r="X22" i="3"/>
  <c r="AH22" i="3"/>
  <c r="G22" i="3"/>
  <c r="AG38" i="3"/>
  <c r="BA38" i="3"/>
  <c r="AH38" i="3"/>
  <c r="AF38" i="3"/>
  <c r="X38" i="3"/>
  <c r="G38" i="3"/>
  <c r="AX73" i="3"/>
  <c r="AU73" i="3"/>
  <c r="AH54" i="3"/>
  <c r="X54" i="3"/>
  <c r="BA54" i="3"/>
  <c r="AG54" i="3"/>
  <c r="G54" i="3"/>
  <c r="AF54" i="3"/>
  <c r="AF50" i="3"/>
  <c r="BA50" i="3"/>
  <c r="X50" i="3"/>
  <c r="G50" i="3"/>
  <c r="AG50" i="3"/>
  <c r="AH50" i="3"/>
  <c r="S18" i="3"/>
  <c r="S58" i="3"/>
  <c r="AG84" i="3"/>
  <c r="AF84" i="3"/>
  <c r="BA84" i="3"/>
  <c r="G84" i="3"/>
  <c r="X84" i="3"/>
  <c r="AH84" i="3"/>
  <c r="S16" i="3"/>
  <c r="S24" i="3"/>
  <c r="S30" i="3"/>
  <c r="S33" i="3"/>
  <c r="S72" i="3"/>
  <c r="AF77" i="3"/>
  <c r="AH77" i="3"/>
  <c r="X77" i="3"/>
  <c r="AG77" i="3"/>
  <c r="BA77" i="3"/>
  <c r="G77" i="3"/>
  <c r="BA70" i="3"/>
  <c r="X63" i="3"/>
  <c r="AH63" i="3"/>
  <c r="AG63" i="3"/>
  <c r="AF63" i="3"/>
  <c r="BA63" i="3"/>
  <c r="G63" i="3"/>
  <c r="S44" i="3"/>
  <c r="S48" i="3"/>
  <c r="S34" i="3"/>
  <c r="X40" i="3"/>
  <c r="AF40" i="3"/>
  <c r="AH40" i="3"/>
  <c r="AG40" i="3"/>
  <c r="BA40" i="3"/>
  <c r="G40" i="3"/>
  <c r="S64" i="3"/>
  <c r="AH55" i="3"/>
  <c r="G55" i="3"/>
  <c r="X55" i="3"/>
  <c r="BA55" i="3"/>
  <c r="AF55" i="3"/>
  <c r="AG55" i="3"/>
  <c r="S76" i="3"/>
  <c r="S67" i="3"/>
  <c r="S31" i="3"/>
  <c r="S28" i="3"/>
  <c r="S37" i="3"/>
  <c r="S25" i="3"/>
  <c r="S21" i="3"/>
  <c r="S14" i="3"/>
  <c r="S74" i="3"/>
  <c r="S46" i="3"/>
  <c r="S43" i="3"/>
  <c r="X70" i="3" l="1"/>
  <c r="AF82" i="3"/>
  <c r="AG59" i="3"/>
  <c r="BA61" i="3"/>
  <c r="AG36" i="3"/>
  <c r="AF70" i="3"/>
  <c r="AG29" i="3"/>
  <c r="BA82" i="3"/>
  <c r="X59" i="3"/>
  <c r="AF29" i="3"/>
  <c r="G70" i="3"/>
  <c r="G61" i="3"/>
  <c r="AH39" i="3"/>
  <c r="BA59" i="3"/>
  <c r="X36" i="3"/>
  <c r="Z36" i="3" s="1"/>
  <c r="AA36" i="3" s="1"/>
  <c r="AH61" i="3"/>
  <c r="AG61" i="3"/>
  <c r="G36" i="3"/>
  <c r="AF61" i="3"/>
  <c r="AG70" i="3"/>
  <c r="BA39" i="3"/>
  <c r="AF59" i="3"/>
  <c r="AF36" i="3"/>
  <c r="G59" i="3"/>
  <c r="X39" i="3"/>
  <c r="BA36" i="3"/>
  <c r="G75" i="3"/>
  <c r="BA75" i="3"/>
  <c r="AF39" i="3"/>
  <c r="G8" i="3"/>
  <c r="X75" i="3"/>
  <c r="Z75" i="3" s="1"/>
  <c r="AA75" i="3" s="1"/>
  <c r="G39" i="3"/>
  <c r="AF8" i="3"/>
  <c r="BA8" i="3"/>
  <c r="X8" i="3"/>
  <c r="AG8" i="3"/>
  <c r="BA65" i="3"/>
  <c r="AG37" i="3"/>
  <c r="AH37" i="3"/>
  <c r="BA37" i="3"/>
  <c r="G37" i="3"/>
  <c r="X37" i="3"/>
  <c r="AF37" i="3"/>
  <c r="BA30" i="3"/>
  <c r="AG30" i="3"/>
  <c r="AH30" i="3"/>
  <c r="AF30" i="3"/>
  <c r="X30" i="3"/>
  <c r="G30" i="3"/>
  <c r="AC50" i="3"/>
  <c r="Z50" i="3"/>
  <c r="AA50" i="3" s="1"/>
  <c r="AC13" i="3"/>
  <c r="Z13" i="3"/>
  <c r="AA13" i="3" s="1"/>
  <c r="AC12" i="3"/>
  <c r="Z12" i="3"/>
  <c r="AA12" i="3" s="1"/>
  <c r="BA28" i="3"/>
  <c r="G28" i="3"/>
  <c r="AF28" i="3"/>
  <c r="AH28" i="3"/>
  <c r="AG28" i="3"/>
  <c r="X28" i="3"/>
  <c r="AH24" i="3"/>
  <c r="G24" i="3"/>
  <c r="AG24" i="3"/>
  <c r="BA24" i="3"/>
  <c r="AF24" i="3"/>
  <c r="X24" i="3"/>
  <c r="Z69" i="3"/>
  <c r="AA69" i="3" s="1"/>
  <c r="AC69" i="3"/>
  <c r="AF68" i="3"/>
  <c r="AG68" i="3"/>
  <c r="X68" i="3"/>
  <c r="AH68" i="3"/>
  <c r="BA68" i="3"/>
  <c r="G68" i="3"/>
  <c r="AJ73" i="3"/>
  <c r="AM73" i="3"/>
  <c r="AC9" i="3"/>
  <c r="Z9" i="3"/>
  <c r="AA9" i="3" s="1"/>
  <c r="X16" i="3"/>
  <c r="AF16" i="3"/>
  <c r="AH16" i="3"/>
  <c r="AG16" i="3"/>
  <c r="BA16" i="3"/>
  <c r="G16" i="3"/>
  <c r="AC70" i="3"/>
  <c r="Z70" i="3"/>
  <c r="AA70" i="3" s="1"/>
  <c r="Z10" i="3"/>
  <c r="AA10" i="3" s="1"/>
  <c r="AC10" i="3"/>
  <c r="X62" i="3"/>
  <c r="AG62" i="3"/>
  <c r="AH62" i="3"/>
  <c r="G62" i="3"/>
  <c r="BA62" i="3"/>
  <c r="AF62" i="3"/>
  <c r="AH76" i="3"/>
  <c r="X76" i="3"/>
  <c r="AF76" i="3"/>
  <c r="AG76" i="3"/>
  <c r="BA76" i="3"/>
  <c r="G76" i="3"/>
  <c r="BA34" i="3"/>
  <c r="AG34" i="3"/>
  <c r="G34" i="3"/>
  <c r="AF34" i="3"/>
  <c r="X34" i="3"/>
  <c r="AH34" i="3"/>
  <c r="AC84" i="3"/>
  <c r="Z84" i="3"/>
  <c r="AA84" i="3" s="1"/>
  <c r="AC19" i="3"/>
  <c r="Z19" i="3"/>
  <c r="AA19" i="3" s="1"/>
  <c r="AF79" i="3"/>
  <c r="AG79" i="3"/>
  <c r="AH79" i="3"/>
  <c r="X79" i="3"/>
  <c r="BA79" i="3"/>
  <c r="G79" i="3"/>
  <c r="AF81" i="3"/>
  <c r="AH81" i="3"/>
  <c r="AG81" i="3"/>
  <c r="X81" i="3"/>
  <c r="G81" i="3"/>
  <c r="BA81" i="3"/>
  <c r="AC32" i="3"/>
  <c r="Z32" i="3"/>
  <c r="AA32" i="3" s="1"/>
  <c r="AC29" i="3"/>
  <c r="Z29" i="3"/>
  <c r="AA29" i="3" s="1"/>
  <c r="BA48" i="3"/>
  <c r="G48" i="3"/>
  <c r="X48" i="3"/>
  <c r="AG48" i="3"/>
  <c r="AF48" i="3"/>
  <c r="AH48" i="3"/>
  <c r="AH27" i="3"/>
  <c r="AF27" i="3"/>
  <c r="X27" i="3"/>
  <c r="AG27" i="3"/>
  <c r="BA27" i="3"/>
  <c r="G27" i="3"/>
  <c r="AH66" i="3"/>
  <c r="AF66" i="3"/>
  <c r="BA66" i="3"/>
  <c r="G66" i="3"/>
  <c r="AG66" i="3"/>
  <c r="X66" i="3"/>
  <c r="AC8" i="3"/>
  <c r="Z8" i="3"/>
  <c r="AA8" i="3" s="1"/>
  <c r="BA44" i="3"/>
  <c r="G44" i="3"/>
  <c r="AH44" i="3"/>
  <c r="AF44" i="3"/>
  <c r="AG44" i="3"/>
  <c r="X44" i="3"/>
  <c r="AC22" i="3"/>
  <c r="Z22" i="3"/>
  <c r="AA22" i="3" s="1"/>
  <c r="AH5" i="3"/>
  <c r="X5" i="3"/>
  <c r="AF5" i="3"/>
  <c r="AG5" i="3"/>
  <c r="BA5" i="3"/>
  <c r="G5" i="3"/>
  <c r="Z7" i="3"/>
  <c r="AA7" i="3" s="1"/>
  <c r="AC7" i="3"/>
  <c r="Z80" i="3"/>
  <c r="AA80" i="3" s="1"/>
  <c r="AC80" i="3"/>
  <c r="AC11" i="3"/>
  <c r="Z11" i="3"/>
  <c r="AA11" i="3" s="1"/>
  <c r="AC39" i="3"/>
  <c r="Z39" i="3"/>
  <c r="AA39" i="3" s="1"/>
  <c r="Z52" i="3"/>
  <c r="AA52" i="3" s="1"/>
  <c r="AC52" i="3"/>
  <c r="AC54" i="3"/>
  <c r="Z54" i="3"/>
  <c r="AA54" i="3" s="1"/>
  <c r="Z71" i="3"/>
  <c r="AA71" i="3" s="1"/>
  <c r="AC71" i="3"/>
  <c r="AG42" i="3"/>
  <c r="AF42" i="3"/>
  <c r="X42" i="3"/>
  <c r="AH42" i="3"/>
  <c r="BA42" i="3"/>
  <c r="G42" i="3"/>
  <c r="Z51" i="3"/>
  <c r="AA51" i="3" s="1"/>
  <c r="AC51" i="3"/>
  <c r="Z23" i="3"/>
  <c r="AA23" i="3" s="1"/>
  <c r="AC23" i="3"/>
  <c r="Z57" i="3"/>
  <c r="AA57" i="3" s="1"/>
  <c r="AC57" i="3"/>
  <c r="AF67" i="3"/>
  <c r="G67" i="3"/>
  <c r="AH67" i="3"/>
  <c r="X67" i="3"/>
  <c r="AG67" i="3"/>
  <c r="BA67" i="3"/>
  <c r="Z61" i="3"/>
  <c r="AA61" i="3" s="1"/>
  <c r="AC61" i="3"/>
  <c r="AC53" i="3"/>
  <c r="Z53" i="3"/>
  <c r="AA53" i="3" s="1"/>
  <c r="AF46" i="3"/>
  <c r="G46" i="3"/>
  <c r="X46" i="3"/>
  <c r="AG46" i="3"/>
  <c r="BA46" i="3"/>
  <c r="AH46" i="3"/>
  <c r="Z55" i="3"/>
  <c r="AA55" i="3" s="1"/>
  <c r="AC55" i="3"/>
  <c r="AC77" i="3"/>
  <c r="Z77" i="3"/>
  <c r="AA77" i="3" s="1"/>
  <c r="AF58" i="3"/>
  <c r="AG58" i="3"/>
  <c r="X58" i="3"/>
  <c r="AH58" i="3"/>
  <c r="BA58" i="3"/>
  <c r="G58" i="3"/>
  <c r="AG83" i="3"/>
  <c r="AH83" i="3"/>
  <c r="X83" i="3"/>
  <c r="AF83" i="3"/>
  <c r="BA83" i="3"/>
  <c r="G83" i="3"/>
  <c r="Z41" i="3"/>
  <c r="AA41" i="3" s="1"/>
  <c r="AC41" i="3"/>
  <c r="AC40" i="3"/>
  <c r="Z40" i="3"/>
  <c r="AA40" i="3" s="1"/>
  <c r="AF47" i="3"/>
  <c r="AH47" i="3"/>
  <c r="AG47" i="3"/>
  <c r="X47" i="3"/>
  <c r="BA47" i="3"/>
  <c r="G47" i="3"/>
  <c r="G74" i="3"/>
  <c r="AH74" i="3"/>
  <c r="AG74" i="3"/>
  <c r="X74" i="3"/>
  <c r="AF74" i="3"/>
  <c r="BA74" i="3"/>
  <c r="X18" i="3"/>
  <c r="AG18" i="3"/>
  <c r="G18" i="3"/>
  <c r="AH18" i="3"/>
  <c r="AF18" i="3"/>
  <c r="BA18" i="3"/>
  <c r="AC15" i="3"/>
  <c r="Z15" i="3"/>
  <c r="AA15" i="3" s="1"/>
  <c r="AC78" i="3"/>
  <c r="Z78" i="3"/>
  <c r="AA78" i="3" s="1"/>
  <c r="Z26" i="3"/>
  <c r="AA26" i="3" s="1"/>
  <c r="AC26" i="3"/>
  <c r="BA43" i="3"/>
  <c r="AG43" i="3"/>
  <c r="G43" i="3"/>
  <c r="AF43" i="3"/>
  <c r="AH43" i="3"/>
  <c r="X43" i="3"/>
  <c r="AH14" i="3"/>
  <c r="AF14" i="3"/>
  <c r="X14" i="3"/>
  <c r="AG14" i="3"/>
  <c r="G14" i="3"/>
  <c r="BA14" i="3"/>
  <c r="Z45" i="3"/>
  <c r="AA45" i="3" s="1"/>
  <c r="AC45" i="3"/>
  <c r="AC60" i="3"/>
  <c r="Z60" i="3"/>
  <c r="AA60" i="3" s="1"/>
  <c r="Z82" i="3"/>
  <c r="AA82" i="3" s="1"/>
  <c r="AC82" i="3"/>
  <c r="AC59" i="3"/>
  <c r="Z59" i="3"/>
  <c r="AA59" i="3" s="1"/>
  <c r="AC49" i="3"/>
  <c r="Z49" i="3"/>
  <c r="AA49" i="3" s="1"/>
  <c r="G31" i="3"/>
  <c r="AH31" i="3"/>
  <c r="BA31" i="3"/>
  <c r="AG31" i="3"/>
  <c r="AF31" i="3"/>
  <c r="X31" i="3"/>
  <c r="AH64" i="3"/>
  <c r="X64" i="3"/>
  <c r="BA64" i="3"/>
  <c r="G64" i="3"/>
  <c r="AF64" i="3"/>
  <c r="AG64" i="3"/>
  <c r="AC17" i="3"/>
  <c r="Z17" i="3"/>
  <c r="AA17" i="3" s="1"/>
  <c r="AC65" i="3"/>
  <c r="Z65" i="3"/>
  <c r="AA65" i="3" s="1"/>
  <c r="X21" i="3"/>
  <c r="G21" i="3"/>
  <c r="AF21" i="3"/>
  <c r="BA21" i="3"/>
  <c r="AH21" i="3"/>
  <c r="AG21" i="3"/>
  <c r="AC63" i="3"/>
  <c r="Z63" i="3"/>
  <c r="AA63" i="3" s="1"/>
  <c r="AG72" i="3"/>
  <c r="AH72" i="3"/>
  <c r="AF72" i="3"/>
  <c r="X72" i="3"/>
  <c r="BA72" i="3"/>
  <c r="G72" i="3"/>
  <c r="AC35" i="3"/>
  <c r="Z35" i="3"/>
  <c r="AA35" i="3" s="1"/>
  <c r="Z20" i="3"/>
  <c r="AA20" i="3" s="1"/>
  <c r="AC20" i="3"/>
  <c r="AF25" i="3"/>
  <c r="AH25" i="3"/>
  <c r="AG25" i="3"/>
  <c r="G25" i="3"/>
  <c r="X25" i="3"/>
  <c r="BA25" i="3"/>
  <c r="AH33" i="3"/>
  <c r="G33" i="3"/>
  <c r="AG33" i="3"/>
  <c r="X33" i="3"/>
  <c r="BA33" i="3"/>
  <c r="AF33" i="3"/>
  <c r="AC38" i="3"/>
  <c r="Z38" i="3"/>
  <c r="AA38" i="3" s="1"/>
  <c r="Z56" i="3"/>
  <c r="AA56" i="3" s="1"/>
  <c r="AC56" i="3"/>
  <c r="Z6" i="3"/>
  <c r="AA6" i="3" s="1"/>
  <c r="AC6" i="3"/>
  <c r="AC73" i="3"/>
  <c r="AD73" i="3" s="1"/>
  <c r="Z73" i="3"/>
  <c r="AA73" i="3" s="1"/>
  <c r="AC36" i="3" l="1"/>
  <c r="AC75" i="3"/>
  <c r="AD77" i="3"/>
  <c r="V77" i="3"/>
  <c r="AD60" i="3"/>
  <c r="V60" i="3"/>
  <c r="AC67" i="3"/>
  <c r="Z67" i="3"/>
  <c r="AA67" i="3" s="1"/>
  <c r="V8" i="3"/>
  <c r="AD8" i="3"/>
  <c r="Z62" i="3"/>
  <c r="AA62" i="3" s="1"/>
  <c r="AC62" i="3"/>
  <c r="AD50" i="3"/>
  <c r="V50" i="3"/>
  <c r="V54" i="3"/>
  <c r="AD54" i="3"/>
  <c r="AD70" i="3"/>
  <c r="V70" i="3"/>
  <c r="V52" i="3"/>
  <c r="AD52" i="3"/>
  <c r="V26" i="3"/>
  <c r="AD26" i="3"/>
  <c r="AC48" i="3"/>
  <c r="Z48" i="3"/>
  <c r="AA48" i="3" s="1"/>
  <c r="Z21" i="3"/>
  <c r="AA21" i="3" s="1"/>
  <c r="AC21" i="3"/>
  <c r="V15" i="3"/>
  <c r="AD15" i="3"/>
  <c r="AC46" i="3"/>
  <c r="Z46" i="3"/>
  <c r="AA46" i="3" s="1"/>
  <c r="V23" i="3"/>
  <c r="AD23" i="3"/>
  <c r="AD63" i="3"/>
  <c r="V63" i="3"/>
  <c r="Z64" i="3"/>
  <c r="AA64" i="3" s="1"/>
  <c r="AC64" i="3"/>
  <c r="AC74" i="3"/>
  <c r="Z74" i="3"/>
  <c r="AA74" i="3" s="1"/>
  <c r="AD78" i="3"/>
  <c r="V78" i="3"/>
  <c r="Z14" i="3"/>
  <c r="AA14" i="3" s="1"/>
  <c r="AC14" i="3"/>
  <c r="AD22" i="3"/>
  <c r="V22" i="3"/>
  <c r="V29" i="3"/>
  <c r="AD29" i="3"/>
  <c r="AD69" i="3"/>
  <c r="V69" i="3"/>
  <c r="AC83" i="3"/>
  <c r="Z83" i="3"/>
  <c r="AA83" i="3" s="1"/>
  <c r="AC79" i="3"/>
  <c r="Z79" i="3"/>
  <c r="AA79" i="3" s="1"/>
  <c r="AC33" i="3"/>
  <c r="Z33" i="3"/>
  <c r="AA33" i="3" s="1"/>
  <c r="AD65" i="3"/>
  <c r="V65" i="3"/>
  <c r="AC47" i="3"/>
  <c r="Z47" i="3"/>
  <c r="AA47" i="3" s="1"/>
  <c r="V51" i="3"/>
  <c r="AD51" i="3"/>
  <c r="V39" i="3"/>
  <c r="AD39" i="3"/>
  <c r="Z76" i="3"/>
  <c r="AA76" i="3" s="1"/>
  <c r="AC76" i="3"/>
  <c r="Z66" i="3"/>
  <c r="AA66" i="3" s="1"/>
  <c r="AC66" i="3"/>
  <c r="AD20" i="3"/>
  <c r="V20" i="3"/>
  <c r="AC68" i="3"/>
  <c r="Z68" i="3"/>
  <c r="AA68" i="3" s="1"/>
  <c r="V32" i="3"/>
  <c r="AD32" i="3"/>
  <c r="Z28" i="3"/>
  <c r="AA28" i="3" s="1"/>
  <c r="AC28" i="3"/>
  <c r="AC5" i="3"/>
  <c r="Z5" i="3"/>
  <c r="AA5" i="3" s="1"/>
  <c r="AD35" i="3"/>
  <c r="V35" i="3"/>
  <c r="AD19" i="3"/>
  <c r="V19" i="3"/>
  <c r="AC72" i="3"/>
  <c r="Z72" i="3"/>
  <c r="AA72" i="3" s="1"/>
  <c r="AD17" i="3"/>
  <c r="V17" i="3"/>
  <c r="AD49" i="3"/>
  <c r="V49" i="3"/>
  <c r="V53" i="3"/>
  <c r="AD53" i="3"/>
  <c r="AD11" i="3"/>
  <c r="V11" i="3"/>
  <c r="AD75" i="3"/>
  <c r="V75" i="3"/>
  <c r="AD36" i="3"/>
  <c r="V36" i="3"/>
  <c r="AC37" i="3"/>
  <c r="Z37" i="3"/>
  <c r="AA37" i="3" s="1"/>
  <c r="Z30" i="3"/>
  <c r="AA30" i="3" s="1"/>
  <c r="AC30" i="3"/>
  <c r="AD38" i="3"/>
  <c r="V38" i="3"/>
  <c r="V57" i="3"/>
  <c r="AD57" i="3"/>
  <c r="Z43" i="3"/>
  <c r="AA43" i="3" s="1"/>
  <c r="AC43" i="3"/>
  <c r="V80" i="3"/>
  <c r="AD80" i="3"/>
  <c r="AD84" i="3"/>
  <c r="V84" i="3"/>
  <c r="Z16" i="3"/>
  <c r="AA16" i="3" s="1"/>
  <c r="AC16" i="3"/>
  <c r="AD45" i="3"/>
  <c r="V45" i="3"/>
  <c r="V71" i="3"/>
  <c r="AD71" i="3"/>
  <c r="Z31" i="3"/>
  <c r="AA31" i="3" s="1"/>
  <c r="AC31" i="3"/>
  <c r="Z58" i="3"/>
  <c r="AA58" i="3" s="1"/>
  <c r="AC58" i="3"/>
  <c r="V59" i="3"/>
  <c r="AD59" i="3"/>
  <c r="Z27" i="3"/>
  <c r="AA27" i="3" s="1"/>
  <c r="AC27" i="3"/>
  <c r="Z24" i="3"/>
  <c r="AA24" i="3" s="1"/>
  <c r="AC24" i="3"/>
  <c r="AD12" i="3"/>
  <c r="V12" i="3"/>
  <c r="V6" i="3"/>
  <c r="AD6" i="3"/>
  <c r="V55" i="3"/>
  <c r="AD55" i="3"/>
  <c r="V56" i="3"/>
  <c r="AD56" i="3"/>
  <c r="Z44" i="3"/>
  <c r="AA44" i="3" s="1"/>
  <c r="AC44" i="3"/>
  <c r="AD61" i="3"/>
  <c r="V61" i="3"/>
  <c r="AD82" i="3"/>
  <c r="V82" i="3"/>
  <c r="AC18" i="3"/>
  <c r="Z18" i="3"/>
  <c r="AA18" i="3" s="1"/>
  <c r="V40" i="3"/>
  <c r="AD40" i="3"/>
  <c r="V7" i="3"/>
  <c r="AD7" i="3"/>
  <c r="AC81" i="3"/>
  <c r="Z81" i="3"/>
  <c r="AA81" i="3" s="1"/>
  <c r="V9" i="3"/>
  <c r="AD9" i="3"/>
  <c r="AD10" i="3"/>
  <c r="V10" i="3"/>
  <c r="AC25" i="3"/>
  <c r="Z25" i="3"/>
  <c r="AA25" i="3" s="1"/>
  <c r="V41" i="3"/>
  <c r="AD41" i="3"/>
  <c r="Z42" i="3"/>
  <c r="AA42" i="3" s="1"/>
  <c r="AC42" i="3"/>
  <c r="Z34" i="3"/>
  <c r="AA34" i="3" s="1"/>
  <c r="AC34" i="3"/>
  <c r="V13" i="3"/>
  <c r="AD13" i="3"/>
  <c r="AT48" i="3"/>
  <c r="AI19" i="3" l="1"/>
  <c r="W19" i="3"/>
  <c r="AD30" i="3"/>
  <c r="V30" i="3"/>
  <c r="V66" i="3"/>
  <c r="AD66" i="3"/>
  <c r="AI63" i="3"/>
  <c r="W63" i="3"/>
  <c r="W70" i="3"/>
  <c r="AI70" i="3"/>
  <c r="V81" i="3"/>
  <c r="AD81" i="3"/>
  <c r="W55" i="3"/>
  <c r="AI55" i="3"/>
  <c r="W71" i="3"/>
  <c r="AI71" i="3"/>
  <c r="AD72" i="3"/>
  <c r="V72" i="3"/>
  <c r="V83" i="3"/>
  <c r="AD83" i="3"/>
  <c r="W13" i="3"/>
  <c r="AI13" i="3"/>
  <c r="W23" i="3"/>
  <c r="AI23" i="3"/>
  <c r="W12" i="3"/>
  <c r="AI12" i="3"/>
  <c r="AD18" i="3"/>
  <c r="V18" i="3"/>
  <c r="V5" i="3"/>
  <c r="AD5" i="3"/>
  <c r="W51" i="3"/>
  <c r="AI51" i="3"/>
  <c r="W15" i="3"/>
  <c r="AI15" i="3"/>
  <c r="AI6" i="3"/>
  <c r="W6" i="3"/>
  <c r="AI36" i="3"/>
  <c r="W36" i="3"/>
  <c r="W29" i="3"/>
  <c r="AI29" i="3"/>
  <c r="AD62" i="3"/>
  <c r="V62" i="3"/>
  <c r="W82" i="3"/>
  <c r="AI82" i="3"/>
  <c r="AD27" i="3"/>
  <c r="V27" i="3"/>
  <c r="AI11" i="3"/>
  <c r="W11" i="3"/>
  <c r="AD28" i="3"/>
  <c r="V28" i="3"/>
  <c r="V14" i="3"/>
  <c r="AD14" i="3"/>
  <c r="AD21" i="3"/>
  <c r="V21" i="3"/>
  <c r="V76" i="3"/>
  <c r="AD76" i="3"/>
  <c r="AD16" i="3"/>
  <c r="V16" i="3"/>
  <c r="W40" i="3"/>
  <c r="AI40" i="3"/>
  <c r="V46" i="3"/>
  <c r="AD46" i="3"/>
  <c r="W22" i="3"/>
  <c r="AI22" i="3"/>
  <c r="AI41" i="3"/>
  <c r="W41" i="3"/>
  <c r="W80" i="3"/>
  <c r="AI80" i="3"/>
  <c r="V47" i="3"/>
  <c r="AD47" i="3"/>
  <c r="W8" i="3"/>
  <c r="AI8" i="3"/>
  <c r="W69" i="3"/>
  <c r="AI69" i="3"/>
  <c r="AD37" i="3"/>
  <c r="V37" i="3"/>
  <c r="V34" i="3"/>
  <c r="AD34" i="3"/>
  <c r="W35" i="3"/>
  <c r="AI35" i="3"/>
  <c r="W50" i="3"/>
  <c r="AI50" i="3"/>
  <c r="AD24" i="3"/>
  <c r="V24" i="3"/>
  <c r="W61" i="3"/>
  <c r="AI61" i="3"/>
  <c r="AD43" i="3"/>
  <c r="V43" i="3"/>
  <c r="W65" i="3"/>
  <c r="AI65" i="3"/>
  <c r="W78" i="3"/>
  <c r="AI78" i="3"/>
  <c r="AI45" i="3"/>
  <c r="W45" i="3"/>
  <c r="V25" i="3"/>
  <c r="AD25" i="3"/>
  <c r="W59" i="3"/>
  <c r="AI59" i="3"/>
  <c r="W53" i="3"/>
  <c r="AI53" i="3"/>
  <c r="W32" i="3"/>
  <c r="AI32" i="3"/>
  <c r="AD48" i="3"/>
  <c r="V48" i="3"/>
  <c r="AD67" i="3"/>
  <c r="V67" i="3"/>
  <c r="AI54" i="3"/>
  <c r="W54" i="3"/>
  <c r="W39" i="3"/>
  <c r="AI39" i="3"/>
  <c r="W84" i="3"/>
  <c r="AI84" i="3"/>
  <c r="W10" i="3"/>
  <c r="AI10" i="3"/>
  <c r="AD44" i="3"/>
  <c r="V44" i="3"/>
  <c r="AD58" i="3"/>
  <c r="V58" i="3"/>
  <c r="W49" i="3"/>
  <c r="AI49" i="3"/>
  <c r="W60" i="3"/>
  <c r="AI60" i="3"/>
  <c r="W75" i="3"/>
  <c r="AI75" i="3"/>
  <c r="AI57" i="3"/>
  <c r="W57" i="3"/>
  <c r="V68" i="3"/>
  <c r="AD68" i="3"/>
  <c r="AD33" i="3"/>
  <c r="V33" i="3"/>
  <c r="AD74" i="3"/>
  <c r="V74" i="3"/>
  <c r="W26" i="3"/>
  <c r="AI26" i="3"/>
  <c r="W7" i="3"/>
  <c r="AI7" i="3"/>
  <c r="AD31" i="3"/>
  <c r="V31" i="3"/>
  <c r="AI38" i="3"/>
  <c r="W38" i="3"/>
  <c r="W17" i="3"/>
  <c r="AI17" i="3"/>
  <c r="W20" i="3"/>
  <c r="AI20" i="3"/>
  <c r="AD64" i="3"/>
  <c r="V64" i="3"/>
  <c r="W77" i="3"/>
  <c r="AI77" i="3"/>
  <c r="V42" i="3"/>
  <c r="AD42" i="3"/>
  <c r="W9" i="3"/>
  <c r="AI9" i="3"/>
  <c r="AI56" i="3"/>
  <c r="W56" i="3"/>
  <c r="V79" i="3"/>
  <c r="AD79" i="3"/>
  <c r="W52" i="3"/>
  <c r="AI52" i="3"/>
  <c r="AY70" i="3"/>
  <c r="AZ70" i="3"/>
  <c r="AZ69" i="3"/>
  <c r="AY69" i="3"/>
  <c r="AY68" i="3"/>
  <c r="AZ68" i="3"/>
  <c r="AY67" i="3"/>
  <c r="AZ67" i="3"/>
  <c r="AZ66" i="3"/>
  <c r="AY66" i="3"/>
  <c r="AY65" i="3"/>
  <c r="AZ65" i="3"/>
  <c r="AY64" i="3"/>
  <c r="AZ64" i="3"/>
  <c r="AY63" i="3"/>
  <c r="AZ63" i="3"/>
  <c r="AZ62" i="3"/>
  <c r="AY62" i="3"/>
  <c r="AY61" i="3"/>
  <c r="AZ61" i="3"/>
  <c r="AY60" i="3"/>
  <c r="AZ60" i="3"/>
  <c r="AY59" i="3"/>
  <c r="AZ59" i="3"/>
  <c r="AY58" i="3"/>
  <c r="AZ58" i="3"/>
  <c r="AZ57" i="3"/>
  <c r="AY57" i="3"/>
  <c r="AY56" i="3"/>
  <c r="AZ56" i="3"/>
  <c r="AY55" i="3"/>
  <c r="AZ55" i="3"/>
  <c r="AZ54" i="3"/>
  <c r="AY54" i="3"/>
  <c r="AY53" i="3"/>
  <c r="AZ53" i="3"/>
  <c r="AY52" i="3"/>
  <c r="AZ52" i="3"/>
  <c r="AZ51" i="3"/>
  <c r="AY51" i="3"/>
  <c r="AY50" i="3"/>
  <c r="AZ50" i="3"/>
  <c r="AY49" i="3"/>
  <c r="AZ49" i="3"/>
  <c r="AZ48" i="3"/>
  <c r="AY48" i="3"/>
  <c r="AY47" i="3"/>
  <c r="AZ47" i="3"/>
  <c r="AY46" i="3"/>
  <c r="AZ46" i="3"/>
  <c r="AY45" i="3"/>
  <c r="AZ45" i="3"/>
  <c r="AY44" i="3"/>
  <c r="AZ44" i="3"/>
  <c r="AZ43" i="3"/>
  <c r="AY43" i="3"/>
  <c r="AY42" i="3"/>
  <c r="AZ42" i="3"/>
  <c r="AY41" i="3"/>
  <c r="AZ41" i="3"/>
  <c r="AZ40" i="3"/>
  <c r="AY40" i="3"/>
  <c r="AY39" i="3"/>
  <c r="AZ39" i="3"/>
  <c r="AY38" i="3"/>
  <c r="AZ38" i="3"/>
  <c r="AY37" i="3"/>
  <c r="AZ37" i="3"/>
  <c r="AZ36" i="3"/>
  <c r="AY36" i="3"/>
  <c r="AY35" i="3"/>
  <c r="AZ35" i="3"/>
  <c r="AY34" i="3"/>
  <c r="AZ34" i="3"/>
  <c r="AY33" i="3"/>
  <c r="AZ33" i="3"/>
  <c r="AZ32" i="3"/>
  <c r="AY32" i="3"/>
  <c r="AY31" i="3"/>
  <c r="AZ31" i="3"/>
  <c r="AY30" i="3"/>
  <c r="AZ30" i="3"/>
  <c r="AZ29" i="3"/>
  <c r="AY29" i="3"/>
  <c r="AY28" i="3"/>
  <c r="AZ28" i="3"/>
  <c r="AY27" i="3"/>
  <c r="AZ27" i="3"/>
  <c r="AZ26" i="3"/>
  <c r="AY26" i="3"/>
  <c r="AY25" i="3"/>
  <c r="AZ25" i="3"/>
  <c r="AY24" i="3"/>
  <c r="AZ24" i="3"/>
  <c r="AY23" i="3"/>
  <c r="AZ23" i="3"/>
  <c r="AY22" i="3"/>
  <c r="AZ22" i="3"/>
  <c r="AZ21" i="3"/>
  <c r="AY21" i="3"/>
  <c r="AY20" i="3"/>
  <c r="AZ20" i="3"/>
  <c r="AY19" i="3"/>
  <c r="AZ19" i="3"/>
  <c r="AZ18" i="3"/>
  <c r="AY18" i="3"/>
  <c r="AY17" i="3"/>
  <c r="AZ17" i="3"/>
  <c r="AY16" i="3"/>
  <c r="AZ16" i="3"/>
  <c r="AY15" i="3"/>
  <c r="AZ15" i="3"/>
  <c r="AY14" i="3"/>
  <c r="AZ14" i="3"/>
  <c r="AZ13" i="3"/>
  <c r="AY13" i="3"/>
  <c r="AY12" i="3"/>
  <c r="AZ12" i="3"/>
  <c r="AY11" i="3"/>
  <c r="AZ11" i="3"/>
  <c r="AY10" i="3"/>
  <c r="AZ10" i="3"/>
  <c r="AZ9" i="3"/>
  <c r="AY9" i="3"/>
  <c r="AY8" i="3"/>
  <c r="AZ8" i="3"/>
  <c r="AY7" i="3"/>
  <c r="AZ7" i="3"/>
  <c r="AY6" i="3"/>
  <c r="AZ6" i="3"/>
  <c r="AY72" i="3"/>
  <c r="AZ72" i="3"/>
  <c r="AY71" i="3"/>
  <c r="AZ71" i="3"/>
  <c r="W68" i="3" l="1"/>
  <c r="AI68" i="3"/>
  <c r="AI25" i="3"/>
  <c r="W25" i="3"/>
  <c r="AO11" i="3"/>
  <c r="AP11" i="3" s="1"/>
  <c r="AK11" i="3"/>
  <c r="AL11" i="3" s="1"/>
  <c r="AO52" i="3"/>
  <c r="AP52" i="3" s="1"/>
  <c r="AK52" i="3"/>
  <c r="AL52" i="3" s="1"/>
  <c r="AO17" i="3"/>
  <c r="AP17" i="3" s="1"/>
  <c r="AK17" i="3"/>
  <c r="AL17" i="3" s="1"/>
  <c r="AO39" i="3"/>
  <c r="AP39" i="3" s="1"/>
  <c r="AK39" i="3"/>
  <c r="AL39" i="3" s="1"/>
  <c r="W27" i="3"/>
  <c r="AI27" i="3"/>
  <c r="AO55" i="3"/>
  <c r="AP55" i="3" s="1"/>
  <c r="AK55" i="3"/>
  <c r="AL55" i="3" s="1"/>
  <c r="W5" i="3"/>
  <c r="AI5" i="3"/>
  <c r="W18" i="3"/>
  <c r="AI18" i="3"/>
  <c r="AI31" i="3"/>
  <c r="W31" i="3"/>
  <c r="AO60" i="3"/>
  <c r="AP60" i="3" s="1"/>
  <c r="AK60" i="3"/>
  <c r="AL60" i="3" s="1"/>
  <c r="W67" i="3"/>
  <c r="AI67" i="3"/>
  <c r="AO65" i="3"/>
  <c r="AP65" i="3" s="1"/>
  <c r="AK65" i="3"/>
  <c r="AL65" i="3" s="1"/>
  <c r="AO69" i="3"/>
  <c r="AP69" i="3" s="1"/>
  <c r="AK69" i="3"/>
  <c r="AL69" i="3" s="1"/>
  <c r="W16" i="3"/>
  <c r="AI16" i="3"/>
  <c r="W62" i="3"/>
  <c r="AI62" i="3"/>
  <c r="AO12" i="3"/>
  <c r="AP12" i="3" s="1"/>
  <c r="AK12" i="3"/>
  <c r="AL12" i="3" s="1"/>
  <c r="AO38" i="3"/>
  <c r="AP38" i="3" s="1"/>
  <c r="AK38" i="3"/>
  <c r="AL38" i="3" s="1"/>
  <c r="AO56" i="3"/>
  <c r="AP56" i="3" s="1"/>
  <c r="AK56" i="3"/>
  <c r="AL56" i="3" s="1"/>
  <c r="AO70" i="3"/>
  <c r="AP70" i="3" s="1"/>
  <c r="AK70" i="3"/>
  <c r="AL70" i="3" s="1"/>
  <c r="AI37" i="3"/>
  <c r="W37" i="3"/>
  <c r="AO82" i="3"/>
  <c r="AP82" i="3" s="1"/>
  <c r="AV82" i="3"/>
  <c r="AW82" i="3" s="1"/>
  <c r="AK82" i="3"/>
  <c r="AL82" i="3" s="1"/>
  <c r="AO54" i="3"/>
  <c r="AP54" i="3" s="1"/>
  <c r="AK54" i="3"/>
  <c r="AL54" i="3" s="1"/>
  <c r="AO9" i="3"/>
  <c r="AP9" i="3" s="1"/>
  <c r="AK9" i="3"/>
  <c r="AL9" i="3" s="1"/>
  <c r="AO7" i="3"/>
  <c r="AP7" i="3" s="1"/>
  <c r="AK7" i="3"/>
  <c r="AL7" i="3" s="1"/>
  <c r="AO49" i="3"/>
  <c r="AP49" i="3" s="1"/>
  <c r="AK49" i="3"/>
  <c r="AL49" i="3" s="1"/>
  <c r="W48" i="3"/>
  <c r="AI48" i="3"/>
  <c r="AI43" i="3"/>
  <c r="W43" i="3"/>
  <c r="AO8" i="3"/>
  <c r="AP8" i="3" s="1"/>
  <c r="AK8" i="3"/>
  <c r="AL8" i="3" s="1"/>
  <c r="AO29" i="3"/>
  <c r="AP29" i="3" s="1"/>
  <c r="AK29" i="3"/>
  <c r="AL29" i="3" s="1"/>
  <c r="AO23" i="3"/>
  <c r="AP23" i="3" s="1"/>
  <c r="AK23" i="3"/>
  <c r="AL23" i="3" s="1"/>
  <c r="AI76" i="3"/>
  <c r="W76" i="3"/>
  <c r="W46" i="3"/>
  <c r="AI46" i="3"/>
  <c r="AO26" i="3"/>
  <c r="AP26" i="3" s="1"/>
  <c r="AK26" i="3"/>
  <c r="AL26" i="3" s="1"/>
  <c r="W58" i="3"/>
  <c r="AI58" i="3"/>
  <c r="AO32" i="3"/>
  <c r="AP32" i="3" s="1"/>
  <c r="AK32" i="3"/>
  <c r="AL32" i="3" s="1"/>
  <c r="AO61" i="3"/>
  <c r="AP61" i="3" s="1"/>
  <c r="AK61" i="3"/>
  <c r="AL61" i="3" s="1"/>
  <c r="W21" i="3"/>
  <c r="AI21" i="3"/>
  <c r="AO13" i="3"/>
  <c r="AP13" i="3" s="1"/>
  <c r="AK13" i="3"/>
  <c r="AL13" i="3" s="1"/>
  <c r="AO63" i="3"/>
  <c r="AP63" i="3" s="1"/>
  <c r="AK63" i="3"/>
  <c r="AL63" i="3" s="1"/>
  <c r="AI42" i="3"/>
  <c r="W42" i="3"/>
  <c r="W47" i="3"/>
  <c r="AI47" i="3"/>
  <c r="AO36" i="3"/>
  <c r="AP36" i="3" s="1"/>
  <c r="AK36" i="3"/>
  <c r="AL36" i="3" s="1"/>
  <c r="AO40" i="3"/>
  <c r="AP40" i="3" s="1"/>
  <c r="AK40" i="3"/>
  <c r="AL40" i="3" s="1"/>
  <c r="AO80" i="3"/>
  <c r="AP80" i="3" s="1"/>
  <c r="AK80" i="3"/>
  <c r="AL80" i="3" s="1"/>
  <c r="AV80" i="3"/>
  <c r="AW80" i="3" s="1"/>
  <c r="W66" i="3"/>
  <c r="AI66" i="3"/>
  <c r="W79" i="3"/>
  <c r="AI79" i="3"/>
  <c r="W81" i="3"/>
  <c r="AI81" i="3"/>
  <c r="W83" i="3"/>
  <c r="AI83" i="3"/>
  <c r="AO57" i="3"/>
  <c r="AP57" i="3" s="1"/>
  <c r="AK57" i="3"/>
  <c r="AL57" i="3" s="1"/>
  <c r="AO45" i="3"/>
  <c r="AP45" i="3" s="1"/>
  <c r="AK45" i="3"/>
  <c r="AL45" i="3" s="1"/>
  <c r="W34" i="3"/>
  <c r="AI34" i="3"/>
  <c r="AO75" i="3"/>
  <c r="AP75" i="3" s="1"/>
  <c r="AK75" i="3"/>
  <c r="AL75" i="3" s="1"/>
  <c r="AV75" i="3"/>
  <c r="AW75" i="3" s="1"/>
  <c r="AO78" i="3"/>
  <c r="AP78" i="3" s="1"/>
  <c r="AV78" i="3"/>
  <c r="AW78" i="3" s="1"/>
  <c r="AK78" i="3"/>
  <c r="AL78" i="3" s="1"/>
  <c r="AO77" i="3"/>
  <c r="AP77" i="3" s="1"/>
  <c r="AV77" i="3"/>
  <c r="AW77" i="3" s="1"/>
  <c r="AK77" i="3"/>
  <c r="AL77" i="3" s="1"/>
  <c r="AO53" i="3"/>
  <c r="AP53" i="3" s="1"/>
  <c r="AK53" i="3"/>
  <c r="AL53" i="3" s="1"/>
  <c r="AI24" i="3"/>
  <c r="W24" i="3"/>
  <c r="AO6" i="3"/>
  <c r="AP6" i="3" s="1"/>
  <c r="AK6" i="3"/>
  <c r="AL6" i="3" s="1"/>
  <c r="W64" i="3"/>
  <c r="AI64" i="3"/>
  <c r="W33" i="3"/>
  <c r="AI33" i="3"/>
  <c r="AO10" i="3"/>
  <c r="AP10" i="3" s="1"/>
  <c r="AK10" i="3"/>
  <c r="AL10" i="3" s="1"/>
  <c r="AO59" i="3"/>
  <c r="AP59" i="3" s="1"/>
  <c r="AK59" i="3"/>
  <c r="AL59" i="3" s="1"/>
  <c r="AO50" i="3"/>
  <c r="AP50" i="3" s="1"/>
  <c r="AK50" i="3"/>
  <c r="AL50" i="3" s="1"/>
  <c r="W28" i="3"/>
  <c r="AI28" i="3"/>
  <c r="AO15" i="3"/>
  <c r="AP15" i="3" s="1"/>
  <c r="AK15" i="3"/>
  <c r="AL15" i="3" s="1"/>
  <c r="W72" i="3"/>
  <c r="AI72" i="3"/>
  <c r="W44" i="3"/>
  <c r="AI44" i="3"/>
  <c r="W14" i="3"/>
  <c r="AI14" i="3"/>
  <c r="AO41" i="3"/>
  <c r="AP41" i="3" s="1"/>
  <c r="AK41" i="3"/>
  <c r="AL41" i="3" s="1"/>
  <c r="W74" i="3"/>
  <c r="AI74" i="3"/>
  <c r="W30" i="3"/>
  <c r="AI30" i="3"/>
  <c r="AO20" i="3"/>
  <c r="AP20" i="3" s="1"/>
  <c r="AK20" i="3"/>
  <c r="AL20" i="3" s="1"/>
  <c r="AO84" i="3"/>
  <c r="AP84" i="3" s="1"/>
  <c r="AV84" i="3"/>
  <c r="AW84" i="3" s="1"/>
  <c r="AK84" i="3"/>
  <c r="AL84" i="3" s="1"/>
  <c r="AO35" i="3"/>
  <c r="AP35" i="3" s="1"/>
  <c r="AK35" i="3"/>
  <c r="AL35" i="3" s="1"/>
  <c r="AO22" i="3"/>
  <c r="AP22" i="3" s="1"/>
  <c r="AK22" i="3"/>
  <c r="AL22" i="3" s="1"/>
  <c r="AO51" i="3"/>
  <c r="AP51" i="3" s="1"/>
  <c r="AK51" i="3"/>
  <c r="AL51" i="3" s="1"/>
  <c r="AO71" i="3"/>
  <c r="AP71" i="3" s="1"/>
  <c r="AK71" i="3"/>
  <c r="AL71" i="3" s="1"/>
  <c r="AO19" i="3"/>
  <c r="AP19" i="3" s="1"/>
  <c r="AK19" i="3"/>
  <c r="AL19" i="3" s="1"/>
  <c r="AR13" i="3" l="1"/>
  <c r="AQ13" i="3"/>
  <c r="AR55" i="3"/>
  <c r="AQ55" i="3"/>
  <c r="AQ23" i="3"/>
  <c r="AR23" i="3"/>
  <c r="AQ78" i="3"/>
  <c r="AR78" i="3"/>
  <c r="AO16" i="3"/>
  <c r="AP16" i="3" s="1"/>
  <c r="AK16" i="3"/>
  <c r="AL16" i="3" s="1"/>
  <c r="AO33" i="3"/>
  <c r="AP33" i="3" s="1"/>
  <c r="AK33" i="3"/>
  <c r="AL33" i="3" s="1"/>
  <c r="AU82" i="3"/>
  <c r="AX82" i="3"/>
  <c r="AR22" i="3"/>
  <c r="AQ22" i="3"/>
  <c r="AM61" i="3"/>
  <c r="AJ61" i="3"/>
  <c r="AM35" i="3"/>
  <c r="AJ35" i="3"/>
  <c r="AR41" i="3"/>
  <c r="AQ41" i="3"/>
  <c r="AO66" i="3"/>
  <c r="AP66" i="3" s="1"/>
  <c r="AK66" i="3"/>
  <c r="AL66" i="3" s="1"/>
  <c r="AO14" i="3"/>
  <c r="AP14" i="3" s="1"/>
  <c r="AK14" i="3"/>
  <c r="AL14" i="3" s="1"/>
  <c r="AJ69" i="3"/>
  <c r="AM69" i="3"/>
  <c r="AO44" i="3"/>
  <c r="AP44" i="3" s="1"/>
  <c r="AK44" i="3"/>
  <c r="AL44" i="3" s="1"/>
  <c r="AR69" i="3"/>
  <c r="AQ69" i="3"/>
  <c r="AO34" i="3"/>
  <c r="AP34" i="3" s="1"/>
  <c r="AK34" i="3"/>
  <c r="AL34" i="3" s="1"/>
  <c r="AM65" i="3"/>
  <c r="AJ65" i="3"/>
  <c r="AO72" i="3"/>
  <c r="AP72" i="3" s="1"/>
  <c r="AK72" i="3"/>
  <c r="AL72" i="3" s="1"/>
  <c r="AO37" i="3"/>
  <c r="AP37" i="3" s="1"/>
  <c r="AK37" i="3"/>
  <c r="AL37" i="3" s="1"/>
  <c r="AJ84" i="3"/>
  <c r="AM84" i="3"/>
  <c r="AR51" i="3"/>
  <c r="AQ51" i="3"/>
  <c r="AO21" i="3"/>
  <c r="AP21" i="3" s="1"/>
  <c r="AK21" i="3"/>
  <c r="AL21" i="3" s="1"/>
  <c r="AU80" i="3"/>
  <c r="AX80" i="3"/>
  <c r="AR75" i="3"/>
  <c r="AQ75" i="3"/>
  <c r="AJ32" i="3"/>
  <c r="AM32" i="3"/>
  <c r="AM22" i="3"/>
  <c r="AJ22" i="3"/>
  <c r="AR61" i="3"/>
  <c r="AQ61" i="3"/>
  <c r="AQ40" i="3"/>
  <c r="AR40" i="3"/>
  <c r="AJ51" i="3"/>
  <c r="AM51" i="3"/>
  <c r="AM55" i="3"/>
  <c r="AJ55" i="3"/>
  <c r="AO27" i="3"/>
  <c r="AP27" i="3" s="1"/>
  <c r="AK27" i="3"/>
  <c r="AL27" i="3" s="1"/>
  <c r="AM17" i="3"/>
  <c r="AJ17" i="3"/>
  <c r="AM8" i="3"/>
  <c r="AJ8" i="3"/>
  <c r="AM6" i="3"/>
  <c r="AJ6" i="3"/>
  <c r="AJ82" i="3"/>
  <c r="AM82" i="3"/>
  <c r="AJ80" i="3"/>
  <c r="AM80" i="3"/>
  <c r="AR82" i="3"/>
  <c r="AQ82" i="3"/>
  <c r="AM39" i="3"/>
  <c r="AJ39" i="3"/>
  <c r="AJ40" i="3"/>
  <c r="AM40" i="3"/>
  <c r="AQ39" i="3"/>
  <c r="AR39" i="3"/>
  <c r="AJ45" i="3"/>
  <c r="AM45" i="3"/>
  <c r="AM70" i="3"/>
  <c r="AJ70" i="3"/>
  <c r="AU84" i="3"/>
  <c r="AX84" i="3"/>
  <c r="AQ70" i="3"/>
  <c r="AR70" i="3"/>
  <c r="AO24" i="3"/>
  <c r="AP24" i="3" s="1"/>
  <c r="AK24" i="3"/>
  <c r="AL24" i="3" s="1"/>
  <c r="AJ52" i="3"/>
  <c r="AM52" i="3"/>
  <c r="AJ53" i="3"/>
  <c r="AM53" i="3"/>
  <c r="AJ26" i="3"/>
  <c r="AM26" i="3"/>
  <c r="AQ52" i="3"/>
  <c r="AR52" i="3"/>
  <c r="AO83" i="3"/>
  <c r="AP83" i="3" s="1"/>
  <c r="AV83" i="3"/>
  <c r="AW83" i="3" s="1"/>
  <c r="AK83" i="3"/>
  <c r="AL83" i="3" s="1"/>
  <c r="AQ49" i="3"/>
  <c r="AR49" i="3"/>
  <c r="AM38" i="3"/>
  <c r="AJ38" i="3"/>
  <c r="AJ11" i="3"/>
  <c r="AM11" i="3"/>
  <c r="AJ50" i="3"/>
  <c r="AM50" i="3"/>
  <c r="AR38" i="3"/>
  <c r="AQ38" i="3"/>
  <c r="AX77" i="3"/>
  <c r="AU77" i="3"/>
  <c r="AO18" i="3"/>
  <c r="AP18" i="3" s="1"/>
  <c r="AK18" i="3"/>
  <c r="AL18" i="3" s="1"/>
  <c r="AR19" i="3"/>
  <c r="AQ19" i="3"/>
  <c r="AO74" i="3"/>
  <c r="AP74" i="3" s="1"/>
  <c r="AV74" i="3"/>
  <c r="AW74" i="3" s="1"/>
  <c r="AK74" i="3"/>
  <c r="AL74" i="3" s="1"/>
  <c r="AJ59" i="3"/>
  <c r="AM59" i="3"/>
  <c r="AQ77" i="3"/>
  <c r="AR77" i="3"/>
  <c r="AJ63" i="3"/>
  <c r="AM63" i="3"/>
  <c r="AJ9" i="3"/>
  <c r="AM9" i="3"/>
  <c r="AR12" i="3"/>
  <c r="AQ12" i="3"/>
  <c r="AO25" i="3"/>
  <c r="AP25" i="3" s="1"/>
  <c r="AK25" i="3"/>
  <c r="AL25" i="3" s="1"/>
  <c r="AR10" i="3"/>
  <c r="AQ10" i="3"/>
  <c r="AX75" i="3"/>
  <c r="AU75" i="3"/>
  <c r="AQ29" i="3"/>
  <c r="AR29" i="3"/>
  <c r="AO64" i="3"/>
  <c r="AP64" i="3" s="1"/>
  <c r="AK64" i="3"/>
  <c r="AL64" i="3" s="1"/>
  <c r="AQ8" i="3"/>
  <c r="AR8" i="3"/>
  <c r="AR35" i="3"/>
  <c r="AQ35" i="3"/>
  <c r="AQ65" i="3"/>
  <c r="AR65" i="3"/>
  <c r="AR6" i="3"/>
  <c r="AQ6" i="3"/>
  <c r="AR32" i="3"/>
  <c r="AQ32" i="3"/>
  <c r="AO67" i="3"/>
  <c r="AP67" i="3" s="1"/>
  <c r="AK67" i="3"/>
  <c r="AL67" i="3" s="1"/>
  <c r="AJ15" i="3"/>
  <c r="AM15" i="3"/>
  <c r="AR45" i="3"/>
  <c r="AQ45" i="3"/>
  <c r="AO58" i="3"/>
  <c r="AP58" i="3" s="1"/>
  <c r="AK58" i="3"/>
  <c r="AL58" i="3" s="1"/>
  <c r="AO48" i="3"/>
  <c r="AP48" i="3" s="1"/>
  <c r="AK48" i="3"/>
  <c r="AL48" i="3" s="1"/>
  <c r="AV48" i="3"/>
  <c r="AW48" i="3" s="1"/>
  <c r="AR84" i="3"/>
  <c r="AQ84" i="3"/>
  <c r="AJ57" i="3"/>
  <c r="AM57" i="3"/>
  <c r="AJ60" i="3"/>
  <c r="AM60" i="3"/>
  <c r="AO28" i="3"/>
  <c r="AP28" i="3" s="1"/>
  <c r="AK28" i="3"/>
  <c r="AL28" i="3" s="1"/>
  <c r="AO47" i="3"/>
  <c r="AP47" i="3" s="1"/>
  <c r="AK47" i="3"/>
  <c r="AL47" i="3" s="1"/>
  <c r="AR56" i="3"/>
  <c r="AQ56" i="3"/>
  <c r="AQ53" i="3"/>
  <c r="AR53" i="3"/>
  <c r="AR26" i="3"/>
  <c r="AQ26" i="3"/>
  <c r="AJ77" i="3"/>
  <c r="AM77" i="3"/>
  <c r="AR11" i="3"/>
  <c r="AQ11" i="3"/>
  <c r="AJ19" i="3"/>
  <c r="AM19" i="3"/>
  <c r="AO81" i="3"/>
  <c r="AP81" i="3" s="1"/>
  <c r="AV81" i="3"/>
  <c r="AW81" i="3" s="1"/>
  <c r="AK81" i="3"/>
  <c r="AL81" i="3" s="1"/>
  <c r="AM12" i="3"/>
  <c r="AJ12" i="3"/>
  <c r="AM71" i="3"/>
  <c r="AJ71" i="3"/>
  <c r="AR59" i="3"/>
  <c r="AQ59" i="3"/>
  <c r="AJ78" i="3"/>
  <c r="AM78" i="3"/>
  <c r="AO79" i="3"/>
  <c r="AP79" i="3" s="1"/>
  <c r="AV79" i="3"/>
  <c r="AW79" i="3" s="1"/>
  <c r="AK79" i="3"/>
  <c r="AL79" i="3" s="1"/>
  <c r="AQ63" i="3"/>
  <c r="AR63" i="3"/>
  <c r="AO76" i="3"/>
  <c r="AP76" i="3" s="1"/>
  <c r="AV76" i="3"/>
  <c r="AW76" i="3" s="1"/>
  <c r="AK76" i="3"/>
  <c r="AL76" i="3" s="1"/>
  <c r="AR9" i="3"/>
  <c r="AQ9" i="3"/>
  <c r="AO62" i="3"/>
  <c r="AP62" i="3" s="1"/>
  <c r="AK62" i="3"/>
  <c r="AL62" i="3" s="1"/>
  <c r="AO5" i="3"/>
  <c r="AP5" i="3" s="1"/>
  <c r="AK5" i="3"/>
  <c r="AL5" i="3" s="1"/>
  <c r="AO68" i="3"/>
  <c r="AP68" i="3" s="1"/>
  <c r="AK68" i="3"/>
  <c r="AL68" i="3" s="1"/>
  <c r="AQ54" i="3"/>
  <c r="AR54" i="3"/>
  <c r="AJ29" i="3"/>
  <c r="AM29" i="3"/>
  <c r="AM75" i="3"/>
  <c r="AJ75" i="3"/>
  <c r="AQ80" i="3"/>
  <c r="AR80" i="3"/>
  <c r="AO43" i="3"/>
  <c r="AP43" i="3" s="1"/>
  <c r="AK43" i="3"/>
  <c r="AL43" i="3" s="1"/>
  <c r="AM36" i="3"/>
  <c r="AJ36" i="3"/>
  <c r="AR17" i="3"/>
  <c r="AQ17" i="3"/>
  <c r="AR15" i="3"/>
  <c r="AQ15" i="3"/>
  <c r="AR36" i="3"/>
  <c r="AQ36" i="3"/>
  <c r="AM56" i="3"/>
  <c r="AJ56" i="3"/>
  <c r="AJ20" i="3"/>
  <c r="AM20" i="3"/>
  <c r="AR57" i="3"/>
  <c r="AQ57" i="3"/>
  <c r="AJ49" i="3"/>
  <c r="AM49" i="3"/>
  <c r="AQ60" i="3"/>
  <c r="AR60" i="3"/>
  <c r="AR20" i="3"/>
  <c r="AQ20" i="3"/>
  <c r="AO30" i="3"/>
  <c r="AP30" i="3" s="1"/>
  <c r="AK30" i="3"/>
  <c r="AL30" i="3" s="1"/>
  <c r="AO46" i="3"/>
  <c r="AP46" i="3" s="1"/>
  <c r="AK46" i="3"/>
  <c r="AL46" i="3" s="1"/>
  <c r="AJ7" i="3"/>
  <c r="AM7" i="3"/>
  <c r="AO31" i="3"/>
  <c r="AP31" i="3" s="1"/>
  <c r="AK31" i="3"/>
  <c r="AL31" i="3" s="1"/>
  <c r="AQ50" i="3"/>
  <c r="AR50" i="3"/>
  <c r="AO42" i="3"/>
  <c r="AP42" i="3" s="1"/>
  <c r="AK42" i="3"/>
  <c r="AL42" i="3" s="1"/>
  <c r="AR7" i="3"/>
  <c r="AQ7" i="3"/>
  <c r="AR71" i="3"/>
  <c r="AQ71" i="3"/>
  <c r="AM41" i="3"/>
  <c r="AJ41" i="3"/>
  <c r="AM10" i="3"/>
  <c r="AJ10" i="3"/>
  <c r="AX78" i="3"/>
  <c r="AU78" i="3"/>
  <c r="AJ13" i="3"/>
  <c r="AM13" i="3"/>
  <c r="AM23" i="3"/>
  <c r="AJ23" i="3"/>
  <c r="AJ54" i="3"/>
  <c r="AM54" i="3"/>
  <c r="AT60" i="3"/>
  <c r="AV60" i="3" s="1"/>
  <c r="AW60" i="3" s="1"/>
  <c r="AT58" i="3"/>
  <c r="AV58" i="3" s="1"/>
  <c r="AW58" i="3" s="1"/>
  <c r="AT71" i="3"/>
  <c r="AV71" i="3" s="1"/>
  <c r="AW71" i="3" s="1"/>
  <c r="AT69" i="3"/>
  <c r="AV69" i="3" s="1"/>
  <c r="AW69" i="3" s="1"/>
  <c r="AT70" i="3"/>
  <c r="AV70" i="3" s="1"/>
  <c r="AW70" i="3" s="1"/>
  <c r="AT31" i="3"/>
  <c r="AV31" i="3" s="1"/>
  <c r="AW31" i="3" s="1"/>
  <c r="AT47" i="3"/>
  <c r="AV47" i="3" s="1"/>
  <c r="AW47" i="3" s="1"/>
  <c r="AT56" i="3"/>
  <c r="AV56" i="3" s="1"/>
  <c r="AW56" i="3" s="1"/>
  <c r="AT13" i="3"/>
  <c r="AV13" i="3" s="1"/>
  <c r="AW13" i="3" s="1"/>
  <c r="AT8" i="3"/>
  <c r="AV8" i="3" s="1"/>
  <c r="AW8" i="3" s="1"/>
  <c r="AR58" i="3" l="1"/>
  <c r="AQ58" i="3"/>
  <c r="AM21" i="3"/>
  <c r="AJ21" i="3"/>
  <c r="AM62" i="3"/>
  <c r="AJ62" i="3"/>
  <c r="AJ58" i="3"/>
  <c r="AM58" i="3"/>
  <c r="AM27" i="3"/>
  <c r="AJ27" i="3"/>
  <c r="AQ27" i="3"/>
  <c r="AR27" i="3"/>
  <c r="AM76" i="3"/>
  <c r="AJ76" i="3"/>
  <c r="AJ24" i="3"/>
  <c r="AM24" i="3"/>
  <c r="AJ33" i="3"/>
  <c r="AM33" i="3"/>
  <c r="AJ42" i="3"/>
  <c r="AM42" i="3"/>
  <c r="AJ44" i="3"/>
  <c r="AM44" i="3"/>
  <c r="AX13" i="3"/>
  <c r="AU13" i="3"/>
  <c r="AU76" i="3"/>
  <c r="AX76" i="3"/>
  <c r="AU81" i="3"/>
  <c r="AX81" i="3"/>
  <c r="AJ28" i="3"/>
  <c r="AM28" i="3"/>
  <c r="AQ24" i="3"/>
  <c r="AR24" i="3"/>
  <c r="AQ33" i="3"/>
  <c r="AR33" i="3"/>
  <c r="AU8" i="3"/>
  <c r="AX8" i="3"/>
  <c r="AX56" i="3"/>
  <c r="AU56" i="3"/>
  <c r="AJ31" i="3"/>
  <c r="AM31" i="3"/>
  <c r="AQ76" i="3"/>
  <c r="AR76" i="3"/>
  <c r="AQ81" i="3"/>
  <c r="AR81" i="3"/>
  <c r="AR28" i="3"/>
  <c r="AQ28" i="3"/>
  <c r="AM67" i="3"/>
  <c r="AJ67" i="3"/>
  <c r="AJ74" i="3"/>
  <c r="AM74" i="3"/>
  <c r="AM14" i="3"/>
  <c r="AJ14" i="3"/>
  <c r="AM16" i="3"/>
  <c r="AJ16" i="3"/>
  <c r="AR43" i="3"/>
  <c r="AQ43" i="3"/>
  <c r="AM47" i="3"/>
  <c r="AJ47" i="3"/>
  <c r="AR44" i="3"/>
  <c r="AQ44" i="3"/>
  <c r="AM81" i="3"/>
  <c r="AJ81" i="3"/>
  <c r="AU47" i="3"/>
  <c r="AX47" i="3"/>
  <c r="AQ31" i="3"/>
  <c r="AR31" i="3"/>
  <c r="AR67" i="3"/>
  <c r="AQ67" i="3"/>
  <c r="AX74" i="3"/>
  <c r="AU74" i="3"/>
  <c r="AR14" i="3"/>
  <c r="AQ14" i="3"/>
  <c r="AQ16" i="3"/>
  <c r="AR16" i="3"/>
  <c r="AJ43" i="3"/>
  <c r="AM43" i="3"/>
  <c r="AR64" i="3"/>
  <c r="AQ64" i="3"/>
  <c r="AQ47" i="3"/>
  <c r="AR47" i="3"/>
  <c r="AX31" i="3"/>
  <c r="AU31" i="3"/>
  <c r="AR74" i="3"/>
  <c r="AQ74" i="3"/>
  <c r="AM37" i="3"/>
  <c r="AJ37" i="3"/>
  <c r="AJ66" i="3"/>
  <c r="AM66" i="3"/>
  <c r="AM83" i="3"/>
  <c r="AJ83" i="3"/>
  <c r="AQ37" i="3"/>
  <c r="AR37" i="3"/>
  <c r="AQ66" i="3"/>
  <c r="AR66" i="3"/>
  <c r="AX79" i="3"/>
  <c r="AU79" i="3"/>
  <c r="AJ25" i="3"/>
  <c r="AM25" i="3"/>
  <c r="AU83" i="3"/>
  <c r="AX83" i="3"/>
  <c r="AJ72" i="3"/>
  <c r="AM72" i="3"/>
  <c r="AR21" i="3"/>
  <c r="AQ21" i="3"/>
  <c r="AM79" i="3"/>
  <c r="AJ79" i="3"/>
  <c r="AQ79" i="3"/>
  <c r="AR79" i="3"/>
  <c r="AR25" i="3"/>
  <c r="AQ25" i="3"/>
  <c r="AM18" i="3"/>
  <c r="AJ18" i="3"/>
  <c r="AQ83" i="3"/>
  <c r="AR83" i="3"/>
  <c r="AR72" i="3"/>
  <c r="AQ72" i="3"/>
  <c r="AU58" i="3"/>
  <c r="AX58" i="3"/>
  <c r="AJ30" i="3"/>
  <c r="AM30" i="3"/>
  <c r="AJ68" i="3"/>
  <c r="AM68" i="3"/>
  <c r="AR18" i="3"/>
  <c r="AQ18" i="3"/>
  <c r="AQ62" i="3"/>
  <c r="AR62" i="3"/>
  <c r="AR42" i="3"/>
  <c r="AQ42" i="3"/>
  <c r="AX69" i="3"/>
  <c r="AU69" i="3"/>
  <c r="AX71" i="3"/>
  <c r="AU71" i="3"/>
  <c r="AU60" i="3"/>
  <c r="AX60" i="3"/>
  <c r="AQ30" i="3"/>
  <c r="AR30" i="3"/>
  <c r="AR68" i="3"/>
  <c r="AQ68" i="3"/>
  <c r="AU48" i="3"/>
  <c r="AX48" i="3"/>
  <c r="AM64" i="3"/>
  <c r="AJ64" i="3"/>
  <c r="AJ46" i="3"/>
  <c r="AM46" i="3"/>
  <c r="AJ48" i="3"/>
  <c r="AM48" i="3"/>
  <c r="AM34" i="3"/>
  <c r="AJ34" i="3"/>
  <c r="AX70" i="3"/>
  <c r="AU70" i="3"/>
  <c r="AQ46" i="3"/>
  <c r="AR46" i="3"/>
  <c r="AM5" i="3"/>
  <c r="AJ5" i="3"/>
  <c r="AQ5" i="3"/>
  <c r="AR5" i="3"/>
  <c r="AQ48" i="3"/>
  <c r="AR48" i="3"/>
  <c r="AR34" i="3"/>
  <c r="AQ34" i="3"/>
  <c r="AT68" i="3"/>
  <c r="AV68" i="3" s="1"/>
  <c r="AW68" i="3" s="1"/>
  <c r="AT59" i="3"/>
  <c r="AV59" i="3" s="1"/>
  <c r="AW59" i="3" s="1"/>
  <c r="AT6" i="3"/>
  <c r="AV6" i="3" s="1"/>
  <c r="AW6" i="3" s="1"/>
  <c r="AT62" i="3"/>
  <c r="AV62" i="3" s="1"/>
  <c r="AW62" i="3" s="1"/>
  <c r="AT72" i="3"/>
  <c r="AV72" i="3" s="1"/>
  <c r="AW72" i="3" s="1"/>
  <c r="AT15" i="3"/>
  <c r="AV15" i="3" s="1"/>
  <c r="AW15" i="3" s="1"/>
  <c r="AT51" i="3"/>
  <c r="AV51" i="3" s="1"/>
  <c r="AW51" i="3" s="1"/>
  <c r="AT39" i="3"/>
  <c r="AV39" i="3" s="1"/>
  <c r="AW39" i="3" s="1"/>
  <c r="AT14" i="3"/>
  <c r="AV14" i="3" s="1"/>
  <c r="AW14" i="3" s="1"/>
  <c r="AT27" i="3"/>
  <c r="AV27" i="3" s="1"/>
  <c r="AW27" i="3" s="1"/>
  <c r="AT34" i="3"/>
  <c r="AV34" i="3" s="1"/>
  <c r="AW34" i="3" s="1"/>
  <c r="AT46" i="3"/>
  <c r="AV46" i="3" s="1"/>
  <c r="AW46" i="3" s="1"/>
  <c r="AT63" i="3"/>
  <c r="AV63" i="3" s="1"/>
  <c r="AW63" i="3" s="1"/>
  <c r="AT52" i="3"/>
  <c r="AV52" i="3" s="1"/>
  <c r="AW52" i="3" s="1"/>
  <c r="AT64" i="3"/>
  <c r="AV64" i="3" s="1"/>
  <c r="AW64" i="3" s="1"/>
  <c r="AT61" i="3"/>
  <c r="AV61" i="3" s="1"/>
  <c r="AW61" i="3" s="1"/>
  <c r="AT43" i="3"/>
  <c r="AV43" i="3" s="1"/>
  <c r="AW43" i="3" s="1"/>
  <c r="AT54" i="3"/>
  <c r="AV54" i="3" s="1"/>
  <c r="AW54" i="3" s="1"/>
  <c r="AT22" i="3"/>
  <c r="AV22" i="3" s="1"/>
  <c r="AW22" i="3" s="1"/>
  <c r="AT25" i="3"/>
  <c r="AV25" i="3" s="1"/>
  <c r="AW25" i="3" s="1"/>
  <c r="AT23" i="3"/>
  <c r="AV23" i="3" s="1"/>
  <c r="AW23" i="3" s="1"/>
  <c r="AT30" i="3"/>
  <c r="AV30" i="3" s="1"/>
  <c r="AW30" i="3" s="1"/>
  <c r="AT45" i="3"/>
  <c r="AV45" i="3" s="1"/>
  <c r="AW45" i="3" s="1"/>
  <c r="AT67" i="3"/>
  <c r="AV67" i="3" s="1"/>
  <c r="AW67" i="3" s="1"/>
  <c r="AT42" i="3"/>
  <c r="AV42" i="3" s="1"/>
  <c r="AW42" i="3" s="1"/>
  <c r="AT10" i="3"/>
  <c r="AV10" i="3" s="1"/>
  <c r="AW10" i="3" s="1"/>
  <c r="AT28" i="3"/>
  <c r="AV28" i="3" s="1"/>
  <c r="AW28" i="3" s="1"/>
  <c r="AT19" i="3"/>
  <c r="AV19" i="3" s="1"/>
  <c r="AW19" i="3" s="1"/>
  <c r="AT50" i="3"/>
  <c r="AV50" i="3" s="1"/>
  <c r="AW50" i="3" s="1"/>
  <c r="AT11" i="3"/>
  <c r="AV11" i="3" s="1"/>
  <c r="AW11" i="3" s="1"/>
  <c r="AT57" i="3"/>
  <c r="AV57" i="3" s="1"/>
  <c r="AW57" i="3" s="1"/>
  <c r="AT36" i="3"/>
  <c r="AV36" i="3" s="1"/>
  <c r="AW36" i="3" s="1"/>
  <c r="AT32" i="3"/>
  <c r="AV32" i="3" s="1"/>
  <c r="AW32" i="3" s="1"/>
  <c r="AT9" i="3"/>
  <c r="AV9" i="3" s="1"/>
  <c r="AW9" i="3" s="1"/>
  <c r="AT16" i="3"/>
  <c r="AV16" i="3" s="1"/>
  <c r="AW16" i="3" s="1"/>
  <c r="AT40" i="3"/>
  <c r="AV40" i="3" s="1"/>
  <c r="AW40" i="3" s="1"/>
  <c r="AT41" i="3"/>
  <c r="AV41" i="3" s="1"/>
  <c r="AW41" i="3" s="1"/>
  <c r="AT24" i="3"/>
  <c r="AV24" i="3" s="1"/>
  <c r="AW24" i="3" s="1"/>
  <c r="AT35" i="3"/>
  <c r="AV35" i="3" s="1"/>
  <c r="AW35" i="3" s="1"/>
  <c r="AT12" i="3"/>
  <c r="AV12" i="3" s="1"/>
  <c r="AW12" i="3" s="1"/>
  <c r="AT29" i="3"/>
  <c r="AV29" i="3" s="1"/>
  <c r="AW29" i="3" s="1"/>
  <c r="AT37" i="3"/>
  <c r="AV37" i="3" s="1"/>
  <c r="AW37" i="3" s="1"/>
  <c r="AT18" i="3"/>
  <c r="AV18" i="3" s="1"/>
  <c r="AW18" i="3" s="1"/>
  <c r="AT17" i="3"/>
  <c r="AV17" i="3" s="1"/>
  <c r="AW17" i="3" s="1"/>
  <c r="AT38" i="3"/>
  <c r="AV38" i="3" s="1"/>
  <c r="AW38" i="3" s="1"/>
  <c r="AT53" i="3"/>
  <c r="AV53" i="3" s="1"/>
  <c r="AW53" i="3" s="1"/>
  <c r="AT33" i="3"/>
  <c r="AV33" i="3" s="1"/>
  <c r="AW33" i="3" s="1"/>
  <c r="AT26" i="3"/>
  <c r="AV26" i="3" s="1"/>
  <c r="AW26" i="3" s="1"/>
  <c r="AT65" i="3"/>
  <c r="AV65" i="3" s="1"/>
  <c r="AW65" i="3" s="1"/>
  <c r="AT66" i="3"/>
  <c r="AV66" i="3" s="1"/>
  <c r="AW66" i="3" s="1"/>
  <c r="AT20" i="3"/>
  <c r="AV20" i="3" s="1"/>
  <c r="AW20" i="3" s="1"/>
  <c r="AT49" i="3"/>
  <c r="AV49" i="3" s="1"/>
  <c r="AW49" i="3" s="1"/>
  <c r="AT7" i="3"/>
  <c r="AV7" i="3" s="1"/>
  <c r="AW7" i="3" s="1"/>
  <c r="AT21" i="3"/>
  <c r="AV21" i="3" s="1"/>
  <c r="AW21" i="3" s="1"/>
  <c r="AT44" i="3"/>
  <c r="AV44" i="3" s="1"/>
  <c r="AW44" i="3" s="1"/>
  <c r="AT55" i="3"/>
  <c r="AV55" i="3" s="1"/>
  <c r="AW55" i="3" s="1"/>
  <c r="AU17" i="3" l="1"/>
  <c r="AX17" i="3"/>
  <c r="AX19" i="3"/>
  <c r="AU19" i="3"/>
  <c r="AX46" i="3"/>
  <c r="AU46" i="3"/>
  <c r="AX67" i="3"/>
  <c r="AU67" i="3"/>
  <c r="AX39" i="3"/>
  <c r="AU39" i="3"/>
  <c r="AX50" i="3"/>
  <c r="AU50" i="3"/>
  <c r="AU10" i="3"/>
  <c r="AX10" i="3"/>
  <c r="AU42" i="3"/>
  <c r="AX42" i="3"/>
  <c r="AX55" i="3"/>
  <c r="AU55" i="3"/>
  <c r="AX44" i="3"/>
  <c r="AU44" i="3"/>
  <c r="AX35" i="3"/>
  <c r="AU35" i="3"/>
  <c r="AX45" i="3"/>
  <c r="AU45" i="3"/>
  <c r="AU51" i="3"/>
  <c r="AX51" i="3"/>
  <c r="AX37" i="3"/>
  <c r="AU37" i="3"/>
  <c r="AU29" i="3"/>
  <c r="AX29" i="3"/>
  <c r="AU14" i="3"/>
  <c r="AX14" i="3"/>
  <c r="AX12" i="3"/>
  <c r="AU12" i="3"/>
  <c r="AX15" i="3"/>
  <c r="AU15" i="3"/>
  <c r="AU28" i="3"/>
  <c r="AX28" i="3"/>
  <c r="AX21" i="3"/>
  <c r="AU21" i="3"/>
  <c r="AX24" i="3"/>
  <c r="AU24" i="3"/>
  <c r="AX30" i="3"/>
  <c r="AU30" i="3"/>
  <c r="AX7" i="3"/>
  <c r="AU7" i="3"/>
  <c r="AX41" i="3"/>
  <c r="AU41" i="3"/>
  <c r="AX23" i="3"/>
  <c r="AU23" i="3"/>
  <c r="AX72" i="3"/>
  <c r="AU72" i="3"/>
  <c r="AX63" i="3"/>
  <c r="AU63" i="3"/>
  <c r="AX49" i="3"/>
  <c r="AU49" i="3"/>
  <c r="AX25" i="3"/>
  <c r="AU25" i="3"/>
  <c r="AX62" i="3"/>
  <c r="AU62" i="3"/>
  <c r="AX20" i="3"/>
  <c r="AU20" i="3"/>
  <c r="AU16" i="3"/>
  <c r="AX16" i="3"/>
  <c r="AX22" i="3"/>
  <c r="AU22" i="3"/>
  <c r="AU6" i="3"/>
  <c r="AX6" i="3"/>
  <c r="AX40" i="3"/>
  <c r="AU40" i="3"/>
  <c r="AX9" i="3"/>
  <c r="AU9" i="3"/>
  <c r="AX65" i="3"/>
  <c r="AU65" i="3"/>
  <c r="AX32" i="3"/>
  <c r="AU32" i="3"/>
  <c r="AX43" i="3"/>
  <c r="AU43" i="3"/>
  <c r="AX68" i="3"/>
  <c r="AU68" i="3"/>
  <c r="AU18" i="3"/>
  <c r="AX18" i="3"/>
  <c r="AU66" i="3"/>
  <c r="AX66" i="3"/>
  <c r="AX36" i="3"/>
  <c r="AU36" i="3"/>
  <c r="AU38" i="3"/>
  <c r="AX38" i="3"/>
  <c r="AU27" i="3"/>
  <c r="AX27" i="3"/>
  <c r="AU54" i="3"/>
  <c r="AX54" i="3"/>
  <c r="AU26" i="3"/>
  <c r="AX26" i="3"/>
  <c r="AX57" i="3"/>
  <c r="AU57" i="3"/>
  <c r="AU34" i="3"/>
  <c r="AX34" i="3"/>
  <c r="AX59" i="3"/>
  <c r="AU59" i="3"/>
  <c r="AU61" i="3"/>
  <c r="AX61" i="3"/>
  <c r="AU33" i="3"/>
  <c r="AX33" i="3"/>
  <c r="AX64" i="3"/>
  <c r="AU64" i="3"/>
  <c r="AX53" i="3"/>
  <c r="AU53" i="3"/>
  <c r="AU11" i="3"/>
  <c r="AX11" i="3"/>
  <c r="AX52" i="3"/>
  <c r="AU52" i="3"/>
  <c r="AY5" i="3"/>
  <c r="AZ5" i="3"/>
  <c r="AT5" i="3" l="1"/>
  <c r="AV5" i="3" s="1"/>
  <c r="AW5" i="3" s="1"/>
  <c r="AU5" i="3" l="1"/>
  <c r="AX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</authors>
  <commentList>
    <comment ref="BR3" authorId="0" shapeId="0" xr:uid="{E5F53A71-FC3E-4B1D-8C97-07FBEC8C6286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Процент выкупа.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</authors>
  <commentList>
    <comment ref="G2" authorId="0" shapeId="0" xr:uid="{CCD4DF7F-BB78-40FA-B0FB-8C300669E790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Корректировать в зависисмости от количеств в зазказе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1D7B88-DE60-4203-8E66-0C99AC37BF6A}" keepAlive="1" name="Запрос — Table 1" description="Соединение с запросом &quot;Table 1&quot; в книге." type="5" refreshedVersion="7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<sst xmlns="http://schemas.openxmlformats.org/spreadsheetml/2006/main" count="1636" uniqueCount="1126">
  <si>
    <t>Номенклатура</t>
  </si>
  <si>
    <t>вес ед., кг</t>
  </si>
  <si>
    <t>вес общий, кг</t>
  </si>
  <si>
    <t>размеры упаковки, см</t>
  </si>
  <si>
    <t>12х14х0,5</t>
  </si>
  <si>
    <t>15Х16</t>
  </si>
  <si>
    <t>Фото</t>
  </si>
  <si>
    <t>Стоимость</t>
  </si>
  <si>
    <t xml:space="preserve"> ¥</t>
  </si>
  <si>
    <t xml:space="preserve"> ₽</t>
  </si>
  <si>
    <t xml:space="preserve"> $</t>
  </si>
  <si>
    <t>Цена за ед. товара</t>
  </si>
  <si>
    <t>кол-во шт.</t>
  </si>
  <si>
    <t>Доставка на ед. изделия</t>
  </si>
  <si>
    <t>$ товара</t>
  </si>
  <si>
    <t>$ доставка</t>
  </si>
  <si>
    <t>¥ товар</t>
  </si>
  <si>
    <t>ИТОГО ПОСТАВКА</t>
  </si>
  <si>
    <t>Цвет</t>
  </si>
  <si>
    <t>2 3</t>
  </si>
  <si>
    <t>6 7</t>
  </si>
  <si>
    <t>11 12</t>
  </si>
  <si>
    <t>Бренд группы товаров</t>
  </si>
  <si>
    <t>Бренд магазина</t>
  </si>
  <si>
    <t>9 10</t>
  </si>
  <si>
    <t>X</t>
  </si>
  <si>
    <t>ХХ</t>
  </si>
  <si>
    <t>Назначение номенклатуры</t>
  </si>
  <si>
    <t>Количество предметов в номенклатуре</t>
  </si>
  <si>
    <t>Х</t>
  </si>
  <si>
    <t>Производитель п\п</t>
  </si>
  <si>
    <r>
      <rPr>
        <b/>
        <sz val="14"/>
        <color theme="1"/>
        <rFont val="Calibri"/>
        <family val="2"/>
        <charset val="204"/>
        <scheme val="minor"/>
      </rPr>
      <t>A</t>
    </r>
    <r>
      <rPr>
        <sz val="14"/>
        <color theme="1"/>
        <rFont val="Calibri"/>
        <family val="2"/>
        <charset val="204"/>
        <scheme val="minor"/>
      </rPr>
      <t xml:space="preserve"> (AROLS)</t>
    </r>
  </si>
  <si>
    <r>
      <rPr>
        <b/>
        <sz val="14"/>
        <color theme="1"/>
        <rFont val="Calibri"/>
        <family val="2"/>
        <charset val="204"/>
        <scheme val="minor"/>
      </rPr>
      <t>CR</t>
    </r>
    <r>
      <rPr>
        <sz val="14"/>
        <color theme="1"/>
        <rFont val="Calibri"/>
        <family val="2"/>
        <charset val="204"/>
        <scheme val="minor"/>
      </rPr>
      <t xml:space="preserve"> (CARE) - уход за телом и лицом</t>
    </r>
  </si>
  <si>
    <r>
      <rPr>
        <b/>
        <sz val="14"/>
        <color theme="1"/>
        <rFont val="Calibri"/>
        <family val="2"/>
        <charset val="204"/>
        <scheme val="minor"/>
      </rPr>
      <t>F</t>
    </r>
    <r>
      <rPr>
        <sz val="14"/>
        <color theme="1"/>
        <rFont val="Calibri"/>
        <family val="2"/>
        <charset val="204"/>
        <scheme val="minor"/>
      </rPr>
      <t xml:space="preserve"> (FACE) -лицо</t>
    </r>
  </si>
  <si>
    <r>
      <rPr>
        <b/>
        <sz val="14"/>
        <color theme="1"/>
        <rFont val="Calibri"/>
        <family val="2"/>
        <charset val="204"/>
        <scheme val="minor"/>
      </rPr>
      <t>BN</t>
    </r>
    <r>
      <rPr>
        <sz val="14"/>
        <color theme="1"/>
        <rFont val="Calibri"/>
        <family val="2"/>
        <charset val="204"/>
        <scheme val="minor"/>
      </rPr>
      <t xml:space="preserve"> - бандаж</t>
    </r>
  </si>
  <si>
    <r>
      <rPr>
        <b/>
        <sz val="14"/>
        <color theme="1"/>
        <rFont val="Calibri"/>
        <family val="2"/>
        <charset val="204"/>
        <scheme val="minor"/>
      </rPr>
      <t>RD</t>
    </r>
    <r>
      <rPr>
        <sz val="14"/>
        <color theme="1"/>
        <rFont val="Calibri"/>
        <family val="2"/>
        <charset val="204"/>
        <scheme val="minor"/>
      </rPr>
      <t xml:space="preserve"> - красный</t>
    </r>
  </si>
  <si>
    <r>
      <rPr>
        <b/>
        <sz val="14"/>
        <color theme="1"/>
        <rFont val="Calibri"/>
        <family val="2"/>
        <charset val="204"/>
        <scheme val="minor"/>
      </rPr>
      <t>B</t>
    </r>
    <r>
      <rPr>
        <sz val="14"/>
        <color theme="1"/>
        <rFont val="Calibri"/>
        <family val="2"/>
        <charset val="204"/>
        <scheme val="minor"/>
      </rPr>
      <t xml:space="preserve"> (BODY) - тело</t>
    </r>
  </si>
  <si>
    <r>
      <rPr>
        <b/>
        <sz val="14"/>
        <color theme="1"/>
        <rFont val="Calibri"/>
        <family val="2"/>
        <charset val="204"/>
        <scheme val="minor"/>
      </rPr>
      <t>МS</t>
    </r>
    <r>
      <rPr>
        <sz val="14"/>
        <color theme="1"/>
        <rFont val="Calibri"/>
        <family val="2"/>
        <charset val="204"/>
        <scheme val="minor"/>
      </rPr>
      <t xml:space="preserve"> - массажер</t>
    </r>
  </si>
  <si>
    <r>
      <rPr>
        <b/>
        <sz val="14"/>
        <color theme="1"/>
        <rFont val="Calibri"/>
        <family val="2"/>
        <charset val="204"/>
        <scheme val="minor"/>
      </rPr>
      <t>H</t>
    </r>
    <r>
      <rPr>
        <sz val="14"/>
        <color theme="1"/>
        <rFont val="Calibri"/>
        <family val="2"/>
        <charset val="204"/>
        <scheme val="minor"/>
      </rPr>
      <t xml:space="preserve"> (HANDS) - руки</t>
    </r>
  </si>
  <si>
    <r>
      <rPr>
        <b/>
        <sz val="14"/>
        <color theme="1"/>
        <rFont val="Calibri"/>
        <family val="2"/>
        <charset val="204"/>
        <scheme val="minor"/>
      </rPr>
      <t>RL</t>
    </r>
    <r>
      <rPr>
        <sz val="14"/>
        <color theme="1"/>
        <rFont val="Calibri"/>
        <family val="2"/>
        <charset val="204"/>
        <scheme val="minor"/>
      </rPr>
      <t xml:space="preserve"> - ролер</t>
    </r>
  </si>
  <si>
    <r>
      <rPr>
        <b/>
        <sz val="14"/>
        <color theme="1"/>
        <rFont val="Calibri"/>
        <family val="2"/>
        <charset val="204"/>
        <scheme val="minor"/>
      </rPr>
      <t>GN</t>
    </r>
    <r>
      <rPr>
        <sz val="14"/>
        <color theme="1"/>
        <rFont val="Calibri"/>
        <family val="2"/>
        <charset val="204"/>
        <scheme val="minor"/>
      </rPr>
      <t xml:space="preserve"> - зеленый</t>
    </r>
  </si>
  <si>
    <r>
      <rPr>
        <b/>
        <sz val="14"/>
        <color theme="1"/>
        <rFont val="Calibri"/>
        <family val="2"/>
        <charset val="204"/>
        <scheme val="minor"/>
      </rPr>
      <t>SK</t>
    </r>
    <r>
      <rPr>
        <sz val="14"/>
        <color theme="1"/>
        <rFont val="Calibri"/>
        <family val="2"/>
        <charset val="204"/>
        <scheme val="minor"/>
      </rPr>
      <t xml:space="preserve"> - скребок</t>
    </r>
  </si>
  <si>
    <r>
      <rPr>
        <b/>
        <sz val="14"/>
        <color theme="1"/>
        <rFont val="Calibri"/>
        <family val="2"/>
        <charset val="204"/>
        <scheme val="minor"/>
      </rPr>
      <t>YL </t>
    </r>
    <r>
      <rPr>
        <sz val="14"/>
        <color theme="1"/>
        <rFont val="Calibri"/>
        <family val="2"/>
        <charset val="204"/>
        <scheme val="minor"/>
      </rPr>
      <t>- желтый</t>
    </r>
  </si>
  <si>
    <r>
      <rPr>
        <b/>
        <sz val="14"/>
        <color theme="1"/>
        <rFont val="Calibri"/>
        <family val="2"/>
        <charset val="204"/>
        <scheme val="minor"/>
      </rPr>
      <t>RS</t>
    </r>
    <r>
      <rPr>
        <sz val="14"/>
        <color theme="1"/>
        <rFont val="Calibri"/>
        <family val="2"/>
        <charset val="204"/>
        <scheme val="minor"/>
      </rPr>
      <t xml:space="preserve"> - набор ролик и сребок</t>
    </r>
  </si>
  <si>
    <r>
      <rPr>
        <b/>
        <sz val="14"/>
        <color theme="1"/>
        <rFont val="Calibri"/>
        <family val="2"/>
        <charset val="204"/>
        <scheme val="minor"/>
      </rPr>
      <t>BС </t>
    </r>
    <r>
      <rPr>
        <sz val="14"/>
        <color theme="1"/>
        <rFont val="Calibri"/>
        <family val="2"/>
        <charset val="204"/>
        <scheme val="minor"/>
      </rPr>
      <t>- черный</t>
    </r>
  </si>
  <si>
    <r>
      <rPr>
        <b/>
        <sz val="14"/>
        <color theme="1"/>
        <rFont val="Calibri"/>
        <family val="2"/>
        <charset val="204"/>
        <scheme val="minor"/>
      </rPr>
      <t>GR </t>
    </r>
    <r>
      <rPr>
        <sz val="14"/>
        <color theme="1"/>
        <rFont val="Calibri"/>
        <family val="2"/>
        <charset val="204"/>
        <scheme val="minor"/>
      </rPr>
      <t>- серый</t>
    </r>
  </si>
  <si>
    <r>
      <rPr>
        <b/>
        <sz val="14"/>
        <color theme="1"/>
        <rFont val="Calibri"/>
        <family val="2"/>
        <charset val="204"/>
        <scheme val="minor"/>
      </rPr>
      <t>WH </t>
    </r>
    <r>
      <rPr>
        <sz val="14"/>
        <color theme="1"/>
        <rFont val="Calibri"/>
        <family val="2"/>
        <charset val="204"/>
        <scheme val="minor"/>
      </rPr>
      <t>- белый</t>
    </r>
  </si>
  <si>
    <r>
      <rPr>
        <b/>
        <sz val="14"/>
        <color theme="1"/>
        <rFont val="Calibri"/>
        <family val="2"/>
        <charset val="204"/>
        <scheme val="minor"/>
      </rPr>
      <t>PN</t>
    </r>
    <r>
      <rPr>
        <sz val="14"/>
        <color theme="1"/>
        <rFont val="Calibri"/>
        <family val="2"/>
        <charset val="204"/>
        <scheme val="minor"/>
      </rPr>
      <t xml:space="preserve"> - розовый</t>
    </r>
  </si>
  <si>
    <r>
      <rPr>
        <b/>
        <sz val="14"/>
        <color theme="1"/>
        <rFont val="Calibri"/>
        <family val="2"/>
        <charset val="204"/>
        <scheme val="minor"/>
      </rPr>
      <t>HM</t>
    </r>
    <r>
      <rPr>
        <sz val="14"/>
        <color theme="1"/>
        <rFont val="Calibri"/>
        <family val="2"/>
        <charset val="204"/>
        <scheme val="minor"/>
      </rPr>
      <t xml:space="preserve"> (HOME) - для дома</t>
    </r>
  </si>
  <si>
    <r>
      <rPr>
        <b/>
        <sz val="14"/>
        <color theme="1"/>
        <rFont val="Calibri"/>
        <family val="2"/>
        <charset val="204"/>
        <scheme val="minor"/>
      </rPr>
      <t>BW</t>
    </r>
    <r>
      <rPr>
        <sz val="14"/>
        <color theme="1"/>
        <rFont val="Calibri"/>
        <family val="2"/>
        <charset val="204"/>
        <scheme val="minor"/>
      </rPr>
      <t xml:space="preserve"> - мешок для стирки</t>
    </r>
  </si>
  <si>
    <t>Отличие по параметрам размер, форма и прочее</t>
  </si>
  <si>
    <t>ACRF1BN101BC</t>
  </si>
  <si>
    <t>ACRF1BN201GR</t>
  </si>
  <si>
    <t>Себестоимость</t>
  </si>
  <si>
    <t>ACRF1BN101PN</t>
  </si>
  <si>
    <t>AHMA7BW101BG</t>
  </si>
  <si>
    <r>
      <rPr>
        <b/>
        <sz val="14"/>
        <color theme="1"/>
        <rFont val="Calibri"/>
        <family val="2"/>
        <charset val="204"/>
        <scheme val="minor"/>
      </rPr>
      <t>BG</t>
    </r>
    <r>
      <rPr>
        <sz val="14"/>
        <color theme="1"/>
        <rFont val="Calibri"/>
        <family val="2"/>
        <charset val="204"/>
        <scheme val="minor"/>
      </rPr>
      <t xml:space="preserve"> - бежевый</t>
    </r>
  </si>
  <si>
    <t>РАСШИФРОВКА АРТИКУЛА</t>
  </si>
  <si>
    <r>
      <rPr>
        <b/>
        <sz val="14"/>
        <color theme="1"/>
        <rFont val="Calibri"/>
        <family val="2"/>
        <charset val="204"/>
        <scheme val="minor"/>
      </rPr>
      <t>RJ</t>
    </r>
    <r>
      <rPr>
        <sz val="14"/>
        <color theme="1"/>
        <rFont val="Calibri"/>
        <family val="2"/>
        <charset val="204"/>
        <scheme val="minor"/>
      </rPr>
      <t xml:space="preserve"> - оранжевый</t>
    </r>
  </si>
  <si>
    <t>ACRH1MS101RJ</t>
  </si>
  <si>
    <t>AHMA1BW101BG</t>
  </si>
  <si>
    <t>AHMA3BW201WH</t>
  </si>
  <si>
    <t>AHMA3BW202WH</t>
  </si>
  <si>
    <r>
      <rPr>
        <b/>
        <sz val="14"/>
        <color theme="1"/>
        <rFont val="Calibri"/>
        <family val="2"/>
        <charset val="204"/>
        <scheme val="minor"/>
      </rPr>
      <t>NF</t>
    </r>
    <r>
      <rPr>
        <sz val="14"/>
        <color theme="1"/>
        <rFont val="Calibri"/>
        <family val="2"/>
        <charset val="204"/>
        <scheme val="minor"/>
      </rPr>
      <t xml:space="preserve"> - нефрит</t>
    </r>
  </si>
  <si>
    <t>AHMA3BW101BG</t>
  </si>
  <si>
    <t>AHMA3BW102BG</t>
  </si>
  <si>
    <t>руб</t>
  </si>
  <si>
    <t>Курсы валют</t>
  </si>
  <si>
    <t>Вес товара, кг</t>
  </si>
  <si>
    <t>ФИНАНСЫ</t>
  </si>
  <si>
    <t>руб.</t>
  </si>
  <si>
    <t>Себестоимость Карго</t>
  </si>
  <si>
    <t>Себестоимость до ВБ</t>
  </si>
  <si>
    <t>Расходы ВБ</t>
  </si>
  <si>
    <t>Цена на ВБ</t>
  </si>
  <si>
    <t>своя</t>
  </si>
  <si>
    <r>
      <rPr>
        <b/>
        <sz val="14"/>
        <color theme="1"/>
        <rFont val="Calibri"/>
        <family val="2"/>
        <charset val="204"/>
        <scheme val="minor"/>
      </rPr>
      <t>A</t>
    </r>
    <r>
      <rPr>
        <sz val="14"/>
        <color theme="1"/>
        <rFont val="Calibri"/>
        <family val="2"/>
        <charset val="204"/>
        <scheme val="minor"/>
      </rPr>
      <t xml:space="preserve"> (Accessory) - аксессуары</t>
    </r>
  </si>
  <si>
    <r>
      <rPr>
        <b/>
        <sz val="14"/>
        <color theme="1"/>
        <rFont val="Calibri"/>
        <family val="2"/>
        <charset val="204"/>
        <scheme val="minor"/>
      </rPr>
      <t>BL </t>
    </r>
    <r>
      <rPr>
        <sz val="14"/>
        <color theme="1"/>
        <rFont val="Calibri"/>
        <family val="2"/>
        <charset val="204"/>
        <scheme val="minor"/>
      </rPr>
      <t>- синий</t>
    </r>
  </si>
  <si>
    <r>
      <rPr>
        <b/>
        <sz val="14"/>
        <color theme="1"/>
        <rFont val="Calibri"/>
        <family val="2"/>
        <charset val="204"/>
        <scheme val="minor"/>
      </rPr>
      <t>TB</t>
    </r>
    <r>
      <rPr>
        <sz val="14"/>
        <color theme="1"/>
        <rFont val="Calibri"/>
        <family val="2"/>
        <charset val="204"/>
        <scheme val="minor"/>
      </rPr>
      <t xml:space="preserve"> - таблетница</t>
    </r>
  </si>
  <si>
    <t>ACRA7TB101BC</t>
  </si>
  <si>
    <t>ACRA7TB201BC</t>
  </si>
  <si>
    <t>хранение, руб</t>
  </si>
  <si>
    <t>Штрихкод</t>
  </si>
  <si>
    <t>Код WB</t>
  </si>
  <si>
    <t>Комиссия ВБ</t>
  </si>
  <si>
    <t>15х8х7</t>
  </si>
  <si>
    <t>доставка, руб</t>
  </si>
  <si>
    <t>Матовый пластиковый пакет слайдер 20х25</t>
  </si>
  <si>
    <t>Матовый пластиковый пакет слайдер 20х30</t>
  </si>
  <si>
    <t>Матовый пластиковый пакет слайдер 25х30</t>
  </si>
  <si>
    <t>AHMA2BW201WH</t>
  </si>
  <si>
    <t>Стоимость доставки 1 кг товара без обрешетки</t>
  </si>
  <si>
    <t>Стоимость доставки 1 кг товара в обрешетке</t>
  </si>
  <si>
    <t>Стоимость доставки 1 кг</t>
  </si>
  <si>
    <t>вес товара в обрешетке, кг</t>
  </si>
  <si>
    <t>Итого вес товара+обрешетка, кг</t>
  </si>
  <si>
    <t>Стоимость обрешетки в доставке</t>
  </si>
  <si>
    <t>Доля от общей суммы доставки товара с тарой</t>
  </si>
  <si>
    <t>контроль общего веса</t>
  </si>
  <si>
    <t>%</t>
  </si>
  <si>
    <t>Маржинальность</t>
  </si>
  <si>
    <t>Номенклатура 1С</t>
  </si>
  <si>
    <t>Норма упаковки</t>
  </si>
  <si>
    <t>Желтые поля заполняются из таблицы Заказ-расчет</t>
  </si>
  <si>
    <t>18*25</t>
  </si>
  <si>
    <t>вес обрешетки + упаковка, кг</t>
  </si>
  <si>
    <t>вес упаковки, кг</t>
  </si>
  <si>
    <t>Массажер для пальцев</t>
  </si>
  <si>
    <t>Цена продажи на ВБ</t>
  </si>
  <si>
    <r>
      <rPr>
        <b/>
        <sz val="14"/>
        <color theme="1"/>
        <rFont val="Calibri"/>
        <family val="2"/>
        <charset val="204"/>
        <scheme val="minor"/>
      </rPr>
      <t>L</t>
    </r>
    <r>
      <rPr>
        <sz val="14"/>
        <color theme="1"/>
        <rFont val="Calibri"/>
        <family val="2"/>
        <charset val="204"/>
        <scheme val="minor"/>
      </rPr>
      <t xml:space="preserve"> (legs) - ноги</t>
    </r>
  </si>
  <si>
    <t>ACRB1MS101RJ</t>
  </si>
  <si>
    <t>15*10*10</t>
  </si>
  <si>
    <t>22*10*5</t>
  </si>
  <si>
    <t>25*15*5</t>
  </si>
  <si>
    <t>ACRB1MS101BL</t>
  </si>
  <si>
    <t>ACRB1MS101PN</t>
  </si>
  <si>
    <t>AHMA1BW111WH</t>
  </si>
  <si>
    <t>AHMA1BW112WH</t>
  </si>
  <si>
    <t>% себестоимости от цены продажи</t>
  </si>
  <si>
    <t>Обьем, л</t>
  </si>
  <si>
    <t>AHMA1BW301WH</t>
  </si>
  <si>
    <t>AHMA1BW302WH</t>
  </si>
  <si>
    <t>AHMA2BW202WH</t>
  </si>
  <si>
    <t>Параметры для доставки КАРГО</t>
  </si>
  <si>
    <t>12*18 (15+3)*утолщенный шелк 7-100шт</t>
  </si>
  <si>
    <t>14*20 (17+3)* утолщенный шелк 7-100шт</t>
  </si>
  <si>
    <t>18*27 (23+4)* утолщенный шелк 7-100шт</t>
  </si>
  <si>
    <t>20*30 (26+4)* утолщенный шелк 7-100шт</t>
  </si>
  <si>
    <t>20*34 (30+4)* утолщенный шелк 7-100шт</t>
  </si>
  <si>
    <t>22*34 (30+4)* утолщенный шелк 7-100шт</t>
  </si>
  <si>
    <t>24*34 (30+4)* утолщенный шелк 7-100шт</t>
  </si>
  <si>
    <t>Итого вес товара+упаковка, кг</t>
  </si>
  <si>
    <t>Оплата Товара в Китае (чистая стоимость)</t>
  </si>
  <si>
    <t>Доля стоимости доставки пропорционально доли от общего веса  товара с тарой</t>
  </si>
  <si>
    <t>Мяч регби синий</t>
  </si>
  <si>
    <t>Мяч регби красный</t>
  </si>
  <si>
    <t>Мяч шина синий</t>
  </si>
  <si>
    <t>Мяч шина красный</t>
  </si>
  <si>
    <r>
      <rPr>
        <b/>
        <sz val="14"/>
        <color theme="1"/>
        <rFont val="Calibri"/>
        <family val="2"/>
        <charset val="204"/>
        <scheme val="minor"/>
      </rPr>
      <t>AN</t>
    </r>
    <r>
      <rPr>
        <sz val="14"/>
        <color theme="1"/>
        <rFont val="Calibri"/>
        <family val="2"/>
        <charset val="204"/>
        <scheme val="minor"/>
      </rPr>
      <t xml:space="preserve"> (ANIMALS) - для животных</t>
    </r>
  </si>
  <si>
    <r>
      <rPr>
        <b/>
        <sz val="14"/>
        <color theme="1"/>
        <rFont val="Calibri"/>
        <family val="2"/>
        <charset val="204"/>
        <scheme val="minor"/>
      </rPr>
      <t>BL</t>
    </r>
    <r>
      <rPr>
        <sz val="14"/>
        <color theme="1"/>
        <rFont val="Calibri"/>
        <family val="2"/>
        <charset val="204"/>
        <scheme val="minor"/>
      </rPr>
      <t xml:space="preserve"> - мяч</t>
    </r>
  </si>
  <si>
    <r>
      <rPr>
        <b/>
        <sz val="14"/>
        <color theme="1"/>
        <rFont val="Calibri"/>
        <family val="2"/>
        <charset val="204"/>
        <scheme val="minor"/>
      </rPr>
      <t>ST</t>
    </r>
    <r>
      <rPr>
        <sz val="14"/>
        <color theme="1"/>
        <rFont val="Calibri"/>
        <family val="2"/>
        <charset val="204"/>
        <scheme val="minor"/>
      </rPr>
      <t xml:space="preserve"> - палка</t>
    </r>
  </si>
  <si>
    <r>
      <rPr>
        <b/>
        <sz val="14"/>
        <color theme="1"/>
        <rFont val="Calibri"/>
        <family val="2"/>
        <charset val="204"/>
        <scheme val="minor"/>
      </rPr>
      <t>D</t>
    </r>
    <r>
      <rPr>
        <sz val="14"/>
        <color theme="1"/>
        <rFont val="Calibri"/>
        <family val="2"/>
        <charset val="204"/>
        <scheme val="minor"/>
      </rPr>
      <t xml:space="preserve"> (dog) - собака</t>
    </r>
  </si>
  <si>
    <t>AAND1BL101BL</t>
  </si>
  <si>
    <t>AAND1BL101RD</t>
  </si>
  <si>
    <t>AAND1BL102BL</t>
  </si>
  <si>
    <t>AAND1BL102RD</t>
  </si>
  <si>
    <t>Матовый пластиковый пакет слайдер 18х25 100 шт</t>
  </si>
  <si>
    <r>
      <rPr>
        <b/>
        <sz val="14"/>
        <color theme="1"/>
        <rFont val="Calibri"/>
        <family val="2"/>
        <charset val="204"/>
        <scheme val="minor"/>
      </rPr>
      <t>CL</t>
    </r>
    <r>
      <rPr>
        <sz val="14"/>
        <color theme="1"/>
        <rFont val="Calibri"/>
        <family val="2"/>
        <charset val="204"/>
        <scheme val="minor"/>
      </rPr>
      <t xml:space="preserve"> - цветная</t>
    </r>
  </si>
  <si>
    <t>22*34</t>
  </si>
  <si>
    <t>24*34</t>
  </si>
  <si>
    <t>ACRA7TB401CL</t>
  </si>
  <si>
    <t>Массажер для тела оранжевый</t>
  </si>
  <si>
    <t>Массажер для тела голубой</t>
  </si>
  <si>
    <t>Массажер для тела розовый</t>
  </si>
  <si>
    <t>Скакалка черная</t>
  </si>
  <si>
    <t>Скакалка красная</t>
  </si>
  <si>
    <t>Скакалка синяя</t>
  </si>
  <si>
    <t>6*6*7</t>
  </si>
  <si>
    <t>5*16*4</t>
  </si>
  <si>
    <t>15*9*4</t>
  </si>
  <si>
    <t>16*12*3</t>
  </si>
  <si>
    <t>16*14*3</t>
  </si>
  <si>
    <t>ACRA7TB101CL</t>
  </si>
  <si>
    <t>AHMA4BW401BG</t>
  </si>
  <si>
    <t>AAND1RP301BG</t>
  </si>
  <si>
    <t>AAND1RP301YL</t>
  </si>
  <si>
    <t>ACRB1SK101BL</t>
  </si>
  <si>
    <t>ACRB1SK101RD</t>
  </si>
  <si>
    <t>ACRB1SK101BC</t>
  </si>
  <si>
    <t>ACRB1SK201BC</t>
  </si>
  <si>
    <t>15*10*11</t>
  </si>
  <si>
    <t>KT (kitchen) - кухня</t>
  </si>
  <si>
    <t>AKTA4ST101CL</t>
  </si>
  <si>
    <t>AKTA2KN101YL</t>
  </si>
  <si>
    <t>AKTA2KN101BL</t>
  </si>
  <si>
    <t>AKTA2KN102YL</t>
  </si>
  <si>
    <t>Вес</t>
  </si>
  <si>
    <t>Длина</t>
  </si>
  <si>
    <t>Ширина</t>
  </si>
  <si>
    <t>Высота</t>
  </si>
  <si>
    <t>Сколько в короб ВБ</t>
  </si>
  <si>
    <t>Упаковка</t>
  </si>
  <si>
    <t>Прибыль</t>
  </si>
  <si>
    <t>Чистая прибыль</t>
  </si>
  <si>
    <t>Шпатель голубой</t>
  </si>
  <si>
    <t>Набор пробок 4 шт.</t>
  </si>
  <si>
    <t>Артикул Поставщика</t>
  </si>
  <si>
    <t>ACRA7TB101GR</t>
  </si>
  <si>
    <t>15*10*12</t>
  </si>
  <si>
    <t>слайдер 18*25</t>
  </si>
  <si>
    <t>своя, 22*10*5 самосборная</t>
  </si>
  <si>
    <t>слайдер 25*30, ОРР 24*34</t>
  </si>
  <si>
    <t>Канат бол бежевый 55см/520гр</t>
  </si>
  <si>
    <t>Канат мал желтый 55см/330гр</t>
  </si>
  <si>
    <t>Цена в карточке</t>
  </si>
  <si>
    <t xml:space="preserve"> Скидка</t>
  </si>
  <si>
    <t>Арт. Поставщика</t>
  </si>
  <si>
    <t>Себестоимость товара на ВБ</t>
  </si>
  <si>
    <t>Рентабельность вложенных инвестиций</t>
  </si>
  <si>
    <t>ACRA7TB102CL</t>
  </si>
  <si>
    <t>Артикул ВБ</t>
  </si>
  <si>
    <t>15х8х8</t>
  </si>
  <si>
    <t>AAND1ST202BL</t>
  </si>
  <si>
    <t>Мешки 2 шт. серый</t>
  </si>
  <si>
    <t>Мешки 2 шт. розовый</t>
  </si>
  <si>
    <t>Бандаж для лица серый</t>
  </si>
  <si>
    <t>Бандаж для лица черный</t>
  </si>
  <si>
    <t>Бандаж для лица розовый</t>
  </si>
  <si>
    <t>НОМЕР ЗАКАЗА</t>
  </si>
  <si>
    <t>слайдер 20*30</t>
  </si>
  <si>
    <t xml:space="preserve">Пузырчатый пакет светло-розовый 15*20 </t>
  </si>
  <si>
    <t>ВПП голубой 16,5*22</t>
  </si>
  <si>
    <t>ВПП черный 13*18</t>
  </si>
  <si>
    <t>ВПП голубой 13*18</t>
  </si>
  <si>
    <t>ВПП розовый 13*19</t>
  </si>
  <si>
    <t xml:space="preserve">ВПП светло-розовый 15*20 </t>
  </si>
  <si>
    <t>Пузырчатый пакет голубой 16,5*22</t>
  </si>
  <si>
    <t>Пузырчатый пакет черный 13*18</t>
  </si>
  <si>
    <t>Пузырчатый пакет голубой 13*18</t>
  </si>
  <si>
    <t>Пузырчатый пакет розовый 13*19</t>
  </si>
  <si>
    <t>слайдер 25*31</t>
  </si>
  <si>
    <t>слайдер 20*25</t>
  </si>
  <si>
    <t>ОРР7 12*18</t>
  </si>
  <si>
    <t>ОРР7 14*20</t>
  </si>
  <si>
    <t>ОРР7 18*27</t>
  </si>
  <si>
    <t>ОРР7 20*30</t>
  </si>
  <si>
    <t>ОРР7 20*34</t>
  </si>
  <si>
    <t>ОРР722*34</t>
  </si>
  <si>
    <t>ОРР7 24*34</t>
  </si>
  <si>
    <t xml:space="preserve"> полипропиленовый пакет (Очень толстые 9 проводов - 100) 15*24</t>
  </si>
  <si>
    <t>полипропиленовый пакет (Очень толстые 9 проводов - 100) 18*27</t>
  </si>
  <si>
    <t xml:space="preserve">полипропиленовый пакет (Очень толстые 9 проводов - 100) 22*34 </t>
  </si>
  <si>
    <t>полипропиленовый пакет (Очень толстые 9 проводов - 100) 30*50</t>
  </si>
  <si>
    <t>полипропиленовый пакет (Очень толстые 9 проводов - 100) 45*60</t>
  </si>
  <si>
    <t>полипропиленовый пакет (Очень толстые 9 проводов - 100) 60*70</t>
  </si>
  <si>
    <t>ОРР9 15*24</t>
  </si>
  <si>
    <t>ОРР9 18*27</t>
  </si>
  <si>
    <t>ОРР9 22*34</t>
  </si>
  <si>
    <t>ОРР9 30*50</t>
  </si>
  <si>
    <t>ОРР9 45*60</t>
  </si>
  <si>
    <t>ОРР9 60*70</t>
  </si>
  <si>
    <t>УПАКОВКА</t>
  </si>
  <si>
    <t>177404837/1</t>
  </si>
  <si>
    <t>177404837/2</t>
  </si>
  <si>
    <t>177404837/3</t>
  </si>
  <si>
    <t>177405495/1</t>
  </si>
  <si>
    <t>177405495/2</t>
  </si>
  <si>
    <t>177405495/3</t>
  </si>
  <si>
    <t>204615141/1</t>
  </si>
  <si>
    <t>204615141/2</t>
  </si>
  <si>
    <t>236074677/1</t>
  </si>
  <si>
    <t>236074677/2</t>
  </si>
  <si>
    <t>176721350/1</t>
  </si>
  <si>
    <t>176721350/2</t>
  </si>
  <si>
    <t>176721350/3</t>
  </si>
  <si>
    <t>176723275/1</t>
  </si>
  <si>
    <t>176723275/2</t>
  </si>
  <si>
    <t>176723275/3</t>
  </si>
  <si>
    <t>Наименование</t>
  </si>
  <si>
    <t>Уникальный идентификатор номенклатуры</t>
  </si>
  <si>
    <t>Артикул</t>
  </si>
  <si>
    <t>Единица измерения</t>
  </si>
  <si>
    <t>шт</t>
  </si>
  <si>
    <t>41bac88d-77da-11ee-a959-dc215cfc6bb9</t>
  </si>
  <si>
    <t>41bac87c-77da-11ee-a959-dc215cfc6bb9</t>
  </si>
  <si>
    <t>5facb8c8-f104-11ee-a981-dc215cfc6bb5</t>
  </si>
  <si>
    <t>0b8dcd58-3c3f-11ef-a991-dc215cfc6bb9</t>
  </si>
  <si>
    <t>0b8dcd57-3c3f-11ef-a991-dc215cfc6bb9</t>
  </si>
  <si>
    <t>5e5c9986-5a60-11ef-a996-dc215cfc6bb9</t>
  </si>
  <si>
    <t>5e5c9987-5a60-11ef-a996-dc215cfc6bb9</t>
  </si>
  <si>
    <t>5e5c9985-5a60-11ef-a996-dc215cfc6bb9</t>
  </si>
  <si>
    <t>5e5c9984-5a60-11ef-a996-dc215cfc6bb9</t>
  </si>
  <si>
    <t>778007b9-9533-11ef-a9a8-dc215cfc6bb9</t>
  </si>
  <si>
    <t>778007ba-9533-11ef-a9a8-dc215cfc6bb9</t>
  </si>
  <si>
    <t>778007bb-9533-11ef-a9a8-dc215cfc6bb9</t>
  </si>
  <si>
    <t>778007bc-9533-11ef-a9a8-dc215cfc6bb9</t>
  </si>
  <si>
    <t>778007bf-9533-11ef-a9a8-dc215cfc6bb9</t>
  </si>
  <si>
    <t>19b04659-9543-11ef-a9a8-dc215cfc6bb9</t>
  </si>
  <si>
    <t>19b0465a-9543-11ef-a9a8-dc215cfc6bb9</t>
  </si>
  <si>
    <t>Вес комплект, кг</t>
  </si>
  <si>
    <t>Таблетница круглая 7*2 черн/цвет</t>
  </si>
  <si>
    <t>ЖЕЛАЕМАЯ ЦЕНА</t>
  </si>
  <si>
    <t>Пузырчатый пакет розовый 16,5*21</t>
  </si>
  <si>
    <t>ВПП розовый 16,5*21</t>
  </si>
  <si>
    <t>AKTA4ST102CL</t>
  </si>
  <si>
    <t>Нож для пиццы зеленый</t>
  </si>
  <si>
    <t>AKTA2KN102GN</t>
  </si>
  <si>
    <t>Пузырчатый пакет черный 18*23 см</t>
  </si>
  <si>
    <t>ВПП черный 18*23</t>
  </si>
  <si>
    <t>Пузырчатый пакет черный 15*20 см</t>
  </si>
  <si>
    <t>ВПП черный 15*20</t>
  </si>
  <si>
    <t>Мяч гладкий розовый</t>
  </si>
  <si>
    <t>ACRB1MS103PN</t>
  </si>
  <si>
    <t>Мяч гладкий голубой</t>
  </si>
  <si>
    <t>Мяч гладкий сиреневый</t>
  </si>
  <si>
    <t>Мяч гладкий оранжевый</t>
  </si>
  <si>
    <t>ACRB1MS103BL</t>
  </si>
  <si>
    <t>ACRB1MS103RJ</t>
  </si>
  <si>
    <r>
      <rPr>
        <b/>
        <sz val="14"/>
        <color theme="1"/>
        <rFont val="Calibri"/>
        <family val="2"/>
        <charset val="204"/>
        <scheme val="minor"/>
      </rPr>
      <t>LI</t>
    </r>
    <r>
      <rPr>
        <sz val="14"/>
        <color theme="1"/>
        <rFont val="Calibri"/>
        <family val="2"/>
        <charset val="204"/>
        <scheme val="minor"/>
      </rPr>
      <t xml:space="preserve"> - сиреневый</t>
    </r>
  </si>
  <si>
    <t>ACRB1MS103LI</t>
  </si>
  <si>
    <t>Чеснокодавка</t>
  </si>
  <si>
    <t>Консервный нож</t>
  </si>
  <si>
    <r>
      <rPr>
        <b/>
        <sz val="14"/>
        <color theme="1"/>
        <rFont val="Calibri"/>
        <family val="2"/>
        <charset val="204"/>
        <scheme val="minor"/>
      </rPr>
      <t>RO</t>
    </r>
    <r>
      <rPr>
        <sz val="14"/>
        <color theme="1"/>
        <rFont val="Calibri"/>
        <family val="2"/>
        <charset val="204"/>
        <scheme val="minor"/>
      </rPr>
      <t xml:space="preserve"> - канат</t>
    </r>
  </si>
  <si>
    <r>
      <rPr>
        <b/>
        <sz val="14"/>
        <color theme="1"/>
        <rFont val="Calibri"/>
        <family val="2"/>
        <charset val="204"/>
        <scheme val="minor"/>
      </rPr>
      <t>ST</t>
    </r>
    <r>
      <rPr>
        <sz val="14"/>
        <color theme="1"/>
        <rFont val="Calibri"/>
        <family val="2"/>
        <charset val="204"/>
        <scheme val="minor"/>
      </rPr>
      <t xml:space="preserve"> - stopper- пробка</t>
    </r>
  </si>
  <si>
    <r>
      <rPr>
        <b/>
        <sz val="14"/>
        <color theme="1"/>
        <rFont val="Calibri"/>
        <family val="2"/>
        <charset val="204"/>
        <scheme val="minor"/>
      </rPr>
      <t>KN</t>
    </r>
    <r>
      <rPr>
        <sz val="14"/>
        <color theme="1"/>
        <rFont val="Calibri"/>
        <family val="2"/>
        <charset val="204"/>
        <scheme val="minor"/>
      </rPr>
      <t xml:space="preserve"> - knife - нож</t>
    </r>
  </si>
  <si>
    <r>
      <rPr>
        <b/>
        <sz val="14"/>
        <color theme="1"/>
        <rFont val="Calibri"/>
        <family val="2"/>
        <charset val="204"/>
        <scheme val="minor"/>
      </rPr>
      <t>PR</t>
    </r>
    <r>
      <rPr>
        <sz val="14"/>
        <color theme="1"/>
        <rFont val="Calibri"/>
        <family val="2"/>
        <charset val="204"/>
        <scheme val="minor"/>
      </rPr>
      <t xml:space="preserve"> - press - пресс</t>
    </r>
  </si>
  <si>
    <t>AKTA1PR101GR</t>
  </si>
  <si>
    <t>AKTA1KN101GR</t>
  </si>
  <si>
    <t>ACRA7TB103CL</t>
  </si>
  <si>
    <t>15х8х9</t>
  </si>
  <si>
    <t>Таблетница круглая 7*2 сер /цвет</t>
  </si>
  <si>
    <t>Артикул ВБ для заказа</t>
  </si>
  <si>
    <t>321959186/1</t>
  </si>
  <si>
    <t>321959186/2</t>
  </si>
  <si>
    <t>321959186/3</t>
  </si>
  <si>
    <t>321959186/4</t>
  </si>
  <si>
    <t>Набор пробок 4 шт. в коробке нежн</t>
  </si>
  <si>
    <t>Набор пробок 4 шт. в коробке ярк</t>
  </si>
  <si>
    <t>AKTA4ST103CL</t>
  </si>
  <si>
    <t>Участие в акиции</t>
  </si>
  <si>
    <t>Цена акции</t>
  </si>
  <si>
    <t>Маржа акции</t>
  </si>
  <si>
    <t>Остатки</t>
  </si>
  <si>
    <t>Оборачиваемость</t>
  </si>
  <si>
    <t>Себестоимость до МП</t>
  </si>
  <si>
    <t>0498dab9-f8f0-11ef-a9d2-dc215cfc6bb9</t>
  </si>
  <si>
    <t>0498daba-f8f0-11ef-a9d2-dc215cfc6bb9</t>
  </si>
  <si>
    <t>0498dabb-f8f0-11ef-a9d2-dc215cfc6bb9</t>
  </si>
  <si>
    <t>0498dabd-f8f0-11ef-a9d2-dc215cfc6bb9</t>
  </si>
  <si>
    <t>0498dac1-f8f0-11ef-a9d2-dc215cfc6bb9</t>
  </si>
  <si>
    <t>0498dac2-f8f0-11ef-a9d2-dc215cfc6bb9</t>
  </si>
  <si>
    <t>0498dabe-f8f0-11ef-a9d2-dc215cfc6bb9</t>
  </si>
  <si>
    <t>0498dabf-f8f0-11ef-a9d2-dc215cfc6bb9</t>
  </si>
  <si>
    <t>0498dacb-f8f0-11ef-a9d2-dc215cfc6bb9</t>
  </si>
  <si>
    <t>0498dac3-f8f0-11ef-a9d2-dc215cfc6bb9</t>
  </si>
  <si>
    <t>0498dac4-f8f0-11ef-a9d2-dc215cfc6bb9</t>
  </si>
  <si>
    <t>0498dac5-f8f0-11ef-a9d2-dc215cfc6bb9</t>
  </si>
  <si>
    <t>0498dac6-f8f0-11ef-a9d2-dc215cfc6bb9</t>
  </si>
  <si>
    <t>0498dad1-f8f0-11ef-a9d2-dc215cfc6bb9</t>
  </si>
  <si>
    <t>0498dac0-f8f0-11ef-a9d2-dc215cfc6bb9</t>
  </si>
  <si>
    <t>0498dace-f8f0-11ef-a9d2-dc215cfc6bb9</t>
  </si>
  <si>
    <t>0498dae3-f8f0-11ef-a9d2-dc215cfc6bb9</t>
  </si>
  <si>
    <t>0498dae2-f8f0-11ef-a9d2-dc215cfc6bb9</t>
  </si>
  <si>
    <t>0498dae0-f8f0-11ef-a9d2-dc215cfc6bb9</t>
  </si>
  <si>
    <t>0498dade-f8f0-11ef-a9d2-dc215cfc6bb9</t>
  </si>
  <si>
    <t>0498dadf-f8f0-11ef-a9d2-dc215cfc6bb9</t>
  </si>
  <si>
    <t>0498dacc-f8f0-11ef-a9d2-dc215cfc6bb9</t>
  </si>
  <si>
    <t>0498dadd-f8f0-11ef-a9d2-dc215cfc6bb9</t>
  </si>
  <si>
    <t>0498dad2-f8f0-11ef-a9d2-dc215cfc6bb9</t>
  </si>
  <si>
    <t>0498dae1-f8f0-11ef-a9d2-dc215cfc6bb9</t>
  </si>
  <si>
    <t>0498dae4-f8f0-11ef-a9d2-dc215cfc6bb9</t>
  </si>
  <si>
    <t>0498dad9-f8f0-11ef-a9d2-dc215cfc6bb9</t>
  </si>
  <si>
    <t>0498dada-f8f0-11ef-a9d2-dc215cfc6bb9</t>
  </si>
  <si>
    <t>0498dadb-f8f0-11ef-a9d2-dc215cfc6bb9</t>
  </si>
  <si>
    <t>0498dadc-f8f0-11ef-a9d2-dc215cfc6bb9</t>
  </si>
  <si>
    <t>0498dae6-f8f0-11ef-a9d2-dc215cfc6bb9</t>
  </si>
  <si>
    <t>0498dae5-f8f0-11ef-a9d2-dc215cfc6bb9</t>
  </si>
  <si>
    <t>d17f2393-08c7-11f0-a9d5-dc215cfc6bb9</t>
  </si>
  <si>
    <t>0498dad0-f8f0-11ef-a9d2-dc215cfc6bb9</t>
  </si>
  <si>
    <t>0498dad5-f8f0-11ef-a9d2-dc215cfc6bb9</t>
  </si>
  <si>
    <t>0498dad6-f8f0-11ef-a9d2-dc215cfc6bb9</t>
  </si>
  <si>
    <t>0498dad7-f8f0-11ef-a9d2-dc215cfc6bb9</t>
  </si>
  <si>
    <t>0498dad8-f8f0-11ef-a9d2-dc215cfc6bb9</t>
  </si>
  <si>
    <t>0498dacd-f8f0-11ef-a9d2-dc215cfc6bb9</t>
  </si>
  <si>
    <t>0498dacf-f8f0-11ef-a9d2-dc215cfc6bb9</t>
  </si>
  <si>
    <t>d17f2392-08c7-11f0-a9d5-dc215cfc6bb9</t>
  </si>
  <si>
    <t>5</t>
  </si>
  <si>
    <t>6</t>
  </si>
  <si>
    <t>7</t>
  </si>
  <si>
    <t>21</t>
  </si>
  <si>
    <t>23</t>
  </si>
  <si>
    <t>24</t>
  </si>
  <si>
    <t>25</t>
  </si>
  <si>
    <t>28</t>
  </si>
  <si>
    <t>29</t>
  </si>
  <si>
    <t>30</t>
  </si>
  <si>
    <t>31</t>
  </si>
  <si>
    <t>33</t>
  </si>
  <si>
    <t>34</t>
  </si>
  <si>
    <t>36</t>
  </si>
  <si>
    <t>37</t>
  </si>
  <si>
    <t>38</t>
  </si>
  <si>
    <t>39</t>
  </si>
  <si>
    <t>40</t>
  </si>
  <si>
    <t>43</t>
  </si>
  <si>
    <t>44</t>
  </si>
  <si>
    <t>45</t>
  </si>
  <si>
    <t>46</t>
  </si>
  <si>
    <t>47</t>
  </si>
  <si>
    <t>49</t>
  </si>
  <si>
    <t>50</t>
  </si>
  <si>
    <t>54</t>
  </si>
  <si>
    <t>55</t>
  </si>
  <si>
    <t>56</t>
  </si>
  <si>
    <t>Мяч с шипами оранжевый 6 см</t>
  </si>
  <si>
    <t>Мяч с шипами голубой 6 см</t>
  </si>
  <si>
    <t>Мяч с шипами белый 6 см</t>
  </si>
  <si>
    <t>Мяч с шипами розовый 6 см</t>
  </si>
  <si>
    <t>Мяч с шипами черный 6 см</t>
  </si>
  <si>
    <t>Мяч с шипами белый 7 см</t>
  </si>
  <si>
    <t>Мяч с шипами розовый 7 см</t>
  </si>
  <si>
    <t>Мяч с шипами голубой 7 см</t>
  </si>
  <si>
    <t>Мяч с шипами оранжевый 7 см</t>
  </si>
  <si>
    <t>Мяч с шипами черный 7 см</t>
  </si>
  <si>
    <t>Мяч с шипами розовый 9 см</t>
  </si>
  <si>
    <t>Мяч с шипами голубой 9 см</t>
  </si>
  <si>
    <t>Мяч с шипами оранжевый 9 см</t>
  </si>
  <si>
    <t>Мяч с шипами черный 9 см</t>
  </si>
  <si>
    <t>Мяч с шипами фиолетовый 9 см</t>
  </si>
  <si>
    <t>ACRB1MS107WH</t>
  </si>
  <si>
    <t>ACRB1MS107PN</t>
  </si>
  <si>
    <t>ACRB1MS107BL</t>
  </si>
  <si>
    <t>ACRB1MS107RJ</t>
  </si>
  <si>
    <t>ACRB1MS107BС</t>
  </si>
  <si>
    <t>ACRB1MS109PN</t>
  </si>
  <si>
    <t>ACRB1MS109BL</t>
  </si>
  <si>
    <t>ACRB1MS109RJ</t>
  </si>
  <si>
    <t>ACRB1MS109BС</t>
  </si>
  <si>
    <t>ACRB1MS109LI</t>
  </si>
  <si>
    <t>ACRA7TB301CL</t>
  </si>
  <si>
    <t>ACRA7TB301WH</t>
  </si>
  <si>
    <t>ACRA7TB301GR</t>
  </si>
  <si>
    <t>ACRB1MS106WH</t>
  </si>
  <si>
    <t>ACRB1MS106PN</t>
  </si>
  <si>
    <t>ACRB1MS106BL</t>
  </si>
  <si>
    <t>ACRB1MS106RJ</t>
  </si>
  <si>
    <t>ACRB1MS106BС</t>
  </si>
  <si>
    <t>Мешки 3 шт.</t>
  </si>
  <si>
    <t>Мешки 7 шт.</t>
  </si>
  <si>
    <t>Мешок для бюстгалтеров</t>
  </si>
  <si>
    <t>Мешки/деликат 3 шт.</t>
  </si>
  <si>
    <t>Мешки/шнурок мелк 3 шт.</t>
  </si>
  <si>
    <t>Мешки/шнурок крупн 3 шт.</t>
  </si>
  <si>
    <t>Мешок 60*80 крупн</t>
  </si>
  <si>
    <t>Мешок 60*80 мелк</t>
  </si>
  <si>
    <t>Мешок для обуви L - 30 см</t>
  </si>
  <si>
    <t>Мешок для обуви XL - 35 см</t>
  </si>
  <si>
    <t>Таблетница прям 7*2 черн</t>
  </si>
  <si>
    <t>Таблетница круглая 7*2 черн</t>
  </si>
  <si>
    <t>Таблетница круглая 7*2 сер</t>
  </si>
  <si>
    <t>Таблетница автомат 7*2 черн</t>
  </si>
  <si>
    <t>Скакалка со счетчиком</t>
  </si>
  <si>
    <t>Палочка для жевания</t>
  </si>
  <si>
    <t>Нож для пиццы желтый</t>
  </si>
  <si>
    <t>Шпатель желтый</t>
  </si>
  <si>
    <t>Таблетница круглая 7*2 бел</t>
  </si>
  <si>
    <t>ACRA7TB401BC</t>
  </si>
  <si>
    <t>ACRA7TB201CL</t>
  </si>
  <si>
    <t>Артикул OZON</t>
  </si>
  <si>
    <t>Код OZON</t>
  </si>
  <si>
    <t>Входит в группу</t>
  </si>
  <si>
    <t>Код</t>
  </si>
  <si>
    <t>Комментарий</t>
  </si>
  <si>
    <t>Бандажи</t>
  </si>
  <si>
    <t>00-00000114</t>
  </si>
  <si>
    <t>00-00000115</t>
  </si>
  <si>
    <t>00-00000116</t>
  </si>
  <si>
    <t>Мешки для стирки</t>
  </si>
  <si>
    <t>00-00000118</t>
  </si>
  <si>
    <t>00-00000011</t>
  </si>
  <si>
    <t>00-00000122</t>
  </si>
  <si>
    <t>00-00000123</t>
  </si>
  <si>
    <t>00-00000119</t>
  </si>
  <si>
    <t>00-00000120</t>
  </si>
  <si>
    <t>Таблетницы</t>
  </si>
  <si>
    <t>00-00000132</t>
  </si>
  <si>
    <t>00-00000124</t>
  </si>
  <si>
    <t>Массажеры механические</t>
  </si>
  <si>
    <t>00-00000067</t>
  </si>
  <si>
    <t>00-00000125</t>
  </si>
  <si>
    <t>00-00000126</t>
  </si>
  <si>
    <t>00-00000127</t>
  </si>
  <si>
    <t>00-00000076</t>
  </si>
  <si>
    <t>00-00000075</t>
  </si>
  <si>
    <t>Животные</t>
  </si>
  <si>
    <t>00-00000080</t>
  </si>
  <si>
    <t>00-00000079</t>
  </si>
  <si>
    <t>00-00000138</t>
  </si>
  <si>
    <t>Скакалки</t>
  </si>
  <si>
    <t>00-00000094</t>
  </si>
  <si>
    <t>00-00000095</t>
  </si>
  <si>
    <t>00-00000096</t>
  </si>
  <si>
    <t>00-00000097</t>
  </si>
  <si>
    <t>00-00000121</t>
  </si>
  <si>
    <t>00-00000135</t>
  </si>
  <si>
    <t>Кухня</t>
  </si>
  <si>
    <t>00-00000156</t>
  </si>
  <si>
    <t>00-00000155</t>
  </si>
  <si>
    <t>00-00000100</t>
  </si>
  <si>
    <t>00-00000153</t>
  </si>
  <si>
    <t>00-00000151</t>
  </si>
  <si>
    <t>00-00000152</t>
  </si>
  <si>
    <t>00-00000101</t>
  </si>
  <si>
    <t>00-00000102</t>
  </si>
  <si>
    <t>00-00000133</t>
  </si>
  <si>
    <t>00-00000150</t>
  </si>
  <si>
    <t>ACRA7TB401BL</t>
  </si>
  <si>
    <t>00-00000139</t>
  </si>
  <si>
    <t>00-00000154</t>
  </si>
  <si>
    <t>00-00000157</t>
  </si>
  <si>
    <t>00-00000146</t>
  </si>
  <si>
    <t>00-00000147</t>
  </si>
  <si>
    <t>00-00000148</t>
  </si>
  <si>
    <t>00-00000149</t>
  </si>
  <si>
    <t>00-00000159</t>
  </si>
  <si>
    <t>00-00000158</t>
  </si>
  <si>
    <t>00-00000167</t>
  </si>
  <si>
    <t>00-00000018</t>
  </si>
  <si>
    <t>00-00000137</t>
  </si>
  <si>
    <t>00-00000142</t>
  </si>
  <si>
    <t>00-00000143</t>
  </si>
  <si>
    <t>00-00000144</t>
  </si>
  <si>
    <t>00-00000145</t>
  </si>
  <si>
    <t>00-00000081</t>
  </si>
  <si>
    <t>00-00000082</t>
  </si>
  <si>
    <t>00-00000134</t>
  </si>
  <si>
    <t>00-00000136</t>
  </si>
  <si>
    <t>00-00000166</t>
  </si>
  <si>
    <t>WB 169112569/Бандаж для лица розовый/ACRF1BN101PN/2038161736993</t>
  </si>
  <si>
    <t>WB 173605843/OZ 1597441701/Массажер для пальцев/ACRH1MS101RJ/2038430289250</t>
  </si>
  <si>
    <t>WB 176500218/OZ 2138709303/Мешок для бюстгалтеров/AHMA1BW101BG/2038597850744</t>
  </si>
  <si>
    <t>WB 177405495/Мешки/деликат 3 шт./AHMA3BW102BG/2038627713902</t>
  </si>
  <si>
    <t>WB 186800214/OZ 2087001323/Таблетница круглая 7*2 черн/ACRA7TB101BC/2038890789598</t>
  </si>
  <si>
    <t>WB 186826338/OZ 1980946313/Таблетница прям 7*2 черн/ACRA7TB201BC/2038891723249</t>
  </si>
  <si>
    <t>WB 236074677/Мешки 2 шт. розовый/AHMA2BW202WH/2040278862540</t>
  </si>
  <si>
    <t>WB 239233529/Мешок для обуви XL - 35 см/AHMA1BW302WH/2040478696884</t>
  </si>
  <si>
    <t>WB 239235150/Мешок для обуви L - 30 см/AHMA1BW301WH/2040478720961</t>
  </si>
  <si>
    <t>WB 251407392/OZ 1980958902/Мяч шина синий/AAND1BL102BL/2040900511679</t>
  </si>
  <si>
    <t>WB 251516159/OZ 1980956952/Мяч шина красный/AAND1BL102RD/2040902555480</t>
  </si>
  <si>
    <t>WB 253681275/Таблетница автомат 7*2 цветн/ACRA7TB401CL/2040957863936</t>
  </si>
  <si>
    <t>WB 271441230/Скакалка со счетчиком/ACRB1SK201BC/2041473042966</t>
  </si>
  <si>
    <t>WB 273513216/Мешки 4 шт./AHMA4BW401BG/2041532752478</t>
  </si>
  <si>
    <t>WB 273516556/OZ 2138705583/Таблетница круглая 7*2 бел/ACRA7TB301WH/2041532808502</t>
  </si>
  <si>
    <t>WB 273527791/OZ 2092093001/Нож для пиццы желтый/AKTA2KN102YL/2041533038113</t>
  </si>
  <si>
    <t>WB 273546535/OZ 2086999506/Шпатель желтый/AKTA2KN101YL/2041533399818</t>
  </si>
  <si>
    <t>WB 273551028/Шпатель голубой/AKTA2KN101BL/2041533587000</t>
  </si>
  <si>
    <t>WB 273588520/Канат бол бежевый 55см/520гр/AAND1RP301BG/2041534216404</t>
  </si>
  <si>
    <t>WB 278515093/OZ 2082252055/Таблетница круглая 7*2 сер/ACRA7TB301GR/2041680530447</t>
  </si>
  <si>
    <t>WB 298193176/OZ 2087000633/Таблетница круглая 7*2 черн/цвет/ACRA7TB101CL/2042160422832</t>
  </si>
  <si>
    <t>WB 302564795/Палочка для жевания/AAND1ST202BL/2042253544953</t>
  </si>
  <si>
    <t>WB 321907864/Таблетница автомат 7*2 черн/ACRA7TB401BC/2042676873814</t>
  </si>
  <si>
    <t>WB 321959186/Набор пробок 4 шт./AKTA4ST102CL/2042678197468</t>
  </si>
  <si>
    <t>WB 327442631/OZ 2087000111/Нож для пиццы зеленый/AKTA2KN102GN/2042777181566</t>
  </si>
  <si>
    <t>WB 340734340/Мяч гладкий розовый/ACRB1MS103PN/2042985583893</t>
  </si>
  <si>
    <t>WB 340741532/Мяч гладкий голубой/ACRB1MS103BL/2042986356632</t>
  </si>
  <si>
    <t>WB 340743352/Мяч гладкий сиреневый/ACRB1MS103LI/2042986372359</t>
  </si>
  <si>
    <t>WB 340743911/Мяч гладкий оранжевый/ACRB1MS103RJ/2042986377583</t>
  </si>
  <si>
    <t>WB 340802685/Чеснокодавка/AKTA1PR101GR/2042987041841</t>
  </si>
  <si>
    <t>WB 340948906/Консервный нож/AKTA1KN101GR/2042988749289</t>
  </si>
  <si>
    <t>WB 345168494/OZ 2082255799/Таблетница круглая 7*2 сер /цвет/ACRA7TB301CL/2043048226719</t>
  </si>
  <si>
    <t>273589771/Канат мал желтый 55см/330гр/AAND1RP301YL/2041534288661</t>
  </si>
  <si>
    <t>Таблетница прям 7*2 черн/цветн</t>
  </si>
  <si>
    <t>% Расходов OZON в выроучке</t>
  </si>
  <si>
    <t>Ручной ввод артикулов</t>
  </si>
  <si>
    <t>ACRA7TB201WH</t>
  </si>
  <si>
    <t>ACRA7TB201LI</t>
  </si>
  <si>
    <t>Таблетница прям 7*2 бел/цветн</t>
  </si>
  <si>
    <t>Таблетница прям 7*2 сирен/цветн</t>
  </si>
  <si>
    <t>Ссылка на справочник</t>
  </si>
  <si>
    <t>Справочник FBO</t>
  </si>
  <si>
    <t>По среднее время доставки</t>
  </si>
  <si>
    <t>Про обработку возврата</t>
  </si>
  <si>
    <t>Пояснение к расчёту логистики с учётом выкупа</t>
  </si>
  <si>
    <t>Цена продажи на OZON</t>
  </si>
  <si>
    <t>Расходы OZON</t>
  </si>
  <si>
    <t>Комиссия OZON</t>
  </si>
  <si>
    <t>Эквайринг</t>
  </si>
  <si>
    <t>Логистика доставки</t>
  </si>
  <si>
    <t>ЛОГИСТИКА ИТОГО</t>
  </si>
  <si>
    <t>% Логистики в выручке</t>
  </si>
  <si>
    <t>часы</t>
  </si>
  <si>
    <t>22</t>
  </si>
  <si>
    <t>Объем</t>
  </si>
  <si>
    <t>Комиссия за доставку рассчитывается</t>
  </si>
  <si>
    <t>Процент от цены товара</t>
  </si>
  <si>
    <t>Коэффициент к базовому тарифу логистики</t>
  </si>
  <si>
    <t>Среднее время доставки, часы</t>
  </si>
  <si>
    <r>
      <t xml:space="preserve">4. Если поставка в кластер </t>
    </r>
    <r>
      <rPr>
        <b/>
        <sz val="14"/>
        <color theme="1"/>
        <rFont val="Calibri"/>
        <family val="2"/>
        <charset val="204"/>
        <scheme val="minor"/>
      </rPr>
      <t>Казань</t>
    </r>
    <r>
      <rPr>
        <sz val="14"/>
        <color theme="1"/>
        <rFont val="Calibri"/>
        <family val="2"/>
        <charset val="204"/>
        <scheme val="minor"/>
      </rPr>
      <t xml:space="preserve"> недоступна, выберите альтернативные кластеры — они выделены жёлтым цветом. Например, можно привезти товары в </t>
    </r>
    <r>
      <rPr>
        <b/>
        <sz val="14"/>
        <color theme="1"/>
        <rFont val="Calibri"/>
        <family val="2"/>
        <charset val="204"/>
        <scheme val="minor"/>
      </rPr>
      <t>Москву</t>
    </r>
    <r>
      <rPr>
        <sz val="14"/>
        <color theme="1"/>
        <rFont val="Calibri"/>
        <family val="2"/>
        <charset val="204"/>
        <scheme val="minor"/>
      </rPr>
      <t xml:space="preserve">, </t>
    </r>
    <r>
      <rPr>
        <b/>
        <sz val="14"/>
        <color theme="1"/>
        <rFont val="Calibri"/>
        <family val="2"/>
        <charset val="204"/>
        <scheme val="minor"/>
      </rPr>
      <t>Воронеж</t>
    </r>
    <r>
      <rPr>
        <sz val="14"/>
        <color theme="1"/>
        <rFont val="Calibri"/>
        <family val="2"/>
        <charset val="204"/>
        <scheme val="minor"/>
      </rPr>
      <t xml:space="preserve">, </t>
    </r>
    <r>
      <rPr>
        <b/>
        <sz val="14"/>
        <color theme="1"/>
        <rFont val="Calibri"/>
        <family val="2"/>
        <charset val="204"/>
        <scheme val="minor"/>
      </rPr>
      <t>Самару</t>
    </r>
    <r>
      <rPr>
        <sz val="14"/>
        <color theme="1"/>
        <rFont val="Calibri"/>
        <family val="2"/>
        <charset val="204"/>
        <scheme val="minor"/>
      </rPr>
      <t xml:space="preserve"> или </t>
    </r>
    <r>
      <rPr>
        <b/>
        <sz val="14"/>
        <color theme="1"/>
        <rFont val="Calibri"/>
        <family val="2"/>
        <charset val="204"/>
        <scheme val="minor"/>
      </rPr>
      <t>Уфу</t>
    </r>
    <r>
      <rPr>
        <sz val="14"/>
        <color theme="1"/>
        <rFont val="Calibri"/>
        <family val="2"/>
        <charset val="204"/>
        <scheme val="minor"/>
      </rPr>
      <t xml:space="preserve"> — доставка из этих кластеров в </t>
    </r>
    <r>
      <rPr>
        <b/>
        <sz val="14"/>
        <color theme="1"/>
        <rFont val="Calibri"/>
        <family val="2"/>
        <charset val="204"/>
        <scheme val="minor"/>
      </rPr>
      <t>Казань</t>
    </r>
    <r>
      <rPr>
        <sz val="14"/>
        <color theme="1"/>
        <rFont val="Calibri"/>
        <family val="2"/>
        <charset val="204"/>
        <scheme val="minor"/>
      </rPr>
      <t xml:space="preserve"> займёт 45 часов.</t>
    </r>
  </si>
  <si>
    <r>
      <t xml:space="preserve">3. Посмотрите с каким нормативным временем будут доставлять ваши заказы в кластер </t>
    </r>
    <r>
      <rPr>
        <b/>
        <sz val="14"/>
        <color theme="1"/>
        <rFont val="Calibri"/>
        <family val="2"/>
        <charset val="204"/>
        <scheme val="minor"/>
      </rPr>
      <t>Казань</t>
    </r>
    <r>
      <rPr>
        <sz val="14"/>
        <color theme="1"/>
        <rFont val="Calibri"/>
        <family val="2"/>
        <charset val="204"/>
        <scheme val="minor"/>
      </rPr>
      <t xml:space="preserve">. Из </t>
    </r>
    <r>
      <rPr>
        <b/>
        <sz val="14"/>
        <color theme="1"/>
        <rFont val="Calibri"/>
        <family val="2"/>
        <charset val="204"/>
        <scheme val="minor"/>
      </rPr>
      <t>Казани</t>
    </r>
    <r>
      <rPr>
        <sz val="14"/>
        <color theme="1"/>
        <rFont val="Calibri"/>
        <family val="2"/>
        <charset val="204"/>
        <scheme val="minor"/>
      </rPr>
      <t xml:space="preserve"> — за 28 часов. В этот кластер стоит сделать поставку, чтобы ваши товары доставлялись быстро и среднее время доставки улучшалось, а затраты на логистику уменьшились. </t>
    </r>
  </si>
  <si>
    <r>
      <t xml:space="preserve">2. Определите в каком кластере есть спрос на ваши товары. Например, в кластере </t>
    </r>
    <r>
      <rPr>
        <b/>
        <sz val="14"/>
        <color theme="1"/>
        <rFont val="Calibri"/>
        <family val="2"/>
        <charset val="204"/>
        <scheme val="minor"/>
      </rPr>
      <t>Казань</t>
    </r>
    <r>
      <rPr>
        <sz val="14"/>
        <color theme="1"/>
        <rFont val="Calibri"/>
        <family val="2"/>
        <charset val="204"/>
        <scheme val="minor"/>
      </rPr>
      <t>.</t>
    </r>
  </si>
  <si>
    <t>1. Слева отображаем кластер отгрузки, сверху (по горизонтали) — кластер доставки.</t>
  </si>
  <si>
    <r>
      <rPr>
        <sz val="14"/>
        <color theme="1"/>
        <rFont val="Calibri"/>
        <family val="2"/>
        <charset val="204"/>
        <scheme val="minor"/>
      </rPr>
      <t xml:space="preserve">Как работать с таблицей:
1. Слева отображаем кластер отгрузки, сверху (по горизонтали) — кластер доставки
2. Определите в каком кластере есть спрос на ваши товары. Например, в кластере </t>
    </r>
    <r>
      <rPr>
        <b/>
        <sz val="14"/>
        <color theme="1"/>
        <rFont val="Calibri"/>
        <family val="2"/>
        <charset val="204"/>
        <scheme val="minor"/>
      </rPr>
      <t>Казань</t>
    </r>
    <r>
      <rPr>
        <sz val="14"/>
        <color theme="1"/>
        <rFont val="Calibri"/>
        <family val="2"/>
        <charset val="204"/>
        <scheme val="minor"/>
      </rPr>
      <t xml:space="preserve">.
3. Посмотрите с каким нормативным временем будут доставлять ваши заказы в кластер </t>
    </r>
    <r>
      <rPr>
        <b/>
        <sz val="14"/>
        <color theme="1"/>
        <rFont val="Calibri"/>
        <family val="2"/>
        <charset val="204"/>
        <scheme val="minor"/>
      </rPr>
      <t>Казань</t>
    </r>
    <r>
      <rPr>
        <sz val="14"/>
        <color theme="1"/>
        <rFont val="Calibri"/>
        <family val="2"/>
        <charset val="204"/>
        <scheme val="minor"/>
      </rPr>
      <t xml:space="preserve">. Самый быстрый маршрут из </t>
    </r>
    <r>
      <rPr>
        <b/>
        <sz val="14"/>
        <color theme="1"/>
        <rFont val="Calibri"/>
        <family val="2"/>
        <charset val="204"/>
        <scheme val="minor"/>
      </rPr>
      <t>Казани</t>
    </r>
    <r>
      <rPr>
        <sz val="14"/>
        <color theme="1"/>
        <rFont val="Calibri"/>
        <family val="2"/>
        <charset val="204"/>
        <scheme val="minor"/>
      </rPr>
      <t xml:space="preserve"> в Казань — нормативное время 28 часов. В этот кластер стоит сделать поставку, чтобы ваши товары доставлялись быстро и среднее время доставки улучшалось, а затраты сокращались.
4. Если поставка в кластер </t>
    </r>
    <r>
      <rPr>
        <b/>
        <sz val="14"/>
        <color theme="1"/>
        <rFont val="Calibri"/>
        <family val="2"/>
        <charset val="204"/>
        <scheme val="minor"/>
      </rPr>
      <t>Казань</t>
    </r>
    <r>
      <rPr>
        <sz val="14"/>
        <color theme="1"/>
        <rFont val="Calibri"/>
        <family val="2"/>
        <charset val="204"/>
        <scheme val="minor"/>
      </rPr>
      <t xml:space="preserve"> недоступна, выберите альтернативные кластеры — они выделены жёлтым цветом. Например, можно привезти товары в </t>
    </r>
    <r>
      <rPr>
        <b/>
        <sz val="14"/>
        <color theme="1"/>
        <rFont val="Calibri"/>
        <family val="2"/>
        <charset val="204"/>
        <scheme val="minor"/>
      </rPr>
      <t>Москву</t>
    </r>
    <r>
      <rPr>
        <sz val="14"/>
        <color theme="1"/>
        <rFont val="Calibri"/>
        <family val="2"/>
        <charset val="204"/>
        <scheme val="minor"/>
      </rPr>
      <t xml:space="preserve">, </t>
    </r>
    <r>
      <rPr>
        <b/>
        <sz val="14"/>
        <color theme="1"/>
        <rFont val="Calibri"/>
        <family val="2"/>
        <charset val="204"/>
        <scheme val="minor"/>
      </rPr>
      <t>Воронеж</t>
    </r>
    <r>
      <rPr>
        <sz val="14"/>
        <color theme="1"/>
        <rFont val="Calibri"/>
        <family val="2"/>
        <charset val="204"/>
        <scheme val="minor"/>
      </rPr>
      <t xml:space="preserve">, </t>
    </r>
    <r>
      <rPr>
        <b/>
        <sz val="14"/>
        <color theme="1"/>
        <rFont val="Calibri"/>
        <family val="2"/>
        <charset val="204"/>
        <scheme val="minor"/>
      </rPr>
      <t>Самару</t>
    </r>
    <r>
      <rPr>
        <sz val="14"/>
        <color theme="1"/>
        <rFont val="Calibri"/>
        <family val="2"/>
        <charset val="204"/>
        <scheme val="minor"/>
      </rPr>
      <t xml:space="preserve"> или </t>
    </r>
    <r>
      <rPr>
        <b/>
        <sz val="14"/>
        <color theme="1"/>
        <rFont val="Calibri"/>
        <family val="2"/>
        <charset val="204"/>
        <scheme val="minor"/>
      </rPr>
      <t>Уфу</t>
    </r>
    <r>
      <rPr>
        <sz val="14"/>
        <color theme="1"/>
        <rFont val="Calibri"/>
        <family val="2"/>
        <charset val="204"/>
        <scheme val="minor"/>
      </rPr>
      <t xml:space="preserve"> — доставка товаров из этих кластеров в </t>
    </r>
    <r>
      <rPr>
        <b/>
        <sz val="14"/>
        <color theme="1"/>
        <rFont val="Calibri"/>
        <family val="2"/>
        <charset val="204"/>
        <scheme val="minor"/>
      </rPr>
      <t>Казань</t>
    </r>
    <r>
      <rPr>
        <sz val="14"/>
        <color theme="1"/>
        <rFont val="Calibri"/>
        <family val="2"/>
        <charset val="204"/>
        <scheme val="minor"/>
      </rPr>
      <t xml:space="preserve"> займёт 45 часов.</t>
    </r>
  </si>
  <si>
    <t>Альтернативный кластер для поставки</t>
  </si>
  <si>
    <t>Приоритетный кластер</t>
  </si>
  <si>
    <t>Казахстан</t>
  </si>
  <si>
    <t>Беларусь</t>
  </si>
  <si>
    <t>Калининград</t>
  </si>
  <si>
    <t>Дальний Восток</t>
  </si>
  <si>
    <t>Красноярск</t>
  </si>
  <si>
    <t>Новосибирск</t>
  </si>
  <si>
    <t>Омск</t>
  </si>
  <si>
    <t>Тюмень</t>
  </si>
  <si>
    <t>Урал</t>
  </si>
  <si>
    <t>Кавказ</t>
  </si>
  <si>
    <t>Краснодар</t>
  </si>
  <si>
    <t>Уфа</t>
  </si>
  <si>
    <t>Самара</t>
  </si>
  <si>
    <t>Казань</t>
  </si>
  <si>
    <t>Волгоград</t>
  </si>
  <si>
    <t>Ростов</t>
  </si>
  <si>
    <t>Воронеж</t>
  </si>
  <si>
    <t>Санкт-Петербург и СЗО</t>
  </si>
  <si>
    <t>Москва, МО и Дальние регионы</t>
  </si>
  <si>
    <t>Ростов-на-дону</t>
  </si>
  <si>
    <t>Откуда -&gt; куда</t>
  </si>
  <si>
    <t>Себестоимость товара на ОЗОН</t>
  </si>
  <si>
    <t>Выкуп</t>
  </si>
  <si>
    <t>итого</t>
  </si>
  <si>
    <t>ИТОГО</t>
  </si>
  <si>
    <t>% Расходов ВБ в выручке</t>
  </si>
  <si>
    <t>ЖЕЛАЕМАЯ МАРЖА</t>
  </si>
  <si>
    <t>своя, ОРР 24*34</t>
  </si>
  <si>
    <t xml:space="preserve">OPP 20*34 слайдер 18*25 </t>
  </si>
  <si>
    <t>ОРР 22*34 слайдер 18*25</t>
  </si>
  <si>
    <t>ОРР 24*34 слайдер 20*30</t>
  </si>
  <si>
    <t>Цена на OZON</t>
  </si>
  <si>
    <t>170899505/Мешки для стирки 6 шт./AHMA6BW101BG/2038224716238</t>
  </si>
  <si>
    <t>0498dabc-f8f0-11ef-a9d2-dc215cfc6bb9</t>
  </si>
  <si>
    <t>AHMA6BW101BG</t>
  </si>
  <si>
    <t>00-00000117</t>
  </si>
  <si>
    <t>174601938/Массажеры косметические/ACRF2RS101WH/2038495339600</t>
  </si>
  <si>
    <t>5a2e1d35-7cc6-11ee-a95b-dc215cfc6bb9</t>
  </si>
  <si>
    <t>ACRF2RS101WH</t>
  </si>
  <si>
    <t>Массажеры косметические</t>
  </si>
  <si>
    <t>00-00000029</t>
  </si>
  <si>
    <t>176170511/Скребок Гуаша белый короб/ACRF1SK101WH/2038586639107</t>
  </si>
  <si>
    <t>0498dae7-f8f0-11ef-a9d2-dc215cfc6bb9</t>
  </si>
  <si>
    <t>ACRF1SK101WH</t>
  </si>
  <si>
    <t>Скребки</t>
  </si>
  <si>
    <t>00-00000160</t>
  </si>
  <si>
    <t>176170511/Скребок Гуаша/ACRF1SK101WH/2038586639107</t>
  </si>
  <si>
    <t>41bac89c-77da-11ee-a959-dc215cfc6bb9</t>
  </si>
  <si>
    <t>00-00000024</t>
  </si>
  <si>
    <t>176584624/Скребок Гуаша розовый/ACRF1SK102PN/2038601865450</t>
  </si>
  <si>
    <t>41bac89d-77da-11ee-a959-dc215cfc6bb9</t>
  </si>
  <si>
    <t>ACRF1SK102PN</t>
  </si>
  <si>
    <t>00-00000025</t>
  </si>
  <si>
    <t>176709293/Комплект Гуаша роллер и скребок бол нефрит прем/ACRF2RS201NF/2038605982115</t>
  </si>
  <si>
    <t>5a2e1d4b-7cc6-11ee-a95b-dc215cfc6bb9</t>
  </si>
  <si>
    <t>ACRF2RS201NF</t>
  </si>
  <si>
    <t>00-00000046</t>
  </si>
  <si>
    <t>177865668/Комплект Гуаша роллер и скребок розовый/ACRF2RS102PN/2038648141050</t>
  </si>
  <si>
    <t>41bac88c-77da-11ee-a959-dc215cfc6bb9</t>
  </si>
  <si>
    <t>ACRF2RS102PN</t>
  </si>
  <si>
    <t>00-00000017</t>
  </si>
  <si>
    <t>188194883/Комплект мешков мелкая сетка 2 шт. + шар/AHMA3BW211WH/2038931439581</t>
  </si>
  <si>
    <t>66c60a39-83e3-11ee-a961-dc215cfc6bb9</t>
  </si>
  <si>
    <t>AHMA3BW211WH</t>
  </si>
  <si>
    <t>00-00000051</t>
  </si>
  <si>
    <t>188194883/Комплект мешков сетка мелкая на шнурке 3 шт. с шаром/AHMA3BW211WH/2038931439581</t>
  </si>
  <si>
    <t>0498dac7-f8f0-11ef-a9d2-dc215cfc6bb9</t>
  </si>
  <si>
    <t>00-00000128</t>
  </si>
  <si>
    <t>199452263/Комплект мешков крупная сетка 2 шт. + шар/AHMA3BW212WH/2039291528267</t>
  </si>
  <si>
    <t>a5b96c01-c80d-11ee-a97a-dc215cfc6bb9</t>
  </si>
  <si>
    <t>AHMA3BW212WH</t>
  </si>
  <si>
    <t>00-00000060</t>
  </si>
  <si>
    <t>199452263/Комплект мешков сетка крупная на шнурке 3 шт. с шаром/AHMA3BW212WH/2039291528267</t>
  </si>
  <si>
    <t>0498dac8-f8f0-11ef-a9d2-dc215cfc6bb9</t>
  </si>
  <si>
    <t>00-00000129</t>
  </si>
  <si>
    <t>200946531/Комплект мешков крупная сетка 2 шт. + цилиндр/AHMA3BW221WH/2039323172727</t>
  </si>
  <si>
    <t>261572d0-d314-11ee-a97d-dc215cfc6bb9</t>
  </si>
  <si>
    <t>AHMA3BW221WH</t>
  </si>
  <si>
    <t>00-00000062</t>
  </si>
  <si>
    <t>200946531/Комплект мешков сетка крупная на шнурке 3 шт. с цилиндром/AHMA3BW221WH/2039323172727</t>
  </si>
  <si>
    <t>0498daca-f8f0-11ef-a9d2-dc215cfc6bb9</t>
  </si>
  <si>
    <t>00-00000131</t>
  </si>
  <si>
    <t>200953158/Таблетница прямоугольная 7*3 черная/ACRA7TB301BC/2039323305576</t>
  </si>
  <si>
    <t>0498dad4-f8f0-11ef-a9d2-dc215cfc6bb9</t>
  </si>
  <si>
    <t>ACRA7TB301BC</t>
  </si>
  <si>
    <t>00-00000141</t>
  </si>
  <si>
    <t>204260887/Комплект мешков мелкая сетка 2 шт. + цилиндр/AHMA3BW222WH/2039399347548</t>
  </si>
  <si>
    <t>a5b96c00-c80d-11ee-a97a-dc215cfc6bb9</t>
  </si>
  <si>
    <t>AHMA3BW222WH</t>
  </si>
  <si>
    <t>00-00000059</t>
  </si>
  <si>
    <t>204260887/Комплект мешков мелкая сетка на шнурке 3 шт. с цилиндром/AHMA3BW222WH/2039399347548</t>
  </si>
  <si>
    <t>0498dac9-f8f0-11ef-a9d2-dc215cfc6bb9</t>
  </si>
  <si>
    <t>00-00000130</t>
  </si>
  <si>
    <t>205841460/Скребок Гуаша нефрит/ACRF1SK202NF/2039422231875</t>
  </si>
  <si>
    <t>a5b96c02-c80d-11ee-a97a-dc215cfc6bb9</t>
  </si>
  <si>
    <t>ACRF1SK202NF</t>
  </si>
  <si>
    <t>00-00000061</t>
  </si>
  <si>
    <t>248267432/Палочка для жевания/AAND1ST201BL/2040797652776</t>
  </si>
  <si>
    <t>5e5c9988-5a60-11ef-a996-dc215cfc6bb9</t>
  </si>
  <si>
    <t>AAND1ST201BL</t>
  </si>
  <si>
    <t>00-00000083</t>
  </si>
  <si>
    <t>321910243/Таблетница автомат 7*2 черная плохая/ACRA7TB501BL/2042676894659</t>
  </si>
  <si>
    <t>0498dad3-f8f0-11ef-a9d2-dc215cfc6bb9</t>
  </si>
  <si>
    <t>ACRA7TB501BL</t>
  </si>
  <si>
    <t>00-00000140</t>
  </si>
  <si>
    <t>WB 169153168/OZ 2453533282/Бандаж для лица черный/ACRF1BN101BC/2038162681926</t>
  </si>
  <si>
    <t>WB 169395410/ OZ 2419349210/Бандаж для лица серый/ACRF1BN201GR/2038172050200</t>
  </si>
  <si>
    <t>WB 172832355/OZ 2419349460/Мешки 7 шт./AHMA7BW101BG/2038337652454</t>
  </si>
  <si>
    <t>WB 176721350/OZ 2419349585/Мешки/шнурок мелк 3 шт./AHMA3BW201WH/2038606201642</t>
  </si>
  <si>
    <t>WB 176723275/OZ 2419349501/Мешки шнурок крупн 3 шт./AHMA3BW202WH/2038606256161</t>
  </si>
  <si>
    <t>WB 177404837/OZ 2419349262/Мешки 3 шт./AHMA3BW101BG/2038627692689</t>
  </si>
  <si>
    <t>WB 204615141/OZ 2419349453/Мешки 2 шт. серый/AHMA2BW201WH/2039404446068</t>
  </si>
  <si>
    <t>WB 220252787/Массажер для ног/ACRL1MS101RJ/2039735724354</t>
  </si>
  <si>
    <t>5facb8c6-f104-11ee-a981-dc215cfc6bb5</t>
  </si>
  <si>
    <t>ACRL1MS101RJ</t>
  </si>
  <si>
    <t>00-00000065</t>
  </si>
  <si>
    <t>WB 223420736/OZ 2415742732/Массажер для тела оранжевый/ACRB1MS101RJ/2039813223373</t>
  </si>
  <si>
    <t>WB 223671295/OZ 1980924947/Мяч с шипами оранжевый 6/ACRB1MS106RJ/2039818580389</t>
  </si>
  <si>
    <t>WB 236072834/OZ 1980924909/Мяч с шипами голубой 6/ACRB1MS106BL/2040278804649</t>
  </si>
  <si>
    <t>WB 236072835/OZ 1980924906/Мяч с шипами белый 6/ACRB1MS106WH/2040278804496</t>
  </si>
  <si>
    <t>WB 236072836/OZ 1980925084/Мяч с шипами розовый 6/ACRB1MS106PN/2040278810534</t>
  </si>
  <si>
    <t>WB 236929187/OZ 2419349360/Мешок 60*80 крупн/AHMA1BW112WH/2040335626849</t>
  </si>
  <si>
    <t>WB 236929188/OZ 2419349422/Мешок 60*80 мелк/AHMA1BW111WH/2040335648124</t>
  </si>
  <si>
    <t>WB 251537223/OZ 2415742463/Мяч регби красный/AAND1BL101RD/2040903539366</t>
  </si>
  <si>
    <t>WB 251537413/OZ 2415743157/Мяч регби синий/AAND1BL101BL/2040903547941</t>
  </si>
  <si>
    <t>WB 271440668/OZ 2415742680/Скакалка черная/ACRB1SK101BC/2041473034138</t>
  </si>
  <si>
    <t>WB 271440669/OZ 2415742649/Скакалка красная/ACRB1SK101RD/2041473034145</t>
  </si>
  <si>
    <t>WB 271440670/OZ 2415743140/Скакалка синяя/ACRB1SK101BL/2041473034169</t>
  </si>
  <si>
    <t>WB 273556717/OZ 2415742645/Набор пробок 4 шт. в коробке нежн/AKTA4ST101CL/2041533648312</t>
  </si>
  <si>
    <t>WB 275208801/OZ 2415742511/Массажер для тела розовый/ACRB1MS101PN/2041591042329</t>
  </si>
  <si>
    <t>WB 275208802/OZ 2415742636/Массажер для тела голубой/ACRB1MS101BL/2041591055954</t>
  </si>
  <si>
    <t>WB 370591238/OZ 1980924996/Мяч с шипами черный 6/ACRB1MS106BС/2043369663040</t>
  </si>
  <si>
    <t>WB 370594147/OZ 2415742703/Набор пробок 4 шт. в коробке ярк/AKTA4ST103CL/2043369755509</t>
  </si>
  <si>
    <t>WB 419130077/OZ 2168964833/Таблетница прям 7*2 черн/цвет/ACRA7TB201CL/2044025155923</t>
  </si>
  <si>
    <t>e6d302b2-3fb0-11f0-a9df-7c8334b41ecc</t>
  </si>
  <si>
    <t>00-00000171</t>
  </si>
  <si>
    <t>WB 419141548/OZ 1980924947/Мяч с шипами оранжевый 7/ACRB1MS107RJ/2044025288003</t>
  </si>
  <si>
    <t>b68d9306-4231-11f0-a9e0-dc215cfc6bb9</t>
  </si>
  <si>
    <t>00-00000173</t>
  </si>
  <si>
    <t>WB 419141549/OZ 2415742943/Мяч с шипами оранжевый 9/ACRB1MS109RJ/2044025291485</t>
  </si>
  <si>
    <t>b68d9307-4231-11f0-a9e0-dc215cfc6bb9</t>
  </si>
  <si>
    <t>00-00000174</t>
  </si>
  <si>
    <t>WB 419145389/OZ 2415742912/Мяч с шипами розовый 7/ACRB1MS107PN/2044025316447</t>
  </si>
  <si>
    <t>b68d9308-4231-11f0-a9e0-dc215cfc6bb9</t>
  </si>
  <si>
    <t>00-00000175</t>
  </si>
  <si>
    <t>WB 419145390/OZ 2415742594/Мяч с шипами розовый 9/ACRB1MS109PN/2044025321588</t>
  </si>
  <si>
    <t>b68d9309-4231-11f0-a9e0-dc215cfc6bb9</t>
  </si>
  <si>
    <t>00-00000176</t>
  </si>
  <si>
    <t>WB 419145391/OZ 2415742768/Мяч с шипами белый 7/ACRB1MS107WH/2044025326637</t>
  </si>
  <si>
    <t>b68d930a-4231-11f0-a9e0-dc215cfc6bb9</t>
  </si>
  <si>
    <t>00-00000177</t>
  </si>
  <si>
    <t>WB 419145748/OZ 2415742611/Мяч с шипами голубой 7/ACRB1MS107BL/2044025338661</t>
  </si>
  <si>
    <t>b68d930c-4231-11f0-a9e0-dc215cfc6bb9</t>
  </si>
  <si>
    <t>00-00000179</t>
  </si>
  <si>
    <t>WB 419145749/OZ 2415742615/Мяч с шипами голубой 9/ACRB1MS109BL/2044025342057</t>
  </si>
  <si>
    <t>b68d930d-4231-11f0-a9e0-dc215cfc6bb9</t>
  </si>
  <si>
    <t>00-00000180</t>
  </si>
  <si>
    <t>WB 419145985/OZ 2415742795/Мяч с шипами черный 7/ACRB1MS107BС/2044025344532</t>
  </si>
  <si>
    <t>b68d930e-4231-11f0-a9e0-dc215cfc6bb9</t>
  </si>
  <si>
    <t>00-00000181</t>
  </si>
  <si>
    <t>WB 419145986/OZ 2415742693/Мяч с шипами черный 9/ACRB1MS109BС/2044025347953</t>
  </si>
  <si>
    <t>b68d930f-4231-11f0-a9e0-dc215cfc6bb9</t>
  </si>
  <si>
    <t>00-00000182</t>
  </si>
  <si>
    <t>WB 419146579/OZ 2415742565/Мяч с шипами фиолет 9/ACRB1MS109LI/2044025354937</t>
  </si>
  <si>
    <t>b68d9310-4231-11f0-a9e0-dc215cfc6bb9</t>
  </si>
  <si>
    <t>00-00000183</t>
  </si>
  <si>
    <t>c218516e-58d8-11f0-a9e6-dc215cfc6bb9</t>
  </si>
  <si>
    <t>00-00000187</t>
  </si>
  <si>
    <t>c218516f-58d8-11f0-a9e6-dc215cfc6bb9</t>
  </si>
  <si>
    <t>00-00000188</t>
  </si>
  <si>
    <t>Агентское вознаграждение за продажу</t>
  </si>
  <si>
    <t>09355318-5a68-11f0-a9e6-dc215cfc6bb9</t>
  </si>
  <si>
    <t>ед</t>
  </si>
  <si>
    <t>00-00000193</t>
  </si>
  <si>
    <t>Акскссуары для дайвинга</t>
  </si>
  <si>
    <t>6be1e697-977d-11ef-a9a9-dc215cfc6bb9</t>
  </si>
  <si>
    <t>Номенклатура Кристины</t>
  </si>
  <si>
    <t>00-00000108</t>
  </si>
  <si>
    <t>Антенны волейбольные с карманами (пара)</t>
  </si>
  <si>
    <t>890abdb8-67c0-11f0-a9e8-dc215cfc6bb9</t>
  </si>
  <si>
    <t>ав2</t>
  </si>
  <si>
    <t>Номенклатура Антон</t>
  </si>
  <si>
    <t>00-00000196</t>
  </si>
  <si>
    <t>Аудиторских услуги финансово-хозяйственной деятельности</t>
  </si>
  <si>
    <t>14ec84d0-b527-11ed-a8a4-dc215cfc6bb9</t>
  </si>
  <si>
    <t>Услуги исходящие</t>
  </si>
  <si>
    <t>00-00000004</t>
  </si>
  <si>
    <t>Брелок волейбольный мяч</t>
  </si>
  <si>
    <t>890abdb9-67c0-11f0-a9e8-dc215cfc6bb9</t>
  </si>
  <si>
    <t>бвм1</t>
  </si>
  <si>
    <t>00-00000197</t>
  </si>
  <si>
    <t>Бухгалтерские услуги</t>
  </si>
  <si>
    <t>14ec84e6-b527-11ed-a8a4-dc215cfc6bb9</t>
  </si>
  <si>
    <t>00-00000005</t>
  </si>
  <si>
    <t>ВБ Радар</t>
  </si>
  <si>
    <t>b9981dc3-b603-11ee-a973-dc215cfc6bb9</t>
  </si>
  <si>
    <t>Услуги входящие</t>
  </si>
  <si>
    <t>00-00000057</t>
  </si>
  <si>
    <t>Воздушные шары</t>
  </si>
  <si>
    <t>6be1e696-977d-11ef-a9a9-dc215cfc6bb9</t>
  </si>
  <si>
    <t>00-00000107</t>
  </si>
  <si>
    <t>Короб</t>
  </si>
  <si>
    <t>c1601eb8-4207-11f0-a9e0-dc215cfc6bb9</t>
  </si>
  <si>
    <t>00-00000172</t>
  </si>
  <si>
    <t>09355311-5a68-11f0-a9e6-dc215cfc6bb9</t>
  </si>
  <si>
    <t>00-00000189</t>
  </si>
  <si>
    <t>Логистические услуги</t>
  </si>
  <si>
    <t>14ec84cb-b527-11ed-a8a4-dc215cfc6bb9</t>
  </si>
  <si>
    <t>00-00000003</t>
  </si>
  <si>
    <t>Массажер для тела</t>
  </si>
  <si>
    <t>6be1e692-977d-11ef-a9a9-dc215cfc6bb9</t>
  </si>
  <si>
    <t>00-00000106</t>
  </si>
  <si>
    <t>Массажеры косметические/ArolS/176090567</t>
  </si>
  <si>
    <t>5a2e1d47-7cc6-11ee-a95b-dc215cfc6bb9</t>
  </si>
  <si>
    <t>ACRF2RS101GN</t>
  </si>
  <si>
    <t>00-00000042</t>
  </si>
  <si>
    <t>Массажеры косметические/ArolS/176110585</t>
  </si>
  <si>
    <t>41bac87b-77da-11ee-a959-dc215cfc6bb9</t>
  </si>
  <si>
    <t>ACRF2RS101PN</t>
  </si>
  <si>
    <t>00-00000010</t>
  </si>
  <si>
    <t>Массажеры косметические/ArolS/176190324</t>
  </si>
  <si>
    <t>5a2e1d43-7cc6-11ee-a95b-dc215cfc6bb9</t>
  </si>
  <si>
    <t>ACRF1RL101GN</t>
  </si>
  <si>
    <t>00-00000038</t>
  </si>
  <si>
    <t>Массажеры косметические/ArolS/176191281</t>
  </si>
  <si>
    <t>5a2e1d46-7cc6-11ee-a95b-dc215cfc6bb9</t>
  </si>
  <si>
    <t>ACRF1RL101PN</t>
  </si>
  <si>
    <t>00-00000041</t>
  </si>
  <si>
    <t>Массажеры косметические/ArolS/176193619</t>
  </si>
  <si>
    <t>5a2e1d36-7cc6-11ee-a95b-dc215cfc6bb9</t>
  </si>
  <si>
    <t>ACRF1RL101WH</t>
  </si>
  <si>
    <t>00-00000030</t>
  </si>
  <si>
    <t>Массажеры косметические/ArolS/176195309</t>
  </si>
  <si>
    <t>5a2e1d45-7cc6-11ee-a95b-dc215cfc6bb9</t>
  </si>
  <si>
    <t>ACRF1RL101BC</t>
  </si>
  <si>
    <t>00-00000040</t>
  </si>
  <si>
    <t>Массажеры косметические/ArolS/176592780</t>
  </si>
  <si>
    <t>5a2e1d48-7cc6-11ee-a95b-dc215cfc6bb9</t>
  </si>
  <si>
    <t>ACRF1RL102WH</t>
  </si>
  <si>
    <t>00-00000043</t>
  </si>
  <si>
    <t>Массажеры косметические/ArolS/176681645</t>
  </si>
  <si>
    <t>5a2e1d44-7cc6-11ee-a95b-dc215cfc6bb9</t>
  </si>
  <si>
    <t>ACRF1RL102PN</t>
  </si>
  <si>
    <t>00-00000039</t>
  </si>
  <si>
    <t>Массажеры косметические/ArolS/176689687</t>
  </si>
  <si>
    <t>5a2e1d4a-7cc6-11ee-a95b-dc215cfc6bb9</t>
  </si>
  <si>
    <t>ACRF1RL102GN</t>
  </si>
  <si>
    <t>00-00000045</t>
  </si>
  <si>
    <t>Массажеры косметические/ArolS/176717458</t>
  </si>
  <si>
    <t>41bac8a5-77da-11ee-a959-dc215cfc6bb9</t>
  </si>
  <si>
    <t>ACRF1SK201NF</t>
  </si>
  <si>
    <t>00-00000027</t>
  </si>
  <si>
    <t>Массажеры косметические/ArolS/177874220</t>
  </si>
  <si>
    <t>5a2e1d37-7cc6-11ee-a95b-dc215cfc6bb9</t>
  </si>
  <si>
    <t>ACRF2RS102GN</t>
  </si>
  <si>
    <t>00-00000031</t>
  </si>
  <si>
    <t>Массажеры косметические/ArolS/177874539</t>
  </si>
  <si>
    <t>41bac88b-77da-11ee-a959-dc215cfc6bb9</t>
  </si>
  <si>
    <t>ACRF2RS102WH</t>
  </si>
  <si>
    <t>00-00000016</t>
  </si>
  <si>
    <t>Массажеры косметические/ArolS/178334523</t>
  </si>
  <si>
    <t>5a2e1d39-7cc6-11ee-a95b-dc215cfc6bb9</t>
  </si>
  <si>
    <t>ACRF2RS202NF</t>
  </si>
  <si>
    <t>00-00000033</t>
  </si>
  <si>
    <t>Массажеры косметические/ArolS/178357745</t>
  </si>
  <si>
    <t>5a2e1d49-7cc6-11ee-a95b-dc215cfc6bb9</t>
  </si>
  <si>
    <t>ACRF2RS203NF</t>
  </si>
  <si>
    <t>00-00000044</t>
  </si>
  <si>
    <t>Мяч баскетбольный bg3800</t>
  </si>
  <si>
    <t>0de384f2-0577-11f0-a9d5-dc215cfc6bb9</t>
  </si>
  <si>
    <t>bg3800</t>
  </si>
  <si>
    <t>00-00000163</t>
  </si>
  <si>
    <t>Мяч волейбольный v200w</t>
  </si>
  <si>
    <t>6bf8f423-7c05-11f0-95e6-a8e291088a43</t>
  </si>
  <si>
    <t>v200w</t>
  </si>
  <si>
    <t>00-00000199</t>
  </si>
  <si>
    <t>Мяч волейбольный v300w</t>
  </si>
  <si>
    <t>0de384f1-0577-11f0-a9d5-dc215cfc6bb9</t>
  </si>
  <si>
    <t>v300w</t>
  </si>
  <si>
    <t>00-00000162</t>
  </si>
  <si>
    <t>Одноразовые скатерти</t>
  </si>
  <si>
    <t>6be1e690-977d-11ef-a9a9-dc215cfc6bb9</t>
  </si>
  <si>
    <t>00-00000104</t>
  </si>
  <si>
    <t>Пакеты упаковочные</t>
  </si>
  <si>
    <t>6be1e698-977d-11ef-a9a9-dc215cfc6bb9</t>
  </si>
  <si>
    <t>00-00000109</t>
  </si>
  <si>
    <t>Палета деревянная</t>
  </si>
  <si>
    <t>2b9410c4-1a24-11f0-a9db-dc215cfc6bb9</t>
  </si>
  <si>
    <t>00-00000168</t>
  </si>
  <si>
    <t>Перевозка груза на склад Казань</t>
  </si>
  <si>
    <t>f4bbcff5-7e5e-11ef-a9a1-dc215cfc6bb9</t>
  </si>
  <si>
    <t>Логистика</t>
  </si>
  <si>
    <t>00-00000085</t>
  </si>
  <si>
    <t>Перевозка груза на склад Коледино</t>
  </si>
  <si>
    <t>b7bcb6ec-46cc-11f0-a9e3-dc215cfc6bb9</t>
  </si>
  <si>
    <t>00-00000186</t>
  </si>
  <si>
    <t>Перевозка груза на склад Краснодар</t>
  </si>
  <si>
    <t>ab0a1c01-f8e1-11ee-a983-dc215cfc6bb9</t>
  </si>
  <si>
    <t>00-00000068</t>
  </si>
  <si>
    <t>Перевозка груза на склад Новосемейкино</t>
  </si>
  <si>
    <t>534656af-45e5-11f0-a9e0-dc215cfc6bb9</t>
  </si>
  <si>
    <t>00-00000185</t>
  </si>
  <si>
    <t>Перевозка груза на склад Тула</t>
  </si>
  <si>
    <t>bfa2c608-ddf6-11ee-a97f-dc215cfc6bb9</t>
  </si>
  <si>
    <t>00-00000063</t>
  </si>
  <si>
    <t>Передача неисключительных  имущественных прав (Лицензия) на право использования программного продукт</t>
  </si>
  <si>
    <t>4b72c72b-d20c-11ed-a8c8-dc215cfc6bb9</t>
  </si>
  <si>
    <t>00-00000008</t>
  </si>
  <si>
    <t>Платная приемка ВБ</t>
  </si>
  <si>
    <t>1666e68f-4823-11ef-a994-dc215cfc6bb9</t>
  </si>
  <si>
    <t>00-00000077</t>
  </si>
  <si>
    <t>Продвижение ВБ</t>
  </si>
  <si>
    <t>66c60a2c-83e3-11ee-a961-dc215cfc6bb9</t>
  </si>
  <si>
    <t>00-00000049</t>
  </si>
  <si>
    <t>Свистки спортивные</t>
  </si>
  <si>
    <t>6be1e691-977d-11ef-a9a9-dc215cfc6bb9</t>
  </si>
  <si>
    <t>00-00000105</t>
  </si>
  <si>
    <t>Сетка волейбольная классическая</t>
  </si>
  <si>
    <t>890abdb7-67c0-11f0-a9e8-dc215cfc6bb9</t>
  </si>
  <si>
    <t>свк1</t>
  </si>
  <si>
    <t>00-00000195</t>
  </si>
  <si>
    <t>Скребки Гуаша/ArolS/176162697</t>
  </si>
  <si>
    <t>5a2e1d4c-7cc6-11ee-a95b-dc215cfc6bb9</t>
  </si>
  <si>
    <t>ACRF1SK101GN</t>
  </si>
  <si>
    <t>00-00000047</t>
  </si>
  <si>
    <t>Скребки Гуаша/ArolS/176170508</t>
  </si>
  <si>
    <t>41bac89b-77da-11ee-a959-dc215cfc6bb9</t>
  </si>
  <si>
    <t>ACRF1SK101PN</t>
  </si>
  <si>
    <t>00-00000023</t>
  </si>
  <si>
    <t>Скребки Гуаша/ArolS/176508158</t>
  </si>
  <si>
    <t>5a2e1d4d-7cc6-11ee-a95b-dc215cfc6bb9</t>
  </si>
  <si>
    <t>ACRF1SK102GN</t>
  </si>
  <si>
    <t>00-00000048</t>
  </si>
  <si>
    <t>Скребки Гуаша/ArolS/176587341</t>
  </si>
  <si>
    <t>41bac8a6-77da-11ee-a959-dc215cfc6bb9</t>
  </si>
  <si>
    <t>ACRF1SK102WH</t>
  </si>
  <si>
    <t>00-00000028</t>
  </si>
  <si>
    <t>Сумка-мешок на 5 мячей</t>
  </si>
  <si>
    <t>0de384f3-0577-11f0-a9d5-dc215cfc6bb9</t>
  </si>
  <si>
    <t>см5</t>
  </si>
  <si>
    <t>00-00000164</t>
  </si>
  <si>
    <t>09355313-5a68-11f0-a9e6-dc215cfc6bb9</t>
  </si>
  <si>
    <t>00-00000191</t>
  </si>
  <si>
    <t>Услуги ВБ</t>
  </si>
  <si>
    <t>41bac886-77da-11ee-a959-dc215cfc6bb9</t>
  </si>
  <si>
    <t>00-00000013</t>
  </si>
  <si>
    <t>Услуги по аренде автомобиля</t>
  </si>
  <si>
    <t>14ec84c8-b527-11ed-a8a4-dc215cfc6bb9</t>
  </si>
  <si>
    <t>00-00000002</t>
  </si>
  <si>
    <t>Услуги по информационному сопровождению и технической поддержке сайта</t>
  </si>
  <si>
    <t>14ec84c6-b527-11ed-a8a4-dc215cfc6bb9</t>
  </si>
  <si>
    <t>00-00000001</t>
  </si>
  <si>
    <t>Штраф ВБ</t>
  </si>
  <si>
    <t>a681f542-08b2-11f0-a9d5-dc215cfc6bb9</t>
  </si>
  <si>
    <t>00-00000165</t>
  </si>
  <si>
    <t>09355314-5a68-11f0-a9e6-dc215cfc6bb9</t>
  </si>
  <si>
    <t>00-00000192</t>
  </si>
  <si>
    <t>Мои акции</t>
  </si>
  <si>
    <t>WB 448248943/OZ 2409846808 /Таблетница прям 7*2 бел/цвет/ACRA7TB201WH/2044516485386</t>
  </si>
  <si>
    <t>WB 448254852/OZ 2409845343 /Таблетница прям 7*2 сирен/цвет/ACRA7TB201LI/2044516498812</t>
  </si>
  <si>
    <t>Себестоимость Карго х на …</t>
  </si>
  <si>
    <t>Доставка</t>
  </si>
  <si>
    <t>Инд обработка</t>
  </si>
  <si>
    <t>Тарифы ВБ</t>
  </si>
  <si>
    <t>от 0,201 до 0,400 литра — 26 ₽ за литр</t>
  </si>
  <si>
    <t>от 0,401 до 0,600 литра — 29 ₽ за литр</t>
  </si>
  <si>
    <t>от 0,601 до 0,800 литра — 30 ₽ за литр</t>
  </si>
  <si>
    <t>от 0,801 до 1,000 литра — 32 ₽ за литр</t>
  </si>
  <si>
    <t>от 0,001 до 0,200 литра — 23 ₽ за литр</t>
  </si>
  <si>
    <t>доп литры</t>
  </si>
  <si>
    <t>до 1 л</t>
  </si>
  <si>
    <t>от 1 до 3 л. свыше 1 л +10 р за каждый л.</t>
  </si>
  <si>
    <t>от 3 до 190 л. свыше 3 л + 15 р за каждый л.</t>
  </si>
  <si>
    <t>больше 190 л — 2871 р.</t>
  </si>
  <si>
    <t>Желаемая цена</t>
  </si>
  <si>
    <t>Желаемая маржа</t>
  </si>
  <si>
    <t>Скидка Клуба</t>
  </si>
  <si>
    <t>Кэшбэк</t>
  </si>
  <si>
    <t>Услуги в Китае</t>
  </si>
  <si>
    <t>Доставка Китай-Москва</t>
  </si>
  <si>
    <r>
      <rPr>
        <b/>
        <sz val="14"/>
        <color theme="1"/>
        <rFont val="Calibri"/>
        <family val="2"/>
        <charset val="204"/>
        <scheme val="minor"/>
      </rPr>
      <t>SK</t>
    </r>
    <r>
      <rPr>
        <sz val="14"/>
        <color theme="1"/>
        <rFont val="Calibri"/>
        <family val="2"/>
        <charset val="204"/>
        <scheme val="minor"/>
      </rPr>
      <t xml:space="preserve"> - skipping rope - скакалка</t>
    </r>
  </si>
  <si>
    <r>
      <rPr>
        <b/>
        <sz val="14"/>
        <color theme="1"/>
        <rFont val="Calibri"/>
        <family val="2"/>
        <charset val="204"/>
        <scheme val="minor"/>
      </rPr>
      <t>KP</t>
    </r>
    <r>
      <rPr>
        <sz val="14"/>
        <color theme="1"/>
        <rFont val="Calibri"/>
        <family val="2"/>
        <charset val="204"/>
        <scheme val="minor"/>
      </rPr>
      <t>-каппа</t>
    </r>
  </si>
  <si>
    <r>
      <rPr>
        <b/>
        <sz val="14"/>
        <color theme="1"/>
        <rFont val="Calibri"/>
        <family val="2"/>
        <charset val="204"/>
        <scheme val="minor"/>
      </rPr>
      <t>FR</t>
    </r>
    <r>
      <rPr>
        <sz val="14"/>
        <color theme="1"/>
        <rFont val="Calibri"/>
        <family val="2"/>
        <charset val="204"/>
        <scheme val="minor"/>
      </rPr>
      <t xml:space="preserve"> - фитнес резинка</t>
    </r>
  </si>
  <si>
    <t>ACRB3FR100CL</t>
  </si>
  <si>
    <t>ACRB5FR200CL</t>
  </si>
  <si>
    <t>ACRB4FR300CL</t>
  </si>
  <si>
    <t>ACRB5FR400CL</t>
  </si>
  <si>
    <t>Набор эластичных лент 3 шт. в мешке</t>
  </si>
  <si>
    <t>Набор эластичных лент 5 шт. в мешке</t>
  </si>
  <si>
    <t>Набор эластичных лент 4 шт.</t>
  </si>
  <si>
    <t>Набор эластичных лент 5 шт.</t>
  </si>
  <si>
    <t>ACRF1KP101BC</t>
  </si>
  <si>
    <t>ACRF1KP102BC</t>
  </si>
  <si>
    <t>ACRF1KP103BC</t>
  </si>
  <si>
    <t>ACRF1KP101RD</t>
  </si>
  <si>
    <t>ACRF1KP102RD</t>
  </si>
  <si>
    <t>ACRF1KP101BL</t>
  </si>
  <si>
    <t>Стоимость партии</t>
  </si>
  <si>
    <t>Себес ед. изделия</t>
  </si>
  <si>
    <t>Себес комплект</t>
  </si>
  <si>
    <t>ACRF1KP101GN</t>
  </si>
  <si>
    <t>ACRF1KP102GN</t>
  </si>
  <si>
    <t>1</t>
  </si>
  <si>
    <t>2</t>
  </si>
  <si>
    <t>3</t>
  </si>
  <si>
    <t>4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</si>
  <si>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</si>
  <si>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</si>
  <si>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</si>
  <si>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</si>
  <si>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</si>
  <si>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</si>
  <si>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</si>
  <si>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</si>
  <si>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</si>
  <si>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</si>
  <si>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</si>
  <si>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</si>
  <si>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</si>
  <si>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32</t>
  </si>
  <si>
    <t>35</t>
  </si>
  <si>
    <t>41</t>
  </si>
  <si>
    <t>42</t>
  </si>
  <si>
    <t>48</t>
  </si>
  <si>
    <t>51</t>
  </si>
  <si>
    <t>52</t>
  </si>
  <si>
    <t>53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</si>
  <si>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</si>
  <si>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</si>
  <si>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</si>
  <si>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</si>
  <si>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</si>
  <si>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</si>
  <si>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</si>
  <si>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</si>
  <si>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</si>
  <si>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</si>
  <si>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</si>
  <si>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</si>
  <si>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</si>
  <si>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</si>
  <si>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</si>
  <si>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</si>
  <si>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</si>
  <si>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</si>
  <si>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</si>
  <si>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</si>
  <si>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</si>
  <si>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</si>
  <si>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</si>
  <si>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</si>
  <si>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</si>
  <si>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</si>
  <si>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</si>
  <si>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</si>
  <si>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</si>
  <si>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</si>
  <si>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</si>
  <si>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</si>
  <si>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</si>
  <si>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</si>
  <si>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</si>
  <si>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хранение</t>
  </si>
  <si>
    <t>92</t>
  </si>
  <si>
    <t>Мин. Цены</t>
  </si>
  <si>
    <t>550540000/1</t>
  </si>
  <si>
    <t>550540000/2</t>
  </si>
  <si>
    <t>550540000/3</t>
  </si>
  <si>
    <t>550540000/4</t>
  </si>
  <si>
    <t>550540000/5</t>
  </si>
  <si>
    <t>Капа белый/черный</t>
  </si>
  <si>
    <t>Капа белый/красный</t>
  </si>
  <si>
    <t>Капа красный/белый</t>
  </si>
  <si>
    <t>Капа синий/белый</t>
  </si>
  <si>
    <t>Капа зеленый/белый</t>
  </si>
  <si>
    <t>Капа зеленый/черный</t>
  </si>
  <si>
    <r>
      <t xml:space="preserve">Капа черный/красный - </t>
    </r>
    <r>
      <rPr>
        <u/>
        <sz val="10"/>
        <rFont val="Calibri"/>
        <family val="2"/>
        <charset val="204"/>
        <scheme val="minor"/>
      </rPr>
      <t>черная коробка</t>
    </r>
  </si>
  <si>
    <r>
      <t>Капа черный/белый-</t>
    </r>
    <r>
      <rPr>
        <u/>
        <sz val="10"/>
        <rFont val="Calibri"/>
        <family val="2"/>
        <charset val="204"/>
        <scheme val="minor"/>
      </rPr>
      <t>черная коробка</t>
    </r>
  </si>
  <si>
    <t>Платное размещение, шт.</t>
  </si>
  <si>
    <t>93</t>
  </si>
  <si>
    <t>Параметры для логистики</t>
  </si>
  <si>
    <t>Параметры с упаковкой для расчета логистики</t>
  </si>
  <si>
    <t>вес без обрешетки и упаковки, кг</t>
  </si>
  <si>
    <t>WB 550530967/OZ /Резинки 3 шт/ACRB3FR100CL/2046392440640</t>
  </si>
  <si>
    <t>17b5d507-f181-11f0-9634-a8e291088a43</t>
  </si>
  <si>
    <t>Эспандеры</t>
  </si>
  <si>
    <t>00-00000211</t>
  </si>
  <si>
    <t>WB 550539998/OZ /Резинки 5 шт/ACRB5FR200CL/2046392546618</t>
  </si>
  <si>
    <t>17b5d508-f181-11f0-9634-a8e291088a43</t>
  </si>
  <si>
    <t>00-00000212</t>
  </si>
  <si>
    <t>WB 550539999/OZ /Резинки 4 шт/ACRB4FR300CL/2046392546632</t>
  </si>
  <si>
    <t>17b5d509-f181-11f0-9634-a8e291088a43</t>
  </si>
  <si>
    <t>00-00000213</t>
  </si>
  <si>
    <t>Баскетбольный мяч 5 размер B5G3850</t>
  </si>
  <si>
    <t>012adc64-b4bf-11f0-960f-a8e291088a43</t>
  </si>
  <si>
    <t>B5G3850</t>
  </si>
  <si>
    <t>00-00000203</t>
  </si>
  <si>
    <t>Баскетбольный мяч 7 размер B7G3800</t>
  </si>
  <si>
    <t>012adc65-b4bf-11f0-960f-a8e291088a43</t>
  </si>
  <si>
    <t>B7G3800</t>
  </si>
  <si>
    <t>00-00000204</t>
  </si>
  <si>
    <t>Кросс-докинг</t>
  </si>
  <si>
    <t>Мяч волейбольный классический</t>
  </si>
  <si>
    <t>f45161fe-a516-11f0-95fd-aae291088a42</t>
  </si>
  <si>
    <t>vol</t>
  </si>
  <si>
    <t>00-00000202</t>
  </si>
  <si>
    <t>Мяч волейбольный пляжный bv550с</t>
  </si>
  <si>
    <t>69bd64a6-8e7e-11f0-95f9-cc28aa911c5e</t>
  </si>
  <si>
    <t>bv550с</t>
  </si>
  <si>
    <t>00-00000200</t>
  </si>
  <si>
    <t>Обработка товара в составе грузоместа на FBO (Marketplace Услуги селлеров)</t>
  </si>
  <si>
    <t>f8a03580-efb1-11f0-9631-a8e291088a43</t>
  </si>
  <si>
    <t>00-00000208</t>
  </si>
  <si>
    <t>Продвижение OZON</t>
  </si>
  <si>
    <t>Транспортно-экспедиционные услуги Кроссдокинг</t>
  </si>
  <si>
    <t>c866c4d5-d1d0-11f0-9620-a8e291088a43</t>
  </si>
  <si>
    <t>00-00000207</t>
  </si>
  <si>
    <t>Услуга FBO</t>
  </si>
  <si>
    <t>Услуга размещения (Marketplace Услуги селлеров)</t>
  </si>
  <si>
    <t>4fd9b67e-be29-11f0-9616-a8e291088a43</t>
  </si>
  <si>
    <t>00-00000205</t>
  </si>
  <si>
    <t>Утилизация товара (Marketplace Услуги селлеров)</t>
  </si>
  <si>
    <t>5f95556c-a361-11f0-95fd-aae291088a42</t>
  </si>
  <si>
    <t>00-00000201</t>
  </si>
  <si>
    <t>Электронная услуга: Бонусы продавца - рассылка (Marketplace Услуги селлеров) (Marketplace Услуги сел</t>
  </si>
  <si>
    <t>f8a03581-efb1-11f0-9631-a8e291088a43</t>
  </si>
  <si>
    <t>00-00000209</t>
  </si>
  <si>
    <t>Электронная услуга: Закрепление отзыва (Marketplace Услуги селлеров)</t>
  </si>
  <si>
    <t>4fd9b67f-be29-11f0-9616-a8e291088a43</t>
  </si>
  <si>
    <t>00-00000206</t>
  </si>
  <si>
    <t>ACRB3FR101CL</t>
  </si>
  <si>
    <t>Индекс локализации</t>
  </si>
  <si>
    <t>Индекс распределения продаж</t>
  </si>
  <si>
    <t>Стоимость услуг ВБ за одну проданную единицу</t>
  </si>
  <si>
    <t>% расходов на услуги (от цены продажи)</t>
  </si>
  <si>
    <t>% Выкупа</t>
  </si>
  <si>
    <t>равно и более 1 л</t>
  </si>
  <si>
    <t>возврат, руб</t>
  </si>
  <si>
    <t>Логистика, руб</t>
  </si>
  <si>
    <t>Оборачиваемость, дн</t>
  </si>
  <si>
    <t>Хранение в день, руб</t>
  </si>
  <si>
    <t>Коэф склада, средний по складам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</si>
</sst>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_₽_-;\-* #,##0.00\ _₽_-;_-* &quot;-&quot;??\ _₽_-;_-@_-"/>
    <numFmt numFmtId="165" formatCode="[$$-409]#,##0.00_ ;\-[$$-409]#,##0.00\ "/>
    <numFmt numFmtId="166" formatCode="[$$-409]#,##0.00_ ;[Red]\-[$$-409]#,##0.00\ "/>
    <numFmt numFmtId="167" formatCode="#,##0.00\ [$₽-419];[Red]\-#,##0.00\ [$₽-419]"/>
    <numFmt numFmtId="168" formatCode="[$¥-804]#,##0.00;[Red][$¥-804]\-#,##0.00"/>
    <numFmt numFmtId="169" formatCode="000000"/>
    <numFmt numFmtId="170" formatCode="#,##0_ ;[Red]\-#,##0\ "/>
    <numFmt numFmtId="171" formatCode="#,##0.0"/>
    <numFmt numFmtId="172" formatCode="0.0%"/>
    <numFmt numFmtId="173" formatCode="[$¥-804]#,##0;[Red][$¥-804]\-#,##0"/>
    <numFmt numFmtId="174" formatCode="#,##0\ [$₽-419];[Red]\-#,##0\ [$₽-419]"/>
    <numFmt numFmtId="175" formatCode="[$$-409]#,##0_ ;\-[$$-409]#,##0\ "/>
    <numFmt numFmtId="176" formatCode="0.0"/>
  </numFmts>
  <fonts count="4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1"/>
      <name val="Calibri"/>
      <family val="2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b/>
      <sz val="36"/>
      <name val="Calibri"/>
      <family val="2"/>
      <charset val="204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2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36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9"/>
      <color rgb="FF9900CC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u/>
      <sz val="9"/>
      <color rgb="FFFF000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36"/>
      <name val="Calibri"/>
      <family val="2"/>
      <charset val="204"/>
      <scheme val="minor"/>
    </font>
    <font>
      <u/>
      <sz val="16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1FFDD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0" borderId="0"/>
    <xf numFmtId="0" fontId="9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27" fillId="0" borderId="0"/>
    <xf numFmtId="9" fontId="10" fillId="0" borderId="0" applyFont="0" applyFill="0" applyBorder="0" applyAlignment="0" applyProtection="0"/>
  </cellStyleXfs>
  <cellXfs count="618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2" fillId="0" borderId="0" xfId="3" applyFont="1"/>
    <xf numFmtId="0" fontId="12" fillId="0" borderId="1" xfId="3" applyFont="1" applyBorder="1" applyAlignment="1">
      <alignment vertical="center"/>
    </xf>
    <xf numFmtId="164" fontId="11" fillId="0" borderId="1" xfId="3" applyNumberFormat="1" applyFont="1" applyBorder="1" applyAlignment="1">
      <alignment horizontal="center" vertical="center" wrapText="1"/>
    </xf>
    <xf numFmtId="40" fontId="11" fillId="0" borderId="1" xfId="3" applyNumberFormat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left" vertical="center"/>
    </xf>
    <xf numFmtId="4" fontId="12" fillId="2" borderId="1" xfId="3" applyNumberFormat="1" applyFont="1" applyFill="1" applyBorder="1" applyAlignment="1">
      <alignment horizontal="center" vertical="center"/>
    </xf>
    <xf numFmtId="164" fontId="12" fillId="0" borderId="1" xfId="3" applyNumberFormat="1" applyFont="1" applyBorder="1" applyAlignment="1">
      <alignment horizontal="center" vertical="center" wrapText="1"/>
    </xf>
    <xf numFmtId="40" fontId="12" fillId="0" borderId="1" xfId="3" applyNumberFormat="1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12" fillId="0" borderId="0" xfId="3" applyFont="1" applyAlignment="1">
      <alignment horizontal="left"/>
    </xf>
    <xf numFmtId="0" fontId="12" fillId="0" borderId="0" xfId="3" applyFont="1" applyAlignment="1">
      <alignment horizontal="center" vertical="center"/>
    </xf>
    <xf numFmtId="0" fontId="12" fillId="2" borderId="0" xfId="3" applyFont="1" applyFill="1"/>
    <xf numFmtId="0" fontId="12" fillId="2" borderId="0" xfId="3" applyFont="1" applyFill="1" applyAlignment="1">
      <alignment horizontal="center"/>
    </xf>
    <xf numFmtId="0" fontId="12" fillId="0" borderId="0" xfId="3" applyFont="1" applyAlignment="1">
      <alignment horizontal="center"/>
    </xf>
    <xf numFmtId="165" fontId="11" fillId="0" borderId="0" xfId="3" applyNumberFormat="1" applyFont="1" applyAlignment="1">
      <alignment horizontal="center" vertical="center"/>
    </xf>
    <xf numFmtId="3" fontId="12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12" fillId="2" borderId="1" xfId="3" applyNumberFormat="1" applyFont="1" applyFill="1" applyBorder="1" applyAlignment="1">
      <alignment horizontal="center" vertical="center"/>
    </xf>
    <xf numFmtId="3" fontId="12" fillId="2" borderId="1" xfId="3" applyNumberFormat="1" applyFont="1" applyFill="1" applyBorder="1" applyAlignment="1">
      <alignment horizontal="center" vertical="center" wrapText="1"/>
    </xf>
    <xf numFmtId="167" fontId="12" fillId="2" borderId="1" xfId="3" applyNumberFormat="1" applyFont="1" applyFill="1" applyBorder="1" applyAlignment="1">
      <alignment horizontal="center" vertical="center"/>
    </xf>
    <xf numFmtId="3" fontId="12" fillId="0" borderId="6" xfId="3" applyNumberFormat="1" applyFont="1" applyBorder="1" applyAlignment="1">
      <alignment horizontal="center" vertical="center"/>
    </xf>
    <xf numFmtId="168" fontId="12" fillId="0" borderId="4" xfId="3" applyNumberFormat="1" applyFont="1" applyBorder="1" applyAlignment="1">
      <alignment horizontal="center" vertical="center"/>
    </xf>
    <xf numFmtId="166" fontId="12" fillId="0" borderId="5" xfId="3" applyNumberFormat="1" applyFont="1" applyBorder="1" applyAlignment="1">
      <alignment horizontal="center" vertical="center"/>
    </xf>
    <xf numFmtId="40" fontId="11" fillId="0" borderId="6" xfId="3" applyNumberFormat="1" applyFont="1" applyBorder="1" applyAlignment="1">
      <alignment horizontal="center" vertical="center" wrapText="1"/>
    </xf>
    <xf numFmtId="167" fontId="11" fillId="0" borderId="21" xfId="3" applyNumberFormat="1" applyFont="1" applyBorder="1" applyAlignment="1">
      <alignment horizontal="center" vertical="center"/>
    </xf>
    <xf numFmtId="3" fontId="11" fillId="0" borderId="21" xfId="3" applyNumberFormat="1" applyFont="1" applyBorder="1" applyAlignment="1">
      <alignment horizontal="center" vertical="center"/>
    </xf>
    <xf numFmtId="0" fontId="4" fillId="0" borderId="0" xfId="1" applyAlignment="1">
      <alignment horizontal="center" vertical="center"/>
    </xf>
    <xf numFmtId="169" fontId="4" fillId="0" borderId="0" xfId="1" applyNumberFormat="1" applyAlignment="1">
      <alignment horizontal="center" vertical="center" wrapText="1"/>
    </xf>
    <xf numFmtId="0" fontId="19" fillId="0" borderId="17" xfId="1" applyFont="1" applyBorder="1" applyAlignment="1">
      <alignment horizontal="center" vertical="center"/>
    </xf>
    <xf numFmtId="0" fontId="4" fillId="0" borderId="0" xfId="1" applyAlignment="1">
      <alignment horizontal="left" vertical="center" wrapText="1"/>
    </xf>
    <xf numFmtId="1" fontId="4" fillId="0" borderId="0" xfId="1" applyNumberFormat="1" applyAlignment="1">
      <alignment horizontal="center" vertical="center"/>
    </xf>
    <xf numFmtId="3" fontId="22" fillId="0" borderId="0" xfId="1" applyNumberFormat="1" applyFont="1" applyAlignment="1">
      <alignment horizontal="center" vertical="center"/>
    </xf>
    <xf numFmtId="9" fontId="22" fillId="0" borderId="0" xfId="1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2" fontId="21" fillId="0" borderId="1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/>
    </xf>
    <xf numFmtId="40" fontId="21" fillId="0" borderId="0" xfId="0" applyNumberFormat="1" applyFont="1" applyAlignment="1">
      <alignment horizontal="center" vertical="center"/>
    </xf>
    <xf numFmtId="40" fontId="20" fillId="0" borderId="0" xfId="0" applyNumberFormat="1" applyFont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171" fontId="4" fillId="0" borderId="0" xfId="1" applyNumberFormat="1" applyAlignment="1">
      <alignment horizontal="center" vertical="center"/>
    </xf>
    <xf numFmtId="0" fontId="18" fillId="0" borderId="1" xfId="1" quotePrefix="1" applyFont="1" applyBorder="1" applyAlignment="1">
      <alignment horizontal="center" vertical="center"/>
    </xf>
    <xf numFmtId="9" fontId="4" fillId="0" borderId="0" xfId="1" applyNumberFormat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2" fontId="21" fillId="0" borderId="18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 wrapText="1"/>
    </xf>
    <xf numFmtId="0" fontId="19" fillId="0" borderId="3" xfId="1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/>
    </xf>
    <xf numFmtId="40" fontId="21" fillId="0" borderId="19" xfId="0" applyNumberFormat="1" applyFont="1" applyBorder="1" applyAlignment="1">
      <alignment horizontal="center" vertical="center"/>
    </xf>
    <xf numFmtId="40" fontId="20" fillId="0" borderId="19" xfId="0" applyNumberFormat="1" applyFont="1" applyBorder="1" applyAlignment="1">
      <alignment horizontal="center" vertical="center"/>
    </xf>
    <xf numFmtId="4" fontId="21" fillId="0" borderId="19" xfId="0" applyNumberFormat="1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21" fillId="0" borderId="24" xfId="0" applyNumberFormat="1" applyFont="1" applyBorder="1" applyAlignment="1">
      <alignment horizontal="center" vertical="center" wrapText="1"/>
    </xf>
    <xf numFmtId="2" fontId="21" fillId="0" borderId="14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1" fontId="21" fillId="0" borderId="17" xfId="0" applyNumberFormat="1" applyFont="1" applyBorder="1" applyAlignment="1">
      <alignment horizontal="center" vertical="center" wrapText="1"/>
    </xf>
    <xf numFmtId="2" fontId="21" fillId="0" borderId="17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 wrapText="1"/>
    </xf>
    <xf numFmtId="1" fontId="21" fillId="3" borderId="1" xfId="0" applyNumberFormat="1" applyFont="1" applyFill="1" applyBorder="1" applyAlignment="1">
      <alignment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164" fontId="21" fillId="3" borderId="1" xfId="0" applyNumberFormat="1" applyFont="1" applyFill="1" applyBorder="1" applyAlignment="1">
      <alignment horizontal="center" vertical="center" wrapText="1"/>
    </xf>
    <xf numFmtId="40" fontId="21" fillId="3" borderId="1" xfId="0" applyNumberFormat="1" applyFont="1" applyFill="1" applyBorder="1" applyAlignment="1">
      <alignment horizontal="center" vertical="center" wrapText="1"/>
    </xf>
    <xf numFmtId="40" fontId="20" fillId="3" borderId="1" xfId="0" applyNumberFormat="1" applyFont="1" applyFill="1" applyBorder="1" applyAlignment="1">
      <alignment horizontal="center" vertical="center" wrapText="1"/>
    </xf>
    <xf numFmtId="1" fontId="21" fillId="3" borderId="1" xfId="0" applyNumberFormat="1" applyFont="1" applyFill="1" applyBorder="1" applyAlignment="1">
      <alignment horizontal="center" vertical="center" wrapText="1"/>
    </xf>
    <xf numFmtId="4" fontId="21" fillId="3" borderId="1" xfId="0" applyNumberFormat="1" applyFont="1" applyFill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/>
    </xf>
    <xf numFmtId="166" fontId="12" fillId="2" borderId="3" xfId="3" applyNumberFormat="1" applyFont="1" applyFill="1" applyBorder="1" applyAlignment="1">
      <alignment horizontal="center" vertical="center"/>
    </xf>
    <xf numFmtId="170" fontId="11" fillId="2" borderId="21" xfId="3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2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164" fontId="21" fillId="3" borderId="1" xfId="0" applyNumberFormat="1" applyFont="1" applyFill="1" applyBorder="1" applyAlignment="1">
      <alignment vertical="center"/>
    </xf>
    <xf numFmtId="164" fontId="21" fillId="3" borderId="1" xfId="0" applyNumberFormat="1" applyFont="1" applyFill="1" applyBorder="1" applyAlignment="1">
      <alignment horizontal="center" vertical="center"/>
    </xf>
    <xf numFmtId="3" fontId="19" fillId="7" borderId="16" xfId="1" applyNumberFormat="1" applyFont="1" applyFill="1" applyBorder="1" applyAlignment="1">
      <alignment horizontal="center" vertical="center"/>
    </xf>
    <xf numFmtId="3" fontId="4" fillId="0" borderId="0" xfId="1" applyNumberFormat="1" applyAlignment="1">
      <alignment horizontal="center" vertical="center"/>
    </xf>
    <xf numFmtId="3" fontId="19" fillId="3" borderId="15" xfId="0" applyNumberFormat="1" applyFont="1" applyFill="1" applyBorder="1" applyAlignment="1">
      <alignment horizontal="center" vertical="center" wrapText="1"/>
    </xf>
    <xf numFmtId="9" fontId="19" fillId="0" borderId="0" xfId="1" applyNumberFormat="1" applyFont="1" applyAlignment="1">
      <alignment horizontal="center" vertical="center"/>
    </xf>
    <xf numFmtId="3" fontId="19" fillId="0" borderId="0" xfId="1" applyNumberFormat="1" applyFont="1" applyAlignment="1">
      <alignment horizontal="center" vertical="center"/>
    </xf>
    <xf numFmtId="1" fontId="22" fillId="0" borderId="0" xfId="1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vertical="center"/>
    </xf>
    <xf numFmtId="0" fontId="21" fillId="3" borderId="5" xfId="0" applyFont="1" applyFill="1" applyBorder="1" applyAlignment="1">
      <alignment vertical="center"/>
    </xf>
    <xf numFmtId="4" fontId="19" fillId="0" borderId="0" xfId="0" applyNumberFormat="1" applyFont="1" applyAlignment="1">
      <alignment horizontal="center" vertical="center"/>
    </xf>
    <xf numFmtId="171" fontId="19" fillId="0" borderId="0" xfId="0" applyNumberFormat="1" applyFont="1" applyAlignment="1">
      <alignment horizontal="center" vertical="center"/>
    </xf>
    <xf numFmtId="172" fontId="19" fillId="0" borderId="0" xfId="0" applyNumberFormat="1" applyFont="1" applyAlignment="1">
      <alignment horizontal="center" vertical="center"/>
    </xf>
    <xf numFmtId="173" fontId="11" fillId="2" borderId="1" xfId="3" applyNumberFormat="1" applyFont="1" applyFill="1" applyBorder="1" applyAlignment="1">
      <alignment horizontal="center" vertical="center"/>
    </xf>
    <xf numFmtId="174" fontId="11" fillId="2" borderId="1" xfId="3" applyNumberFormat="1" applyFont="1" applyFill="1" applyBorder="1" applyAlignment="1">
      <alignment horizontal="center" vertical="center"/>
    </xf>
    <xf numFmtId="173" fontId="11" fillId="0" borderId="1" xfId="3" applyNumberFormat="1" applyFont="1" applyBorder="1" applyAlignment="1">
      <alignment horizontal="center" vertical="center"/>
    </xf>
    <xf numFmtId="174" fontId="11" fillId="0" borderId="1" xfId="3" applyNumberFormat="1" applyFont="1" applyBorder="1" applyAlignment="1">
      <alignment horizontal="center" vertical="center"/>
    </xf>
    <xf numFmtId="175" fontId="12" fillId="0" borderId="1" xfId="3" applyNumberFormat="1" applyFont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3" fontId="19" fillId="3" borderId="17" xfId="0" applyNumberFormat="1" applyFont="1" applyFill="1" applyBorder="1" applyAlignment="1">
      <alignment horizontal="center" vertical="center"/>
    </xf>
    <xf numFmtId="3" fontId="19" fillId="3" borderId="15" xfId="0" applyNumberFormat="1" applyFont="1" applyFill="1" applyBorder="1" applyAlignment="1">
      <alignment horizontal="center" vertical="center"/>
    </xf>
    <xf numFmtId="9" fontId="19" fillId="7" borderId="15" xfId="1" applyNumberFormat="1" applyFont="1" applyFill="1" applyBorder="1" applyAlignment="1">
      <alignment horizontal="center" vertical="center"/>
    </xf>
    <xf numFmtId="9" fontId="19" fillId="0" borderId="17" xfId="1" applyNumberFormat="1" applyFont="1" applyBorder="1" applyAlignment="1">
      <alignment horizontal="center" vertical="center"/>
    </xf>
    <xf numFmtId="3" fontId="19" fillId="6" borderId="20" xfId="1" applyNumberFormat="1" applyFont="1" applyFill="1" applyBorder="1" applyAlignment="1">
      <alignment horizontal="center" vertical="center"/>
    </xf>
    <xf numFmtId="4" fontId="19" fillId="3" borderId="15" xfId="0" applyNumberFormat="1" applyFont="1" applyFill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17" xfId="1" applyFont="1" applyBorder="1" applyAlignment="1">
      <alignment horizontal="left" vertical="center"/>
    </xf>
    <xf numFmtId="0" fontId="28" fillId="0" borderId="26" xfId="0" applyFont="1" applyBorder="1" applyAlignment="1">
      <alignment horizontal="left" vertical="center"/>
    </xf>
    <xf numFmtId="0" fontId="19" fillId="9" borderId="17" xfId="1" applyFont="1" applyFill="1" applyBorder="1" applyAlignment="1">
      <alignment horizontal="center" vertical="center"/>
    </xf>
    <xf numFmtId="0" fontId="19" fillId="9" borderId="17" xfId="1" applyFont="1" applyFill="1" applyBorder="1" applyAlignment="1">
      <alignment horizontal="left" vertical="center" wrapText="1"/>
    </xf>
    <xf numFmtId="1" fontId="19" fillId="9" borderId="17" xfId="1" applyNumberFormat="1" applyFont="1" applyFill="1" applyBorder="1" applyAlignment="1">
      <alignment horizontal="center" vertical="center"/>
    </xf>
    <xf numFmtId="0" fontId="19" fillId="9" borderId="15" xfId="1" applyFont="1" applyFill="1" applyBorder="1" applyAlignment="1">
      <alignment horizontal="center" vertical="center"/>
    </xf>
    <xf numFmtId="0" fontId="19" fillId="9" borderId="15" xfId="1" applyFont="1" applyFill="1" applyBorder="1" applyAlignment="1">
      <alignment horizontal="left" vertical="center" wrapText="1"/>
    </xf>
    <xf numFmtId="1" fontId="19" fillId="9" borderId="15" xfId="1" applyNumberFormat="1" applyFont="1" applyFill="1" applyBorder="1" applyAlignment="1">
      <alignment horizontal="center" vertical="center"/>
    </xf>
    <xf numFmtId="0" fontId="19" fillId="10" borderId="15" xfId="1" applyFont="1" applyFill="1" applyBorder="1" applyAlignment="1">
      <alignment horizontal="center" vertical="center"/>
    </xf>
    <xf numFmtId="0" fontId="19" fillId="10" borderId="15" xfId="1" applyFont="1" applyFill="1" applyBorder="1" applyAlignment="1">
      <alignment horizontal="left" vertical="center" wrapText="1"/>
    </xf>
    <xf numFmtId="1" fontId="19" fillId="10" borderId="15" xfId="1" applyNumberFormat="1" applyFont="1" applyFill="1" applyBorder="1" applyAlignment="1">
      <alignment horizontal="center" vertical="center"/>
    </xf>
    <xf numFmtId="0" fontId="19" fillId="11" borderId="15" xfId="1" applyFont="1" applyFill="1" applyBorder="1" applyAlignment="1">
      <alignment horizontal="center" vertical="center"/>
    </xf>
    <xf numFmtId="0" fontId="19" fillId="11" borderId="15" xfId="1" applyFont="1" applyFill="1" applyBorder="1" applyAlignment="1">
      <alignment horizontal="left" vertical="center" wrapText="1"/>
    </xf>
    <xf numFmtId="1" fontId="19" fillId="11" borderId="15" xfId="1" applyNumberFormat="1" applyFont="1" applyFill="1" applyBorder="1" applyAlignment="1">
      <alignment horizontal="center" vertical="center"/>
    </xf>
    <xf numFmtId="0" fontId="19" fillId="12" borderId="15" xfId="1" applyFont="1" applyFill="1" applyBorder="1" applyAlignment="1">
      <alignment horizontal="center" vertical="center"/>
    </xf>
    <xf numFmtId="0" fontId="19" fillId="12" borderId="15" xfId="1" applyFont="1" applyFill="1" applyBorder="1" applyAlignment="1">
      <alignment horizontal="left" vertical="center" wrapText="1"/>
    </xf>
    <xf numFmtId="1" fontId="19" fillId="12" borderId="15" xfId="1" applyNumberFormat="1" applyFont="1" applyFill="1" applyBorder="1" applyAlignment="1">
      <alignment horizontal="center" vertical="center"/>
    </xf>
    <xf numFmtId="0" fontId="19" fillId="13" borderId="15" xfId="1" applyFont="1" applyFill="1" applyBorder="1" applyAlignment="1">
      <alignment horizontal="center" vertical="center"/>
    </xf>
    <xf numFmtId="0" fontId="19" fillId="13" borderId="15" xfId="1" applyFont="1" applyFill="1" applyBorder="1" applyAlignment="1">
      <alignment horizontal="left" vertical="center" wrapText="1"/>
    </xf>
    <xf numFmtId="1" fontId="19" fillId="13" borderId="15" xfId="1" applyNumberFormat="1" applyFont="1" applyFill="1" applyBorder="1" applyAlignment="1">
      <alignment horizontal="center" vertical="center"/>
    </xf>
    <xf numFmtId="0" fontId="19" fillId="14" borderId="15" xfId="1" applyFont="1" applyFill="1" applyBorder="1" applyAlignment="1">
      <alignment horizontal="center" vertical="center"/>
    </xf>
    <xf numFmtId="0" fontId="19" fillId="14" borderId="15" xfId="1" applyFont="1" applyFill="1" applyBorder="1" applyAlignment="1">
      <alignment horizontal="left" vertical="center" wrapText="1"/>
    </xf>
    <xf numFmtId="1" fontId="19" fillId="14" borderId="15" xfId="1" applyNumberFormat="1" applyFont="1" applyFill="1" applyBorder="1" applyAlignment="1">
      <alignment horizontal="center" vertical="center"/>
    </xf>
    <xf numFmtId="0" fontId="19" fillId="16" borderId="15" xfId="1" applyFont="1" applyFill="1" applyBorder="1" applyAlignment="1">
      <alignment horizontal="center" vertical="center"/>
    </xf>
    <xf numFmtId="0" fontId="19" fillId="16" borderId="15" xfId="1" applyFont="1" applyFill="1" applyBorder="1" applyAlignment="1">
      <alignment horizontal="left" vertical="center" wrapText="1"/>
    </xf>
    <xf numFmtId="1" fontId="19" fillId="16" borderId="15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" fontId="19" fillId="0" borderId="17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1" fontId="31" fillId="2" borderId="1" xfId="0" applyNumberFormat="1" applyFont="1" applyFill="1" applyBorder="1" applyAlignment="1">
      <alignment horizontal="center" vertical="center" wrapText="1"/>
    </xf>
    <xf numFmtId="3" fontId="19" fillId="3" borderId="17" xfId="0" applyNumberFormat="1" applyFont="1" applyFill="1" applyBorder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 wrapText="1"/>
    </xf>
    <xf numFmtId="1" fontId="19" fillId="18" borderId="15" xfId="1" applyNumberFormat="1" applyFont="1" applyFill="1" applyBorder="1" applyAlignment="1">
      <alignment horizontal="center" vertical="center"/>
    </xf>
    <xf numFmtId="9" fontId="19" fillId="18" borderId="15" xfId="1" applyNumberFormat="1" applyFont="1" applyFill="1" applyBorder="1" applyAlignment="1">
      <alignment horizontal="center" vertical="center"/>
    </xf>
    <xf numFmtId="9" fontId="19" fillId="19" borderId="15" xfId="0" applyNumberFormat="1" applyFont="1" applyFill="1" applyBorder="1" applyAlignment="1">
      <alignment horizontal="center" vertical="center"/>
    </xf>
    <xf numFmtId="1" fontId="19" fillId="19" borderId="15" xfId="1" applyNumberFormat="1" applyFont="1" applyFill="1" applyBorder="1" applyAlignment="1">
      <alignment horizontal="center" vertical="center"/>
    </xf>
    <xf numFmtId="1" fontId="19" fillId="20" borderId="15" xfId="1" applyNumberFormat="1" applyFont="1" applyFill="1" applyBorder="1" applyAlignment="1">
      <alignment horizontal="center" vertical="center"/>
    </xf>
    <xf numFmtId="1" fontId="19" fillId="21" borderId="15" xfId="0" applyNumberFormat="1" applyFont="1" applyFill="1" applyBorder="1" applyAlignment="1">
      <alignment horizontal="center" vertical="center"/>
    </xf>
    <xf numFmtId="2" fontId="19" fillId="21" borderId="15" xfId="0" applyNumberFormat="1" applyFont="1" applyFill="1" applyBorder="1" applyAlignment="1">
      <alignment horizontal="center" vertical="center"/>
    </xf>
    <xf numFmtId="10" fontId="19" fillId="21" borderId="15" xfId="0" applyNumberFormat="1" applyFont="1" applyFill="1" applyBorder="1" applyAlignment="1">
      <alignment horizontal="center" vertical="center"/>
    </xf>
    <xf numFmtId="1" fontId="19" fillId="21" borderId="15" xfId="1" applyNumberFormat="1" applyFont="1" applyFill="1" applyBorder="1" applyAlignment="1">
      <alignment horizontal="center" vertical="center"/>
    </xf>
    <xf numFmtId="9" fontId="19" fillId="21" borderId="15" xfId="0" applyNumberFormat="1" applyFont="1" applyFill="1" applyBorder="1" applyAlignment="1">
      <alignment horizontal="center" vertical="center"/>
    </xf>
    <xf numFmtId="1" fontId="19" fillId="5" borderId="15" xfId="1" applyNumberFormat="1" applyFont="1" applyFill="1" applyBorder="1" applyAlignment="1">
      <alignment horizontal="center" vertical="center"/>
    </xf>
    <xf numFmtId="9" fontId="19" fillId="5" borderId="15" xfId="1" applyNumberFormat="1" applyFont="1" applyFill="1" applyBorder="1" applyAlignment="1">
      <alignment horizontal="center" vertical="center"/>
    </xf>
    <xf numFmtId="0" fontId="4" fillId="8" borderId="19" xfId="1" applyFill="1" applyBorder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0" fontId="0" fillId="22" borderId="1" xfId="0" applyNumberForma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2" fillId="0" borderId="0" xfId="0" applyFont="1" applyAlignment="1">
      <alignment vertical="top"/>
    </xf>
    <xf numFmtId="0" fontId="32" fillId="18" borderId="1" xfId="0" applyFont="1" applyFill="1" applyBorder="1" applyAlignment="1">
      <alignment horizontal="center" vertical="top" wrapText="1"/>
    </xf>
    <xf numFmtId="0" fontId="0" fillId="23" borderId="0" xfId="0" applyFill="1"/>
    <xf numFmtId="0" fontId="0" fillId="23" borderId="0" xfId="0" applyFill="1" applyAlignment="1">
      <alignment wrapText="1"/>
    </xf>
    <xf numFmtId="0" fontId="2" fillId="23" borderId="0" xfId="0" applyFont="1" applyFill="1" applyAlignment="1">
      <alignment vertical="center" wrapText="1"/>
    </xf>
    <xf numFmtId="0" fontId="0" fillId="24" borderId="0" xfId="0" applyFill="1"/>
    <xf numFmtId="0" fontId="3" fillId="24" borderId="0" xfId="0" applyFont="1" applyFill="1"/>
    <xf numFmtId="0" fontId="3" fillId="24" borderId="0" xfId="0" applyFont="1" applyFill="1" applyAlignment="1">
      <alignment vertical="center" wrapText="1"/>
    </xf>
    <xf numFmtId="0" fontId="0" fillId="25" borderId="0" xfId="0" applyFill="1"/>
    <xf numFmtId="0" fontId="3" fillId="25" borderId="0" xfId="0" applyFont="1" applyFill="1"/>
    <xf numFmtId="0" fontId="3" fillId="25" borderId="0" xfId="0" applyFont="1" applyFill="1" applyAlignment="1">
      <alignment vertical="center" wrapText="1"/>
    </xf>
    <xf numFmtId="0" fontId="33" fillId="25" borderId="22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/>
    </xf>
    <xf numFmtId="0" fontId="33" fillId="25" borderId="0" xfId="0" applyFont="1" applyFill="1" applyAlignment="1">
      <alignment horizontal="center" vertical="center"/>
    </xf>
    <xf numFmtId="0" fontId="34" fillId="24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0" fontId="34" fillId="24" borderId="12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" fontId="19" fillId="26" borderId="17" xfId="1" applyNumberFormat="1" applyFont="1" applyFill="1" applyBorder="1" applyAlignment="1">
      <alignment horizontal="center" vertical="center"/>
    </xf>
    <xf numFmtId="9" fontId="19" fillId="26" borderId="17" xfId="1" applyNumberFormat="1" applyFont="1" applyFill="1" applyBorder="1" applyAlignment="1">
      <alignment horizontal="center" vertical="center"/>
    </xf>
    <xf numFmtId="3" fontId="19" fillId="26" borderId="17" xfId="0" applyNumberFormat="1" applyFont="1" applyFill="1" applyBorder="1" applyAlignment="1">
      <alignment horizontal="center" vertical="center"/>
    </xf>
    <xf numFmtId="9" fontId="19" fillId="26" borderId="17" xfId="0" applyNumberFormat="1" applyFont="1" applyFill="1" applyBorder="1" applyAlignment="1">
      <alignment horizontal="center" vertical="center"/>
    </xf>
    <xf numFmtId="172" fontId="19" fillId="26" borderId="17" xfId="0" applyNumberFormat="1" applyFont="1" applyFill="1" applyBorder="1" applyAlignment="1">
      <alignment horizontal="center" vertical="center"/>
    </xf>
    <xf numFmtId="9" fontId="19" fillId="26" borderId="15" xfId="0" applyNumberFormat="1" applyFont="1" applyFill="1" applyBorder="1" applyAlignment="1">
      <alignment horizontal="center" vertical="center"/>
    </xf>
    <xf numFmtId="172" fontId="19" fillId="26" borderId="15" xfId="0" applyNumberFormat="1" applyFont="1" applyFill="1" applyBorder="1" applyAlignment="1">
      <alignment horizontal="center" vertical="center"/>
    </xf>
    <xf numFmtId="176" fontId="4" fillId="0" borderId="0" xfId="1" applyNumberFormat="1" applyAlignment="1">
      <alignment horizontal="center" vertical="center"/>
    </xf>
    <xf numFmtId="0" fontId="19" fillId="12" borderId="16" xfId="1" applyFont="1" applyFill="1" applyBorder="1" applyAlignment="1">
      <alignment horizontal="center" vertical="center"/>
    </xf>
    <xf numFmtId="1" fontId="19" fillId="12" borderId="16" xfId="1" applyNumberFormat="1" applyFont="1" applyFill="1" applyBorder="1" applyAlignment="1">
      <alignment horizontal="center" vertical="center"/>
    </xf>
    <xf numFmtId="0" fontId="19" fillId="12" borderId="16" xfId="1" applyFont="1" applyFill="1" applyBorder="1" applyAlignment="1">
      <alignment horizontal="left" vertical="center" wrapText="1"/>
    </xf>
    <xf numFmtId="9" fontId="19" fillId="7" borderId="16" xfId="1" applyNumberFormat="1" applyFont="1" applyFill="1" applyBorder="1" applyAlignment="1">
      <alignment horizontal="center" vertical="center"/>
    </xf>
    <xf numFmtId="4" fontId="19" fillId="3" borderId="16" xfId="0" applyNumberFormat="1" applyFont="1" applyFill="1" applyBorder="1" applyAlignment="1">
      <alignment horizontal="center" vertical="center"/>
    </xf>
    <xf numFmtId="3" fontId="19" fillId="3" borderId="16" xfId="0" applyNumberFormat="1" applyFont="1" applyFill="1" applyBorder="1" applyAlignment="1">
      <alignment horizontal="center" vertical="center" wrapText="1"/>
    </xf>
    <xf numFmtId="3" fontId="19" fillId="3" borderId="16" xfId="0" applyNumberFormat="1" applyFont="1" applyFill="1" applyBorder="1" applyAlignment="1">
      <alignment horizontal="center" vertical="center"/>
    </xf>
    <xf numFmtId="9" fontId="19" fillId="26" borderId="16" xfId="0" applyNumberFormat="1" applyFont="1" applyFill="1" applyBorder="1" applyAlignment="1">
      <alignment horizontal="center" vertical="center"/>
    </xf>
    <xf numFmtId="3" fontId="19" fillId="6" borderId="27" xfId="1" applyNumberFormat="1" applyFont="1" applyFill="1" applyBorder="1" applyAlignment="1">
      <alignment horizontal="center" vertical="center"/>
    </xf>
    <xf numFmtId="9" fontId="19" fillId="18" borderId="16" xfId="1" applyNumberFormat="1" applyFont="1" applyFill="1" applyBorder="1" applyAlignment="1">
      <alignment horizontal="center" vertical="center"/>
    </xf>
    <xf numFmtId="1" fontId="19" fillId="19" borderId="16" xfId="1" applyNumberFormat="1" applyFont="1" applyFill="1" applyBorder="1" applyAlignment="1">
      <alignment horizontal="center" vertical="center"/>
    </xf>
    <xf numFmtId="1" fontId="19" fillId="20" borderId="16" xfId="1" applyNumberFormat="1" applyFont="1" applyFill="1" applyBorder="1" applyAlignment="1">
      <alignment horizontal="center" vertical="center"/>
    </xf>
    <xf numFmtId="1" fontId="19" fillId="21" borderId="16" xfId="0" applyNumberFormat="1" applyFont="1" applyFill="1" applyBorder="1" applyAlignment="1">
      <alignment horizontal="center" vertical="center"/>
    </xf>
    <xf numFmtId="2" fontId="19" fillId="21" borderId="16" xfId="0" applyNumberFormat="1" applyFont="1" applyFill="1" applyBorder="1" applyAlignment="1">
      <alignment horizontal="center" vertical="center"/>
    </xf>
    <xf numFmtId="10" fontId="19" fillId="21" borderId="16" xfId="0" applyNumberFormat="1" applyFont="1" applyFill="1" applyBorder="1" applyAlignment="1">
      <alignment horizontal="center" vertical="center"/>
    </xf>
    <xf numFmtId="1" fontId="19" fillId="21" borderId="16" xfId="1" applyNumberFormat="1" applyFont="1" applyFill="1" applyBorder="1" applyAlignment="1">
      <alignment horizontal="center" vertical="center"/>
    </xf>
    <xf numFmtId="9" fontId="19" fillId="21" borderId="16" xfId="0" applyNumberFormat="1" applyFont="1" applyFill="1" applyBorder="1" applyAlignment="1">
      <alignment horizontal="center" vertical="center"/>
    </xf>
    <xf numFmtId="1" fontId="19" fillId="5" borderId="16" xfId="1" applyNumberFormat="1" applyFont="1" applyFill="1" applyBorder="1" applyAlignment="1">
      <alignment horizontal="center" vertical="center"/>
    </xf>
    <xf numFmtId="9" fontId="19" fillId="5" borderId="16" xfId="1" applyNumberFormat="1" applyFont="1" applyFill="1" applyBorder="1" applyAlignment="1">
      <alignment horizontal="center" vertical="center"/>
    </xf>
    <xf numFmtId="1" fontId="19" fillId="21" borderId="20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vertical="top" wrapText="1"/>
    </xf>
    <xf numFmtId="176" fontId="26" fillId="0" borderId="1" xfId="0" applyNumberFormat="1" applyFont="1" applyBorder="1" applyAlignment="1">
      <alignment horizontal="right" vertical="top"/>
    </xf>
    <xf numFmtId="2" fontId="26" fillId="0" borderId="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vertical="top"/>
    </xf>
    <xf numFmtId="1" fontId="26" fillId="0" borderId="1" xfId="0" applyNumberFormat="1" applyFont="1" applyBorder="1" applyAlignment="1">
      <alignment horizontal="right" vertical="top"/>
    </xf>
    <xf numFmtId="1" fontId="19" fillId="7" borderId="17" xfId="1" applyNumberFormat="1" applyFont="1" applyFill="1" applyBorder="1" applyAlignment="1">
      <alignment horizontal="center" vertical="center"/>
    </xf>
    <xf numFmtId="1" fontId="19" fillId="7" borderId="15" xfId="1" applyNumberFormat="1" applyFont="1" applyFill="1" applyBorder="1" applyAlignment="1">
      <alignment horizontal="center" vertical="center"/>
    </xf>
    <xf numFmtId="1" fontId="19" fillId="7" borderId="16" xfId="1" applyNumberFormat="1" applyFont="1" applyFill="1" applyBorder="1" applyAlignment="1">
      <alignment horizontal="center" vertical="center"/>
    </xf>
    <xf numFmtId="9" fontId="4" fillId="0" borderId="0" xfId="8" applyFont="1" applyFill="1" applyAlignment="1">
      <alignment horizontal="center" vertical="center"/>
    </xf>
    <xf numFmtId="2" fontId="19" fillId="3" borderId="17" xfId="0" applyNumberFormat="1" applyFont="1" applyFill="1" applyBorder="1" applyAlignment="1">
      <alignment horizontal="center" vertical="center"/>
    </xf>
    <xf numFmtId="2" fontId="19" fillId="3" borderId="15" xfId="0" applyNumberFormat="1" applyFont="1" applyFill="1" applyBorder="1" applyAlignment="1">
      <alignment horizontal="center" vertical="center"/>
    </xf>
    <xf numFmtId="2" fontId="19" fillId="3" borderId="16" xfId="0" applyNumberFormat="1" applyFont="1" applyFill="1" applyBorder="1" applyAlignment="1">
      <alignment horizontal="center" vertical="center"/>
    </xf>
    <xf numFmtId="2" fontId="4" fillId="0" borderId="0" xfId="1" applyNumberFormat="1" applyAlignment="1">
      <alignment horizontal="center" vertical="center"/>
    </xf>
    <xf numFmtId="0" fontId="0" fillId="0" borderId="1" xfId="0" applyBorder="1" applyAlignment="1">
      <alignment wrapText="1"/>
    </xf>
    <xf numFmtId="3" fontId="19" fillId="0" borderId="17" xfId="1" applyNumberFormat="1" applyFont="1" applyBorder="1" applyAlignment="1">
      <alignment horizontal="center" vertical="center"/>
    </xf>
    <xf numFmtId="3" fontId="19" fillId="7" borderId="17" xfId="1" applyNumberFormat="1" applyFont="1" applyFill="1" applyBorder="1" applyAlignment="1">
      <alignment horizontal="center" vertical="center"/>
    </xf>
    <xf numFmtId="9" fontId="19" fillId="7" borderId="17" xfId="1" applyNumberFormat="1" applyFont="1" applyFill="1" applyBorder="1" applyAlignment="1">
      <alignment horizontal="center" vertical="center"/>
    </xf>
    <xf numFmtId="4" fontId="19" fillId="3" borderId="17" xfId="0" applyNumberFormat="1" applyFont="1" applyFill="1" applyBorder="1" applyAlignment="1">
      <alignment horizontal="center" vertical="center"/>
    </xf>
    <xf numFmtId="3" fontId="19" fillId="6" borderId="29" xfId="1" applyNumberFormat="1" applyFont="1" applyFill="1" applyBorder="1" applyAlignment="1">
      <alignment horizontal="center" vertical="center"/>
    </xf>
    <xf numFmtId="0" fontId="4" fillId="8" borderId="17" xfId="1" applyFill="1" applyBorder="1" applyAlignment="1">
      <alignment horizontal="center" vertical="center"/>
    </xf>
    <xf numFmtId="176" fontId="4" fillId="7" borderId="17" xfId="1" applyNumberFormat="1" applyFill="1" applyBorder="1" applyAlignment="1">
      <alignment horizontal="center" vertical="center"/>
    </xf>
    <xf numFmtId="3" fontId="19" fillId="7" borderId="15" xfId="1" applyNumberFormat="1" applyFont="1" applyFill="1" applyBorder="1" applyAlignment="1">
      <alignment horizontal="center" vertical="center"/>
    </xf>
    <xf numFmtId="3" fontId="18" fillId="4" borderId="15" xfId="1" applyNumberFormat="1" applyFont="1" applyFill="1" applyBorder="1" applyAlignment="1">
      <alignment horizontal="center" vertical="center"/>
    </xf>
    <xf numFmtId="1" fontId="19" fillId="4" borderId="15" xfId="1" applyNumberFormat="1" applyFont="1" applyFill="1" applyBorder="1" applyAlignment="1">
      <alignment horizontal="center" vertical="center"/>
    </xf>
    <xf numFmtId="1" fontId="19" fillId="26" borderId="15" xfId="1" applyNumberFormat="1" applyFont="1" applyFill="1" applyBorder="1" applyAlignment="1">
      <alignment horizontal="center" vertical="center"/>
    </xf>
    <xf numFmtId="9" fontId="19" fillId="26" borderId="15" xfId="1" applyNumberFormat="1" applyFont="1" applyFill="1" applyBorder="1" applyAlignment="1">
      <alignment horizontal="center" vertical="center"/>
    </xf>
    <xf numFmtId="3" fontId="19" fillId="26" borderId="15" xfId="0" applyNumberFormat="1" applyFont="1" applyFill="1" applyBorder="1" applyAlignment="1">
      <alignment horizontal="center" vertical="center"/>
    </xf>
    <xf numFmtId="1" fontId="19" fillId="0" borderId="15" xfId="1" applyNumberFormat="1" applyFont="1" applyBorder="1" applyAlignment="1">
      <alignment horizontal="center" vertical="center"/>
    </xf>
    <xf numFmtId="9" fontId="19" fillId="0" borderId="15" xfId="1" applyNumberFormat="1" applyFont="1" applyBorder="1" applyAlignment="1">
      <alignment horizontal="center" vertical="center"/>
    </xf>
    <xf numFmtId="0" fontId="4" fillId="0" borderId="30" xfId="1" applyBorder="1" applyAlignment="1">
      <alignment horizontal="center" vertical="center"/>
    </xf>
    <xf numFmtId="0" fontId="4" fillId="8" borderId="15" xfId="1" applyFill="1" applyBorder="1" applyAlignment="1">
      <alignment horizontal="center" vertical="center"/>
    </xf>
    <xf numFmtId="176" fontId="4" fillId="7" borderId="15" xfId="1" applyNumberFormat="1" applyFill="1" applyBorder="1" applyAlignment="1">
      <alignment horizontal="center" vertical="center"/>
    </xf>
    <xf numFmtId="0" fontId="21" fillId="13" borderId="30" xfId="0" applyFont="1" applyFill="1" applyBorder="1" applyAlignment="1">
      <alignment horizontal="center" vertical="center"/>
    </xf>
    <xf numFmtId="1" fontId="19" fillId="26" borderId="16" xfId="1" applyNumberFormat="1" applyFont="1" applyFill="1" applyBorder="1" applyAlignment="1">
      <alignment horizontal="center" vertical="center"/>
    </xf>
    <xf numFmtId="9" fontId="19" fillId="26" borderId="16" xfId="1" applyNumberFormat="1" applyFont="1" applyFill="1" applyBorder="1" applyAlignment="1">
      <alignment horizontal="center" vertical="center"/>
    </xf>
    <xf numFmtId="3" fontId="19" fillId="26" borderId="16" xfId="0" applyNumberFormat="1" applyFont="1" applyFill="1" applyBorder="1" applyAlignment="1">
      <alignment horizontal="center" vertical="center"/>
    </xf>
    <xf numFmtId="0" fontId="4" fillId="0" borderId="31" xfId="1" applyBorder="1" applyAlignment="1">
      <alignment horizontal="center" vertical="center"/>
    </xf>
    <xf numFmtId="176" fontId="4" fillId="7" borderId="16" xfId="1" applyNumberFormat="1" applyFill="1" applyBorder="1" applyAlignment="1">
      <alignment horizontal="center" vertical="center"/>
    </xf>
    <xf numFmtId="169" fontId="35" fillId="0" borderId="8" xfId="1" applyNumberFormat="1" applyFont="1" applyBorder="1" applyAlignment="1">
      <alignment vertical="center"/>
    </xf>
    <xf numFmtId="1" fontId="35" fillId="0" borderId="9" xfId="1" applyNumberFormat="1" applyFont="1" applyBorder="1" applyAlignment="1">
      <alignment vertical="center"/>
    </xf>
    <xf numFmtId="169" fontId="35" fillId="0" borderId="9" xfId="1" applyNumberFormat="1" applyFont="1" applyBorder="1" applyAlignment="1">
      <alignment vertical="center"/>
    </xf>
    <xf numFmtId="0" fontId="38" fillId="0" borderId="9" xfId="1" applyFont="1" applyBorder="1" applyAlignment="1">
      <alignment horizontal="center" vertical="center"/>
    </xf>
    <xf numFmtId="9" fontId="40" fillId="0" borderId="9" xfId="0" applyNumberFormat="1" applyFont="1" applyBorder="1" applyAlignment="1">
      <alignment horizontal="center" vertical="center"/>
    </xf>
    <xf numFmtId="0" fontId="41" fillId="0" borderId="9" xfId="5" applyFont="1" applyBorder="1" applyAlignment="1">
      <alignment horizontal="center" vertical="center" wrapText="1"/>
    </xf>
    <xf numFmtId="1" fontId="40" fillId="0" borderId="9" xfId="0" applyNumberFormat="1" applyFont="1" applyBorder="1" applyAlignment="1">
      <alignment horizontal="center" vertical="center"/>
    </xf>
    <xf numFmtId="1" fontId="41" fillId="0" borderId="9" xfId="5" applyNumberFormat="1" applyFont="1" applyBorder="1" applyAlignment="1">
      <alignment horizontal="center" vertical="center" wrapText="1"/>
    </xf>
    <xf numFmtId="0" fontId="40" fillId="0" borderId="9" xfId="1" applyFont="1" applyBorder="1" applyAlignment="1">
      <alignment horizontal="center" vertical="center"/>
    </xf>
    <xf numFmtId="1" fontId="40" fillId="0" borderId="9" xfId="1" applyNumberFormat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169" fontId="35" fillId="0" borderId="11" xfId="1" applyNumberFormat="1" applyFont="1" applyBorder="1" applyAlignment="1">
      <alignment vertical="center"/>
    </xf>
    <xf numFmtId="1" fontId="35" fillId="0" borderId="0" xfId="1" applyNumberFormat="1" applyFont="1" applyAlignment="1">
      <alignment vertical="center"/>
    </xf>
    <xf numFmtId="169" fontId="35" fillId="0" borderId="0" xfId="1" applyNumberFormat="1" applyFont="1" applyAlignment="1">
      <alignment vertical="center"/>
    </xf>
    <xf numFmtId="3" fontId="36" fillId="3" borderId="11" xfId="0" applyNumberFormat="1" applyFont="1" applyFill="1" applyBorder="1" applyAlignment="1">
      <alignment horizontal="center" vertical="center"/>
    </xf>
    <xf numFmtId="3" fontId="36" fillId="3" borderId="0" xfId="0" applyNumberFormat="1" applyFont="1" applyFill="1" applyAlignment="1">
      <alignment horizontal="center" vertical="center"/>
    </xf>
    <xf numFmtId="4" fontId="36" fillId="3" borderId="0" xfId="0" applyNumberFormat="1" applyFont="1" applyFill="1" applyAlignment="1">
      <alignment horizontal="center" vertical="center"/>
    </xf>
    <xf numFmtId="3" fontId="36" fillId="3" borderId="0" xfId="0" applyNumberFormat="1" applyFont="1" applyFill="1" applyAlignment="1">
      <alignment horizontal="center" vertical="center" wrapText="1"/>
    </xf>
    <xf numFmtId="3" fontId="36" fillId="3" borderId="12" xfId="0" applyNumberFormat="1" applyFont="1" applyFill="1" applyBorder="1" applyAlignment="1">
      <alignment horizontal="center" vertical="center"/>
    </xf>
    <xf numFmtId="1" fontId="37" fillId="4" borderId="6" xfId="1" applyNumberFormat="1" applyFont="1" applyFill="1" applyBorder="1" applyAlignment="1">
      <alignment horizontal="center" vertical="center" wrapText="1"/>
    </xf>
    <xf numFmtId="9" fontId="37" fillId="4" borderId="6" xfId="1" applyNumberFormat="1" applyFont="1" applyFill="1" applyBorder="1" applyAlignment="1">
      <alignment horizontal="center" vertical="center" wrapText="1"/>
    </xf>
    <xf numFmtId="1" fontId="36" fillId="20" borderId="6" xfId="0" applyNumberFormat="1" applyFont="1" applyFill="1" applyBorder="1" applyAlignment="1">
      <alignment horizontal="center" vertical="center" wrapText="1"/>
    </xf>
    <xf numFmtId="171" fontId="36" fillId="21" borderId="13" xfId="0" applyNumberFormat="1" applyFont="1" applyFill="1" applyBorder="1" applyAlignment="1">
      <alignment horizontal="center" vertical="center" wrapText="1"/>
    </xf>
    <xf numFmtId="1" fontId="36" fillId="21" borderId="6" xfId="1" applyNumberFormat="1" applyFont="1" applyFill="1" applyBorder="1" applyAlignment="1">
      <alignment horizontal="center" vertical="center" wrapText="1"/>
    </xf>
    <xf numFmtId="9" fontId="36" fillId="21" borderId="6" xfId="0" applyNumberFormat="1" applyFont="1" applyFill="1" applyBorder="1" applyAlignment="1">
      <alignment horizontal="center" vertical="center" wrapText="1"/>
    </xf>
    <xf numFmtId="1" fontId="36" fillId="21" borderId="1" xfId="0" applyNumberFormat="1" applyFont="1" applyFill="1" applyBorder="1" applyAlignment="1">
      <alignment horizontal="center" vertical="center" wrapText="1"/>
    </xf>
    <xf numFmtId="4" fontId="37" fillId="27" borderId="13" xfId="1" applyNumberFormat="1" applyFont="1" applyFill="1" applyBorder="1" applyAlignment="1">
      <alignment vertical="top"/>
    </xf>
    <xf numFmtId="4" fontId="37" fillId="27" borderId="2" xfId="1" applyNumberFormat="1" applyFont="1" applyFill="1" applyBorder="1" applyAlignment="1">
      <alignment vertical="top"/>
    </xf>
    <xf numFmtId="169" fontId="42" fillId="15" borderId="1" xfId="1" applyNumberFormat="1" applyFont="1" applyFill="1" applyBorder="1" applyAlignment="1">
      <alignment horizontal="center" vertical="center" wrapText="1"/>
    </xf>
    <xf numFmtId="1" fontId="42" fillId="15" borderId="1" xfId="1" applyNumberFormat="1" applyFont="1" applyFill="1" applyBorder="1" applyAlignment="1">
      <alignment horizontal="center" vertical="center" wrapText="1"/>
    </xf>
    <xf numFmtId="1" fontId="42" fillId="7" borderId="1" xfId="1" applyNumberFormat="1" applyFont="1" applyFill="1" applyBorder="1" applyAlignment="1">
      <alignment horizontal="center" vertical="center" wrapText="1"/>
    </xf>
    <xf numFmtId="2" fontId="37" fillId="3" borderId="10" xfId="0" applyNumberFormat="1" applyFont="1" applyFill="1" applyBorder="1" applyAlignment="1">
      <alignment horizontal="center" vertical="center" wrapText="1"/>
    </xf>
    <xf numFmtId="3" fontId="36" fillId="3" borderId="6" xfId="0" applyNumberFormat="1" applyFont="1" applyFill="1" applyBorder="1" applyAlignment="1">
      <alignment horizontal="center" vertical="center" wrapText="1"/>
    </xf>
    <xf numFmtId="4" fontId="36" fillId="3" borderId="6" xfId="0" applyNumberFormat="1" applyFont="1" applyFill="1" applyBorder="1" applyAlignment="1">
      <alignment horizontal="center" vertical="center" wrapText="1"/>
    </xf>
    <xf numFmtId="1" fontId="37" fillId="4" borderId="10" xfId="1" applyNumberFormat="1" applyFont="1" applyFill="1" applyBorder="1" applyAlignment="1">
      <alignment horizontal="center" vertical="center" wrapText="1"/>
    </xf>
    <xf numFmtId="9" fontId="37" fillId="4" borderId="6" xfId="1" applyNumberFormat="1" applyFont="1" applyFill="1" applyBorder="1" applyAlignment="1">
      <alignment horizontal="center" vertical="center"/>
    </xf>
    <xf numFmtId="9" fontId="38" fillId="26" borderId="6" xfId="1" applyNumberFormat="1" applyFont="1" applyFill="1" applyBorder="1" applyAlignment="1">
      <alignment horizontal="center" vertical="center" wrapText="1"/>
    </xf>
    <xf numFmtId="1" fontId="36" fillId="26" borderId="6" xfId="1" applyNumberFormat="1" applyFont="1" applyFill="1" applyBorder="1" applyAlignment="1">
      <alignment horizontal="center" vertical="center" wrapText="1"/>
    </xf>
    <xf numFmtId="172" fontId="38" fillId="26" borderId="6" xfId="1" applyNumberFormat="1" applyFont="1" applyFill="1" applyBorder="1" applyAlignment="1">
      <alignment horizontal="center" vertical="center" wrapText="1"/>
    </xf>
    <xf numFmtId="171" fontId="38" fillId="26" borderId="6" xfId="1" applyNumberFormat="1" applyFont="1" applyFill="1" applyBorder="1" applyAlignment="1">
      <alignment horizontal="center" vertical="center" wrapText="1"/>
    </xf>
    <xf numFmtId="169" fontId="38" fillId="0" borderId="0" xfId="1" applyNumberFormat="1" applyFont="1" applyAlignment="1">
      <alignment horizontal="center" vertical="center" wrapText="1"/>
    </xf>
    <xf numFmtId="1" fontId="36" fillId="2" borderId="14" xfId="1" applyNumberFormat="1" applyFont="1" applyFill="1" applyBorder="1" applyAlignment="1">
      <alignment horizontal="center" vertical="center" wrapText="1"/>
    </xf>
    <xf numFmtId="9" fontId="36" fillId="2" borderId="11" xfId="1" applyNumberFormat="1" applyFont="1" applyFill="1" applyBorder="1" applyAlignment="1">
      <alignment horizontal="center" vertical="center" wrapText="1"/>
    </xf>
    <xf numFmtId="9" fontId="38" fillId="19" borderId="6" xfId="1" applyNumberFormat="1" applyFont="1" applyFill="1" applyBorder="1" applyAlignment="1">
      <alignment horizontal="center" vertical="center" wrapText="1"/>
    </xf>
    <xf numFmtId="1" fontId="38" fillId="19" borderId="6" xfId="1" applyNumberFormat="1" applyFont="1" applyFill="1" applyBorder="1" applyAlignment="1">
      <alignment horizontal="center" vertical="center" wrapText="1"/>
    </xf>
    <xf numFmtId="9" fontId="38" fillId="20" borderId="6" xfId="1" applyNumberFormat="1" applyFont="1" applyFill="1" applyBorder="1" applyAlignment="1">
      <alignment horizontal="center" vertical="center" wrapText="1"/>
    </xf>
    <xf numFmtId="1" fontId="42" fillId="21" borderId="1" xfId="0" applyNumberFormat="1" applyFont="1" applyFill="1" applyBorder="1" applyAlignment="1">
      <alignment horizontal="center" vertical="center" wrapText="1"/>
    </xf>
    <xf numFmtId="1" fontId="36" fillId="21" borderId="3" xfId="0" applyNumberFormat="1" applyFont="1" applyFill="1" applyBorder="1" applyAlignment="1">
      <alignment horizontal="center" vertical="center" wrapText="1"/>
    </xf>
    <xf numFmtId="10" fontId="36" fillId="21" borderId="14" xfId="0" applyNumberFormat="1" applyFont="1" applyFill="1" applyBorder="1" applyAlignment="1">
      <alignment horizontal="center" vertical="center" wrapText="1"/>
    </xf>
    <xf numFmtId="9" fontId="38" fillId="21" borderId="6" xfId="1" applyNumberFormat="1" applyFont="1" applyFill="1" applyBorder="1" applyAlignment="1">
      <alignment horizontal="center" vertical="center" wrapText="1"/>
    </xf>
    <xf numFmtId="9" fontId="38" fillId="21" borderId="3" xfId="1" applyNumberFormat="1" applyFont="1" applyFill="1" applyBorder="1" applyAlignment="1">
      <alignment horizontal="center" vertical="center" wrapText="1"/>
    </xf>
    <xf numFmtId="1" fontId="36" fillId="27" borderId="22" xfId="1" applyNumberFormat="1" applyFont="1" applyFill="1" applyBorder="1" applyAlignment="1">
      <alignment horizontal="center" vertical="center" wrapText="1"/>
    </xf>
    <xf numFmtId="1" fontId="36" fillId="27" borderId="3" xfId="1" applyNumberFormat="1" applyFont="1" applyFill="1" applyBorder="1" applyAlignment="1">
      <alignment horizontal="center" vertical="center" wrapText="1"/>
    </xf>
    <xf numFmtId="9" fontId="36" fillId="27" borderId="3" xfId="1" applyNumberFormat="1" applyFont="1" applyFill="1" applyBorder="1" applyAlignment="1">
      <alignment horizontal="center" vertical="center" wrapText="1"/>
    </xf>
    <xf numFmtId="1" fontId="36" fillId="2" borderId="3" xfId="1" applyNumberFormat="1" applyFont="1" applyFill="1" applyBorder="1" applyAlignment="1">
      <alignment horizontal="center" vertical="center" wrapText="1"/>
    </xf>
    <xf numFmtId="9" fontId="36" fillId="2" borderId="3" xfId="1" applyNumberFormat="1" applyFont="1" applyFill="1" applyBorder="1" applyAlignment="1">
      <alignment horizontal="center" vertical="center" wrapText="1"/>
    </xf>
    <xf numFmtId="0" fontId="4" fillId="0" borderId="32" xfId="1" applyBorder="1" applyAlignment="1">
      <alignment horizontal="center" vertical="center"/>
    </xf>
    <xf numFmtId="9" fontId="4" fillId="21" borderId="17" xfId="1" applyNumberFormat="1" applyFill="1" applyBorder="1" applyAlignment="1">
      <alignment horizontal="center" vertical="center" wrapText="1"/>
    </xf>
    <xf numFmtId="9" fontId="4" fillId="21" borderId="15" xfId="1" applyNumberFormat="1" applyFill="1" applyBorder="1" applyAlignment="1">
      <alignment horizontal="center" vertical="center" wrapText="1"/>
    </xf>
    <xf numFmtId="3" fontId="19" fillId="0" borderId="15" xfId="1" applyNumberFormat="1" applyFont="1" applyBorder="1" applyAlignment="1">
      <alignment horizontal="center" vertical="center"/>
    </xf>
    <xf numFmtId="9" fontId="4" fillId="21" borderId="16" xfId="1" applyNumberFormat="1" applyFill="1" applyBorder="1" applyAlignment="1">
      <alignment horizontal="center" vertical="center" wrapText="1"/>
    </xf>
    <xf numFmtId="1" fontId="26" fillId="0" borderId="1" xfId="0" applyNumberFormat="1" applyFont="1" applyBorder="1" applyAlignment="1">
      <alignment vertical="top" wrapText="1"/>
    </xf>
    <xf numFmtId="1" fontId="0" fillId="0" borderId="0" xfId="0" applyNumberFormat="1"/>
    <xf numFmtId="3" fontId="19" fillId="26" borderId="29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" fontId="31" fillId="3" borderId="1" xfId="0" applyNumberFormat="1" applyFont="1" applyFill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1" fontId="21" fillId="0" borderId="6" xfId="0" applyNumberFormat="1" applyFont="1" applyBorder="1" applyAlignment="1">
      <alignment horizontal="center" vertical="center" wrapText="1"/>
    </xf>
    <xf numFmtId="1" fontId="20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40" fontId="21" fillId="0" borderId="14" xfId="0" applyNumberFormat="1" applyFont="1" applyBorder="1" applyAlignment="1">
      <alignment horizontal="center" vertical="center"/>
    </xf>
    <xf numFmtId="40" fontId="20" fillId="0" borderId="14" xfId="0" applyNumberFormat="1" applyFont="1" applyBorder="1" applyAlignment="1">
      <alignment horizontal="center" vertical="center"/>
    </xf>
    <xf numFmtId="4" fontId="21" fillId="0" borderId="14" xfId="0" applyNumberFormat="1" applyFont="1" applyBorder="1" applyAlignment="1">
      <alignment horizontal="center" vertical="center"/>
    </xf>
    <xf numFmtId="1" fontId="20" fillId="0" borderId="35" xfId="0" applyNumberFormat="1" applyFont="1" applyBorder="1" applyAlignment="1">
      <alignment horizontal="center" vertical="center" wrapText="1"/>
    </xf>
    <xf numFmtId="40" fontId="20" fillId="0" borderId="34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/>
    </xf>
    <xf numFmtId="2" fontId="20" fillId="2" borderId="34" xfId="0" applyNumberFormat="1" applyFont="1" applyFill="1" applyBorder="1" applyAlignment="1">
      <alignment horizontal="center" vertical="center"/>
    </xf>
    <xf numFmtId="2" fontId="20" fillId="0" borderId="34" xfId="0" applyNumberFormat="1" applyFont="1" applyBorder="1" applyAlignment="1">
      <alignment horizontal="center" vertical="center"/>
    </xf>
    <xf numFmtId="4" fontId="20" fillId="0" borderId="36" xfId="0" applyNumberFormat="1" applyFont="1" applyBorder="1" applyAlignment="1">
      <alignment horizontal="center" vertical="center"/>
    </xf>
    <xf numFmtId="0" fontId="19" fillId="28" borderId="15" xfId="1" applyFont="1" applyFill="1" applyBorder="1" applyAlignment="1">
      <alignment horizontal="center" vertical="center"/>
    </xf>
    <xf numFmtId="1" fontId="19" fillId="28" borderId="15" xfId="1" applyNumberFormat="1" applyFont="1" applyFill="1" applyBorder="1" applyAlignment="1">
      <alignment horizontal="center" vertical="center"/>
    </xf>
    <xf numFmtId="0" fontId="19" fillId="29" borderId="15" xfId="1" applyFont="1" applyFill="1" applyBorder="1" applyAlignment="1">
      <alignment horizontal="center" vertical="center"/>
    </xf>
    <xf numFmtId="1" fontId="19" fillId="29" borderId="15" xfId="1" applyNumberFormat="1" applyFont="1" applyFill="1" applyBorder="1" applyAlignment="1">
      <alignment horizontal="center" vertical="center"/>
    </xf>
    <xf numFmtId="0" fontId="21" fillId="28" borderId="19" xfId="0" applyFont="1" applyFill="1" applyBorder="1" applyAlignment="1">
      <alignment horizontal="center" vertical="center"/>
    </xf>
    <xf numFmtId="0" fontId="21" fillId="28" borderId="15" xfId="0" applyFont="1" applyFill="1" applyBorder="1" applyAlignment="1">
      <alignment horizontal="center" vertical="center" wrapText="1"/>
    </xf>
    <xf numFmtId="164" fontId="21" fillId="3" borderId="4" xfId="0" applyNumberFormat="1" applyFont="1" applyFill="1" applyBorder="1" applyAlignment="1">
      <alignment vertical="center" wrapText="1"/>
    </xf>
    <xf numFmtId="0" fontId="21" fillId="3" borderId="5" xfId="0" applyFont="1" applyFill="1" applyBorder="1" applyAlignment="1">
      <alignment horizontal="center" vertical="center" wrapText="1"/>
    </xf>
    <xf numFmtId="164" fontId="21" fillId="3" borderId="3" xfId="0" applyNumberFormat="1" applyFont="1" applyFill="1" applyBorder="1" applyAlignment="1">
      <alignment horizontal="center" vertical="center" wrapText="1"/>
    </xf>
    <xf numFmtId="40" fontId="21" fillId="3" borderId="3" xfId="0" applyNumberFormat="1" applyFont="1" applyFill="1" applyBorder="1" applyAlignment="1">
      <alignment horizontal="center" vertical="center" wrapText="1"/>
    </xf>
    <xf numFmtId="164" fontId="21" fillId="3" borderId="4" xfId="0" applyNumberFormat="1" applyFont="1" applyFill="1" applyBorder="1" applyAlignment="1">
      <alignment vertical="center"/>
    </xf>
    <xf numFmtId="164" fontId="21" fillId="3" borderId="7" xfId="0" applyNumberFormat="1" applyFont="1" applyFill="1" applyBorder="1" applyAlignment="1">
      <alignment horizontal="center" vertical="center"/>
    </xf>
    <xf numFmtId="164" fontId="21" fillId="3" borderId="5" xfId="0" applyNumberFormat="1" applyFont="1" applyFill="1" applyBorder="1" applyAlignment="1">
      <alignment vertical="center"/>
    </xf>
    <xf numFmtId="1" fontId="21" fillId="0" borderId="18" xfId="0" applyNumberFormat="1" applyFont="1" applyBorder="1" applyAlignment="1">
      <alignment horizontal="center" vertical="center" wrapText="1"/>
    </xf>
    <xf numFmtId="2" fontId="21" fillId="0" borderId="6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40" fontId="21" fillId="0" borderId="38" xfId="0" applyNumberFormat="1" applyFont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 wrapText="1"/>
    </xf>
    <xf numFmtId="1" fontId="21" fillId="0" borderId="26" xfId="0" applyNumberFormat="1" applyFont="1" applyBorder="1" applyAlignment="1">
      <alignment horizontal="center" vertical="center" wrapText="1"/>
    </xf>
    <xf numFmtId="40" fontId="21" fillId="0" borderId="26" xfId="0" applyNumberFormat="1" applyFont="1" applyBorder="1" applyAlignment="1">
      <alignment horizontal="center" vertical="center"/>
    </xf>
    <xf numFmtId="40" fontId="20" fillId="0" borderId="26" xfId="0" applyNumberFormat="1" applyFont="1" applyBorder="1" applyAlignment="1">
      <alignment horizontal="center" vertical="center"/>
    </xf>
    <xf numFmtId="4" fontId="21" fillId="0" borderId="39" xfId="0" applyNumberFormat="1" applyFont="1" applyBorder="1" applyAlignment="1">
      <alignment horizontal="center" vertical="center"/>
    </xf>
    <xf numFmtId="1" fontId="19" fillId="2" borderId="15" xfId="1" applyNumberFormat="1" applyFont="1" applyFill="1" applyBorder="1" applyAlignment="1">
      <alignment horizontal="center" vertical="center"/>
    </xf>
    <xf numFmtId="1" fontId="19" fillId="2" borderId="17" xfId="1" applyNumberFormat="1" applyFont="1" applyFill="1" applyBorder="1" applyAlignment="1">
      <alignment horizontal="center" vertical="center"/>
    </xf>
    <xf numFmtId="9" fontId="19" fillId="2" borderId="15" xfId="1" applyNumberFormat="1" applyFont="1" applyFill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169" fontId="8" fillId="17" borderId="6" xfId="1" applyNumberFormat="1" applyFont="1" applyFill="1" applyBorder="1" applyAlignment="1">
      <alignment horizontal="center" vertical="center" wrapText="1"/>
    </xf>
    <xf numFmtId="169" fontId="8" fillId="17" borderId="6" xfId="1" applyNumberFormat="1" applyFont="1" applyFill="1" applyBorder="1" applyAlignment="1">
      <alignment horizontal="left" vertical="center" wrapText="1"/>
    </xf>
    <xf numFmtId="1" fontId="8" fillId="17" borderId="6" xfId="1" applyNumberFormat="1" applyFont="1" applyFill="1" applyBorder="1" applyAlignment="1">
      <alignment horizontal="center" vertical="center" wrapText="1"/>
    </xf>
    <xf numFmtId="1" fontId="8" fillId="17" borderId="6" xfId="1" applyNumberFormat="1" applyFont="1" applyFill="1" applyBorder="1" applyAlignment="1">
      <alignment horizontal="left" vertical="center" wrapText="1"/>
    </xf>
    <xf numFmtId="1" fontId="0" fillId="0" borderId="17" xfId="0" applyNumberFormat="1" applyBorder="1" applyAlignment="1">
      <alignment horizontal="center" vertical="center"/>
    </xf>
    <xf numFmtId="1" fontId="5" fillId="0" borderId="17" xfId="1" applyNumberFormat="1" applyFont="1" applyBorder="1" applyAlignment="1">
      <alignment horizontal="left" vertical="center"/>
    </xf>
    <xf numFmtId="9" fontId="19" fillId="4" borderId="15" xfId="1" applyNumberFormat="1" applyFont="1" applyFill="1" applyBorder="1" applyAlignment="1">
      <alignment horizontal="center" vertical="center"/>
    </xf>
    <xf numFmtId="2" fontId="40" fillId="0" borderId="9" xfId="0" applyNumberFormat="1" applyFont="1" applyBorder="1" applyAlignment="1">
      <alignment horizontal="center" vertical="center"/>
    </xf>
    <xf numFmtId="2" fontId="36" fillId="20" borderId="8" xfId="0" applyNumberFormat="1" applyFont="1" applyFill="1" applyBorder="1" applyAlignment="1">
      <alignment horizontal="center" vertical="center" wrapText="1"/>
    </xf>
    <xf numFmtId="2" fontId="38" fillId="20" borderId="6" xfId="1" applyNumberFormat="1" applyFont="1" applyFill="1" applyBorder="1" applyAlignment="1">
      <alignment horizontal="center" vertical="center" wrapText="1"/>
    </xf>
    <xf numFmtId="2" fontId="18" fillId="0" borderId="1" xfId="1" quotePrefix="1" applyNumberFormat="1" applyFont="1" applyBorder="1" applyAlignment="1">
      <alignment horizontal="center" vertical="center"/>
    </xf>
    <xf numFmtId="2" fontId="19" fillId="20" borderId="15" xfId="1" applyNumberFormat="1" applyFont="1" applyFill="1" applyBorder="1" applyAlignment="1">
      <alignment horizontal="center" vertical="center"/>
    </xf>
    <xf numFmtId="1" fontId="18" fillId="0" borderId="1" xfId="1" quotePrefix="1" applyNumberFormat="1" applyFont="1" applyBorder="1" applyAlignment="1">
      <alignment horizontal="center" vertical="center"/>
    </xf>
    <xf numFmtId="1" fontId="4" fillId="8" borderId="19" xfId="1" applyNumberFormat="1" applyFill="1" applyBorder="1" applyAlignment="1">
      <alignment horizontal="center" vertical="center"/>
    </xf>
    <xf numFmtId="3" fontId="19" fillId="30" borderId="15" xfId="1" applyNumberFormat="1" applyFont="1" applyFill="1" applyBorder="1" applyAlignment="1">
      <alignment horizontal="center" vertical="center"/>
    </xf>
    <xf numFmtId="1" fontId="19" fillId="30" borderId="17" xfId="1" applyNumberFormat="1" applyFont="1" applyFill="1" applyBorder="1" applyAlignment="1">
      <alignment horizontal="center" vertical="center"/>
    </xf>
    <xf numFmtId="1" fontId="19" fillId="30" borderId="15" xfId="1" applyNumberFormat="1" applyFont="1" applyFill="1" applyBorder="1" applyAlignment="1">
      <alignment horizontal="center" vertical="center"/>
    </xf>
    <xf numFmtId="9" fontId="19" fillId="30" borderId="17" xfId="1" applyNumberFormat="1" applyFont="1" applyFill="1" applyBorder="1" applyAlignment="1">
      <alignment horizontal="center" vertical="center"/>
    </xf>
    <xf numFmtId="9" fontId="19" fillId="30" borderId="15" xfId="1" applyNumberFormat="1" applyFont="1" applyFill="1" applyBorder="1" applyAlignment="1">
      <alignment horizontal="center" vertical="center"/>
    </xf>
    <xf numFmtId="9" fontId="19" fillId="30" borderId="16" xfId="1" applyNumberFormat="1" applyFont="1" applyFill="1" applyBorder="1" applyAlignment="1">
      <alignment horizontal="center" vertical="center"/>
    </xf>
    <xf numFmtId="1" fontId="36" fillId="30" borderId="1" xfId="1" applyNumberFormat="1" applyFont="1" applyFill="1" applyBorder="1" applyAlignment="1">
      <alignment horizontal="center" vertical="center" wrapText="1"/>
    </xf>
    <xf numFmtId="9" fontId="36" fillId="30" borderId="1" xfId="1" applyNumberFormat="1" applyFont="1" applyFill="1" applyBorder="1" applyAlignment="1">
      <alignment horizontal="center" vertical="center" wrapText="1"/>
    </xf>
    <xf numFmtId="3" fontId="19" fillId="28" borderId="15" xfId="1" applyNumberFormat="1" applyFont="1" applyFill="1" applyBorder="1" applyAlignment="1">
      <alignment horizontal="center" vertical="center"/>
    </xf>
    <xf numFmtId="0" fontId="44" fillId="0" borderId="15" xfId="4" applyNumberFormat="1" applyFont="1" applyFill="1" applyBorder="1" applyAlignment="1" applyProtection="1">
      <alignment horizontal="center" vertical="center" wrapText="1"/>
    </xf>
    <xf numFmtId="1" fontId="19" fillId="29" borderId="15" xfId="1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3" fontId="19" fillId="23" borderId="0" xfId="1" applyNumberFormat="1" applyFont="1" applyFill="1" applyAlignment="1">
      <alignment horizontal="center" vertical="center"/>
    </xf>
    <xf numFmtId="3" fontId="20" fillId="7" borderId="28" xfId="1" applyNumberFormat="1" applyFont="1" applyFill="1" applyBorder="1" applyAlignment="1">
      <alignment horizontal="center" vertical="center" wrapText="1"/>
    </xf>
    <xf numFmtId="3" fontId="20" fillId="7" borderId="30" xfId="1" applyNumberFormat="1" applyFont="1" applyFill="1" applyBorder="1" applyAlignment="1">
      <alignment horizontal="center" vertical="center" wrapText="1"/>
    </xf>
    <xf numFmtId="3" fontId="20" fillId="7" borderId="31" xfId="1" applyNumberFormat="1" applyFont="1" applyFill="1" applyBorder="1" applyAlignment="1">
      <alignment horizontal="center" vertical="center" wrapText="1"/>
    </xf>
    <xf numFmtId="4" fontId="37" fillId="31" borderId="9" xfId="1" applyNumberFormat="1" applyFont="1" applyFill="1" applyBorder="1" applyAlignment="1">
      <alignment vertical="center"/>
    </xf>
    <xf numFmtId="4" fontId="37" fillId="31" borderId="2" xfId="1" applyNumberFormat="1" applyFont="1" applyFill="1" applyBorder="1" applyAlignment="1">
      <alignment vertical="center"/>
    </xf>
    <xf numFmtId="171" fontId="36" fillId="31" borderId="12" xfId="1" applyNumberFormat="1" applyFont="1" applyFill="1" applyBorder="1" applyAlignment="1">
      <alignment horizontal="center" vertical="center" wrapText="1"/>
    </xf>
    <xf numFmtId="171" fontId="36" fillId="31" borderId="14" xfId="1" applyNumberFormat="1" applyFont="1" applyFill="1" applyBorder="1" applyAlignment="1">
      <alignment horizontal="center" vertical="center" wrapText="1"/>
    </xf>
    <xf numFmtId="9" fontId="36" fillId="31" borderId="14" xfId="1" applyNumberFormat="1" applyFont="1" applyFill="1" applyBorder="1" applyAlignment="1">
      <alignment horizontal="center" vertical="center" wrapText="1"/>
    </xf>
    <xf numFmtId="0" fontId="18" fillId="31" borderId="1" xfId="1" quotePrefix="1" applyFont="1" applyFill="1" applyBorder="1" applyAlignment="1">
      <alignment horizontal="center" vertical="center"/>
    </xf>
    <xf numFmtId="9" fontId="19" fillId="31" borderId="15" xfId="1" applyNumberFormat="1" applyFont="1" applyFill="1" applyBorder="1" applyAlignment="1">
      <alignment horizontal="center" vertical="center"/>
    </xf>
    <xf numFmtId="171" fontId="19" fillId="31" borderId="17" xfId="1" applyNumberFormat="1" applyFont="1" applyFill="1" applyBorder="1" applyAlignment="1">
      <alignment horizontal="center" vertical="center"/>
    </xf>
    <xf numFmtId="9" fontId="19" fillId="31" borderId="17" xfId="1" applyNumberFormat="1" applyFont="1" applyFill="1" applyBorder="1" applyAlignment="1">
      <alignment horizontal="center" vertical="center"/>
    </xf>
    <xf numFmtId="171" fontId="19" fillId="31" borderId="15" xfId="1" applyNumberFormat="1" applyFont="1" applyFill="1" applyBorder="1" applyAlignment="1">
      <alignment horizontal="center" vertical="center"/>
    </xf>
    <xf numFmtId="171" fontId="19" fillId="31" borderId="16" xfId="1" applyNumberFormat="1" applyFont="1" applyFill="1" applyBorder="1" applyAlignment="1">
      <alignment horizontal="center" vertical="center"/>
    </xf>
    <xf numFmtId="9" fontId="19" fillId="31" borderId="16" xfId="1" applyNumberFormat="1" applyFont="1" applyFill="1" applyBorder="1" applyAlignment="1">
      <alignment horizontal="center" vertical="center"/>
    </xf>
    <xf numFmtId="4" fontId="37" fillId="31" borderId="8" xfId="1" applyNumberFormat="1" applyFont="1" applyFill="1" applyBorder="1" applyAlignment="1">
      <alignment vertical="center"/>
    </xf>
    <xf numFmtId="4" fontId="37" fillId="31" borderId="13" xfId="1" applyNumberFormat="1" applyFont="1" applyFill="1" applyBorder="1" applyAlignment="1">
      <alignment vertical="center"/>
    </xf>
    <xf numFmtId="1" fontId="36" fillId="32" borderId="14" xfId="1" applyNumberFormat="1" applyFont="1" applyFill="1" applyBorder="1" applyAlignment="1">
      <alignment horizontal="center" vertical="center" wrapText="1"/>
    </xf>
    <xf numFmtId="9" fontId="36" fillId="32" borderId="11" xfId="1" applyNumberFormat="1" applyFont="1" applyFill="1" applyBorder="1" applyAlignment="1">
      <alignment horizontal="center" vertical="center" wrapText="1"/>
    </xf>
    <xf numFmtId="0" fontId="18" fillId="32" borderId="1" xfId="1" quotePrefix="1" applyFont="1" applyFill="1" applyBorder="1" applyAlignment="1">
      <alignment horizontal="center" vertical="center"/>
    </xf>
    <xf numFmtId="3" fontId="19" fillId="32" borderId="16" xfId="1" applyNumberFormat="1" applyFont="1" applyFill="1" applyBorder="1" applyAlignment="1">
      <alignment horizontal="center" vertical="center"/>
    </xf>
    <xf numFmtId="1" fontId="19" fillId="32" borderId="15" xfId="1" applyNumberFormat="1" applyFont="1" applyFill="1" applyBorder="1" applyAlignment="1">
      <alignment horizontal="center" vertical="center"/>
    </xf>
    <xf numFmtId="1" fontId="19" fillId="32" borderId="17" xfId="1" applyNumberFormat="1" applyFont="1" applyFill="1" applyBorder="1" applyAlignment="1">
      <alignment horizontal="center" vertical="center"/>
    </xf>
    <xf numFmtId="9" fontId="19" fillId="32" borderId="17" xfId="1" applyNumberFormat="1" applyFont="1" applyFill="1" applyBorder="1" applyAlignment="1">
      <alignment horizontal="center" vertical="center"/>
    </xf>
    <xf numFmtId="9" fontId="19" fillId="32" borderId="17" xfId="8" applyFont="1" applyFill="1" applyBorder="1" applyAlignment="1">
      <alignment horizontal="center" vertical="center"/>
    </xf>
    <xf numFmtId="9" fontId="19" fillId="32" borderId="15" xfId="1" applyNumberFormat="1" applyFont="1" applyFill="1" applyBorder="1" applyAlignment="1">
      <alignment horizontal="center" vertical="center"/>
    </xf>
    <xf numFmtId="9" fontId="19" fillId="32" borderId="15" xfId="8" applyFont="1" applyFill="1" applyBorder="1" applyAlignment="1">
      <alignment horizontal="center" vertical="center"/>
    </xf>
    <xf numFmtId="1" fontId="19" fillId="32" borderId="16" xfId="1" applyNumberFormat="1" applyFont="1" applyFill="1" applyBorder="1" applyAlignment="1">
      <alignment horizontal="center" vertical="center"/>
    </xf>
    <xf numFmtId="9" fontId="19" fillId="32" borderId="16" xfId="1" applyNumberFormat="1" applyFont="1" applyFill="1" applyBorder="1" applyAlignment="1">
      <alignment horizontal="center" vertical="center"/>
    </xf>
    <xf numFmtId="9" fontId="19" fillId="32" borderId="16" xfId="8" applyFont="1" applyFill="1" applyBorder="1" applyAlignment="1">
      <alignment horizontal="center" vertical="center"/>
    </xf>
    <xf numFmtId="4" fontId="37" fillId="31" borderId="10" xfId="1" applyNumberFormat="1" applyFont="1" applyFill="1" applyBorder="1" applyAlignment="1">
      <alignment vertical="center"/>
    </xf>
    <xf numFmtId="4" fontId="37" fillId="31" borderId="22" xfId="1" applyNumberFormat="1" applyFont="1" applyFill="1" applyBorder="1" applyAlignment="1">
      <alignment vertical="center"/>
    </xf>
    <xf numFmtId="1" fontId="37" fillId="32" borderId="8" xfId="1" applyNumberFormat="1" applyFont="1" applyFill="1" applyBorder="1" applyAlignment="1">
      <alignment vertical="center"/>
    </xf>
    <xf numFmtId="1" fontId="37" fillId="32" borderId="9" xfId="1" applyNumberFormat="1" applyFont="1" applyFill="1" applyBorder="1" applyAlignment="1">
      <alignment vertical="center"/>
    </xf>
    <xf numFmtId="1" fontId="37" fillId="32" borderId="10" xfId="1" applyNumberFormat="1" applyFont="1" applyFill="1" applyBorder="1" applyAlignment="1">
      <alignment vertical="center"/>
    </xf>
    <xf numFmtId="1" fontId="37" fillId="32" borderId="13" xfId="1" applyNumberFormat="1" applyFont="1" applyFill="1" applyBorder="1" applyAlignment="1">
      <alignment vertical="center"/>
    </xf>
    <xf numFmtId="1" fontId="37" fillId="32" borderId="2" xfId="1" applyNumberFormat="1" applyFont="1" applyFill="1" applyBorder="1" applyAlignment="1">
      <alignment vertical="center"/>
    </xf>
    <xf numFmtId="1" fontId="37" fillId="32" borderId="22" xfId="1" applyNumberFormat="1" applyFont="1" applyFill="1" applyBorder="1" applyAlignment="1">
      <alignment vertical="center"/>
    </xf>
    <xf numFmtId="1" fontId="37" fillId="4" borderId="4" xfId="1" applyNumberFormat="1" applyFont="1" applyFill="1" applyBorder="1" applyAlignment="1">
      <alignment vertical="center"/>
    </xf>
    <xf numFmtId="1" fontId="37" fillId="4" borderId="5" xfId="1" applyNumberFormat="1" applyFont="1" applyFill="1" applyBorder="1" applyAlignment="1">
      <alignment vertical="center"/>
    </xf>
    <xf numFmtId="1" fontId="37" fillId="2" borderId="8" xfId="1" applyNumberFormat="1" applyFont="1" applyFill="1" applyBorder="1"/>
    <xf numFmtId="1" fontId="37" fillId="2" borderId="9" xfId="1" applyNumberFormat="1" applyFont="1" applyFill="1" applyBorder="1"/>
    <xf numFmtId="1" fontId="37" fillId="2" borderId="10" xfId="1" applyNumberFormat="1" applyFont="1" applyFill="1" applyBorder="1"/>
    <xf numFmtId="1" fontId="37" fillId="2" borderId="13" xfId="1" applyNumberFormat="1" applyFont="1" applyFill="1" applyBorder="1"/>
    <xf numFmtId="1" fontId="37" fillId="2" borderId="2" xfId="1" applyNumberFormat="1" applyFont="1" applyFill="1" applyBorder="1"/>
    <xf numFmtId="1" fontId="37" fillId="2" borderId="22" xfId="1" applyNumberFormat="1" applyFont="1" applyFill="1" applyBorder="1"/>
    <xf numFmtId="0" fontId="18" fillId="2" borderId="1" xfId="1" quotePrefix="1" applyFont="1" applyFill="1" applyBorder="1" applyAlignment="1">
      <alignment horizontal="center" vertical="center"/>
    </xf>
    <xf numFmtId="3" fontId="19" fillId="2" borderId="17" xfId="1" applyNumberFormat="1" applyFont="1" applyFill="1" applyBorder="1" applyAlignment="1">
      <alignment horizontal="center" vertical="center"/>
    </xf>
    <xf numFmtId="9" fontId="19" fillId="2" borderId="17" xfId="1" applyNumberFormat="1" applyFont="1" applyFill="1" applyBorder="1" applyAlignment="1">
      <alignment horizontal="center" vertical="center"/>
    </xf>
    <xf numFmtId="3" fontId="19" fillId="2" borderId="15" xfId="1" applyNumberFormat="1" applyFont="1" applyFill="1" applyBorder="1" applyAlignment="1">
      <alignment horizontal="center" vertical="center"/>
    </xf>
    <xf numFmtId="1" fontId="19" fillId="2" borderId="16" xfId="1" applyNumberFormat="1" applyFont="1" applyFill="1" applyBorder="1" applyAlignment="1">
      <alignment horizontal="center" vertical="center"/>
    </xf>
    <xf numFmtId="9" fontId="19" fillId="2" borderId="16" xfId="1" applyNumberFormat="1" applyFont="1" applyFill="1" applyBorder="1" applyAlignment="1">
      <alignment horizontal="center" vertical="center"/>
    </xf>
    <xf numFmtId="1" fontId="37" fillId="33" borderId="4" xfId="1" applyNumberFormat="1" applyFont="1" applyFill="1" applyBorder="1" applyAlignment="1">
      <alignment vertical="center"/>
    </xf>
    <xf numFmtId="1" fontId="37" fillId="33" borderId="5" xfId="1" applyNumberFormat="1" applyFont="1" applyFill="1" applyBorder="1" applyAlignment="1">
      <alignment vertical="center"/>
    </xf>
    <xf numFmtId="1" fontId="37" fillId="33" borderId="1" xfId="1" applyNumberFormat="1" applyFont="1" applyFill="1" applyBorder="1" applyAlignment="1">
      <alignment horizontal="center" vertical="center" wrapText="1"/>
    </xf>
    <xf numFmtId="9" fontId="37" fillId="33" borderId="1" xfId="1" applyNumberFormat="1" applyFont="1" applyFill="1" applyBorder="1" applyAlignment="1">
      <alignment horizontal="center" vertical="center" wrapText="1"/>
    </xf>
    <xf numFmtId="1" fontId="36" fillId="33" borderId="1" xfId="1" applyNumberFormat="1" applyFont="1" applyFill="1" applyBorder="1" applyAlignment="1">
      <alignment horizontal="center" vertical="center" wrapText="1"/>
    </xf>
    <xf numFmtId="9" fontId="36" fillId="33" borderId="1" xfId="1" applyNumberFormat="1" applyFont="1" applyFill="1" applyBorder="1" applyAlignment="1">
      <alignment horizontal="center" vertical="center" wrapText="1"/>
    </xf>
    <xf numFmtId="0" fontId="18" fillId="33" borderId="1" xfId="1" quotePrefix="1" applyFont="1" applyFill="1" applyBorder="1" applyAlignment="1">
      <alignment horizontal="center" vertical="center"/>
    </xf>
    <xf numFmtId="1" fontId="19" fillId="33" borderId="16" xfId="1" applyNumberFormat="1" applyFont="1" applyFill="1" applyBorder="1" applyAlignment="1">
      <alignment horizontal="center" vertical="center"/>
    </xf>
    <xf numFmtId="1" fontId="19" fillId="33" borderId="17" xfId="1" applyNumberFormat="1" applyFont="1" applyFill="1" applyBorder="1" applyAlignment="1">
      <alignment horizontal="center" vertical="center"/>
    </xf>
    <xf numFmtId="9" fontId="19" fillId="33" borderId="17" xfId="1" applyNumberFormat="1" applyFont="1" applyFill="1" applyBorder="1" applyAlignment="1">
      <alignment horizontal="center" vertical="center"/>
    </xf>
    <xf numFmtId="1" fontId="19" fillId="33" borderId="15" xfId="1" applyNumberFormat="1" applyFont="1" applyFill="1" applyBorder="1" applyAlignment="1">
      <alignment horizontal="center" vertical="center"/>
    </xf>
    <xf numFmtId="9" fontId="19" fillId="33" borderId="15" xfId="1" applyNumberFormat="1" applyFont="1" applyFill="1" applyBorder="1" applyAlignment="1">
      <alignment horizontal="center" vertical="center"/>
    </xf>
    <xf numFmtId="9" fontId="19" fillId="33" borderId="16" xfId="1" applyNumberFormat="1" applyFont="1" applyFill="1" applyBorder="1" applyAlignment="1">
      <alignment horizontal="center" vertical="center"/>
    </xf>
    <xf numFmtId="4" fontId="37" fillId="27" borderId="8" xfId="1" applyNumberFormat="1" applyFont="1" applyFill="1" applyBorder="1" applyAlignment="1">
      <alignment vertical="top"/>
    </xf>
    <xf numFmtId="4" fontId="37" fillId="27" borderId="9" xfId="1" applyNumberFormat="1" applyFont="1" applyFill="1" applyBorder="1" applyAlignment="1">
      <alignment vertical="top"/>
    </xf>
    <xf numFmtId="4" fontId="37" fillId="27" borderId="10" xfId="1" applyNumberFormat="1" applyFont="1" applyFill="1" applyBorder="1" applyAlignment="1">
      <alignment vertical="top"/>
    </xf>
    <xf numFmtId="4" fontId="37" fillId="27" borderId="22" xfId="1" applyNumberFormat="1" applyFont="1" applyFill="1" applyBorder="1" applyAlignment="1">
      <alignment vertical="top"/>
    </xf>
    <xf numFmtId="3" fontId="19" fillId="34" borderId="15" xfId="1" applyNumberFormat="1" applyFont="1" applyFill="1" applyBorder="1" applyAlignment="1">
      <alignment horizontal="center" vertical="center"/>
    </xf>
    <xf numFmtId="1" fontId="25" fillId="0" borderId="6" xfId="0" applyNumberFormat="1" applyFont="1" applyBorder="1" applyAlignment="1">
      <alignment vertical="top" wrapText="1"/>
    </xf>
    <xf numFmtId="0" fontId="25" fillId="0" borderId="6" xfId="0" applyFont="1" applyBorder="1" applyAlignment="1">
      <alignment horizontal="center" vertical="top"/>
    </xf>
    <xf numFmtId="0" fontId="25" fillId="0" borderId="6" xfId="0" applyFont="1" applyBorder="1" applyAlignment="1">
      <alignment vertical="top" wrapText="1"/>
    </xf>
    <xf numFmtId="171" fontId="36" fillId="26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171" fontId="36" fillId="19" borderId="8" xfId="0" applyNumberFormat="1" applyFont="1" applyFill="1" applyBorder="1" applyAlignment="1">
      <alignment horizontal="center" vertical="center" wrapText="1"/>
    </xf>
    <xf numFmtId="171" fontId="36" fillId="19" borderId="10" xfId="0" applyNumberFormat="1" applyFont="1" applyFill="1" applyBorder="1" applyAlignment="1">
      <alignment horizontal="center" vertical="center" wrapText="1"/>
    </xf>
    <xf numFmtId="171" fontId="36" fillId="21" borderId="4" xfId="0" applyNumberFormat="1" applyFont="1" applyFill="1" applyBorder="1" applyAlignment="1">
      <alignment horizontal="center" vertical="center" wrapText="1"/>
    </xf>
    <xf numFmtId="171" fontId="36" fillId="21" borderId="7" xfId="0" applyNumberFormat="1" applyFont="1" applyFill="1" applyBorder="1" applyAlignment="1">
      <alignment horizontal="center" vertical="center" wrapText="1"/>
    </xf>
    <xf numFmtId="171" fontId="36" fillId="21" borderId="5" xfId="0" applyNumberFormat="1" applyFont="1" applyFill="1" applyBorder="1" applyAlignment="1">
      <alignment horizontal="center" vertical="center" wrapText="1"/>
    </xf>
    <xf numFmtId="1" fontId="18" fillId="8" borderId="6" xfId="0" applyNumberFormat="1" applyFont="1" applyFill="1" applyBorder="1" applyAlignment="1">
      <alignment horizontal="center" vertical="center" wrapText="1"/>
    </xf>
    <xf numFmtId="1" fontId="18" fillId="8" borderId="14" xfId="0" applyNumberFormat="1" applyFont="1" applyFill="1" applyBorder="1" applyAlignment="1">
      <alignment horizontal="center" vertical="center" wrapText="1"/>
    </xf>
    <xf numFmtId="1" fontId="18" fillId="8" borderId="3" xfId="0" applyNumberFormat="1" applyFont="1" applyFill="1" applyBorder="1" applyAlignment="1">
      <alignment horizontal="center" vertical="center" wrapText="1"/>
    </xf>
    <xf numFmtId="1" fontId="37" fillId="26" borderId="6" xfId="0" applyNumberFormat="1" applyFont="1" applyFill="1" applyBorder="1" applyAlignment="1">
      <alignment horizontal="center" vertical="center" textRotation="90"/>
    </xf>
    <xf numFmtId="1" fontId="37" fillId="26" borderId="14" xfId="0" applyNumberFormat="1" applyFont="1" applyFill="1" applyBorder="1" applyAlignment="1">
      <alignment horizontal="center" vertical="center" textRotation="90"/>
    </xf>
    <xf numFmtId="1" fontId="36" fillId="7" borderId="6" xfId="1" applyNumberFormat="1" applyFont="1" applyFill="1" applyBorder="1" applyAlignment="1">
      <alignment horizontal="center" vertical="center" wrapText="1"/>
    </xf>
    <xf numFmtId="1" fontId="36" fillId="7" borderId="3" xfId="1" applyNumberFormat="1" applyFont="1" applyFill="1" applyBorder="1" applyAlignment="1">
      <alignment horizontal="center" vertical="center" wrapText="1"/>
    </xf>
    <xf numFmtId="9" fontId="37" fillId="26" borderId="6" xfId="0" applyNumberFormat="1" applyFont="1" applyFill="1" applyBorder="1" applyAlignment="1">
      <alignment horizontal="center" vertical="center" textRotation="90" wrapText="1"/>
    </xf>
    <xf numFmtId="9" fontId="37" fillId="26" borderId="14" xfId="0" applyNumberFormat="1" applyFont="1" applyFill="1" applyBorder="1" applyAlignment="1">
      <alignment horizontal="center" vertical="center" textRotation="90" wrapText="1"/>
    </xf>
    <xf numFmtId="9" fontId="37" fillId="26" borderId="3" xfId="0" applyNumberFormat="1" applyFont="1" applyFill="1" applyBorder="1" applyAlignment="1">
      <alignment horizontal="center" vertical="center" textRotation="90" wrapText="1"/>
    </xf>
    <xf numFmtId="9" fontId="37" fillId="18" borderId="9" xfId="0" applyNumberFormat="1" applyFont="1" applyFill="1" applyBorder="1" applyAlignment="1">
      <alignment horizontal="center" vertical="center" textRotation="90" wrapText="1"/>
    </xf>
    <xf numFmtId="9" fontId="37" fillId="18" borderId="0" xfId="0" applyNumberFormat="1" applyFont="1" applyFill="1" applyAlignment="1">
      <alignment horizontal="center" vertical="center" textRotation="90" wrapText="1"/>
    </xf>
    <xf numFmtId="9" fontId="37" fillId="18" borderId="2" xfId="0" applyNumberFormat="1" applyFont="1" applyFill="1" applyBorder="1" applyAlignment="1">
      <alignment horizontal="center" vertical="center" textRotation="90" wrapText="1"/>
    </xf>
    <xf numFmtId="3" fontId="37" fillId="4" borderId="6" xfId="1" applyNumberFormat="1" applyFont="1" applyFill="1" applyBorder="1" applyAlignment="1">
      <alignment horizontal="center" vertical="center" textRotation="90" wrapText="1"/>
    </xf>
    <xf numFmtId="3" fontId="37" fillId="4" borderId="14" xfId="1" applyNumberFormat="1" applyFont="1" applyFill="1" applyBorder="1" applyAlignment="1">
      <alignment horizontal="center" vertical="center" textRotation="90" wrapText="1"/>
    </xf>
    <xf numFmtId="176" fontId="39" fillId="7" borderId="6" xfId="1" applyNumberFormat="1" applyFont="1" applyFill="1" applyBorder="1" applyAlignment="1">
      <alignment horizontal="center" vertical="center" wrapText="1"/>
    </xf>
    <xf numFmtId="176" fontId="39" fillId="7" borderId="14" xfId="1" applyNumberFormat="1" applyFont="1" applyFill="1" applyBorder="1" applyAlignment="1">
      <alignment horizontal="center" vertical="center" wrapText="1"/>
    </xf>
    <xf numFmtId="176" fontId="39" fillId="7" borderId="3" xfId="1" applyNumberFormat="1" applyFont="1" applyFill="1" applyBorder="1" applyAlignment="1">
      <alignment horizontal="center" vertical="center" wrapText="1"/>
    </xf>
    <xf numFmtId="3" fontId="37" fillId="33" borderId="1" xfId="1" applyNumberFormat="1" applyFont="1" applyFill="1" applyBorder="1" applyAlignment="1">
      <alignment horizontal="center" vertical="center" textRotation="90" wrapText="1"/>
    </xf>
    <xf numFmtId="1" fontId="37" fillId="18" borderId="9" xfId="0" applyNumberFormat="1" applyFont="1" applyFill="1" applyBorder="1" applyAlignment="1">
      <alignment horizontal="center" vertical="center" textRotation="90" wrapText="1"/>
    </xf>
    <xf numFmtId="1" fontId="37" fillId="18" borderId="0" xfId="0" applyNumberFormat="1" applyFont="1" applyFill="1" applyAlignment="1">
      <alignment horizontal="center" vertical="center" textRotation="90" wrapText="1"/>
    </xf>
    <xf numFmtId="1" fontId="37" fillId="18" borderId="2" xfId="0" applyNumberFormat="1" applyFont="1" applyFill="1" applyBorder="1" applyAlignment="1">
      <alignment horizontal="center" vertical="center" textRotation="90" wrapText="1"/>
    </xf>
    <xf numFmtId="3" fontId="37" fillId="2" borderId="6" xfId="1" applyNumberFormat="1" applyFont="1" applyFill="1" applyBorder="1" applyAlignment="1">
      <alignment horizontal="center" vertical="center" wrapText="1"/>
    </xf>
    <xf numFmtId="3" fontId="37" fillId="2" borderId="14" xfId="1" applyNumberFormat="1" applyFont="1" applyFill="1" applyBorder="1" applyAlignment="1">
      <alignment horizontal="center" vertical="center" wrapText="1"/>
    </xf>
    <xf numFmtId="3" fontId="37" fillId="2" borderId="3" xfId="1" applyNumberFormat="1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14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4" fontId="36" fillId="26" borderId="6" xfId="0" applyNumberFormat="1" applyFont="1" applyFill="1" applyBorder="1" applyAlignment="1">
      <alignment horizontal="center" vertical="center" wrapText="1"/>
    </xf>
    <xf numFmtId="4" fontId="36" fillId="26" borderId="14" xfId="0" applyNumberFormat="1" applyFont="1" applyFill="1" applyBorder="1" applyAlignment="1">
      <alignment horizontal="center" vertical="center" wrapText="1"/>
    </xf>
    <xf numFmtId="4" fontId="36" fillId="26" borderId="3" xfId="0" applyNumberFormat="1" applyFont="1" applyFill="1" applyBorder="1" applyAlignment="1">
      <alignment horizontal="center" vertical="center" wrapText="1"/>
    </xf>
    <xf numFmtId="171" fontId="36" fillId="26" borderId="6" xfId="0" applyNumberFormat="1" applyFont="1" applyFill="1" applyBorder="1" applyAlignment="1">
      <alignment horizontal="center" vertical="center" wrapText="1"/>
    </xf>
    <xf numFmtId="171" fontId="36" fillId="26" borderId="14" xfId="0" applyNumberFormat="1" applyFont="1" applyFill="1" applyBorder="1" applyAlignment="1">
      <alignment horizontal="center" vertical="center" wrapText="1"/>
    </xf>
    <xf numFmtId="171" fontId="36" fillId="26" borderId="3" xfId="0" applyNumberFormat="1" applyFont="1" applyFill="1" applyBorder="1" applyAlignment="1">
      <alignment horizontal="center" vertical="center" wrapText="1"/>
    </xf>
    <xf numFmtId="3" fontId="37" fillId="34" borderId="1" xfId="1" applyNumberFormat="1" applyFont="1" applyFill="1" applyBorder="1" applyAlignment="1">
      <alignment horizontal="center" vertical="center" textRotation="90" wrapText="1"/>
    </xf>
    <xf numFmtId="3" fontId="37" fillId="28" borderId="1" xfId="1" applyNumberFormat="1" applyFont="1" applyFill="1" applyBorder="1" applyAlignment="1">
      <alignment horizontal="center" vertical="center" textRotation="90" wrapText="1"/>
    </xf>
    <xf numFmtId="9" fontId="37" fillId="27" borderId="1" xfId="1" applyNumberFormat="1" applyFont="1" applyFill="1" applyBorder="1" applyAlignment="1">
      <alignment horizontal="center" vertical="center" textRotation="90" wrapText="1"/>
    </xf>
    <xf numFmtId="3" fontId="37" fillId="6" borderId="9" xfId="1" applyNumberFormat="1" applyFont="1" applyFill="1" applyBorder="1" applyAlignment="1">
      <alignment horizontal="center" vertical="center" textRotation="90" wrapText="1"/>
    </xf>
    <xf numFmtId="3" fontId="37" fillId="6" borderId="0" xfId="1" applyNumberFormat="1" applyFont="1" applyFill="1" applyAlignment="1">
      <alignment horizontal="center" vertical="center" textRotation="90" wrapText="1"/>
    </xf>
    <xf numFmtId="3" fontId="37" fillId="6" borderId="2" xfId="1" applyNumberFormat="1" applyFont="1" applyFill="1" applyBorder="1" applyAlignment="1">
      <alignment horizontal="center" vertical="center" textRotation="90" wrapText="1"/>
    </xf>
    <xf numFmtId="0" fontId="37" fillId="8" borderId="1" xfId="0" applyFont="1" applyFill="1" applyBorder="1" applyAlignment="1">
      <alignment horizontal="center" vertical="center" wrapText="1"/>
    </xf>
    <xf numFmtId="3" fontId="37" fillId="30" borderId="1" xfId="1" applyNumberFormat="1" applyFont="1" applyFill="1" applyBorder="1" applyAlignment="1">
      <alignment horizontal="center" vertical="center" textRotation="90" wrapText="1"/>
    </xf>
    <xf numFmtId="2" fontId="37" fillId="30" borderId="1" xfId="1" applyNumberFormat="1" applyFont="1" applyFill="1" applyBorder="1" applyAlignment="1">
      <alignment horizontal="center" vertical="center" wrapText="1"/>
    </xf>
    <xf numFmtId="3" fontId="37" fillId="30" borderId="6" xfId="1" applyNumberFormat="1" applyFont="1" applyFill="1" applyBorder="1" applyAlignment="1">
      <alignment horizontal="center" vertical="center" textRotation="90" wrapText="1"/>
    </xf>
    <xf numFmtId="3" fontId="37" fillId="2" borderId="6" xfId="1" applyNumberFormat="1" applyFont="1" applyFill="1" applyBorder="1" applyAlignment="1">
      <alignment horizontal="center" vertical="center" textRotation="90" wrapText="1"/>
    </xf>
    <xf numFmtId="3" fontId="37" fillId="2" borderId="14" xfId="1" applyNumberFormat="1" applyFont="1" applyFill="1" applyBorder="1" applyAlignment="1">
      <alignment horizontal="center" vertical="center" textRotation="90" wrapText="1"/>
    </xf>
    <xf numFmtId="3" fontId="37" fillId="2" borderId="3" xfId="1" applyNumberFormat="1" applyFont="1" applyFill="1" applyBorder="1" applyAlignment="1">
      <alignment horizontal="center" vertical="center" textRotation="90" wrapText="1"/>
    </xf>
    <xf numFmtId="3" fontId="36" fillId="7" borderId="6" xfId="1" applyNumberFormat="1" applyFont="1" applyFill="1" applyBorder="1" applyAlignment="1">
      <alignment horizontal="center" vertical="center" textRotation="90" wrapText="1"/>
    </xf>
    <xf numFmtId="3" fontId="36" fillId="7" borderId="14" xfId="1" applyNumberFormat="1" applyFont="1" applyFill="1" applyBorder="1" applyAlignment="1">
      <alignment horizontal="center" vertical="center" textRotation="90" wrapText="1"/>
    </xf>
    <xf numFmtId="3" fontId="37" fillId="7" borderId="1" xfId="1" applyNumberFormat="1" applyFont="1" applyFill="1" applyBorder="1" applyAlignment="1">
      <alignment horizontal="center" vertical="center" wrapText="1"/>
    </xf>
    <xf numFmtId="3" fontId="37" fillId="7" borderId="6" xfId="1" applyNumberFormat="1" applyFont="1" applyFill="1" applyBorder="1" applyAlignment="1">
      <alignment horizontal="center" vertical="center" wrapText="1"/>
    </xf>
    <xf numFmtId="1" fontId="36" fillId="7" borderId="1" xfId="1" applyNumberFormat="1" applyFont="1" applyFill="1" applyBorder="1" applyAlignment="1">
      <alignment horizontal="center" vertical="center" wrapText="1"/>
    </xf>
    <xf numFmtId="3" fontId="36" fillId="3" borderId="8" xfId="0" applyNumberFormat="1" applyFont="1" applyFill="1" applyBorder="1" applyAlignment="1">
      <alignment horizontal="center" vertical="center"/>
    </xf>
    <xf numFmtId="3" fontId="36" fillId="3" borderId="9" xfId="0" applyNumberFormat="1" applyFont="1" applyFill="1" applyBorder="1" applyAlignment="1">
      <alignment horizontal="center" vertical="center"/>
    </xf>
    <xf numFmtId="3" fontId="36" fillId="3" borderId="10" xfId="0" applyNumberFormat="1" applyFont="1" applyFill="1" applyBorder="1" applyAlignment="1">
      <alignment horizontal="center" vertical="center"/>
    </xf>
    <xf numFmtId="9" fontId="36" fillId="7" borderId="6" xfId="1" applyNumberFormat="1" applyFont="1" applyFill="1" applyBorder="1" applyAlignment="1">
      <alignment horizontal="center" vertical="center" textRotation="90" wrapText="1"/>
    </xf>
    <xf numFmtId="9" fontId="36" fillId="7" borderId="14" xfId="1" applyNumberFormat="1" applyFont="1" applyFill="1" applyBorder="1" applyAlignment="1">
      <alignment horizontal="center" vertical="center" textRotation="90" wrapText="1"/>
    </xf>
    <xf numFmtId="2" fontId="37" fillId="3" borderId="6" xfId="1" applyNumberFormat="1" applyFont="1" applyFill="1" applyBorder="1" applyAlignment="1">
      <alignment horizontal="center" vertical="center" textRotation="90" wrapText="1"/>
    </xf>
    <xf numFmtId="2" fontId="37" fillId="3" borderId="14" xfId="1" applyNumberFormat="1" applyFont="1" applyFill="1" applyBorder="1" applyAlignment="1">
      <alignment horizontal="center" vertical="center" textRotation="90" wrapText="1"/>
    </xf>
    <xf numFmtId="171" fontId="36" fillId="26" borderId="8" xfId="0" applyNumberFormat="1" applyFont="1" applyFill="1" applyBorder="1" applyAlignment="1">
      <alignment horizontal="center" vertical="center" wrapText="1"/>
    </xf>
    <xf numFmtId="171" fontId="36" fillId="26" borderId="10" xfId="0" applyNumberFormat="1" applyFont="1" applyFill="1" applyBorder="1" applyAlignment="1">
      <alignment horizontal="center" vertical="center" wrapText="1"/>
    </xf>
    <xf numFmtId="171" fontId="36" fillId="26" borderId="13" xfId="0" applyNumberFormat="1" applyFont="1" applyFill="1" applyBorder="1" applyAlignment="1">
      <alignment horizontal="center" vertical="center" wrapText="1"/>
    </xf>
    <xf numFmtId="171" fontId="36" fillId="26" borderId="22" xfId="0" applyNumberFormat="1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37" fillId="8" borderId="14" xfId="0" applyFont="1" applyFill="1" applyBorder="1" applyAlignment="1">
      <alignment horizontal="center" vertical="center" wrapText="1"/>
    </xf>
    <xf numFmtId="1" fontId="36" fillId="26" borderId="1" xfId="1" applyNumberFormat="1" applyFont="1" applyFill="1" applyBorder="1" applyAlignment="1">
      <alignment horizontal="center" vertical="center" wrapText="1"/>
    </xf>
    <xf numFmtId="3" fontId="37" fillId="32" borderId="1" xfId="1" applyNumberFormat="1" applyFont="1" applyFill="1" applyBorder="1" applyAlignment="1">
      <alignment horizontal="center" vertical="center" textRotation="90" wrapText="1"/>
    </xf>
    <xf numFmtId="3" fontId="37" fillId="32" borderId="6" xfId="1" applyNumberFormat="1" applyFont="1" applyFill="1" applyBorder="1" applyAlignment="1">
      <alignment horizontal="center" vertical="center" textRotation="90" wrapText="1"/>
    </xf>
    <xf numFmtId="9" fontId="37" fillId="32" borderId="1" xfId="8" applyFont="1" applyFill="1" applyBorder="1" applyAlignment="1">
      <alignment horizontal="center" vertical="center" textRotation="90" wrapText="1"/>
    </xf>
    <xf numFmtId="9" fontId="37" fillId="32" borderId="6" xfId="8" applyFont="1" applyFill="1" applyBorder="1" applyAlignment="1">
      <alignment horizontal="center" vertical="center" textRotation="90" wrapText="1"/>
    </xf>
    <xf numFmtId="171" fontId="36" fillId="26" borderId="11" xfId="0" applyNumberFormat="1" applyFont="1" applyFill="1" applyBorder="1" applyAlignment="1">
      <alignment horizontal="center" vertical="center" wrapText="1"/>
    </xf>
    <xf numFmtId="171" fontId="36" fillId="26" borderId="12" xfId="0" applyNumberFormat="1" applyFont="1" applyFill="1" applyBorder="1" applyAlignment="1">
      <alignment horizontal="center" vertical="center" wrapText="1"/>
    </xf>
    <xf numFmtId="3" fontId="37" fillId="6" borderId="1" xfId="1" applyNumberFormat="1" applyFont="1" applyFill="1" applyBorder="1" applyAlignment="1">
      <alignment horizontal="center" vertical="center" textRotation="90" wrapText="1"/>
    </xf>
    <xf numFmtId="9" fontId="37" fillId="31" borderId="1" xfId="1" applyNumberFormat="1" applyFont="1" applyFill="1" applyBorder="1" applyAlignment="1">
      <alignment horizontal="center" vertical="center" textRotation="90" wrapText="1"/>
    </xf>
    <xf numFmtId="9" fontId="37" fillId="31" borderId="6" xfId="1" applyNumberFormat="1" applyFont="1" applyFill="1" applyBorder="1" applyAlignment="1">
      <alignment horizontal="center" vertical="center" textRotation="90" wrapText="1"/>
    </xf>
    <xf numFmtId="0" fontId="12" fillId="0" borderId="1" xfId="3" applyFont="1" applyBorder="1" applyAlignment="1">
      <alignment horizontal="center" vertical="center"/>
    </xf>
    <xf numFmtId="10" fontId="12" fillId="0" borderId="4" xfId="3" applyNumberFormat="1" applyFont="1" applyBorder="1" applyAlignment="1">
      <alignment horizontal="center" vertical="center"/>
    </xf>
    <xf numFmtId="10" fontId="12" fillId="0" borderId="7" xfId="3" applyNumberFormat="1" applyFont="1" applyBorder="1" applyAlignment="1">
      <alignment horizontal="center" vertical="center"/>
    </xf>
    <xf numFmtId="10" fontId="12" fillId="0" borderId="5" xfId="3" applyNumberFormat="1" applyFont="1" applyBorder="1" applyAlignment="1">
      <alignment horizontal="center" vertical="center"/>
    </xf>
    <xf numFmtId="167" fontId="12" fillId="0" borderId="1" xfId="3" applyNumberFormat="1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12" fillId="0" borderId="5" xfId="3" applyFont="1" applyBorder="1" applyAlignment="1">
      <alignment horizontal="center" vertical="center" wrapText="1"/>
    </xf>
    <xf numFmtId="164" fontId="11" fillId="0" borderId="4" xfId="3" applyNumberFormat="1" applyFont="1" applyBorder="1" applyAlignment="1">
      <alignment horizontal="center" vertical="center" wrapText="1"/>
    </xf>
    <xf numFmtId="164" fontId="11" fillId="0" borderId="7" xfId="3" applyNumberFormat="1" applyFont="1" applyBorder="1" applyAlignment="1">
      <alignment horizontal="center" vertical="center" wrapText="1"/>
    </xf>
    <xf numFmtId="164" fontId="11" fillId="0" borderId="5" xfId="3" applyNumberFormat="1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164" fontId="11" fillId="0" borderId="5" xfId="3" applyNumberFormat="1" applyFont="1" applyBorder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23" borderId="0" xfId="0" applyFont="1" applyFill="1" applyAlignment="1">
      <alignment horizontal="left" vertical="center" wrapText="1"/>
    </xf>
    <xf numFmtId="0" fontId="2" fillId="23" borderId="0" xfId="0" applyFont="1" applyFill="1" applyAlignment="1">
      <alignment horizontal="left" vertical="center" wrapText="1"/>
    </xf>
    <xf numFmtId="0" fontId="3" fillId="23" borderId="0" xfId="0" applyFont="1" applyFill="1" applyAlignment="1">
      <alignment vertical="center" wrapText="1"/>
    </xf>
    <xf numFmtId="0" fontId="2" fillId="23" borderId="0" xfId="0" applyFont="1" applyFill="1" applyAlignment="1">
      <alignment vertical="center" wrapText="1"/>
    </xf>
    <xf numFmtId="0" fontId="3" fillId="23" borderId="0" xfId="0" applyFont="1" applyFill="1" applyAlignment="1">
      <alignment vertical="top" wrapText="1"/>
    </xf>
  </cellXfs>
  <cellStyles count="9">
    <cellStyle name="Гиперссылка" xfId="5" builtinId="8"/>
    <cellStyle name="Гиперссылка 2" xfId="4" xr:uid="{A229D6FF-3811-4BBE-9CF9-BAB893553E70}"/>
    <cellStyle name="Обычный" xfId="0" builtinId="0"/>
    <cellStyle name="Обычный 2" xfId="1" xr:uid="{95691C95-202C-44D0-9745-52A1C0569A71}"/>
    <cellStyle name="Обычный 3" xfId="2" xr:uid="{71768F67-AD00-48FD-BDF8-F7C4AA9550B4}"/>
    <cellStyle name="Обычный 3 2" xfId="3" xr:uid="{9A1C7DDB-441C-49F4-94C3-8B3702F80A09}"/>
    <cellStyle name="Обычный 4" xfId="7" xr:uid="{0931D875-E59F-44AE-A1D7-890A771FF7A5}"/>
    <cellStyle name="Обычный 5" xfId="6" xr:uid="{10420E37-51D9-4937-B275-AF06B738883D}"/>
    <cellStyle name="Процентный" xfId="8" builtinId="5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33CCFF"/>
      <color rgb="FF00FF99"/>
      <color rgb="FF99FF99"/>
      <color rgb="FFCC99FF"/>
      <color rgb="FFFFCCFF"/>
      <color rgb="FF00FFCC"/>
      <color rgb="FF66FF66"/>
      <color rgb="FF9966FF"/>
      <color rgb="FFFF9933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pn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png"/><Relationship Id="rId69" Type="http://schemas.openxmlformats.org/officeDocument/2006/relationships/image" Target="../media/image69.jp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3</xdr:row>
      <xdr:rowOff>57150</xdr:rowOff>
    </xdr:from>
    <xdr:to>
      <xdr:col>5</xdr:col>
      <xdr:colOff>464775</xdr:colOff>
      <xdr:row>3</xdr:row>
      <xdr:rowOff>417150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231A7CDA-08D3-437A-855F-941C4BCFF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52400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156856</xdr:colOff>
      <xdr:row>4</xdr:row>
      <xdr:rowOff>78105</xdr:rowOff>
    </xdr:from>
    <xdr:to>
      <xdr:col>5</xdr:col>
      <xdr:colOff>427933</xdr:colOff>
      <xdr:row>4</xdr:row>
      <xdr:rowOff>438105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809C373C-77BD-4AA6-A564-3BFB1790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0381" y="1992630"/>
          <a:ext cx="271077" cy="360000"/>
        </a:xfrm>
        <a:prstGeom prst="rect">
          <a:avLst/>
        </a:prstGeom>
      </xdr:spPr>
    </xdr:pic>
    <xdr:clientData/>
  </xdr:twoCellAnchor>
  <xdr:twoCellAnchor>
    <xdr:from>
      <xdr:col>5</xdr:col>
      <xdr:colOff>121920</xdr:colOff>
      <xdr:row>5</xdr:row>
      <xdr:rowOff>68580</xdr:rowOff>
    </xdr:from>
    <xdr:to>
      <xdr:col>5</xdr:col>
      <xdr:colOff>481920</xdr:colOff>
      <xdr:row>5</xdr:row>
      <xdr:rowOff>428580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90BB22E1-CCFE-4E5A-B5A4-CC37D21C8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" y="248793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83820</xdr:colOff>
      <xdr:row>6</xdr:row>
      <xdr:rowOff>60960</xdr:rowOff>
    </xdr:from>
    <xdr:to>
      <xdr:col>5</xdr:col>
      <xdr:colOff>443820</xdr:colOff>
      <xdr:row>6</xdr:row>
      <xdr:rowOff>420960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C9BAA9E-A17D-4463-BD42-A31DBE62D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345" y="1022985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89535</xdr:colOff>
      <xdr:row>74</xdr:row>
      <xdr:rowOff>70485</xdr:rowOff>
    </xdr:from>
    <xdr:to>
      <xdr:col>5</xdr:col>
      <xdr:colOff>440471</xdr:colOff>
      <xdr:row>74</xdr:row>
      <xdr:rowOff>476250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EA58FE69-915F-4ABD-9860-51BFD5EF0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9935" y="27626310"/>
          <a:ext cx="350936" cy="405765"/>
        </a:xfrm>
        <a:prstGeom prst="rect">
          <a:avLst/>
        </a:prstGeom>
      </xdr:spPr>
    </xdr:pic>
    <xdr:clientData/>
  </xdr:twoCellAnchor>
  <xdr:twoCellAnchor>
    <xdr:from>
      <xdr:col>5</xdr:col>
      <xdr:colOff>146685</xdr:colOff>
      <xdr:row>75</xdr:row>
      <xdr:rowOff>60960</xdr:rowOff>
    </xdr:from>
    <xdr:to>
      <xdr:col>5</xdr:col>
      <xdr:colOff>497621</xdr:colOff>
      <xdr:row>75</xdr:row>
      <xdr:rowOff>420960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B5BA897B-B18F-4FCC-A3A3-0E36F39A0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210" y="9119235"/>
          <a:ext cx="350936" cy="360000"/>
        </a:xfrm>
        <a:prstGeom prst="rect">
          <a:avLst/>
        </a:prstGeom>
      </xdr:spPr>
    </xdr:pic>
    <xdr:clientData/>
  </xdr:twoCellAnchor>
  <xdr:twoCellAnchor>
    <xdr:from>
      <xdr:col>5</xdr:col>
      <xdr:colOff>127635</xdr:colOff>
      <xdr:row>76</xdr:row>
      <xdr:rowOff>70485</xdr:rowOff>
    </xdr:from>
    <xdr:to>
      <xdr:col>5</xdr:col>
      <xdr:colOff>478571</xdr:colOff>
      <xdr:row>76</xdr:row>
      <xdr:rowOff>430485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124DE757-59AB-411C-9E39-C4FA22DB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9633585"/>
          <a:ext cx="350936" cy="360000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78</xdr:row>
      <xdr:rowOff>66675</xdr:rowOff>
    </xdr:from>
    <xdr:to>
      <xdr:col>5</xdr:col>
      <xdr:colOff>417150</xdr:colOff>
      <xdr:row>78</xdr:row>
      <xdr:rowOff>426675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09935923-DA24-4491-B98C-EAFFEB83C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125" y="29337000"/>
          <a:ext cx="331425" cy="360000"/>
        </a:xfrm>
        <a:prstGeom prst="rect">
          <a:avLst/>
        </a:prstGeom>
      </xdr:spPr>
    </xdr:pic>
    <xdr:clientData/>
  </xdr:twoCellAnchor>
  <xdr:twoCellAnchor>
    <xdr:from>
      <xdr:col>5</xdr:col>
      <xdr:colOff>123825</xdr:colOff>
      <xdr:row>79</xdr:row>
      <xdr:rowOff>114300</xdr:rowOff>
    </xdr:from>
    <xdr:to>
      <xdr:col>5</xdr:col>
      <xdr:colOff>455250</xdr:colOff>
      <xdr:row>79</xdr:row>
      <xdr:rowOff>474300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E3394A76-DBC6-4E16-A7F6-7ABD192E1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4225" y="29956125"/>
          <a:ext cx="331425" cy="360000"/>
        </a:xfrm>
        <a:prstGeom prst="rect">
          <a:avLst/>
        </a:prstGeom>
      </xdr:spPr>
    </xdr:pic>
    <xdr:clientData/>
  </xdr:twoCellAnchor>
  <xdr:twoCellAnchor>
    <xdr:from>
      <xdr:col>5</xdr:col>
      <xdr:colOff>171450</xdr:colOff>
      <xdr:row>80</xdr:row>
      <xdr:rowOff>95250</xdr:rowOff>
    </xdr:from>
    <xdr:to>
      <xdr:col>5</xdr:col>
      <xdr:colOff>502875</xdr:colOff>
      <xdr:row>80</xdr:row>
      <xdr:rowOff>455250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0283641B-44A2-4615-B4FE-C62E438EF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30508575"/>
          <a:ext cx="331425" cy="360000"/>
        </a:xfrm>
        <a:prstGeom prst="rect">
          <a:avLst/>
        </a:prstGeom>
      </xdr:spPr>
    </xdr:pic>
    <xdr:clientData/>
  </xdr:twoCellAnchor>
  <xdr:twoCellAnchor>
    <xdr:from>
      <xdr:col>5</xdr:col>
      <xdr:colOff>121920</xdr:colOff>
      <xdr:row>63</xdr:row>
      <xdr:rowOff>53340</xdr:rowOff>
    </xdr:from>
    <xdr:to>
      <xdr:col>5</xdr:col>
      <xdr:colOff>443820</xdr:colOff>
      <xdr:row>63</xdr:row>
      <xdr:rowOff>413340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FB6346AC-13B0-48E6-A909-CBF62A997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" y="3987165"/>
          <a:ext cx="321900" cy="360000"/>
        </a:xfrm>
        <a:prstGeom prst="rect">
          <a:avLst/>
        </a:prstGeom>
      </xdr:spPr>
    </xdr:pic>
    <xdr:clientData/>
  </xdr:twoCellAnchor>
  <xdr:twoCellAnchor>
    <xdr:from>
      <xdr:col>5</xdr:col>
      <xdr:colOff>144780</xdr:colOff>
      <xdr:row>62</xdr:row>
      <xdr:rowOff>83820</xdr:rowOff>
    </xdr:from>
    <xdr:to>
      <xdr:col>5</xdr:col>
      <xdr:colOff>485730</xdr:colOff>
      <xdr:row>62</xdr:row>
      <xdr:rowOff>443820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C8977EBD-E810-48F1-9759-303B6E56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8305" y="4522470"/>
          <a:ext cx="340950" cy="360000"/>
        </a:xfrm>
        <a:prstGeom prst="rect">
          <a:avLst/>
        </a:prstGeom>
      </xdr:spPr>
    </xdr:pic>
    <xdr:clientData/>
  </xdr:twoCellAnchor>
  <xdr:twoCellAnchor>
    <xdr:from>
      <xdr:col>5</xdr:col>
      <xdr:colOff>121920</xdr:colOff>
      <xdr:row>65</xdr:row>
      <xdr:rowOff>85725</xdr:rowOff>
    </xdr:from>
    <xdr:to>
      <xdr:col>5</xdr:col>
      <xdr:colOff>443820</xdr:colOff>
      <xdr:row>65</xdr:row>
      <xdr:rowOff>445725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DA2682DA-F187-4BD8-BB34-2F7D6BE0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" y="5534025"/>
          <a:ext cx="321900" cy="360000"/>
        </a:xfrm>
        <a:prstGeom prst="rect">
          <a:avLst/>
        </a:prstGeom>
      </xdr:spPr>
    </xdr:pic>
    <xdr:clientData/>
  </xdr:twoCellAnchor>
  <xdr:twoCellAnchor>
    <xdr:from>
      <xdr:col>5</xdr:col>
      <xdr:colOff>158115</xdr:colOff>
      <xdr:row>66</xdr:row>
      <xdr:rowOff>83820</xdr:rowOff>
    </xdr:from>
    <xdr:to>
      <xdr:col>5</xdr:col>
      <xdr:colOff>480015</xdr:colOff>
      <xdr:row>66</xdr:row>
      <xdr:rowOff>443820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65FDF66A-6C59-463F-84A7-251AE6214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640" y="6036945"/>
          <a:ext cx="321900" cy="360000"/>
        </a:xfrm>
        <a:prstGeom prst="rect">
          <a:avLst/>
        </a:prstGeom>
      </xdr:spPr>
    </xdr:pic>
    <xdr:clientData/>
  </xdr:twoCellAnchor>
  <xdr:twoCellAnchor>
    <xdr:from>
      <xdr:col>5</xdr:col>
      <xdr:colOff>169545</xdr:colOff>
      <xdr:row>67</xdr:row>
      <xdr:rowOff>83820</xdr:rowOff>
    </xdr:from>
    <xdr:to>
      <xdr:col>5</xdr:col>
      <xdr:colOff>529545</xdr:colOff>
      <xdr:row>67</xdr:row>
      <xdr:rowOff>443820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890677DE-DF50-4F88-9BC6-AD4933AE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" y="654177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100965</xdr:colOff>
      <xdr:row>64</xdr:row>
      <xdr:rowOff>85725</xdr:rowOff>
    </xdr:from>
    <xdr:to>
      <xdr:col>5</xdr:col>
      <xdr:colOff>460965</xdr:colOff>
      <xdr:row>64</xdr:row>
      <xdr:rowOff>445725</xdr:rowOff>
    </xdr:to>
    <xdr:pic>
      <xdr:nvPicPr>
        <xdr:cNvPr id="82" name="Рисунок 81">
          <a:extLst>
            <a:ext uri="{FF2B5EF4-FFF2-40B4-BE49-F238E27FC236}">
              <a16:creationId xmlns:a16="http://schemas.microsoft.com/office/drawing/2014/main" id="{6BE8A78C-081C-45CF-9445-B0EBB9CF0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90" y="502920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120015</xdr:colOff>
      <xdr:row>61</xdr:row>
      <xdr:rowOff>78105</xdr:rowOff>
    </xdr:from>
    <xdr:to>
      <xdr:col>5</xdr:col>
      <xdr:colOff>480015</xdr:colOff>
      <xdr:row>61</xdr:row>
      <xdr:rowOff>438105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id="{F0013D49-C7F5-4FFA-BC5B-C5473E449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540" y="704088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139065</xdr:colOff>
      <xdr:row>60</xdr:row>
      <xdr:rowOff>68580</xdr:rowOff>
    </xdr:from>
    <xdr:to>
      <xdr:col>5</xdr:col>
      <xdr:colOff>499065</xdr:colOff>
      <xdr:row>60</xdr:row>
      <xdr:rowOff>428580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813447BF-1EF0-48FE-83E7-B3712FBEB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" y="8231505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106680</xdr:colOff>
      <xdr:row>112</xdr:row>
      <xdr:rowOff>83820</xdr:rowOff>
    </xdr:from>
    <xdr:to>
      <xdr:col>5</xdr:col>
      <xdr:colOff>466680</xdr:colOff>
      <xdr:row>112</xdr:row>
      <xdr:rowOff>441622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DB0E7661-F0E2-4120-9B6B-348CE7585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205" y="32945070"/>
          <a:ext cx="360000" cy="357802"/>
        </a:xfrm>
        <a:prstGeom prst="rect">
          <a:avLst/>
        </a:prstGeom>
      </xdr:spPr>
    </xdr:pic>
    <xdr:clientData/>
  </xdr:twoCellAnchor>
  <xdr:twoCellAnchor>
    <xdr:from>
      <xdr:col>5</xdr:col>
      <xdr:colOff>106680</xdr:colOff>
      <xdr:row>113</xdr:row>
      <xdr:rowOff>83820</xdr:rowOff>
    </xdr:from>
    <xdr:to>
      <xdr:col>5</xdr:col>
      <xdr:colOff>466680</xdr:colOff>
      <xdr:row>113</xdr:row>
      <xdr:rowOff>443820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4BED43A0-557F-4815-8F49-056F88C5C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205" y="33449895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106680</xdr:colOff>
      <xdr:row>114</xdr:row>
      <xdr:rowOff>83820</xdr:rowOff>
    </xdr:from>
    <xdr:to>
      <xdr:col>5</xdr:col>
      <xdr:colOff>466680</xdr:colOff>
      <xdr:row>114</xdr:row>
      <xdr:rowOff>443820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3F290596-0805-40BF-A101-5A6962DE0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205" y="3395472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106680</xdr:colOff>
      <xdr:row>115</xdr:row>
      <xdr:rowOff>83820</xdr:rowOff>
    </xdr:from>
    <xdr:to>
      <xdr:col>5</xdr:col>
      <xdr:colOff>466680</xdr:colOff>
      <xdr:row>115</xdr:row>
      <xdr:rowOff>443820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07710B71-0BA2-44CC-BD4B-70E272B5B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205" y="34459545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106680</xdr:colOff>
      <xdr:row>116</xdr:row>
      <xdr:rowOff>83820</xdr:rowOff>
    </xdr:from>
    <xdr:to>
      <xdr:col>5</xdr:col>
      <xdr:colOff>466680</xdr:colOff>
      <xdr:row>116</xdr:row>
      <xdr:rowOff>443820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46A0AEAC-D82C-4E0E-A616-37635DC0A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205" y="34964370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106680</xdr:colOff>
      <xdr:row>117</xdr:row>
      <xdr:rowOff>83820</xdr:rowOff>
    </xdr:from>
    <xdr:to>
      <xdr:col>5</xdr:col>
      <xdr:colOff>466680</xdr:colOff>
      <xdr:row>117</xdr:row>
      <xdr:rowOff>443820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5BED301C-80A4-44E5-9B73-EE3D2F5FA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205" y="35469195"/>
          <a:ext cx="360000" cy="360000"/>
        </a:xfrm>
        <a:prstGeom prst="rect">
          <a:avLst/>
        </a:prstGeom>
      </xdr:spPr>
    </xdr:pic>
    <xdr:clientData/>
  </xdr:twoCellAnchor>
  <xdr:twoCellAnchor>
    <xdr:from>
      <xdr:col>5</xdr:col>
      <xdr:colOff>95251</xdr:colOff>
      <xdr:row>54</xdr:row>
      <xdr:rowOff>47625</xdr:rowOff>
    </xdr:from>
    <xdr:to>
      <xdr:col>5</xdr:col>
      <xdr:colOff>533399</xdr:colOff>
      <xdr:row>54</xdr:row>
      <xdr:rowOff>495298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7588A455-0799-4091-9BED-F1105477B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6" y="2971800"/>
          <a:ext cx="438148" cy="447673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50</xdr:row>
      <xdr:rowOff>57150</xdr:rowOff>
    </xdr:from>
    <xdr:to>
      <xdr:col>5</xdr:col>
      <xdr:colOff>485774</xdr:colOff>
      <xdr:row>50</xdr:row>
      <xdr:rowOff>457199</xdr:rowOff>
    </xdr:to>
    <xdr:pic>
      <xdr:nvPicPr>
        <xdr:cNvPr id="110" name="Рисунок 109">
          <a:extLst>
            <a:ext uri="{FF2B5EF4-FFF2-40B4-BE49-F238E27FC236}">
              <a16:creationId xmlns:a16="http://schemas.microsoft.com/office/drawing/2014/main" id="{29EA3620-FB1E-41C2-AE1F-1F1634F96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3486150"/>
          <a:ext cx="400049" cy="400049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102</xdr:row>
      <xdr:rowOff>160658</xdr:rowOff>
    </xdr:from>
    <xdr:to>
      <xdr:col>5</xdr:col>
      <xdr:colOff>466725</xdr:colOff>
      <xdr:row>102</xdr:row>
      <xdr:rowOff>473998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EF5F361-EB00-46C8-9965-AA8D7978C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32955233"/>
          <a:ext cx="428625" cy="313340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103</xdr:row>
      <xdr:rowOff>104775</xdr:rowOff>
    </xdr:from>
    <xdr:to>
      <xdr:col>5</xdr:col>
      <xdr:colOff>466725</xdr:colOff>
      <xdr:row>103</xdr:row>
      <xdr:rowOff>418115</xdr:rowOff>
    </xdr:to>
    <xdr:pic>
      <xdr:nvPicPr>
        <xdr:cNvPr id="86" name="Рисунок 85">
          <a:extLst>
            <a:ext uri="{FF2B5EF4-FFF2-40B4-BE49-F238E27FC236}">
              <a16:creationId xmlns:a16="http://schemas.microsoft.com/office/drawing/2014/main" id="{295D2DF5-7266-4B69-9F2D-4852F85C3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33480375"/>
          <a:ext cx="428625" cy="313340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104</xdr:row>
      <xdr:rowOff>114300</xdr:rowOff>
    </xdr:from>
    <xdr:to>
      <xdr:col>5</xdr:col>
      <xdr:colOff>476250</xdr:colOff>
      <xdr:row>104</xdr:row>
      <xdr:rowOff>427640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58A5E273-30EA-4FCC-B127-F815F1BBC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34061400"/>
          <a:ext cx="428625" cy="313340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101</xdr:row>
      <xdr:rowOff>160658</xdr:rowOff>
    </xdr:from>
    <xdr:to>
      <xdr:col>5</xdr:col>
      <xdr:colOff>466725</xdr:colOff>
      <xdr:row>101</xdr:row>
      <xdr:rowOff>473998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EEE4A130-922E-4506-97E5-7418FE8FE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33698183"/>
          <a:ext cx="428625" cy="313340"/>
        </a:xfrm>
        <a:prstGeom prst="rect">
          <a:avLst/>
        </a:prstGeom>
      </xdr:spPr>
    </xdr:pic>
    <xdr:clientData/>
  </xdr:twoCellAnchor>
  <xdr:twoCellAnchor>
    <xdr:from>
      <xdr:col>5</xdr:col>
      <xdr:colOff>76201</xdr:colOff>
      <xdr:row>7</xdr:row>
      <xdr:rowOff>0</xdr:rowOff>
    </xdr:from>
    <xdr:to>
      <xdr:col>5</xdr:col>
      <xdr:colOff>495301</xdr:colOff>
      <xdr:row>7</xdr:row>
      <xdr:rowOff>0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02A741EF-FCC2-45C1-B1AB-3E5B239DA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6" y="1524001"/>
          <a:ext cx="419100" cy="419100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7</xdr:row>
      <xdr:rowOff>9525</xdr:rowOff>
    </xdr:from>
    <xdr:to>
      <xdr:col>5</xdr:col>
      <xdr:colOff>542925</xdr:colOff>
      <xdr:row>7</xdr:row>
      <xdr:rowOff>438150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7F9D2098-33C3-4449-B356-86DF8FE0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3733800"/>
          <a:ext cx="428625" cy="428625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13</xdr:row>
      <xdr:rowOff>28575</xdr:rowOff>
    </xdr:from>
    <xdr:to>
      <xdr:col>5</xdr:col>
      <xdr:colOff>495300</xdr:colOff>
      <xdr:row>13</xdr:row>
      <xdr:rowOff>495300</xdr:rowOff>
    </xdr:to>
    <xdr:pic>
      <xdr:nvPicPr>
        <xdr:cNvPr id="92" name="Рисунок 91">
          <a:extLst>
            <a:ext uri="{FF2B5EF4-FFF2-40B4-BE49-F238E27FC236}">
              <a16:creationId xmlns:a16="http://schemas.microsoft.com/office/drawing/2014/main" id="{544CD0AE-81C5-48F9-A065-51A651D19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2495550"/>
          <a:ext cx="466725" cy="466725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59</xdr:row>
      <xdr:rowOff>104776</xdr:rowOff>
    </xdr:from>
    <xdr:to>
      <xdr:col>5</xdr:col>
      <xdr:colOff>515110</xdr:colOff>
      <xdr:row>59</xdr:row>
      <xdr:rowOff>428626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6A6582C3-E526-49A3-B0AF-6AD1BD4FB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4591051"/>
          <a:ext cx="438910" cy="323850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12</xdr:row>
      <xdr:rowOff>38099</xdr:rowOff>
    </xdr:from>
    <xdr:to>
      <xdr:col>5</xdr:col>
      <xdr:colOff>485775</xdr:colOff>
      <xdr:row>12</xdr:row>
      <xdr:rowOff>466724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B9D9A27-6347-408B-BABD-144B35394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4810124"/>
          <a:ext cx="428625" cy="42862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10</xdr:row>
      <xdr:rowOff>28575</xdr:rowOff>
    </xdr:from>
    <xdr:to>
      <xdr:col>5</xdr:col>
      <xdr:colOff>514350</xdr:colOff>
      <xdr:row>10</xdr:row>
      <xdr:rowOff>485775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C05F6C8-7287-48EA-AE8D-F51EED2D1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3505200"/>
          <a:ext cx="457200" cy="457200"/>
        </a:xfrm>
        <a:prstGeom prst="rect">
          <a:avLst/>
        </a:prstGeom>
      </xdr:spPr>
    </xdr:pic>
    <xdr:clientData/>
  </xdr:twoCellAnchor>
  <xdr:twoCellAnchor>
    <xdr:from>
      <xdr:col>5</xdr:col>
      <xdr:colOff>57151</xdr:colOff>
      <xdr:row>11</xdr:row>
      <xdr:rowOff>38099</xdr:rowOff>
    </xdr:from>
    <xdr:to>
      <xdr:col>5</xdr:col>
      <xdr:colOff>495300</xdr:colOff>
      <xdr:row>11</xdr:row>
      <xdr:rowOff>476248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93599BF-39A4-44AC-B9AD-1B543667D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6" y="4019549"/>
          <a:ext cx="438149" cy="43814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66676</xdr:colOff>
      <xdr:row>68</xdr:row>
      <xdr:rowOff>76199</xdr:rowOff>
    </xdr:from>
    <xdr:to>
      <xdr:col>5</xdr:col>
      <xdr:colOff>495302</xdr:colOff>
      <xdr:row>68</xdr:row>
      <xdr:rowOff>504825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C6139DE2-A279-4A12-A85B-8EE4B2127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1" y="20878799"/>
          <a:ext cx="428626" cy="428626"/>
        </a:xfrm>
        <a:prstGeom prst="rect">
          <a:avLst/>
        </a:prstGeom>
      </xdr:spPr>
    </xdr:pic>
    <xdr:clientData/>
  </xdr:twoCellAnchor>
  <xdr:twoCellAnchor>
    <xdr:from>
      <xdr:col>5</xdr:col>
      <xdr:colOff>66676</xdr:colOff>
      <xdr:row>70</xdr:row>
      <xdr:rowOff>57149</xdr:rowOff>
    </xdr:from>
    <xdr:to>
      <xdr:col>5</xdr:col>
      <xdr:colOff>523876</xdr:colOff>
      <xdr:row>70</xdr:row>
      <xdr:rowOff>514349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A915C8D4-F589-44B0-8417-7CDF256A3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6" y="19450049"/>
          <a:ext cx="457200" cy="457200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71</xdr:row>
      <xdr:rowOff>66675</xdr:rowOff>
    </xdr:from>
    <xdr:to>
      <xdr:col>5</xdr:col>
      <xdr:colOff>485774</xdr:colOff>
      <xdr:row>71</xdr:row>
      <xdr:rowOff>523874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80F9674D-A1E4-4DEC-B404-3984787E2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20031075"/>
          <a:ext cx="457199" cy="457199"/>
        </a:xfrm>
        <a:prstGeom prst="rect">
          <a:avLst/>
        </a:prstGeom>
      </xdr:spPr>
    </xdr:pic>
    <xdr:clientData/>
  </xdr:twoCellAnchor>
  <xdr:twoCellAnchor>
    <xdr:from>
      <xdr:col>5</xdr:col>
      <xdr:colOff>85726</xdr:colOff>
      <xdr:row>69</xdr:row>
      <xdr:rowOff>114300</xdr:rowOff>
    </xdr:from>
    <xdr:to>
      <xdr:col>5</xdr:col>
      <xdr:colOff>495300</xdr:colOff>
      <xdr:row>69</xdr:row>
      <xdr:rowOff>523874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5D5000AF-0CB3-4A6D-9B52-ADF96AD9D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1" y="21488400"/>
          <a:ext cx="409574" cy="409574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72</xdr:row>
      <xdr:rowOff>95249</xdr:rowOff>
    </xdr:from>
    <xdr:to>
      <xdr:col>5</xdr:col>
      <xdr:colOff>504824</xdr:colOff>
      <xdr:row>72</xdr:row>
      <xdr:rowOff>514348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13F82226-FD74-4A82-B728-7EF688B69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20440649"/>
          <a:ext cx="419099" cy="419099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73</xdr:row>
      <xdr:rowOff>85725</xdr:rowOff>
    </xdr:from>
    <xdr:to>
      <xdr:col>5</xdr:col>
      <xdr:colOff>485774</xdr:colOff>
      <xdr:row>73</xdr:row>
      <xdr:rowOff>504824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id="{04CD37AA-ABB2-49E0-BEF5-9BF66C56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21002625"/>
          <a:ext cx="419099" cy="419099"/>
        </a:xfrm>
        <a:prstGeom prst="rect">
          <a:avLst/>
        </a:prstGeom>
      </xdr:spPr>
    </xdr:pic>
    <xdr:clientData/>
  </xdr:twoCellAnchor>
  <xdr:twoCellAnchor>
    <xdr:from>
      <xdr:col>5</xdr:col>
      <xdr:colOff>57151</xdr:colOff>
      <xdr:row>82</xdr:row>
      <xdr:rowOff>112184</xdr:rowOff>
    </xdr:from>
    <xdr:to>
      <xdr:col>5</xdr:col>
      <xdr:colOff>525599</xdr:colOff>
      <xdr:row>82</xdr:row>
      <xdr:rowOff>466726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A0365A60-73F0-4C7B-92FB-8507F450E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1" y="34211684"/>
          <a:ext cx="468448" cy="354542"/>
        </a:xfrm>
        <a:prstGeom prst="rect">
          <a:avLst/>
        </a:prstGeom>
      </xdr:spPr>
    </xdr:pic>
    <xdr:clientData/>
  </xdr:twoCellAnchor>
  <xdr:twoCellAnchor>
    <xdr:from>
      <xdr:col>5</xdr:col>
      <xdr:colOff>95249</xdr:colOff>
      <xdr:row>83</xdr:row>
      <xdr:rowOff>143932</xdr:rowOff>
    </xdr:from>
    <xdr:to>
      <xdr:col>5</xdr:col>
      <xdr:colOff>552450</xdr:colOff>
      <xdr:row>83</xdr:row>
      <xdr:rowOff>466726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0BB4DF3B-ABDF-43A1-A4B6-31B80FDF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49" y="34814932"/>
          <a:ext cx="457201" cy="322794"/>
        </a:xfrm>
        <a:prstGeom prst="rect">
          <a:avLst/>
        </a:prstGeom>
      </xdr:spPr>
    </xdr:pic>
    <xdr:clientData/>
  </xdr:twoCellAnchor>
  <xdr:twoCellAnchor>
    <xdr:from>
      <xdr:col>5</xdr:col>
      <xdr:colOff>47624</xdr:colOff>
      <xdr:row>84</xdr:row>
      <xdr:rowOff>52915</xdr:rowOff>
    </xdr:from>
    <xdr:to>
      <xdr:col>5</xdr:col>
      <xdr:colOff>557743</xdr:colOff>
      <xdr:row>85</xdr:row>
      <xdr:rowOff>2117</xdr:rowOff>
    </xdr:to>
    <xdr:pic>
      <xdr:nvPicPr>
        <xdr:cNvPr id="114" name="Рисунок 113">
          <a:extLst>
            <a:ext uri="{FF2B5EF4-FFF2-40B4-BE49-F238E27FC236}">
              <a16:creationId xmlns:a16="http://schemas.microsoft.com/office/drawing/2014/main" id="{1F9ADEBD-B5B4-4290-966B-BE80F0943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47799" y="22684315"/>
          <a:ext cx="510119" cy="520702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85</xdr:row>
      <xdr:rowOff>83610</xdr:rowOff>
    </xdr:from>
    <xdr:to>
      <xdr:col>6</xdr:col>
      <xdr:colOff>0</xdr:colOff>
      <xdr:row>85</xdr:row>
      <xdr:rowOff>514350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CE4DA4C7-827E-480A-A600-117699341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5897610"/>
          <a:ext cx="520626" cy="430740"/>
        </a:xfrm>
        <a:prstGeom prst="rect">
          <a:avLst/>
        </a:prstGeom>
      </xdr:spPr>
    </xdr:pic>
    <xdr:clientData/>
  </xdr:twoCellAnchor>
  <xdr:twoCellAnchor>
    <xdr:from>
      <xdr:col>5</xdr:col>
      <xdr:colOff>104775</xdr:colOff>
      <xdr:row>107</xdr:row>
      <xdr:rowOff>42332</xdr:rowOff>
    </xdr:from>
    <xdr:to>
      <xdr:col>5</xdr:col>
      <xdr:colOff>561974</xdr:colOff>
      <xdr:row>108</xdr:row>
      <xdr:rowOff>1058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554E7F0A-8900-42E4-A599-BE61E960E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35551532"/>
          <a:ext cx="457199" cy="530226"/>
        </a:xfrm>
        <a:prstGeom prst="rect">
          <a:avLst/>
        </a:prstGeom>
      </xdr:spPr>
    </xdr:pic>
    <xdr:clientData/>
  </xdr:twoCellAnchor>
  <xdr:twoCellAnchor>
    <xdr:from>
      <xdr:col>5</xdr:col>
      <xdr:colOff>104776</xdr:colOff>
      <xdr:row>108</xdr:row>
      <xdr:rowOff>32809</xdr:rowOff>
    </xdr:from>
    <xdr:to>
      <xdr:col>5</xdr:col>
      <xdr:colOff>542926</xdr:colOff>
      <xdr:row>108</xdr:row>
      <xdr:rowOff>563035</xdr:rowOff>
    </xdr:to>
    <xdr:pic>
      <xdr:nvPicPr>
        <xdr:cNvPr id="124" name="Рисунок 123">
          <a:extLst>
            <a:ext uri="{FF2B5EF4-FFF2-40B4-BE49-F238E27FC236}">
              <a16:creationId xmlns:a16="http://schemas.microsoft.com/office/drawing/2014/main" id="{80523163-9301-4F62-874A-F616882E5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6" y="48038809"/>
          <a:ext cx="438150" cy="530226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109</xdr:row>
      <xdr:rowOff>52917</xdr:rowOff>
    </xdr:from>
    <xdr:to>
      <xdr:col>5</xdr:col>
      <xdr:colOff>560917</xdr:colOff>
      <xdr:row>110</xdr:row>
      <xdr:rowOff>2118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CDD52D19-BA9B-4247-BD58-C902DD808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36705117"/>
          <a:ext cx="465667" cy="520701"/>
        </a:xfrm>
        <a:prstGeom prst="rect">
          <a:avLst/>
        </a:prstGeom>
      </xdr:spPr>
    </xdr:pic>
    <xdr:clientData/>
  </xdr:twoCellAnchor>
  <xdr:twoCellAnchor>
    <xdr:from>
      <xdr:col>5</xdr:col>
      <xdr:colOff>38099</xdr:colOff>
      <xdr:row>110</xdr:row>
      <xdr:rowOff>95249</xdr:rowOff>
    </xdr:from>
    <xdr:to>
      <xdr:col>5</xdr:col>
      <xdr:colOff>516952</xdr:colOff>
      <xdr:row>110</xdr:row>
      <xdr:rowOff>546100</xdr:rowOff>
    </xdr:to>
    <xdr:pic>
      <xdr:nvPicPr>
        <xdr:cNvPr id="126" name="Рисунок 125">
          <a:extLst>
            <a:ext uri="{FF2B5EF4-FFF2-40B4-BE49-F238E27FC236}">
              <a16:creationId xmlns:a16="http://schemas.microsoft.com/office/drawing/2014/main" id="{AD9BA601-FEBF-48A5-9724-065E4D482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4" y="55616474"/>
          <a:ext cx="478853" cy="450851"/>
        </a:xfrm>
        <a:prstGeom prst="rect">
          <a:avLst/>
        </a:prstGeom>
      </xdr:spPr>
    </xdr:pic>
    <xdr:clientData/>
  </xdr:twoCellAnchor>
  <xdr:twoCellAnchor>
    <xdr:from>
      <xdr:col>5</xdr:col>
      <xdr:colOff>110069</xdr:colOff>
      <xdr:row>111</xdr:row>
      <xdr:rowOff>142875</xdr:rowOff>
    </xdr:from>
    <xdr:to>
      <xdr:col>5</xdr:col>
      <xdr:colOff>495301</xdr:colOff>
      <xdr:row>111</xdr:row>
      <xdr:rowOff>461434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9370C34F-CD6A-44EF-9BCE-E8D579114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6694" y="56235600"/>
          <a:ext cx="385232" cy="318559"/>
        </a:xfrm>
        <a:prstGeom prst="rect">
          <a:avLst/>
        </a:prstGeom>
      </xdr:spPr>
    </xdr:pic>
    <xdr:clientData/>
  </xdr:twoCellAnchor>
  <xdr:twoCellAnchor>
    <xdr:from>
      <xdr:col>5</xdr:col>
      <xdr:colOff>76201</xdr:colOff>
      <xdr:row>105</xdr:row>
      <xdr:rowOff>116416</xdr:rowOff>
    </xdr:from>
    <xdr:to>
      <xdr:col>5</xdr:col>
      <xdr:colOff>560919</xdr:colOff>
      <xdr:row>105</xdr:row>
      <xdr:rowOff>570442</xdr:rowOff>
    </xdr:to>
    <xdr:pic>
      <xdr:nvPicPr>
        <xdr:cNvPr id="128" name="Рисунок 127">
          <a:extLst>
            <a:ext uri="{FF2B5EF4-FFF2-40B4-BE49-F238E27FC236}">
              <a16:creationId xmlns:a16="http://schemas.microsoft.com/office/drawing/2014/main" id="{01BF54FE-45B8-4D24-94D7-625C3A6B7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6" y="34482616"/>
          <a:ext cx="484718" cy="454026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106</xdr:row>
      <xdr:rowOff>95250</xdr:rowOff>
    </xdr:from>
    <xdr:to>
      <xdr:col>5</xdr:col>
      <xdr:colOff>557743</xdr:colOff>
      <xdr:row>106</xdr:row>
      <xdr:rowOff>568326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A5B2AA0C-5645-408A-93DD-57A767608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35032950"/>
          <a:ext cx="443443" cy="473076"/>
        </a:xfrm>
        <a:prstGeom prst="rect">
          <a:avLst/>
        </a:prstGeom>
      </xdr:spPr>
    </xdr:pic>
    <xdr:clientData/>
  </xdr:twoCellAnchor>
  <xdr:twoCellAnchor>
    <xdr:from>
      <xdr:col>5</xdr:col>
      <xdr:colOff>190501</xdr:colOff>
      <xdr:row>56</xdr:row>
      <xdr:rowOff>19050</xdr:rowOff>
    </xdr:from>
    <xdr:to>
      <xdr:col>5</xdr:col>
      <xdr:colOff>628649</xdr:colOff>
      <xdr:row>56</xdr:row>
      <xdr:rowOff>466723</xdr:rowOff>
    </xdr:to>
    <xdr:pic>
      <xdr:nvPicPr>
        <xdr:cNvPr id="173" name="Рисунок 172">
          <a:extLst>
            <a:ext uri="{FF2B5EF4-FFF2-40B4-BE49-F238E27FC236}">
              <a16:creationId xmlns:a16="http://schemas.microsoft.com/office/drawing/2014/main" id="{865DEB3B-0D70-46E7-A3A8-3B5EC8E7D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1" y="19859625"/>
          <a:ext cx="438148" cy="447673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8</xdr:row>
      <xdr:rowOff>47625</xdr:rowOff>
    </xdr:from>
    <xdr:to>
      <xdr:col>5</xdr:col>
      <xdr:colOff>519641</xdr:colOff>
      <xdr:row>8</xdr:row>
      <xdr:rowOff>491066</xdr:rowOff>
    </xdr:to>
    <xdr:pic>
      <xdr:nvPicPr>
        <xdr:cNvPr id="255" name="Рисунок 254">
          <a:extLst>
            <a:ext uri="{FF2B5EF4-FFF2-40B4-BE49-F238E27FC236}">
              <a16:creationId xmlns:a16="http://schemas.microsoft.com/office/drawing/2014/main" id="{0C939EA6-DA14-498E-974D-27D9EDDCE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3019425"/>
          <a:ext cx="443441" cy="443441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9</xdr:row>
      <xdr:rowOff>28574</xdr:rowOff>
    </xdr:from>
    <xdr:to>
      <xdr:col>5</xdr:col>
      <xdr:colOff>480246</xdr:colOff>
      <xdr:row>9</xdr:row>
      <xdr:rowOff>474131</xdr:rowOff>
    </xdr:to>
    <xdr:pic>
      <xdr:nvPicPr>
        <xdr:cNvPr id="256" name="Рисунок 255">
          <a:extLst>
            <a:ext uri="{FF2B5EF4-FFF2-40B4-BE49-F238E27FC236}">
              <a16:creationId xmlns:a16="http://schemas.microsoft.com/office/drawing/2014/main" id="{8F039838-0032-435C-9CF4-7DA257793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8025" y="2495549"/>
          <a:ext cx="432621" cy="445557"/>
        </a:xfrm>
        <a:prstGeom prst="rect">
          <a:avLst/>
        </a:prstGeom>
      </xdr:spPr>
    </xdr:pic>
    <xdr:clientData/>
  </xdr:twoCellAnchor>
  <xdr:twoCellAnchor>
    <xdr:from>
      <xdr:col>5</xdr:col>
      <xdr:colOff>142875</xdr:colOff>
      <xdr:row>58</xdr:row>
      <xdr:rowOff>85725</xdr:rowOff>
    </xdr:from>
    <xdr:to>
      <xdr:col>5</xdr:col>
      <xdr:colOff>485775</xdr:colOff>
      <xdr:row>58</xdr:row>
      <xdr:rowOff>452714</xdr:rowOff>
    </xdr:to>
    <xdr:pic>
      <xdr:nvPicPr>
        <xdr:cNvPr id="134" name="Рисунок 133">
          <a:extLst>
            <a:ext uri="{FF2B5EF4-FFF2-40B4-BE49-F238E27FC236}">
              <a16:creationId xmlns:a16="http://schemas.microsoft.com/office/drawing/2014/main" id="{383C255D-526E-40DA-9295-A35EE8269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20431125"/>
          <a:ext cx="342900" cy="366989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29</xdr:row>
      <xdr:rowOff>54547</xdr:rowOff>
    </xdr:from>
    <xdr:to>
      <xdr:col>5</xdr:col>
      <xdr:colOff>466725</xdr:colOff>
      <xdr:row>29</xdr:row>
      <xdr:rowOff>481850</xdr:rowOff>
    </xdr:to>
    <xdr:pic>
      <xdr:nvPicPr>
        <xdr:cNvPr id="144" name="Рисунок 143">
          <a:extLst>
            <a:ext uri="{FF2B5EF4-FFF2-40B4-BE49-F238E27FC236}">
              <a16:creationId xmlns:a16="http://schemas.microsoft.com/office/drawing/2014/main" id="{DE90B041-3C5C-43CB-B31D-2BB2D0554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5550472"/>
          <a:ext cx="400050" cy="427303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30</xdr:row>
      <xdr:rowOff>63389</xdr:rowOff>
    </xdr:from>
    <xdr:to>
      <xdr:col>5</xdr:col>
      <xdr:colOff>466725</xdr:colOff>
      <xdr:row>30</xdr:row>
      <xdr:rowOff>494242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66F9AF8A-79FE-4DFB-96A5-5640EDBA4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6064139"/>
          <a:ext cx="390525" cy="430853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31</xdr:row>
      <xdr:rowOff>11641</xdr:rowOff>
    </xdr:from>
    <xdr:to>
      <xdr:col>5</xdr:col>
      <xdr:colOff>495300</xdr:colOff>
      <xdr:row>31</xdr:row>
      <xdr:rowOff>468841</xdr:rowOff>
    </xdr:to>
    <xdr:pic>
      <xdr:nvPicPr>
        <xdr:cNvPr id="147" name="Рисунок 146">
          <a:extLst>
            <a:ext uri="{FF2B5EF4-FFF2-40B4-BE49-F238E27FC236}">
              <a16:creationId xmlns:a16="http://schemas.microsoft.com/office/drawing/2014/main" id="{953534C3-3924-473F-8397-7C3526E9B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238500" y="6517216"/>
          <a:ext cx="457200" cy="457200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32</xdr:row>
      <xdr:rowOff>28640</xdr:rowOff>
    </xdr:from>
    <xdr:to>
      <xdr:col>5</xdr:col>
      <xdr:colOff>495300</xdr:colOff>
      <xdr:row>32</xdr:row>
      <xdr:rowOff>485775</xdr:rowOff>
    </xdr:to>
    <xdr:pic>
      <xdr:nvPicPr>
        <xdr:cNvPr id="149" name="Рисунок 148">
          <a:extLst>
            <a:ext uri="{FF2B5EF4-FFF2-40B4-BE49-F238E27FC236}">
              <a16:creationId xmlns:a16="http://schemas.microsoft.com/office/drawing/2014/main" id="{3596566B-297F-46C7-9BDF-F42205E64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7039040"/>
          <a:ext cx="457200" cy="457135"/>
        </a:xfrm>
        <a:prstGeom prst="rect">
          <a:avLst/>
        </a:prstGeom>
      </xdr:spPr>
    </xdr:pic>
    <xdr:clientData/>
  </xdr:twoCellAnchor>
  <xdr:twoCellAnchor>
    <xdr:from>
      <xdr:col>5</xdr:col>
      <xdr:colOff>56092</xdr:colOff>
      <xdr:row>88</xdr:row>
      <xdr:rowOff>66675</xdr:rowOff>
    </xdr:from>
    <xdr:to>
      <xdr:col>5</xdr:col>
      <xdr:colOff>498612</xdr:colOff>
      <xdr:row>88</xdr:row>
      <xdr:rowOff>552449</xdr:rowOff>
    </xdr:to>
    <xdr:pic>
      <xdr:nvPicPr>
        <xdr:cNvPr id="159" name="Рисунок 158">
          <a:extLst>
            <a:ext uri="{FF2B5EF4-FFF2-40B4-BE49-F238E27FC236}">
              <a16:creationId xmlns:a16="http://schemas.microsoft.com/office/drawing/2014/main" id="{EE514DF1-39B9-4F31-9246-C3368E23E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256492" y="31394400"/>
          <a:ext cx="442520" cy="485774"/>
        </a:xfrm>
        <a:prstGeom prst="rect">
          <a:avLst/>
        </a:prstGeom>
      </xdr:spPr>
    </xdr:pic>
    <xdr:clientData/>
  </xdr:twoCellAnchor>
  <xdr:twoCellAnchor>
    <xdr:from>
      <xdr:col>5</xdr:col>
      <xdr:colOff>47626</xdr:colOff>
      <xdr:row>90</xdr:row>
      <xdr:rowOff>68240</xdr:rowOff>
    </xdr:from>
    <xdr:to>
      <xdr:col>5</xdr:col>
      <xdr:colOff>499018</xdr:colOff>
      <xdr:row>90</xdr:row>
      <xdr:rowOff>542923</xdr:rowOff>
    </xdr:to>
    <xdr:pic>
      <xdr:nvPicPr>
        <xdr:cNvPr id="160" name="Рисунок 159">
          <a:extLst>
            <a:ext uri="{FF2B5EF4-FFF2-40B4-BE49-F238E27FC236}">
              <a16:creationId xmlns:a16="http://schemas.microsoft.com/office/drawing/2014/main" id="{2015E4AC-8256-4D9D-89A8-80FB477C1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8026" y="31967465"/>
          <a:ext cx="451392" cy="474683"/>
        </a:xfrm>
        <a:prstGeom prst="rect">
          <a:avLst/>
        </a:prstGeom>
      </xdr:spPr>
    </xdr:pic>
    <xdr:clientData/>
  </xdr:twoCellAnchor>
  <xdr:twoCellAnchor>
    <xdr:from>
      <xdr:col>5</xdr:col>
      <xdr:colOff>104775</xdr:colOff>
      <xdr:row>91</xdr:row>
      <xdr:rowOff>28023</xdr:rowOff>
    </xdr:from>
    <xdr:to>
      <xdr:col>5</xdr:col>
      <xdr:colOff>489623</xdr:colOff>
      <xdr:row>91</xdr:row>
      <xdr:rowOff>502706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0D501C61-76B5-4F3E-A42E-EA7A791B5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32498748"/>
          <a:ext cx="384848" cy="474683"/>
        </a:xfrm>
        <a:prstGeom prst="rect">
          <a:avLst/>
        </a:prstGeom>
      </xdr:spPr>
    </xdr:pic>
    <xdr:clientData/>
  </xdr:twoCellAnchor>
  <xdr:twoCellAnchor>
    <xdr:from>
      <xdr:col>5</xdr:col>
      <xdr:colOff>39157</xdr:colOff>
      <xdr:row>92</xdr:row>
      <xdr:rowOff>70357</xdr:rowOff>
    </xdr:from>
    <xdr:to>
      <xdr:col>5</xdr:col>
      <xdr:colOff>487222</xdr:colOff>
      <xdr:row>92</xdr:row>
      <xdr:rowOff>545040</xdr:rowOff>
    </xdr:to>
    <xdr:pic>
      <xdr:nvPicPr>
        <xdr:cNvPr id="162" name="Рисунок 161">
          <a:extLst>
            <a:ext uri="{FF2B5EF4-FFF2-40B4-BE49-F238E27FC236}">
              <a16:creationId xmlns:a16="http://schemas.microsoft.com/office/drawing/2014/main" id="{966BD688-D35D-4054-BF0A-168CD6A0C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9557" y="33112582"/>
          <a:ext cx="448065" cy="474683"/>
        </a:xfrm>
        <a:prstGeom prst="rect">
          <a:avLst/>
        </a:prstGeom>
      </xdr:spPr>
    </xdr:pic>
    <xdr:clientData/>
  </xdr:twoCellAnchor>
  <xdr:twoCellAnchor>
    <xdr:from>
      <xdr:col>5</xdr:col>
      <xdr:colOff>100540</xdr:colOff>
      <xdr:row>93</xdr:row>
      <xdr:rowOff>52365</xdr:rowOff>
    </xdr:from>
    <xdr:to>
      <xdr:col>5</xdr:col>
      <xdr:colOff>498697</xdr:colOff>
      <xdr:row>93</xdr:row>
      <xdr:rowOff>527048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E81D7301-72C3-487C-AE91-0CF3D7934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0940" y="33666090"/>
          <a:ext cx="398157" cy="474683"/>
        </a:xfrm>
        <a:prstGeom prst="rect">
          <a:avLst/>
        </a:prstGeom>
      </xdr:spPr>
    </xdr:pic>
    <xdr:clientData/>
  </xdr:twoCellAnchor>
  <xdr:twoCellAnchor>
    <xdr:from>
      <xdr:col>5</xdr:col>
      <xdr:colOff>147106</xdr:colOff>
      <xdr:row>94</xdr:row>
      <xdr:rowOff>27038</xdr:rowOff>
    </xdr:from>
    <xdr:to>
      <xdr:col>5</xdr:col>
      <xdr:colOff>515688</xdr:colOff>
      <xdr:row>94</xdr:row>
      <xdr:rowOff>538691</xdr:rowOff>
    </xdr:to>
    <xdr:pic>
      <xdr:nvPicPr>
        <xdr:cNvPr id="164" name="Рисунок 163">
          <a:extLst>
            <a:ext uri="{FF2B5EF4-FFF2-40B4-BE49-F238E27FC236}">
              <a16:creationId xmlns:a16="http://schemas.microsoft.com/office/drawing/2014/main" id="{B0ED8850-B50C-47A3-BB68-0D937A34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506" y="34212263"/>
          <a:ext cx="368582" cy="511653"/>
        </a:xfrm>
        <a:prstGeom prst="rect">
          <a:avLst/>
        </a:prstGeom>
      </xdr:spPr>
    </xdr:pic>
    <xdr:clientData/>
  </xdr:twoCellAnchor>
  <xdr:twoCellAnchor>
    <xdr:from>
      <xdr:col>5</xdr:col>
      <xdr:colOff>88899</xdr:colOff>
      <xdr:row>95</xdr:row>
      <xdr:rowOff>66516</xdr:rowOff>
    </xdr:from>
    <xdr:to>
      <xdr:col>5</xdr:col>
      <xdr:colOff>495559</xdr:colOff>
      <xdr:row>95</xdr:row>
      <xdr:rowOff>524933</xdr:rowOff>
    </xdr:to>
    <xdr:pic>
      <xdr:nvPicPr>
        <xdr:cNvPr id="165" name="Рисунок 164">
          <a:extLst>
            <a:ext uri="{FF2B5EF4-FFF2-40B4-BE49-F238E27FC236}">
              <a16:creationId xmlns:a16="http://schemas.microsoft.com/office/drawing/2014/main" id="{8249785F-D263-4316-9A74-E6BA4D298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9299" y="34823241"/>
          <a:ext cx="406660" cy="458417"/>
        </a:xfrm>
        <a:prstGeom prst="rect">
          <a:avLst/>
        </a:prstGeom>
      </xdr:spPr>
    </xdr:pic>
    <xdr:clientData/>
  </xdr:twoCellAnchor>
  <xdr:twoCellAnchor>
    <xdr:from>
      <xdr:col>5</xdr:col>
      <xdr:colOff>89956</xdr:colOff>
      <xdr:row>96</xdr:row>
      <xdr:rowOff>93597</xdr:rowOff>
    </xdr:from>
    <xdr:to>
      <xdr:col>5</xdr:col>
      <xdr:colOff>525822</xdr:colOff>
      <xdr:row>96</xdr:row>
      <xdr:rowOff>546099</xdr:rowOff>
    </xdr:to>
    <xdr:pic>
      <xdr:nvPicPr>
        <xdr:cNvPr id="166" name="Рисунок 165">
          <a:extLst>
            <a:ext uri="{FF2B5EF4-FFF2-40B4-BE49-F238E27FC236}">
              <a16:creationId xmlns:a16="http://schemas.microsoft.com/office/drawing/2014/main" id="{BDAE1CAA-761F-497D-A5AC-A6329A264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0356" y="35421822"/>
          <a:ext cx="435866" cy="452502"/>
        </a:xfrm>
        <a:prstGeom prst="rect">
          <a:avLst/>
        </a:prstGeom>
      </xdr:spPr>
    </xdr:pic>
    <xdr:clientData/>
  </xdr:twoCellAnchor>
  <xdr:twoCellAnchor>
    <xdr:from>
      <xdr:col>5</xdr:col>
      <xdr:colOff>48680</xdr:colOff>
      <xdr:row>86</xdr:row>
      <xdr:rowOff>78090</xdr:rowOff>
    </xdr:from>
    <xdr:to>
      <xdr:col>5</xdr:col>
      <xdr:colOff>438150</xdr:colOff>
      <xdr:row>86</xdr:row>
      <xdr:rowOff>516524</xdr:rowOff>
    </xdr:to>
    <xdr:pic>
      <xdr:nvPicPr>
        <xdr:cNvPr id="184" name="Рисунок 183">
          <a:extLst>
            <a:ext uri="{FF2B5EF4-FFF2-40B4-BE49-F238E27FC236}">
              <a16:creationId xmlns:a16="http://schemas.microsoft.com/office/drawing/2014/main" id="{972BA4FF-0C4D-48BB-8984-F3C7DE581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249080" y="31405815"/>
          <a:ext cx="389470" cy="438434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87</xdr:row>
      <xdr:rowOff>51488</xdr:rowOff>
    </xdr:from>
    <xdr:to>
      <xdr:col>5</xdr:col>
      <xdr:colOff>495299</xdr:colOff>
      <xdr:row>87</xdr:row>
      <xdr:rowOff>531213</xdr:rowOff>
    </xdr:to>
    <xdr:pic>
      <xdr:nvPicPr>
        <xdr:cNvPr id="185" name="Рисунок 184">
          <a:extLst>
            <a:ext uri="{FF2B5EF4-FFF2-40B4-BE49-F238E27FC236}">
              <a16:creationId xmlns:a16="http://schemas.microsoft.com/office/drawing/2014/main" id="{7F4217E3-AE04-4F93-9363-DE95714A4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31950713"/>
          <a:ext cx="438149" cy="479725"/>
        </a:xfrm>
        <a:prstGeom prst="rect">
          <a:avLst/>
        </a:prstGeom>
      </xdr:spPr>
    </xdr:pic>
    <xdr:clientData/>
  </xdr:twoCellAnchor>
  <xdr:twoCellAnchor>
    <xdr:from>
      <xdr:col>5</xdr:col>
      <xdr:colOff>142875</xdr:colOff>
      <xdr:row>57</xdr:row>
      <xdr:rowOff>28575</xdr:rowOff>
    </xdr:from>
    <xdr:to>
      <xdr:col>5</xdr:col>
      <xdr:colOff>565382</xdr:colOff>
      <xdr:row>57</xdr:row>
      <xdr:rowOff>468842</xdr:rowOff>
    </xdr:to>
    <xdr:pic>
      <xdr:nvPicPr>
        <xdr:cNvPr id="152" name="Рисунок 151">
          <a:extLst>
            <a:ext uri="{FF2B5EF4-FFF2-40B4-BE49-F238E27FC236}">
              <a16:creationId xmlns:a16="http://schemas.microsoft.com/office/drawing/2014/main" id="{4CE1F465-D7AC-498D-8045-71A1C677E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9364325"/>
          <a:ext cx="422507" cy="440267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0</xdr:row>
      <xdr:rowOff>257176</xdr:rowOff>
    </xdr:from>
    <xdr:to>
      <xdr:col>4</xdr:col>
      <xdr:colOff>1390650</xdr:colOff>
      <xdr:row>0</xdr:row>
      <xdr:rowOff>428626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FA1092CA-E502-4D74-BC1B-0A7BC42A780A}"/>
            </a:ext>
          </a:extLst>
        </xdr:cNvPr>
        <xdr:cNvSpPr/>
      </xdr:nvSpPr>
      <xdr:spPr>
        <a:xfrm rot="10800000">
          <a:off x="4429125" y="257176"/>
          <a:ext cx="466725" cy="1714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86783</xdr:colOff>
      <xdr:row>123</xdr:row>
      <xdr:rowOff>89959</xdr:rowOff>
    </xdr:from>
    <xdr:to>
      <xdr:col>5</xdr:col>
      <xdr:colOff>550332</xdr:colOff>
      <xdr:row>123</xdr:row>
      <xdr:rowOff>571500</xdr:rowOff>
    </xdr:to>
    <xdr:pic>
      <xdr:nvPicPr>
        <xdr:cNvPr id="148" name="Рисунок 147">
          <a:extLst>
            <a:ext uri="{FF2B5EF4-FFF2-40B4-BE49-F238E27FC236}">
              <a16:creationId xmlns:a16="http://schemas.microsoft.com/office/drawing/2014/main" id="{BE00017C-E1BF-4EED-8933-414893F05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4358" y="61316659"/>
          <a:ext cx="463549" cy="481541"/>
        </a:xfrm>
        <a:prstGeom prst="rect">
          <a:avLst/>
        </a:prstGeom>
      </xdr:spPr>
    </xdr:pic>
    <xdr:clientData/>
  </xdr:twoCellAnchor>
  <xdr:twoCellAnchor>
    <xdr:from>
      <xdr:col>5</xdr:col>
      <xdr:colOff>14817</xdr:colOff>
      <xdr:row>120</xdr:row>
      <xdr:rowOff>39160</xdr:rowOff>
    </xdr:from>
    <xdr:to>
      <xdr:col>6</xdr:col>
      <xdr:colOff>0</xdr:colOff>
      <xdr:row>120</xdr:row>
      <xdr:rowOff>552451</xdr:rowOff>
    </xdr:to>
    <xdr:pic>
      <xdr:nvPicPr>
        <xdr:cNvPr id="151" name="Рисунок 150">
          <a:extLst>
            <a:ext uri="{FF2B5EF4-FFF2-40B4-BE49-F238E27FC236}">
              <a16:creationId xmlns:a16="http://schemas.microsoft.com/office/drawing/2014/main" id="{D898EC65-D9ED-43B7-A848-7C2193F8A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492" y="61704010"/>
          <a:ext cx="618067" cy="513291"/>
        </a:xfrm>
        <a:prstGeom prst="rect">
          <a:avLst/>
        </a:prstGeom>
      </xdr:spPr>
    </xdr:pic>
    <xdr:clientData/>
  </xdr:twoCellAnchor>
  <xdr:twoCellAnchor>
    <xdr:from>
      <xdr:col>5</xdr:col>
      <xdr:colOff>24342</xdr:colOff>
      <xdr:row>122</xdr:row>
      <xdr:rowOff>30691</xdr:rowOff>
    </xdr:from>
    <xdr:to>
      <xdr:col>6</xdr:col>
      <xdr:colOff>0</xdr:colOff>
      <xdr:row>122</xdr:row>
      <xdr:rowOff>590550</xdr:rowOff>
    </xdr:to>
    <xdr:pic>
      <xdr:nvPicPr>
        <xdr:cNvPr id="153" name="Рисунок 152">
          <a:extLst>
            <a:ext uri="{FF2B5EF4-FFF2-40B4-BE49-F238E27FC236}">
              <a16:creationId xmlns:a16="http://schemas.microsoft.com/office/drawing/2014/main" id="{253C2251-3D6F-4A89-8715-5664DE33F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017" y="62457541"/>
          <a:ext cx="613834" cy="559859"/>
        </a:xfrm>
        <a:prstGeom prst="rect">
          <a:avLst/>
        </a:prstGeom>
      </xdr:spPr>
    </xdr:pic>
    <xdr:clientData/>
  </xdr:twoCellAnchor>
  <xdr:twoCellAnchor>
    <xdr:from>
      <xdr:col>5</xdr:col>
      <xdr:colOff>48096</xdr:colOff>
      <xdr:row>124</xdr:row>
      <xdr:rowOff>35984</xdr:rowOff>
    </xdr:from>
    <xdr:to>
      <xdr:col>6</xdr:col>
      <xdr:colOff>0</xdr:colOff>
      <xdr:row>124</xdr:row>
      <xdr:rowOff>628650</xdr:rowOff>
    </xdr:to>
    <xdr:pic>
      <xdr:nvPicPr>
        <xdr:cNvPr id="154" name="Рисунок 153">
          <a:extLst>
            <a:ext uri="{FF2B5EF4-FFF2-40B4-BE49-F238E27FC236}">
              <a16:creationId xmlns:a16="http://schemas.microsoft.com/office/drawing/2014/main" id="{263FF5E7-FCEE-4E21-89E1-3BF918DD3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162771" y="63986834"/>
          <a:ext cx="549275" cy="592666"/>
        </a:xfrm>
        <a:prstGeom prst="rect">
          <a:avLst/>
        </a:prstGeom>
      </xdr:spPr>
    </xdr:pic>
    <xdr:clientData/>
  </xdr:twoCellAnchor>
  <xdr:twoCellAnchor>
    <xdr:from>
      <xdr:col>5</xdr:col>
      <xdr:colOff>73026</xdr:colOff>
      <xdr:row>125</xdr:row>
      <xdr:rowOff>33868</xdr:rowOff>
    </xdr:from>
    <xdr:to>
      <xdr:col>6</xdr:col>
      <xdr:colOff>0</xdr:colOff>
      <xdr:row>125</xdr:row>
      <xdr:rowOff>428625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DC64A239-5225-4E6E-A4F3-626FC03C6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3176" y="63641818"/>
          <a:ext cx="708024" cy="394757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121</xdr:row>
      <xdr:rowOff>76201</xdr:rowOff>
    </xdr:from>
    <xdr:to>
      <xdr:col>6</xdr:col>
      <xdr:colOff>0</xdr:colOff>
      <xdr:row>121</xdr:row>
      <xdr:rowOff>695327</xdr:rowOff>
    </xdr:to>
    <xdr:pic>
      <xdr:nvPicPr>
        <xdr:cNvPr id="141" name="Рисунок 140">
          <a:extLst>
            <a:ext uri="{FF2B5EF4-FFF2-40B4-BE49-F238E27FC236}">
              <a16:creationId xmlns:a16="http://schemas.microsoft.com/office/drawing/2014/main" id="{B1643F84-76FD-4FA4-B0D9-795D3924F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55445026"/>
          <a:ext cx="556684" cy="619126"/>
        </a:xfrm>
        <a:prstGeom prst="rect">
          <a:avLst/>
        </a:prstGeom>
      </xdr:spPr>
    </xdr:pic>
    <xdr:clientData/>
  </xdr:twoCellAnchor>
  <xdr:twoCellAnchor>
    <xdr:from>
      <xdr:col>5</xdr:col>
      <xdr:colOff>105833</xdr:colOff>
      <xdr:row>118</xdr:row>
      <xdr:rowOff>89959</xdr:rowOff>
    </xdr:from>
    <xdr:to>
      <xdr:col>5</xdr:col>
      <xdr:colOff>569382</xdr:colOff>
      <xdr:row>118</xdr:row>
      <xdr:rowOff>571500</xdr:rowOff>
    </xdr:to>
    <xdr:pic>
      <xdr:nvPicPr>
        <xdr:cNvPr id="142" name="Рисунок 141">
          <a:extLst>
            <a:ext uri="{FF2B5EF4-FFF2-40B4-BE49-F238E27FC236}">
              <a16:creationId xmlns:a16="http://schemas.microsoft.com/office/drawing/2014/main" id="{5F4996E8-C990-48E4-9D14-9719B177D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3408" y="58268659"/>
          <a:ext cx="463549" cy="481541"/>
        </a:xfrm>
        <a:prstGeom prst="rect">
          <a:avLst/>
        </a:prstGeom>
      </xdr:spPr>
    </xdr:pic>
    <xdr:clientData/>
  </xdr:twoCellAnchor>
  <xdr:twoCellAnchor>
    <xdr:from>
      <xdr:col>5</xdr:col>
      <xdr:colOff>105833</xdr:colOff>
      <xdr:row>119</xdr:row>
      <xdr:rowOff>89959</xdr:rowOff>
    </xdr:from>
    <xdr:to>
      <xdr:col>5</xdr:col>
      <xdr:colOff>569382</xdr:colOff>
      <xdr:row>119</xdr:row>
      <xdr:rowOff>571500</xdr:rowOff>
    </xdr:to>
    <xdr:pic>
      <xdr:nvPicPr>
        <xdr:cNvPr id="143" name="Рисунок 142">
          <a:extLst>
            <a:ext uri="{FF2B5EF4-FFF2-40B4-BE49-F238E27FC236}">
              <a16:creationId xmlns:a16="http://schemas.microsoft.com/office/drawing/2014/main" id="{85AAD7B2-9545-4081-A661-A72543CB0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3408" y="58268659"/>
          <a:ext cx="463549" cy="481541"/>
        </a:xfrm>
        <a:prstGeom prst="rect">
          <a:avLst/>
        </a:prstGeom>
      </xdr:spPr>
    </xdr:pic>
    <xdr:clientData/>
  </xdr:twoCellAnchor>
  <xdr:twoCellAnchor>
    <xdr:from>
      <xdr:col>5</xdr:col>
      <xdr:colOff>123826</xdr:colOff>
      <xdr:row>25</xdr:row>
      <xdr:rowOff>114299</xdr:rowOff>
    </xdr:from>
    <xdr:to>
      <xdr:col>5</xdr:col>
      <xdr:colOff>466727</xdr:colOff>
      <xdr:row>25</xdr:row>
      <xdr:rowOff>457200</xdr:rowOff>
    </xdr:to>
    <xdr:pic>
      <xdr:nvPicPr>
        <xdr:cNvPr id="146" name="Рисунок 145">
          <a:extLst>
            <a:ext uri="{FF2B5EF4-FFF2-40B4-BE49-F238E27FC236}">
              <a16:creationId xmlns:a16="http://schemas.microsoft.com/office/drawing/2014/main" id="{7A6D0E1A-9612-4FEA-9D7C-18E4B90D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6" y="5915024"/>
          <a:ext cx="342901" cy="342901"/>
        </a:xfrm>
        <a:prstGeom prst="rect">
          <a:avLst/>
        </a:prstGeom>
      </xdr:spPr>
    </xdr:pic>
    <xdr:clientData/>
  </xdr:twoCellAnchor>
  <xdr:twoCellAnchor>
    <xdr:from>
      <xdr:col>5</xdr:col>
      <xdr:colOff>123825</xdr:colOff>
      <xdr:row>26</xdr:row>
      <xdr:rowOff>95250</xdr:rowOff>
    </xdr:from>
    <xdr:to>
      <xdr:col>5</xdr:col>
      <xdr:colOff>504825</xdr:colOff>
      <xdr:row>26</xdr:row>
      <xdr:rowOff>476250</xdr:rowOff>
    </xdr:to>
    <xdr:pic>
      <xdr:nvPicPr>
        <xdr:cNvPr id="156" name="Рисунок 155">
          <a:extLst>
            <a:ext uri="{FF2B5EF4-FFF2-40B4-BE49-F238E27FC236}">
              <a16:creationId xmlns:a16="http://schemas.microsoft.com/office/drawing/2014/main" id="{76DBBDC3-E8C1-46BE-84EE-55BDC5593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6400800"/>
          <a:ext cx="381000" cy="381000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27</xdr:row>
      <xdr:rowOff>38100</xdr:rowOff>
    </xdr:from>
    <xdr:to>
      <xdr:col>5</xdr:col>
      <xdr:colOff>495300</xdr:colOff>
      <xdr:row>27</xdr:row>
      <xdr:rowOff>447675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F96636D4-972F-4F3A-9EAD-FF79BD10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5" y="6848475"/>
          <a:ext cx="409575" cy="409575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28</xdr:row>
      <xdr:rowOff>47625</xdr:rowOff>
    </xdr:from>
    <xdr:to>
      <xdr:col>5</xdr:col>
      <xdr:colOff>485775</xdr:colOff>
      <xdr:row>28</xdr:row>
      <xdr:rowOff>457200</xdr:rowOff>
    </xdr:to>
    <xdr:pic>
      <xdr:nvPicPr>
        <xdr:cNvPr id="158" name="Рисунок 157">
          <a:extLst>
            <a:ext uri="{FF2B5EF4-FFF2-40B4-BE49-F238E27FC236}">
              <a16:creationId xmlns:a16="http://schemas.microsoft.com/office/drawing/2014/main" id="{27B16D79-8B7E-4CAD-A30C-173577198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7362825"/>
          <a:ext cx="409575" cy="409575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55</xdr:row>
      <xdr:rowOff>66675</xdr:rowOff>
    </xdr:from>
    <xdr:to>
      <xdr:col>5</xdr:col>
      <xdr:colOff>517757</xdr:colOff>
      <xdr:row>55</xdr:row>
      <xdr:rowOff>419100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BD8D61DC-44B0-4161-841D-29D49F093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18916650"/>
          <a:ext cx="422507" cy="35242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77</xdr:row>
      <xdr:rowOff>95250</xdr:rowOff>
    </xdr:from>
    <xdr:to>
      <xdr:col>5</xdr:col>
      <xdr:colOff>495300</xdr:colOff>
      <xdr:row>77</xdr:row>
      <xdr:rowOff>533400</xdr:rowOff>
    </xdr:to>
    <xdr:pic>
      <xdr:nvPicPr>
        <xdr:cNvPr id="168" name="Рисунок 167">
          <a:extLst>
            <a:ext uri="{FF2B5EF4-FFF2-40B4-BE49-F238E27FC236}">
              <a16:creationId xmlns:a16="http://schemas.microsoft.com/office/drawing/2014/main" id="{D8D8F9E5-7D8D-4E5B-9368-0C17E4D79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26088975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81</xdr:row>
      <xdr:rowOff>76200</xdr:rowOff>
    </xdr:from>
    <xdr:to>
      <xdr:col>5</xdr:col>
      <xdr:colOff>514350</xdr:colOff>
      <xdr:row>81</xdr:row>
      <xdr:rowOff>504825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12AB340E-C1F5-4D07-A01C-9E0A99948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5" y="28355925"/>
          <a:ext cx="428625" cy="428625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97</xdr:row>
      <xdr:rowOff>38100</xdr:rowOff>
    </xdr:from>
    <xdr:to>
      <xdr:col>5</xdr:col>
      <xdr:colOff>504825</xdr:colOff>
      <xdr:row>97</xdr:row>
      <xdr:rowOff>504825</xdr:rowOff>
    </xdr:to>
    <xdr:pic>
      <xdr:nvPicPr>
        <xdr:cNvPr id="170" name="Рисунок 169">
          <a:extLst>
            <a:ext uri="{FF2B5EF4-FFF2-40B4-BE49-F238E27FC236}">
              <a16:creationId xmlns:a16="http://schemas.microsoft.com/office/drawing/2014/main" id="{3749FAF0-6EE2-4261-BC0D-28E6432DE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40233600"/>
          <a:ext cx="466725" cy="46672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98</xdr:row>
      <xdr:rowOff>66675</xdr:rowOff>
    </xdr:from>
    <xdr:to>
      <xdr:col>5</xdr:col>
      <xdr:colOff>485775</xdr:colOff>
      <xdr:row>98</xdr:row>
      <xdr:rowOff>495300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135C8DE1-F44C-4D4A-9997-B08A8839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40833675"/>
          <a:ext cx="428625" cy="428625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99</xdr:row>
      <xdr:rowOff>38100</xdr:rowOff>
    </xdr:from>
    <xdr:to>
      <xdr:col>5</xdr:col>
      <xdr:colOff>504825</xdr:colOff>
      <xdr:row>99</xdr:row>
      <xdr:rowOff>504825</xdr:rowOff>
    </xdr:to>
    <xdr:pic>
      <xdr:nvPicPr>
        <xdr:cNvPr id="172" name="Рисунок 171">
          <a:extLst>
            <a:ext uri="{FF2B5EF4-FFF2-40B4-BE49-F238E27FC236}">
              <a16:creationId xmlns:a16="http://schemas.microsoft.com/office/drawing/2014/main" id="{F80960DF-B36A-461E-819B-376F09190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41376600"/>
          <a:ext cx="466725" cy="46672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14</xdr:row>
      <xdr:rowOff>38100</xdr:rowOff>
    </xdr:from>
    <xdr:to>
      <xdr:col>5</xdr:col>
      <xdr:colOff>438150</xdr:colOff>
      <xdr:row>14</xdr:row>
      <xdr:rowOff>419100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31C3B04-B09E-4C1D-9E67-530BA7C6C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6324600"/>
          <a:ext cx="381000" cy="381000"/>
        </a:xfrm>
        <a:prstGeom prst="rect">
          <a:avLst/>
        </a:prstGeom>
      </xdr:spPr>
    </xdr:pic>
    <xdr:clientData/>
  </xdr:twoCellAnchor>
  <xdr:twoCellAnchor>
    <xdr:from>
      <xdr:col>5</xdr:col>
      <xdr:colOff>247650</xdr:colOff>
      <xdr:row>89</xdr:row>
      <xdr:rowOff>85724</xdr:rowOff>
    </xdr:from>
    <xdr:to>
      <xdr:col>5</xdr:col>
      <xdr:colOff>685799</xdr:colOff>
      <xdr:row>89</xdr:row>
      <xdr:rowOff>523873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8DDF9E7-BC5C-4308-80B0-A598CBD78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42338624"/>
          <a:ext cx="438149" cy="438149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18</xdr:row>
      <xdr:rowOff>28575</xdr:rowOff>
    </xdr:from>
    <xdr:to>
      <xdr:col>5</xdr:col>
      <xdr:colOff>561975</xdr:colOff>
      <xdr:row>18</xdr:row>
      <xdr:rowOff>495300</xdr:rowOff>
    </xdr:to>
    <xdr:pic>
      <xdr:nvPicPr>
        <xdr:cNvPr id="174" name="Рисунок 173">
          <a:extLst>
            <a:ext uri="{FF2B5EF4-FFF2-40B4-BE49-F238E27FC236}">
              <a16:creationId xmlns:a16="http://schemas.microsoft.com/office/drawing/2014/main" id="{81A0935C-7E2B-4925-BFAE-EA2E08FF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819900"/>
          <a:ext cx="466725" cy="46672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17</xdr:row>
      <xdr:rowOff>38099</xdr:rowOff>
    </xdr:from>
    <xdr:to>
      <xdr:col>5</xdr:col>
      <xdr:colOff>485775</xdr:colOff>
      <xdr:row>17</xdr:row>
      <xdr:rowOff>466724</xdr:rowOff>
    </xdr:to>
    <xdr:pic>
      <xdr:nvPicPr>
        <xdr:cNvPr id="175" name="Рисунок 174">
          <a:extLst>
            <a:ext uri="{FF2B5EF4-FFF2-40B4-BE49-F238E27FC236}">
              <a16:creationId xmlns:a16="http://schemas.microsoft.com/office/drawing/2014/main" id="{307E96B4-8B5A-436A-977F-4C247941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4810124"/>
          <a:ext cx="428625" cy="42862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15</xdr:row>
      <xdr:rowOff>28575</xdr:rowOff>
    </xdr:from>
    <xdr:to>
      <xdr:col>5</xdr:col>
      <xdr:colOff>514350</xdr:colOff>
      <xdr:row>15</xdr:row>
      <xdr:rowOff>485775</xdr:rowOff>
    </xdr:to>
    <xdr:pic>
      <xdr:nvPicPr>
        <xdr:cNvPr id="176" name="Рисунок 175">
          <a:extLst>
            <a:ext uri="{FF2B5EF4-FFF2-40B4-BE49-F238E27FC236}">
              <a16:creationId xmlns:a16="http://schemas.microsoft.com/office/drawing/2014/main" id="{D8121E91-6F7A-4377-9F48-2FCF48FC1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5305425"/>
          <a:ext cx="457200" cy="457200"/>
        </a:xfrm>
        <a:prstGeom prst="rect">
          <a:avLst/>
        </a:prstGeom>
      </xdr:spPr>
    </xdr:pic>
    <xdr:clientData/>
  </xdr:twoCellAnchor>
  <xdr:twoCellAnchor>
    <xdr:from>
      <xdr:col>5</xdr:col>
      <xdr:colOff>57151</xdr:colOff>
      <xdr:row>16</xdr:row>
      <xdr:rowOff>38099</xdr:rowOff>
    </xdr:from>
    <xdr:to>
      <xdr:col>5</xdr:col>
      <xdr:colOff>495300</xdr:colOff>
      <xdr:row>16</xdr:row>
      <xdr:rowOff>476248</xdr:rowOff>
    </xdr:to>
    <xdr:pic>
      <xdr:nvPicPr>
        <xdr:cNvPr id="177" name="Рисунок 176">
          <a:extLst>
            <a:ext uri="{FF2B5EF4-FFF2-40B4-BE49-F238E27FC236}">
              <a16:creationId xmlns:a16="http://schemas.microsoft.com/office/drawing/2014/main" id="{55C8D167-8AA5-431A-9FB5-9E2C103E4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1" y="5819774"/>
          <a:ext cx="438149" cy="438149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19</xdr:row>
      <xdr:rowOff>38100</xdr:rowOff>
    </xdr:from>
    <xdr:to>
      <xdr:col>5</xdr:col>
      <xdr:colOff>438150</xdr:colOff>
      <xdr:row>19</xdr:row>
      <xdr:rowOff>419100</xdr:rowOff>
    </xdr:to>
    <xdr:pic>
      <xdr:nvPicPr>
        <xdr:cNvPr id="178" name="Рисунок 177">
          <a:extLst>
            <a:ext uri="{FF2B5EF4-FFF2-40B4-BE49-F238E27FC236}">
              <a16:creationId xmlns:a16="http://schemas.microsoft.com/office/drawing/2014/main" id="{FA17C290-764D-4174-B59F-4329F173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324600"/>
          <a:ext cx="381000" cy="381000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22</xdr:row>
      <xdr:rowOff>28575</xdr:rowOff>
    </xdr:from>
    <xdr:to>
      <xdr:col>5</xdr:col>
      <xdr:colOff>561975</xdr:colOff>
      <xdr:row>22</xdr:row>
      <xdr:rowOff>495300</xdr:rowOff>
    </xdr:to>
    <xdr:pic>
      <xdr:nvPicPr>
        <xdr:cNvPr id="191" name="Рисунок 190">
          <a:extLst>
            <a:ext uri="{FF2B5EF4-FFF2-40B4-BE49-F238E27FC236}">
              <a16:creationId xmlns:a16="http://schemas.microsoft.com/office/drawing/2014/main" id="{24252689-E1D6-4F9D-925C-39F89A27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6819900"/>
          <a:ext cx="466725" cy="46672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21</xdr:row>
      <xdr:rowOff>38099</xdr:rowOff>
    </xdr:from>
    <xdr:to>
      <xdr:col>5</xdr:col>
      <xdr:colOff>485775</xdr:colOff>
      <xdr:row>21</xdr:row>
      <xdr:rowOff>466724</xdr:rowOff>
    </xdr:to>
    <xdr:pic>
      <xdr:nvPicPr>
        <xdr:cNvPr id="192" name="Рисунок 191">
          <a:extLst>
            <a:ext uri="{FF2B5EF4-FFF2-40B4-BE49-F238E27FC236}">
              <a16:creationId xmlns:a16="http://schemas.microsoft.com/office/drawing/2014/main" id="{3734E188-971D-4689-BAF4-6F04F8FD6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7334249"/>
          <a:ext cx="428625" cy="42862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20</xdr:row>
      <xdr:rowOff>28575</xdr:rowOff>
    </xdr:from>
    <xdr:to>
      <xdr:col>5</xdr:col>
      <xdr:colOff>514350</xdr:colOff>
      <xdr:row>20</xdr:row>
      <xdr:rowOff>485775</xdr:rowOff>
    </xdr:to>
    <xdr:pic>
      <xdr:nvPicPr>
        <xdr:cNvPr id="193" name="Рисунок 192">
          <a:extLst>
            <a:ext uri="{FF2B5EF4-FFF2-40B4-BE49-F238E27FC236}">
              <a16:creationId xmlns:a16="http://schemas.microsoft.com/office/drawing/2014/main" id="{376041E6-3B48-4927-BF8C-97B409108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7829550"/>
          <a:ext cx="457200" cy="457200"/>
        </a:xfrm>
        <a:prstGeom prst="rect">
          <a:avLst/>
        </a:prstGeom>
      </xdr:spPr>
    </xdr:pic>
    <xdr:clientData/>
  </xdr:twoCellAnchor>
  <xdr:twoCellAnchor>
    <xdr:from>
      <xdr:col>5</xdr:col>
      <xdr:colOff>57151</xdr:colOff>
      <xdr:row>20</xdr:row>
      <xdr:rowOff>38099</xdr:rowOff>
    </xdr:from>
    <xdr:to>
      <xdr:col>5</xdr:col>
      <xdr:colOff>495300</xdr:colOff>
      <xdr:row>20</xdr:row>
      <xdr:rowOff>476248</xdr:rowOff>
    </xdr:to>
    <xdr:pic>
      <xdr:nvPicPr>
        <xdr:cNvPr id="194" name="Рисунок 193">
          <a:extLst>
            <a:ext uri="{FF2B5EF4-FFF2-40B4-BE49-F238E27FC236}">
              <a16:creationId xmlns:a16="http://schemas.microsoft.com/office/drawing/2014/main" id="{431C1F9D-576F-4B5D-85CB-1CC2079EB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1" y="8343899"/>
          <a:ext cx="438149" cy="438149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23</xdr:row>
      <xdr:rowOff>38100</xdr:rowOff>
    </xdr:from>
    <xdr:to>
      <xdr:col>5</xdr:col>
      <xdr:colOff>438150</xdr:colOff>
      <xdr:row>23</xdr:row>
      <xdr:rowOff>419100</xdr:rowOff>
    </xdr:to>
    <xdr:pic>
      <xdr:nvPicPr>
        <xdr:cNvPr id="195" name="Рисунок 194">
          <a:extLst>
            <a:ext uri="{FF2B5EF4-FFF2-40B4-BE49-F238E27FC236}">
              <a16:creationId xmlns:a16="http://schemas.microsoft.com/office/drawing/2014/main" id="{A5B36CFD-D8A8-4032-949F-8AAE86C4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8848725"/>
          <a:ext cx="381000" cy="381000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24</xdr:row>
      <xdr:rowOff>28574</xdr:rowOff>
    </xdr:from>
    <xdr:to>
      <xdr:col>5</xdr:col>
      <xdr:colOff>515760</xdr:colOff>
      <xdr:row>24</xdr:row>
      <xdr:rowOff>450293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8F0C2DC0-5AD9-4A47-8BFB-63B9463BF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10877549"/>
          <a:ext cx="449085" cy="421719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51</xdr:row>
      <xdr:rowOff>38099</xdr:rowOff>
    </xdr:from>
    <xdr:to>
      <xdr:col>5</xdr:col>
      <xdr:colOff>607724</xdr:colOff>
      <xdr:row>51</xdr:row>
      <xdr:rowOff>439972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3F9D3E2-A715-4CB0-B6BF-D24C3FA4D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17392649"/>
          <a:ext cx="455324" cy="401873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52</xdr:row>
      <xdr:rowOff>73183</xdr:rowOff>
    </xdr:from>
    <xdr:to>
      <xdr:col>5</xdr:col>
      <xdr:colOff>685800</xdr:colOff>
      <xdr:row>52</xdr:row>
      <xdr:rowOff>407669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27A87899-5756-4BF3-BE64-AF95B130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18742183"/>
          <a:ext cx="466725" cy="334486"/>
        </a:xfrm>
        <a:prstGeom prst="rect">
          <a:avLst/>
        </a:prstGeom>
      </xdr:spPr>
    </xdr:pic>
    <xdr:clientData/>
  </xdr:twoCellAnchor>
  <xdr:twoCellAnchor>
    <xdr:from>
      <xdr:col>5</xdr:col>
      <xdr:colOff>133351</xdr:colOff>
      <xdr:row>53</xdr:row>
      <xdr:rowOff>76199</xdr:rowOff>
    </xdr:from>
    <xdr:to>
      <xdr:col>5</xdr:col>
      <xdr:colOff>514350</xdr:colOff>
      <xdr:row>53</xdr:row>
      <xdr:rowOff>457198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F27F45F7-D8F0-47BE-9AD0-916E2B393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1" y="19250024"/>
          <a:ext cx="380999" cy="380999"/>
        </a:xfrm>
        <a:prstGeom prst="rect">
          <a:avLst/>
        </a:prstGeom>
      </xdr:spPr>
    </xdr:pic>
    <xdr:clientData/>
  </xdr:twoCellAnchor>
  <xdr:twoCellAnchor>
    <xdr:from>
      <xdr:col>5</xdr:col>
      <xdr:colOff>153584</xdr:colOff>
      <xdr:row>42</xdr:row>
      <xdr:rowOff>38101</xdr:rowOff>
    </xdr:from>
    <xdr:to>
      <xdr:col>5</xdr:col>
      <xdr:colOff>581026</xdr:colOff>
      <xdr:row>42</xdr:row>
      <xdr:rowOff>452391</xdr:rowOff>
    </xdr:to>
    <xdr:pic>
      <xdr:nvPicPr>
        <xdr:cNvPr id="207" name="Рисунок 206">
          <a:extLst>
            <a:ext uri="{FF2B5EF4-FFF2-40B4-BE49-F238E27FC236}">
              <a16:creationId xmlns:a16="http://schemas.microsoft.com/office/drawing/2014/main" id="{E1BC780C-D8B3-4765-ACE1-0E7C70D4B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3734" y="19069051"/>
          <a:ext cx="427442" cy="414290"/>
        </a:xfrm>
        <a:prstGeom prst="rect">
          <a:avLst/>
        </a:prstGeom>
      </xdr:spPr>
    </xdr:pic>
    <xdr:clientData/>
  </xdr:twoCellAnchor>
  <xdr:twoCellAnchor>
    <xdr:from>
      <xdr:col>5</xdr:col>
      <xdr:colOff>180975</xdr:colOff>
      <xdr:row>43</xdr:row>
      <xdr:rowOff>30602</xdr:rowOff>
    </xdr:from>
    <xdr:to>
      <xdr:col>5</xdr:col>
      <xdr:colOff>648189</xdr:colOff>
      <xdr:row>43</xdr:row>
      <xdr:rowOff>460211</xdr:rowOff>
    </xdr:to>
    <xdr:pic>
      <xdr:nvPicPr>
        <xdr:cNvPr id="208" name="Рисунок 207">
          <a:extLst>
            <a:ext uri="{FF2B5EF4-FFF2-40B4-BE49-F238E27FC236}">
              <a16:creationId xmlns:a16="http://schemas.microsoft.com/office/drawing/2014/main" id="{AD017B8F-E3DE-4AED-A52C-FCD45ECAB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19566377"/>
          <a:ext cx="467214" cy="429609"/>
        </a:xfrm>
        <a:prstGeom prst="rect">
          <a:avLst/>
        </a:prstGeom>
      </xdr:spPr>
    </xdr:pic>
    <xdr:clientData/>
  </xdr:twoCellAnchor>
  <xdr:twoCellAnchor>
    <xdr:from>
      <xdr:col>5</xdr:col>
      <xdr:colOff>142054</xdr:colOff>
      <xdr:row>45</xdr:row>
      <xdr:rowOff>97082</xdr:rowOff>
    </xdr:from>
    <xdr:to>
      <xdr:col>5</xdr:col>
      <xdr:colOff>513908</xdr:colOff>
      <xdr:row>45</xdr:row>
      <xdr:rowOff>468936</xdr:rowOff>
    </xdr:to>
    <xdr:pic>
      <xdr:nvPicPr>
        <xdr:cNvPr id="209" name="Рисунок 208">
          <a:extLst>
            <a:ext uri="{FF2B5EF4-FFF2-40B4-BE49-F238E27FC236}">
              <a16:creationId xmlns:a16="http://schemas.microsoft.com/office/drawing/2014/main" id="{2F9DEBFC-34A9-419B-A3C4-131F5D3A1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2204" y="20642507"/>
          <a:ext cx="371854" cy="371854"/>
        </a:xfrm>
        <a:prstGeom prst="rect">
          <a:avLst/>
        </a:prstGeom>
      </xdr:spPr>
    </xdr:pic>
    <xdr:clientData/>
  </xdr:twoCellAnchor>
  <xdr:twoCellAnchor>
    <xdr:from>
      <xdr:col>5</xdr:col>
      <xdr:colOff>146378</xdr:colOff>
      <xdr:row>44</xdr:row>
      <xdr:rowOff>101395</xdr:rowOff>
    </xdr:from>
    <xdr:to>
      <xdr:col>5</xdr:col>
      <xdr:colOff>477902</xdr:colOff>
      <xdr:row>44</xdr:row>
      <xdr:rowOff>432919</xdr:rowOff>
    </xdr:to>
    <xdr:pic>
      <xdr:nvPicPr>
        <xdr:cNvPr id="210" name="Рисунок 209">
          <a:extLst>
            <a:ext uri="{FF2B5EF4-FFF2-40B4-BE49-F238E27FC236}">
              <a16:creationId xmlns:a16="http://schemas.microsoft.com/office/drawing/2014/main" id="{67F8F5FD-60BB-4095-8C1B-0DBF2279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6528" y="20141995"/>
          <a:ext cx="331524" cy="331524"/>
        </a:xfrm>
        <a:prstGeom prst="rect">
          <a:avLst/>
        </a:prstGeom>
      </xdr:spPr>
    </xdr:pic>
    <xdr:clientData/>
  </xdr:twoCellAnchor>
  <xdr:twoCellAnchor>
    <xdr:from>
      <xdr:col>5</xdr:col>
      <xdr:colOff>196476</xdr:colOff>
      <xdr:row>48</xdr:row>
      <xdr:rowOff>23675</xdr:rowOff>
    </xdr:from>
    <xdr:to>
      <xdr:col>5</xdr:col>
      <xdr:colOff>542362</xdr:colOff>
      <xdr:row>48</xdr:row>
      <xdr:rowOff>369561</xdr:rowOff>
    </xdr:to>
    <xdr:pic>
      <xdr:nvPicPr>
        <xdr:cNvPr id="211" name="Рисунок 210">
          <a:extLst>
            <a:ext uri="{FF2B5EF4-FFF2-40B4-BE49-F238E27FC236}">
              <a16:creationId xmlns:a16="http://schemas.microsoft.com/office/drawing/2014/main" id="{5237CB4D-2527-4B32-B67B-8ACC50730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6626" y="22083575"/>
          <a:ext cx="345886" cy="345886"/>
        </a:xfrm>
        <a:prstGeom prst="rect">
          <a:avLst/>
        </a:prstGeom>
      </xdr:spPr>
    </xdr:pic>
    <xdr:clientData/>
  </xdr:twoCellAnchor>
  <xdr:twoCellAnchor>
    <xdr:from>
      <xdr:col>5</xdr:col>
      <xdr:colOff>249546</xdr:colOff>
      <xdr:row>49</xdr:row>
      <xdr:rowOff>64577</xdr:rowOff>
    </xdr:from>
    <xdr:to>
      <xdr:col>5</xdr:col>
      <xdr:colOff>553661</xdr:colOff>
      <xdr:row>49</xdr:row>
      <xdr:rowOff>368692</xdr:rowOff>
    </xdr:to>
    <xdr:pic>
      <xdr:nvPicPr>
        <xdr:cNvPr id="212" name="Рисунок 211">
          <a:extLst>
            <a:ext uri="{FF2B5EF4-FFF2-40B4-BE49-F238E27FC236}">
              <a16:creationId xmlns:a16="http://schemas.microsoft.com/office/drawing/2014/main" id="{C77873E4-51FE-41CC-AEB7-E639531D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9696" y="22629302"/>
          <a:ext cx="304115" cy="304115"/>
        </a:xfrm>
        <a:prstGeom prst="rect">
          <a:avLst/>
        </a:prstGeom>
      </xdr:spPr>
    </xdr:pic>
    <xdr:clientData/>
  </xdr:twoCellAnchor>
  <xdr:twoCellAnchor>
    <xdr:from>
      <xdr:col>5</xdr:col>
      <xdr:colOff>167026</xdr:colOff>
      <xdr:row>47</xdr:row>
      <xdr:rowOff>147102</xdr:rowOff>
    </xdr:from>
    <xdr:to>
      <xdr:col>5</xdr:col>
      <xdr:colOff>453501</xdr:colOff>
      <xdr:row>47</xdr:row>
      <xdr:rowOff>433577</xdr:rowOff>
    </xdr:to>
    <xdr:pic>
      <xdr:nvPicPr>
        <xdr:cNvPr id="213" name="Рисунок 212">
          <a:extLst>
            <a:ext uri="{FF2B5EF4-FFF2-40B4-BE49-F238E27FC236}">
              <a16:creationId xmlns:a16="http://schemas.microsoft.com/office/drawing/2014/main" id="{195CADE7-12F6-4F99-8955-736577F5F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7176" y="21702177"/>
          <a:ext cx="286475" cy="286475"/>
        </a:xfrm>
        <a:prstGeom prst="rect">
          <a:avLst/>
        </a:prstGeom>
      </xdr:spPr>
    </xdr:pic>
    <xdr:clientData/>
  </xdr:twoCellAnchor>
  <xdr:twoCellAnchor>
    <xdr:from>
      <xdr:col>5</xdr:col>
      <xdr:colOff>220095</xdr:colOff>
      <xdr:row>46</xdr:row>
      <xdr:rowOff>103322</xdr:rowOff>
    </xdr:from>
    <xdr:to>
      <xdr:col>5</xdr:col>
      <xdr:colOff>521107</xdr:colOff>
      <xdr:row>46</xdr:row>
      <xdr:rowOff>404334</xdr:rowOff>
    </xdr:to>
    <xdr:pic>
      <xdr:nvPicPr>
        <xdr:cNvPr id="214" name="Рисунок 213">
          <a:extLst>
            <a:ext uri="{FF2B5EF4-FFF2-40B4-BE49-F238E27FC236}">
              <a16:creationId xmlns:a16="http://schemas.microsoft.com/office/drawing/2014/main" id="{EBF25F4A-8717-457A-8E40-8AE828BF2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0245" y="21153572"/>
          <a:ext cx="301012" cy="301012"/>
        </a:xfrm>
        <a:prstGeom prst="rect">
          <a:avLst/>
        </a:prstGeom>
      </xdr:spPr>
    </xdr:pic>
    <xdr:clientData/>
  </xdr:twoCellAnchor>
  <xdr:twoCellAnchor>
    <xdr:from>
      <xdr:col>5</xdr:col>
      <xdr:colOff>96288</xdr:colOff>
      <xdr:row>33</xdr:row>
      <xdr:rowOff>47625</xdr:rowOff>
    </xdr:from>
    <xdr:to>
      <xdr:col>5</xdr:col>
      <xdr:colOff>421867</xdr:colOff>
      <xdr:row>33</xdr:row>
      <xdr:rowOff>438150</xdr:rowOff>
    </xdr:to>
    <xdr:pic>
      <xdr:nvPicPr>
        <xdr:cNvPr id="215" name="Рисунок 214">
          <a:extLst>
            <a:ext uri="{FF2B5EF4-FFF2-40B4-BE49-F238E27FC236}">
              <a16:creationId xmlns:a16="http://schemas.microsoft.com/office/drawing/2014/main" id="{D5F18DF4-627F-4233-90B0-82EA6AEAF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6438" y="16897350"/>
          <a:ext cx="325579" cy="390525"/>
        </a:xfrm>
        <a:prstGeom prst="rect">
          <a:avLst/>
        </a:prstGeom>
      </xdr:spPr>
    </xdr:pic>
    <xdr:clientData/>
  </xdr:twoCellAnchor>
  <xdr:twoCellAnchor>
    <xdr:from>
      <xdr:col>5</xdr:col>
      <xdr:colOff>111981</xdr:colOff>
      <xdr:row>34</xdr:row>
      <xdr:rowOff>42586</xdr:rowOff>
    </xdr:from>
    <xdr:to>
      <xdr:col>5</xdr:col>
      <xdr:colOff>419101</xdr:colOff>
      <xdr:row>34</xdr:row>
      <xdr:rowOff>452601</xdr:rowOff>
    </xdr:to>
    <xdr:pic>
      <xdr:nvPicPr>
        <xdr:cNvPr id="216" name="Рисунок 215">
          <a:extLst>
            <a:ext uri="{FF2B5EF4-FFF2-40B4-BE49-F238E27FC236}">
              <a16:creationId xmlns:a16="http://schemas.microsoft.com/office/drawing/2014/main" id="{613A4165-7A63-4DDE-8E4A-4AC43B0AE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2131" y="17397136"/>
          <a:ext cx="307120" cy="410015"/>
        </a:xfrm>
        <a:prstGeom prst="rect">
          <a:avLst/>
        </a:prstGeom>
      </xdr:spPr>
    </xdr:pic>
    <xdr:clientData/>
  </xdr:twoCellAnchor>
  <xdr:twoCellAnchor>
    <xdr:from>
      <xdr:col>5</xdr:col>
      <xdr:colOff>97009</xdr:colOff>
      <xdr:row>35</xdr:row>
      <xdr:rowOff>104774</xdr:rowOff>
    </xdr:from>
    <xdr:to>
      <xdr:col>5</xdr:col>
      <xdr:colOff>386632</xdr:colOff>
      <xdr:row>35</xdr:row>
      <xdr:rowOff>447675</xdr:rowOff>
    </xdr:to>
    <xdr:pic>
      <xdr:nvPicPr>
        <xdr:cNvPr id="217" name="Рисунок 216">
          <a:extLst>
            <a:ext uri="{FF2B5EF4-FFF2-40B4-BE49-F238E27FC236}">
              <a16:creationId xmlns:a16="http://schemas.microsoft.com/office/drawing/2014/main" id="{B162C4C8-8319-4849-98FE-E1EF181F9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7159" y="17964149"/>
          <a:ext cx="289623" cy="342901"/>
        </a:xfrm>
        <a:prstGeom prst="rect">
          <a:avLst/>
        </a:prstGeom>
      </xdr:spPr>
    </xdr:pic>
    <xdr:clientData/>
  </xdr:twoCellAnchor>
  <xdr:twoCellAnchor>
    <xdr:from>
      <xdr:col>5</xdr:col>
      <xdr:colOff>183697</xdr:colOff>
      <xdr:row>36</xdr:row>
      <xdr:rowOff>83004</xdr:rowOff>
    </xdr:from>
    <xdr:to>
      <xdr:col>5</xdr:col>
      <xdr:colOff>687161</xdr:colOff>
      <xdr:row>36</xdr:row>
      <xdr:rowOff>434068</xdr:rowOff>
    </xdr:to>
    <xdr:pic>
      <xdr:nvPicPr>
        <xdr:cNvPr id="135" name="Рисунок 134">
          <a:extLst>
            <a:ext uri="{FF2B5EF4-FFF2-40B4-BE49-F238E27FC236}">
              <a16:creationId xmlns:a16="http://schemas.microsoft.com/office/drawing/2014/main" id="{FA340082-7935-4AE2-B7FF-90C1C3C82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3847" y="18447204"/>
          <a:ext cx="503464" cy="351064"/>
        </a:xfrm>
        <a:prstGeom prst="rect">
          <a:avLst/>
        </a:prstGeom>
      </xdr:spPr>
    </xdr:pic>
    <xdr:clientData/>
  </xdr:twoCellAnchor>
  <xdr:twoCellAnchor>
    <xdr:from>
      <xdr:col>5</xdr:col>
      <xdr:colOff>48987</xdr:colOff>
      <xdr:row>37</xdr:row>
      <xdr:rowOff>127906</xdr:rowOff>
    </xdr:from>
    <xdr:to>
      <xdr:col>5</xdr:col>
      <xdr:colOff>552451</xdr:colOff>
      <xdr:row>37</xdr:row>
      <xdr:rowOff>480331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84294582-921E-482A-9619-CD2565631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137" y="18996931"/>
          <a:ext cx="503464" cy="352425"/>
        </a:xfrm>
        <a:prstGeom prst="rect">
          <a:avLst/>
        </a:prstGeom>
      </xdr:spPr>
    </xdr:pic>
    <xdr:clientData/>
  </xdr:twoCellAnchor>
  <xdr:twoCellAnchor>
    <xdr:from>
      <xdr:col>5</xdr:col>
      <xdr:colOff>119743</xdr:colOff>
      <xdr:row>38</xdr:row>
      <xdr:rowOff>17689</xdr:rowOff>
    </xdr:from>
    <xdr:to>
      <xdr:col>5</xdr:col>
      <xdr:colOff>673854</xdr:colOff>
      <xdr:row>38</xdr:row>
      <xdr:rowOff>457200</xdr:rowOff>
    </xdr:to>
    <xdr:pic>
      <xdr:nvPicPr>
        <xdr:cNvPr id="138" name="Рисунок 137">
          <a:extLst>
            <a:ext uri="{FF2B5EF4-FFF2-40B4-BE49-F238E27FC236}">
              <a16:creationId xmlns:a16="http://schemas.microsoft.com/office/drawing/2014/main" id="{25CDB852-494F-4684-9D2A-E8C5027F0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9893" y="19391539"/>
          <a:ext cx="554111" cy="439511"/>
        </a:xfrm>
        <a:prstGeom prst="rect">
          <a:avLst/>
        </a:prstGeom>
      </xdr:spPr>
    </xdr:pic>
    <xdr:clientData/>
  </xdr:twoCellAnchor>
  <xdr:twoCellAnchor>
    <xdr:from>
      <xdr:col>5</xdr:col>
      <xdr:colOff>103414</xdr:colOff>
      <xdr:row>39</xdr:row>
      <xdr:rowOff>117023</xdr:rowOff>
    </xdr:from>
    <xdr:to>
      <xdr:col>5</xdr:col>
      <xdr:colOff>544236</xdr:colOff>
      <xdr:row>39</xdr:row>
      <xdr:rowOff>476250</xdr:rowOff>
    </xdr:to>
    <xdr:pic>
      <xdr:nvPicPr>
        <xdr:cNvPr id="139" name="Рисунок 138">
          <a:extLst>
            <a:ext uri="{FF2B5EF4-FFF2-40B4-BE49-F238E27FC236}">
              <a16:creationId xmlns:a16="http://schemas.microsoft.com/office/drawing/2014/main" id="{7902DE29-EC58-4069-8AFB-F40542F3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3564" y="19995698"/>
          <a:ext cx="440822" cy="359227"/>
        </a:xfrm>
        <a:prstGeom prst="rect">
          <a:avLst/>
        </a:prstGeom>
      </xdr:spPr>
    </xdr:pic>
    <xdr:clientData/>
  </xdr:twoCellAnchor>
  <xdr:twoCellAnchor>
    <xdr:from>
      <xdr:col>5</xdr:col>
      <xdr:colOff>220436</xdr:colOff>
      <xdr:row>40</xdr:row>
      <xdr:rowOff>53068</xdr:rowOff>
    </xdr:from>
    <xdr:to>
      <xdr:col>5</xdr:col>
      <xdr:colOff>752476</xdr:colOff>
      <xdr:row>40</xdr:row>
      <xdr:rowOff>437869</xdr:rowOff>
    </xdr:to>
    <xdr:pic>
      <xdr:nvPicPr>
        <xdr:cNvPr id="140" name="Рисунок 139">
          <a:extLst>
            <a:ext uri="{FF2B5EF4-FFF2-40B4-BE49-F238E27FC236}">
              <a16:creationId xmlns:a16="http://schemas.microsoft.com/office/drawing/2014/main" id="{6D5EFAA3-5DED-458A-B5F3-01B45F699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0586" y="20436568"/>
          <a:ext cx="532040" cy="384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ZON/&#1040;&#1082;&#1094;&#1080;&#1080;%20OZ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WB\&#1040;&#1082;&#1094;&#1080;&#1080;%20WB.xlsx" TargetMode="External"/><Relationship Id="rId1" Type="http://schemas.openxmlformats.org/officeDocument/2006/relationships/externalLinkPath" Target="WB/&#1040;&#1082;&#1094;&#1080;&#1080;%20WB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&#1060;&#1060;\&#1058;&#1047;_&#1060;&#1060;.xlsx" TargetMode="External"/><Relationship Id="rId1" Type="http://schemas.openxmlformats.org/officeDocument/2006/relationships/externalLinkPath" Target="&#1060;&#1060;/&#1058;&#1047;_&#1060;&#1060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&#1047;&#1072;&#1082;&#1072;&#1079;&#1099;%20&#1050;&#1080;&#1090;&#1072;&#1081;\22%20&#1086;&#1090;%2014.05.2026\&#1047;&#1072;&#1082;&#1072;&#1079;%201281-22.xlsx" TargetMode="External"/><Relationship Id="rId1" Type="http://schemas.openxmlformats.org/officeDocument/2006/relationships/externalLinkPath" Target="&#1047;&#1072;&#1082;&#1072;&#1079;&#1099;%20&#1050;&#1080;&#1090;&#1072;&#1081;/22%20&#1086;&#1090;%2014.05.2026/&#1047;&#1072;&#1082;&#1072;&#1079;%201281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кция 2"/>
      <sheetName val="Акция 3"/>
      <sheetName val="Акция 4"/>
      <sheetName val="Акция 5"/>
      <sheetName val="Акция 6"/>
      <sheetName val="Акция 7"/>
      <sheetName val="Акция1"/>
      <sheetName val="Рассчет акции"/>
      <sheetName val="Вставляем на ОЗОН"/>
      <sheetName val="Текущая цена на ОЗ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*</v>
          </cell>
          <cell r="J1"/>
          <cell r="M1" t="str">
            <v>ЭЛАСТИЧНЫЙ БУСТИНГ</v>
          </cell>
          <cell r="R1" t="str">
            <v>БУДУТ УЧАСТВОВАТЬ (ПОСТАВИТЬ ЗНАК *)</v>
          </cell>
          <cell r="W1" t="str">
            <v>Остатки</v>
          </cell>
          <cell r="X1" t="str">
            <v>Оборачиваемость</v>
          </cell>
        </row>
        <row r="2">
          <cell r="A2" t="str">
            <v>*</v>
          </cell>
          <cell r="J2"/>
          <cell r="M2" t="str">
            <v>Для установки в акции</v>
          </cell>
          <cell r="R2"/>
          <cell r="W2"/>
          <cell r="X2"/>
        </row>
        <row r="3">
          <cell r="A3" t="str">
            <v>*</v>
          </cell>
          <cell r="J3"/>
          <cell r="M3"/>
          <cell r="R3"/>
          <cell r="W3"/>
          <cell r="X3"/>
        </row>
        <row r="4">
          <cell r="A4" t="str">
            <v>Арт. OZON (SKU)</v>
          </cell>
          <cell r="J4" t="str">
            <v>Скидка</v>
          </cell>
          <cell r="M4" t="str">
            <v>Цена продажи в Акции</v>
          </cell>
          <cell r="R4"/>
          <cell r="W4"/>
          <cell r="X4"/>
        </row>
        <row r="5">
          <cell r="A5" t="str">
            <v>1</v>
          </cell>
          <cell r="J5"/>
          <cell r="M5" t="str">
            <v>26</v>
          </cell>
          <cell r="R5" t="str">
            <v>30</v>
          </cell>
          <cell r="W5"/>
          <cell r="X5"/>
        </row>
        <row r="6">
          <cell r="A6">
            <v>0</v>
          </cell>
          <cell r="J6">
            <v>0</v>
          </cell>
          <cell r="M6">
            <v>0</v>
          </cell>
          <cell r="R6"/>
          <cell r="W6">
            <v>0</v>
          </cell>
          <cell r="X6">
            <v>0</v>
          </cell>
        </row>
        <row r="7">
          <cell r="A7">
            <v>2453533282</v>
          </cell>
          <cell r="J7">
            <v>0.34996841440303217</v>
          </cell>
          <cell r="M7">
            <v>710</v>
          </cell>
          <cell r="R7"/>
          <cell r="W7">
            <v>0</v>
          </cell>
          <cell r="X7">
            <v>0</v>
          </cell>
        </row>
        <row r="8">
          <cell r="A8">
            <v>2419349210</v>
          </cell>
          <cell r="J8">
            <v>0.34987489574645536</v>
          </cell>
          <cell r="M8">
            <v>1115</v>
          </cell>
          <cell r="R8"/>
          <cell r="W8">
            <v>0</v>
          </cell>
          <cell r="X8">
            <v>0</v>
          </cell>
        </row>
        <row r="9">
          <cell r="A9">
            <v>2419349460</v>
          </cell>
          <cell r="J9">
            <v>0.34997677659080351</v>
          </cell>
          <cell r="M9">
            <v>1719</v>
          </cell>
          <cell r="R9"/>
          <cell r="W9">
            <v>5</v>
          </cell>
          <cell r="X9">
            <v>999</v>
          </cell>
        </row>
        <row r="10">
          <cell r="A10">
            <v>2138709303</v>
          </cell>
          <cell r="J10">
            <v>0.35003253090435915</v>
          </cell>
          <cell r="M10">
            <v>0</v>
          </cell>
          <cell r="R10"/>
          <cell r="W10">
            <v>0</v>
          </cell>
          <cell r="X10">
            <v>0</v>
          </cell>
        </row>
        <row r="11">
          <cell r="A11">
            <v>2419349262</v>
          </cell>
          <cell r="J11">
            <v>0.35007225433526012</v>
          </cell>
          <cell r="M11">
            <v>1071</v>
          </cell>
          <cell r="R11"/>
          <cell r="W11">
            <v>5</v>
          </cell>
          <cell r="X11">
            <v>999</v>
          </cell>
        </row>
        <row r="12">
          <cell r="A12">
            <v>2576041357</v>
          </cell>
          <cell r="J12">
            <v>0.35</v>
          </cell>
          <cell r="M12">
            <v>1092</v>
          </cell>
          <cell r="R12"/>
          <cell r="W12">
            <v>2</v>
          </cell>
          <cell r="X12">
            <v>7</v>
          </cell>
        </row>
        <row r="13">
          <cell r="A13">
            <v>2419349585</v>
          </cell>
          <cell r="J13">
            <v>0.35011135857461029</v>
          </cell>
          <cell r="M13">
            <v>1060</v>
          </cell>
          <cell r="R13"/>
          <cell r="W13">
            <v>3</v>
          </cell>
          <cell r="X13">
            <v>999</v>
          </cell>
        </row>
        <row r="14">
          <cell r="A14">
            <v>2419349501</v>
          </cell>
          <cell r="J14">
            <v>0.35011135857461029</v>
          </cell>
          <cell r="M14">
            <v>1060</v>
          </cell>
          <cell r="R14"/>
          <cell r="W14">
            <v>8</v>
          </cell>
          <cell r="X14">
            <v>56</v>
          </cell>
        </row>
        <row r="15">
          <cell r="A15">
            <v>2419349453</v>
          </cell>
          <cell r="J15">
            <v>0.35013550135501359</v>
          </cell>
          <cell r="M15">
            <v>827</v>
          </cell>
          <cell r="R15"/>
          <cell r="W15">
            <v>1</v>
          </cell>
          <cell r="X15">
            <v>7</v>
          </cell>
        </row>
        <row r="16">
          <cell r="A16">
            <v>0</v>
          </cell>
          <cell r="J16">
            <v>0</v>
          </cell>
          <cell r="M16">
            <v>0</v>
          </cell>
          <cell r="R16"/>
          <cell r="W16">
            <v>0</v>
          </cell>
          <cell r="X16">
            <v>0</v>
          </cell>
        </row>
        <row r="17">
          <cell r="A17">
            <v>2419349360</v>
          </cell>
          <cell r="J17">
            <v>0.35008870490833821</v>
          </cell>
          <cell r="M17">
            <v>670</v>
          </cell>
          <cell r="R17"/>
          <cell r="W17">
            <v>1</v>
          </cell>
          <cell r="X17">
            <v>7</v>
          </cell>
        </row>
        <row r="18">
          <cell r="A18">
            <v>2419349422</v>
          </cell>
          <cell r="J18">
            <v>0.35008870490833821</v>
          </cell>
          <cell r="M18">
            <v>670</v>
          </cell>
          <cell r="R18"/>
          <cell r="W18">
            <v>0</v>
          </cell>
          <cell r="X18">
            <v>0</v>
          </cell>
        </row>
        <row r="19">
          <cell r="A19">
            <v>0</v>
          </cell>
          <cell r="J19">
            <v>0</v>
          </cell>
          <cell r="M19">
            <v>0</v>
          </cell>
          <cell r="R19"/>
          <cell r="W19">
            <v>0</v>
          </cell>
          <cell r="X19">
            <v>0</v>
          </cell>
        </row>
        <row r="20">
          <cell r="A20">
            <v>0</v>
          </cell>
          <cell r="J20">
            <v>0</v>
          </cell>
          <cell r="M20">
            <v>0</v>
          </cell>
          <cell r="R20"/>
          <cell r="W20">
            <v>0</v>
          </cell>
          <cell r="X20">
            <v>0</v>
          </cell>
        </row>
        <row r="21">
          <cell r="A21">
            <v>1597441701</v>
          </cell>
          <cell r="J21">
            <v>0.35020080321285141</v>
          </cell>
          <cell r="M21">
            <v>567</v>
          </cell>
          <cell r="R21"/>
          <cell r="W21">
            <v>42</v>
          </cell>
          <cell r="X21">
            <v>999</v>
          </cell>
        </row>
        <row r="22">
          <cell r="A22">
            <v>2415742732</v>
          </cell>
          <cell r="J22">
            <v>0.35013550135501359</v>
          </cell>
          <cell r="M22">
            <v>835</v>
          </cell>
          <cell r="R22"/>
          <cell r="W22">
            <v>18</v>
          </cell>
          <cell r="X22">
            <v>126</v>
          </cell>
        </row>
        <row r="23">
          <cell r="A23">
            <v>2415742511</v>
          </cell>
          <cell r="J23">
            <v>0.35013550135501359</v>
          </cell>
          <cell r="M23">
            <v>887</v>
          </cell>
          <cell r="R23"/>
          <cell r="W23">
            <v>23</v>
          </cell>
          <cell r="X23">
            <v>999</v>
          </cell>
        </row>
        <row r="24">
          <cell r="A24">
            <v>2415742636</v>
          </cell>
          <cell r="J24">
            <v>0.35013550135501359</v>
          </cell>
          <cell r="M24">
            <v>887</v>
          </cell>
          <cell r="R24"/>
          <cell r="W24">
            <v>21</v>
          </cell>
          <cell r="X24">
            <v>999</v>
          </cell>
        </row>
        <row r="25">
          <cell r="A25">
            <v>1980924906</v>
          </cell>
          <cell r="J25">
            <v>0.3498039215686275</v>
          </cell>
          <cell r="M25">
            <v>598</v>
          </cell>
          <cell r="R25"/>
          <cell r="W25">
            <v>48</v>
          </cell>
          <cell r="X25">
            <v>168</v>
          </cell>
        </row>
        <row r="26">
          <cell r="A26">
            <v>1980925084</v>
          </cell>
          <cell r="J26">
            <v>0.3498039215686275</v>
          </cell>
          <cell r="M26">
            <v>598</v>
          </cell>
          <cell r="R26"/>
          <cell r="W26">
            <v>104</v>
          </cell>
          <cell r="X26">
            <v>242.66666666666669</v>
          </cell>
        </row>
        <row r="27">
          <cell r="A27">
            <v>1980924909</v>
          </cell>
          <cell r="J27">
            <v>0.3498039215686275</v>
          </cell>
          <cell r="M27">
            <v>598</v>
          </cell>
          <cell r="R27"/>
          <cell r="W27">
            <v>50</v>
          </cell>
          <cell r="X27">
            <v>175</v>
          </cell>
        </row>
        <row r="28">
          <cell r="A28">
            <v>1980924947</v>
          </cell>
          <cell r="J28">
            <v>0.3498039215686275</v>
          </cell>
          <cell r="M28">
            <v>598</v>
          </cell>
          <cell r="R28"/>
          <cell r="W28">
            <v>63</v>
          </cell>
          <cell r="X28">
            <v>999</v>
          </cell>
        </row>
        <row r="29">
          <cell r="A29">
            <v>1980924996</v>
          </cell>
          <cell r="J29">
            <v>0.3498039215686275</v>
          </cell>
          <cell r="M29">
            <v>598</v>
          </cell>
          <cell r="R29"/>
          <cell r="W29">
            <v>78</v>
          </cell>
          <cell r="X29">
            <v>999</v>
          </cell>
        </row>
        <row r="30">
          <cell r="A30">
            <v>2415742768</v>
          </cell>
          <cell r="J30">
            <v>0.3498039215686275</v>
          </cell>
          <cell r="M30">
            <v>626</v>
          </cell>
          <cell r="R30"/>
          <cell r="W30">
            <v>12</v>
          </cell>
          <cell r="X30">
            <v>999</v>
          </cell>
        </row>
        <row r="31">
          <cell r="A31">
            <v>2415742912</v>
          </cell>
          <cell r="J31">
            <v>0.3498039215686275</v>
          </cell>
          <cell r="M31">
            <v>626</v>
          </cell>
          <cell r="R31"/>
          <cell r="W31">
            <v>6</v>
          </cell>
          <cell r="X31">
            <v>999</v>
          </cell>
        </row>
        <row r="32">
          <cell r="A32">
            <v>2415742611</v>
          </cell>
          <cell r="J32">
            <v>0.3498039215686275</v>
          </cell>
          <cell r="M32">
            <v>626</v>
          </cell>
          <cell r="R32"/>
          <cell r="W32">
            <v>8</v>
          </cell>
          <cell r="X32">
            <v>999</v>
          </cell>
        </row>
        <row r="33">
          <cell r="A33">
            <v>2415742942</v>
          </cell>
          <cell r="J33">
            <v>0.3498039215686275</v>
          </cell>
          <cell r="M33">
            <v>626</v>
          </cell>
          <cell r="R33"/>
          <cell r="W33">
            <v>5</v>
          </cell>
          <cell r="X33">
            <v>999</v>
          </cell>
        </row>
        <row r="34">
          <cell r="A34">
            <v>2415742795</v>
          </cell>
          <cell r="J34">
            <v>0.3498039215686275</v>
          </cell>
          <cell r="M34">
            <v>626</v>
          </cell>
          <cell r="R34"/>
          <cell r="W34">
            <v>8</v>
          </cell>
          <cell r="X34">
            <v>999</v>
          </cell>
        </row>
        <row r="35">
          <cell r="A35">
            <v>2415742470</v>
          </cell>
          <cell r="J35">
            <v>0.34983050847457631</v>
          </cell>
          <cell r="M35">
            <v>701</v>
          </cell>
          <cell r="R35"/>
          <cell r="W35">
            <v>17</v>
          </cell>
          <cell r="X35">
            <v>999</v>
          </cell>
        </row>
        <row r="36">
          <cell r="A36">
            <v>2415742615</v>
          </cell>
          <cell r="J36">
            <v>0.34983050847457631</v>
          </cell>
          <cell r="M36">
            <v>701</v>
          </cell>
          <cell r="R36"/>
          <cell r="W36">
            <v>20</v>
          </cell>
          <cell r="X36">
            <v>140</v>
          </cell>
        </row>
        <row r="37">
          <cell r="A37">
            <v>2415742943</v>
          </cell>
          <cell r="J37">
            <v>0.34983050847457631</v>
          </cell>
          <cell r="M37">
            <v>701</v>
          </cell>
          <cell r="R37"/>
          <cell r="W37">
            <v>24</v>
          </cell>
          <cell r="X37">
            <v>999</v>
          </cell>
        </row>
        <row r="38">
          <cell r="A38">
            <v>2415742693</v>
          </cell>
          <cell r="J38">
            <v>0.34983050847457631</v>
          </cell>
          <cell r="M38">
            <v>701</v>
          </cell>
          <cell r="R38"/>
          <cell r="W38">
            <v>17</v>
          </cell>
          <cell r="X38">
            <v>999</v>
          </cell>
        </row>
        <row r="39">
          <cell r="A39">
            <v>2415742565</v>
          </cell>
          <cell r="J39">
            <v>0.34983050847457631</v>
          </cell>
          <cell r="M39">
            <v>701</v>
          </cell>
          <cell r="R39"/>
          <cell r="W39">
            <v>4</v>
          </cell>
          <cell r="X39">
            <v>999</v>
          </cell>
        </row>
        <row r="40">
          <cell r="A40">
            <v>2415742594</v>
          </cell>
          <cell r="J40">
            <v>0.35022692889561269</v>
          </cell>
          <cell r="M40">
            <v>0</v>
          </cell>
          <cell r="R40"/>
          <cell r="W40">
            <v>0</v>
          </cell>
          <cell r="X40">
            <v>0</v>
          </cell>
        </row>
        <row r="41">
          <cell r="A41">
            <v>2415743200</v>
          </cell>
          <cell r="J41">
            <v>0.35022692889561269</v>
          </cell>
          <cell r="M41">
            <v>0</v>
          </cell>
          <cell r="R41"/>
          <cell r="W41">
            <v>0</v>
          </cell>
          <cell r="X41">
            <v>0</v>
          </cell>
        </row>
        <row r="42">
          <cell r="A42">
            <v>2415742578</v>
          </cell>
          <cell r="J42">
            <v>0.35022692889561269</v>
          </cell>
          <cell r="M42">
            <v>0</v>
          </cell>
          <cell r="R42"/>
          <cell r="W42">
            <v>0</v>
          </cell>
          <cell r="X42">
            <v>0</v>
          </cell>
        </row>
        <row r="43">
          <cell r="A43">
            <v>2415742537</v>
          </cell>
          <cell r="J43">
            <v>0.35022692889561269</v>
          </cell>
          <cell r="M43">
            <v>0</v>
          </cell>
          <cell r="R43"/>
          <cell r="W43">
            <v>0</v>
          </cell>
          <cell r="X43">
            <v>0</v>
          </cell>
        </row>
        <row r="44">
          <cell r="A44">
            <v>0</v>
          </cell>
          <cell r="J44">
            <v>0</v>
          </cell>
          <cell r="M44">
            <v>0</v>
          </cell>
          <cell r="R44"/>
          <cell r="W44">
            <v>0</v>
          </cell>
          <cell r="X44">
            <v>0</v>
          </cell>
        </row>
        <row r="45">
          <cell r="A45">
            <v>0</v>
          </cell>
          <cell r="J45">
            <v>0</v>
          </cell>
          <cell r="M45">
            <v>0</v>
          </cell>
          <cell r="R45"/>
          <cell r="W45">
            <v>0</v>
          </cell>
          <cell r="X45">
            <v>0</v>
          </cell>
        </row>
        <row r="46">
          <cell r="A46">
            <v>0</v>
          </cell>
          <cell r="J46">
            <v>0</v>
          </cell>
          <cell r="M46">
            <v>0</v>
          </cell>
          <cell r="R46"/>
          <cell r="W46">
            <v>0</v>
          </cell>
          <cell r="X46">
            <v>0</v>
          </cell>
        </row>
        <row r="47">
          <cell r="A47">
            <v>0</v>
          </cell>
          <cell r="J47">
            <v>0</v>
          </cell>
          <cell r="M47">
            <v>0</v>
          </cell>
          <cell r="R47"/>
          <cell r="W47">
            <v>0</v>
          </cell>
          <cell r="X47">
            <v>0</v>
          </cell>
        </row>
        <row r="48">
          <cell r="A48">
            <v>0</v>
          </cell>
          <cell r="J48">
            <v>0</v>
          </cell>
          <cell r="M48">
            <v>0</v>
          </cell>
          <cell r="R48"/>
          <cell r="W48">
            <v>0</v>
          </cell>
          <cell r="X48">
            <v>0</v>
          </cell>
        </row>
        <row r="49">
          <cell r="A49">
            <v>0</v>
          </cell>
          <cell r="J49">
            <v>0</v>
          </cell>
          <cell r="M49">
            <v>0</v>
          </cell>
          <cell r="R49"/>
          <cell r="W49">
            <v>0</v>
          </cell>
          <cell r="X49">
            <v>0</v>
          </cell>
        </row>
        <row r="50">
          <cell r="A50">
            <v>0</v>
          </cell>
          <cell r="J50">
            <v>0</v>
          </cell>
          <cell r="M50">
            <v>0</v>
          </cell>
          <cell r="R50"/>
          <cell r="W50">
            <v>0</v>
          </cell>
          <cell r="X50">
            <v>0</v>
          </cell>
        </row>
        <row r="51">
          <cell r="A51">
            <v>0</v>
          </cell>
          <cell r="J51">
            <v>0</v>
          </cell>
          <cell r="M51">
            <v>0</v>
          </cell>
          <cell r="R51"/>
          <cell r="W51">
            <v>0</v>
          </cell>
          <cell r="X51">
            <v>0</v>
          </cell>
        </row>
        <row r="52">
          <cell r="A52">
            <v>0</v>
          </cell>
          <cell r="J52">
            <v>0</v>
          </cell>
          <cell r="M52">
            <v>0</v>
          </cell>
          <cell r="R52"/>
          <cell r="W52">
            <v>0</v>
          </cell>
          <cell r="X52">
            <v>0</v>
          </cell>
        </row>
        <row r="53">
          <cell r="A53">
            <v>0</v>
          </cell>
          <cell r="J53">
            <v>0</v>
          </cell>
          <cell r="M53">
            <v>0</v>
          </cell>
          <cell r="R53"/>
          <cell r="W53">
            <v>0</v>
          </cell>
          <cell r="X53">
            <v>0</v>
          </cell>
        </row>
        <row r="54">
          <cell r="A54">
            <v>0</v>
          </cell>
          <cell r="J54">
            <v>0</v>
          </cell>
          <cell r="M54">
            <v>0</v>
          </cell>
          <cell r="R54"/>
          <cell r="W54">
            <v>0</v>
          </cell>
          <cell r="X54">
            <v>0</v>
          </cell>
        </row>
        <row r="55">
          <cell r="A55">
            <v>0</v>
          </cell>
          <cell r="J55">
            <v>0</v>
          </cell>
          <cell r="M55">
            <v>0</v>
          </cell>
          <cell r="R55"/>
          <cell r="W55">
            <v>0</v>
          </cell>
          <cell r="X55">
            <v>0</v>
          </cell>
        </row>
        <row r="56">
          <cell r="A56">
            <v>1980946313</v>
          </cell>
          <cell r="J56">
            <v>0.35007173601147779</v>
          </cell>
          <cell r="M56">
            <v>956</v>
          </cell>
          <cell r="R56"/>
          <cell r="W56">
            <v>40</v>
          </cell>
          <cell r="X56">
            <v>35</v>
          </cell>
        </row>
        <row r="57">
          <cell r="A57">
            <v>2168964833</v>
          </cell>
          <cell r="J57">
            <v>0.35007173601147779</v>
          </cell>
          <cell r="M57">
            <v>956</v>
          </cell>
          <cell r="R57"/>
          <cell r="W57">
            <v>36</v>
          </cell>
          <cell r="X57">
            <v>999</v>
          </cell>
        </row>
        <row r="58">
          <cell r="A58">
            <v>2409846808</v>
          </cell>
          <cell r="J58">
            <v>0.35007173601147779</v>
          </cell>
          <cell r="M58">
            <v>929</v>
          </cell>
          <cell r="R58"/>
          <cell r="W58">
            <v>36</v>
          </cell>
          <cell r="X58">
            <v>999</v>
          </cell>
        </row>
        <row r="59">
          <cell r="A59">
            <v>2409845343</v>
          </cell>
          <cell r="J59">
            <v>0.35007173601147779</v>
          </cell>
          <cell r="M59">
            <v>929</v>
          </cell>
          <cell r="R59"/>
          <cell r="W59">
            <v>61</v>
          </cell>
          <cell r="X59">
            <v>999</v>
          </cell>
        </row>
        <row r="60">
          <cell r="A60">
            <v>2087001323</v>
          </cell>
          <cell r="J60">
            <v>0.34996304508499632</v>
          </cell>
          <cell r="M60">
            <v>0</v>
          </cell>
          <cell r="R60"/>
          <cell r="W60">
            <v>0</v>
          </cell>
          <cell r="X60">
            <v>0</v>
          </cell>
        </row>
        <row r="61">
          <cell r="A61">
            <v>2087000633</v>
          </cell>
          <cell r="J61">
            <v>0.34996304508499632</v>
          </cell>
          <cell r="M61">
            <v>0</v>
          </cell>
          <cell r="R61"/>
          <cell r="W61">
            <v>0</v>
          </cell>
          <cell r="X61">
            <v>0</v>
          </cell>
        </row>
        <row r="62">
          <cell r="A62">
            <v>2082252055</v>
          </cell>
          <cell r="J62">
            <v>0.3498498498498499</v>
          </cell>
          <cell r="M62">
            <v>929</v>
          </cell>
          <cell r="R62"/>
          <cell r="W62">
            <v>89</v>
          </cell>
          <cell r="X62">
            <v>623</v>
          </cell>
        </row>
        <row r="63">
          <cell r="A63">
            <v>2082255799</v>
          </cell>
          <cell r="J63">
            <v>0.3498498498498499</v>
          </cell>
          <cell r="M63">
            <v>929</v>
          </cell>
          <cell r="R63"/>
          <cell r="W63">
            <v>54</v>
          </cell>
          <cell r="X63">
            <v>999</v>
          </cell>
        </row>
        <row r="64">
          <cell r="A64">
            <v>2138705583</v>
          </cell>
          <cell r="J64">
            <v>0.3498498498498499</v>
          </cell>
          <cell r="M64">
            <v>903</v>
          </cell>
          <cell r="R64"/>
          <cell r="W64">
            <v>52</v>
          </cell>
          <cell r="X64">
            <v>364</v>
          </cell>
        </row>
        <row r="65">
          <cell r="A65">
            <v>2415742998</v>
          </cell>
          <cell r="J65">
            <v>0.34996780424983898</v>
          </cell>
          <cell r="M65">
            <v>0</v>
          </cell>
          <cell r="R65"/>
          <cell r="W65">
            <v>0</v>
          </cell>
          <cell r="X65">
            <v>0</v>
          </cell>
        </row>
        <row r="66">
          <cell r="A66">
            <v>2415742680</v>
          </cell>
          <cell r="J66">
            <v>0.35007225433526012</v>
          </cell>
          <cell r="M66">
            <v>1295</v>
          </cell>
          <cell r="R66"/>
          <cell r="W66">
            <v>2</v>
          </cell>
          <cell r="X66">
            <v>14</v>
          </cell>
        </row>
        <row r="67">
          <cell r="A67">
            <v>2415742649</v>
          </cell>
          <cell r="J67">
            <v>0.35007225433526012</v>
          </cell>
          <cell r="M67">
            <v>1295</v>
          </cell>
          <cell r="R67"/>
          <cell r="W67">
            <v>2</v>
          </cell>
          <cell r="X67">
            <v>999</v>
          </cell>
        </row>
        <row r="68">
          <cell r="A68">
            <v>2415743140</v>
          </cell>
          <cell r="J68">
            <v>0.35007225433526012</v>
          </cell>
          <cell r="M68">
            <v>1295</v>
          </cell>
          <cell r="R68"/>
          <cell r="W68">
            <v>3</v>
          </cell>
          <cell r="X68">
            <v>999</v>
          </cell>
        </row>
        <row r="69">
          <cell r="A69">
            <v>0</v>
          </cell>
          <cell r="J69">
            <v>0</v>
          </cell>
          <cell r="M69">
            <v>0</v>
          </cell>
          <cell r="R69"/>
          <cell r="W69">
            <v>0</v>
          </cell>
          <cell r="X69">
            <v>0</v>
          </cell>
        </row>
        <row r="70">
          <cell r="A70">
            <v>2415742463</v>
          </cell>
          <cell r="J70">
            <v>0.34989503149055279</v>
          </cell>
          <cell r="M70">
            <v>647</v>
          </cell>
          <cell r="R70"/>
          <cell r="W70">
            <v>13</v>
          </cell>
          <cell r="X70">
            <v>91</v>
          </cell>
        </row>
        <row r="71">
          <cell r="A71">
            <v>2415743157</v>
          </cell>
          <cell r="J71">
            <v>0.34989503149055279</v>
          </cell>
          <cell r="M71">
            <v>647</v>
          </cell>
          <cell r="R71"/>
          <cell r="W71">
            <v>14</v>
          </cell>
          <cell r="X71">
            <v>999</v>
          </cell>
        </row>
        <row r="72">
          <cell r="A72">
            <v>1980956952</v>
          </cell>
          <cell r="J72">
            <v>0.35012755102040816</v>
          </cell>
          <cell r="M72">
            <v>757</v>
          </cell>
          <cell r="R72"/>
          <cell r="W72">
            <v>11</v>
          </cell>
          <cell r="X72">
            <v>25.666666666666668</v>
          </cell>
        </row>
        <row r="73">
          <cell r="A73">
            <v>1980958902</v>
          </cell>
          <cell r="J73">
            <v>0.35012755102040816</v>
          </cell>
          <cell r="M73">
            <v>746</v>
          </cell>
          <cell r="R73"/>
          <cell r="W73">
            <v>0</v>
          </cell>
          <cell r="X73">
            <v>0</v>
          </cell>
        </row>
        <row r="74">
          <cell r="A74">
            <v>0</v>
          </cell>
          <cell r="J74">
            <v>0</v>
          </cell>
          <cell r="M74">
            <v>0</v>
          </cell>
          <cell r="R74"/>
          <cell r="W74">
            <v>0</v>
          </cell>
          <cell r="X74">
            <v>0</v>
          </cell>
        </row>
        <row r="75">
          <cell r="A75">
            <v>0</v>
          </cell>
          <cell r="J75">
            <v>0</v>
          </cell>
          <cell r="M75">
            <v>0</v>
          </cell>
          <cell r="R75"/>
          <cell r="W75">
            <v>0</v>
          </cell>
          <cell r="X75">
            <v>0</v>
          </cell>
        </row>
        <row r="76">
          <cell r="A76">
            <v>0</v>
          </cell>
          <cell r="J76">
            <v>0</v>
          </cell>
          <cell r="M76">
            <v>0</v>
          </cell>
          <cell r="R76"/>
          <cell r="W76">
            <v>0</v>
          </cell>
          <cell r="X76">
            <v>0</v>
          </cell>
        </row>
        <row r="77">
          <cell r="A77">
            <v>2415742645</v>
          </cell>
          <cell r="J77">
            <v>0.35017421602787457</v>
          </cell>
          <cell r="M77">
            <v>871</v>
          </cell>
          <cell r="R77"/>
          <cell r="W77">
            <v>19</v>
          </cell>
          <cell r="X77">
            <v>133</v>
          </cell>
        </row>
        <row r="78">
          <cell r="A78">
            <v>2415742703</v>
          </cell>
          <cell r="J78">
            <v>0.35017421602787457</v>
          </cell>
          <cell r="M78">
            <v>823</v>
          </cell>
          <cell r="R78"/>
          <cell r="W78">
            <v>36</v>
          </cell>
          <cell r="X78">
            <v>999</v>
          </cell>
        </row>
        <row r="79">
          <cell r="A79">
            <v>2415742927</v>
          </cell>
          <cell r="J79">
            <v>0.35017421602787457</v>
          </cell>
          <cell r="M79">
            <v>0</v>
          </cell>
          <cell r="R79"/>
          <cell r="W79">
            <v>0</v>
          </cell>
          <cell r="X79">
            <v>0</v>
          </cell>
        </row>
        <row r="80">
          <cell r="A80">
            <v>2086999506</v>
          </cell>
          <cell r="J80">
            <v>0.34995663486556805</v>
          </cell>
          <cell r="M80">
            <v>1019</v>
          </cell>
          <cell r="R80"/>
          <cell r="W80">
            <v>27</v>
          </cell>
          <cell r="X80">
            <v>189</v>
          </cell>
        </row>
        <row r="81">
          <cell r="A81">
            <v>0</v>
          </cell>
          <cell r="J81">
            <v>0</v>
          </cell>
          <cell r="M81">
            <v>0</v>
          </cell>
          <cell r="R81"/>
          <cell r="W81">
            <v>0</v>
          </cell>
          <cell r="X81">
            <v>0</v>
          </cell>
        </row>
        <row r="82">
          <cell r="A82">
            <v>2092093001</v>
          </cell>
          <cell r="J82">
            <v>0.3498498498498499</v>
          </cell>
          <cell r="M82">
            <v>882</v>
          </cell>
          <cell r="R82"/>
          <cell r="W82">
            <v>30</v>
          </cell>
          <cell r="X82">
            <v>999</v>
          </cell>
        </row>
        <row r="83">
          <cell r="A83">
            <v>2087000111</v>
          </cell>
          <cell r="J83">
            <v>0.3498498498498499</v>
          </cell>
          <cell r="M83">
            <v>882</v>
          </cell>
          <cell r="R83"/>
          <cell r="W83">
            <v>17</v>
          </cell>
          <cell r="X83">
            <v>999</v>
          </cell>
        </row>
        <row r="84">
          <cell r="A84">
            <v>0</v>
          </cell>
          <cell r="J84">
            <v>0</v>
          </cell>
          <cell r="M84">
            <v>0</v>
          </cell>
          <cell r="R84"/>
          <cell r="W84">
            <v>0</v>
          </cell>
          <cell r="X84">
            <v>0</v>
          </cell>
        </row>
        <row r="85">
          <cell r="A85">
            <v>0</v>
          </cell>
          <cell r="J85">
            <v>0</v>
          </cell>
          <cell r="M85">
            <v>0</v>
          </cell>
          <cell r="R85"/>
          <cell r="W85">
            <v>0</v>
          </cell>
          <cell r="X85">
            <v>0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кция 1"/>
      <sheetName val="Акция 2"/>
      <sheetName val="Акция 3"/>
      <sheetName val="Акция 4"/>
      <sheetName val="Акция 5"/>
      <sheetName val="Акция 6"/>
      <sheetName val="Акция 7"/>
      <sheetName val="Акция 8"/>
      <sheetName val="Акция 9"/>
      <sheetName val="Акция 10"/>
      <sheetName val="Акция 11"/>
      <sheetName val="Рассчет акции"/>
      <sheetName val="Шаблон ВБ(сводная)"/>
      <sheetName val=" Шаблон ВБ (вставлены зачения)"/>
      <sheetName val="Текущая цена на В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H1" t="str">
            <v>БУДУТ УЧАСТВОВАТЬ (ПОСТАВИТЬ ЗНАК *)</v>
          </cell>
          <cell r="BM1" t="str">
            <v>Остатки</v>
          </cell>
          <cell r="BN1" t="str">
            <v>Оборачиваемость</v>
          </cell>
        </row>
        <row r="4">
          <cell r="A4" t="str">
            <v>Арт. WB</v>
          </cell>
          <cell r="D4" t="str">
            <v>Штрихкод</v>
          </cell>
          <cell r="F4" t="str">
            <v>Скидка</v>
          </cell>
          <cell r="G4" t="str">
            <v>Цена в карточке</v>
          </cell>
          <cell r="BC4" t="str">
            <v>Цена продажи в Акции</v>
          </cell>
        </row>
        <row r="5">
          <cell r="A5" t="str">
            <v>1</v>
          </cell>
          <cell r="D5" t="str">
            <v>4</v>
          </cell>
          <cell r="F5" t="str">
            <v>6</v>
          </cell>
          <cell r="G5" t="str">
            <v>7</v>
          </cell>
          <cell r="BC5" t="str">
            <v>26</v>
          </cell>
          <cell r="BH5" t="str">
            <v>30</v>
          </cell>
        </row>
        <row r="6">
          <cell r="A6">
            <v>169112569</v>
          </cell>
          <cell r="D6">
            <v>2038161736993</v>
          </cell>
          <cell r="F6">
            <v>0.4</v>
          </cell>
          <cell r="G6" t="str">
            <v>1243</v>
          </cell>
          <cell r="BC6">
            <v>746</v>
          </cell>
          <cell r="BH6" t="str">
            <v>*</v>
          </cell>
          <cell r="BM6">
            <v>128</v>
          </cell>
          <cell r="BN6">
            <v>984</v>
          </cell>
        </row>
        <row r="7">
          <cell r="A7">
            <v>169153168</v>
          </cell>
          <cell r="D7">
            <v>2038162681926</v>
          </cell>
          <cell r="F7">
            <v>0.4</v>
          </cell>
          <cell r="G7" t="str">
            <v>1243</v>
          </cell>
          <cell r="BC7">
            <v>746</v>
          </cell>
          <cell r="BH7" t="str">
            <v>*</v>
          </cell>
          <cell r="BM7">
            <v>216</v>
          </cell>
          <cell r="BN7">
            <v>999</v>
          </cell>
        </row>
        <row r="8">
          <cell r="A8">
            <v>169395410</v>
          </cell>
          <cell r="D8">
            <v>2038172050200</v>
          </cell>
          <cell r="F8">
            <v>0.4</v>
          </cell>
          <cell r="G8" t="str">
            <v>1742</v>
          </cell>
          <cell r="BC8">
            <v>1045</v>
          </cell>
          <cell r="BH8" t="str">
            <v>*</v>
          </cell>
          <cell r="BM8">
            <v>202</v>
          </cell>
          <cell r="BN8">
            <v>999</v>
          </cell>
        </row>
        <row r="9">
          <cell r="A9">
            <v>172832355</v>
          </cell>
          <cell r="D9">
            <v>2038337652454</v>
          </cell>
          <cell r="F9">
            <v>0.4</v>
          </cell>
          <cell r="G9" t="str">
            <v>3495</v>
          </cell>
          <cell r="BC9">
            <v>2097</v>
          </cell>
          <cell r="BH9" t="str">
            <v>*</v>
          </cell>
          <cell r="BM9">
            <v>139</v>
          </cell>
          <cell r="BN9">
            <v>269</v>
          </cell>
        </row>
        <row r="10">
          <cell r="A10">
            <v>176500218</v>
          </cell>
          <cell r="D10">
            <v>2038597850744</v>
          </cell>
          <cell r="F10">
            <v>0.4</v>
          </cell>
          <cell r="G10" t="str">
            <v>898</v>
          </cell>
          <cell r="BC10">
            <v>539</v>
          </cell>
          <cell r="BH10" t="str">
            <v>*</v>
          </cell>
          <cell r="BM10">
            <v>320</v>
          </cell>
          <cell r="BN10">
            <v>726</v>
          </cell>
        </row>
        <row r="11">
          <cell r="A11">
            <v>177404837</v>
          </cell>
          <cell r="D11">
            <v>2038627692689</v>
          </cell>
          <cell r="F11">
            <v>0.4</v>
          </cell>
          <cell r="G11" t="str">
            <v>2077</v>
          </cell>
          <cell r="BC11">
            <v>1246</v>
          </cell>
          <cell r="BH11" t="str">
            <v>*</v>
          </cell>
          <cell r="BM11">
            <v>146</v>
          </cell>
          <cell r="BN11">
            <v>502</v>
          </cell>
        </row>
        <row r="12">
          <cell r="A12">
            <v>177405495</v>
          </cell>
          <cell r="D12">
            <v>2038627713902</v>
          </cell>
          <cell r="F12">
            <v>0.4</v>
          </cell>
          <cell r="G12" t="str">
            <v>1847</v>
          </cell>
          <cell r="BC12">
            <v>1108</v>
          </cell>
          <cell r="BH12" t="str">
            <v>*</v>
          </cell>
          <cell r="BM12">
            <v>264</v>
          </cell>
          <cell r="BN12">
            <v>999</v>
          </cell>
        </row>
        <row r="13">
          <cell r="A13">
            <v>176721350</v>
          </cell>
          <cell r="D13">
            <v>2038606201642</v>
          </cell>
          <cell r="F13">
            <v>0.4</v>
          </cell>
          <cell r="G13" t="str">
            <v>1262</v>
          </cell>
          <cell r="BC13">
            <v>757</v>
          </cell>
          <cell r="BH13" t="str">
            <v>*</v>
          </cell>
          <cell r="BM13">
            <v>258</v>
          </cell>
          <cell r="BN13">
            <v>334</v>
          </cell>
        </row>
        <row r="14">
          <cell r="A14">
            <v>176723275</v>
          </cell>
          <cell r="D14">
            <v>2038606256161</v>
          </cell>
          <cell r="F14">
            <v>0.4</v>
          </cell>
          <cell r="G14" t="str">
            <v>1398</v>
          </cell>
          <cell r="BC14">
            <v>839</v>
          </cell>
          <cell r="BM14">
            <v>92</v>
          </cell>
          <cell r="BN14">
            <v>87</v>
          </cell>
        </row>
        <row r="15">
          <cell r="A15">
            <v>204615141</v>
          </cell>
          <cell r="D15">
            <v>2039404446068</v>
          </cell>
          <cell r="F15">
            <v>0.4</v>
          </cell>
          <cell r="G15" t="str">
            <v>997</v>
          </cell>
          <cell r="BC15">
            <v>598</v>
          </cell>
          <cell r="BH15" t="str">
            <v>*</v>
          </cell>
          <cell r="BM15">
            <v>222</v>
          </cell>
          <cell r="BN15">
            <v>602</v>
          </cell>
        </row>
        <row r="16">
          <cell r="A16">
            <v>236074677</v>
          </cell>
          <cell r="D16">
            <v>2040278862540</v>
          </cell>
          <cell r="F16">
            <v>0.4</v>
          </cell>
          <cell r="G16" t="str">
            <v>1250</v>
          </cell>
          <cell r="BC16">
            <v>750</v>
          </cell>
          <cell r="BH16" t="str">
            <v>*</v>
          </cell>
          <cell r="BM16">
            <v>18</v>
          </cell>
          <cell r="BN16">
            <v>152</v>
          </cell>
        </row>
        <row r="17">
          <cell r="A17">
            <v>236929187</v>
          </cell>
          <cell r="D17">
            <v>2040335626849</v>
          </cell>
          <cell r="F17">
            <v>0.4</v>
          </cell>
          <cell r="G17" t="str">
            <v>1115</v>
          </cell>
          <cell r="BC17">
            <v>669</v>
          </cell>
          <cell r="BM17">
            <v>94</v>
          </cell>
          <cell r="BN17">
            <v>72</v>
          </cell>
        </row>
        <row r="18">
          <cell r="A18">
            <v>236929188</v>
          </cell>
          <cell r="D18">
            <v>2040335648124</v>
          </cell>
          <cell r="F18">
            <v>0.3</v>
          </cell>
          <cell r="G18" t="str">
            <v>956</v>
          </cell>
          <cell r="BC18">
            <v>0</v>
          </cell>
          <cell r="BH18" t="str">
            <v>*</v>
          </cell>
          <cell r="BM18">
            <v>130</v>
          </cell>
          <cell r="BN18">
            <v>999</v>
          </cell>
        </row>
        <row r="19">
          <cell r="A19">
            <v>239235150</v>
          </cell>
          <cell r="D19">
            <v>2040478720961</v>
          </cell>
          <cell r="F19">
            <v>0.4</v>
          </cell>
          <cell r="G19" t="str">
            <v>823</v>
          </cell>
          <cell r="BC19">
            <v>494</v>
          </cell>
          <cell r="BM19">
            <v>1</v>
          </cell>
          <cell r="BN19">
            <v>18</v>
          </cell>
        </row>
        <row r="20">
          <cell r="A20">
            <v>239233529</v>
          </cell>
          <cell r="D20">
            <v>2040478696884</v>
          </cell>
          <cell r="F20">
            <v>0.4</v>
          </cell>
          <cell r="G20" t="str">
            <v>1170</v>
          </cell>
          <cell r="BC20">
            <v>702</v>
          </cell>
          <cell r="BH20" t="str">
            <v>*</v>
          </cell>
          <cell r="BM20">
            <v>55</v>
          </cell>
          <cell r="BN20">
            <v>290</v>
          </cell>
        </row>
        <row r="21">
          <cell r="A21">
            <v>173605843</v>
          </cell>
          <cell r="D21">
            <v>2038430289250</v>
          </cell>
          <cell r="F21">
            <v>0.4</v>
          </cell>
          <cell r="G21" t="str">
            <v>572</v>
          </cell>
          <cell r="BC21">
            <v>343</v>
          </cell>
          <cell r="BH21" t="str">
            <v>*</v>
          </cell>
          <cell r="BM21">
            <v>535</v>
          </cell>
          <cell r="BN21">
            <v>999</v>
          </cell>
        </row>
        <row r="22">
          <cell r="A22">
            <v>223420736</v>
          </cell>
          <cell r="D22">
            <v>2039813223373</v>
          </cell>
          <cell r="F22">
            <v>0.4</v>
          </cell>
          <cell r="G22" t="str">
            <v>1502</v>
          </cell>
          <cell r="BC22">
            <v>901</v>
          </cell>
          <cell r="BH22" t="str">
            <v>*</v>
          </cell>
          <cell r="BM22">
            <v>56</v>
          </cell>
          <cell r="BN22">
            <v>368</v>
          </cell>
        </row>
        <row r="23">
          <cell r="A23">
            <v>275208801</v>
          </cell>
          <cell r="D23">
            <v>2041591042329</v>
          </cell>
          <cell r="F23">
            <v>0.4</v>
          </cell>
          <cell r="G23" t="str">
            <v>1208</v>
          </cell>
          <cell r="BC23">
            <v>725</v>
          </cell>
          <cell r="BH23" t="str">
            <v>*</v>
          </cell>
          <cell r="BM23">
            <v>58</v>
          </cell>
          <cell r="BN23">
            <v>215</v>
          </cell>
        </row>
        <row r="24">
          <cell r="A24">
            <v>275208802</v>
          </cell>
          <cell r="D24">
            <v>2041591055954</v>
          </cell>
          <cell r="F24">
            <v>0.3</v>
          </cell>
          <cell r="G24" t="str">
            <v>1313</v>
          </cell>
          <cell r="BC24">
            <v>0</v>
          </cell>
          <cell r="BM24">
            <v>60</v>
          </cell>
          <cell r="BN24">
            <v>999</v>
          </cell>
        </row>
        <row r="25">
          <cell r="A25">
            <v>236072835</v>
          </cell>
          <cell r="D25">
            <v>2040278804496</v>
          </cell>
          <cell r="F25">
            <v>0.4</v>
          </cell>
          <cell r="G25" t="str">
            <v>995</v>
          </cell>
          <cell r="BC25">
            <v>597</v>
          </cell>
          <cell r="BH25" t="str">
            <v>*</v>
          </cell>
          <cell r="BM25">
            <v>427</v>
          </cell>
          <cell r="BN25">
            <v>256</v>
          </cell>
        </row>
        <row r="26">
          <cell r="A26">
            <v>236072836</v>
          </cell>
          <cell r="D26">
            <v>2040278810534</v>
          </cell>
          <cell r="F26">
            <v>0.4</v>
          </cell>
          <cell r="G26" t="str">
            <v>988</v>
          </cell>
          <cell r="BC26">
            <v>593</v>
          </cell>
          <cell r="BH26" t="str">
            <v>*</v>
          </cell>
          <cell r="BM26">
            <v>300</v>
          </cell>
          <cell r="BN26">
            <v>638</v>
          </cell>
        </row>
        <row r="27">
          <cell r="A27">
            <v>236072834</v>
          </cell>
          <cell r="D27">
            <v>2040278804649</v>
          </cell>
          <cell r="F27">
            <v>0.4</v>
          </cell>
          <cell r="G27" t="str">
            <v>908</v>
          </cell>
          <cell r="BC27">
            <v>545</v>
          </cell>
          <cell r="BH27" t="str">
            <v>*</v>
          </cell>
          <cell r="BM27">
            <v>254</v>
          </cell>
          <cell r="BN27">
            <v>443</v>
          </cell>
        </row>
        <row r="28">
          <cell r="A28">
            <v>223671295</v>
          </cell>
          <cell r="D28">
            <v>2039818580389</v>
          </cell>
          <cell r="F28">
            <v>0.4</v>
          </cell>
          <cell r="G28" t="str">
            <v>718</v>
          </cell>
          <cell r="BC28">
            <v>431</v>
          </cell>
          <cell r="BH28" t="str">
            <v>*</v>
          </cell>
          <cell r="BM28">
            <v>447</v>
          </cell>
          <cell r="BN28">
            <v>823</v>
          </cell>
        </row>
        <row r="29">
          <cell r="A29">
            <v>370591238</v>
          </cell>
          <cell r="D29">
            <v>2043369663040</v>
          </cell>
          <cell r="F29">
            <v>0.3</v>
          </cell>
          <cell r="G29" t="str">
            <v>856</v>
          </cell>
          <cell r="BC29">
            <v>0</v>
          </cell>
          <cell r="BM29">
            <v>252</v>
          </cell>
          <cell r="BN29">
            <v>999</v>
          </cell>
        </row>
        <row r="30">
          <cell r="A30">
            <v>419145391</v>
          </cell>
          <cell r="D30">
            <v>2044025326637</v>
          </cell>
          <cell r="F30">
            <v>0.3</v>
          </cell>
          <cell r="G30" t="str">
            <v>884</v>
          </cell>
          <cell r="BC30">
            <v>0</v>
          </cell>
          <cell r="BM30">
            <v>298</v>
          </cell>
          <cell r="BN30">
            <v>999</v>
          </cell>
        </row>
        <row r="31">
          <cell r="A31">
            <v>419145389</v>
          </cell>
          <cell r="D31">
            <v>2044025316447</v>
          </cell>
          <cell r="F31">
            <v>0.4</v>
          </cell>
          <cell r="G31" t="str">
            <v>1020</v>
          </cell>
          <cell r="BC31">
            <v>612</v>
          </cell>
          <cell r="BH31" t="str">
            <v>*</v>
          </cell>
          <cell r="BM31">
            <v>118</v>
          </cell>
          <cell r="BN31">
            <v>717</v>
          </cell>
        </row>
        <row r="32">
          <cell r="A32">
            <v>419145748</v>
          </cell>
          <cell r="D32">
            <v>2044025338661</v>
          </cell>
          <cell r="F32">
            <v>0.4</v>
          </cell>
          <cell r="G32" t="str">
            <v>922</v>
          </cell>
          <cell r="BC32">
            <v>553</v>
          </cell>
          <cell r="BH32" t="str">
            <v>*</v>
          </cell>
          <cell r="BM32">
            <v>109</v>
          </cell>
          <cell r="BN32">
            <v>999</v>
          </cell>
        </row>
        <row r="33">
          <cell r="A33">
            <v>419141548</v>
          </cell>
          <cell r="D33">
            <v>2044025288003</v>
          </cell>
          <cell r="F33">
            <v>0.4</v>
          </cell>
          <cell r="G33" t="str">
            <v>988</v>
          </cell>
          <cell r="BC33">
            <v>593</v>
          </cell>
          <cell r="BH33" t="str">
            <v>*</v>
          </cell>
          <cell r="BM33">
            <v>76</v>
          </cell>
          <cell r="BN33">
            <v>258</v>
          </cell>
        </row>
        <row r="34">
          <cell r="A34">
            <v>419145985</v>
          </cell>
          <cell r="D34">
            <v>2044025344532</v>
          </cell>
          <cell r="F34">
            <v>0.4</v>
          </cell>
          <cell r="G34" t="str">
            <v>920</v>
          </cell>
          <cell r="BC34">
            <v>552</v>
          </cell>
          <cell r="BH34" t="str">
            <v>*</v>
          </cell>
          <cell r="BM34">
            <v>90</v>
          </cell>
          <cell r="BN34">
            <v>999</v>
          </cell>
        </row>
        <row r="35">
          <cell r="A35">
            <v>419145390</v>
          </cell>
          <cell r="D35">
            <v>2044025321588</v>
          </cell>
          <cell r="F35">
            <v>0.3</v>
          </cell>
          <cell r="G35" t="str">
            <v>1013</v>
          </cell>
          <cell r="BC35">
            <v>0</v>
          </cell>
          <cell r="BM35">
            <v>152</v>
          </cell>
          <cell r="BN35">
            <v>999</v>
          </cell>
        </row>
        <row r="36">
          <cell r="A36">
            <v>419145749</v>
          </cell>
          <cell r="D36">
            <v>2044025342057</v>
          </cell>
          <cell r="F36">
            <v>0.4</v>
          </cell>
          <cell r="G36" t="str">
            <v>837</v>
          </cell>
          <cell r="BC36">
            <v>502</v>
          </cell>
          <cell r="BH36" t="str">
            <v>*</v>
          </cell>
          <cell r="BM36">
            <v>106</v>
          </cell>
          <cell r="BN36">
            <v>816</v>
          </cell>
        </row>
        <row r="37">
          <cell r="A37">
            <v>419141549</v>
          </cell>
          <cell r="D37">
            <v>2044025291485</v>
          </cell>
          <cell r="F37">
            <v>0.3</v>
          </cell>
          <cell r="G37" t="str">
            <v>1013</v>
          </cell>
          <cell r="BC37">
            <v>0</v>
          </cell>
          <cell r="BM37">
            <v>98</v>
          </cell>
          <cell r="BN37">
            <v>339</v>
          </cell>
        </row>
        <row r="38">
          <cell r="A38">
            <v>419145986</v>
          </cell>
          <cell r="D38">
            <v>2044025347953</v>
          </cell>
          <cell r="F38">
            <v>0.4</v>
          </cell>
          <cell r="G38" t="str">
            <v>1135</v>
          </cell>
          <cell r="BC38">
            <v>681</v>
          </cell>
          <cell r="BH38" t="str">
            <v>*</v>
          </cell>
          <cell r="BM38">
            <v>119</v>
          </cell>
          <cell r="BN38">
            <v>999</v>
          </cell>
        </row>
        <row r="39">
          <cell r="A39">
            <v>419146579</v>
          </cell>
          <cell r="D39">
            <v>2044025354937</v>
          </cell>
          <cell r="F39">
            <v>0.4</v>
          </cell>
          <cell r="G39" t="str">
            <v>1170</v>
          </cell>
          <cell r="BC39">
            <v>702</v>
          </cell>
          <cell r="BH39" t="str">
            <v>*</v>
          </cell>
          <cell r="BM39">
            <v>120</v>
          </cell>
          <cell r="BN39">
            <v>999</v>
          </cell>
        </row>
        <row r="40">
          <cell r="A40">
            <v>340734340</v>
          </cell>
          <cell r="D40">
            <v>2042985583893</v>
          </cell>
          <cell r="F40">
            <v>0.4</v>
          </cell>
          <cell r="G40" t="str">
            <v>855</v>
          </cell>
          <cell r="BC40">
            <v>513</v>
          </cell>
          <cell r="BH40" t="str">
            <v>*</v>
          </cell>
          <cell r="BM40">
            <v>4</v>
          </cell>
          <cell r="BN40">
            <v>999</v>
          </cell>
        </row>
        <row r="41">
          <cell r="A41">
            <v>340741532</v>
          </cell>
          <cell r="D41">
            <v>2042986356632</v>
          </cell>
          <cell r="F41">
            <v>0.4</v>
          </cell>
          <cell r="G41" t="str">
            <v>855</v>
          </cell>
          <cell r="BC41">
            <v>513</v>
          </cell>
          <cell r="BH41" t="str">
            <v>*</v>
          </cell>
          <cell r="BM41">
            <v>60</v>
          </cell>
          <cell r="BN41">
            <v>999</v>
          </cell>
        </row>
        <row r="42">
          <cell r="A42">
            <v>340743352</v>
          </cell>
          <cell r="D42">
            <v>2042986372359</v>
          </cell>
          <cell r="F42">
            <v>0.4</v>
          </cell>
          <cell r="G42" t="str">
            <v>855</v>
          </cell>
          <cell r="BC42">
            <v>513</v>
          </cell>
          <cell r="BH42" t="str">
            <v>*</v>
          </cell>
          <cell r="BM42">
            <v>27</v>
          </cell>
          <cell r="BN42">
            <v>216</v>
          </cell>
        </row>
        <row r="43">
          <cell r="A43">
            <v>340743911</v>
          </cell>
          <cell r="D43">
            <v>2042986377583</v>
          </cell>
          <cell r="F43">
            <v>0.4</v>
          </cell>
          <cell r="G43" t="str">
            <v>847</v>
          </cell>
          <cell r="BC43">
            <v>508</v>
          </cell>
          <cell r="BH43" t="str">
            <v>*</v>
          </cell>
          <cell r="BM43">
            <v>13</v>
          </cell>
          <cell r="BN43">
            <v>416</v>
          </cell>
        </row>
        <row r="44">
          <cell r="A44">
            <v>820643010</v>
          </cell>
          <cell r="D44">
            <v>2048933027488</v>
          </cell>
          <cell r="F44">
            <v>0.4</v>
          </cell>
          <cell r="G44" t="str">
            <v>2472</v>
          </cell>
          <cell r="BC44">
            <v>1483</v>
          </cell>
          <cell r="BH44" t="str">
            <v>*</v>
          </cell>
          <cell r="BM44">
            <v>89</v>
          </cell>
          <cell r="BN44">
            <v>520</v>
          </cell>
        </row>
        <row r="45">
          <cell r="A45">
            <v>550539998</v>
          </cell>
          <cell r="D45">
            <v>2046392546618</v>
          </cell>
          <cell r="F45">
            <v>0.4</v>
          </cell>
          <cell r="G45" t="str">
            <v>2707</v>
          </cell>
          <cell r="BC45">
            <v>1624</v>
          </cell>
          <cell r="BH45" t="str">
            <v>*</v>
          </cell>
          <cell r="BM45">
            <v>59</v>
          </cell>
          <cell r="BN45">
            <v>999</v>
          </cell>
        </row>
        <row r="46">
          <cell r="A46">
            <v>550539999</v>
          </cell>
          <cell r="D46">
            <v>2046392546632</v>
          </cell>
          <cell r="F46">
            <v>0.4</v>
          </cell>
          <cell r="G46" t="str">
            <v>1665</v>
          </cell>
          <cell r="BC46">
            <v>999</v>
          </cell>
          <cell r="BH46" t="str">
            <v>*</v>
          </cell>
          <cell r="BM46">
            <v>40</v>
          </cell>
          <cell r="BN46">
            <v>999</v>
          </cell>
        </row>
        <row r="47">
          <cell r="A47">
            <v>550540000</v>
          </cell>
          <cell r="D47">
            <v>2046392546656</v>
          </cell>
          <cell r="F47">
            <v>0.3</v>
          </cell>
          <cell r="G47" t="str">
            <v>1070</v>
          </cell>
          <cell r="BC47">
            <v>0</v>
          </cell>
          <cell r="BM47" t="str">
            <v/>
          </cell>
          <cell r="BN47" t="str">
            <v/>
          </cell>
        </row>
        <row r="48">
          <cell r="A48">
            <v>271440668</v>
          </cell>
          <cell r="D48">
            <v>2041473034138</v>
          </cell>
          <cell r="F48">
            <v>0.4</v>
          </cell>
          <cell r="G48" t="str">
            <v>2010</v>
          </cell>
          <cell r="BC48">
            <v>1206</v>
          </cell>
          <cell r="BH48" t="str">
            <v>*</v>
          </cell>
          <cell r="BM48">
            <v>130</v>
          </cell>
          <cell r="BN48">
            <v>983</v>
          </cell>
        </row>
        <row r="49">
          <cell r="A49">
            <v>271440669</v>
          </cell>
          <cell r="D49">
            <v>2041473034145</v>
          </cell>
          <cell r="F49">
            <v>0.4</v>
          </cell>
          <cell r="G49" t="str">
            <v>1813</v>
          </cell>
          <cell r="BC49">
            <v>1088</v>
          </cell>
          <cell r="BH49" t="str">
            <v>*</v>
          </cell>
          <cell r="BM49">
            <v>128</v>
          </cell>
          <cell r="BN49">
            <v>440</v>
          </cell>
        </row>
        <row r="50">
          <cell r="A50">
            <v>271440670</v>
          </cell>
          <cell r="D50">
            <v>2041473034169</v>
          </cell>
          <cell r="F50">
            <v>0.4</v>
          </cell>
          <cell r="G50" t="str">
            <v>1813</v>
          </cell>
          <cell r="BC50">
            <v>1088</v>
          </cell>
          <cell r="BH50" t="str">
            <v>*</v>
          </cell>
          <cell r="BM50">
            <v>100</v>
          </cell>
          <cell r="BN50">
            <v>999</v>
          </cell>
        </row>
        <row r="51">
          <cell r="A51">
            <v>550445272</v>
          </cell>
          <cell r="D51">
            <v>2046391283330</v>
          </cell>
          <cell r="F51">
            <v>0.3</v>
          </cell>
          <cell r="G51" t="str">
            <v>860</v>
          </cell>
          <cell r="BC51">
            <v>0</v>
          </cell>
          <cell r="BM51" t="str">
            <v/>
          </cell>
          <cell r="BN51" t="str">
            <v/>
          </cell>
        </row>
        <row r="52">
          <cell r="A52">
            <v>550445274</v>
          </cell>
          <cell r="D52">
            <v>2046391283385</v>
          </cell>
          <cell r="F52">
            <v>0.3</v>
          </cell>
          <cell r="G52" t="str">
            <v>860</v>
          </cell>
          <cell r="BC52">
            <v>0</v>
          </cell>
          <cell r="BM52" t="str">
            <v/>
          </cell>
          <cell r="BN52" t="str">
            <v/>
          </cell>
        </row>
        <row r="53">
          <cell r="A53">
            <v>550445275</v>
          </cell>
          <cell r="D53">
            <v>2046391283415</v>
          </cell>
          <cell r="F53">
            <v>0.3</v>
          </cell>
          <cell r="G53" t="str">
            <v>860</v>
          </cell>
          <cell r="BC53">
            <v>0</v>
          </cell>
          <cell r="BM53" t="str">
            <v/>
          </cell>
          <cell r="BN53" t="str">
            <v/>
          </cell>
        </row>
        <row r="54">
          <cell r="A54">
            <v>550445277</v>
          </cell>
          <cell r="D54">
            <v>2046391283446</v>
          </cell>
          <cell r="F54">
            <v>0.3</v>
          </cell>
          <cell r="G54" t="str">
            <v>860</v>
          </cell>
          <cell r="BC54">
            <v>0</v>
          </cell>
          <cell r="BM54" t="str">
            <v/>
          </cell>
          <cell r="BN54" t="str">
            <v/>
          </cell>
        </row>
        <row r="55">
          <cell r="A55">
            <v>550445279</v>
          </cell>
          <cell r="D55">
            <v>2046391283507</v>
          </cell>
          <cell r="F55">
            <v>0.3</v>
          </cell>
          <cell r="G55" t="str">
            <v>860</v>
          </cell>
          <cell r="BC55">
            <v>0</v>
          </cell>
          <cell r="BM55" t="str">
            <v/>
          </cell>
          <cell r="BN55" t="str">
            <v/>
          </cell>
        </row>
        <row r="56">
          <cell r="A56">
            <v>550445280</v>
          </cell>
          <cell r="D56">
            <v>2046391283545</v>
          </cell>
          <cell r="F56">
            <v>0.3</v>
          </cell>
          <cell r="G56" t="str">
            <v>860</v>
          </cell>
          <cell r="BC56">
            <v>0</v>
          </cell>
          <cell r="BM56" t="str">
            <v/>
          </cell>
          <cell r="BN56" t="str">
            <v/>
          </cell>
        </row>
        <row r="57">
          <cell r="A57">
            <v>550445281</v>
          </cell>
          <cell r="D57">
            <v>2046391283569</v>
          </cell>
          <cell r="F57">
            <v>0.3</v>
          </cell>
          <cell r="G57" t="str">
            <v>860</v>
          </cell>
          <cell r="BC57">
            <v>0</v>
          </cell>
          <cell r="BM57" t="str">
            <v/>
          </cell>
          <cell r="BN57" t="str">
            <v/>
          </cell>
        </row>
        <row r="58">
          <cell r="A58">
            <v>550445283</v>
          </cell>
          <cell r="D58">
            <v>2046391283613</v>
          </cell>
          <cell r="F58">
            <v>0.3</v>
          </cell>
          <cell r="G58" t="str">
            <v>860</v>
          </cell>
          <cell r="BC58">
            <v>0</v>
          </cell>
          <cell r="BM58" t="str">
            <v/>
          </cell>
          <cell r="BN58" t="str">
            <v/>
          </cell>
        </row>
        <row r="59">
          <cell r="A59">
            <v>186826338</v>
          </cell>
          <cell r="D59">
            <v>2038891723249</v>
          </cell>
          <cell r="F59">
            <v>0.4</v>
          </cell>
          <cell r="G59" t="str">
            <v>1447</v>
          </cell>
          <cell r="BC59">
            <v>868</v>
          </cell>
          <cell r="BH59" t="str">
            <v>*</v>
          </cell>
          <cell r="BM59">
            <v>457</v>
          </cell>
          <cell r="BN59">
            <v>273</v>
          </cell>
        </row>
        <row r="60">
          <cell r="A60">
            <v>419130077</v>
          </cell>
          <cell r="D60">
            <v>2044025155923</v>
          </cell>
          <cell r="F60">
            <v>0.4</v>
          </cell>
          <cell r="G60" t="str">
            <v>1432</v>
          </cell>
          <cell r="BC60">
            <v>859</v>
          </cell>
          <cell r="BH60" t="str">
            <v>*</v>
          </cell>
          <cell r="BM60">
            <v>266</v>
          </cell>
          <cell r="BN60">
            <v>999</v>
          </cell>
        </row>
        <row r="61">
          <cell r="A61">
            <v>448248943</v>
          </cell>
          <cell r="D61">
            <v>2044516485386</v>
          </cell>
          <cell r="F61">
            <v>0.4</v>
          </cell>
          <cell r="G61" t="str">
            <v>1432</v>
          </cell>
          <cell r="BC61">
            <v>859</v>
          </cell>
          <cell r="BH61" t="str">
            <v>*</v>
          </cell>
          <cell r="BM61">
            <v>221</v>
          </cell>
          <cell r="BN61">
            <v>773</v>
          </cell>
        </row>
        <row r="62">
          <cell r="A62">
            <v>448254852</v>
          </cell>
          <cell r="D62">
            <v>2044516498812</v>
          </cell>
          <cell r="F62">
            <v>0.4</v>
          </cell>
          <cell r="G62" t="str">
            <v>1432</v>
          </cell>
          <cell r="BC62">
            <v>859</v>
          </cell>
          <cell r="BH62" t="str">
            <v>*</v>
          </cell>
          <cell r="BM62">
            <v>208</v>
          </cell>
          <cell r="BN62">
            <v>627</v>
          </cell>
        </row>
        <row r="63">
          <cell r="A63">
            <v>186800214</v>
          </cell>
          <cell r="D63">
            <v>2038890789598</v>
          </cell>
          <cell r="F63">
            <v>0.4</v>
          </cell>
          <cell r="G63" t="str">
            <v>1378</v>
          </cell>
          <cell r="BC63">
            <v>827</v>
          </cell>
          <cell r="BH63" t="str">
            <v>*</v>
          </cell>
          <cell r="BM63">
            <v>180</v>
          </cell>
          <cell r="BN63">
            <v>168</v>
          </cell>
        </row>
        <row r="64">
          <cell r="A64">
            <v>298193176</v>
          </cell>
          <cell r="D64">
            <v>2042160422832</v>
          </cell>
          <cell r="F64">
            <v>0.4</v>
          </cell>
          <cell r="G64" t="str">
            <v>1318</v>
          </cell>
          <cell r="BC64">
            <v>791</v>
          </cell>
          <cell r="BH64" t="str">
            <v>*</v>
          </cell>
          <cell r="BM64">
            <v>157</v>
          </cell>
          <cell r="BN64">
            <v>259</v>
          </cell>
        </row>
        <row r="65">
          <cell r="A65">
            <v>278515093</v>
          </cell>
          <cell r="D65">
            <v>2041680530447</v>
          </cell>
          <cell r="F65">
            <v>0.4</v>
          </cell>
          <cell r="G65" t="str">
            <v>1455</v>
          </cell>
          <cell r="BC65">
            <v>873</v>
          </cell>
          <cell r="BH65" t="str">
            <v>*</v>
          </cell>
          <cell r="BM65">
            <v>337</v>
          </cell>
          <cell r="BN65">
            <v>999</v>
          </cell>
        </row>
        <row r="66">
          <cell r="A66">
            <v>345168494</v>
          </cell>
          <cell r="D66">
            <v>2043048226719</v>
          </cell>
          <cell r="F66">
            <v>0.4</v>
          </cell>
          <cell r="G66" t="str">
            <v>1615</v>
          </cell>
          <cell r="BC66">
            <v>969</v>
          </cell>
          <cell r="BH66" t="str">
            <v>*</v>
          </cell>
          <cell r="BM66">
            <v>196</v>
          </cell>
          <cell r="BN66">
            <v>587</v>
          </cell>
        </row>
        <row r="67">
          <cell r="A67">
            <v>273516556</v>
          </cell>
          <cell r="D67">
            <v>2041532808502</v>
          </cell>
          <cell r="F67">
            <v>0.4</v>
          </cell>
          <cell r="G67" t="str">
            <v>1615</v>
          </cell>
          <cell r="BC67">
            <v>969</v>
          </cell>
          <cell r="BH67" t="str">
            <v>*</v>
          </cell>
          <cell r="BM67">
            <v>112</v>
          </cell>
          <cell r="BN67">
            <v>338</v>
          </cell>
        </row>
        <row r="68">
          <cell r="A68">
            <v>321907864</v>
          </cell>
          <cell r="D68">
            <v>2042676873814</v>
          </cell>
          <cell r="F68">
            <v>0.3</v>
          </cell>
          <cell r="G68" t="str">
            <v>2141</v>
          </cell>
          <cell r="BC68">
            <v>0</v>
          </cell>
          <cell r="BM68">
            <v>0</v>
          </cell>
          <cell r="BN68">
            <v>1</v>
          </cell>
        </row>
        <row r="69">
          <cell r="A69">
            <v>271441230</v>
          </cell>
          <cell r="D69">
            <v>2041473042966</v>
          </cell>
          <cell r="F69">
            <v>0.3</v>
          </cell>
          <cell r="G69" t="str">
            <v>1799</v>
          </cell>
          <cell r="BC69">
            <v>0</v>
          </cell>
          <cell r="BM69">
            <v>0</v>
          </cell>
          <cell r="BN69">
            <v>1</v>
          </cell>
        </row>
        <row r="70">
          <cell r="A70">
            <v>251537223</v>
          </cell>
          <cell r="D70">
            <v>2040903539366</v>
          </cell>
          <cell r="F70">
            <v>0.4</v>
          </cell>
          <cell r="G70" t="str">
            <v>1020</v>
          </cell>
          <cell r="BC70">
            <v>612</v>
          </cell>
          <cell r="BH70" t="str">
            <v>*</v>
          </cell>
          <cell r="BM70">
            <v>152</v>
          </cell>
          <cell r="BN70">
            <v>286</v>
          </cell>
        </row>
        <row r="71">
          <cell r="A71">
            <v>251537413</v>
          </cell>
          <cell r="D71">
            <v>2040903547941</v>
          </cell>
          <cell r="F71">
            <v>0.4</v>
          </cell>
          <cell r="G71" t="str">
            <v>930</v>
          </cell>
          <cell r="BC71">
            <v>558</v>
          </cell>
          <cell r="BH71" t="str">
            <v>*</v>
          </cell>
          <cell r="BM71">
            <v>188</v>
          </cell>
          <cell r="BN71">
            <v>877</v>
          </cell>
        </row>
        <row r="72">
          <cell r="A72">
            <v>251516159</v>
          </cell>
          <cell r="D72">
            <v>2040902555480</v>
          </cell>
          <cell r="F72">
            <v>0.3</v>
          </cell>
          <cell r="G72" t="str">
            <v>913</v>
          </cell>
          <cell r="BC72">
            <v>0</v>
          </cell>
          <cell r="BM72">
            <v>137</v>
          </cell>
          <cell r="BN72">
            <v>210</v>
          </cell>
        </row>
        <row r="73">
          <cell r="A73">
            <v>251407392</v>
          </cell>
          <cell r="D73">
            <v>2040900511679</v>
          </cell>
          <cell r="F73">
            <v>0.4</v>
          </cell>
          <cell r="G73" t="str">
            <v>1235</v>
          </cell>
          <cell r="BC73">
            <v>741</v>
          </cell>
          <cell r="BH73" t="str">
            <v>*</v>
          </cell>
          <cell r="BM73">
            <v>192</v>
          </cell>
          <cell r="BN73">
            <v>643</v>
          </cell>
        </row>
        <row r="74">
          <cell r="A74">
            <v>302564795</v>
          </cell>
          <cell r="D74">
            <v>2042253544953</v>
          </cell>
          <cell r="F74">
            <v>0.3</v>
          </cell>
          <cell r="G74" t="str">
            <v>1084</v>
          </cell>
          <cell r="BC74">
            <v>0</v>
          </cell>
          <cell r="BM74">
            <v>0</v>
          </cell>
          <cell r="BN74">
            <v>1</v>
          </cell>
        </row>
        <row r="75">
          <cell r="A75">
            <v>273588520</v>
          </cell>
          <cell r="D75">
            <v>2041534216404</v>
          </cell>
          <cell r="F75">
            <v>0.4</v>
          </cell>
          <cell r="G75" t="str">
            <v>1617</v>
          </cell>
          <cell r="BC75">
            <v>970</v>
          </cell>
          <cell r="BH75" t="str">
            <v>*</v>
          </cell>
          <cell r="BM75">
            <v>6</v>
          </cell>
          <cell r="BN75">
            <v>203</v>
          </cell>
        </row>
        <row r="76">
          <cell r="A76">
            <v>273589771</v>
          </cell>
          <cell r="D76">
            <v>2041534288661</v>
          </cell>
          <cell r="F76">
            <v>0.4</v>
          </cell>
          <cell r="G76" t="str">
            <v>1730</v>
          </cell>
          <cell r="BC76">
            <v>1038</v>
          </cell>
          <cell r="BH76" t="str">
            <v>*</v>
          </cell>
          <cell r="BM76">
            <v>10</v>
          </cell>
          <cell r="BN76">
            <v>94</v>
          </cell>
        </row>
        <row r="77">
          <cell r="A77">
            <v>273556717</v>
          </cell>
          <cell r="D77">
            <v>2041533648312</v>
          </cell>
          <cell r="F77">
            <v>0.4</v>
          </cell>
          <cell r="G77" t="str">
            <v>868</v>
          </cell>
          <cell r="BC77">
            <v>521</v>
          </cell>
          <cell r="BH77" t="str">
            <v>*</v>
          </cell>
          <cell r="BM77">
            <v>134</v>
          </cell>
          <cell r="BN77">
            <v>193</v>
          </cell>
        </row>
        <row r="78">
          <cell r="A78">
            <v>370594147</v>
          </cell>
          <cell r="D78">
            <v>2043369755509</v>
          </cell>
          <cell r="F78">
            <v>0.4</v>
          </cell>
          <cell r="G78" t="str">
            <v>1153</v>
          </cell>
          <cell r="BC78">
            <v>692</v>
          </cell>
          <cell r="BH78" t="str">
            <v>*</v>
          </cell>
          <cell r="BM78">
            <v>106</v>
          </cell>
          <cell r="BN78">
            <v>244</v>
          </cell>
        </row>
        <row r="79">
          <cell r="A79">
            <v>321959186</v>
          </cell>
          <cell r="D79">
            <v>2042678197468</v>
          </cell>
          <cell r="F79">
            <v>0.4</v>
          </cell>
          <cell r="G79" t="str">
            <v>992</v>
          </cell>
          <cell r="BC79">
            <v>595</v>
          </cell>
          <cell r="BH79" t="str">
            <v>*</v>
          </cell>
          <cell r="BM79">
            <v>31</v>
          </cell>
          <cell r="BN79">
            <v>246</v>
          </cell>
        </row>
        <row r="80">
          <cell r="A80">
            <v>273546535</v>
          </cell>
          <cell r="D80">
            <v>2041533399818</v>
          </cell>
          <cell r="F80">
            <v>0.4</v>
          </cell>
          <cell r="G80" t="str">
            <v>1785</v>
          </cell>
          <cell r="BC80">
            <v>1071</v>
          </cell>
          <cell r="BH80" t="str">
            <v>*</v>
          </cell>
          <cell r="BM80">
            <v>78</v>
          </cell>
          <cell r="BN80">
            <v>999</v>
          </cell>
        </row>
        <row r="81">
          <cell r="A81">
            <v>273551028</v>
          </cell>
          <cell r="D81">
            <v>2041533587000</v>
          </cell>
          <cell r="F81">
            <v>0.3</v>
          </cell>
          <cell r="G81" t="str">
            <v>1227</v>
          </cell>
          <cell r="BC81">
            <v>0</v>
          </cell>
          <cell r="BM81">
            <v>0</v>
          </cell>
          <cell r="BN81">
            <v>1</v>
          </cell>
        </row>
        <row r="82">
          <cell r="A82">
            <v>273527791</v>
          </cell>
          <cell r="D82">
            <v>2041533038113</v>
          </cell>
          <cell r="F82">
            <v>0.4</v>
          </cell>
          <cell r="G82" t="str">
            <v>1303</v>
          </cell>
          <cell r="BC82">
            <v>782</v>
          </cell>
          <cell r="BH82" t="str">
            <v>*</v>
          </cell>
          <cell r="BM82">
            <v>122</v>
          </cell>
          <cell r="BN82">
            <v>999</v>
          </cell>
        </row>
        <row r="83">
          <cell r="A83">
            <v>327442631</v>
          </cell>
          <cell r="D83">
            <v>2042777181566</v>
          </cell>
          <cell r="F83">
            <v>0.4</v>
          </cell>
          <cell r="G83" t="str">
            <v>1277</v>
          </cell>
          <cell r="BC83">
            <v>766</v>
          </cell>
          <cell r="BH83" t="str">
            <v>*</v>
          </cell>
          <cell r="BM83">
            <v>82</v>
          </cell>
          <cell r="BN83">
            <v>999</v>
          </cell>
        </row>
        <row r="84">
          <cell r="A84">
            <v>340948906</v>
          </cell>
          <cell r="D84">
            <v>2042988749289</v>
          </cell>
          <cell r="F84">
            <v>0.3</v>
          </cell>
          <cell r="G84" t="str">
            <v>1741</v>
          </cell>
          <cell r="BC84">
            <v>0</v>
          </cell>
          <cell r="BM84">
            <v>0</v>
          </cell>
          <cell r="BN84">
            <v>1</v>
          </cell>
        </row>
        <row r="85">
          <cell r="A85">
            <v>340802685</v>
          </cell>
          <cell r="D85">
            <v>2042987041841</v>
          </cell>
          <cell r="F85">
            <v>0.4</v>
          </cell>
          <cell r="G85" t="str">
            <v>1713</v>
          </cell>
          <cell r="BC85">
            <v>1028</v>
          </cell>
          <cell r="BH85" t="str">
            <v>*</v>
          </cell>
          <cell r="BM85">
            <v>19</v>
          </cell>
          <cell r="BN85">
            <v>999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З_ФФ"/>
      <sheetName val="Сводная Озон"/>
      <sheetName val="ТЗ_ФФ (2)"/>
      <sheetName val="Итог"/>
      <sheetName val="АДЫГЕЙСК_РФЦ"/>
      <sheetName val="АСТАНА_РФЦ"/>
      <sheetName val="ВОЛГОГРАД_МРФЦ"/>
      <sheetName val="ДОМОДЕДОВО_РФЦ"/>
      <sheetName val="Екатеринбург_РФЦ_НОВЫЙ"/>
      <sheetName val="Казань_РФЦ_НОВЫЙ"/>
      <sheetName val="КАЛИНИНГРАД_МРФЦ"/>
      <sheetName val="КРАСНОЯРСК_МРФЦ"/>
      <sheetName val="МИНСК_МПСЦ"/>
      <sheetName val="НЕВИННОМЫССК_РФЦ"/>
      <sheetName val="Новосибирск_РФЦ_Новый"/>
      <sheetName val="НОВОРОССИЙСК_МРФЦ"/>
      <sheetName val="ОМСК_РФЦ"/>
      <sheetName val="ОРЕНБУРГ_РФЦ"/>
      <sheetName val="ПЕРМЬ_РФЦ"/>
      <sheetName val="ПУШКИНО_1_РФЦ"/>
      <sheetName val="Ростов_на_Дону_РФЦ"/>
      <sheetName val="САМАРА_РФЦ"/>
      <sheetName val="Санкт_Петербург_РФЦ"/>
      <sheetName val="СОФЬИНО_РФЦ"/>
      <sheetName val="СПБ_КОЛПИНО_РФЦ"/>
      <sheetName val="СПБ_ШУШАРЫ_РФЦ"/>
      <sheetName val="ТВЕРЬ_РФЦ"/>
      <sheetName val="ТЮМЕНЬ_РФЦ"/>
      <sheetName val="УФА_РФЦ"/>
      <sheetName val="ХАБАРОВСК_2_РФЦ"/>
      <sheetName val="ЯРОСЛАВЛЬ_РФЦ"/>
    </sheetNames>
    <sheetDataSet>
      <sheetData sheetId="0">
        <row r="1">
          <cell r="D1" t="str">
            <v>Бар-код</v>
          </cell>
          <cell r="BG1" t="str">
            <v>Услуга</v>
          </cell>
        </row>
        <row r="2">
          <cell r="D2"/>
          <cell r="BG2" t="str">
            <v>Цена на ед.</v>
          </cell>
        </row>
        <row r="3">
          <cell r="D3" t="str">
            <v>дата поставки</v>
          </cell>
          <cell r="BG3"/>
        </row>
        <row r="4">
          <cell r="D4" t="str">
            <v>время отгрузки</v>
          </cell>
          <cell r="BG4"/>
        </row>
        <row r="5">
          <cell r="D5" t="str">
            <v>Точка отгрузки</v>
          </cell>
          <cell r="BG5"/>
        </row>
        <row r="6">
          <cell r="D6">
            <v>2038162681926</v>
          </cell>
          <cell r="BG6">
            <v>14</v>
          </cell>
        </row>
        <row r="7">
          <cell r="D7">
            <v>2038172050200</v>
          </cell>
          <cell r="BG7">
            <v>14</v>
          </cell>
        </row>
        <row r="8">
          <cell r="D8">
            <v>2038430289250</v>
          </cell>
          <cell r="BG8">
            <v>14</v>
          </cell>
        </row>
        <row r="9">
          <cell r="D9">
            <v>2041591042329</v>
          </cell>
          <cell r="BG9">
            <v>14</v>
          </cell>
        </row>
        <row r="10">
          <cell r="D10">
            <v>2041591055954</v>
          </cell>
          <cell r="BG10">
            <v>14</v>
          </cell>
        </row>
        <row r="11">
          <cell r="D11">
            <v>2039813223373</v>
          </cell>
          <cell r="BG11">
            <v>14</v>
          </cell>
        </row>
        <row r="12">
          <cell r="D12">
            <v>2040278804496</v>
          </cell>
          <cell r="BG12">
            <v>14</v>
          </cell>
        </row>
        <row r="13">
          <cell r="D13">
            <v>2040278810534</v>
          </cell>
          <cell r="BG13">
            <v>14</v>
          </cell>
        </row>
        <row r="14">
          <cell r="D14">
            <v>2040278804649</v>
          </cell>
          <cell r="BG14">
            <v>14</v>
          </cell>
        </row>
        <row r="15">
          <cell r="D15">
            <v>2039818580389</v>
          </cell>
          <cell r="BG15">
            <v>14</v>
          </cell>
        </row>
        <row r="16">
          <cell r="D16">
            <v>2043369663040</v>
          </cell>
          <cell r="BG16">
            <v>14</v>
          </cell>
        </row>
        <row r="17">
          <cell r="D17">
            <v>2044025326637</v>
          </cell>
          <cell r="BG17">
            <v>14</v>
          </cell>
        </row>
        <row r="18">
          <cell r="D18">
            <v>2044025316447</v>
          </cell>
          <cell r="BG18">
            <v>14</v>
          </cell>
        </row>
        <row r="19">
          <cell r="D19">
            <v>2044025338661</v>
          </cell>
          <cell r="BG19">
            <v>14</v>
          </cell>
        </row>
        <row r="20">
          <cell r="D20">
            <v>2044025288003</v>
          </cell>
          <cell r="BG20">
            <v>14</v>
          </cell>
        </row>
        <row r="21">
          <cell r="D21">
            <v>2044025344532</v>
          </cell>
          <cell r="BG21">
            <v>14</v>
          </cell>
        </row>
        <row r="22">
          <cell r="D22">
            <v>2044025321588</v>
          </cell>
          <cell r="BG22">
            <v>14</v>
          </cell>
        </row>
        <row r="23">
          <cell r="D23">
            <v>2044025342057</v>
          </cell>
          <cell r="BG23">
            <v>14</v>
          </cell>
        </row>
        <row r="24">
          <cell r="D24">
            <v>2044025291485</v>
          </cell>
          <cell r="BG24">
            <v>14</v>
          </cell>
        </row>
        <row r="25">
          <cell r="D25">
            <v>2044025354937</v>
          </cell>
          <cell r="BG25">
            <v>14</v>
          </cell>
        </row>
        <row r="26">
          <cell r="D26">
            <v>2044025347953</v>
          </cell>
          <cell r="BG26">
            <v>14</v>
          </cell>
        </row>
        <row r="27">
          <cell r="D27">
            <v>2042985583893</v>
          </cell>
          <cell r="BG27">
            <v>8</v>
          </cell>
        </row>
        <row r="28">
          <cell r="D28">
            <v>2042986356632</v>
          </cell>
          <cell r="BG28">
            <v>8</v>
          </cell>
        </row>
        <row r="29">
          <cell r="D29">
            <v>2042986372359</v>
          </cell>
          <cell r="BG29">
            <v>8</v>
          </cell>
        </row>
        <row r="30">
          <cell r="D30">
            <v>2042986377583</v>
          </cell>
          <cell r="BG30">
            <v>8</v>
          </cell>
        </row>
        <row r="31">
          <cell r="D31">
            <v>2048933027488</v>
          </cell>
          <cell r="BG31">
            <v>27</v>
          </cell>
        </row>
        <row r="32">
          <cell r="D32">
            <v>2046392546618</v>
          </cell>
          <cell r="BG32">
            <v>27</v>
          </cell>
        </row>
        <row r="33">
          <cell r="D33">
            <v>2046392546632</v>
          </cell>
          <cell r="BG33">
            <v>46</v>
          </cell>
        </row>
        <row r="34">
          <cell r="D34">
            <v>2046392546656</v>
          </cell>
          <cell r="BG34">
            <v>37</v>
          </cell>
        </row>
        <row r="35">
          <cell r="D35">
            <v>2046391283330</v>
          </cell>
          <cell r="BG35">
            <v>14</v>
          </cell>
        </row>
        <row r="36">
          <cell r="D36">
            <v>2046391283385</v>
          </cell>
          <cell r="BG36">
            <v>14</v>
          </cell>
        </row>
        <row r="37">
          <cell r="D37">
            <v>2046391283415</v>
          </cell>
          <cell r="BG37">
            <v>14</v>
          </cell>
        </row>
        <row r="38">
          <cell r="D38">
            <v>2046391283446</v>
          </cell>
          <cell r="BG38">
            <v>14</v>
          </cell>
        </row>
        <row r="39">
          <cell r="D39">
            <v>2046391283507</v>
          </cell>
          <cell r="BG39">
            <v>14</v>
          </cell>
        </row>
        <row r="40">
          <cell r="D40">
            <v>2046391283545</v>
          </cell>
          <cell r="BG40">
            <v>14</v>
          </cell>
        </row>
        <row r="41">
          <cell r="D41">
            <v>2046391283569</v>
          </cell>
          <cell r="BG41">
            <v>14</v>
          </cell>
        </row>
        <row r="42">
          <cell r="D42">
            <v>2046391283613</v>
          </cell>
          <cell r="BG42">
            <v>14</v>
          </cell>
        </row>
        <row r="43">
          <cell r="D43">
            <v>2038606201642</v>
          </cell>
          <cell r="BG43">
            <v>38</v>
          </cell>
        </row>
        <row r="44">
          <cell r="D44">
            <v>2038606256161</v>
          </cell>
          <cell r="BG44">
            <v>38</v>
          </cell>
        </row>
        <row r="45">
          <cell r="D45">
            <v>2040335648124</v>
          </cell>
          <cell r="BG45">
            <v>14</v>
          </cell>
        </row>
        <row r="46">
          <cell r="D46">
            <v>2040335626849</v>
          </cell>
          <cell r="BG46">
            <v>14</v>
          </cell>
        </row>
        <row r="47">
          <cell r="D47">
            <v>2039404446068</v>
          </cell>
          <cell r="BG47">
            <v>35</v>
          </cell>
        </row>
        <row r="48">
          <cell r="D48">
            <v>2038597850744</v>
          </cell>
          <cell r="BG48">
            <v>14</v>
          </cell>
        </row>
        <row r="49">
          <cell r="D49">
            <v>2038627692689</v>
          </cell>
          <cell r="BG49">
            <v>38</v>
          </cell>
        </row>
        <row r="50">
          <cell r="D50">
            <v>2038627713902</v>
          </cell>
          <cell r="BG50">
            <v>38</v>
          </cell>
        </row>
        <row r="51">
          <cell r="D51">
            <v>2038337652454</v>
          </cell>
          <cell r="BG51">
            <v>14</v>
          </cell>
        </row>
        <row r="52">
          <cell r="D52">
            <v>2038891723249</v>
          </cell>
          <cell r="BG52">
            <v>24</v>
          </cell>
        </row>
        <row r="53">
          <cell r="D53">
            <v>2044025155923</v>
          </cell>
          <cell r="BG53">
            <v>24</v>
          </cell>
        </row>
        <row r="54">
          <cell r="D54">
            <v>2044516485386</v>
          </cell>
          <cell r="BG54">
            <v>24</v>
          </cell>
        </row>
        <row r="55">
          <cell r="D55">
            <v>2044516498812</v>
          </cell>
          <cell r="BG55">
            <v>24</v>
          </cell>
        </row>
        <row r="56">
          <cell r="D56">
            <v>2038890789598</v>
          </cell>
          <cell r="BG56">
            <v>24</v>
          </cell>
        </row>
        <row r="57">
          <cell r="D57">
            <v>2042160422832</v>
          </cell>
          <cell r="BG57">
            <v>24</v>
          </cell>
        </row>
        <row r="58">
          <cell r="D58">
            <v>2041680530447</v>
          </cell>
          <cell r="BG58">
            <v>24</v>
          </cell>
        </row>
        <row r="59">
          <cell r="D59">
            <v>2043048226719</v>
          </cell>
          <cell r="BG59">
            <v>24</v>
          </cell>
        </row>
        <row r="60">
          <cell r="D60">
            <v>2041532808502</v>
          </cell>
          <cell r="BG60">
            <v>24</v>
          </cell>
        </row>
        <row r="61">
          <cell r="D61">
            <v>2043369755509</v>
          </cell>
          <cell r="BG61">
            <v>14</v>
          </cell>
        </row>
        <row r="62">
          <cell r="D62">
            <v>2041533648312</v>
          </cell>
          <cell r="BG62">
            <v>14</v>
          </cell>
        </row>
        <row r="63">
          <cell r="D63">
            <v>2042678197468</v>
          </cell>
          <cell r="BG63">
            <v>8</v>
          </cell>
        </row>
        <row r="64">
          <cell r="D64">
            <v>2041533038113</v>
          </cell>
          <cell r="BG64">
            <v>14</v>
          </cell>
        </row>
        <row r="65">
          <cell r="D65">
            <v>2042777181566</v>
          </cell>
          <cell r="BG65">
            <v>14</v>
          </cell>
        </row>
        <row r="66">
          <cell r="D66">
            <v>2041533399818</v>
          </cell>
          <cell r="BG66">
            <v>14</v>
          </cell>
        </row>
        <row r="67">
          <cell r="D67">
            <v>2040903547941</v>
          </cell>
          <cell r="BG67">
            <v>14</v>
          </cell>
        </row>
        <row r="68">
          <cell r="D68">
            <v>2040903539366</v>
          </cell>
          <cell r="BG68">
            <v>14</v>
          </cell>
        </row>
        <row r="69">
          <cell r="D69">
            <v>2040900511679</v>
          </cell>
          <cell r="BG69">
            <v>14</v>
          </cell>
        </row>
        <row r="70">
          <cell r="D70">
            <v>2040902555480</v>
          </cell>
          <cell r="BG70">
            <v>14</v>
          </cell>
        </row>
        <row r="71">
          <cell r="D71">
            <v>2041473034138</v>
          </cell>
          <cell r="BG71">
            <v>29</v>
          </cell>
        </row>
        <row r="72">
          <cell r="D72">
            <v>2041473034145</v>
          </cell>
          <cell r="BG72">
            <v>29</v>
          </cell>
        </row>
        <row r="73">
          <cell r="D73">
            <v>2041473034169</v>
          </cell>
          <cell r="BG73">
            <v>29</v>
          </cell>
        </row>
        <row r="74">
          <cell r="D74"/>
          <cell r="BG74" t="str">
            <v>ИТОГО ФФ на товары</v>
          </cell>
        </row>
        <row r="75">
          <cell r="BG75" t="str">
            <v>ИТОГО ФФ за все услуги</v>
          </cell>
        </row>
        <row r="77">
          <cell r="BG77" t="str">
            <v>Работа</v>
          </cell>
        </row>
        <row r="78">
          <cell r="BG78" t="str">
            <v>разгрузка короба</v>
          </cell>
        </row>
        <row r="79">
          <cell r="BG79" t="str">
            <v>разгрузка мешков</v>
          </cell>
        </row>
        <row r="80">
          <cell r="BG80" t="str">
            <v>снятие обрешетки</v>
          </cell>
        </row>
        <row r="81">
          <cell r="BG81" t="str">
            <v>короба</v>
          </cell>
        </row>
        <row r="82">
          <cell r="BG82" t="str">
            <v>палетты</v>
          </cell>
        </row>
        <row r="83">
          <cell r="BG83" t="str">
            <v>доставка на ВБ короб</v>
          </cell>
        </row>
        <row r="84">
          <cell r="BG84" t="str">
            <v>доставка на ВБ короб</v>
          </cell>
        </row>
        <row r="85">
          <cell r="BG85" t="str">
            <v>доставка на ВБ палет</v>
          </cell>
        </row>
        <row r="86">
          <cell r="BG86" t="str">
            <v>доставка на ВБ палет</v>
          </cell>
        </row>
        <row r="87">
          <cell r="BG87" t="str">
            <v>ИТОГО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Расчет стоимости и веса"/>
      <sheetName val="Лист1"/>
    </sheetNames>
    <sheetDataSet>
      <sheetData sheetId="0">
        <row r="1">
          <cell r="D1" t="str">
            <v>Кол-во, шт. протянуть формулу и изменять в ручную.</v>
          </cell>
          <cell r="E1" t="str">
            <v>цена, юань</v>
          </cell>
          <cell r="I1" t="str">
            <v>Арт ВБ</v>
          </cell>
          <cell r="J1" t="str">
            <v>Арт ВБ для комплекта</v>
          </cell>
          <cell r="M1" t="str">
            <v>вес ед., кг</v>
          </cell>
          <cell r="N1" t="str">
            <v>вес, кг</v>
          </cell>
          <cell r="O1" t="str">
            <v>норма упаковки</v>
          </cell>
        </row>
        <row r="2">
          <cell r="D2">
            <v>0</v>
          </cell>
          <cell r="E2">
            <v>5.5</v>
          </cell>
          <cell r="I2">
            <v>169112569</v>
          </cell>
          <cell r="J2">
            <v>169112569</v>
          </cell>
          <cell r="M2">
            <v>0.04</v>
          </cell>
          <cell r="N2">
            <v>0</v>
          </cell>
          <cell r="O2">
            <v>500</v>
          </cell>
        </row>
        <row r="3">
          <cell r="D3">
            <v>40</v>
          </cell>
          <cell r="E3">
            <v>5.5</v>
          </cell>
          <cell r="I3">
            <v>169153168</v>
          </cell>
          <cell r="J3">
            <v>169153168</v>
          </cell>
          <cell r="M3">
            <v>0.04</v>
          </cell>
          <cell r="N3">
            <v>1.6</v>
          </cell>
          <cell r="O3">
            <v>500</v>
          </cell>
        </row>
        <row r="4">
          <cell r="D4">
            <v>0</v>
          </cell>
          <cell r="M4"/>
        </row>
        <row r="5">
          <cell r="D5">
            <v>40</v>
          </cell>
          <cell r="E5">
            <v>13.5</v>
          </cell>
          <cell r="I5">
            <v>169395410</v>
          </cell>
          <cell r="J5">
            <v>169395410</v>
          </cell>
          <cell r="M5">
            <v>0.09</v>
          </cell>
          <cell r="N5">
            <v>3.5999999999999996</v>
          </cell>
          <cell r="O5">
            <v>100</v>
          </cell>
        </row>
        <row r="6">
          <cell r="D6">
            <v>0</v>
          </cell>
          <cell r="E6"/>
          <cell r="I6"/>
          <cell r="J6">
            <v>0</v>
          </cell>
          <cell r="M6"/>
          <cell r="N6">
            <v>0</v>
          </cell>
          <cell r="O6"/>
        </row>
        <row r="7">
          <cell r="D7">
            <v>0</v>
          </cell>
          <cell r="E7">
            <v>1.8</v>
          </cell>
          <cell r="I7">
            <v>173605843</v>
          </cell>
          <cell r="J7">
            <v>173605843</v>
          </cell>
          <cell r="M7">
            <v>0.04</v>
          </cell>
          <cell r="N7">
            <v>0</v>
          </cell>
          <cell r="O7">
            <v>400</v>
          </cell>
        </row>
        <row r="8">
          <cell r="D8">
            <v>0</v>
          </cell>
          <cell r="E8"/>
          <cell r="I8"/>
          <cell r="J8"/>
          <cell r="M8"/>
          <cell r="N8">
            <v>0</v>
          </cell>
          <cell r="O8"/>
        </row>
        <row r="9">
          <cell r="D9">
            <v>10</v>
          </cell>
          <cell r="E9">
            <v>6.3</v>
          </cell>
          <cell r="I9">
            <v>275208801</v>
          </cell>
          <cell r="J9">
            <v>275208801</v>
          </cell>
          <cell r="M9">
            <v>0.16</v>
          </cell>
          <cell r="N9">
            <v>1.6</v>
          </cell>
          <cell r="O9">
            <v>100</v>
          </cell>
        </row>
        <row r="10">
          <cell r="D10">
            <v>60</v>
          </cell>
          <cell r="E10">
            <v>6.3</v>
          </cell>
          <cell r="I10">
            <v>275208802</v>
          </cell>
          <cell r="J10">
            <v>275208802</v>
          </cell>
          <cell r="M10">
            <v>0.16</v>
          </cell>
          <cell r="N10">
            <v>9.6</v>
          </cell>
          <cell r="O10">
            <v>100</v>
          </cell>
        </row>
        <row r="11">
          <cell r="D11">
            <v>50</v>
          </cell>
          <cell r="E11">
            <v>6.3</v>
          </cell>
          <cell r="I11">
            <v>223420736</v>
          </cell>
          <cell r="J11">
            <v>223420736</v>
          </cell>
          <cell r="M11">
            <v>0.16</v>
          </cell>
          <cell r="N11">
            <v>8</v>
          </cell>
          <cell r="O11">
            <v>100</v>
          </cell>
        </row>
        <row r="12">
          <cell r="D12">
            <v>0</v>
          </cell>
          <cell r="M12"/>
        </row>
        <row r="13">
          <cell r="D13">
            <v>125</v>
          </cell>
          <cell r="E13">
            <v>2.9</v>
          </cell>
          <cell r="I13">
            <v>236072835</v>
          </cell>
          <cell r="J13">
            <v>236072835</v>
          </cell>
          <cell r="M13">
            <v>0.04</v>
          </cell>
          <cell r="N13">
            <v>5</v>
          </cell>
          <cell r="O13">
            <v>400</v>
          </cell>
        </row>
        <row r="14">
          <cell r="D14">
            <v>300</v>
          </cell>
          <cell r="E14">
            <v>2.9</v>
          </cell>
          <cell r="I14">
            <v>236072836</v>
          </cell>
          <cell r="J14">
            <v>236072836</v>
          </cell>
          <cell r="M14">
            <v>0.04</v>
          </cell>
          <cell r="N14">
            <v>12</v>
          </cell>
          <cell r="O14">
            <v>400</v>
          </cell>
        </row>
        <row r="15">
          <cell r="D15">
            <v>120</v>
          </cell>
          <cell r="E15">
            <v>2.9</v>
          </cell>
          <cell r="I15">
            <v>236072834</v>
          </cell>
          <cell r="J15">
            <v>236072834</v>
          </cell>
          <cell r="M15">
            <v>0.04</v>
          </cell>
          <cell r="N15">
            <v>4.8</v>
          </cell>
          <cell r="O15">
            <v>400</v>
          </cell>
        </row>
        <row r="16">
          <cell r="D16">
            <v>20</v>
          </cell>
          <cell r="E16">
            <v>2.9</v>
          </cell>
          <cell r="I16">
            <v>223671295</v>
          </cell>
          <cell r="J16">
            <v>223671295</v>
          </cell>
          <cell r="M16">
            <v>0.04</v>
          </cell>
          <cell r="N16">
            <v>0.8</v>
          </cell>
          <cell r="O16">
            <v>400</v>
          </cell>
        </row>
        <row r="17">
          <cell r="D17">
            <v>250</v>
          </cell>
          <cell r="E17">
            <v>1.9</v>
          </cell>
          <cell r="I17">
            <v>370591238</v>
          </cell>
          <cell r="J17">
            <v>370591238</v>
          </cell>
          <cell r="M17">
            <v>0.04</v>
          </cell>
          <cell r="N17">
            <v>10</v>
          </cell>
          <cell r="O17">
            <v>450</v>
          </cell>
        </row>
        <row r="18">
          <cell r="D18">
            <v>0</v>
          </cell>
          <cell r="M18"/>
        </row>
        <row r="19">
          <cell r="D19">
            <v>300</v>
          </cell>
          <cell r="E19">
            <v>2.1</v>
          </cell>
          <cell r="I19">
            <v>419145391</v>
          </cell>
          <cell r="J19">
            <v>419145391</v>
          </cell>
          <cell r="M19">
            <v>0.06</v>
          </cell>
          <cell r="N19">
            <v>18</v>
          </cell>
          <cell r="O19"/>
        </row>
        <row r="20">
          <cell r="D20">
            <v>60</v>
          </cell>
          <cell r="E20">
            <v>2.1</v>
          </cell>
          <cell r="I20">
            <v>419145389</v>
          </cell>
          <cell r="J20">
            <v>419145389</v>
          </cell>
          <cell r="M20">
            <v>0.06</v>
          </cell>
          <cell r="N20">
            <v>3.5999999999999996</v>
          </cell>
          <cell r="O20"/>
        </row>
        <row r="21">
          <cell r="D21">
            <v>40</v>
          </cell>
          <cell r="E21">
            <v>2.1</v>
          </cell>
          <cell r="I21">
            <v>419145748</v>
          </cell>
          <cell r="J21">
            <v>419145748</v>
          </cell>
          <cell r="M21">
            <v>0.06</v>
          </cell>
          <cell r="N21">
            <v>2.4</v>
          </cell>
          <cell r="O21"/>
        </row>
        <row r="22">
          <cell r="D22">
            <v>30</v>
          </cell>
          <cell r="E22">
            <v>2.1</v>
          </cell>
          <cell r="I22">
            <v>419141548</v>
          </cell>
          <cell r="J22">
            <v>419141548</v>
          </cell>
          <cell r="M22">
            <v>0.06</v>
          </cell>
          <cell r="N22">
            <v>1.7999999999999998</v>
          </cell>
          <cell r="O22"/>
        </row>
        <row r="23">
          <cell r="D23">
            <v>30</v>
          </cell>
          <cell r="E23">
            <v>2.1</v>
          </cell>
          <cell r="I23">
            <v>419145985</v>
          </cell>
          <cell r="J23">
            <v>419145985</v>
          </cell>
          <cell r="M23">
            <v>0.06</v>
          </cell>
          <cell r="N23">
            <v>1.7999999999999998</v>
          </cell>
          <cell r="O23"/>
        </row>
        <row r="24">
          <cell r="D24">
            <v>0</v>
          </cell>
          <cell r="M24"/>
        </row>
        <row r="25">
          <cell r="D25">
            <v>150</v>
          </cell>
          <cell r="E25">
            <v>3.1</v>
          </cell>
          <cell r="I25">
            <v>419145390</v>
          </cell>
          <cell r="J25">
            <v>419145390</v>
          </cell>
          <cell r="M25">
            <v>0.1</v>
          </cell>
          <cell r="N25">
            <v>15</v>
          </cell>
          <cell r="O25"/>
        </row>
        <row r="26">
          <cell r="D26">
            <v>40</v>
          </cell>
          <cell r="E26">
            <v>3.1</v>
          </cell>
          <cell r="I26">
            <v>419145749</v>
          </cell>
          <cell r="J26">
            <v>419145749</v>
          </cell>
          <cell r="M26">
            <v>0.1</v>
          </cell>
          <cell r="N26">
            <v>4</v>
          </cell>
          <cell r="O26"/>
        </row>
        <row r="27">
          <cell r="D27">
            <v>100</v>
          </cell>
          <cell r="E27">
            <v>3.1</v>
          </cell>
          <cell r="I27">
            <v>419141549</v>
          </cell>
          <cell r="J27">
            <v>419141549</v>
          </cell>
          <cell r="M27">
            <v>0.1</v>
          </cell>
          <cell r="N27">
            <v>10</v>
          </cell>
          <cell r="O27"/>
        </row>
        <row r="28">
          <cell r="D28">
            <v>30</v>
          </cell>
          <cell r="E28">
            <v>3.1</v>
          </cell>
          <cell r="I28">
            <v>419145986</v>
          </cell>
          <cell r="J28">
            <v>419145986</v>
          </cell>
          <cell r="M28">
            <v>0.1</v>
          </cell>
          <cell r="N28">
            <v>3</v>
          </cell>
          <cell r="O28"/>
        </row>
        <row r="29">
          <cell r="D29">
            <v>80</v>
          </cell>
          <cell r="E29">
            <v>3.1</v>
          </cell>
          <cell r="I29">
            <v>419146579</v>
          </cell>
          <cell r="J29">
            <v>419146579</v>
          </cell>
          <cell r="M29">
            <v>0.1</v>
          </cell>
          <cell r="N29">
            <v>8</v>
          </cell>
          <cell r="O29"/>
        </row>
        <row r="30">
          <cell r="D30">
            <v>0</v>
          </cell>
          <cell r="I30"/>
          <cell r="J30"/>
          <cell r="M30"/>
          <cell r="N30"/>
          <cell r="O30"/>
        </row>
        <row r="31">
          <cell r="D31">
            <v>60</v>
          </cell>
          <cell r="E31">
            <v>21</v>
          </cell>
          <cell r="I31">
            <v>820643010</v>
          </cell>
          <cell r="J31">
            <v>820643010</v>
          </cell>
          <cell r="M31">
            <v>0.36499999999999999</v>
          </cell>
          <cell r="N31">
            <v>21.9</v>
          </cell>
          <cell r="O31"/>
        </row>
        <row r="32">
          <cell r="D32">
            <v>30</v>
          </cell>
          <cell r="E32">
            <v>29</v>
          </cell>
          <cell r="I32">
            <v>550539998</v>
          </cell>
          <cell r="J32">
            <v>550539998</v>
          </cell>
          <cell r="M32">
            <v>0.24</v>
          </cell>
          <cell r="N32">
            <v>7.1999999999999993</v>
          </cell>
          <cell r="O32"/>
        </row>
        <row r="33">
          <cell r="D33">
            <v>0</v>
          </cell>
          <cell r="E33">
            <v>15.2</v>
          </cell>
          <cell r="I33">
            <v>550539999</v>
          </cell>
          <cell r="J33">
            <v>550539999</v>
          </cell>
          <cell r="M33">
            <v>0.25</v>
          </cell>
          <cell r="N33">
            <v>0</v>
          </cell>
          <cell r="O33"/>
        </row>
        <row r="34">
          <cell r="D34">
            <v>0</v>
          </cell>
          <cell r="E34">
            <v>0.82</v>
          </cell>
          <cell r="I34">
            <v>550540000</v>
          </cell>
          <cell r="J34" t="str">
            <v>550540000/1</v>
          </cell>
          <cell r="M34">
            <v>1.4E-2</v>
          </cell>
          <cell r="N34">
            <v>0</v>
          </cell>
          <cell r="O34"/>
        </row>
        <row r="35">
          <cell r="D35">
            <v>0</v>
          </cell>
          <cell r="E35">
            <v>1</v>
          </cell>
          <cell r="I35">
            <v>550540000</v>
          </cell>
          <cell r="J35" t="str">
            <v>550540000/2</v>
          </cell>
          <cell r="M35">
            <v>2.1000000000000001E-2</v>
          </cell>
          <cell r="N35">
            <v>0</v>
          </cell>
          <cell r="O35"/>
        </row>
        <row r="36">
          <cell r="D36">
            <v>0</v>
          </cell>
          <cell r="E36">
            <v>1.23</v>
          </cell>
          <cell r="I36">
            <v>550540000</v>
          </cell>
          <cell r="J36" t="str">
            <v>550540000/3</v>
          </cell>
          <cell r="M36">
            <v>2.5999999999999999E-2</v>
          </cell>
          <cell r="N36">
            <v>0</v>
          </cell>
          <cell r="O36"/>
        </row>
        <row r="37">
          <cell r="D37">
            <v>0</v>
          </cell>
          <cell r="E37">
            <v>1.3</v>
          </cell>
          <cell r="I37">
            <v>550540000</v>
          </cell>
          <cell r="J37" t="str">
            <v>550540000/4</v>
          </cell>
          <cell r="M37">
            <v>3.1E-2</v>
          </cell>
          <cell r="N37">
            <v>0</v>
          </cell>
          <cell r="O37"/>
        </row>
        <row r="38">
          <cell r="D38">
            <v>0</v>
          </cell>
          <cell r="E38">
            <v>1.65</v>
          </cell>
          <cell r="I38">
            <v>550540000</v>
          </cell>
          <cell r="J38" t="str">
            <v>550540000/5</v>
          </cell>
          <cell r="M38">
            <v>3.3000000000000002E-2</v>
          </cell>
          <cell r="N38">
            <v>0</v>
          </cell>
          <cell r="O38"/>
        </row>
        <row r="39">
          <cell r="D39">
            <v>0</v>
          </cell>
          <cell r="I39"/>
          <cell r="J39"/>
          <cell r="M39"/>
          <cell r="N39"/>
          <cell r="O39"/>
        </row>
        <row r="40">
          <cell r="D40">
            <v>0</v>
          </cell>
          <cell r="E40">
            <v>17</v>
          </cell>
          <cell r="I40">
            <v>271440668</v>
          </cell>
          <cell r="J40">
            <v>271440668</v>
          </cell>
          <cell r="M40">
            <v>0.17</v>
          </cell>
          <cell r="N40">
            <v>0</v>
          </cell>
          <cell r="O40">
            <v>200</v>
          </cell>
        </row>
        <row r="41">
          <cell r="D41">
            <v>0</v>
          </cell>
          <cell r="E41">
            <v>17</v>
          </cell>
          <cell r="I41">
            <v>271440669</v>
          </cell>
          <cell r="J41">
            <v>271440669</v>
          </cell>
          <cell r="M41">
            <v>0.17</v>
          </cell>
          <cell r="N41">
            <v>0</v>
          </cell>
          <cell r="O41">
            <v>200</v>
          </cell>
        </row>
        <row r="42">
          <cell r="D42">
            <v>0</v>
          </cell>
          <cell r="E42">
            <v>17</v>
          </cell>
          <cell r="I42">
            <v>271440670</v>
          </cell>
          <cell r="J42">
            <v>271440670</v>
          </cell>
          <cell r="M42">
            <v>0.17</v>
          </cell>
          <cell r="N42">
            <v>0</v>
          </cell>
          <cell r="O42">
            <v>200</v>
          </cell>
        </row>
        <row r="43">
          <cell r="D43">
            <v>0</v>
          </cell>
          <cell r="M43"/>
        </row>
        <row r="44">
          <cell r="D44">
            <v>0</v>
          </cell>
          <cell r="E44">
            <v>4.5</v>
          </cell>
          <cell r="I44">
            <v>271440668</v>
          </cell>
          <cell r="J44">
            <v>271440668</v>
          </cell>
          <cell r="M44">
            <v>3.5000000000000003E-2</v>
          </cell>
          <cell r="N44">
            <v>0</v>
          </cell>
          <cell r="O44">
            <v>300</v>
          </cell>
        </row>
        <row r="45">
          <cell r="D45">
            <v>0</v>
          </cell>
          <cell r="E45">
            <v>4.5</v>
          </cell>
          <cell r="I45">
            <v>271440669</v>
          </cell>
          <cell r="J45">
            <v>271440669</v>
          </cell>
          <cell r="M45">
            <v>3.5000000000000003E-2</v>
          </cell>
          <cell r="N45">
            <v>0</v>
          </cell>
          <cell r="O45">
            <v>300</v>
          </cell>
        </row>
        <row r="46">
          <cell r="D46">
            <v>0</v>
          </cell>
          <cell r="E46">
            <v>4.5</v>
          </cell>
          <cell r="I46">
            <v>271440670</v>
          </cell>
          <cell r="J46">
            <v>271440670</v>
          </cell>
          <cell r="M46">
            <v>3.5000000000000003E-2</v>
          </cell>
          <cell r="N46">
            <v>0</v>
          </cell>
          <cell r="O46">
            <v>300</v>
          </cell>
        </row>
        <row r="47">
          <cell r="D47">
            <v>0</v>
          </cell>
          <cell r="E47">
            <v>4.5</v>
          </cell>
          <cell r="I47">
            <v>550445272</v>
          </cell>
          <cell r="J47">
            <v>550445272</v>
          </cell>
          <cell r="M47">
            <v>3.5000000000000003E-2</v>
          </cell>
          <cell r="N47">
            <v>0</v>
          </cell>
          <cell r="O47">
            <v>300</v>
          </cell>
        </row>
        <row r="48">
          <cell r="D48">
            <v>0</v>
          </cell>
          <cell r="E48">
            <v>4.5</v>
          </cell>
          <cell r="I48">
            <v>550445274</v>
          </cell>
          <cell r="J48">
            <v>550445274</v>
          </cell>
          <cell r="M48">
            <v>3.5000000000000003E-2</v>
          </cell>
          <cell r="N48">
            <v>0</v>
          </cell>
          <cell r="O48">
            <v>300</v>
          </cell>
        </row>
        <row r="49">
          <cell r="D49">
            <v>0</v>
          </cell>
          <cell r="E49">
            <v>4.5</v>
          </cell>
          <cell r="I49">
            <v>550445275</v>
          </cell>
          <cell r="J49">
            <v>550445275</v>
          </cell>
          <cell r="M49">
            <v>3.5000000000000003E-2</v>
          </cell>
          <cell r="N49">
            <v>0</v>
          </cell>
          <cell r="O49">
            <v>300</v>
          </cell>
        </row>
        <row r="50">
          <cell r="D50">
            <v>0</v>
          </cell>
          <cell r="E50">
            <v>4.5</v>
          </cell>
          <cell r="I50">
            <v>550445277</v>
          </cell>
          <cell r="J50">
            <v>550445277</v>
          </cell>
          <cell r="M50">
            <v>3.5000000000000003E-2</v>
          </cell>
          <cell r="N50">
            <v>0</v>
          </cell>
          <cell r="O50">
            <v>300</v>
          </cell>
        </row>
        <row r="51">
          <cell r="D51">
            <v>0</v>
          </cell>
          <cell r="E51">
            <v>4.5</v>
          </cell>
          <cell r="I51">
            <v>550445279</v>
          </cell>
          <cell r="J51">
            <v>550445279</v>
          </cell>
          <cell r="M51">
            <v>3.5000000000000003E-2</v>
          </cell>
          <cell r="N51">
            <v>0</v>
          </cell>
          <cell r="O51">
            <v>300</v>
          </cell>
        </row>
        <row r="52">
          <cell r="D52">
            <v>0</v>
          </cell>
        </row>
        <row r="53">
          <cell r="D53">
            <v>40</v>
          </cell>
          <cell r="E53">
            <v>1.76</v>
          </cell>
          <cell r="I53">
            <v>176721350</v>
          </cell>
          <cell r="J53" t="str">
            <v>176721350/1</v>
          </cell>
          <cell r="M53">
            <v>0.03</v>
          </cell>
          <cell r="N53">
            <v>1.2</v>
          </cell>
          <cell r="O53"/>
        </row>
        <row r="54">
          <cell r="D54">
            <v>40</v>
          </cell>
          <cell r="E54">
            <v>2.35</v>
          </cell>
          <cell r="I54">
            <v>176721350</v>
          </cell>
          <cell r="J54" t="str">
            <v>176721350/2</v>
          </cell>
          <cell r="M54">
            <v>0.04</v>
          </cell>
          <cell r="N54">
            <v>1.6</v>
          </cell>
          <cell r="O54"/>
        </row>
        <row r="55">
          <cell r="D55">
            <v>40</v>
          </cell>
          <cell r="E55">
            <v>2.76</v>
          </cell>
          <cell r="I55">
            <v>176721350</v>
          </cell>
          <cell r="J55" t="str">
            <v>176721350/3</v>
          </cell>
          <cell r="M55">
            <v>0.06</v>
          </cell>
          <cell r="N55">
            <v>2.4</v>
          </cell>
          <cell r="O55"/>
        </row>
        <row r="56">
          <cell r="D56">
            <v>80</v>
          </cell>
          <cell r="E56">
            <v>1.76</v>
          </cell>
          <cell r="I56">
            <v>176723275</v>
          </cell>
          <cell r="J56" t="str">
            <v>176723275/1</v>
          </cell>
          <cell r="M56">
            <v>0.03</v>
          </cell>
          <cell r="N56">
            <v>2.4</v>
          </cell>
          <cell r="O56"/>
        </row>
        <row r="57">
          <cell r="D57">
            <v>80</v>
          </cell>
          <cell r="E57">
            <v>2.35</v>
          </cell>
          <cell r="I57">
            <v>176723275</v>
          </cell>
          <cell r="J57" t="str">
            <v>176723275/2</v>
          </cell>
          <cell r="M57">
            <v>0.04</v>
          </cell>
          <cell r="N57">
            <v>3.2</v>
          </cell>
          <cell r="O57"/>
        </row>
        <row r="58">
          <cell r="D58">
            <v>80</v>
          </cell>
          <cell r="E58">
            <v>2.76</v>
          </cell>
          <cell r="I58">
            <v>176723275</v>
          </cell>
          <cell r="J58" t="str">
            <v>176723275/3</v>
          </cell>
          <cell r="M58">
            <v>0.06</v>
          </cell>
          <cell r="N58">
            <v>4.8</v>
          </cell>
          <cell r="O58"/>
        </row>
        <row r="59">
          <cell r="D59">
            <v>0</v>
          </cell>
          <cell r="E59"/>
          <cell r="I59"/>
          <cell r="J59"/>
          <cell r="M59"/>
          <cell r="N59">
            <v>0</v>
          </cell>
          <cell r="O59"/>
        </row>
        <row r="60">
          <cell r="D60">
            <v>0</v>
          </cell>
          <cell r="E60">
            <v>2.2000000000000002</v>
          </cell>
          <cell r="I60">
            <v>236074677</v>
          </cell>
          <cell r="J60" t="str">
            <v>236074677/1</v>
          </cell>
          <cell r="M60">
            <v>3.5000000000000003E-2</v>
          </cell>
          <cell r="N60">
            <v>0</v>
          </cell>
          <cell r="O60"/>
        </row>
        <row r="61">
          <cell r="D61">
            <v>0</v>
          </cell>
          <cell r="E61">
            <v>2.75</v>
          </cell>
          <cell r="I61">
            <v>236074677</v>
          </cell>
          <cell r="J61" t="str">
            <v>236074677/2</v>
          </cell>
          <cell r="M61">
            <v>0.06</v>
          </cell>
          <cell r="N61">
            <v>0</v>
          </cell>
          <cell r="O61"/>
        </row>
        <row r="62">
          <cell r="D62">
            <v>40</v>
          </cell>
          <cell r="E62">
            <v>2.75</v>
          </cell>
          <cell r="I62">
            <v>204615141</v>
          </cell>
          <cell r="J62" t="str">
            <v>204615141/1</v>
          </cell>
          <cell r="M62">
            <v>0.03</v>
          </cell>
          <cell r="N62">
            <v>1.2</v>
          </cell>
          <cell r="O62"/>
        </row>
        <row r="63">
          <cell r="D63">
            <v>40</v>
          </cell>
          <cell r="E63">
            <v>2.2000000000000002</v>
          </cell>
          <cell r="I63">
            <v>204615141</v>
          </cell>
          <cell r="J63" t="str">
            <v>204615141/2</v>
          </cell>
          <cell r="M63">
            <v>0.03</v>
          </cell>
          <cell r="N63">
            <v>1.2</v>
          </cell>
          <cell r="O63"/>
        </row>
        <row r="64">
          <cell r="D64">
            <v>0</v>
          </cell>
          <cell r="E64"/>
          <cell r="I64"/>
          <cell r="J64"/>
          <cell r="M64"/>
          <cell r="N64">
            <v>0</v>
          </cell>
          <cell r="O64"/>
        </row>
        <row r="65">
          <cell r="D65">
            <v>0</v>
          </cell>
          <cell r="E65">
            <v>1.9</v>
          </cell>
          <cell r="I65"/>
          <cell r="J65">
            <v>0</v>
          </cell>
          <cell r="M65"/>
          <cell r="N65">
            <v>0</v>
          </cell>
          <cell r="O65"/>
        </row>
        <row r="66">
          <cell r="D66">
            <v>0</v>
          </cell>
          <cell r="E66">
            <v>2.4</v>
          </cell>
          <cell r="I66"/>
          <cell r="J66">
            <v>0</v>
          </cell>
          <cell r="M66"/>
          <cell r="N66">
            <v>0</v>
          </cell>
          <cell r="O66"/>
        </row>
        <row r="67">
          <cell r="D67">
            <v>0</v>
          </cell>
          <cell r="E67">
            <v>2.8</v>
          </cell>
          <cell r="I67"/>
          <cell r="J67">
            <v>0</v>
          </cell>
          <cell r="M67"/>
          <cell r="N67">
            <v>0</v>
          </cell>
          <cell r="O67"/>
        </row>
        <row r="68">
          <cell r="D68">
            <v>130</v>
          </cell>
          <cell r="E68">
            <v>3.6</v>
          </cell>
          <cell r="I68">
            <v>236929188</v>
          </cell>
          <cell r="J68">
            <v>236929188</v>
          </cell>
          <cell r="M68">
            <v>0.1</v>
          </cell>
          <cell r="N68">
            <v>13</v>
          </cell>
          <cell r="O68"/>
        </row>
        <row r="69">
          <cell r="D69">
            <v>0</v>
          </cell>
          <cell r="E69">
            <v>1.9</v>
          </cell>
          <cell r="I69"/>
          <cell r="J69">
            <v>0</v>
          </cell>
          <cell r="M69"/>
          <cell r="N69">
            <v>0</v>
          </cell>
          <cell r="O69"/>
        </row>
        <row r="70">
          <cell r="D70">
            <v>0</v>
          </cell>
          <cell r="E70">
            <v>2.4</v>
          </cell>
          <cell r="I70"/>
          <cell r="J70">
            <v>0</v>
          </cell>
          <cell r="M70"/>
          <cell r="N70">
            <v>0</v>
          </cell>
          <cell r="O70"/>
        </row>
        <row r="71">
          <cell r="D71">
            <v>0</v>
          </cell>
          <cell r="E71">
            <v>2.8</v>
          </cell>
          <cell r="I71"/>
          <cell r="J71">
            <v>0</v>
          </cell>
          <cell r="M71"/>
          <cell r="N71">
            <v>0</v>
          </cell>
          <cell r="O71"/>
        </row>
        <row r="72">
          <cell r="D72">
            <v>100</v>
          </cell>
          <cell r="E72">
            <v>3.6</v>
          </cell>
          <cell r="I72">
            <v>236929187</v>
          </cell>
          <cell r="J72">
            <v>236929187</v>
          </cell>
          <cell r="M72">
            <v>0.1</v>
          </cell>
          <cell r="N72">
            <v>10</v>
          </cell>
          <cell r="O72"/>
        </row>
        <row r="73">
          <cell r="D73">
            <v>0</v>
          </cell>
        </row>
        <row r="74">
          <cell r="D74">
            <v>0</v>
          </cell>
          <cell r="E74">
            <v>1.6</v>
          </cell>
          <cell r="I74">
            <v>177404837</v>
          </cell>
          <cell r="J74" t="str">
            <v>177404837/1</v>
          </cell>
          <cell r="M74">
            <v>0.02</v>
          </cell>
          <cell r="N74">
            <v>0</v>
          </cell>
          <cell r="O74"/>
        </row>
        <row r="75">
          <cell r="D75">
            <v>0</v>
          </cell>
          <cell r="E75">
            <v>2.86</v>
          </cell>
          <cell r="I75">
            <v>177404837</v>
          </cell>
          <cell r="J75" t="str">
            <v>177404837/2</v>
          </cell>
          <cell r="M75">
            <v>0.05</v>
          </cell>
          <cell r="N75">
            <v>0</v>
          </cell>
          <cell r="O75"/>
        </row>
        <row r="76">
          <cell r="D76">
            <v>0</v>
          </cell>
          <cell r="E76">
            <v>3.8</v>
          </cell>
          <cell r="I76">
            <v>177404837</v>
          </cell>
          <cell r="J76" t="str">
            <v>177404837/3</v>
          </cell>
          <cell r="M76">
            <v>7.0000000000000007E-2</v>
          </cell>
          <cell r="N76">
            <v>0</v>
          </cell>
          <cell r="O76"/>
        </row>
        <row r="77">
          <cell r="D77">
            <v>40</v>
          </cell>
          <cell r="E77">
            <v>3.2</v>
          </cell>
          <cell r="I77">
            <v>177405495</v>
          </cell>
          <cell r="J77" t="str">
            <v>177405495/1</v>
          </cell>
          <cell r="M77">
            <v>0.06</v>
          </cell>
          <cell r="N77">
            <v>2.4</v>
          </cell>
          <cell r="O77"/>
        </row>
        <row r="78">
          <cell r="D78">
            <v>40</v>
          </cell>
          <cell r="E78">
            <v>2.5</v>
          </cell>
          <cell r="I78">
            <v>177405495</v>
          </cell>
          <cell r="J78" t="str">
            <v>177405495/2</v>
          </cell>
          <cell r="M78">
            <v>0.03</v>
          </cell>
          <cell r="N78">
            <v>1.2</v>
          </cell>
          <cell r="O78"/>
        </row>
        <row r="79">
          <cell r="D79">
            <v>40</v>
          </cell>
          <cell r="E79">
            <v>2.5</v>
          </cell>
          <cell r="I79">
            <v>177405495</v>
          </cell>
          <cell r="J79" t="str">
            <v>177405495/3</v>
          </cell>
          <cell r="M79">
            <v>0.03</v>
          </cell>
          <cell r="N79">
            <v>1.2</v>
          </cell>
          <cell r="O79"/>
        </row>
        <row r="80">
          <cell r="D80">
            <v>20</v>
          </cell>
          <cell r="E80">
            <v>3.2</v>
          </cell>
          <cell r="I80">
            <v>176500218</v>
          </cell>
          <cell r="J80">
            <v>176500218</v>
          </cell>
          <cell r="M80">
            <v>0.06</v>
          </cell>
          <cell r="N80">
            <v>1.2</v>
          </cell>
          <cell r="O80"/>
        </row>
        <row r="81">
          <cell r="D81">
            <v>20</v>
          </cell>
          <cell r="E81">
            <v>19.600000000000001</v>
          </cell>
          <cell r="I81">
            <v>172832355</v>
          </cell>
          <cell r="J81">
            <v>172832355</v>
          </cell>
          <cell r="M81">
            <v>0.315</v>
          </cell>
          <cell r="N81">
            <v>6.3</v>
          </cell>
          <cell r="O81"/>
        </row>
        <row r="82">
          <cell r="D82">
            <v>0</v>
          </cell>
        </row>
        <row r="83">
          <cell r="D83">
            <v>320</v>
          </cell>
          <cell r="E83">
            <v>5.9</v>
          </cell>
          <cell r="I83">
            <v>278515093</v>
          </cell>
          <cell r="J83">
            <v>278515093</v>
          </cell>
          <cell r="M83">
            <v>0.15</v>
          </cell>
          <cell r="N83">
            <v>48</v>
          </cell>
          <cell r="O83">
            <v>80</v>
          </cell>
        </row>
        <row r="84">
          <cell r="D84">
            <v>40</v>
          </cell>
          <cell r="E84">
            <v>5.9</v>
          </cell>
          <cell r="I84">
            <v>345168494</v>
          </cell>
          <cell r="J84">
            <v>345168494</v>
          </cell>
          <cell r="M84">
            <v>0.15</v>
          </cell>
          <cell r="N84">
            <v>6</v>
          </cell>
          <cell r="O84">
            <v>80</v>
          </cell>
        </row>
        <row r="85">
          <cell r="D85">
            <v>40</v>
          </cell>
          <cell r="E85">
            <v>5.9</v>
          </cell>
          <cell r="I85">
            <v>273516556</v>
          </cell>
          <cell r="J85">
            <v>273516556</v>
          </cell>
          <cell r="M85">
            <v>0.15</v>
          </cell>
          <cell r="N85">
            <v>6</v>
          </cell>
          <cell r="O85">
            <v>90</v>
          </cell>
        </row>
        <row r="86">
          <cell r="D86">
            <v>0</v>
          </cell>
          <cell r="E86">
            <v>14.5</v>
          </cell>
          <cell r="I86">
            <v>186800214</v>
          </cell>
          <cell r="J86">
            <v>186800214</v>
          </cell>
          <cell r="M86">
            <v>0.16500000000000001</v>
          </cell>
          <cell r="N86">
            <v>0</v>
          </cell>
          <cell r="O86">
            <v>60</v>
          </cell>
        </row>
        <row r="87">
          <cell r="D87">
            <v>0</v>
          </cell>
          <cell r="E87">
            <v>14.5</v>
          </cell>
          <cell r="I87">
            <v>298193176</v>
          </cell>
          <cell r="J87">
            <v>298193176</v>
          </cell>
          <cell r="M87">
            <v>0.16500000000000001</v>
          </cell>
          <cell r="N87">
            <v>0</v>
          </cell>
          <cell r="O87">
            <v>60</v>
          </cell>
        </row>
        <row r="88">
          <cell r="D88">
            <v>0</v>
          </cell>
        </row>
        <row r="89">
          <cell r="D89">
            <v>72</v>
          </cell>
          <cell r="E89">
            <v>9.5</v>
          </cell>
          <cell r="I89">
            <v>186826338</v>
          </cell>
          <cell r="J89">
            <v>186826338</v>
          </cell>
          <cell r="M89">
            <v>0.16</v>
          </cell>
          <cell r="N89">
            <v>11.52</v>
          </cell>
          <cell r="O89">
            <v>72</v>
          </cell>
        </row>
        <row r="90">
          <cell r="D90">
            <v>72</v>
          </cell>
          <cell r="E90">
            <v>9.5</v>
          </cell>
          <cell r="I90">
            <v>419130077</v>
          </cell>
          <cell r="J90">
            <v>419130077</v>
          </cell>
          <cell r="M90">
            <v>0.16</v>
          </cell>
          <cell r="N90">
            <v>11.52</v>
          </cell>
          <cell r="O90">
            <v>72</v>
          </cell>
        </row>
        <row r="91">
          <cell r="D91">
            <v>72</v>
          </cell>
          <cell r="E91">
            <v>9.5</v>
          </cell>
          <cell r="I91">
            <v>448248943</v>
          </cell>
          <cell r="J91">
            <v>448248943</v>
          </cell>
          <cell r="M91">
            <v>0.16</v>
          </cell>
          <cell r="N91">
            <v>11.52</v>
          </cell>
          <cell r="O91">
            <v>72</v>
          </cell>
        </row>
        <row r="92">
          <cell r="D92">
            <v>36</v>
          </cell>
          <cell r="E92">
            <v>9.5</v>
          </cell>
          <cell r="I92">
            <v>448254852</v>
          </cell>
          <cell r="J92">
            <v>448254852</v>
          </cell>
          <cell r="M92">
            <v>0.16</v>
          </cell>
          <cell r="N92">
            <v>5.76</v>
          </cell>
          <cell r="O92">
            <v>72</v>
          </cell>
        </row>
        <row r="93">
          <cell r="D93">
            <v>0</v>
          </cell>
          <cell r="E93"/>
          <cell r="I93"/>
          <cell r="J93"/>
          <cell r="M93"/>
          <cell r="N93"/>
          <cell r="O93"/>
        </row>
        <row r="94">
          <cell r="D94">
            <v>90</v>
          </cell>
          <cell r="E94">
            <v>6.3</v>
          </cell>
          <cell r="I94">
            <v>370594147</v>
          </cell>
          <cell r="J94">
            <v>370594147</v>
          </cell>
          <cell r="M94">
            <v>0.05</v>
          </cell>
          <cell r="N94">
            <v>4.5</v>
          </cell>
          <cell r="O94">
            <v>72</v>
          </cell>
        </row>
        <row r="95">
          <cell r="D95">
            <v>90</v>
          </cell>
          <cell r="E95">
            <v>6.3</v>
          </cell>
          <cell r="I95">
            <v>273556717</v>
          </cell>
          <cell r="J95">
            <v>273556717</v>
          </cell>
          <cell r="M95">
            <v>0.05</v>
          </cell>
          <cell r="N95">
            <v>4.5</v>
          </cell>
          <cell r="O95">
            <v>100</v>
          </cell>
        </row>
        <row r="96">
          <cell r="D96">
            <v>0</v>
          </cell>
        </row>
        <row r="97">
          <cell r="D97">
            <v>0</v>
          </cell>
          <cell r="E97">
            <v>6.5</v>
          </cell>
          <cell r="I97">
            <v>273546535</v>
          </cell>
          <cell r="J97">
            <v>273546535</v>
          </cell>
          <cell r="M97">
            <v>0.2</v>
          </cell>
          <cell r="N97">
            <v>0</v>
          </cell>
          <cell r="O97">
            <v>72</v>
          </cell>
        </row>
        <row r="98">
          <cell r="D98">
            <v>0</v>
          </cell>
          <cell r="E98">
            <v>5.3</v>
          </cell>
          <cell r="I98">
            <v>273551028</v>
          </cell>
          <cell r="J98">
            <v>273551028</v>
          </cell>
          <cell r="M98">
            <v>0.2</v>
          </cell>
          <cell r="N98">
            <v>0</v>
          </cell>
          <cell r="O98">
            <v>72</v>
          </cell>
        </row>
        <row r="99">
          <cell r="D99">
            <v>0</v>
          </cell>
        </row>
        <row r="100">
          <cell r="D100">
            <v>0</v>
          </cell>
          <cell r="E100">
            <v>3.9</v>
          </cell>
          <cell r="I100">
            <v>273527791</v>
          </cell>
          <cell r="J100">
            <v>273527791</v>
          </cell>
          <cell r="M100">
            <v>0.17</v>
          </cell>
          <cell r="N100">
            <v>0</v>
          </cell>
          <cell r="O100">
            <v>72</v>
          </cell>
        </row>
        <row r="101">
          <cell r="D101">
            <v>0</v>
          </cell>
          <cell r="E101">
            <v>3.9</v>
          </cell>
          <cell r="I101">
            <v>327442631</v>
          </cell>
          <cell r="J101">
            <v>327442631</v>
          </cell>
          <cell r="M101">
            <v>0.17</v>
          </cell>
          <cell r="N101">
            <v>0</v>
          </cell>
          <cell r="O101">
            <v>72</v>
          </cell>
        </row>
        <row r="102">
          <cell r="D102">
            <v>0</v>
          </cell>
        </row>
        <row r="103">
          <cell r="D103">
            <v>100</v>
          </cell>
          <cell r="E103">
            <v>5</v>
          </cell>
          <cell r="I103">
            <v>251537223</v>
          </cell>
          <cell r="J103">
            <v>251537223</v>
          </cell>
          <cell r="M103">
            <v>0.08</v>
          </cell>
          <cell r="N103">
            <v>8</v>
          </cell>
          <cell r="O103">
            <v>200</v>
          </cell>
        </row>
        <row r="104">
          <cell r="D104">
            <v>60</v>
          </cell>
          <cell r="E104">
            <v>5</v>
          </cell>
          <cell r="I104">
            <v>251537413</v>
          </cell>
          <cell r="J104">
            <v>251537413</v>
          </cell>
          <cell r="M104">
            <v>0.08</v>
          </cell>
          <cell r="N104">
            <v>4.8</v>
          </cell>
          <cell r="O104">
            <v>200</v>
          </cell>
        </row>
        <row r="105">
          <cell r="D105">
            <v>140</v>
          </cell>
          <cell r="E105">
            <v>5.8</v>
          </cell>
          <cell r="I105">
            <v>251516159</v>
          </cell>
          <cell r="J105">
            <v>251516159</v>
          </cell>
          <cell r="M105">
            <v>0.14000000000000001</v>
          </cell>
          <cell r="N105">
            <v>19.600000000000001</v>
          </cell>
          <cell r="O105">
            <v>200</v>
          </cell>
        </row>
        <row r="106">
          <cell r="D106">
            <v>140</v>
          </cell>
          <cell r="E106">
            <v>5.8</v>
          </cell>
          <cell r="I106">
            <v>251407392</v>
          </cell>
          <cell r="J106">
            <v>251407392</v>
          </cell>
          <cell r="M106">
            <v>0.14000000000000001</v>
          </cell>
          <cell r="N106">
            <v>19.600000000000001</v>
          </cell>
          <cell r="O106">
            <v>200</v>
          </cell>
        </row>
        <row r="112">
          <cell r="D112">
            <v>0</v>
          </cell>
          <cell r="M112"/>
        </row>
        <row r="117">
          <cell r="D117">
            <v>0</v>
          </cell>
          <cell r="I117"/>
          <cell r="J117"/>
          <cell r="M117"/>
          <cell r="N117">
            <v>0</v>
          </cell>
          <cell r="O117"/>
        </row>
        <row r="118">
          <cell r="D118">
            <v>0</v>
          </cell>
          <cell r="I118"/>
          <cell r="J118"/>
          <cell r="M118"/>
          <cell r="N118">
            <v>0</v>
          </cell>
          <cell r="O118"/>
        </row>
        <row r="119">
          <cell r="D119">
            <v>0</v>
          </cell>
          <cell r="M119"/>
        </row>
        <row r="120">
          <cell r="D120">
            <v>0</v>
          </cell>
          <cell r="M120"/>
          <cell r="N120">
            <v>0</v>
          </cell>
        </row>
        <row r="124">
          <cell r="D124">
            <v>0</v>
          </cell>
          <cell r="I124"/>
          <cell r="J124"/>
          <cell r="M124"/>
          <cell r="N124">
            <v>0</v>
          </cell>
          <cell r="O124"/>
        </row>
        <row r="125">
          <cell r="D125">
            <v>0</v>
          </cell>
          <cell r="I125">
            <v>0</v>
          </cell>
          <cell r="J125">
            <v>0</v>
          </cell>
          <cell r="M125"/>
          <cell r="N125">
            <v>0</v>
          </cell>
          <cell r="O125"/>
        </row>
        <row r="133">
          <cell r="I133"/>
          <cell r="J133"/>
          <cell r="M133"/>
          <cell r="N133"/>
          <cell r="O133"/>
        </row>
        <row r="159">
          <cell r="D159"/>
          <cell r="E159">
            <v>2.6</v>
          </cell>
          <cell r="I159">
            <v>0</v>
          </cell>
          <cell r="J159">
            <v>0</v>
          </cell>
          <cell r="M159">
            <v>0.11</v>
          </cell>
          <cell r="N159">
            <v>0</v>
          </cell>
          <cell r="O159"/>
        </row>
        <row r="160">
          <cell r="D160"/>
          <cell r="E160">
            <v>3</v>
          </cell>
          <cell r="I160">
            <v>0</v>
          </cell>
          <cell r="J160">
            <v>0</v>
          </cell>
          <cell r="M160">
            <v>0.17</v>
          </cell>
          <cell r="N160">
            <v>0</v>
          </cell>
          <cell r="O160"/>
        </row>
        <row r="161">
          <cell r="D161"/>
          <cell r="E161">
            <v>5</v>
          </cell>
          <cell r="I161">
            <v>0</v>
          </cell>
          <cell r="J161">
            <v>0</v>
          </cell>
          <cell r="M161">
            <v>0.22</v>
          </cell>
          <cell r="N161">
            <v>0</v>
          </cell>
          <cell r="O161"/>
        </row>
        <row r="162">
          <cell r="D162"/>
          <cell r="E162">
            <v>5.5</v>
          </cell>
          <cell r="I162">
            <v>0</v>
          </cell>
          <cell r="J162">
            <v>0</v>
          </cell>
          <cell r="M162">
            <v>0.315</v>
          </cell>
          <cell r="N162">
            <v>0</v>
          </cell>
          <cell r="O162"/>
        </row>
        <row r="163">
          <cell r="D163"/>
          <cell r="E163">
            <v>6.4</v>
          </cell>
          <cell r="I163">
            <v>0</v>
          </cell>
          <cell r="J163">
            <v>0</v>
          </cell>
          <cell r="M163">
            <v>0.36</v>
          </cell>
          <cell r="N163">
            <v>0</v>
          </cell>
          <cell r="O163"/>
        </row>
        <row r="164">
          <cell r="D164"/>
          <cell r="E164">
            <v>7.5</v>
          </cell>
          <cell r="I164">
            <v>0</v>
          </cell>
          <cell r="J164">
            <v>0</v>
          </cell>
          <cell r="M164">
            <v>0.39</v>
          </cell>
          <cell r="N164">
            <v>0</v>
          </cell>
          <cell r="O164"/>
        </row>
        <row r="165">
          <cell r="D165"/>
          <cell r="E165">
            <v>8</v>
          </cell>
          <cell r="I165">
            <v>0</v>
          </cell>
          <cell r="J165">
            <v>0</v>
          </cell>
          <cell r="M165">
            <v>0.45</v>
          </cell>
          <cell r="N165">
            <v>0</v>
          </cell>
          <cell r="O165"/>
        </row>
        <row r="166">
          <cell r="D166"/>
          <cell r="E166">
            <v>0.13</v>
          </cell>
          <cell r="I166">
            <v>0</v>
          </cell>
          <cell r="J166">
            <v>0</v>
          </cell>
          <cell r="M166">
            <v>7.0000000000000001E-3</v>
          </cell>
          <cell r="N166">
            <v>0</v>
          </cell>
          <cell r="O166"/>
        </row>
        <row r="167">
          <cell r="D167"/>
          <cell r="E167">
            <v>0.14000000000000001</v>
          </cell>
          <cell r="I167">
            <v>0</v>
          </cell>
          <cell r="J167">
            <v>0</v>
          </cell>
          <cell r="M167">
            <v>7.0000000000000001E-3</v>
          </cell>
          <cell r="N167">
            <v>0</v>
          </cell>
          <cell r="O167"/>
        </row>
        <row r="168">
          <cell r="D168"/>
          <cell r="E168">
            <v>0.16</v>
          </cell>
          <cell r="I168">
            <v>0</v>
          </cell>
          <cell r="J168">
            <v>0</v>
          </cell>
          <cell r="M168">
            <v>0.01</v>
          </cell>
          <cell r="N168">
            <v>0</v>
          </cell>
          <cell r="O168"/>
        </row>
        <row r="169">
          <cell r="D169"/>
          <cell r="E169">
            <v>0.19</v>
          </cell>
          <cell r="I169">
            <v>0</v>
          </cell>
          <cell r="J169">
            <v>0</v>
          </cell>
          <cell r="M169">
            <v>0.01</v>
          </cell>
          <cell r="N169">
            <v>0</v>
          </cell>
          <cell r="O169"/>
        </row>
        <row r="170">
          <cell r="D170"/>
          <cell r="E170"/>
          <cell r="I170"/>
          <cell r="J170">
            <v>0</v>
          </cell>
          <cell r="M170"/>
          <cell r="N170">
            <v>0</v>
          </cell>
          <cell r="O170"/>
        </row>
        <row r="171">
          <cell r="D171"/>
          <cell r="E171"/>
          <cell r="I171"/>
          <cell r="J171"/>
          <cell r="M171"/>
          <cell r="N171">
            <v>0</v>
          </cell>
          <cell r="O171"/>
        </row>
        <row r="172">
          <cell r="D172">
            <v>700</v>
          </cell>
          <cell r="E172">
            <v>0.24</v>
          </cell>
          <cell r="I172" t="str">
            <v>ВПП глб 16,5*22</v>
          </cell>
          <cell r="J172" t="str">
            <v>ВПП глб 16,5*22</v>
          </cell>
          <cell r="M172">
            <v>0.01</v>
          </cell>
          <cell r="N172">
            <v>7</v>
          </cell>
          <cell r="O172"/>
        </row>
        <row r="173">
          <cell r="D173"/>
          <cell r="E173">
            <v>0.21</v>
          </cell>
          <cell r="I173" t="str">
            <v>ВПП черн 15*20</v>
          </cell>
          <cell r="J173" t="str">
            <v>ВПП черн 15*20</v>
          </cell>
          <cell r="M173">
            <v>0.01</v>
          </cell>
          <cell r="N173">
            <v>0</v>
          </cell>
          <cell r="O173"/>
        </row>
        <row r="174">
          <cell r="D174"/>
          <cell r="E174">
            <v>0.26</v>
          </cell>
          <cell r="I174" t="str">
            <v>ВПП беж 16,5*22</v>
          </cell>
          <cell r="J174" t="str">
            <v>ВПП беж 16,5*22</v>
          </cell>
          <cell r="M174">
            <v>0.01</v>
          </cell>
          <cell r="N174">
            <v>0</v>
          </cell>
          <cell r="O174"/>
        </row>
        <row r="175">
          <cell r="D175"/>
          <cell r="E175">
            <v>0.22</v>
          </cell>
          <cell r="I175" t="str">
            <v>ВПП глб 15*20</v>
          </cell>
          <cell r="J175" t="str">
            <v>ВПП глб 15*20</v>
          </cell>
          <cell r="M175">
            <v>0.01</v>
          </cell>
          <cell r="N175">
            <v>0</v>
          </cell>
          <cell r="O175"/>
        </row>
        <row r="176">
          <cell r="D176">
            <v>0</v>
          </cell>
          <cell r="E176">
            <v>230866.78999999998</v>
          </cell>
          <cell r="I176"/>
          <cell r="J176" t="str">
            <v>*</v>
          </cell>
          <cell r="M176" t="str">
            <v>Итого вес, кг</v>
          </cell>
          <cell r="N176">
            <v>375.31999999999994</v>
          </cell>
          <cell r="O176"/>
        </row>
        <row r="177">
          <cell r="D177" t="str">
            <v>*</v>
          </cell>
          <cell r="E177">
            <v>9873.6</v>
          </cell>
        </row>
        <row r="178">
          <cell r="D178" t="str">
            <v>*</v>
          </cell>
          <cell r="E178">
            <v>6926.0036999999993</v>
          </cell>
        </row>
        <row r="179">
          <cell r="D179" t="str">
            <v>*</v>
          </cell>
          <cell r="E179">
            <v>247705.94369999997</v>
          </cell>
        </row>
        <row r="180">
          <cell r="D180" t="str">
            <v>*</v>
          </cell>
          <cell r="E180"/>
          <cell r="J180"/>
          <cell r="M180" t="str">
            <v>без обреш</v>
          </cell>
          <cell r="N180"/>
          <cell r="O180" t="str">
            <v>в обреш</v>
          </cell>
        </row>
        <row r="181">
          <cell r="D181" t="str">
            <v>*</v>
          </cell>
          <cell r="E181"/>
          <cell r="J181"/>
          <cell r="M181" t="str">
            <v>товар</v>
          </cell>
          <cell r="N181" t="str">
            <v>упаковка</v>
          </cell>
          <cell r="O181" t="str">
            <v>товар</v>
          </cell>
        </row>
        <row r="182">
          <cell r="D182" t="str">
            <v>*</v>
          </cell>
          <cell r="E182" t="str">
            <v>Количество, шт.</v>
          </cell>
          <cell r="J182"/>
          <cell r="M182">
            <v>213.99999999999994</v>
          </cell>
          <cell r="N182">
            <v>24.18</v>
          </cell>
          <cell r="O182">
            <v>161.32</v>
          </cell>
          <cell r="P182">
            <v>23.8</v>
          </cell>
        </row>
        <row r="183">
          <cell r="D183" t="str">
            <v>*</v>
          </cell>
          <cell r="E183"/>
          <cell r="J183"/>
          <cell r="M183">
            <v>238.17999999999995</v>
          </cell>
          <cell r="N183"/>
          <cell r="O183">
            <v>185.12</v>
          </cell>
        </row>
        <row r="184">
          <cell r="D184" t="str">
            <v>*</v>
          </cell>
          <cell r="E184"/>
          <cell r="I184"/>
          <cell r="J184"/>
          <cell r="N184"/>
          <cell r="O184"/>
        </row>
        <row r="185">
          <cell r="D185" t="str">
            <v>*</v>
          </cell>
          <cell r="E185"/>
          <cell r="I185"/>
          <cell r="J185"/>
          <cell r="N185"/>
        </row>
        <row r="186">
          <cell r="C186">
            <v>80</v>
          </cell>
          <cell r="D186" t="str">
            <v>*</v>
          </cell>
          <cell r="I186" t="str">
            <v>Вес груза по таблице</v>
          </cell>
          <cell r="J186" t="str">
            <v>Вес груза по накладной</v>
          </cell>
          <cell r="M186" t="str">
            <v>Ст-ть доставки, $</v>
          </cell>
          <cell r="N186" t="str">
            <v>Курс дост., $</v>
          </cell>
          <cell r="O186"/>
        </row>
        <row r="187">
          <cell r="C187">
            <v>12.1</v>
          </cell>
          <cell r="D187" t="str">
            <v>&lt;------------ Ввести данные в желтые квадраты --------------&gt;</v>
          </cell>
          <cell r="E187"/>
          <cell r="I187">
            <v>423.29999999999995</v>
          </cell>
          <cell r="J187">
            <v>423.3</v>
          </cell>
          <cell r="L187">
            <v>3.5</v>
          </cell>
          <cell r="M187">
            <v>1667</v>
          </cell>
          <cell r="N187">
            <v>76</v>
          </cell>
        </row>
        <row r="188">
          <cell r="D188" t="str">
            <v>*</v>
          </cell>
          <cell r="E188" t="str">
            <v>Услуги</v>
          </cell>
          <cell r="I188"/>
          <cell r="J188"/>
          <cell r="M188" t="str">
            <v>Вес, кг</v>
          </cell>
          <cell r="N188"/>
          <cell r="O188"/>
        </row>
        <row r="189">
          <cell r="D189" t="str">
            <v>юани</v>
          </cell>
          <cell r="E189" t="str">
            <v>руб.</v>
          </cell>
          <cell r="I189" t="str">
            <v>руб.</v>
          </cell>
          <cell r="J189" t="str">
            <v>Вес товар</v>
          </cell>
          <cell r="M189" t="str">
            <v>упаковка, картон короба</v>
          </cell>
          <cell r="N189" t="str">
            <v>Вес товара в упаковке</v>
          </cell>
          <cell r="O189" t="str">
            <v>Вес обрешетки</v>
          </cell>
        </row>
        <row r="190">
          <cell r="B190">
            <v>19079.899999999998</v>
          </cell>
          <cell r="D190">
            <v>572.39699999999993</v>
          </cell>
          <cell r="E190">
            <v>6926.0036999999993</v>
          </cell>
          <cell r="F190">
            <v>816</v>
          </cell>
          <cell r="I190">
            <v>247666.39369999999</v>
          </cell>
          <cell r="J190">
            <v>375.31999999999994</v>
          </cell>
          <cell r="M190">
            <v>33.480000000000004</v>
          </cell>
          <cell r="N190">
            <v>408.79999999999995</v>
          </cell>
          <cell r="O190">
            <v>14.5</v>
          </cell>
          <cell r="T190">
            <v>8417</v>
          </cell>
          <cell r="Y190">
            <v>143292</v>
          </cell>
        </row>
        <row r="191">
          <cell r="D191" t="str">
            <v>*</v>
          </cell>
          <cell r="I191"/>
          <cell r="J191"/>
          <cell r="M191"/>
          <cell r="N191"/>
          <cell r="O191"/>
        </row>
        <row r="192">
          <cell r="D192" t="str">
            <v>*</v>
          </cell>
        </row>
        <row r="193">
          <cell r="D193" t="str">
            <v>*</v>
          </cell>
        </row>
        <row r="194">
          <cell r="D194" t="str">
            <v>*</v>
          </cell>
        </row>
        <row r="195">
          <cell r="D195" t="str">
            <v>*</v>
          </cell>
        </row>
        <row r="196">
          <cell r="D196" t="str">
            <v>*</v>
          </cell>
        </row>
        <row r="197">
          <cell r="D197" t="str">
            <v>*</v>
          </cell>
        </row>
        <row r="198">
          <cell r="D198" t="str">
            <v>*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8CBB98-CD44-4A65-AE68-39AE10FD95E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5a15ea0-cbbf-4245-a411-b44a7a8dd5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seller-edu.ozon.ru/analytics-and-metrics/graphs/srednee-vremya-dostavki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t.me/FinancialReports_MP_Malitskaya/25" TargetMode="External"/><Relationship Id="rId1" Type="http://schemas.openxmlformats.org/officeDocument/2006/relationships/hyperlink" Target="https://seller-edu.ozon.ru/commissions-tariffs/commissions-tariffs-ozon/komissii-tovary-uslugi" TargetMode="External"/><Relationship Id="rId6" Type="http://schemas.openxmlformats.org/officeDocument/2006/relationships/hyperlink" Target="https://seller-edu.ozon.ru/commissions-tariffs/commissions-tariffs-ozon/rashody-na-dostavku" TargetMode="External"/><Relationship Id="rId5" Type="http://schemas.openxmlformats.org/officeDocument/2006/relationships/hyperlink" Target="https://seller-edu.ozon.ru/commissions-tariffs/commissions-tariffs-ozon/rashody-na-otmenu-vozvraty" TargetMode="External"/><Relationship Id="rId4" Type="http://schemas.openxmlformats.org/officeDocument/2006/relationships/hyperlink" Target="https://seller-edu.ozon.ru/commissions-tariffs/commissions-tariffs-ozon/rashody-na-otmenu-vozvraty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592C-0CCB-4477-93CD-EFD584152C01}">
  <sheetPr codeName="Лист1">
    <tabColor rgb="FFFF0000"/>
    <outlinePr summaryBelow="0" summaryRight="0"/>
    <pageSetUpPr fitToPage="1"/>
  </sheetPr>
  <dimension ref="A1:CT85"/>
  <sheetViews>
    <sheetView showZeros="0" tabSelected="1" zoomScaleNormal="100" workbookViewId="0">
      <pane xSplit="5" ySplit="4" topLeftCell="F36" activePane="bottomRight" state="frozen"/>
      <selection pane="topRight" activeCell="F1" sqref="F1"/>
      <selection pane="bottomLeft" activeCell="A5" sqref="A5"/>
      <selection pane="bottomRight" activeCell="BB42" sqref="BB42"/>
    </sheetView>
  </sheetViews>
  <sheetFormatPr defaultColWidth="12.5703125" defaultRowHeight="15" outlineLevelCol="1" x14ac:dyDescent="0.25"/>
  <cols>
    <col min="1" max="1" width="10" style="52" customWidth="1"/>
    <col min="2" max="2" width="12.140625" style="56" customWidth="1"/>
    <col min="3" max="3" width="15.140625" style="52" customWidth="1"/>
    <col min="4" max="4" width="26.7109375" style="55" customWidth="1"/>
    <col min="5" max="5" width="16.85546875" style="56" customWidth="1"/>
    <col min="6" max="6" width="5.7109375" style="126" customWidth="1" collapsed="1"/>
    <col min="7" max="7" width="5.7109375" style="76" hidden="1" customWidth="1" outlineLevel="1"/>
    <col min="8" max="8" width="5.7109375" style="57" hidden="1" customWidth="1" outlineLevel="1"/>
    <col min="9" max="10" width="5.7109375" style="56" hidden="1" customWidth="1" outlineLevel="1"/>
    <col min="11" max="11" width="10" style="275" bestFit="1" customWidth="1" collapsed="1"/>
    <col min="12" max="14" width="5.7109375" style="59" hidden="1" customWidth="1" outlineLevel="1"/>
    <col min="15" max="15" width="5.7109375" style="136" hidden="1" customWidth="1" outlineLevel="1"/>
    <col min="16" max="16" width="5.7109375" style="190" hidden="1" customWidth="1" outlineLevel="1"/>
    <col min="17" max="17" width="5.28515625" style="59" hidden="1" customWidth="1" outlineLevel="1"/>
    <col min="18" max="18" width="3.28515625" style="52" customWidth="1"/>
    <col min="19" max="19" width="5.7109375" style="57" customWidth="1" collapsed="1"/>
    <col min="20" max="20" width="5.7109375" style="130" hidden="1" customWidth="1" outlineLevel="1"/>
    <col min="21" max="21" width="5.7109375" style="58" hidden="1" customWidth="1" outlineLevel="1"/>
    <col min="22" max="22" width="5.7109375" style="185" customWidth="1" collapsed="1"/>
    <col min="23" max="23" width="5.7109375" style="184" hidden="1" customWidth="1" outlineLevel="1"/>
    <col min="24" max="27" width="5.7109375" style="137" hidden="1" customWidth="1" outlineLevel="1"/>
    <col min="28" max="28" width="5.7109375" style="136" hidden="1" customWidth="1" outlineLevel="1"/>
    <col min="29" max="29" width="5.7109375" style="56" hidden="1" customWidth="1" outlineLevel="1"/>
    <col min="30" max="31" width="5.7109375" style="138" hidden="1" customWidth="1" outlineLevel="1"/>
    <col min="32" max="34" width="5.7109375" style="137" hidden="1" customWidth="1" outlineLevel="1"/>
    <col min="35" max="35" width="5.7109375" style="126" hidden="1" customWidth="1" outlineLevel="1"/>
    <col min="36" max="36" width="5.7109375" style="128" customWidth="1" collapsed="1"/>
    <col min="37" max="38" width="5.7109375" style="74" hidden="1" customWidth="1" outlineLevel="1"/>
    <col min="39" max="39" width="5.5703125" style="58" hidden="1" customWidth="1" outlineLevel="1"/>
    <col min="40" max="40" width="5.7109375" style="129" customWidth="1" collapsed="1"/>
    <col min="41" max="42" width="5.7109375" style="56" hidden="1" customWidth="1" outlineLevel="1"/>
    <col min="43" max="43" width="5.7109375" style="58" hidden="1" customWidth="1" outlineLevel="1"/>
    <col min="44" max="44" width="5.7109375" style="271" customWidth="1"/>
    <col min="45" max="45" width="5.7109375" style="129" customWidth="1" collapsed="1"/>
    <col min="46" max="46" width="5.7109375" style="129" hidden="1" customWidth="1" outlineLevel="1" collapsed="1"/>
    <col min="47" max="47" width="5.7109375" style="129" hidden="1" customWidth="1" outlineLevel="1"/>
    <col min="48" max="49" width="5.7109375" style="56" hidden="1" customWidth="1" outlineLevel="1"/>
    <col min="50" max="50" width="5.7109375" style="58" hidden="1" customWidth="1" outlineLevel="1"/>
    <col min="51" max="51" width="5.7109375" style="52" customWidth="1"/>
    <col min="52" max="52" width="6" style="52" customWidth="1"/>
    <col min="53" max="53" width="5.7109375" style="242" customWidth="1"/>
    <col min="54" max="54" width="3.28515625" style="52" customWidth="1"/>
    <col min="55" max="55" width="5.7109375" style="57" customWidth="1" collapsed="1"/>
    <col min="56" max="56" width="5.7109375" style="56" hidden="1" customWidth="1" outlineLevel="1"/>
    <col min="57" max="57" width="5.7109375" style="76" hidden="1" customWidth="1" outlineLevel="1"/>
    <col min="58" max="58" width="5.7109375" style="185" customWidth="1" collapsed="1"/>
    <col min="59" max="60" width="6.5703125" style="184" hidden="1" customWidth="1" outlineLevel="1"/>
    <col min="61" max="62" width="6.5703125" style="185" hidden="1" customWidth="1" outlineLevel="1"/>
    <col min="63" max="63" width="6.5703125" style="204" hidden="1" customWidth="1" outlineLevel="1"/>
    <col min="64" max="65" width="6.5703125" style="185" hidden="1" customWidth="1" outlineLevel="1"/>
    <col min="66" max="66" width="6.5703125" style="204" hidden="1" customWidth="1" outlineLevel="1"/>
    <col min="67" max="67" width="6.5703125" style="205" hidden="1" customWidth="1" outlineLevel="1"/>
    <col min="68" max="69" width="6.5703125" style="56" hidden="1" customWidth="1" outlineLevel="1"/>
    <col min="70" max="70" width="6.5703125" style="184" hidden="1" customWidth="1" outlineLevel="1"/>
    <col min="71" max="71" width="6.5703125" style="56" hidden="1" customWidth="1" outlineLevel="1"/>
    <col min="72" max="72" width="6.5703125" style="184" hidden="1" customWidth="1" outlineLevel="1"/>
    <col min="73" max="73" width="6.5703125" style="185" hidden="1" customWidth="1" outlineLevel="1"/>
    <col min="74" max="74" width="6.5703125" style="126" hidden="1" customWidth="1" outlineLevel="1"/>
    <col min="75" max="75" width="5.7109375" style="128" customWidth="1" collapsed="1"/>
    <col min="76" max="77" width="5.7109375" style="56" hidden="1" customWidth="1" outlineLevel="1"/>
    <col min="78" max="78" width="5.7109375" style="58" hidden="1" customWidth="1" outlineLevel="1"/>
    <col min="79" max="79" width="5.7109375" style="129" customWidth="1" collapsed="1"/>
    <col min="80" max="81" width="5.7109375" style="56" hidden="1" customWidth="1" outlineLevel="1"/>
    <col min="82" max="82" width="8.42578125" style="58" hidden="1" customWidth="1" outlineLevel="1"/>
    <col min="83" max="83" width="5.7109375" style="76" customWidth="1"/>
    <col min="84" max="84" width="5.7109375" style="129" customWidth="1" collapsed="1"/>
    <col min="85" max="85" width="5.7109375" style="129" hidden="1" customWidth="1" outlineLevel="1" collapsed="1"/>
    <col min="86" max="86" width="5.7109375" style="129" hidden="1" customWidth="1" outlineLevel="1"/>
    <col min="87" max="88" width="5.7109375" style="56" hidden="1" customWidth="1" outlineLevel="1"/>
    <col min="89" max="89" width="5.7109375" style="58" hidden="1" customWidth="1" outlineLevel="1"/>
    <col min="90" max="90" width="5.7109375" style="52" customWidth="1"/>
    <col min="91" max="91" width="6" style="56" customWidth="1"/>
    <col min="92" max="92" width="5.7109375" style="242" customWidth="1"/>
    <col min="93" max="93" width="5.7109375" style="129" customWidth="1" collapsed="1"/>
    <col min="94" max="94" width="5.7109375" style="437" customWidth="1" collapsed="1"/>
    <col min="99" max="16384" width="12.5703125" style="52"/>
  </cols>
  <sheetData>
    <row r="1" spans="1:98" s="311" customFormat="1" ht="36.75" customHeight="1" x14ac:dyDescent="0.2">
      <c r="A1" s="301"/>
      <c r="B1" s="302"/>
      <c r="C1" s="303"/>
      <c r="D1" s="303"/>
      <c r="E1" s="302"/>
      <c r="F1" s="567" t="s">
        <v>72</v>
      </c>
      <c r="G1" s="575" t="s">
        <v>118</v>
      </c>
      <c r="H1" s="569" t="s">
        <v>71</v>
      </c>
      <c r="I1" s="571" t="s">
        <v>946</v>
      </c>
      <c r="J1" s="525" t="s">
        <v>945</v>
      </c>
      <c r="K1" s="577" t="s">
        <v>1064</v>
      </c>
      <c r="L1" s="572" t="s">
        <v>1065</v>
      </c>
      <c r="M1" s="573"/>
      <c r="N1" s="573"/>
      <c r="O1" s="573"/>
      <c r="P1" s="573"/>
      <c r="Q1" s="574"/>
      <c r="R1" s="304"/>
      <c r="S1" s="533" t="s">
        <v>108</v>
      </c>
      <c r="T1" s="476" t="s">
        <v>74</v>
      </c>
      <c r="U1" s="477"/>
      <c r="V1" s="523" t="s">
        <v>73</v>
      </c>
      <c r="W1" s="527" t="s">
        <v>609</v>
      </c>
      <c r="X1" s="551" t="s">
        <v>86</v>
      </c>
      <c r="Y1" s="551" t="s">
        <v>1121</v>
      </c>
      <c r="Z1" s="579" t="s">
        <v>1122</v>
      </c>
      <c r="AA1" s="580"/>
      <c r="AB1" s="548" t="s">
        <v>81</v>
      </c>
      <c r="AC1" s="585" t="s">
        <v>1117</v>
      </c>
      <c r="AD1" s="551" t="s">
        <v>1118</v>
      </c>
      <c r="AE1" s="579" t="s">
        <v>84</v>
      </c>
      <c r="AF1" s="580"/>
      <c r="AG1" s="551" t="s">
        <v>961</v>
      </c>
      <c r="AH1" s="551" t="s">
        <v>960</v>
      </c>
      <c r="AI1" s="592" t="s">
        <v>197</v>
      </c>
      <c r="AJ1" s="593" t="s">
        <v>100</v>
      </c>
      <c r="AK1" s="453" t="s">
        <v>69</v>
      </c>
      <c r="AL1" s="441"/>
      <c r="AM1" s="468"/>
      <c r="AN1" s="586" t="s">
        <v>281</v>
      </c>
      <c r="AO1" s="470" t="s">
        <v>69</v>
      </c>
      <c r="AP1" s="471"/>
      <c r="AQ1" s="472"/>
      <c r="AR1" s="588" t="s">
        <v>610</v>
      </c>
      <c r="AS1" s="564" t="s">
        <v>319</v>
      </c>
      <c r="AT1" s="564" t="s">
        <v>320</v>
      </c>
      <c r="AU1" s="542" t="s">
        <v>321</v>
      </c>
      <c r="AV1" s="478" t="s">
        <v>69</v>
      </c>
      <c r="AW1" s="479"/>
      <c r="AX1" s="480"/>
      <c r="AY1" s="583" t="s">
        <v>322</v>
      </c>
      <c r="AZ1" s="545" t="s">
        <v>323</v>
      </c>
      <c r="BA1" s="535" t="s">
        <v>944</v>
      </c>
      <c r="BB1" s="304"/>
      <c r="BC1" s="538" t="s">
        <v>563</v>
      </c>
      <c r="BD1" s="490" t="s">
        <v>615</v>
      </c>
      <c r="BE1" s="491"/>
      <c r="BF1" s="539" t="s">
        <v>564</v>
      </c>
      <c r="BG1" s="530" t="s">
        <v>552</v>
      </c>
      <c r="BH1" s="306" t="s">
        <v>558</v>
      </c>
      <c r="BI1" s="307"/>
      <c r="BJ1" s="307"/>
      <c r="BK1" s="418"/>
      <c r="BL1" s="306" t="s">
        <v>559</v>
      </c>
      <c r="BM1" s="308" t="s">
        <v>560</v>
      </c>
      <c r="BN1" s="306"/>
      <c r="BO1" s="309"/>
      <c r="BP1" s="310"/>
      <c r="BQ1" s="306" t="s">
        <v>558</v>
      </c>
      <c r="BR1" s="306" t="s">
        <v>561</v>
      </c>
      <c r="BS1" s="306" t="s">
        <v>562</v>
      </c>
      <c r="BT1" s="305"/>
      <c r="BU1" s="307"/>
      <c r="BV1" s="557" t="s">
        <v>605</v>
      </c>
      <c r="BW1" s="556" t="s">
        <v>100</v>
      </c>
      <c r="BX1" s="503" t="s">
        <v>69</v>
      </c>
      <c r="BY1" s="504"/>
      <c r="BZ1" s="505"/>
      <c r="CA1" s="561" t="s">
        <v>958</v>
      </c>
      <c r="CB1" s="562" t="s">
        <v>69</v>
      </c>
      <c r="CC1" s="562"/>
      <c r="CD1" s="562"/>
      <c r="CE1" s="561" t="s">
        <v>959</v>
      </c>
      <c r="CF1" s="564" t="s">
        <v>319</v>
      </c>
      <c r="CG1" s="564" t="s">
        <v>320</v>
      </c>
      <c r="CH1" s="542" t="s">
        <v>321</v>
      </c>
      <c r="CI1" s="478" t="s">
        <v>69</v>
      </c>
      <c r="CJ1" s="479"/>
      <c r="CK1" s="480"/>
      <c r="CL1" s="560" t="s">
        <v>322</v>
      </c>
      <c r="CM1" s="520" t="s">
        <v>323</v>
      </c>
      <c r="CN1" s="535" t="s">
        <v>944</v>
      </c>
      <c r="CO1" s="555" t="s">
        <v>1048</v>
      </c>
      <c r="CP1" s="554" t="s">
        <v>1062</v>
      </c>
    </row>
    <row r="2" spans="1:98" s="311" customFormat="1" ht="23.25" customHeight="1" x14ac:dyDescent="0.2">
      <c r="A2" s="312"/>
      <c r="B2" s="313"/>
      <c r="C2" s="314"/>
      <c r="D2" s="314"/>
      <c r="E2" s="313"/>
      <c r="F2" s="568"/>
      <c r="G2" s="576"/>
      <c r="H2" s="569"/>
      <c r="I2" s="571"/>
      <c r="J2" s="526"/>
      <c r="K2" s="578"/>
      <c r="L2" s="315"/>
      <c r="M2" s="316"/>
      <c r="N2" s="316"/>
      <c r="O2" s="317"/>
      <c r="P2" s="318"/>
      <c r="Q2" s="319"/>
      <c r="S2" s="534"/>
      <c r="T2" s="320" t="s">
        <v>194</v>
      </c>
      <c r="U2" s="321" t="s">
        <v>195</v>
      </c>
      <c r="V2" s="524"/>
      <c r="W2" s="528"/>
      <c r="X2" s="552"/>
      <c r="Y2" s="552"/>
      <c r="Z2" s="581"/>
      <c r="AA2" s="582"/>
      <c r="AB2" s="549"/>
      <c r="AC2" s="585"/>
      <c r="AD2" s="553"/>
      <c r="AE2" s="590"/>
      <c r="AF2" s="591"/>
      <c r="AG2" s="553"/>
      <c r="AH2" s="553"/>
      <c r="AI2" s="592"/>
      <c r="AJ2" s="593"/>
      <c r="AK2" s="454"/>
      <c r="AL2" s="442"/>
      <c r="AM2" s="469"/>
      <c r="AN2" s="586"/>
      <c r="AO2" s="473"/>
      <c r="AP2" s="474"/>
      <c r="AQ2" s="475"/>
      <c r="AR2" s="588"/>
      <c r="AS2" s="565"/>
      <c r="AT2" s="565"/>
      <c r="AU2" s="543"/>
      <c r="AV2" s="481"/>
      <c r="AW2" s="482"/>
      <c r="AX2" s="483"/>
      <c r="AY2" s="584"/>
      <c r="AZ2" s="546"/>
      <c r="BA2" s="536"/>
      <c r="BC2" s="538"/>
      <c r="BD2" s="492" t="s">
        <v>194</v>
      </c>
      <c r="BE2" s="493" t="s">
        <v>195</v>
      </c>
      <c r="BF2" s="540"/>
      <c r="BG2" s="531"/>
      <c r="BH2" s="515" t="s">
        <v>565</v>
      </c>
      <c r="BI2" s="516"/>
      <c r="BJ2" s="322" t="s">
        <v>566</v>
      </c>
      <c r="BK2" s="419" t="s">
        <v>1046</v>
      </c>
      <c r="BL2" s="517" t="s">
        <v>567</v>
      </c>
      <c r="BM2" s="518"/>
      <c r="BN2" s="518"/>
      <c r="BO2" s="518"/>
      <c r="BP2" s="518"/>
      <c r="BQ2" s="519"/>
      <c r="BR2" s="323" t="s">
        <v>606</v>
      </c>
      <c r="BS2" s="324" t="s">
        <v>568</v>
      </c>
      <c r="BT2" s="325" t="s">
        <v>569</v>
      </c>
      <c r="BU2" s="326" t="s">
        <v>941</v>
      </c>
      <c r="BV2" s="558"/>
      <c r="BW2" s="556"/>
      <c r="BX2" s="327"/>
      <c r="BY2" s="328"/>
      <c r="BZ2" s="506"/>
      <c r="CA2" s="561"/>
      <c r="CB2" s="562"/>
      <c r="CC2" s="562"/>
      <c r="CD2" s="562"/>
      <c r="CE2" s="561"/>
      <c r="CF2" s="565"/>
      <c r="CG2" s="565"/>
      <c r="CH2" s="543"/>
      <c r="CI2" s="481"/>
      <c r="CJ2" s="482"/>
      <c r="CK2" s="483"/>
      <c r="CL2" s="560"/>
      <c r="CM2" s="521"/>
      <c r="CN2" s="536"/>
      <c r="CO2" s="555"/>
      <c r="CP2" s="554"/>
    </row>
    <row r="3" spans="1:98" s="341" customFormat="1" ht="24" customHeight="1" x14ac:dyDescent="0.25">
      <c r="A3" s="329" t="s">
        <v>83</v>
      </c>
      <c r="B3" s="330" t="s">
        <v>449</v>
      </c>
      <c r="C3" s="329" t="s">
        <v>196</v>
      </c>
      <c r="D3" s="329" t="s">
        <v>0</v>
      </c>
      <c r="E3" s="330" t="s">
        <v>82</v>
      </c>
      <c r="F3" s="568"/>
      <c r="G3" s="576"/>
      <c r="H3" s="570"/>
      <c r="I3" s="525"/>
      <c r="J3" s="331">
        <v>8</v>
      </c>
      <c r="K3" s="332" t="s">
        <v>119</v>
      </c>
      <c r="L3" s="333" t="s">
        <v>177</v>
      </c>
      <c r="M3" s="333" t="s">
        <v>178</v>
      </c>
      <c r="N3" s="333" t="s">
        <v>179</v>
      </c>
      <c r="O3" s="334" t="s">
        <v>176</v>
      </c>
      <c r="P3" s="333" t="s">
        <v>181</v>
      </c>
      <c r="Q3" s="333" t="s">
        <v>180</v>
      </c>
      <c r="S3" s="534"/>
      <c r="T3" s="335" t="s">
        <v>70</v>
      </c>
      <c r="U3" s="336">
        <v>0.3</v>
      </c>
      <c r="V3" s="524"/>
      <c r="W3" s="529"/>
      <c r="X3" s="553"/>
      <c r="Y3" s="553"/>
      <c r="Z3" s="511" t="s">
        <v>66</v>
      </c>
      <c r="AA3" s="511" t="s">
        <v>99</v>
      </c>
      <c r="AB3" s="550"/>
      <c r="AC3" s="338" t="s">
        <v>70</v>
      </c>
      <c r="AD3" s="339" t="s">
        <v>99</v>
      </c>
      <c r="AE3" s="339" t="s">
        <v>99</v>
      </c>
      <c r="AF3" s="340" t="s">
        <v>66</v>
      </c>
      <c r="AG3" s="337"/>
      <c r="AH3" s="337">
        <v>0.03</v>
      </c>
      <c r="AI3" s="592"/>
      <c r="AJ3" s="594"/>
      <c r="AK3" s="443" t="s">
        <v>182</v>
      </c>
      <c r="AL3" s="444" t="s">
        <v>183</v>
      </c>
      <c r="AM3" s="445" t="s">
        <v>198</v>
      </c>
      <c r="AN3" s="587"/>
      <c r="AO3" s="455" t="s">
        <v>182</v>
      </c>
      <c r="AP3" s="455" t="s">
        <v>183</v>
      </c>
      <c r="AQ3" s="456" t="s">
        <v>198</v>
      </c>
      <c r="AR3" s="589"/>
      <c r="AS3" s="566"/>
      <c r="AT3" s="566"/>
      <c r="AU3" s="544"/>
      <c r="AV3" s="342" t="s">
        <v>182</v>
      </c>
      <c r="AW3" s="342" t="s">
        <v>183</v>
      </c>
      <c r="AX3" s="343" t="s">
        <v>198</v>
      </c>
      <c r="AY3" s="584"/>
      <c r="AZ3" s="547"/>
      <c r="BA3" s="537"/>
      <c r="BC3" s="538"/>
      <c r="BD3" s="494" t="s">
        <v>70</v>
      </c>
      <c r="BE3" s="495" t="str">
        <f>'[1]Рассчет акции'!$J$4</f>
        <v>Скидка</v>
      </c>
      <c r="BF3" s="541"/>
      <c r="BG3" s="532"/>
      <c r="BH3" s="344" t="s">
        <v>99</v>
      </c>
      <c r="BI3" s="345" t="s">
        <v>70</v>
      </c>
      <c r="BJ3" s="346">
        <v>0.02</v>
      </c>
      <c r="BK3" s="420"/>
      <c r="BL3" s="347">
        <v>1</v>
      </c>
      <c r="BM3" s="326" t="s">
        <v>570</v>
      </c>
      <c r="BN3" s="348">
        <v>35</v>
      </c>
      <c r="BO3" s="349" t="s">
        <v>99</v>
      </c>
      <c r="BP3" s="324">
        <v>25</v>
      </c>
      <c r="BQ3" s="324" t="s">
        <v>607</v>
      </c>
      <c r="BR3" s="350">
        <v>0.85</v>
      </c>
      <c r="BS3" s="324" t="s">
        <v>608</v>
      </c>
      <c r="BT3" s="350" t="s">
        <v>99</v>
      </c>
      <c r="BU3" s="351"/>
      <c r="BV3" s="559"/>
      <c r="BW3" s="556"/>
      <c r="BX3" s="352" t="s">
        <v>182</v>
      </c>
      <c r="BY3" s="353" t="s">
        <v>183</v>
      </c>
      <c r="BZ3" s="354" t="s">
        <v>198</v>
      </c>
      <c r="CA3" s="561"/>
      <c r="CB3" s="431" t="s">
        <v>182</v>
      </c>
      <c r="CC3" s="431" t="s">
        <v>183</v>
      </c>
      <c r="CD3" s="432" t="s">
        <v>198</v>
      </c>
      <c r="CE3" s="563"/>
      <c r="CF3" s="566"/>
      <c r="CG3" s="566"/>
      <c r="CH3" s="544"/>
      <c r="CI3" s="355" t="s">
        <v>182</v>
      </c>
      <c r="CJ3" s="355" t="s">
        <v>183</v>
      </c>
      <c r="CK3" s="356" t="s">
        <v>198</v>
      </c>
      <c r="CL3" s="560"/>
      <c r="CM3" s="522"/>
      <c r="CN3" s="537"/>
      <c r="CO3" s="555"/>
      <c r="CP3" s="554"/>
    </row>
    <row r="4" spans="1:98" s="53" customFormat="1" ht="15" customHeight="1" x14ac:dyDescent="0.25">
      <c r="A4" s="75" t="s">
        <v>986</v>
      </c>
      <c r="B4" s="75" t="s">
        <v>987</v>
      </c>
      <c r="C4" s="75" t="s">
        <v>988</v>
      </c>
      <c r="D4" s="75" t="s">
        <v>989</v>
      </c>
      <c r="E4" s="75" t="s">
        <v>366</v>
      </c>
      <c r="F4" s="75" t="s">
        <v>367</v>
      </c>
      <c r="G4" s="75" t="s">
        <v>368</v>
      </c>
      <c r="H4" s="75" t="s">
        <v>990</v>
      </c>
      <c r="I4" s="75" t="s">
        <v>991</v>
      </c>
      <c r="J4" s="75" t="s">
        <v>992</v>
      </c>
      <c r="K4" s="75" t="s">
        <v>993</v>
      </c>
      <c r="L4" s="75" t="s">
        <v>994</v>
      </c>
      <c r="M4" s="75" t="s">
        <v>995</v>
      </c>
      <c r="N4" s="75" t="s">
        <v>996</v>
      </c>
      <c r="O4" s="75" t="s">
        <v>997</v>
      </c>
      <c r="P4" s="75" t="s">
        <v>998</v>
      </c>
      <c r="Q4" s="75" t="s">
        <v>999</v>
      </c>
      <c r="R4" s="75" t="s">
        <v>1000</v>
      </c>
      <c r="S4" s="75" t="s">
        <v>1001</v>
      </c>
      <c r="T4" s="75" t="s">
        <v>1002</v>
      </c>
      <c r="U4" s="75" t="s">
        <v>369</v>
      </c>
      <c r="V4" s="75" t="s">
        <v>571</v>
      </c>
      <c r="W4" s="75" t="s">
        <v>370</v>
      </c>
      <c r="X4" s="75" t="s">
        <v>371</v>
      </c>
      <c r="Y4" s="75" t="s">
        <v>373</v>
      </c>
      <c r="Z4" s="75"/>
      <c r="AA4" s="75"/>
      <c r="AB4" s="75" t="s">
        <v>372</v>
      </c>
      <c r="AC4" s="75" t="s">
        <v>374</v>
      </c>
      <c r="AD4" s="75" t="s">
        <v>375</v>
      </c>
      <c r="AE4" s="75" t="s">
        <v>376</v>
      </c>
      <c r="AF4" s="75" t="s">
        <v>1003</v>
      </c>
      <c r="AG4" s="75" t="s">
        <v>377</v>
      </c>
      <c r="AH4" s="75" t="s">
        <v>378</v>
      </c>
      <c r="AI4" s="75" t="s">
        <v>1004</v>
      </c>
      <c r="AJ4" s="446" t="s">
        <v>379</v>
      </c>
      <c r="AK4" s="446" t="s">
        <v>380</v>
      </c>
      <c r="AL4" s="446" t="s">
        <v>381</v>
      </c>
      <c r="AM4" s="446" t="s">
        <v>382</v>
      </c>
      <c r="AN4" s="457" t="s">
        <v>383</v>
      </c>
      <c r="AO4" s="457" t="s">
        <v>1005</v>
      </c>
      <c r="AP4" s="457" t="s">
        <v>1006</v>
      </c>
      <c r="AQ4" s="457" t="s">
        <v>384</v>
      </c>
      <c r="AR4" s="457" t="s">
        <v>385</v>
      </c>
      <c r="AS4" s="484" t="s">
        <v>386</v>
      </c>
      <c r="AT4" s="484" t="s">
        <v>387</v>
      </c>
      <c r="AU4" s="484" t="s">
        <v>388</v>
      </c>
      <c r="AV4" s="484" t="s">
        <v>1007</v>
      </c>
      <c r="AW4" s="484" t="s">
        <v>389</v>
      </c>
      <c r="AX4" s="484" t="s">
        <v>390</v>
      </c>
      <c r="AY4" s="75" t="s">
        <v>1008</v>
      </c>
      <c r="AZ4" s="75" t="s">
        <v>1009</v>
      </c>
      <c r="BA4" s="75" t="s">
        <v>1010</v>
      </c>
      <c r="BB4" s="75" t="s">
        <v>391</v>
      </c>
      <c r="BC4" s="496" t="s">
        <v>392</v>
      </c>
      <c r="BD4" s="496" t="s">
        <v>393</v>
      </c>
      <c r="BE4" s="496" t="s">
        <v>1011</v>
      </c>
      <c r="BF4" s="75" t="s">
        <v>1012</v>
      </c>
      <c r="BG4" s="75" t="s">
        <v>1013</v>
      </c>
      <c r="BH4" s="75" t="s">
        <v>1014</v>
      </c>
      <c r="BI4" s="75" t="s">
        <v>1015</v>
      </c>
      <c r="BJ4" s="75" t="s">
        <v>1016</v>
      </c>
      <c r="BK4" s="421"/>
      <c r="BL4" s="75" t="s">
        <v>1017</v>
      </c>
      <c r="BM4" s="75" t="s">
        <v>1018</v>
      </c>
      <c r="BN4" s="75" t="s">
        <v>1019</v>
      </c>
      <c r="BO4" s="75" t="s">
        <v>1020</v>
      </c>
      <c r="BP4" s="75" t="s">
        <v>1021</v>
      </c>
      <c r="BQ4" s="75" t="s">
        <v>1022</v>
      </c>
      <c r="BR4" s="75" t="s">
        <v>1023</v>
      </c>
      <c r="BS4" s="75" t="s">
        <v>1024</v>
      </c>
      <c r="BT4" s="75" t="s">
        <v>1025</v>
      </c>
      <c r="BU4" s="75" t="s">
        <v>1026</v>
      </c>
      <c r="BV4" s="75" t="s">
        <v>1027</v>
      </c>
      <c r="BW4" s="75" t="s">
        <v>1028</v>
      </c>
      <c r="BX4" s="75" t="s">
        <v>1029</v>
      </c>
      <c r="BY4" s="75" t="s">
        <v>1030</v>
      </c>
      <c r="BZ4" s="75" t="s">
        <v>1031</v>
      </c>
      <c r="CA4" s="75" t="s">
        <v>1032</v>
      </c>
      <c r="CB4" s="75" t="s">
        <v>1033</v>
      </c>
      <c r="CC4" s="75" t="s">
        <v>1034</v>
      </c>
      <c r="CD4" s="75" t="s">
        <v>1035</v>
      </c>
      <c r="CE4" s="75" t="s">
        <v>1036</v>
      </c>
      <c r="CF4" s="75" t="s">
        <v>1037</v>
      </c>
      <c r="CG4" s="75" t="s">
        <v>1038</v>
      </c>
      <c r="CH4" s="75" t="s">
        <v>1039</v>
      </c>
      <c r="CI4" s="75" t="s">
        <v>1040</v>
      </c>
      <c r="CJ4" s="75" t="s">
        <v>1041</v>
      </c>
      <c r="CK4" s="75" t="s">
        <v>1042</v>
      </c>
      <c r="CL4" s="75" t="s">
        <v>1043</v>
      </c>
      <c r="CM4" s="423" t="s">
        <v>1044</v>
      </c>
      <c r="CN4" s="75" t="s">
        <v>1045</v>
      </c>
      <c r="CO4" s="75" t="s">
        <v>1047</v>
      </c>
      <c r="CP4" s="75" t="s">
        <v>1063</v>
      </c>
    </row>
    <row r="5" spans="1:98" ht="24.95" customHeight="1" x14ac:dyDescent="0.25">
      <c r="A5" s="156">
        <v>169112569</v>
      </c>
      <c r="B5" s="158"/>
      <c r="C5" s="156" t="s">
        <v>54</v>
      </c>
      <c r="D5" s="157" t="s">
        <v>207</v>
      </c>
      <c r="E5" s="158">
        <v>2038161736993</v>
      </c>
      <c r="F5" s="278">
        <f t="shared" ref="F5:F17" si="0">SUM(H5:J5)</f>
        <v>126</v>
      </c>
      <c r="G5" s="279">
        <f t="shared" ref="G5:G36" si="1">IFERROR(F5/S5*100%,0)</f>
        <v>0.16894609814963799</v>
      </c>
      <c r="H5" s="438">
        <f>IF(_xlfn.XLOOKUP($C5,'Юнит Карго'!$A:$A,'Юнит Карго'!$G:$G)=0,_xlfn.XLOOKUP(E5,'Себес 1С текущ'!G:G,'Себес 1С текущ'!H:H,0),_xlfn.XLOOKUP($C5,'Юнит Карго'!$A:$A,'Юнит Карго'!$P:$P,0,0))</f>
        <v>104</v>
      </c>
      <c r="I5" s="268">
        <v>14</v>
      </c>
      <c r="J5" s="268">
        <f t="shared" ref="J5:J36" si="2">$J$3</f>
        <v>8</v>
      </c>
      <c r="K5" s="272">
        <f t="shared" ref="K5:K36" si="3">(L5*M5*N5)/1000</f>
        <v>0.33600000000000002</v>
      </c>
      <c r="L5" s="145">
        <v>14</v>
      </c>
      <c r="M5" s="145">
        <v>12</v>
      </c>
      <c r="N5" s="145">
        <v>2</v>
      </c>
      <c r="O5" s="280">
        <f>_xlfn.XLOOKUP($C5,'Юнит Карго'!$A:$A,'Юнит Карго'!$T:$T,0,0)</f>
        <v>0.04</v>
      </c>
      <c r="P5" s="189" t="s">
        <v>75</v>
      </c>
      <c r="Q5" s="145"/>
      <c r="R5" s="357"/>
      <c r="S5" s="285">
        <f t="shared" ref="S5:S70" si="4">T5-(T5*U5)</f>
        <v>745.8</v>
      </c>
      <c r="T5" s="286" t="str">
        <f>_xlfn.XLOOKUP(E5,'[2]Рассчет акции'!$D:$D,'[2]Рассчет акции'!$G:$G,0)</f>
        <v>1243</v>
      </c>
      <c r="U5" s="417">
        <f>_xlfn.XLOOKUP(E5,'[2]Рассчет акции'!$D:$D,'[2]Рассчет акции'!$F:$F,0)</f>
        <v>0.4</v>
      </c>
      <c r="V5" s="235">
        <f>AC5+AF5+AH5+AG5</f>
        <v>402.41624000000002</v>
      </c>
      <c r="W5" s="236">
        <f>IFERROR(V5/S5,0)</f>
        <v>0.53957661571466886</v>
      </c>
      <c r="X5" s="289">
        <f>IF(K5&gt;1,('Тарифы ВБ'!$B$9+(K5-1)*'Тарифы ВБ'!$B$10)*'Тарифы ВБ'!$B$15*'Тарифы ВБ'!$B$12+S5*'Тарифы ВБ'!$B$13,'Тарифы ВБ'!$B$8*'Тарифы ВБ'!$B$15*'Тарифы ВБ'!$B$12+S5*'Тарифы ВБ'!$B$13)</f>
        <v>73.657240000000002</v>
      </c>
      <c r="Y5" s="289">
        <f>IF(K5&gt;1,'Тарифы ВБ'!$B$9+(K5-1)*'Тарифы ВБ'!$B$10,'Тарифы ВБ'!$B$8)</f>
        <v>32</v>
      </c>
      <c r="Z5" s="289">
        <f>SUM(X5:Y5)</f>
        <v>105.65724</v>
      </c>
      <c r="AA5" s="236">
        <f>IFERROR(Z5/S5,0)</f>
        <v>0.141669670152856</v>
      </c>
      <c r="AB5" s="237">
        <f>IF(K5&gt;1,'Тарифы ВБ'!$B$14*'Тарифы ВБ'!$B$16*'Тарифы ВБ'!$B$15+(K5-1)*'Тарифы ВБ'!$B$14,'Тарифы ВБ'!$B$14*'Тарифы ВБ'!B$16*'Тарифы ВБ'!$B$15)</f>
        <v>32</v>
      </c>
      <c r="AC5" s="235">
        <f t="shared" ref="AC5:AC36" si="5">+X5+AB5+Y5</f>
        <v>137.65724</v>
      </c>
      <c r="AD5" s="238">
        <f t="shared" ref="AD5:AD36" si="6">AC5/S5*100%</f>
        <v>0.18457661571466882</v>
      </c>
      <c r="AE5" s="239">
        <v>0.32500000000000001</v>
      </c>
      <c r="AF5" s="237">
        <f t="shared" ref="AF5:AF36" si="7">S5*AE5</f>
        <v>242.38499999999999</v>
      </c>
      <c r="AG5" s="364">
        <f t="shared" ref="AG5:AG36" si="8">1.1*S5*$AG$3</f>
        <v>0</v>
      </c>
      <c r="AH5" s="364">
        <f t="shared" ref="AH5:AH36" si="9">S5*$AH$3</f>
        <v>22.373999999999999</v>
      </c>
      <c r="AI5" s="281">
        <f t="shared" ref="AI5:AI36" si="10">F5+V5</f>
        <v>528.41624000000002</v>
      </c>
      <c r="AJ5" s="447">
        <f t="shared" ref="AJ5:AJ36" si="11">IFERROR(AL5/S5,0)</f>
        <v>0.22147728613569312</v>
      </c>
      <c r="AK5" s="448">
        <f t="shared" ref="AK5:AK36" si="12">S5-AI5</f>
        <v>217.38375999999994</v>
      </c>
      <c r="AL5" s="448">
        <f t="shared" ref="AL5:AL36" si="13">AK5-S5*7%</f>
        <v>165.17775999999992</v>
      </c>
      <c r="AM5" s="449">
        <f t="shared" ref="AM5:AM36" si="14">AL5/H5</f>
        <v>1.5882476923076916</v>
      </c>
      <c r="AN5" s="458">
        <v>829</v>
      </c>
      <c r="AO5" s="459">
        <f t="shared" ref="AO5:AO36" si="15">$AN5-$AI5</f>
        <v>300.58375999999998</v>
      </c>
      <c r="AP5" s="460">
        <f t="shared" ref="AP5:AP36" si="16">$AO5-$AN5*7%</f>
        <v>242.55375999999998</v>
      </c>
      <c r="AQ5" s="461">
        <f t="shared" ref="AQ5:AQ36" si="17">$AP5/$H5*100%</f>
        <v>2.3322476923076922</v>
      </c>
      <c r="AR5" s="462">
        <f t="shared" ref="AR5:AR36" si="18">$AP5/$AN5</f>
        <v>0.29258595898673095</v>
      </c>
      <c r="AS5" s="485" t="str">
        <f>IFERROR(_xlfn.XLOOKUP(A5,'[2]Рассчет акции'!$A:$A,'[2]Рассчет акции'!$BH:$BH),0)</f>
        <v>*</v>
      </c>
      <c r="AT5" s="485">
        <f>IFERROR(_xlfn.XLOOKUP($A5,'[2]Рассчет акции'!$A:$A,'[2]Рассчет акции'!$BC:$BC),0)</f>
        <v>746</v>
      </c>
      <c r="AU5" s="486">
        <f t="shared" ref="AU5:AU36" si="19">IFERROR($AW5/$AT5,0)</f>
        <v>0.2216672386058981</v>
      </c>
      <c r="AV5" s="408">
        <f t="shared" ref="AV5:AV36" si="20">$AT5-$AI5</f>
        <v>217.58375999999998</v>
      </c>
      <c r="AW5" s="408">
        <f t="shared" ref="AW5:AW36" si="21">$AV5-$AT5*7%</f>
        <v>165.36375999999998</v>
      </c>
      <c r="AX5" s="486">
        <f t="shared" ref="AX5:AX36" si="22">$AW5/$H5*100%</f>
        <v>1.5900361538461536</v>
      </c>
      <c r="AY5" s="282">
        <f>IFERROR(_xlfn.XLOOKUP(E5,'[2]Рассчет акции'!$D:$D,'[2]Рассчет акции'!$BM:$BM),0)</f>
        <v>128</v>
      </c>
      <c r="AZ5" s="203">
        <f>IFERROR(_xlfn.XLOOKUP(E5,'[2]Рассчет акции'!$D:$D,'[2]Рассчет акции'!$BN:$BN),0)</f>
        <v>984</v>
      </c>
      <c r="BA5" s="283">
        <f t="shared" ref="BA5:BA36" si="23">S5/H5</f>
        <v>7.171153846153846</v>
      </c>
      <c r="BB5" s="357"/>
      <c r="BC5" s="497" t="e">
        <f xml:space="preserve"> _xlfn.XLOOKUP(B5,#REF!,#REF!,0)</f>
        <v>#REF!</v>
      </c>
      <c r="BD5" s="498" t="e">
        <f>BC5/(100%-BE5)</f>
        <v>#REF!</v>
      </c>
      <c r="BE5" s="499">
        <f>_xlfn.XLOOKUP($B5,'[1]Рассчет акции'!$A:$A,'[1]Рассчет акции'!$J:$J)</f>
        <v>0</v>
      </c>
      <c r="BF5" s="191" t="e">
        <f>BS5+BI5+BJ5+BU5+BK5</f>
        <v>#REF!</v>
      </c>
      <c r="BG5" s="192">
        <f t="shared" ref="BG5:BG36" si="24">IFERROR(BF5/BC5,0)</f>
        <v>0</v>
      </c>
      <c r="BH5" s="193">
        <v>0.39</v>
      </c>
      <c r="BI5" s="194" t="e">
        <f t="shared" ref="BI5:BI36" si="25">BC5*BH5</f>
        <v>#REF!</v>
      </c>
      <c r="BJ5" s="195" t="e">
        <f>BC5*$BJ$3</f>
        <v>#REF!</v>
      </c>
      <c r="BK5" s="422">
        <f t="shared" ref="BK5:BK36" si="26">K5*$BK$3*30</f>
        <v>0</v>
      </c>
      <c r="BL5" s="196">
        <f>(IF(K5&gt;$BL$3,('Тарифы ОЗОН'!$G$3+ROUNDUP(K5-$BL$3,0)*'Тарифы ОЗОН'!$G$4),'Тарифы ОЗОН'!$G$3))</f>
        <v>46.77</v>
      </c>
      <c r="BM5" s="196">
        <f t="shared" ref="BM5:BM36" si="27">$BN$3</f>
        <v>35</v>
      </c>
      <c r="BN5" s="197">
        <f>_xlfn.XLOOKUP(BM5,'Тарифы ОЗОН'!$A:$A,'Тарифы ОЗОН'!$B:$B)</f>
        <v>1.32</v>
      </c>
      <c r="BO5" s="198">
        <f>_xlfn.XLOOKUP(BM5,'Тарифы ОЗОН'!$A:$A,'Тарифы ОЗОН'!C:C)</f>
        <v>1.6E-2</v>
      </c>
      <c r="BP5" s="199">
        <f t="shared" ref="BP5:BP36" si="28">$BP$3</f>
        <v>25</v>
      </c>
      <c r="BQ5" s="199" t="e">
        <f>BL5*BN5+BC5*BO5+BP5</f>
        <v>#REF!</v>
      </c>
      <c r="BR5" s="358">
        <f>$BR$3</f>
        <v>0.85</v>
      </c>
      <c r="BS5" s="199" t="e">
        <f>(100%/BR5)*BQ5+(100%/BR5-1)*BL5</f>
        <v>#REF!</v>
      </c>
      <c r="BT5" s="200">
        <f t="shared" ref="BT5:BT36" si="29">IFERROR(BS5/BC5*100%,0)</f>
        <v>0</v>
      </c>
      <c r="BU5" s="262" t="e">
        <f t="shared" ref="BU5:BU81" si="30">BC5*$BU$3</f>
        <v>#REF!</v>
      </c>
      <c r="BV5" s="149" t="e">
        <f t="shared" ref="BV5:BV36" si="31">BF5+F5</f>
        <v>#REF!</v>
      </c>
      <c r="BW5" s="148">
        <f t="shared" ref="BW5:BW36" si="32">IFERROR(BY5/BC5,0)</f>
        <v>0</v>
      </c>
      <c r="BX5" s="201">
        <f t="shared" ref="BX5:BX36" si="33">IFERROR(BC5-BV5,0)</f>
        <v>0</v>
      </c>
      <c r="BY5" s="201" t="e">
        <f t="shared" ref="BY5:BY36" si="34">BX5-BC5*7%</f>
        <v>#REF!</v>
      </c>
      <c r="BZ5" s="202">
        <f t="shared" ref="BZ5:BZ38" si="35">IFERROR(BY5/H5*100%,0)</f>
        <v>0</v>
      </c>
      <c r="CA5" s="425">
        <v>0</v>
      </c>
      <c r="CB5" s="426" t="e">
        <f>IF(BC5=0,0,CA5-BV5)</f>
        <v>#REF!</v>
      </c>
      <c r="CC5" s="427" t="e">
        <f>IF(CB5=0,0,CB5-CA5*7%)</f>
        <v>#REF!</v>
      </c>
      <c r="CD5" s="428" t="e">
        <f t="shared" ref="CD5:CD36" si="36">CC5/H5*100%</f>
        <v>#REF!</v>
      </c>
      <c r="CE5" s="428">
        <f>IFERROR(CC5/CA5,0)</f>
        <v>0</v>
      </c>
      <c r="CF5" s="277">
        <f>_xlfn.XLOOKUP(B5,'[1]Рассчет акции'!$A:$A,'[1]Рассчет акции'!$R:$R,0)</f>
        <v>0</v>
      </c>
      <c r="CG5" s="277">
        <f>_xlfn.XLOOKUP(B5,'[1]Рассчет акции'!$A:$A,'[1]Рассчет акции'!$M:$M,0)</f>
        <v>0</v>
      </c>
      <c r="CH5" s="148">
        <f>IFERROR($CJ5/$CG5,0)</f>
        <v>0</v>
      </c>
      <c r="CI5" s="181">
        <f t="shared" ref="CI5" si="37">IF(CG5&gt;0,CG5-BV5,0)</f>
        <v>0</v>
      </c>
      <c r="CJ5" s="290">
        <f>IF(CI5&gt;0,$CI5-$CG5*7%,0)</f>
        <v>0</v>
      </c>
      <c r="CK5" s="148">
        <f t="shared" ref="CK5:CK36" si="38">$CJ5/$H5*100%</f>
        <v>0</v>
      </c>
      <c r="CL5" s="203">
        <f>_xlfn.XLOOKUP(B5,'[1]Рассчет акции'!$A:$A,'[1]Рассчет акции'!$W:$W,0)</f>
        <v>0</v>
      </c>
      <c r="CM5" s="424">
        <f>_xlfn.XLOOKUP(B5,'[1]Рассчет акции'!$A:$A,'[1]Рассчет акции'!$X:$X,0)</f>
        <v>0</v>
      </c>
      <c r="CN5" s="283" t="e">
        <f t="shared" ref="CN5:CN36" si="39">BC5/H5</f>
        <v>#REF!</v>
      </c>
      <c r="CO5" s="433">
        <f>CA5-10%*CA5</f>
        <v>0</v>
      </c>
      <c r="CP5" s="507">
        <f>_xlfn.XLOOKUP(B5,'[1]Рассчет акции'!$A:$A,'[1]Рассчет акции'!$Z:$Z,0)</f>
        <v>0</v>
      </c>
      <c r="CQ5" s="182"/>
      <c r="CR5" s="182"/>
      <c r="CS5" s="182"/>
      <c r="CT5" s="182"/>
    </row>
    <row r="6" spans="1:98" ht="24.95" customHeight="1" x14ac:dyDescent="0.25">
      <c r="A6" s="159">
        <v>169153168</v>
      </c>
      <c r="B6" s="161">
        <v>2453533282</v>
      </c>
      <c r="C6" s="159" t="s">
        <v>51</v>
      </c>
      <c r="D6" s="160" t="s">
        <v>206</v>
      </c>
      <c r="E6" s="161">
        <v>2038162681926</v>
      </c>
      <c r="F6" s="284">
        <f t="shared" si="0"/>
        <v>105.26245071299039</v>
      </c>
      <c r="G6" s="147">
        <f t="shared" si="1"/>
        <v>0.14114032007641511</v>
      </c>
      <c r="H6" s="439">
        <f>IF(_xlfn.XLOOKUP($C6,'Юнит Карго'!$A:$A,'Юнит Карго'!$G:$G)=0,_xlfn.XLOOKUP(E6,'Себес 1С текущ'!G:G,'Себес 1С текущ'!H:H),_xlfn.XLOOKUP($C6,'Юнит Карго'!$A:$A,'Юнит Карго'!$P:$P,0,0))</f>
        <v>83.262450712990386</v>
      </c>
      <c r="I6" s="268">
        <f>_xlfn.XLOOKUP(E6,[3]ТЗ_ФФ!$D:$D,[3]ТЗ_ФФ!$BG:$BG,0)</f>
        <v>14</v>
      </c>
      <c r="J6" s="269">
        <f t="shared" si="2"/>
        <v>8</v>
      </c>
      <c r="K6" s="273">
        <f t="shared" si="3"/>
        <v>0.33600000000000002</v>
      </c>
      <c r="L6" s="146">
        <v>14</v>
      </c>
      <c r="M6" s="146">
        <v>12</v>
      </c>
      <c r="N6" s="146">
        <v>2</v>
      </c>
      <c r="O6" s="150">
        <f>_xlfn.XLOOKUP($C6,'Юнит Карго'!$A:$A,'Юнит Карго'!$T:$T,0,0)</f>
        <v>0.04</v>
      </c>
      <c r="P6" s="127" t="s">
        <v>75</v>
      </c>
      <c r="Q6" s="146"/>
      <c r="R6" s="292"/>
      <c r="S6" s="285">
        <f t="shared" si="4"/>
        <v>745.8</v>
      </c>
      <c r="T6" s="286" t="str">
        <f>_xlfn.XLOOKUP(E6,'[2]Рассчет акции'!$D:$D,'[2]Рассчет акции'!$G:$G,0)</f>
        <v>1243</v>
      </c>
      <c r="U6" s="417">
        <f>_xlfn.XLOOKUP(E6,'[2]Рассчет акции'!$D:$D,'[2]Рассчет акции'!$F:$F,0)</f>
        <v>0.4</v>
      </c>
      <c r="V6" s="235">
        <f t="shared" ref="V6:V81" si="40">AC6+AF6+AH6+AG6</f>
        <v>402.41624000000002</v>
      </c>
      <c r="W6" s="288">
        <f t="shared" ref="W6:W36" si="41">IFERROR(V6/S6,0)</f>
        <v>0.53957661571466886</v>
      </c>
      <c r="X6" s="289">
        <f>IF(K6&gt;1,('Тарифы ВБ'!$B$9+(K6-1)*'Тарифы ВБ'!$B$10)*'Тарифы ВБ'!$B$15*'Тарифы ВБ'!$B$12+S6*'Тарифы ВБ'!$B$13,'Тарифы ВБ'!$B$8*'Тарифы ВБ'!$B$15*'Тарифы ВБ'!$B$12+S6*'Тарифы ВБ'!$B$13)</f>
        <v>73.657240000000002</v>
      </c>
      <c r="Y6" s="289">
        <f>IF(K6&gt;1,'Тарифы ВБ'!$B$9+(K6-1)*'Тарифы ВБ'!$B$10,'Тарифы ВБ'!$B$8)</f>
        <v>32</v>
      </c>
      <c r="Z6" s="289">
        <f t="shared" ref="Z6:Z69" si="42">SUM(X6:Y6)</f>
        <v>105.65724</v>
      </c>
      <c r="AA6" s="236">
        <f t="shared" ref="AA6:AA69" si="43">IFERROR(Z6/S6,0)</f>
        <v>0.141669670152856</v>
      </c>
      <c r="AB6" s="237">
        <f>IF(K6&gt;1,'Тарифы ВБ'!$B$14*'Тарифы ВБ'!$B$16*'Тарифы ВБ'!$B$15+(K6-1)*'Тарифы ВБ'!$B$14,'Тарифы ВБ'!$B$14*'Тарифы ВБ'!B$16*'Тарифы ВБ'!$B$15)</f>
        <v>32</v>
      </c>
      <c r="AC6" s="287">
        <f t="shared" si="5"/>
        <v>137.65724</v>
      </c>
      <c r="AD6" s="240">
        <f t="shared" si="6"/>
        <v>0.18457661571466882</v>
      </c>
      <c r="AE6" s="239">
        <v>0.32500000000000001</v>
      </c>
      <c r="AF6" s="289">
        <f t="shared" si="7"/>
        <v>242.38499999999999</v>
      </c>
      <c r="AG6" s="364">
        <f t="shared" si="8"/>
        <v>0</v>
      </c>
      <c r="AH6" s="364">
        <f t="shared" si="9"/>
        <v>22.373999999999999</v>
      </c>
      <c r="AI6" s="149">
        <f t="shared" si="10"/>
        <v>507.67869071299037</v>
      </c>
      <c r="AJ6" s="447">
        <f t="shared" si="11"/>
        <v>0.24928306420891602</v>
      </c>
      <c r="AK6" s="450">
        <f t="shared" si="12"/>
        <v>238.12130928700958</v>
      </c>
      <c r="AL6" s="450">
        <f t="shared" si="13"/>
        <v>185.91530928700956</v>
      </c>
      <c r="AM6" s="447">
        <f t="shared" si="14"/>
        <v>2.2328829826048291</v>
      </c>
      <c r="AN6" s="458">
        <v>829</v>
      </c>
      <c r="AO6" s="459">
        <f t="shared" si="15"/>
        <v>321.32130928700963</v>
      </c>
      <c r="AP6" s="459">
        <f t="shared" si="16"/>
        <v>263.2913092870096</v>
      </c>
      <c r="AQ6" s="463">
        <f t="shared" si="17"/>
        <v>3.16218543932351</v>
      </c>
      <c r="AR6" s="464">
        <f t="shared" si="18"/>
        <v>0.31760109684802124</v>
      </c>
      <c r="AS6" s="487" t="str">
        <f>IFERROR(_xlfn.XLOOKUP(A6,'[2]Рассчет акции'!$A:$A,'[2]Рассчет акции'!$BH:$BH),0)</f>
        <v>*</v>
      </c>
      <c r="AT6" s="487">
        <f>IFERROR(_xlfn.XLOOKUP($A6,'[2]Рассчет акции'!$A:$A,'[2]Рассчет акции'!$BC:$BC),0)</f>
        <v>746</v>
      </c>
      <c r="AU6" s="409">
        <f t="shared" si="19"/>
        <v>0.2494655620469298</v>
      </c>
      <c r="AV6" s="407">
        <f t="shared" si="20"/>
        <v>238.32130928700963</v>
      </c>
      <c r="AW6" s="407">
        <f t="shared" si="21"/>
        <v>186.10130928700963</v>
      </c>
      <c r="AX6" s="409">
        <f t="shared" si="22"/>
        <v>2.2351168827411731</v>
      </c>
      <c r="AY6" s="293">
        <f>IFERROR(_xlfn.XLOOKUP(E6,'[2]Рассчет акции'!$D:$D,'[2]Рассчет акции'!$BM:$BM),0)</f>
        <v>216</v>
      </c>
      <c r="AZ6" s="203">
        <f>IFERROR(_xlfn.XLOOKUP(E6,'[2]Рассчет акции'!$D:$D,'[2]Рассчет акции'!$BN:$BN),0)</f>
        <v>999</v>
      </c>
      <c r="BA6" s="294">
        <f t="shared" si="23"/>
        <v>8.9572189337881483</v>
      </c>
      <c r="BB6" s="292"/>
      <c r="BC6" s="497" t="e">
        <f xml:space="preserve"> _xlfn.XLOOKUP(B6,#REF!,#REF!,0)</f>
        <v>#REF!</v>
      </c>
      <c r="BD6" s="500" t="e">
        <f>BC6/(100%-BE6)</f>
        <v>#REF!</v>
      </c>
      <c r="BE6" s="501">
        <f>_xlfn.XLOOKUP($B6,'[1]Рассчет акции'!$A:$A,'[1]Рассчет акции'!$J:$J)</f>
        <v>0.34996841440303217</v>
      </c>
      <c r="BF6" s="191" t="e">
        <f t="shared" ref="BF6:BF69" si="44">BS6+BI6+BJ6+BU6+BK6</f>
        <v>#REF!</v>
      </c>
      <c r="BG6" s="192">
        <f t="shared" si="24"/>
        <v>0</v>
      </c>
      <c r="BH6" s="193">
        <v>0.39</v>
      </c>
      <c r="BI6" s="194" t="e">
        <f t="shared" si="25"/>
        <v>#REF!</v>
      </c>
      <c r="BJ6" s="195" t="e">
        <f t="shared" ref="BJ6:BJ81" si="45">BC6*$BJ$3</f>
        <v>#REF!</v>
      </c>
      <c r="BK6" s="422">
        <f t="shared" si="26"/>
        <v>0</v>
      </c>
      <c r="BL6" s="196">
        <f>(IF(K6&gt;$BL$3,('Тарифы ОЗОН'!$G$3+ROUNDUP(K6-$BL$3,0)*'Тарифы ОЗОН'!$G$4),'Тарифы ОЗОН'!$G$3))</f>
        <v>46.77</v>
      </c>
      <c r="BM6" s="196">
        <f t="shared" si="27"/>
        <v>35</v>
      </c>
      <c r="BN6" s="197">
        <f>_xlfn.XLOOKUP(BM6,'Тарифы ОЗОН'!$A:$A,'Тарифы ОЗОН'!$B:$B)</f>
        <v>1.32</v>
      </c>
      <c r="BO6" s="198">
        <f>_xlfn.XLOOKUP(BM6,'Тарифы ОЗОН'!$A:$A,'Тарифы ОЗОН'!C:C)</f>
        <v>1.6E-2</v>
      </c>
      <c r="BP6" s="199">
        <f t="shared" si="28"/>
        <v>25</v>
      </c>
      <c r="BQ6" s="199" t="e">
        <f t="shared" ref="BQ6:BQ80" si="46">BL6*BN6+BC6*BO6+BP6</f>
        <v>#REF!</v>
      </c>
      <c r="BR6" s="359">
        <f t="shared" ref="BR6:BR81" si="47">$BR$3</f>
        <v>0.85</v>
      </c>
      <c r="BS6" s="199" t="e">
        <f t="shared" ref="BS6:BS81" si="48">(100%/BR6)*BQ6+(100%/BR6-1)*BL6</f>
        <v>#REF!</v>
      </c>
      <c r="BT6" s="200">
        <f t="shared" si="29"/>
        <v>0</v>
      </c>
      <c r="BU6" s="262" t="e">
        <f t="shared" si="30"/>
        <v>#REF!</v>
      </c>
      <c r="BV6" s="149" t="e">
        <f t="shared" si="31"/>
        <v>#REF!</v>
      </c>
      <c r="BW6" s="291">
        <f t="shared" si="32"/>
        <v>0</v>
      </c>
      <c r="BX6" s="201">
        <f t="shared" si="33"/>
        <v>0</v>
      </c>
      <c r="BY6" s="201" t="e">
        <f t="shared" si="34"/>
        <v>#REF!</v>
      </c>
      <c r="BZ6" s="202">
        <f t="shared" si="35"/>
        <v>0</v>
      </c>
      <c r="CA6" s="425">
        <v>799</v>
      </c>
      <c r="CB6" s="426" t="e">
        <f t="shared" ref="CB6:CB69" si="49">IF(BC6=0,0,CA6-BV6)</f>
        <v>#REF!</v>
      </c>
      <c r="CC6" s="427" t="e">
        <f>IF(CB6=0,0,CB6-CA6*7%)</f>
        <v>#REF!</v>
      </c>
      <c r="CD6" s="429" t="e">
        <f t="shared" si="36"/>
        <v>#REF!</v>
      </c>
      <c r="CE6" s="429">
        <f t="shared" ref="CE6:CE81" si="50">IFERROR(CC6/CA6,0)</f>
        <v>0</v>
      </c>
      <c r="CF6" s="277">
        <f>_xlfn.XLOOKUP(B6,'[1]Рассчет акции'!$A:$A,'[1]Рассчет акции'!$R:$R,0)</f>
        <v>0</v>
      </c>
      <c r="CG6" s="360">
        <f>_xlfn.XLOOKUP(B6,'[1]Рассчет акции'!$A:$A,'[1]Рассчет акции'!$M:$M,0)</f>
        <v>710</v>
      </c>
      <c r="CH6" s="291">
        <f>IFERROR($CJ6/$CG6,0)</f>
        <v>0</v>
      </c>
      <c r="CI6" s="290" t="e">
        <f>IF(BC6&gt;0,CG6-BV6,0)</f>
        <v>#REF!</v>
      </c>
      <c r="CJ6" s="290" t="e">
        <f>IF(CI6&gt;0,$CI6-$CG6*7%,0)</f>
        <v>#REF!</v>
      </c>
      <c r="CK6" s="291" t="e">
        <f t="shared" si="38"/>
        <v>#REF!</v>
      </c>
      <c r="CL6" s="203">
        <f>_xlfn.XLOOKUP(B6,'[1]Рассчет акции'!$A:$A,'[1]Рассчет акции'!$W:$W,0)</f>
        <v>0</v>
      </c>
      <c r="CM6" s="424">
        <f>_xlfn.XLOOKUP(B6,'[1]Рассчет акции'!$A:$A,'[1]Рассчет акции'!$X:$X,0)</f>
        <v>0</v>
      </c>
      <c r="CN6" s="294" t="e">
        <f t="shared" si="39"/>
        <v>#REF!</v>
      </c>
      <c r="CO6" s="433">
        <f t="shared" ref="CO6:CO69" si="51">CA6-10%*CA6</f>
        <v>719.1</v>
      </c>
      <c r="CP6" s="507">
        <f>_xlfn.XLOOKUP(B6,'[1]Рассчет акции'!$A:$A,'[1]Рассчет акции'!$Z:$Z,0)</f>
        <v>0</v>
      </c>
    </row>
    <row r="7" spans="1:98" ht="24.95" customHeight="1" x14ac:dyDescent="0.25">
      <c r="A7" s="159">
        <v>169395410</v>
      </c>
      <c r="B7" s="161">
        <v>2419349210</v>
      </c>
      <c r="C7" s="159" t="s">
        <v>52</v>
      </c>
      <c r="D7" s="160" t="s">
        <v>205</v>
      </c>
      <c r="E7" s="161">
        <v>2038172050200</v>
      </c>
      <c r="F7" s="284">
        <f t="shared" si="0"/>
        <v>222.95301410422834</v>
      </c>
      <c r="G7" s="147">
        <f t="shared" si="1"/>
        <v>0.21331134146979372</v>
      </c>
      <c r="H7" s="439">
        <f>IF(_xlfn.XLOOKUP($C7,'Юнит Карго'!$A:$A,'Юнит Карго'!$G:$G)=0,_xlfn.XLOOKUP(E7,'Себес 1С текущ'!G:G,'Себес 1С текущ'!H:H),_xlfn.XLOOKUP($C7,'Юнит Карго'!$A:$A,'Юнит Карго'!$P:$P,0,0))</f>
        <v>200.95301410422834</v>
      </c>
      <c r="I7" s="268">
        <f>_xlfn.XLOOKUP(E7,[3]ТЗ_ФФ!$D:$D,[3]ТЗ_ФФ!$BG:$BG,0)</f>
        <v>14</v>
      </c>
      <c r="J7" s="269">
        <f t="shared" si="2"/>
        <v>8</v>
      </c>
      <c r="K7" s="273">
        <f t="shared" si="3"/>
        <v>0.79800000000000004</v>
      </c>
      <c r="L7" s="146">
        <v>19</v>
      </c>
      <c r="M7" s="146">
        <v>14</v>
      </c>
      <c r="N7" s="146">
        <v>3</v>
      </c>
      <c r="O7" s="150">
        <f>_xlfn.XLOOKUP($C7,'Юнит Карго'!$A:$A,'Юнит Карго'!$T:$T,0,0)</f>
        <v>0.09</v>
      </c>
      <c r="P7" s="127" t="s">
        <v>75</v>
      </c>
      <c r="Q7" s="146"/>
      <c r="R7" s="292"/>
      <c r="S7" s="285">
        <f t="shared" si="4"/>
        <v>1045.1999999999998</v>
      </c>
      <c r="T7" s="286" t="str">
        <f>_xlfn.XLOOKUP(E7,'[2]Рассчет акции'!$D:$D,'[2]Рассчет акции'!$G:$G,0)</f>
        <v>1742</v>
      </c>
      <c r="U7" s="417">
        <f>_xlfn.XLOOKUP(E7,'[2]Рассчет акции'!$D:$D,'[2]Рассчет акции'!$F:$F,0)</f>
        <v>0.4</v>
      </c>
      <c r="V7" s="235">
        <f t="shared" si="40"/>
        <v>511.03855999999996</v>
      </c>
      <c r="W7" s="288">
        <f t="shared" si="41"/>
        <v>0.48893853807883664</v>
      </c>
      <c r="X7" s="289">
        <f>IF(K7&gt;1,('Тарифы ВБ'!$B$9+(K7-1)*'Тарифы ВБ'!$B$10)*'Тарифы ВБ'!$B$15*'Тарифы ВБ'!$B$12+S7*'Тарифы ВБ'!$B$13,'Тарифы ВБ'!$B$8*'Тарифы ВБ'!$B$15*'Тарифы ВБ'!$B$12+S7*'Тарифы ВБ'!$B$13)</f>
        <v>75.992559999999997</v>
      </c>
      <c r="Y7" s="289">
        <f>IF(K7&gt;1,'Тарифы ВБ'!$B$9+(K7-1)*'Тарифы ВБ'!$B$10,'Тарифы ВБ'!$B$8)</f>
        <v>32</v>
      </c>
      <c r="Z7" s="289">
        <f t="shared" si="42"/>
        <v>107.99256</v>
      </c>
      <c r="AA7" s="236">
        <f t="shared" si="43"/>
        <v>0.10332238805970151</v>
      </c>
      <c r="AB7" s="237">
        <f>IF(K7&gt;1,'Тарифы ВБ'!$B$14*'Тарифы ВБ'!$B$16*'Тарифы ВБ'!$B$15+(K7-1)*'Тарифы ВБ'!$B$14,'Тарифы ВБ'!$B$14*'Тарифы ВБ'!B$16*'Тарифы ВБ'!$B$15)</f>
        <v>32</v>
      </c>
      <c r="AC7" s="287">
        <f t="shared" si="5"/>
        <v>139.99256</v>
      </c>
      <c r="AD7" s="240">
        <f t="shared" si="6"/>
        <v>0.1339385380788366</v>
      </c>
      <c r="AE7" s="239">
        <v>0.32500000000000001</v>
      </c>
      <c r="AF7" s="289">
        <f t="shared" si="7"/>
        <v>339.68999999999994</v>
      </c>
      <c r="AG7" s="364">
        <f t="shared" si="8"/>
        <v>0</v>
      </c>
      <c r="AH7" s="364">
        <f t="shared" si="9"/>
        <v>31.355999999999995</v>
      </c>
      <c r="AI7" s="149">
        <f t="shared" si="10"/>
        <v>733.99157410422833</v>
      </c>
      <c r="AJ7" s="447">
        <f t="shared" si="11"/>
        <v>0.22775012045136964</v>
      </c>
      <c r="AK7" s="450">
        <f t="shared" si="12"/>
        <v>311.20842589577148</v>
      </c>
      <c r="AL7" s="450">
        <f t="shared" si="13"/>
        <v>238.0444258957715</v>
      </c>
      <c r="AM7" s="447">
        <f t="shared" si="14"/>
        <v>1.1845775339916271</v>
      </c>
      <c r="AN7" s="458">
        <v>1159</v>
      </c>
      <c r="AO7" s="459">
        <f t="shared" si="15"/>
        <v>425.00842589577167</v>
      </c>
      <c r="AP7" s="459">
        <f t="shared" si="16"/>
        <v>343.87842589577167</v>
      </c>
      <c r="AQ7" s="463">
        <f t="shared" si="17"/>
        <v>1.7112379599213783</v>
      </c>
      <c r="AR7" s="464">
        <f t="shared" si="18"/>
        <v>0.29670269706278835</v>
      </c>
      <c r="AS7" s="487" t="str">
        <f>IFERROR(_xlfn.XLOOKUP(A7,'[2]Рассчет акции'!$A:$A,'[2]Рассчет акции'!$BH:$BH),0)</f>
        <v>*</v>
      </c>
      <c r="AT7" s="487">
        <f>IFERROR(_xlfn.XLOOKUP($A7,'[2]Рассчет акции'!$A:$A,'[2]Рассчет акции'!$BC:$BC),0)</f>
        <v>1045</v>
      </c>
      <c r="AU7" s="409">
        <f t="shared" si="19"/>
        <v>0.22761571856054705</v>
      </c>
      <c r="AV7" s="407">
        <f t="shared" si="20"/>
        <v>311.00842589577167</v>
      </c>
      <c r="AW7" s="407">
        <f t="shared" si="21"/>
        <v>237.85842589577166</v>
      </c>
      <c r="AX7" s="409">
        <f t="shared" si="22"/>
        <v>1.1836519444908729</v>
      </c>
      <c r="AY7" s="293">
        <f>IFERROR(_xlfn.XLOOKUP(E7,'[2]Рассчет акции'!$D:$D,'[2]Рассчет акции'!$BM:$BM),0)</f>
        <v>202</v>
      </c>
      <c r="AZ7" s="203">
        <f>IFERROR(_xlfn.XLOOKUP(E7,'[2]Рассчет акции'!$D:$D,'[2]Рассчет акции'!$BN:$BN),0)</f>
        <v>999</v>
      </c>
      <c r="BA7" s="294">
        <f t="shared" si="23"/>
        <v>5.2012158397280155</v>
      </c>
      <c r="BB7" s="292"/>
      <c r="BC7" s="497" t="e">
        <f xml:space="preserve"> _xlfn.XLOOKUP(B7,#REF!,#REF!,0)</f>
        <v>#REF!</v>
      </c>
      <c r="BD7" s="500" t="e">
        <f t="shared" ref="BD7:BD81" si="52">BC7/(100%-BE7)</f>
        <v>#REF!</v>
      </c>
      <c r="BE7" s="501">
        <f>_xlfn.XLOOKUP($B7,'[1]Рассчет акции'!$A:$A,'[1]Рассчет акции'!$J:$J)</f>
        <v>0.34987489574645536</v>
      </c>
      <c r="BF7" s="191" t="e">
        <f t="shared" si="44"/>
        <v>#REF!</v>
      </c>
      <c r="BG7" s="192">
        <f t="shared" si="24"/>
        <v>0</v>
      </c>
      <c r="BH7" s="193">
        <v>0.39</v>
      </c>
      <c r="BI7" s="194" t="e">
        <f t="shared" si="25"/>
        <v>#REF!</v>
      </c>
      <c r="BJ7" s="195" t="e">
        <f t="shared" si="45"/>
        <v>#REF!</v>
      </c>
      <c r="BK7" s="422">
        <f t="shared" si="26"/>
        <v>0</v>
      </c>
      <c r="BL7" s="196">
        <f>(IF(K7&gt;$BL$3,('Тарифы ОЗОН'!$G$3+ROUNDUP(K7-$BL$3,0)*'Тарифы ОЗОН'!$G$4),'Тарифы ОЗОН'!$G$3))</f>
        <v>46.77</v>
      </c>
      <c r="BM7" s="196">
        <f t="shared" si="27"/>
        <v>35</v>
      </c>
      <c r="BN7" s="197">
        <f>_xlfn.XLOOKUP(BM7,'Тарифы ОЗОН'!$A:$A,'Тарифы ОЗОН'!$B:$B)</f>
        <v>1.32</v>
      </c>
      <c r="BO7" s="198">
        <f>_xlfn.XLOOKUP(BM7,'Тарифы ОЗОН'!$A:$A,'Тарифы ОЗОН'!C:C)</f>
        <v>1.6E-2</v>
      </c>
      <c r="BP7" s="199">
        <f t="shared" si="28"/>
        <v>25</v>
      </c>
      <c r="BQ7" s="199" t="e">
        <f t="shared" si="46"/>
        <v>#REF!</v>
      </c>
      <c r="BR7" s="359">
        <f t="shared" si="47"/>
        <v>0.85</v>
      </c>
      <c r="BS7" s="199" t="e">
        <f t="shared" si="48"/>
        <v>#REF!</v>
      </c>
      <c r="BT7" s="200">
        <f t="shared" si="29"/>
        <v>0</v>
      </c>
      <c r="BU7" s="262" t="e">
        <f t="shared" si="30"/>
        <v>#REF!</v>
      </c>
      <c r="BV7" s="149" t="e">
        <f t="shared" si="31"/>
        <v>#REF!</v>
      </c>
      <c r="BW7" s="291">
        <f t="shared" si="32"/>
        <v>0</v>
      </c>
      <c r="BX7" s="201">
        <f t="shared" si="33"/>
        <v>0</v>
      </c>
      <c r="BY7" s="201" t="e">
        <f t="shared" si="34"/>
        <v>#REF!</v>
      </c>
      <c r="BZ7" s="202">
        <f t="shared" si="35"/>
        <v>0</v>
      </c>
      <c r="CA7" s="425">
        <v>1299</v>
      </c>
      <c r="CB7" s="426" t="e">
        <f t="shared" si="49"/>
        <v>#REF!</v>
      </c>
      <c r="CC7" s="427" t="e">
        <f t="shared" ref="CC7:CC70" si="53">IF(CB7=0,0,CB7-CA7*7%)</f>
        <v>#REF!</v>
      </c>
      <c r="CD7" s="429" t="e">
        <f t="shared" si="36"/>
        <v>#REF!</v>
      </c>
      <c r="CE7" s="429">
        <f t="shared" si="50"/>
        <v>0</v>
      </c>
      <c r="CF7" s="277">
        <f>_xlfn.XLOOKUP(B7,'[1]Рассчет акции'!$A:$A,'[1]Рассчет акции'!$R:$R,0)</f>
        <v>0</v>
      </c>
      <c r="CG7" s="360">
        <f>_xlfn.XLOOKUP(B7,'[1]Рассчет акции'!$A:$A,'[1]Рассчет акции'!$M:$M,0)</f>
        <v>1115</v>
      </c>
      <c r="CH7" s="291">
        <f t="shared" ref="CH7:CH36" si="54">IFERROR($CJ7/$CG7,0)</f>
        <v>0</v>
      </c>
      <c r="CI7" s="290" t="e">
        <f t="shared" ref="CI7:CI70" si="55">IF(BC7&gt;0,CG7-BV7,0)</f>
        <v>#REF!</v>
      </c>
      <c r="CJ7" s="290" t="e">
        <f t="shared" ref="CJ7:CJ70" si="56">IF(CI7&gt;0,$CI7-$CG7*7%,0)</f>
        <v>#REF!</v>
      </c>
      <c r="CK7" s="291" t="e">
        <f t="shared" si="38"/>
        <v>#REF!</v>
      </c>
      <c r="CL7" s="203">
        <f>_xlfn.XLOOKUP(B7,'[1]Рассчет акции'!$A:$A,'[1]Рассчет акции'!$W:$W,0)</f>
        <v>0</v>
      </c>
      <c r="CM7" s="424">
        <f>_xlfn.XLOOKUP(B7,'[1]Рассчет акции'!$A:$A,'[1]Рассчет акции'!$X:$X,0)</f>
        <v>0</v>
      </c>
      <c r="CN7" s="294" t="e">
        <f t="shared" si="39"/>
        <v>#REF!</v>
      </c>
      <c r="CO7" s="433">
        <f t="shared" si="51"/>
        <v>1169.0999999999999</v>
      </c>
      <c r="CP7" s="507">
        <f>_xlfn.XLOOKUP(B7,'[1]Рассчет акции'!$A:$A,'[1]Рассчет акции'!$Z:$Z,0)</f>
        <v>0</v>
      </c>
    </row>
    <row r="8" spans="1:98" ht="24.95" customHeight="1" x14ac:dyDescent="0.25">
      <c r="A8" s="174">
        <v>172832355</v>
      </c>
      <c r="B8" s="176">
        <v>2419349460</v>
      </c>
      <c r="C8" s="174" t="s">
        <v>55</v>
      </c>
      <c r="D8" s="175" t="s">
        <v>428</v>
      </c>
      <c r="E8" s="176">
        <v>2038337652454</v>
      </c>
      <c r="F8" s="284">
        <f t="shared" si="0"/>
        <v>390.77054936479925</v>
      </c>
      <c r="G8" s="147">
        <f t="shared" si="1"/>
        <v>0.18634742458979459</v>
      </c>
      <c r="H8" s="439">
        <f>IF(_xlfn.XLOOKUP($C8,'Юнит Карго'!$A:$A,'Юнит Карго'!$G:$G)=0,_xlfn.XLOOKUP(E8,'Себес 1С текущ'!G:G,'Себес 1С текущ'!H:H),_xlfn.XLOOKUP($C8,'Юнит Карго'!$A:$A,'Юнит Карго'!$P:$P,0,0))</f>
        <v>368.77054936479925</v>
      </c>
      <c r="I8" s="268">
        <f>_xlfn.XLOOKUP(E8,[3]ТЗ_ФФ!$D:$D,[3]ТЗ_ФФ!$BG:$BG,0)</f>
        <v>14</v>
      </c>
      <c r="J8" s="269">
        <f t="shared" si="2"/>
        <v>8</v>
      </c>
      <c r="K8" s="273">
        <f t="shared" si="3"/>
        <v>3.78</v>
      </c>
      <c r="L8" s="146">
        <v>30</v>
      </c>
      <c r="M8" s="146">
        <v>21</v>
      </c>
      <c r="N8" s="146">
        <v>6</v>
      </c>
      <c r="O8" s="150">
        <f>_xlfn.XLOOKUP($C8,'Юнит Карго'!$A:$A,'Юнит Карго'!$T:$T,0,0)</f>
        <v>0.315</v>
      </c>
      <c r="P8" s="127" t="s">
        <v>75</v>
      </c>
      <c r="Q8" s="146">
        <v>20</v>
      </c>
      <c r="R8" s="292"/>
      <c r="S8" s="285">
        <f t="shared" si="4"/>
        <v>2097</v>
      </c>
      <c r="T8" s="286" t="str">
        <f>_xlfn.XLOOKUP(E8,'[2]Рассчет акции'!$D:$D,'[2]Рассчет акции'!$G:$G,0)</f>
        <v>3495</v>
      </c>
      <c r="U8" s="417">
        <f>_xlfn.XLOOKUP(E8,'[2]Рассчет акции'!$D:$D,'[2]Рассчет акции'!$F:$F,0)</f>
        <v>0.4</v>
      </c>
      <c r="V8" s="235">
        <f t="shared" si="40"/>
        <v>995.05439999999999</v>
      </c>
      <c r="W8" s="288">
        <f t="shared" si="41"/>
        <v>0.47451330472103004</v>
      </c>
      <c r="X8" s="289">
        <f>IF(K8&gt;1,('Тарифы ВБ'!$B$9+(K8-1)*'Тарифы ВБ'!$B$10)*'Тарифы ВБ'!$B$15*'Тарифы ВБ'!$B$12+S8*'Тарифы ВБ'!$B$13,'Тарифы ВБ'!$B$8*'Тарифы ВБ'!$B$15*'Тарифы ВБ'!$B$12+S8*'Тарифы ВБ'!$B$13)</f>
        <v>196.387</v>
      </c>
      <c r="Y8" s="289">
        <f>IF(K8&gt;1,'Тарифы ВБ'!$B$9+(K8-1)*'Тарифы ВБ'!$B$10,'Тарифы ВБ'!$B$8)</f>
        <v>84.919999999999987</v>
      </c>
      <c r="Z8" s="289">
        <f t="shared" si="42"/>
        <v>281.30700000000002</v>
      </c>
      <c r="AA8" s="236">
        <f t="shared" si="43"/>
        <v>0.13414735336194564</v>
      </c>
      <c r="AB8" s="237">
        <f>IF(K8&gt;1,'Тарифы ВБ'!$B$14*'Тарифы ВБ'!$B$16*'Тарифы ВБ'!$B$15+(K8-1)*'Тарифы ВБ'!$B$14,'Тарифы ВБ'!$B$14*'Тарифы ВБ'!B$16*'Тарифы ВБ'!$B$15)</f>
        <v>32.2224</v>
      </c>
      <c r="AC8" s="287">
        <f t="shared" si="5"/>
        <v>313.52940000000001</v>
      </c>
      <c r="AD8" s="240">
        <f t="shared" si="6"/>
        <v>0.14951330472103005</v>
      </c>
      <c r="AE8" s="241">
        <v>0.29499999999999998</v>
      </c>
      <c r="AF8" s="289">
        <f t="shared" si="7"/>
        <v>618.61500000000001</v>
      </c>
      <c r="AG8" s="364">
        <f t="shared" si="8"/>
        <v>0</v>
      </c>
      <c r="AH8" s="364">
        <f t="shared" si="9"/>
        <v>62.91</v>
      </c>
      <c r="AI8" s="149">
        <f t="shared" si="10"/>
        <v>1385.8249493647993</v>
      </c>
      <c r="AJ8" s="447">
        <f t="shared" si="11"/>
        <v>0.26913927068917537</v>
      </c>
      <c r="AK8" s="450">
        <f t="shared" si="12"/>
        <v>711.17505063520071</v>
      </c>
      <c r="AL8" s="450">
        <f t="shared" si="13"/>
        <v>564.38505063520074</v>
      </c>
      <c r="AM8" s="447">
        <f t="shared" si="14"/>
        <v>1.5304504429850594</v>
      </c>
      <c r="AN8" s="458">
        <v>2119</v>
      </c>
      <c r="AO8" s="459">
        <f t="shared" si="15"/>
        <v>733.17505063520071</v>
      </c>
      <c r="AP8" s="459">
        <f t="shared" si="16"/>
        <v>584.84505063520066</v>
      </c>
      <c r="AQ8" s="463">
        <f t="shared" si="17"/>
        <v>1.5859320969165946</v>
      </c>
      <c r="AR8" s="464">
        <f t="shared" si="18"/>
        <v>0.27600049581651753</v>
      </c>
      <c r="AS8" s="487" t="str">
        <f>IFERROR(_xlfn.XLOOKUP(A8,'[2]Рассчет акции'!$A:$A,'[2]Рассчет акции'!$BH:$BH),0)</f>
        <v>*</v>
      </c>
      <c r="AT8" s="487">
        <f>IFERROR(_xlfn.XLOOKUP($A8,'[2]Рассчет акции'!$A:$A,'[2]Рассчет акции'!$BC:$BC),0)</f>
        <v>2097</v>
      </c>
      <c r="AU8" s="409">
        <f t="shared" si="19"/>
        <v>0.26913927068917537</v>
      </c>
      <c r="AV8" s="407">
        <f t="shared" si="20"/>
        <v>711.17505063520071</v>
      </c>
      <c r="AW8" s="407">
        <f t="shared" si="21"/>
        <v>564.38505063520074</v>
      </c>
      <c r="AX8" s="409">
        <f t="shared" si="22"/>
        <v>1.5304504429850594</v>
      </c>
      <c r="AY8" s="293">
        <f>IFERROR(_xlfn.XLOOKUP(E8,'[2]Рассчет акции'!$D:$D,'[2]Рассчет акции'!$BM:$BM),0)</f>
        <v>139</v>
      </c>
      <c r="AZ8" s="203">
        <f>IFERROR(_xlfn.XLOOKUP(E8,'[2]Рассчет акции'!$D:$D,'[2]Рассчет акции'!$BN:$BN),0)</f>
        <v>269</v>
      </c>
      <c r="BA8" s="294">
        <f t="shared" si="23"/>
        <v>5.6864627709887499</v>
      </c>
      <c r="BB8" s="292"/>
      <c r="BC8" s="497" t="e">
        <f xml:space="preserve"> _xlfn.XLOOKUP(B8,#REF!,#REF!,0)</f>
        <v>#REF!</v>
      </c>
      <c r="BD8" s="500" t="e">
        <f t="shared" si="52"/>
        <v>#REF!</v>
      </c>
      <c r="BE8" s="501">
        <f>_xlfn.XLOOKUP($B8,'[1]Рассчет акции'!$A:$A,'[1]Рассчет акции'!$J:$J)</f>
        <v>0.34997677659080351</v>
      </c>
      <c r="BF8" s="191" t="e">
        <f t="shared" si="44"/>
        <v>#REF!</v>
      </c>
      <c r="BG8" s="192">
        <f t="shared" si="24"/>
        <v>0</v>
      </c>
      <c r="BH8" s="193">
        <v>0.4</v>
      </c>
      <c r="BI8" s="194" t="e">
        <f t="shared" si="25"/>
        <v>#REF!</v>
      </c>
      <c r="BJ8" s="195" t="e">
        <f t="shared" si="45"/>
        <v>#REF!</v>
      </c>
      <c r="BK8" s="422">
        <f t="shared" si="26"/>
        <v>0</v>
      </c>
      <c r="BL8" s="196">
        <f>(IF(K8&gt;$BL$3,('Тарифы ОЗОН'!$G$3+ROUNDUP(K8-$BL$3,0)*'Тарифы ОЗОН'!$G$4+5),'Тарифы ОЗОН'!$G$3))</f>
        <v>82.28</v>
      </c>
      <c r="BM8" s="196">
        <f t="shared" si="27"/>
        <v>35</v>
      </c>
      <c r="BN8" s="197">
        <f>_xlfn.XLOOKUP(BM8,'Тарифы ОЗОН'!$A:$A,'Тарифы ОЗОН'!$B:$B)</f>
        <v>1.32</v>
      </c>
      <c r="BO8" s="198">
        <f>_xlfn.XLOOKUP(BM8,'Тарифы ОЗОН'!$A:$A,'Тарифы ОЗОН'!C:C)</f>
        <v>1.6E-2</v>
      </c>
      <c r="BP8" s="199">
        <f t="shared" si="28"/>
        <v>25</v>
      </c>
      <c r="BQ8" s="199" t="e">
        <f t="shared" si="46"/>
        <v>#REF!</v>
      </c>
      <c r="BR8" s="359">
        <f t="shared" si="47"/>
        <v>0.85</v>
      </c>
      <c r="BS8" s="199" t="e">
        <f t="shared" si="48"/>
        <v>#REF!</v>
      </c>
      <c r="BT8" s="200">
        <f t="shared" si="29"/>
        <v>0</v>
      </c>
      <c r="BU8" s="262" t="e">
        <f t="shared" si="30"/>
        <v>#REF!</v>
      </c>
      <c r="BV8" s="149" t="e">
        <f t="shared" si="31"/>
        <v>#REF!</v>
      </c>
      <c r="BW8" s="291">
        <f t="shared" si="32"/>
        <v>0</v>
      </c>
      <c r="BX8" s="201">
        <f t="shared" si="33"/>
        <v>0</v>
      </c>
      <c r="BY8" s="201" t="e">
        <f t="shared" si="34"/>
        <v>#REF!</v>
      </c>
      <c r="BZ8" s="202">
        <f t="shared" si="35"/>
        <v>0</v>
      </c>
      <c r="CA8" s="425">
        <v>1959</v>
      </c>
      <c r="CB8" s="426" t="e">
        <f t="shared" si="49"/>
        <v>#REF!</v>
      </c>
      <c r="CC8" s="427" t="e">
        <f t="shared" si="53"/>
        <v>#REF!</v>
      </c>
      <c r="CD8" s="429" t="e">
        <f t="shared" si="36"/>
        <v>#REF!</v>
      </c>
      <c r="CE8" s="429">
        <f t="shared" si="50"/>
        <v>0</v>
      </c>
      <c r="CF8" s="277">
        <f>_xlfn.XLOOKUP(B8,'[1]Рассчет акции'!$A:$A,'[1]Рассчет акции'!$R:$R,0)</f>
        <v>0</v>
      </c>
      <c r="CG8" s="360">
        <f>_xlfn.XLOOKUP(B8,'[1]Рассчет акции'!$A:$A,'[1]Рассчет акции'!$M:$M,0)</f>
        <v>1719</v>
      </c>
      <c r="CH8" s="291">
        <f t="shared" si="54"/>
        <v>0</v>
      </c>
      <c r="CI8" s="290" t="e">
        <f t="shared" si="55"/>
        <v>#REF!</v>
      </c>
      <c r="CJ8" s="290" t="e">
        <f t="shared" si="56"/>
        <v>#REF!</v>
      </c>
      <c r="CK8" s="291" t="e">
        <f t="shared" si="38"/>
        <v>#REF!</v>
      </c>
      <c r="CL8" s="203">
        <f>_xlfn.XLOOKUP(B8,'[1]Рассчет акции'!$A:$A,'[1]Рассчет акции'!$W:$W,0)</f>
        <v>5</v>
      </c>
      <c r="CM8" s="424">
        <f>_xlfn.XLOOKUP(B8,'[1]Рассчет акции'!$A:$A,'[1]Рассчет акции'!$X:$X,0)</f>
        <v>999</v>
      </c>
      <c r="CN8" s="294" t="e">
        <f t="shared" si="39"/>
        <v>#REF!</v>
      </c>
      <c r="CO8" s="433">
        <f t="shared" si="51"/>
        <v>1763.1</v>
      </c>
      <c r="CP8" s="507">
        <f>_xlfn.XLOOKUP(B8,'[1]Рассчет акции'!$A:$A,'[1]Рассчет акции'!$Z:$Z,0)</f>
        <v>0</v>
      </c>
    </row>
    <row r="9" spans="1:98" ht="24.95" customHeight="1" x14ac:dyDescent="0.25">
      <c r="A9" s="174">
        <v>176500218</v>
      </c>
      <c r="B9" s="176">
        <v>2138709303</v>
      </c>
      <c r="C9" s="174" t="s">
        <v>60</v>
      </c>
      <c r="D9" s="175" t="s">
        <v>429</v>
      </c>
      <c r="E9" s="176">
        <v>2038597850744</v>
      </c>
      <c r="F9" s="284">
        <f>SUM(H9:J9)</f>
        <v>85.788676069485575</v>
      </c>
      <c r="G9" s="147">
        <f t="shared" si="1"/>
        <v>0.15922174474663248</v>
      </c>
      <c r="H9" s="439">
        <f>IF(_xlfn.XLOOKUP($C9,'Юнит Карго'!$A:$A,'Юнит Карго'!$G:$G)=0,_xlfn.XLOOKUP(E9,'Себес 1С текущ'!G:G,'Себес 1С текущ'!H:H),_xlfn.XLOOKUP($C9,'Юнит Карго'!$A:$A,'Юнит Карго'!$P:$P,0,0))</f>
        <v>63.788676069485575</v>
      </c>
      <c r="I9" s="268">
        <f>_xlfn.XLOOKUP(E9,[3]ТЗ_ФФ!$D:$D,[3]ТЗ_ФФ!$BG:$BG,0)</f>
        <v>14</v>
      </c>
      <c r="J9" s="269">
        <f t="shared" si="2"/>
        <v>8</v>
      </c>
      <c r="K9" s="273">
        <f t="shared" si="3"/>
        <v>0.91800000000000004</v>
      </c>
      <c r="L9" s="146">
        <v>18</v>
      </c>
      <c r="M9" s="146">
        <v>17</v>
      </c>
      <c r="N9" s="146">
        <v>3</v>
      </c>
      <c r="O9" s="150">
        <f>_xlfn.XLOOKUP($C9,'Юнит Карго'!$A:$A,'Юнит Карго'!$T:$T,0,0)</f>
        <v>0.06</v>
      </c>
      <c r="P9" s="127" t="s">
        <v>611</v>
      </c>
      <c r="Q9" s="146">
        <v>140</v>
      </c>
      <c r="R9" s="292"/>
      <c r="S9" s="285">
        <f t="shared" si="4"/>
        <v>538.79999999999995</v>
      </c>
      <c r="T9" s="286" t="str">
        <f>_xlfn.XLOOKUP(E9,'[2]Рассчет акции'!$D:$D,'[2]Рассчет акции'!$G:$G,0)</f>
        <v>898</v>
      </c>
      <c r="U9" s="417">
        <f>_xlfn.XLOOKUP(E9,'[2]Рассчет акции'!$D:$D,'[2]Рассчет акции'!$F:$F,0)</f>
        <v>0.4</v>
      </c>
      <c r="V9" s="235">
        <f t="shared" si="40"/>
        <v>311.15263999999996</v>
      </c>
      <c r="W9" s="288">
        <f t="shared" si="41"/>
        <v>0.5774919079435783</v>
      </c>
      <c r="X9" s="289">
        <f>IF(K9&gt;1,('Тарифы ВБ'!$B$9+(K9-1)*'Тарифы ВБ'!$B$10)*'Тарифы ВБ'!$B$15*'Тарифы ВБ'!$B$12+S9*'Тарифы ВБ'!$B$13,'Тарифы ВБ'!$B$8*'Тарифы ВБ'!$B$15*'Тарифы ВБ'!$B$12+S9*'Тарифы ВБ'!$B$13)</f>
        <v>72.042640000000006</v>
      </c>
      <c r="Y9" s="289">
        <f>IF(K9&gt;1,'Тарифы ВБ'!$B$9+(K9-1)*'Тарифы ВБ'!$B$10,'Тарифы ВБ'!$B$8)</f>
        <v>32</v>
      </c>
      <c r="Z9" s="289">
        <f t="shared" si="42"/>
        <v>104.04264000000001</v>
      </c>
      <c r="AA9" s="236">
        <f t="shared" si="43"/>
        <v>0.19310066815144769</v>
      </c>
      <c r="AB9" s="237">
        <f>IF(K9&gt;1,'Тарифы ВБ'!$B$14*'Тарифы ВБ'!$B$16*'Тарифы ВБ'!$B$15+(K9-1)*'Тарифы ВБ'!$B$14,'Тарифы ВБ'!$B$14*'Тарифы ВБ'!B$16*'Тарифы ВБ'!$B$15)</f>
        <v>32</v>
      </c>
      <c r="AC9" s="287">
        <f t="shared" si="5"/>
        <v>136.04264000000001</v>
      </c>
      <c r="AD9" s="240">
        <f t="shared" si="6"/>
        <v>0.25249190794357834</v>
      </c>
      <c r="AE9" s="241">
        <v>0.29499999999999998</v>
      </c>
      <c r="AF9" s="289">
        <f t="shared" si="7"/>
        <v>158.94599999999997</v>
      </c>
      <c r="AG9" s="364">
        <f t="shared" si="8"/>
        <v>0</v>
      </c>
      <c r="AH9" s="364">
        <f t="shared" si="9"/>
        <v>16.163999999999998</v>
      </c>
      <c r="AI9" s="149">
        <f t="shared" si="10"/>
        <v>396.94131606948554</v>
      </c>
      <c r="AJ9" s="447">
        <f t="shared" si="11"/>
        <v>0.19328634730978919</v>
      </c>
      <c r="AK9" s="450">
        <f t="shared" si="12"/>
        <v>141.85868393051442</v>
      </c>
      <c r="AL9" s="450">
        <f t="shared" si="13"/>
        <v>104.14268393051441</v>
      </c>
      <c r="AM9" s="447">
        <f t="shared" si="14"/>
        <v>1.6326202446508038</v>
      </c>
      <c r="AN9" s="458">
        <v>599</v>
      </c>
      <c r="AO9" s="459">
        <f t="shared" si="15"/>
        <v>202.05868393051446</v>
      </c>
      <c r="AP9" s="459">
        <f t="shared" si="16"/>
        <v>160.12868393051446</v>
      </c>
      <c r="AQ9" s="463">
        <f t="shared" si="17"/>
        <v>2.5102995358625226</v>
      </c>
      <c r="AR9" s="464">
        <f t="shared" si="18"/>
        <v>0.26732668435812096</v>
      </c>
      <c r="AS9" s="487" t="str">
        <f>IFERROR(_xlfn.XLOOKUP(A9,'[2]Рассчет акции'!$A:$A,'[2]Рассчет акции'!$BH:$BH),0)</f>
        <v>*</v>
      </c>
      <c r="AT9" s="487">
        <f>IFERROR(_xlfn.XLOOKUP($A9,'[2]Рассчет акции'!$A:$A,'[2]Рассчет акции'!$BC:$BC),0)</f>
        <v>539</v>
      </c>
      <c r="AU9" s="409">
        <f t="shared" si="19"/>
        <v>0.19355971044622347</v>
      </c>
      <c r="AV9" s="407">
        <f t="shared" si="20"/>
        <v>142.05868393051446</v>
      </c>
      <c r="AW9" s="407">
        <f t="shared" si="21"/>
        <v>104.32868393051446</v>
      </c>
      <c r="AX9" s="409">
        <f t="shared" si="22"/>
        <v>1.6355361226946972</v>
      </c>
      <c r="AY9" s="293">
        <f>IFERROR(_xlfn.XLOOKUP(E9,'[2]Рассчет акции'!$D:$D,'[2]Рассчет акции'!$BM:$BM),0)</f>
        <v>320</v>
      </c>
      <c r="AZ9" s="203">
        <f>IFERROR(_xlfn.XLOOKUP(E9,'[2]Рассчет акции'!$D:$D,'[2]Рассчет акции'!$BN:$BN),0)</f>
        <v>726</v>
      </c>
      <c r="BA9" s="294">
        <f t="shared" si="23"/>
        <v>8.4466402690828737</v>
      </c>
      <c r="BB9" s="292"/>
      <c r="BC9" s="497" t="e">
        <f xml:space="preserve"> _xlfn.XLOOKUP(B9,#REF!,#REF!,0)</f>
        <v>#REF!</v>
      </c>
      <c r="BD9" s="500" t="e">
        <f t="shared" si="52"/>
        <v>#REF!</v>
      </c>
      <c r="BE9" s="501">
        <f>_xlfn.XLOOKUP($B9,'[1]Рассчет акции'!$A:$A,'[1]Рассчет акции'!$J:$J)</f>
        <v>0.35003253090435915</v>
      </c>
      <c r="BF9" s="191" t="e">
        <f t="shared" si="44"/>
        <v>#REF!</v>
      </c>
      <c r="BG9" s="192">
        <f t="shared" si="24"/>
        <v>0</v>
      </c>
      <c r="BH9" s="193">
        <v>0.4</v>
      </c>
      <c r="BI9" s="194" t="e">
        <f t="shared" si="25"/>
        <v>#REF!</v>
      </c>
      <c r="BJ9" s="195" t="e">
        <f t="shared" si="45"/>
        <v>#REF!</v>
      </c>
      <c r="BK9" s="422">
        <f t="shared" si="26"/>
        <v>0</v>
      </c>
      <c r="BL9" s="196">
        <f>(IF(K9&gt;$BL$3,('Тарифы ОЗОН'!$G$3+ROUNDUP(K9-$BL$3,0)*'Тарифы ОЗОН'!$G$4),'Тарифы ОЗОН'!$G$3))</f>
        <v>46.77</v>
      </c>
      <c r="BM9" s="196">
        <f t="shared" si="27"/>
        <v>35</v>
      </c>
      <c r="BN9" s="197">
        <f>_xlfn.XLOOKUP(BM9,'Тарифы ОЗОН'!$A:$A,'Тарифы ОЗОН'!$B:$B)</f>
        <v>1.32</v>
      </c>
      <c r="BO9" s="198">
        <f>_xlfn.XLOOKUP(BM9,'Тарифы ОЗОН'!$A:$A,'Тарифы ОЗОН'!C:C)</f>
        <v>1.6E-2</v>
      </c>
      <c r="BP9" s="199">
        <f t="shared" si="28"/>
        <v>25</v>
      </c>
      <c r="BQ9" s="199" t="e">
        <f t="shared" si="46"/>
        <v>#REF!</v>
      </c>
      <c r="BR9" s="359">
        <f t="shared" si="47"/>
        <v>0.85</v>
      </c>
      <c r="BS9" s="199" t="e">
        <f t="shared" si="48"/>
        <v>#REF!</v>
      </c>
      <c r="BT9" s="200">
        <f t="shared" si="29"/>
        <v>0</v>
      </c>
      <c r="BU9" s="262" t="e">
        <f t="shared" si="30"/>
        <v>#REF!</v>
      </c>
      <c r="BV9" s="149" t="e">
        <f t="shared" si="31"/>
        <v>#REF!</v>
      </c>
      <c r="BW9" s="291">
        <f t="shared" si="32"/>
        <v>0</v>
      </c>
      <c r="BX9" s="201">
        <f t="shared" si="33"/>
        <v>0</v>
      </c>
      <c r="BY9" s="201" t="e">
        <f t="shared" si="34"/>
        <v>#REF!</v>
      </c>
      <c r="BZ9" s="202">
        <f t="shared" si="35"/>
        <v>0</v>
      </c>
      <c r="CA9" s="425">
        <v>769</v>
      </c>
      <c r="CB9" s="426" t="e">
        <f t="shared" si="49"/>
        <v>#REF!</v>
      </c>
      <c r="CC9" s="427" t="e">
        <f t="shared" si="53"/>
        <v>#REF!</v>
      </c>
      <c r="CD9" s="429" t="e">
        <f t="shared" si="36"/>
        <v>#REF!</v>
      </c>
      <c r="CE9" s="429">
        <f t="shared" si="50"/>
        <v>0</v>
      </c>
      <c r="CF9" s="277">
        <f>_xlfn.XLOOKUP(B9,'[1]Рассчет акции'!$A:$A,'[1]Рассчет акции'!$R:$R,0)</f>
        <v>0</v>
      </c>
      <c r="CG9" s="360">
        <f>_xlfn.XLOOKUP(B9,'[1]Рассчет акции'!$A:$A,'[1]Рассчет акции'!$M:$M,0)</f>
        <v>0</v>
      </c>
      <c r="CH9" s="291">
        <f t="shared" si="54"/>
        <v>0</v>
      </c>
      <c r="CI9" s="290" t="e">
        <f t="shared" si="55"/>
        <v>#REF!</v>
      </c>
      <c r="CJ9" s="290" t="e">
        <f t="shared" si="56"/>
        <v>#REF!</v>
      </c>
      <c r="CK9" s="291" t="e">
        <f t="shared" si="38"/>
        <v>#REF!</v>
      </c>
      <c r="CL9" s="203">
        <f>_xlfn.XLOOKUP(B9,'[1]Рассчет акции'!$A:$A,'[1]Рассчет акции'!$W:$W,0)</f>
        <v>0</v>
      </c>
      <c r="CM9" s="424">
        <f>_xlfn.XLOOKUP(B9,'[1]Рассчет акции'!$A:$A,'[1]Рассчет акции'!$X:$X,0)</f>
        <v>0</v>
      </c>
      <c r="CN9" s="294" t="e">
        <f t="shared" si="39"/>
        <v>#REF!</v>
      </c>
      <c r="CO9" s="433">
        <f t="shared" si="51"/>
        <v>692.1</v>
      </c>
      <c r="CP9" s="507">
        <f>_xlfn.XLOOKUP(B9,'[1]Рассчет акции'!$A:$A,'[1]Рассчет акции'!$Z:$Z,0)</f>
        <v>0</v>
      </c>
    </row>
    <row r="10" spans="1:98" ht="24.95" customHeight="1" x14ac:dyDescent="0.25">
      <c r="A10" s="174">
        <v>177404837</v>
      </c>
      <c r="B10" s="176">
        <v>2419349262</v>
      </c>
      <c r="C10" s="174" t="s">
        <v>64</v>
      </c>
      <c r="D10" s="175" t="s">
        <v>427</v>
      </c>
      <c r="E10" s="176">
        <v>2038627692689</v>
      </c>
      <c r="F10" s="284">
        <f t="shared" si="0"/>
        <v>211</v>
      </c>
      <c r="G10" s="147">
        <f t="shared" si="1"/>
        <v>0.16931471673888623</v>
      </c>
      <c r="H10" s="439">
        <f>IF(_xlfn.XLOOKUP($C10,'Юнит Карго'!$A:$A,'Юнит Карго'!$G:$G)=0,_xlfn.XLOOKUP(E10,'Себес 1С текущ'!G:G,'Себес 1С текущ'!H:H),_xlfn.XLOOKUP($C10,'Юнит Карго'!$A:$A,'Юнит Карго'!$P:$P,0,0))</f>
        <v>165</v>
      </c>
      <c r="I10" s="268">
        <f>_xlfn.XLOOKUP(E10,[3]ТЗ_ФФ!$D:$D,[3]ТЗ_ФФ!$BG:$BG,0)</f>
        <v>38</v>
      </c>
      <c r="J10" s="269">
        <f t="shared" si="2"/>
        <v>8</v>
      </c>
      <c r="K10" s="273">
        <f t="shared" si="3"/>
        <v>2.5</v>
      </c>
      <c r="L10" s="146">
        <v>25</v>
      </c>
      <c r="M10" s="146">
        <v>20</v>
      </c>
      <c r="N10" s="146">
        <v>5</v>
      </c>
      <c r="O10" s="150">
        <f>_xlfn.XLOOKUP($C10,'Юнит Карго'!$A:$A,'Юнит Карго'!$T:$T,0,0)</f>
        <v>0.14000000000000001</v>
      </c>
      <c r="P10" s="127" t="s">
        <v>191</v>
      </c>
      <c r="Q10" s="146">
        <v>40</v>
      </c>
      <c r="R10" s="292"/>
      <c r="S10" s="285">
        <f t="shared" si="4"/>
        <v>1246.1999999999998</v>
      </c>
      <c r="T10" s="286" t="str">
        <f>_xlfn.XLOOKUP(E10,'[2]Рассчет акции'!$D:$D,'[2]Рассчет акции'!$G:$G,0)</f>
        <v>2077</v>
      </c>
      <c r="U10" s="417">
        <f>_xlfn.XLOOKUP(E10,'[2]Рассчет акции'!$D:$D,'[2]Рассчет акции'!$F:$F,0)</f>
        <v>0.4</v>
      </c>
      <c r="V10" s="235">
        <f t="shared" si="40"/>
        <v>655.89535999999987</v>
      </c>
      <c r="W10" s="288">
        <f t="shared" si="41"/>
        <v>0.5263162895201412</v>
      </c>
      <c r="X10" s="289">
        <f>IF(K10&gt;1,('Тарифы ВБ'!$B$9+(K10-1)*'Тарифы ВБ'!$B$10)*'Тарифы ВБ'!$B$15*'Тарифы ВБ'!$B$12+S10*'Тарифы ВБ'!$B$13,'Тарифы ВБ'!$B$8*'Тарифы ВБ'!$B$15*'Тарифы ВБ'!$B$12+S10*'Тарифы ВБ'!$B$13)</f>
        <v>151.76036000000002</v>
      </c>
      <c r="Y10" s="289">
        <f>IF(K10&gt;1,'Тарифы ВБ'!$B$9+(K10-1)*'Тарифы ВБ'!$B$10,'Тарифы ВБ'!$B$8)</f>
        <v>67</v>
      </c>
      <c r="Z10" s="289">
        <f t="shared" si="42"/>
        <v>218.76036000000002</v>
      </c>
      <c r="AA10" s="236">
        <f t="shared" si="43"/>
        <v>0.17554193548387101</v>
      </c>
      <c r="AB10" s="237">
        <f>IF(K10&gt;1,'Тарифы ВБ'!$B$14*'Тарифы ВБ'!$B$16*'Тарифы ВБ'!$B$15+(K10-1)*'Тарифы ВБ'!$B$14,'Тарифы ВБ'!$B$14*'Тарифы ВБ'!B$16*'Тарифы ВБ'!$B$15)</f>
        <v>32.119999999999997</v>
      </c>
      <c r="AC10" s="287">
        <f t="shared" si="5"/>
        <v>250.88036000000002</v>
      </c>
      <c r="AD10" s="240">
        <f t="shared" si="6"/>
        <v>0.20131628952014127</v>
      </c>
      <c r="AE10" s="241">
        <v>0.29499999999999998</v>
      </c>
      <c r="AF10" s="289">
        <f t="shared" si="7"/>
        <v>367.62899999999991</v>
      </c>
      <c r="AG10" s="364">
        <f t="shared" si="8"/>
        <v>0</v>
      </c>
      <c r="AH10" s="364">
        <f t="shared" si="9"/>
        <v>37.385999999999996</v>
      </c>
      <c r="AI10" s="149">
        <f t="shared" si="10"/>
        <v>866.89535999999987</v>
      </c>
      <c r="AJ10" s="447">
        <f t="shared" si="11"/>
        <v>0.23436899374097256</v>
      </c>
      <c r="AK10" s="450">
        <f t="shared" si="12"/>
        <v>379.30463999999995</v>
      </c>
      <c r="AL10" s="450">
        <f t="shared" si="13"/>
        <v>292.07063999999997</v>
      </c>
      <c r="AM10" s="447">
        <f t="shared" si="14"/>
        <v>1.7701250909090906</v>
      </c>
      <c r="AN10" s="458">
        <v>1259</v>
      </c>
      <c r="AO10" s="459">
        <f t="shared" si="15"/>
        <v>392.10464000000013</v>
      </c>
      <c r="AP10" s="459">
        <f t="shared" si="16"/>
        <v>303.97464000000014</v>
      </c>
      <c r="AQ10" s="463">
        <f t="shared" si="17"/>
        <v>1.8422705454545463</v>
      </c>
      <c r="AR10" s="464">
        <f t="shared" si="18"/>
        <v>0.241441334392375</v>
      </c>
      <c r="AS10" s="487" t="str">
        <f>IFERROR(_xlfn.XLOOKUP(A10,'[2]Рассчет акции'!$A:$A,'[2]Рассчет акции'!$BH:$BH),0)</f>
        <v>*</v>
      </c>
      <c r="AT10" s="487">
        <f>IFERROR(_xlfn.XLOOKUP($A10,'[2]Рассчет акции'!$A:$A,'[2]Рассчет акции'!$BC:$BC),0)</f>
        <v>1246</v>
      </c>
      <c r="AU10" s="409">
        <f t="shared" si="19"/>
        <v>0.23425733547351532</v>
      </c>
      <c r="AV10" s="407">
        <f t="shared" si="20"/>
        <v>379.10464000000013</v>
      </c>
      <c r="AW10" s="407">
        <f t="shared" si="21"/>
        <v>291.8846400000001</v>
      </c>
      <c r="AX10" s="409">
        <f t="shared" si="22"/>
        <v>1.7689978181818189</v>
      </c>
      <c r="AY10" s="293">
        <f>IFERROR(_xlfn.XLOOKUP(E10,'[2]Рассчет акции'!$D:$D,'[2]Рассчет акции'!$BM:$BM),0)</f>
        <v>146</v>
      </c>
      <c r="AZ10" s="203">
        <f>IFERROR(_xlfn.XLOOKUP(E10,'[2]Рассчет акции'!$D:$D,'[2]Рассчет акции'!$BN:$BN),0)</f>
        <v>502</v>
      </c>
      <c r="BA10" s="294">
        <f t="shared" si="23"/>
        <v>7.5527272727272718</v>
      </c>
      <c r="BB10" s="292"/>
      <c r="BC10" s="497" t="e">
        <f xml:space="preserve"> _xlfn.XLOOKUP(B10,#REF!,#REF!,0)</f>
        <v>#REF!</v>
      </c>
      <c r="BD10" s="500" t="e">
        <f t="shared" si="52"/>
        <v>#REF!</v>
      </c>
      <c r="BE10" s="501">
        <f>_xlfn.XLOOKUP($B10,'[1]Рассчет акции'!$A:$A,'[1]Рассчет акции'!$J:$J)</f>
        <v>0.35007225433526012</v>
      </c>
      <c r="BF10" s="191" t="e">
        <f t="shared" si="44"/>
        <v>#REF!</v>
      </c>
      <c r="BG10" s="192">
        <f t="shared" si="24"/>
        <v>0</v>
      </c>
      <c r="BH10" s="193">
        <v>0.4</v>
      </c>
      <c r="BI10" s="194" t="e">
        <f t="shared" si="25"/>
        <v>#REF!</v>
      </c>
      <c r="BJ10" s="195" t="e">
        <f t="shared" si="45"/>
        <v>#REF!</v>
      </c>
      <c r="BK10" s="422">
        <f t="shared" si="26"/>
        <v>0</v>
      </c>
      <c r="BL10" s="196">
        <f>(IF(K10&gt;$BL$3,('Тарифы ОЗОН'!$G$3+ROUNDUP(K10-$BL$3,0)*'Тарифы ОЗОН'!$G$4),'Тарифы ОЗОН'!$G$3))</f>
        <v>67.11</v>
      </c>
      <c r="BM10" s="196">
        <f t="shared" si="27"/>
        <v>35</v>
      </c>
      <c r="BN10" s="197">
        <f>_xlfn.XLOOKUP(BM10,'Тарифы ОЗОН'!$A:$A,'Тарифы ОЗОН'!$B:$B)</f>
        <v>1.32</v>
      </c>
      <c r="BO10" s="198">
        <f>_xlfn.XLOOKUP(BM10,'Тарифы ОЗОН'!$A:$A,'Тарифы ОЗОН'!C:C)</f>
        <v>1.6E-2</v>
      </c>
      <c r="BP10" s="199">
        <f t="shared" si="28"/>
        <v>25</v>
      </c>
      <c r="BQ10" s="199" t="e">
        <f t="shared" si="46"/>
        <v>#REF!</v>
      </c>
      <c r="BR10" s="359">
        <f t="shared" si="47"/>
        <v>0.85</v>
      </c>
      <c r="BS10" s="199" t="e">
        <f t="shared" si="48"/>
        <v>#REF!</v>
      </c>
      <c r="BT10" s="200">
        <f t="shared" si="29"/>
        <v>0</v>
      </c>
      <c r="BU10" s="262" t="e">
        <f t="shared" si="30"/>
        <v>#REF!</v>
      </c>
      <c r="BV10" s="149" t="e">
        <f t="shared" si="31"/>
        <v>#REF!</v>
      </c>
      <c r="BW10" s="291">
        <f t="shared" si="32"/>
        <v>0</v>
      </c>
      <c r="BX10" s="201">
        <f t="shared" si="33"/>
        <v>0</v>
      </c>
      <c r="BY10" s="201" t="e">
        <f t="shared" si="34"/>
        <v>#REF!</v>
      </c>
      <c r="BZ10" s="202">
        <f t="shared" si="35"/>
        <v>0</v>
      </c>
      <c r="CA10" s="425">
        <v>1099</v>
      </c>
      <c r="CB10" s="426" t="e">
        <f t="shared" si="49"/>
        <v>#REF!</v>
      </c>
      <c r="CC10" s="427" t="e">
        <f t="shared" si="53"/>
        <v>#REF!</v>
      </c>
      <c r="CD10" s="429" t="e">
        <f t="shared" si="36"/>
        <v>#REF!</v>
      </c>
      <c r="CE10" s="429">
        <f t="shared" si="50"/>
        <v>0</v>
      </c>
      <c r="CF10" s="277">
        <f>_xlfn.XLOOKUP(B10,'[1]Рассчет акции'!$A:$A,'[1]Рассчет акции'!$R:$R,0)</f>
        <v>0</v>
      </c>
      <c r="CG10" s="360">
        <f>_xlfn.XLOOKUP(B10,'[1]Рассчет акции'!$A:$A,'[1]Рассчет акции'!$M:$M,0)</f>
        <v>1071</v>
      </c>
      <c r="CH10" s="291">
        <f t="shared" si="54"/>
        <v>0</v>
      </c>
      <c r="CI10" s="290" t="e">
        <f t="shared" si="55"/>
        <v>#REF!</v>
      </c>
      <c r="CJ10" s="290" t="e">
        <f t="shared" si="56"/>
        <v>#REF!</v>
      </c>
      <c r="CK10" s="291" t="e">
        <f t="shared" si="38"/>
        <v>#REF!</v>
      </c>
      <c r="CL10" s="203">
        <f>_xlfn.XLOOKUP(B10,'[1]Рассчет акции'!$A:$A,'[1]Рассчет акции'!$W:$W,0)</f>
        <v>5</v>
      </c>
      <c r="CM10" s="424">
        <f>_xlfn.XLOOKUP(B10,'[1]Рассчет акции'!$A:$A,'[1]Рассчет акции'!$X:$X,0)</f>
        <v>999</v>
      </c>
      <c r="CN10" s="294" t="e">
        <f t="shared" si="39"/>
        <v>#REF!</v>
      </c>
      <c r="CO10" s="433">
        <f t="shared" si="51"/>
        <v>989.1</v>
      </c>
      <c r="CP10" s="507">
        <f>_xlfn.XLOOKUP(B10,'[1]Рассчет акции'!$A:$A,'[1]Рассчет акции'!$Z:$Z,0)</f>
        <v>0</v>
      </c>
    </row>
    <row r="11" spans="1:98" ht="24.95" customHeight="1" x14ac:dyDescent="0.25">
      <c r="A11" s="174">
        <v>177405495</v>
      </c>
      <c r="B11" s="176">
        <v>2576041357</v>
      </c>
      <c r="C11" s="174" t="s">
        <v>65</v>
      </c>
      <c r="D11" s="175" t="s">
        <v>430</v>
      </c>
      <c r="E11" s="176">
        <v>2038627713902</v>
      </c>
      <c r="F11" s="284">
        <f t="shared" si="0"/>
        <v>195.35735213897115</v>
      </c>
      <c r="G11" s="147">
        <f t="shared" si="1"/>
        <v>0.17628347964173541</v>
      </c>
      <c r="H11" s="439">
        <f>IF(_xlfn.XLOOKUP($C11,'Юнит Карго'!$A:$A,'Юнит Карго'!$G:$G)=0,_xlfn.XLOOKUP(E11,'Себес 1С текущ'!G:G,'Себес 1С текущ'!H:H),_xlfn.XLOOKUP($C11,'Юнит Карго'!$A:$A,'Юнит Карго'!$P:$P,0,0))</f>
        <v>149.35735213897115</v>
      </c>
      <c r="I11" s="268">
        <f>_xlfn.XLOOKUP(E11,[3]ТЗ_ФФ!$D:$D,[3]ТЗ_ФФ!$BG:$BG,0)</f>
        <v>38</v>
      </c>
      <c r="J11" s="269">
        <f t="shared" si="2"/>
        <v>8</v>
      </c>
      <c r="K11" s="273">
        <f t="shared" si="3"/>
        <v>1.7</v>
      </c>
      <c r="L11" s="146">
        <v>25</v>
      </c>
      <c r="M11" s="146">
        <v>17</v>
      </c>
      <c r="N11" s="146">
        <v>4</v>
      </c>
      <c r="O11" s="150">
        <f>_xlfn.XLOOKUP($C11,'Юнит Карго'!$A:$A,'Юнит Карго'!$T:$T,0,0)</f>
        <v>0.12</v>
      </c>
      <c r="P11" s="127" t="s">
        <v>614</v>
      </c>
      <c r="Q11" s="146">
        <v>50</v>
      </c>
      <c r="R11" s="292"/>
      <c r="S11" s="285">
        <f t="shared" si="4"/>
        <v>1108.1999999999998</v>
      </c>
      <c r="T11" s="286" t="str">
        <f>_xlfn.XLOOKUP(E11,'[2]Рассчет акции'!$D:$D,'[2]Рассчет акции'!$G:$G,0)</f>
        <v>1847</v>
      </c>
      <c r="U11" s="417">
        <f>_xlfn.XLOOKUP(E11,'[2]Рассчет акции'!$D:$D,'[2]Рассчет акции'!$F:$F,0)</f>
        <v>0.4</v>
      </c>
      <c r="V11" s="235">
        <f t="shared" si="40"/>
        <v>574.96095999999989</v>
      </c>
      <c r="W11" s="288">
        <f t="shared" si="41"/>
        <v>0.51882418336040426</v>
      </c>
      <c r="X11" s="289">
        <f>IF(K11&gt;1,('Тарифы ВБ'!$B$9+(K11-1)*'Тарифы ВБ'!$B$10)*'Тарифы ВБ'!$B$15*'Тарифы ВБ'!$B$12+S11*'Тарифы ВБ'!$B$13,'Тарифы ВБ'!$B$8*'Тарифы ВБ'!$B$15*'Тарифы ВБ'!$B$12+S11*'Тарифы ВБ'!$B$13)</f>
        <v>126.93996</v>
      </c>
      <c r="Y11" s="289">
        <f>IF(K11&gt;1,'Тарифы ВБ'!$B$9+(K11-1)*'Тарифы ВБ'!$B$10,'Тарифы ВБ'!$B$8)</f>
        <v>55.8</v>
      </c>
      <c r="Z11" s="289">
        <f t="shared" si="42"/>
        <v>182.73996</v>
      </c>
      <c r="AA11" s="236">
        <f t="shared" si="43"/>
        <v>0.16489799675148892</v>
      </c>
      <c r="AB11" s="237">
        <f>IF(K11&gt;1,'Тарифы ВБ'!$B$14*'Тарифы ВБ'!$B$16*'Тарифы ВБ'!$B$15+(K11-1)*'Тарифы ВБ'!$B$14,'Тарифы ВБ'!$B$14*'Тарифы ВБ'!B$16*'Тарифы ВБ'!$B$15)</f>
        <v>32.055999999999997</v>
      </c>
      <c r="AC11" s="287">
        <f t="shared" si="5"/>
        <v>214.79595999999998</v>
      </c>
      <c r="AD11" s="240">
        <f t="shared" si="6"/>
        <v>0.19382418336040427</v>
      </c>
      <c r="AE11" s="241">
        <v>0.29499999999999998</v>
      </c>
      <c r="AF11" s="289">
        <f t="shared" si="7"/>
        <v>326.91899999999993</v>
      </c>
      <c r="AG11" s="364">
        <f t="shared" si="8"/>
        <v>0</v>
      </c>
      <c r="AH11" s="364">
        <f t="shared" si="9"/>
        <v>33.245999999999995</v>
      </c>
      <c r="AI11" s="149">
        <f t="shared" si="10"/>
        <v>770.31831213897101</v>
      </c>
      <c r="AJ11" s="447">
        <f t="shared" si="11"/>
        <v>0.23489233699786036</v>
      </c>
      <c r="AK11" s="450">
        <f t="shared" si="12"/>
        <v>337.88168786102881</v>
      </c>
      <c r="AL11" s="450">
        <f t="shared" si="13"/>
        <v>260.3076878610288</v>
      </c>
      <c r="AM11" s="447">
        <f t="shared" si="14"/>
        <v>1.7428515177399684</v>
      </c>
      <c r="AN11" s="458">
        <v>1119</v>
      </c>
      <c r="AO11" s="459">
        <f t="shared" si="15"/>
        <v>348.68168786102899</v>
      </c>
      <c r="AP11" s="459">
        <f t="shared" si="16"/>
        <v>270.35168786102895</v>
      </c>
      <c r="AQ11" s="463">
        <f t="shared" si="17"/>
        <v>1.810099630110457</v>
      </c>
      <c r="AR11" s="464">
        <f t="shared" si="18"/>
        <v>0.24160115090351111</v>
      </c>
      <c r="AS11" s="487" t="str">
        <f>IFERROR(_xlfn.XLOOKUP(A11,'[2]Рассчет акции'!$A:$A,'[2]Рассчет акции'!$BH:$BH),0)</f>
        <v>*</v>
      </c>
      <c r="AT11" s="487">
        <f>IFERROR(_xlfn.XLOOKUP($A11,'[2]Рассчет акции'!$A:$A,'[2]Рассчет акции'!$BC:$BC),0)</f>
        <v>1108</v>
      </c>
      <c r="AU11" s="409">
        <f t="shared" si="19"/>
        <v>0.23476686630056767</v>
      </c>
      <c r="AV11" s="407">
        <f t="shared" si="20"/>
        <v>337.68168786102899</v>
      </c>
      <c r="AW11" s="407">
        <f t="shared" si="21"/>
        <v>260.12168786102899</v>
      </c>
      <c r="AX11" s="409">
        <f t="shared" si="22"/>
        <v>1.7416061823257014</v>
      </c>
      <c r="AY11" s="293">
        <f>IFERROR(_xlfn.XLOOKUP(E11,'[2]Рассчет акции'!$D:$D,'[2]Рассчет акции'!$BM:$BM),0)</f>
        <v>264</v>
      </c>
      <c r="AZ11" s="203">
        <f>IFERROR(_xlfn.XLOOKUP(E11,'[2]Рассчет акции'!$D:$D,'[2]Рассчет акции'!$BN:$BN),0)</f>
        <v>999</v>
      </c>
      <c r="BA11" s="294">
        <f t="shared" si="23"/>
        <v>7.4197887424307254</v>
      </c>
      <c r="BB11" s="292"/>
      <c r="BC11" s="497" t="e">
        <f xml:space="preserve"> _xlfn.XLOOKUP(B11,#REF!,#REF!,0)</f>
        <v>#REF!</v>
      </c>
      <c r="BD11" s="500" t="e">
        <f t="shared" si="52"/>
        <v>#REF!</v>
      </c>
      <c r="BE11" s="501">
        <f>_xlfn.XLOOKUP($B11,'[1]Рассчет акции'!$A:$A,'[1]Рассчет акции'!$J:$J)</f>
        <v>0.35</v>
      </c>
      <c r="BF11" s="191" t="e">
        <f t="shared" si="44"/>
        <v>#REF!</v>
      </c>
      <c r="BG11" s="192">
        <f t="shared" si="24"/>
        <v>0</v>
      </c>
      <c r="BH11" s="193">
        <v>0.4</v>
      </c>
      <c r="BI11" s="194" t="e">
        <f t="shared" si="25"/>
        <v>#REF!</v>
      </c>
      <c r="BJ11" s="195" t="e">
        <f t="shared" si="45"/>
        <v>#REF!</v>
      </c>
      <c r="BK11" s="422">
        <f t="shared" si="26"/>
        <v>0</v>
      </c>
      <c r="BL11" s="196">
        <f>(IF(K11&gt;$BL$3,('Тарифы ОЗОН'!$G$3+ROUNDUP(K11-$BL$3,0)*'Тарифы ОЗОН'!$G$4),'Тарифы ОЗОН'!$G$3))</f>
        <v>56.940000000000005</v>
      </c>
      <c r="BM11" s="196">
        <f t="shared" si="27"/>
        <v>35</v>
      </c>
      <c r="BN11" s="197">
        <f>_xlfn.XLOOKUP(BM11,'Тарифы ОЗОН'!$A:$A,'Тарифы ОЗОН'!$B:$B)</f>
        <v>1.32</v>
      </c>
      <c r="BO11" s="198">
        <f>_xlfn.XLOOKUP(BM11,'Тарифы ОЗОН'!$A:$A,'Тарифы ОЗОН'!C:C)</f>
        <v>1.6E-2</v>
      </c>
      <c r="BP11" s="199">
        <f t="shared" si="28"/>
        <v>25</v>
      </c>
      <c r="BQ11" s="199" t="e">
        <f t="shared" si="46"/>
        <v>#REF!</v>
      </c>
      <c r="BR11" s="359">
        <f t="shared" si="47"/>
        <v>0.85</v>
      </c>
      <c r="BS11" s="199" t="e">
        <f t="shared" si="48"/>
        <v>#REF!</v>
      </c>
      <c r="BT11" s="200">
        <f t="shared" si="29"/>
        <v>0</v>
      </c>
      <c r="BU11" s="262" t="e">
        <f t="shared" si="30"/>
        <v>#REF!</v>
      </c>
      <c r="BV11" s="149" t="e">
        <f t="shared" si="31"/>
        <v>#REF!</v>
      </c>
      <c r="BW11" s="291">
        <f t="shared" si="32"/>
        <v>0</v>
      </c>
      <c r="BX11" s="201">
        <f t="shared" si="33"/>
        <v>0</v>
      </c>
      <c r="BY11" s="201" t="e">
        <f t="shared" si="34"/>
        <v>#REF!</v>
      </c>
      <c r="BZ11" s="202">
        <f t="shared" si="35"/>
        <v>0</v>
      </c>
      <c r="CA11" s="425">
        <v>1009</v>
      </c>
      <c r="CB11" s="426" t="e">
        <f t="shared" si="49"/>
        <v>#REF!</v>
      </c>
      <c r="CC11" s="427" t="e">
        <f t="shared" si="53"/>
        <v>#REF!</v>
      </c>
      <c r="CD11" s="429" t="e">
        <f t="shared" si="36"/>
        <v>#REF!</v>
      </c>
      <c r="CE11" s="429">
        <f t="shared" si="50"/>
        <v>0</v>
      </c>
      <c r="CF11" s="277">
        <f>_xlfn.XLOOKUP(B11,'[1]Рассчет акции'!$A:$A,'[1]Рассчет акции'!$R:$R,0)</f>
        <v>0</v>
      </c>
      <c r="CG11" s="360">
        <f>_xlfn.XLOOKUP(B11,'[1]Рассчет акции'!$A:$A,'[1]Рассчет акции'!$M:$M,0)</f>
        <v>1092</v>
      </c>
      <c r="CH11" s="291">
        <f t="shared" si="54"/>
        <v>0</v>
      </c>
      <c r="CI11" s="290" t="e">
        <f t="shared" si="55"/>
        <v>#REF!</v>
      </c>
      <c r="CJ11" s="290" t="e">
        <f t="shared" si="56"/>
        <v>#REF!</v>
      </c>
      <c r="CK11" s="291" t="e">
        <f t="shared" si="38"/>
        <v>#REF!</v>
      </c>
      <c r="CL11" s="203">
        <f>_xlfn.XLOOKUP(B11,'[1]Рассчет акции'!$A:$A,'[1]Рассчет акции'!$W:$W,0)</f>
        <v>2</v>
      </c>
      <c r="CM11" s="424">
        <f>_xlfn.XLOOKUP(B11,'[1]Рассчет акции'!$A:$A,'[1]Рассчет акции'!$X:$X,0)</f>
        <v>7</v>
      </c>
      <c r="CN11" s="294" t="e">
        <f t="shared" si="39"/>
        <v>#REF!</v>
      </c>
      <c r="CO11" s="433">
        <f t="shared" si="51"/>
        <v>908.1</v>
      </c>
      <c r="CP11" s="507">
        <f>_xlfn.XLOOKUP(B11,'[1]Рассчет акции'!$A:$A,'[1]Рассчет акции'!$Z:$Z,0)</f>
        <v>0</v>
      </c>
    </row>
    <row r="12" spans="1:98" ht="22.5" customHeight="1" x14ac:dyDescent="0.25">
      <c r="A12" s="174">
        <v>176721350</v>
      </c>
      <c r="B12" s="176">
        <v>2419349585</v>
      </c>
      <c r="C12" s="174" t="s">
        <v>61</v>
      </c>
      <c r="D12" s="175" t="s">
        <v>431</v>
      </c>
      <c r="E12" s="176">
        <v>2038606201642</v>
      </c>
      <c r="F12" s="284">
        <f t="shared" si="0"/>
        <v>183.44246481721873</v>
      </c>
      <c r="G12" s="147">
        <f t="shared" si="1"/>
        <v>0.24226421661016737</v>
      </c>
      <c r="H12" s="439">
        <f>IF(_xlfn.XLOOKUP($C12,'Юнит Карго'!$A:$A,'Юнит Карго'!$G:$G)=0,_xlfn.XLOOKUP(E12,'Себес 1С текущ'!G:G,'Себес 1С текущ'!H:H),_xlfn.XLOOKUP($C12,'Юнит Карго'!$A:$A,'Юнит Карго'!$P:$P,0,0))</f>
        <v>137.44246481721873</v>
      </c>
      <c r="I12" s="268">
        <f>_xlfn.XLOOKUP(E12,[3]ТЗ_ФФ!$D:$D,[3]ТЗ_ФФ!$BG:$BG,0)</f>
        <v>38</v>
      </c>
      <c r="J12" s="269">
        <f t="shared" si="2"/>
        <v>8</v>
      </c>
      <c r="K12" s="273">
        <f t="shared" si="3"/>
        <v>0.94499999999999995</v>
      </c>
      <c r="L12" s="146">
        <v>21</v>
      </c>
      <c r="M12" s="146">
        <v>15</v>
      </c>
      <c r="N12" s="146">
        <v>3</v>
      </c>
      <c r="O12" s="150">
        <f>_xlfn.XLOOKUP($C12,'Юнит Карго'!$A:$A,'Юнит Карго'!$T:$T,0,0)</f>
        <v>0.13</v>
      </c>
      <c r="P12" s="127" t="s">
        <v>614</v>
      </c>
      <c r="Q12" s="146">
        <v>100</v>
      </c>
      <c r="R12" s="292"/>
      <c r="S12" s="285">
        <f t="shared" si="4"/>
        <v>757.2</v>
      </c>
      <c r="T12" s="286" t="str">
        <f>_xlfn.XLOOKUP(E12,'[2]Рассчет акции'!$D:$D,'[2]Рассчет акции'!$G:$G,0)</f>
        <v>1262</v>
      </c>
      <c r="U12" s="417">
        <f>_xlfn.XLOOKUP(E12,'[2]Рассчет акции'!$D:$D,'[2]Рассчет акции'!$F:$F,0)</f>
        <v>0.4</v>
      </c>
      <c r="V12" s="235">
        <f t="shared" si="40"/>
        <v>383.83616000000001</v>
      </c>
      <c r="W12" s="288">
        <f t="shared" si="41"/>
        <v>0.50691516111991541</v>
      </c>
      <c r="X12" s="289">
        <f>IF(K12&gt;1,('Тарифы ВБ'!$B$9+(K12-1)*'Тарифы ВБ'!$B$10)*'Тарифы ВБ'!$B$15*'Тарифы ВБ'!$B$12+S12*'Тарифы ВБ'!$B$13,'Тарифы ВБ'!$B$8*'Тарифы ВБ'!$B$15*'Тарифы ВБ'!$B$12+S12*'Тарифы ВБ'!$B$13)</f>
        <v>73.746160000000003</v>
      </c>
      <c r="Y12" s="289">
        <f>IF(K12&gt;1,'Тарифы ВБ'!$B$9+(K12-1)*'Тарифы ВБ'!$B$10,'Тарифы ВБ'!$B$8)</f>
        <v>32</v>
      </c>
      <c r="Z12" s="289">
        <f t="shared" si="42"/>
        <v>105.74616</v>
      </c>
      <c r="AA12" s="236">
        <f t="shared" si="43"/>
        <v>0.1396541996830428</v>
      </c>
      <c r="AB12" s="237">
        <f>IF(K12&gt;1,'Тарифы ВБ'!$B$14*'Тарифы ВБ'!$B$16*'Тарифы ВБ'!$B$15+(K12-1)*'Тарифы ВБ'!$B$14,'Тарифы ВБ'!$B$14*'Тарифы ВБ'!B$16*'Тарифы ВБ'!$B$15)</f>
        <v>32</v>
      </c>
      <c r="AC12" s="287">
        <f t="shared" si="5"/>
        <v>137.74616</v>
      </c>
      <c r="AD12" s="240">
        <f t="shared" si="6"/>
        <v>0.18191516111991546</v>
      </c>
      <c r="AE12" s="241">
        <v>0.29499999999999998</v>
      </c>
      <c r="AF12" s="289">
        <f t="shared" si="7"/>
        <v>223.374</v>
      </c>
      <c r="AG12" s="364">
        <f t="shared" si="8"/>
        <v>0</v>
      </c>
      <c r="AH12" s="364">
        <f t="shared" si="9"/>
        <v>22.716000000000001</v>
      </c>
      <c r="AI12" s="149">
        <f t="shared" si="10"/>
        <v>567.27862481721877</v>
      </c>
      <c r="AJ12" s="447">
        <f t="shared" si="11"/>
        <v>0.18082062226991713</v>
      </c>
      <c r="AK12" s="450">
        <f t="shared" si="12"/>
        <v>189.92137518278128</v>
      </c>
      <c r="AL12" s="450">
        <f t="shared" si="13"/>
        <v>136.91737518278126</v>
      </c>
      <c r="AM12" s="447">
        <f t="shared" si="14"/>
        <v>0.99617956768211502</v>
      </c>
      <c r="AN12" s="458">
        <v>839</v>
      </c>
      <c r="AO12" s="459">
        <f t="shared" si="15"/>
        <v>271.72137518278123</v>
      </c>
      <c r="AP12" s="459">
        <f t="shared" si="16"/>
        <v>212.99137518278121</v>
      </c>
      <c r="AQ12" s="463">
        <f t="shared" si="17"/>
        <v>1.5496766262598176</v>
      </c>
      <c r="AR12" s="464">
        <f t="shared" si="18"/>
        <v>0.25386337924050206</v>
      </c>
      <c r="AS12" s="487" t="str">
        <f>IFERROR(_xlfn.XLOOKUP(A12,'[2]Рассчет акции'!$A:$A,'[2]Рассчет акции'!$BH:$BH),0)</f>
        <v>*</v>
      </c>
      <c r="AT12" s="487">
        <f>IFERROR(_xlfn.XLOOKUP($A12,'[2]Рассчет акции'!$A:$A,'[2]Рассчет акции'!$BC:$BC),0)</f>
        <v>757</v>
      </c>
      <c r="AU12" s="409">
        <f t="shared" si="19"/>
        <v>0.18062268848451946</v>
      </c>
      <c r="AV12" s="407">
        <f t="shared" si="20"/>
        <v>189.72137518278123</v>
      </c>
      <c r="AW12" s="407">
        <f t="shared" si="21"/>
        <v>136.73137518278122</v>
      </c>
      <c r="AX12" s="409">
        <f t="shared" si="22"/>
        <v>0.99482627414035996</v>
      </c>
      <c r="AY12" s="293">
        <f>IFERROR(_xlfn.XLOOKUP(E12,'[2]Рассчет акции'!$D:$D,'[2]Рассчет акции'!$BM:$BM),0)</f>
        <v>258</v>
      </c>
      <c r="AZ12" s="203">
        <f>IFERROR(_xlfn.XLOOKUP(E12,'[2]Рассчет акции'!$D:$D,'[2]Рассчет акции'!$BN:$BN),0)</f>
        <v>334</v>
      </c>
      <c r="BA12" s="294">
        <f t="shared" si="23"/>
        <v>5.5092143538533103</v>
      </c>
      <c r="BB12" s="292"/>
      <c r="BC12" s="497" t="e">
        <f xml:space="preserve"> _xlfn.XLOOKUP(B12,#REF!,#REF!,0)</f>
        <v>#REF!</v>
      </c>
      <c r="BD12" s="500" t="e">
        <f t="shared" si="52"/>
        <v>#REF!</v>
      </c>
      <c r="BE12" s="501">
        <f>_xlfn.XLOOKUP($B12,'[1]Рассчет акции'!$A:$A,'[1]Рассчет акции'!$J:$J)</f>
        <v>0.35011135857461029</v>
      </c>
      <c r="BF12" s="191" t="e">
        <f t="shared" si="44"/>
        <v>#REF!</v>
      </c>
      <c r="BG12" s="192">
        <f t="shared" si="24"/>
        <v>0</v>
      </c>
      <c r="BH12" s="193">
        <v>0.4</v>
      </c>
      <c r="BI12" s="194" t="e">
        <f t="shared" si="25"/>
        <v>#REF!</v>
      </c>
      <c r="BJ12" s="195" t="e">
        <f t="shared" si="45"/>
        <v>#REF!</v>
      </c>
      <c r="BK12" s="422">
        <f t="shared" si="26"/>
        <v>0</v>
      </c>
      <c r="BL12" s="196">
        <f>(IF(K12&gt;$BL$3,('Тарифы ОЗОН'!$G$3+ROUNDUP(K12-$BL$3,0)*'Тарифы ОЗОН'!$G$4),'Тарифы ОЗОН'!$G$3))</f>
        <v>46.77</v>
      </c>
      <c r="BM12" s="196">
        <f t="shared" si="27"/>
        <v>35</v>
      </c>
      <c r="BN12" s="197">
        <f>_xlfn.XLOOKUP(BM12,'Тарифы ОЗОН'!$A:$A,'Тарифы ОЗОН'!$B:$B)</f>
        <v>1.32</v>
      </c>
      <c r="BO12" s="198">
        <f>_xlfn.XLOOKUP(BM12,'Тарифы ОЗОН'!$A:$A,'Тарифы ОЗОН'!C:C)</f>
        <v>1.6E-2</v>
      </c>
      <c r="BP12" s="199">
        <f t="shared" si="28"/>
        <v>25</v>
      </c>
      <c r="BQ12" s="199" t="e">
        <f t="shared" si="46"/>
        <v>#REF!</v>
      </c>
      <c r="BR12" s="359">
        <f t="shared" si="47"/>
        <v>0.85</v>
      </c>
      <c r="BS12" s="199" t="e">
        <f t="shared" si="48"/>
        <v>#REF!</v>
      </c>
      <c r="BT12" s="200">
        <f t="shared" si="29"/>
        <v>0</v>
      </c>
      <c r="BU12" s="262" t="e">
        <f t="shared" si="30"/>
        <v>#REF!</v>
      </c>
      <c r="BV12" s="149" t="e">
        <f t="shared" si="31"/>
        <v>#REF!</v>
      </c>
      <c r="BW12" s="291">
        <f t="shared" si="32"/>
        <v>0</v>
      </c>
      <c r="BX12" s="201">
        <f t="shared" si="33"/>
        <v>0</v>
      </c>
      <c r="BY12" s="201" t="e">
        <f t="shared" si="34"/>
        <v>#REF!</v>
      </c>
      <c r="BZ12" s="202">
        <f t="shared" si="35"/>
        <v>0</v>
      </c>
      <c r="CA12" s="425">
        <v>1099</v>
      </c>
      <c r="CB12" s="426" t="e">
        <f t="shared" si="49"/>
        <v>#REF!</v>
      </c>
      <c r="CC12" s="427" t="e">
        <f t="shared" si="53"/>
        <v>#REF!</v>
      </c>
      <c r="CD12" s="429" t="e">
        <f t="shared" si="36"/>
        <v>#REF!</v>
      </c>
      <c r="CE12" s="429">
        <f t="shared" si="50"/>
        <v>0</v>
      </c>
      <c r="CF12" s="277">
        <f>_xlfn.XLOOKUP(B12,'[1]Рассчет акции'!$A:$A,'[1]Рассчет акции'!$R:$R,0)</f>
        <v>0</v>
      </c>
      <c r="CG12" s="360">
        <f>_xlfn.XLOOKUP(B12,'[1]Рассчет акции'!$A:$A,'[1]Рассчет акции'!$M:$M,0)</f>
        <v>1060</v>
      </c>
      <c r="CH12" s="291">
        <f t="shared" si="54"/>
        <v>0</v>
      </c>
      <c r="CI12" s="290" t="e">
        <f t="shared" si="55"/>
        <v>#REF!</v>
      </c>
      <c r="CJ12" s="290" t="e">
        <f t="shared" si="56"/>
        <v>#REF!</v>
      </c>
      <c r="CK12" s="291" t="e">
        <f t="shared" si="38"/>
        <v>#REF!</v>
      </c>
      <c r="CL12" s="203">
        <f>_xlfn.XLOOKUP(B12,'[1]Рассчет акции'!$A:$A,'[1]Рассчет акции'!$W:$W,0)</f>
        <v>3</v>
      </c>
      <c r="CM12" s="424">
        <f>_xlfn.XLOOKUP(B12,'[1]Рассчет акции'!$A:$A,'[1]Рассчет акции'!$X:$X,0)</f>
        <v>999</v>
      </c>
      <c r="CN12" s="294" t="e">
        <f t="shared" si="39"/>
        <v>#REF!</v>
      </c>
      <c r="CO12" s="433">
        <f t="shared" si="51"/>
        <v>989.1</v>
      </c>
      <c r="CP12" s="507">
        <f>_xlfn.XLOOKUP(B12,'[1]Рассчет акции'!$A:$A,'[1]Рассчет акции'!$Z:$Z,0)</f>
        <v>0</v>
      </c>
    </row>
    <row r="13" spans="1:98" ht="22.5" customHeight="1" x14ac:dyDescent="0.25">
      <c r="A13" s="174">
        <v>176723275</v>
      </c>
      <c r="B13" s="176">
        <v>2419349501</v>
      </c>
      <c r="C13" s="174" t="s">
        <v>62</v>
      </c>
      <c r="D13" s="175" t="s">
        <v>432</v>
      </c>
      <c r="E13" s="176">
        <v>2038606256161</v>
      </c>
      <c r="F13" s="284">
        <f t="shared" si="0"/>
        <v>183.44246481721873</v>
      </c>
      <c r="G13" s="147">
        <f t="shared" si="1"/>
        <v>0.21869630998714681</v>
      </c>
      <c r="H13" s="439">
        <f>IF(_xlfn.XLOOKUP($C13,'Юнит Карго'!$A:$A,'Юнит Карго'!$G:$G)=0,_xlfn.XLOOKUP(E13,'Себес 1С текущ'!G:G,'Себес 1С текущ'!H:H),_xlfn.XLOOKUP($C13,'Юнит Карго'!$A:$A,'Юнит Карго'!$P:$P,0,0))</f>
        <v>137.44246481721873</v>
      </c>
      <c r="I13" s="268">
        <f>_xlfn.XLOOKUP(E13,[3]ТЗ_ФФ!$D:$D,[3]ТЗ_ФФ!$BG:$BG,0)</f>
        <v>38</v>
      </c>
      <c r="J13" s="269">
        <f t="shared" si="2"/>
        <v>8</v>
      </c>
      <c r="K13" s="273">
        <f t="shared" si="3"/>
        <v>0.94499999999999995</v>
      </c>
      <c r="L13" s="146">
        <v>21</v>
      </c>
      <c r="M13" s="146">
        <v>15</v>
      </c>
      <c r="N13" s="146">
        <v>3</v>
      </c>
      <c r="O13" s="150">
        <f>_xlfn.XLOOKUP($C13,'Юнит Карго'!$A:$A,'Юнит Карго'!$T:$T,0,0)</f>
        <v>0.13</v>
      </c>
      <c r="P13" s="127" t="s">
        <v>612</v>
      </c>
      <c r="Q13" s="146">
        <v>100</v>
      </c>
      <c r="R13" s="292"/>
      <c r="S13" s="285">
        <f t="shared" si="4"/>
        <v>838.8</v>
      </c>
      <c r="T13" s="286" t="str">
        <f>_xlfn.XLOOKUP(E13,'[2]Рассчет акции'!$D:$D,'[2]Рассчет акции'!$G:$G,0)</f>
        <v>1398</v>
      </c>
      <c r="U13" s="417">
        <f>_xlfn.XLOOKUP(E13,'[2]Рассчет акции'!$D:$D,'[2]Рассчет акции'!$F:$F,0)</f>
        <v>0.4</v>
      </c>
      <c r="V13" s="235">
        <f t="shared" si="40"/>
        <v>410.99263999999994</v>
      </c>
      <c r="W13" s="288">
        <f t="shared" si="41"/>
        <v>0.48997691940867899</v>
      </c>
      <c r="X13" s="289">
        <f>IF(K13&gt;1,('Тарифы ВБ'!$B$9+(K13-1)*'Тарифы ВБ'!$B$10)*'Тарифы ВБ'!$B$15*'Тарифы ВБ'!$B$12+S13*'Тарифы ВБ'!$B$13,'Тарифы ВБ'!$B$8*'Тарифы ВБ'!$B$15*'Тарифы ВБ'!$B$12+S13*'Тарифы ВБ'!$B$13)</f>
        <v>74.382640000000009</v>
      </c>
      <c r="Y13" s="289">
        <f>IF(K13&gt;1,'Тарифы ВБ'!$B$9+(K13-1)*'Тарифы ВБ'!$B$10,'Тарифы ВБ'!$B$8)</f>
        <v>32</v>
      </c>
      <c r="Z13" s="289">
        <f t="shared" si="42"/>
        <v>106.38264000000001</v>
      </c>
      <c r="AA13" s="236">
        <f t="shared" si="43"/>
        <v>0.1268271816881259</v>
      </c>
      <c r="AB13" s="237">
        <f>IF(K13&gt;1,'Тарифы ВБ'!$B$14*'Тарифы ВБ'!$B$16*'Тарифы ВБ'!$B$15+(K13-1)*'Тарифы ВБ'!$B$14,'Тарифы ВБ'!$B$14*'Тарифы ВБ'!B$16*'Тарифы ВБ'!$B$15)</f>
        <v>32</v>
      </c>
      <c r="AC13" s="287">
        <f t="shared" si="5"/>
        <v>138.38264000000001</v>
      </c>
      <c r="AD13" s="240">
        <f t="shared" si="6"/>
        <v>0.16497691940867909</v>
      </c>
      <c r="AE13" s="241">
        <v>0.29499999999999998</v>
      </c>
      <c r="AF13" s="289">
        <f t="shared" si="7"/>
        <v>247.44599999999997</v>
      </c>
      <c r="AG13" s="364">
        <f t="shared" si="8"/>
        <v>0</v>
      </c>
      <c r="AH13" s="364">
        <f t="shared" si="9"/>
        <v>25.163999999999998</v>
      </c>
      <c r="AI13" s="149">
        <f t="shared" si="10"/>
        <v>594.43510481721864</v>
      </c>
      <c r="AJ13" s="447">
        <f t="shared" si="11"/>
        <v>0.22132677060417419</v>
      </c>
      <c r="AK13" s="450">
        <f t="shared" si="12"/>
        <v>244.36489518278131</v>
      </c>
      <c r="AL13" s="450">
        <f t="shared" si="13"/>
        <v>185.6488951827813</v>
      </c>
      <c r="AM13" s="447">
        <f t="shared" si="14"/>
        <v>1.350738983251436</v>
      </c>
      <c r="AN13" s="458">
        <v>839</v>
      </c>
      <c r="AO13" s="459">
        <f t="shared" si="15"/>
        <v>244.56489518278136</v>
      </c>
      <c r="AP13" s="459">
        <f t="shared" si="16"/>
        <v>185.83489518278134</v>
      </c>
      <c r="AQ13" s="463">
        <f t="shared" si="17"/>
        <v>1.3520922767931911</v>
      </c>
      <c r="AR13" s="464">
        <f t="shared" si="18"/>
        <v>0.221495703435973</v>
      </c>
      <c r="AS13" s="487">
        <f>IFERROR(_xlfn.XLOOKUP(A13,'[2]Рассчет акции'!$A:$A,'[2]Рассчет акции'!$BH:$BH),0)</f>
        <v>0</v>
      </c>
      <c r="AT13" s="487">
        <f>IFERROR(_xlfn.XLOOKUP($A13,'[2]Рассчет акции'!$A:$A,'[2]Рассчет акции'!$BC:$BC),0)</f>
        <v>839</v>
      </c>
      <c r="AU13" s="409">
        <f t="shared" si="19"/>
        <v>0.221495703435973</v>
      </c>
      <c r="AV13" s="407">
        <f t="shared" si="20"/>
        <v>244.56489518278136</v>
      </c>
      <c r="AW13" s="407">
        <f t="shared" si="21"/>
        <v>185.83489518278134</v>
      </c>
      <c r="AX13" s="409">
        <f t="shared" si="22"/>
        <v>1.3520922767931911</v>
      </c>
      <c r="AY13" s="293">
        <f>IFERROR(_xlfn.XLOOKUP(E13,'[2]Рассчет акции'!$D:$D,'[2]Рассчет акции'!$BM:$BM),0)</f>
        <v>92</v>
      </c>
      <c r="AZ13" s="203">
        <f>IFERROR(_xlfn.XLOOKUP(E13,'[2]Рассчет акции'!$D:$D,'[2]Рассчет акции'!$BN:$BN),0)</f>
        <v>87</v>
      </c>
      <c r="BA13" s="294">
        <f t="shared" si="23"/>
        <v>6.1029173270102435</v>
      </c>
      <c r="BB13" s="292"/>
      <c r="BC13" s="497" t="e">
        <f xml:space="preserve"> _xlfn.XLOOKUP(B13,#REF!,#REF!,0)</f>
        <v>#REF!</v>
      </c>
      <c r="BD13" s="500" t="e">
        <f t="shared" si="52"/>
        <v>#REF!</v>
      </c>
      <c r="BE13" s="501">
        <f>_xlfn.XLOOKUP($B13,'[1]Рассчет акции'!$A:$A,'[1]Рассчет акции'!$J:$J)</f>
        <v>0.35011135857461029</v>
      </c>
      <c r="BF13" s="191" t="e">
        <f t="shared" si="44"/>
        <v>#REF!</v>
      </c>
      <c r="BG13" s="192">
        <f t="shared" si="24"/>
        <v>0</v>
      </c>
      <c r="BH13" s="193">
        <v>0.4</v>
      </c>
      <c r="BI13" s="194" t="e">
        <f t="shared" si="25"/>
        <v>#REF!</v>
      </c>
      <c r="BJ13" s="195" t="e">
        <f t="shared" si="45"/>
        <v>#REF!</v>
      </c>
      <c r="BK13" s="422">
        <f t="shared" si="26"/>
        <v>0</v>
      </c>
      <c r="BL13" s="196">
        <f>(IF(K13&gt;$BL$3,('Тарифы ОЗОН'!$G$3+ROUNDUP(K13-$BL$3,0)*'Тарифы ОЗОН'!$G$4),'Тарифы ОЗОН'!$G$3))</f>
        <v>46.77</v>
      </c>
      <c r="BM13" s="196">
        <f t="shared" si="27"/>
        <v>35</v>
      </c>
      <c r="BN13" s="197">
        <f>_xlfn.XLOOKUP(BM13,'Тарифы ОЗОН'!$A:$A,'Тарифы ОЗОН'!$B:$B)</f>
        <v>1.32</v>
      </c>
      <c r="BO13" s="198">
        <f>_xlfn.XLOOKUP(BM13,'Тарифы ОЗОН'!$A:$A,'Тарифы ОЗОН'!C:C)</f>
        <v>1.6E-2</v>
      </c>
      <c r="BP13" s="199">
        <f t="shared" si="28"/>
        <v>25</v>
      </c>
      <c r="BQ13" s="199" t="e">
        <f t="shared" si="46"/>
        <v>#REF!</v>
      </c>
      <c r="BR13" s="359">
        <f t="shared" si="47"/>
        <v>0.85</v>
      </c>
      <c r="BS13" s="199" t="e">
        <f t="shared" si="48"/>
        <v>#REF!</v>
      </c>
      <c r="BT13" s="200">
        <f t="shared" si="29"/>
        <v>0</v>
      </c>
      <c r="BU13" s="262" t="e">
        <f t="shared" si="30"/>
        <v>#REF!</v>
      </c>
      <c r="BV13" s="149" t="e">
        <f t="shared" si="31"/>
        <v>#REF!</v>
      </c>
      <c r="BW13" s="291">
        <f t="shared" si="32"/>
        <v>0</v>
      </c>
      <c r="BX13" s="201">
        <f t="shared" si="33"/>
        <v>0</v>
      </c>
      <c r="BY13" s="201" t="e">
        <f t="shared" si="34"/>
        <v>#REF!</v>
      </c>
      <c r="BZ13" s="202">
        <f t="shared" si="35"/>
        <v>0</v>
      </c>
      <c r="CA13" s="425">
        <v>1099</v>
      </c>
      <c r="CB13" s="426" t="e">
        <f t="shared" si="49"/>
        <v>#REF!</v>
      </c>
      <c r="CC13" s="427" t="e">
        <f t="shared" si="53"/>
        <v>#REF!</v>
      </c>
      <c r="CD13" s="429" t="e">
        <f t="shared" si="36"/>
        <v>#REF!</v>
      </c>
      <c r="CE13" s="429">
        <f t="shared" si="50"/>
        <v>0</v>
      </c>
      <c r="CF13" s="277">
        <f>_xlfn.XLOOKUP(B13,'[1]Рассчет акции'!$A:$A,'[1]Рассчет акции'!$R:$R,0)</f>
        <v>0</v>
      </c>
      <c r="CG13" s="360">
        <f>_xlfn.XLOOKUP(B13,'[1]Рассчет акции'!$A:$A,'[1]Рассчет акции'!$M:$M,0)</f>
        <v>1060</v>
      </c>
      <c r="CH13" s="291">
        <f t="shared" si="54"/>
        <v>0</v>
      </c>
      <c r="CI13" s="290" t="e">
        <f t="shared" si="55"/>
        <v>#REF!</v>
      </c>
      <c r="CJ13" s="290" t="e">
        <f t="shared" si="56"/>
        <v>#REF!</v>
      </c>
      <c r="CK13" s="291" t="e">
        <f t="shared" si="38"/>
        <v>#REF!</v>
      </c>
      <c r="CL13" s="203">
        <f>_xlfn.XLOOKUP(B13,'[1]Рассчет акции'!$A:$A,'[1]Рассчет акции'!$W:$W,0)</f>
        <v>8</v>
      </c>
      <c r="CM13" s="424">
        <f>_xlfn.XLOOKUP(B13,'[1]Рассчет акции'!$A:$A,'[1]Рассчет акции'!$X:$X,0)</f>
        <v>56</v>
      </c>
      <c r="CN13" s="294" t="e">
        <f t="shared" si="39"/>
        <v>#REF!</v>
      </c>
      <c r="CO13" s="433">
        <f t="shared" si="51"/>
        <v>989.1</v>
      </c>
      <c r="CP13" s="507">
        <f>_xlfn.XLOOKUP(B13,'[1]Рассчет акции'!$A:$A,'[1]Рассчет акции'!$Z:$Z,0)</f>
        <v>0</v>
      </c>
    </row>
    <row r="14" spans="1:98" ht="25.5" customHeight="1" x14ac:dyDescent="0.25">
      <c r="A14" s="174">
        <v>204615141</v>
      </c>
      <c r="B14" s="176">
        <v>2419349453</v>
      </c>
      <c r="C14" s="174" t="s">
        <v>90</v>
      </c>
      <c r="D14" s="175" t="s">
        <v>203</v>
      </c>
      <c r="E14" s="176">
        <v>2039404446068</v>
      </c>
      <c r="F14" s="284">
        <f t="shared" si="0"/>
        <v>127.96367606948557</v>
      </c>
      <c r="G14" s="147">
        <f t="shared" si="1"/>
        <v>0.21391453706032357</v>
      </c>
      <c r="H14" s="439">
        <f>IF(_xlfn.XLOOKUP($C14,'Юнит Карго'!$A:$A,'Юнит Карго'!$G:$G)=0,_xlfn.XLOOKUP(E14,'Себес 1С текущ'!G:G,'Себес 1С текущ'!H:H),_xlfn.XLOOKUP($C14,'Юнит Карго'!$A:$A,'Юнит Карго'!$P:$P,0,0))</f>
        <v>84.963676069485572</v>
      </c>
      <c r="I14" s="268">
        <f>_xlfn.XLOOKUP(E14,[3]ТЗ_ФФ!$D:$D,[3]ТЗ_ФФ!$BG:$BG,0)</f>
        <v>35</v>
      </c>
      <c r="J14" s="269">
        <f t="shared" si="2"/>
        <v>8</v>
      </c>
      <c r="K14" s="273">
        <f t="shared" si="3"/>
        <v>0.96</v>
      </c>
      <c r="L14" s="146">
        <v>20</v>
      </c>
      <c r="M14" s="146">
        <v>16</v>
      </c>
      <c r="N14" s="146">
        <v>3</v>
      </c>
      <c r="O14" s="150">
        <f>_xlfn.XLOOKUP($C14,'Юнит Карго'!$A:$A,'Юнит Карго'!$T:$T,0,0)</f>
        <v>0.06</v>
      </c>
      <c r="P14" s="127" t="s">
        <v>613</v>
      </c>
      <c r="Q14" s="146">
        <v>90</v>
      </c>
      <c r="R14" s="292"/>
      <c r="S14" s="285">
        <f t="shared" si="4"/>
        <v>598.20000000000005</v>
      </c>
      <c r="T14" s="286" t="str">
        <f>_xlfn.XLOOKUP(E14,'[2]Рассчет акции'!$D:$D,'[2]Рассчет акции'!$G:$G,0)</f>
        <v>997</v>
      </c>
      <c r="U14" s="417">
        <f>_xlfn.XLOOKUP(E14,'[2]Рассчет акции'!$D:$D,'[2]Рассчет акции'!$F:$F,0)</f>
        <v>0.4</v>
      </c>
      <c r="V14" s="235">
        <f t="shared" si="40"/>
        <v>330.92096000000004</v>
      </c>
      <c r="W14" s="288">
        <f t="shared" si="41"/>
        <v>0.55319451688398535</v>
      </c>
      <c r="X14" s="289">
        <f>IF(K14&gt;1,('Тарифы ВБ'!$B$9+(K14-1)*'Тарифы ВБ'!$B$10)*'Тарифы ВБ'!$B$15*'Тарифы ВБ'!$B$12+S14*'Тарифы ВБ'!$B$13,'Тарифы ВБ'!$B$8*'Тарифы ВБ'!$B$15*'Тарифы ВБ'!$B$12+S14*'Тарифы ВБ'!$B$13)</f>
        <v>72.505960000000002</v>
      </c>
      <c r="Y14" s="289">
        <f>IF(K14&gt;1,'Тарифы ВБ'!$B$9+(K14-1)*'Тарифы ВБ'!$B$10,'Тарифы ВБ'!$B$8)</f>
        <v>32</v>
      </c>
      <c r="Z14" s="289">
        <f t="shared" si="42"/>
        <v>104.50596</v>
      </c>
      <c r="AA14" s="236">
        <f t="shared" si="43"/>
        <v>0.17470070210631894</v>
      </c>
      <c r="AB14" s="237">
        <f>IF(K14&gt;1,'Тарифы ВБ'!$B$14*'Тарифы ВБ'!$B$16*'Тарифы ВБ'!$B$15+(K14-1)*'Тарифы ВБ'!$B$14,'Тарифы ВБ'!$B$14*'Тарифы ВБ'!B$16*'Тарифы ВБ'!$B$15)</f>
        <v>32</v>
      </c>
      <c r="AC14" s="287">
        <f t="shared" si="5"/>
        <v>136.50596000000002</v>
      </c>
      <c r="AD14" s="240">
        <f t="shared" si="6"/>
        <v>0.22819451688398529</v>
      </c>
      <c r="AE14" s="241">
        <v>0.29499999999999998</v>
      </c>
      <c r="AF14" s="289">
        <f t="shared" si="7"/>
        <v>176.46899999999999</v>
      </c>
      <c r="AG14" s="364">
        <f t="shared" si="8"/>
        <v>0</v>
      </c>
      <c r="AH14" s="364">
        <f t="shared" si="9"/>
        <v>17.946000000000002</v>
      </c>
      <c r="AI14" s="149">
        <f t="shared" si="10"/>
        <v>458.88463606948562</v>
      </c>
      <c r="AJ14" s="447">
        <f t="shared" si="11"/>
        <v>0.16289094605569107</v>
      </c>
      <c r="AK14" s="450">
        <f t="shared" si="12"/>
        <v>139.31536393051442</v>
      </c>
      <c r="AL14" s="450">
        <f t="shared" si="13"/>
        <v>97.441363930514413</v>
      </c>
      <c r="AM14" s="447">
        <f t="shared" si="14"/>
        <v>1.1468590865915953</v>
      </c>
      <c r="AN14" s="458">
        <v>659</v>
      </c>
      <c r="AO14" s="459">
        <f t="shared" si="15"/>
        <v>200.11536393051438</v>
      </c>
      <c r="AP14" s="459">
        <f t="shared" si="16"/>
        <v>153.98536393051438</v>
      </c>
      <c r="AQ14" s="463">
        <f t="shared" si="17"/>
        <v>1.8123670144001423</v>
      </c>
      <c r="AR14" s="464">
        <f t="shared" si="18"/>
        <v>0.2336651956456971</v>
      </c>
      <c r="AS14" s="487" t="str">
        <f>IFERROR(_xlfn.XLOOKUP(A14,'[2]Рассчет акции'!$A:$A,'[2]Рассчет акции'!$BH:$BH),0)</f>
        <v>*</v>
      </c>
      <c r="AT14" s="487">
        <f>IFERROR(_xlfn.XLOOKUP($A14,'[2]Рассчет акции'!$A:$A,'[2]Рассчет акции'!$BC:$BC),0)</f>
        <v>598</v>
      </c>
      <c r="AU14" s="409">
        <f t="shared" si="19"/>
        <v>0.16263438784366951</v>
      </c>
      <c r="AV14" s="407">
        <f t="shared" si="20"/>
        <v>139.11536393051438</v>
      </c>
      <c r="AW14" s="407">
        <f t="shared" si="21"/>
        <v>97.255363930514363</v>
      </c>
      <c r="AX14" s="409">
        <f t="shared" si="22"/>
        <v>1.1446699157764351</v>
      </c>
      <c r="AY14" s="293">
        <f>IFERROR(_xlfn.XLOOKUP(E14,'[2]Рассчет акции'!$D:$D,'[2]Рассчет акции'!$BM:$BM),0)</f>
        <v>222</v>
      </c>
      <c r="AZ14" s="203">
        <f>IFERROR(_xlfn.XLOOKUP(E14,'[2]Рассчет акции'!$D:$D,'[2]Рассчет акции'!$BN:$BN),0)</f>
        <v>602</v>
      </c>
      <c r="BA14" s="294">
        <f t="shared" si="23"/>
        <v>7.040655815207149</v>
      </c>
      <c r="BB14" s="292"/>
      <c r="BC14" s="497" t="e">
        <f xml:space="preserve"> _xlfn.XLOOKUP(B14,#REF!,#REF!,0)</f>
        <v>#REF!</v>
      </c>
      <c r="BD14" s="500" t="e">
        <f t="shared" si="52"/>
        <v>#REF!</v>
      </c>
      <c r="BE14" s="501">
        <f>_xlfn.XLOOKUP($B14,'[1]Рассчет акции'!$A:$A,'[1]Рассчет акции'!$J:$J)</f>
        <v>0.35013550135501359</v>
      </c>
      <c r="BF14" s="191" t="e">
        <f t="shared" si="44"/>
        <v>#REF!</v>
      </c>
      <c r="BG14" s="192">
        <f t="shared" si="24"/>
        <v>0</v>
      </c>
      <c r="BH14" s="193">
        <v>0.4</v>
      </c>
      <c r="BI14" s="194" t="e">
        <f t="shared" si="25"/>
        <v>#REF!</v>
      </c>
      <c r="BJ14" s="195" t="e">
        <f t="shared" si="45"/>
        <v>#REF!</v>
      </c>
      <c r="BK14" s="422">
        <f t="shared" si="26"/>
        <v>0</v>
      </c>
      <c r="BL14" s="196">
        <f>(IF(K14&gt;$BL$3,('Тарифы ОЗОН'!$G$3+ROUNDUP(K14-$BL$3,0)*'Тарифы ОЗОН'!$G$4),'Тарифы ОЗОН'!$G$3))</f>
        <v>46.77</v>
      </c>
      <c r="BM14" s="196">
        <f t="shared" si="27"/>
        <v>35</v>
      </c>
      <c r="BN14" s="197">
        <f>_xlfn.XLOOKUP(BM14,'Тарифы ОЗОН'!$A:$A,'Тарифы ОЗОН'!$B:$B)</f>
        <v>1.32</v>
      </c>
      <c r="BO14" s="198">
        <f>_xlfn.XLOOKUP(BM14,'Тарифы ОЗОН'!$A:$A,'Тарифы ОЗОН'!C:C)</f>
        <v>1.6E-2</v>
      </c>
      <c r="BP14" s="199">
        <f t="shared" si="28"/>
        <v>25</v>
      </c>
      <c r="BQ14" s="199" t="e">
        <f t="shared" si="46"/>
        <v>#REF!</v>
      </c>
      <c r="BR14" s="359">
        <f t="shared" si="47"/>
        <v>0.85</v>
      </c>
      <c r="BS14" s="199" t="e">
        <f t="shared" si="48"/>
        <v>#REF!</v>
      </c>
      <c r="BT14" s="200">
        <f t="shared" si="29"/>
        <v>0</v>
      </c>
      <c r="BU14" s="262" t="e">
        <f t="shared" si="30"/>
        <v>#REF!</v>
      </c>
      <c r="BV14" s="149" t="e">
        <f t="shared" si="31"/>
        <v>#REF!</v>
      </c>
      <c r="BW14" s="291">
        <f t="shared" si="32"/>
        <v>0</v>
      </c>
      <c r="BX14" s="201">
        <f t="shared" si="33"/>
        <v>0</v>
      </c>
      <c r="BY14" s="201" t="e">
        <f t="shared" si="34"/>
        <v>#REF!</v>
      </c>
      <c r="BZ14" s="202">
        <f t="shared" si="35"/>
        <v>0</v>
      </c>
      <c r="CA14" s="425">
        <v>869</v>
      </c>
      <c r="CB14" s="426" t="e">
        <f t="shared" si="49"/>
        <v>#REF!</v>
      </c>
      <c r="CC14" s="427" t="e">
        <f t="shared" si="53"/>
        <v>#REF!</v>
      </c>
      <c r="CD14" s="429" t="e">
        <f t="shared" si="36"/>
        <v>#REF!</v>
      </c>
      <c r="CE14" s="429">
        <f t="shared" si="50"/>
        <v>0</v>
      </c>
      <c r="CF14" s="277">
        <f>_xlfn.XLOOKUP(B14,'[1]Рассчет акции'!$A:$A,'[1]Рассчет акции'!$R:$R,0)</f>
        <v>0</v>
      </c>
      <c r="CG14" s="360">
        <f>_xlfn.XLOOKUP(B14,'[1]Рассчет акции'!$A:$A,'[1]Рассчет акции'!$M:$M,0)</f>
        <v>827</v>
      </c>
      <c r="CH14" s="291">
        <f t="shared" si="54"/>
        <v>0</v>
      </c>
      <c r="CI14" s="290" t="e">
        <f t="shared" si="55"/>
        <v>#REF!</v>
      </c>
      <c r="CJ14" s="290" t="e">
        <f t="shared" si="56"/>
        <v>#REF!</v>
      </c>
      <c r="CK14" s="291" t="e">
        <f t="shared" si="38"/>
        <v>#REF!</v>
      </c>
      <c r="CL14" s="203">
        <f>_xlfn.XLOOKUP(B14,'[1]Рассчет акции'!$A:$A,'[1]Рассчет акции'!$W:$W,0)</f>
        <v>1</v>
      </c>
      <c r="CM14" s="424">
        <f>_xlfn.XLOOKUP(B14,'[1]Рассчет акции'!$A:$A,'[1]Рассчет акции'!$X:$X,0)</f>
        <v>7</v>
      </c>
      <c r="CN14" s="294" t="e">
        <f t="shared" si="39"/>
        <v>#REF!</v>
      </c>
      <c r="CO14" s="433">
        <f t="shared" si="51"/>
        <v>782.1</v>
      </c>
      <c r="CP14" s="507">
        <f>_xlfn.XLOOKUP(B14,'[1]Рассчет акции'!$A:$A,'[1]Рассчет акции'!$Z:$Z,0)</f>
        <v>0</v>
      </c>
    </row>
    <row r="15" spans="1:98" ht="25.5" customHeight="1" x14ac:dyDescent="0.25">
      <c r="A15" s="174">
        <v>236074677</v>
      </c>
      <c r="B15" s="176"/>
      <c r="C15" s="174" t="s">
        <v>122</v>
      </c>
      <c r="D15" s="175" t="s">
        <v>204</v>
      </c>
      <c r="E15" s="176">
        <v>2040278862540</v>
      </c>
      <c r="F15" s="284">
        <f t="shared" si="0"/>
        <v>185</v>
      </c>
      <c r="G15" s="147">
        <f t="shared" si="1"/>
        <v>0.24666666666666667</v>
      </c>
      <c r="H15" s="439">
        <f>IF(_xlfn.XLOOKUP($C15,'Юнит Карго'!$A:$A,'Юнит Карго'!$G:$G)=0,_xlfn.XLOOKUP(E15,'Себес 1С текущ'!G:G,'Себес 1С текущ'!H:H),_xlfn.XLOOKUP($C15,'Юнит Карго'!$A:$A,'Юнит Карго'!$P:$P,0,0))</f>
        <v>142</v>
      </c>
      <c r="I15" s="268">
        <v>35</v>
      </c>
      <c r="J15" s="269">
        <f t="shared" si="2"/>
        <v>8</v>
      </c>
      <c r="K15" s="273">
        <f t="shared" si="3"/>
        <v>0.96</v>
      </c>
      <c r="L15" s="146">
        <v>20</v>
      </c>
      <c r="M15" s="146">
        <v>16</v>
      </c>
      <c r="N15" s="146">
        <v>3</v>
      </c>
      <c r="O15" s="150">
        <f>_xlfn.XLOOKUP($C15,'Юнит Карго'!$A:$A,'Юнит Карго'!$T:$T,0,0)</f>
        <v>9.5000000000000001E-2</v>
      </c>
      <c r="P15" s="127" t="s">
        <v>104</v>
      </c>
      <c r="Q15" s="146">
        <v>90</v>
      </c>
      <c r="R15" s="292"/>
      <c r="S15" s="285">
        <f t="shared" si="4"/>
        <v>750</v>
      </c>
      <c r="T15" s="286" t="str">
        <f>_xlfn.XLOOKUP(E15,'[2]Рассчет акции'!$D:$D,'[2]Рассчет акции'!$G:$G,0)</f>
        <v>1250</v>
      </c>
      <c r="U15" s="417">
        <f>_xlfn.XLOOKUP(E15,'[2]Рассчет акции'!$D:$D,'[2]Рассчет акции'!$F:$F,0)</f>
        <v>0.4</v>
      </c>
      <c r="V15" s="235">
        <f t="shared" si="40"/>
        <v>381.44</v>
      </c>
      <c r="W15" s="288">
        <f t="shared" si="41"/>
        <v>0.50858666666666663</v>
      </c>
      <c r="X15" s="289">
        <f>IF(K15&gt;1,('Тарифы ВБ'!$B$9+(K15-1)*'Тарифы ВБ'!$B$10)*'Тарифы ВБ'!$B$15*'Тарифы ВБ'!$B$12+S15*'Тарифы ВБ'!$B$13,'Тарифы ВБ'!$B$8*'Тарифы ВБ'!$B$15*'Тарифы ВБ'!$B$12+S15*'Тарифы ВБ'!$B$13)</f>
        <v>73.69</v>
      </c>
      <c r="Y15" s="289">
        <f>IF(K15&gt;1,'Тарифы ВБ'!$B$9+(K15-1)*'Тарифы ВБ'!$B$10,'Тарифы ВБ'!$B$8)</f>
        <v>32</v>
      </c>
      <c r="Z15" s="289">
        <f t="shared" si="42"/>
        <v>105.69</v>
      </c>
      <c r="AA15" s="236">
        <f t="shared" si="43"/>
        <v>0.14091999999999999</v>
      </c>
      <c r="AB15" s="237">
        <f>IF(K15&gt;1,'Тарифы ВБ'!$B$14*'Тарифы ВБ'!$B$16*'Тарифы ВБ'!$B$15+(K15-1)*'Тарифы ВБ'!$B$14,'Тарифы ВБ'!$B$14*'Тарифы ВБ'!B$16*'Тарифы ВБ'!$B$15)</f>
        <v>32</v>
      </c>
      <c r="AC15" s="287">
        <f t="shared" si="5"/>
        <v>137.69</v>
      </c>
      <c r="AD15" s="240">
        <f t="shared" si="6"/>
        <v>0.18358666666666668</v>
      </c>
      <c r="AE15" s="241">
        <v>0.29499999999999998</v>
      </c>
      <c r="AF15" s="289">
        <f t="shared" si="7"/>
        <v>221.25</v>
      </c>
      <c r="AG15" s="364">
        <f t="shared" si="8"/>
        <v>0</v>
      </c>
      <c r="AH15" s="364">
        <f t="shared" si="9"/>
        <v>22.5</v>
      </c>
      <c r="AI15" s="149">
        <f t="shared" si="10"/>
        <v>566.44000000000005</v>
      </c>
      <c r="AJ15" s="447">
        <f t="shared" si="11"/>
        <v>0.17474666666666661</v>
      </c>
      <c r="AK15" s="450">
        <f t="shared" si="12"/>
        <v>183.55999999999995</v>
      </c>
      <c r="AL15" s="450">
        <f t="shared" si="13"/>
        <v>131.05999999999995</v>
      </c>
      <c r="AM15" s="447">
        <f t="shared" si="14"/>
        <v>0.92295774647887285</v>
      </c>
      <c r="AN15" s="458">
        <v>759</v>
      </c>
      <c r="AO15" s="459">
        <f t="shared" si="15"/>
        <v>192.55999999999995</v>
      </c>
      <c r="AP15" s="459">
        <f t="shared" si="16"/>
        <v>139.42999999999995</v>
      </c>
      <c r="AQ15" s="463">
        <f t="shared" si="17"/>
        <v>0.98190140845070384</v>
      </c>
      <c r="AR15" s="464">
        <f t="shared" si="18"/>
        <v>0.18370223978919625</v>
      </c>
      <c r="AS15" s="487" t="str">
        <f>IFERROR(_xlfn.XLOOKUP(A15,'[2]Рассчет акции'!$A:$A,'[2]Рассчет акции'!$BH:$BH),0)</f>
        <v>*</v>
      </c>
      <c r="AT15" s="487">
        <f>IFERROR(_xlfn.XLOOKUP($A15,'[2]Рассчет акции'!$A:$A,'[2]Рассчет акции'!$BC:$BC),0)</f>
        <v>750</v>
      </c>
      <c r="AU15" s="409">
        <f t="shared" si="19"/>
        <v>0.17474666666666661</v>
      </c>
      <c r="AV15" s="407">
        <f t="shared" si="20"/>
        <v>183.55999999999995</v>
      </c>
      <c r="AW15" s="407">
        <f t="shared" si="21"/>
        <v>131.05999999999995</v>
      </c>
      <c r="AX15" s="409">
        <f t="shared" si="22"/>
        <v>0.92295774647887285</v>
      </c>
      <c r="AY15" s="293">
        <f>IFERROR(_xlfn.XLOOKUP(E15,'[2]Рассчет акции'!$D:$D,'[2]Рассчет акции'!$BM:$BM),0)</f>
        <v>18</v>
      </c>
      <c r="AZ15" s="203">
        <f>IFERROR(_xlfn.XLOOKUP(E15,'[2]Рассчет акции'!$D:$D,'[2]Рассчет акции'!$BN:$BN),0)</f>
        <v>152</v>
      </c>
      <c r="BA15" s="294">
        <f t="shared" si="23"/>
        <v>5.28169014084507</v>
      </c>
      <c r="BB15" s="292"/>
      <c r="BC15" s="497" t="e">
        <f xml:space="preserve"> _xlfn.XLOOKUP(B15,#REF!,#REF!,0)</f>
        <v>#REF!</v>
      </c>
      <c r="BD15" s="500" t="e">
        <f t="shared" si="52"/>
        <v>#REF!</v>
      </c>
      <c r="BE15" s="501">
        <f>_xlfn.XLOOKUP($B15,'[1]Рассчет акции'!$A:$A,'[1]Рассчет акции'!$J:$J)</f>
        <v>0</v>
      </c>
      <c r="BF15" s="191" t="e">
        <f t="shared" si="44"/>
        <v>#REF!</v>
      </c>
      <c r="BG15" s="192">
        <f t="shared" si="24"/>
        <v>0</v>
      </c>
      <c r="BH15" s="193">
        <v>0.4</v>
      </c>
      <c r="BI15" s="194" t="e">
        <f t="shared" si="25"/>
        <v>#REF!</v>
      </c>
      <c r="BJ15" s="195" t="e">
        <f t="shared" si="45"/>
        <v>#REF!</v>
      </c>
      <c r="BK15" s="422">
        <f t="shared" si="26"/>
        <v>0</v>
      </c>
      <c r="BL15" s="196">
        <f>(IF(K15&gt;$BL$3,('Тарифы ОЗОН'!$G$3+ROUNDUP(K15-$BL$3,0)*'Тарифы ОЗОН'!$G$4),'Тарифы ОЗОН'!$G$3))</f>
        <v>46.77</v>
      </c>
      <c r="BM15" s="196">
        <f t="shared" si="27"/>
        <v>35</v>
      </c>
      <c r="BN15" s="197">
        <f>_xlfn.XLOOKUP(BM15,'Тарифы ОЗОН'!$A:$A,'Тарифы ОЗОН'!$B:$B)</f>
        <v>1.32</v>
      </c>
      <c r="BO15" s="198">
        <f>_xlfn.XLOOKUP(BM15,'Тарифы ОЗОН'!$A:$A,'Тарифы ОЗОН'!C:C)</f>
        <v>1.6E-2</v>
      </c>
      <c r="BP15" s="199">
        <f t="shared" si="28"/>
        <v>25</v>
      </c>
      <c r="BQ15" s="199" t="e">
        <f t="shared" si="46"/>
        <v>#REF!</v>
      </c>
      <c r="BR15" s="359">
        <f t="shared" si="47"/>
        <v>0.85</v>
      </c>
      <c r="BS15" s="199" t="e">
        <f t="shared" si="48"/>
        <v>#REF!</v>
      </c>
      <c r="BT15" s="200">
        <f t="shared" si="29"/>
        <v>0</v>
      </c>
      <c r="BU15" s="262" t="e">
        <f t="shared" si="30"/>
        <v>#REF!</v>
      </c>
      <c r="BV15" s="149" t="e">
        <f t="shared" si="31"/>
        <v>#REF!</v>
      </c>
      <c r="BW15" s="291">
        <f t="shared" si="32"/>
        <v>0</v>
      </c>
      <c r="BX15" s="201">
        <f t="shared" si="33"/>
        <v>0</v>
      </c>
      <c r="BY15" s="201" t="e">
        <f t="shared" si="34"/>
        <v>#REF!</v>
      </c>
      <c r="BZ15" s="202">
        <f t="shared" si="35"/>
        <v>0</v>
      </c>
      <c r="CA15" s="425">
        <v>0</v>
      </c>
      <c r="CB15" s="426" t="e">
        <f t="shared" si="49"/>
        <v>#REF!</v>
      </c>
      <c r="CC15" s="427" t="e">
        <f t="shared" si="53"/>
        <v>#REF!</v>
      </c>
      <c r="CD15" s="429" t="e">
        <f t="shared" si="36"/>
        <v>#REF!</v>
      </c>
      <c r="CE15" s="429">
        <f t="shared" si="50"/>
        <v>0</v>
      </c>
      <c r="CF15" s="277">
        <f>_xlfn.XLOOKUP(B15,'[1]Рассчет акции'!$A:$A,'[1]Рассчет акции'!$R:$R,0)</f>
        <v>0</v>
      </c>
      <c r="CG15" s="360">
        <f>_xlfn.XLOOKUP(B15,'[1]Рассчет акции'!$A:$A,'[1]Рассчет акции'!$M:$M,0)</f>
        <v>0</v>
      </c>
      <c r="CH15" s="291">
        <f t="shared" si="54"/>
        <v>0</v>
      </c>
      <c r="CI15" s="290" t="e">
        <f t="shared" si="55"/>
        <v>#REF!</v>
      </c>
      <c r="CJ15" s="290" t="e">
        <f t="shared" si="56"/>
        <v>#REF!</v>
      </c>
      <c r="CK15" s="291" t="e">
        <f t="shared" si="38"/>
        <v>#REF!</v>
      </c>
      <c r="CL15" s="203">
        <f>_xlfn.XLOOKUP(B15,'[1]Рассчет акции'!$A:$A,'[1]Рассчет акции'!$W:$W,0)</f>
        <v>0</v>
      </c>
      <c r="CM15" s="424">
        <f>_xlfn.XLOOKUP(B15,'[1]Рассчет акции'!$A:$A,'[1]Рассчет акции'!$X:$X,0)</f>
        <v>0</v>
      </c>
      <c r="CN15" s="294" t="e">
        <f t="shared" si="39"/>
        <v>#REF!</v>
      </c>
      <c r="CO15" s="433">
        <f t="shared" si="51"/>
        <v>0</v>
      </c>
      <c r="CP15" s="507">
        <f>_xlfn.XLOOKUP(B15,'[1]Рассчет акции'!$A:$A,'[1]Рассчет акции'!$Z:$Z,0)</f>
        <v>0</v>
      </c>
    </row>
    <row r="16" spans="1:98" ht="25.5" customHeight="1" x14ac:dyDescent="0.25">
      <c r="A16" s="174">
        <v>236929187</v>
      </c>
      <c r="B16" s="176">
        <v>2419349360</v>
      </c>
      <c r="C16" s="174" t="s">
        <v>117</v>
      </c>
      <c r="D16" s="175" t="s">
        <v>433</v>
      </c>
      <c r="E16" s="176">
        <v>2040335626849</v>
      </c>
      <c r="F16" s="284">
        <f t="shared" si="0"/>
        <v>107.34112678247595</v>
      </c>
      <c r="G16" s="147">
        <f t="shared" si="1"/>
        <v>0.16045011477201188</v>
      </c>
      <c r="H16" s="439">
        <f>IF(_xlfn.XLOOKUP($C16,'Юнит Карго'!$A:$A,'Юнит Карго'!$G:$G)=0,_xlfn.XLOOKUP(E16,'Себес 1С текущ'!G:G,'Себес 1С текущ'!H:H),_xlfn.XLOOKUP($C16,'Юнит Карго'!$A:$A,'Юнит Карго'!$P:$P,0,0))</f>
        <v>85.341126782475953</v>
      </c>
      <c r="I16" s="268">
        <f>_xlfn.XLOOKUP(E16,[3]ТЗ_ФФ!$D:$D,[3]ТЗ_ФФ!$BG:$BG,0)</f>
        <v>14</v>
      </c>
      <c r="J16" s="269">
        <f t="shared" si="2"/>
        <v>8</v>
      </c>
      <c r="K16" s="273">
        <f t="shared" si="3"/>
        <v>0.61599999999999999</v>
      </c>
      <c r="L16" s="146">
        <v>28</v>
      </c>
      <c r="M16" s="146">
        <v>22</v>
      </c>
      <c r="N16" s="146">
        <v>1</v>
      </c>
      <c r="O16" s="150">
        <f>_xlfn.XLOOKUP($C16,'Юнит Карго'!$A:$A,'Юнит Карго'!$T:$T,0,0)</f>
        <v>0.1</v>
      </c>
      <c r="P16" s="127" t="s">
        <v>75</v>
      </c>
      <c r="Q16" s="146"/>
      <c r="R16" s="292"/>
      <c r="S16" s="285">
        <f t="shared" si="4"/>
        <v>669</v>
      </c>
      <c r="T16" s="286" t="str">
        <f>_xlfn.XLOOKUP(E16,'[2]Рассчет акции'!$D:$D,'[2]Рассчет акции'!$G:$G,0)</f>
        <v>1115</v>
      </c>
      <c r="U16" s="417">
        <f>_xlfn.XLOOKUP(E16,'[2]Рассчет акции'!$D:$D,'[2]Рассчет акции'!$F:$F,0)</f>
        <v>0.4</v>
      </c>
      <c r="V16" s="235">
        <f t="shared" si="40"/>
        <v>354.48319999999995</v>
      </c>
      <c r="W16" s="288">
        <f t="shared" si="41"/>
        <v>0.52987025411061284</v>
      </c>
      <c r="X16" s="289">
        <f>IF(K16&gt;1,('Тарифы ВБ'!$B$9+(K16-1)*'Тарифы ВБ'!$B$10)*'Тарифы ВБ'!$B$15*'Тарифы ВБ'!$B$12+S16*'Тарифы ВБ'!$B$13,'Тарифы ВБ'!$B$8*'Тарифы ВБ'!$B$15*'Тарифы ВБ'!$B$12+S16*'Тарифы ВБ'!$B$13)</f>
        <v>73.058199999999999</v>
      </c>
      <c r="Y16" s="289">
        <f>IF(K16&gt;1,'Тарифы ВБ'!$B$9+(K16-1)*'Тарифы ВБ'!$B$10,'Тарифы ВБ'!$B$8)</f>
        <v>32</v>
      </c>
      <c r="Z16" s="289">
        <f t="shared" si="42"/>
        <v>105.0582</v>
      </c>
      <c r="AA16" s="236">
        <f t="shared" si="43"/>
        <v>0.15703766816143497</v>
      </c>
      <c r="AB16" s="237">
        <f>IF(K16&gt;1,'Тарифы ВБ'!$B$14*'Тарифы ВБ'!$B$16*'Тарифы ВБ'!$B$15+(K16-1)*'Тарифы ВБ'!$B$14,'Тарифы ВБ'!$B$14*'Тарифы ВБ'!B$16*'Тарифы ВБ'!$B$15)</f>
        <v>32</v>
      </c>
      <c r="AC16" s="287">
        <f t="shared" si="5"/>
        <v>137.0582</v>
      </c>
      <c r="AD16" s="240">
        <f t="shared" si="6"/>
        <v>0.20487025411061285</v>
      </c>
      <c r="AE16" s="241">
        <v>0.29499999999999998</v>
      </c>
      <c r="AF16" s="289">
        <f t="shared" si="7"/>
        <v>197.35499999999999</v>
      </c>
      <c r="AG16" s="364">
        <f t="shared" si="8"/>
        <v>0</v>
      </c>
      <c r="AH16" s="364">
        <f t="shared" si="9"/>
        <v>20.07</v>
      </c>
      <c r="AI16" s="149">
        <f t="shared" si="10"/>
        <v>461.82432678247591</v>
      </c>
      <c r="AJ16" s="447">
        <f t="shared" si="11"/>
        <v>0.23967963111737531</v>
      </c>
      <c r="AK16" s="450">
        <f t="shared" si="12"/>
        <v>207.17567321752409</v>
      </c>
      <c r="AL16" s="450">
        <f t="shared" si="13"/>
        <v>160.34567321752408</v>
      </c>
      <c r="AM16" s="447">
        <f t="shared" si="14"/>
        <v>1.8788792609479541</v>
      </c>
      <c r="AN16" s="458">
        <v>669</v>
      </c>
      <c r="AO16" s="459">
        <f t="shared" si="15"/>
        <v>207.17567321752409</v>
      </c>
      <c r="AP16" s="459">
        <f t="shared" si="16"/>
        <v>160.34567321752408</v>
      </c>
      <c r="AQ16" s="463">
        <f t="shared" si="17"/>
        <v>1.8788792609479541</v>
      </c>
      <c r="AR16" s="464">
        <f t="shared" si="18"/>
        <v>0.23967963111737531</v>
      </c>
      <c r="AS16" s="487">
        <f>IFERROR(_xlfn.XLOOKUP(A16,'[2]Рассчет акции'!$A:$A,'[2]Рассчет акции'!$BH:$BH),0)</f>
        <v>0</v>
      </c>
      <c r="AT16" s="487">
        <f>IFERROR(_xlfn.XLOOKUP($A16,'[2]Рассчет акции'!$A:$A,'[2]Рассчет акции'!$BC:$BC),0)</f>
        <v>669</v>
      </c>
      <c r="AU16" s="409">
        <f t="shared" si="19"/>
        <v>0.23967963111737531</v>
      </c>
      <c r="AV16" s="407">
        <f t="shared" si="20"/>
        <v>207.17567321752409</v>
      </c>
      <c r="AW16" s="407">
        <f t="shared" si="21"/>
        <v>160.34567321752408</v>
      </c>
      <c r="AX16" s="409">
        <f t="shared" si="22"/>
        <v>1.8788792609479541</v>
      </c>
      <c r="AY16" s="293">
        <f>IFERROR(_xlfn.XLOOKUP(E16,'[2]Рассчет акции'!$D:$D,'[2]Рассчет акции'!$BM:$BM),0)</f>
        <v>94</v>
      </c>
      <c r="AZ16" s="203">
        <f>IFERROR(_xlfn.XLOOKUP(E16,'[2]Рассчет акции'!$D:$D,'[2]Рассчет акции'!$BN:$BN),0)</f>
        <v>72</v>
      </c>
      <c r="BA16" s="294">
        <f t="shared" si="23"/>
        <v>7.8391278065170011</v>
      </c>
      <c r="BB16" s="292"/>
      <c r="BC16" s="497" t="e">
        <f xml:space="preserve"> _xlfn.XLOOKUP(B16,#REF!,#REF!,0)</f>
        <v>#REF!</v>
      </c>
      <c r="BD16" s="500" t="e">
        <f t="shared" si="52"/>
        <v>#REF!</v>
      </c>
      <c r="BE16" s="501">
        <f>_xlfn.XLOOKUP($B16,'[1]Рассчет акции'!$A:$A,'[1]Рассчет акции'!$J:$J)</f>
        <v>0.35008870490833821</v>
      </c>
      <c r="BF16" s="191" t="e">
        <f t="shared" si="44"/>
        <v>#REF!</v>
      </c>
      <c r="BG16" s="192">
        <f t="shared" si="24"/>
        <v>0</v>
      </c>
      <c r="BH16" s="193">
        <v>0.4</v>
      </c>
      <c r="BI16" s="194" t="e">
        <f t="shared" si="25"/>
        <v>#REF!</v>
      </c>
      <c r="BJ16" s="195" t="e">
        <f t="shared" si="45"/>
        <v>#REF!</v>
      </c>
      <c r="BK16" s="422">
        <f t="shared" si="26"/>
        <v>0</v>
      </c>
      <c r="BL16" s="196">
        <f>(IF(K16&gt;$BL$3,('Тарифы ОЗОН'!$G$3+ROUNDUP(K16-$BL$3,0)*'Тарифы ОЗОН'!$G$4),'Тарифы ОЗОН'!$G$3))</f>
        <v>46.77</v>
      </c>
      <c r="BM16" s="196">
        <f t="shared" si="27"/>
        <v>35</v>
      </c>
      <c r="BN16" s="197">
        <f>_xlfn.XLOOKUP(BM16,'Тарифы ОЗОН'!$A:$A,'Тарифы ОЗОН'!$B:$B)</f>
        <v>1.32</v>
      </c>
      <c r="BO16" s="198">
        <f>_xlfn.XLOOKUP(BM16,'Тарифы ОЗОН'!$A:$A,'Тарифы ОЗОН'!C:C)</f>
        <v>1.6E-2</v>
      </c>
      <c r="BP16" s="199">
        <f t="shared" si="28"/>
        <v>25</v>
      </c>
      <c r="BQ16" s="199" t="e">
        <f t="shared" si="46"/>
        <v>#REF!</v>
      </c>
      <c r="BR16" s="359">
        <f t="shared" si="47"/>
        <v>0.85</v>
      </c>
      <c r="BS16" s="199" t="e">
        <f t="shared" si="48"/>
        <v>#REF!</v>
      </c>
      <c r="BT16" s="200">
        <f t="shared" si="29"/>
        <v>0</v>
      </c>
      <c r="BU16" s="262" t="e">
        <f t="shared" si="30"/>
        <v>#REF!</v>
      </c>
      <c r="BV16" s="149" t="e">
        <f t="shared" si="31"/>
        <v>#REF!</v>
      </c>
      <c r="BW16" s="291">
        <f t="shared" si="32"/>
        <v>0</v>
      </c>
      <c r="BX16" s="201">
        <f t="shared" si="33"/>
        <v>0</v>
      </c>
      <c r="BY16" s="201" t="e">
        <f t="shared" si="34"/>
        <v>#REF!</v>
      </c>
      <c r="BZ16" s="202">
        <f t="shared" si="35"/>
        <v>0</v>
      </c>
      <c r="CA16" s="425">
        <v>859</v>
      </c>
      <c r="CB16" s="426" t="e">
        <f t="shared" si="49"/>
        <v>#REF!</v>
      </c>
      <c r="CC16" s="427" t="e">
        <f t="shared" si="53"/>
        <v>#REF!</v>
      </c>
      <c r="CD16" s="429" t="e">
        <f t="shared" si="36"/>
        <v>#REF!</v>
      </c>
      <c r="CE16" s="429">
        <f t="shared" si="50"/>
        <v>0</v>
      </c>
      <c r="CF16" s="277">
        <f>_xlfn.XLOOKUP(B16,'[1]Рассчет акции'!$A:$A,'[1]Рассчет акции'!$R:$R,0)</f>
        <v>0</v>
      </c>
      <c r="CG16" s="360">
        <f>_xlfn.XLOOKUP(B16,'[1]Рассчет акции'!$A:$A,'[1]Рассчет акции'!$M:$M,0)</f>
        <v>670</v>
      </c>
      <c r="CH16" s="291">
        <f t="shared" si="54"/>
        <v>0</v>
      </c>
      <c r="CI16" s="290" t="e">
        <f t="shared" si="55"/>
        <v>#REF!</v>
      </c>
      <c r="CJ16" s="290" t="e">
        <f t="shared" si="56"/>
        <v>#REF!</v>
      </c>
      <c r="CK16" s="291" t="e">
        <f t="shared" si="38"/>
        <v>#REF!</v>
      </c>
      <c r="CL16" s="203">
        <f>_xlfn.XLOOKUP(B16,'[1]Рассчет акции'!$A:$A,'[1]Рассчет акции'!$W:$W,0)</f>
        <v>1</v>
      </c>
      <c r="CM16" s="424">
        <f>_xlfn.XLOOKUP(B16,'[1]Рассчет акции'!$A:$A,'[1]Рассчет акции'!$X:$X,0)</f>
        <v>7</v>
      </c>
      <c r="CN16" s="294" t="e">
        <f t="shared" si="39"/>
        <v>#REF!</v>
      </c>
      <c r="CO16" s="433">
        <f t="shared" si="51"/>
        <v>773.1</v>
      </c>
      <c r="CP16" s="507">
        <f>_xlfn.XLOOKUP(B16,'[1]Рассчет акции'!$A:$A,'[1]Рассчет акции'!$Z:$Z,0)</f>
        <v>0</v>
      </c>
    </row>
    <row r="17" spans="1:94" ht="25.5" customHeight="1" x14ac:dyDescent="0.25">
      <c r="A17" s="174">
        <v>236929188</v>
      </c>
      <c r="B17" s="176">
        <v>2419349422</v>
      </c>
      <c r="C17" s="174" t="s">
        <v>116</v>
      </c>
      <c r="D17" s="175" t="s">
        <v>434</v>
      </c>
      <c r="E17" s="176">
        <v>2040335648124</v>
      </c>
      <c r="F17" s="284">
        <f t="shared" si="0"/>
        <v>107.34112678247595</v>
      </c>
      <c r="G17" s="147">
        <f t="shared" si="1"/>
        <v>0.16040216195827248</v>
      </c>
      <c r="H17" s="439">
        <f>IF(_xlfn.XLOOKUP($C17,'Юнит Карго'!$A:$A,'Юнит Карго'!$G:$G)=0,_xlfn.XLOOKUP(E17,'Себес 1С текущ'!G:G,'Себес 1С текущ'!H:H),_xlfn.XLOOKUP($C17,'Юнит Карго'!$A:$A,'Юнит Карго'!$P:$P,0,0))</f>
        <v>85.341126782475953</v>
      </c>
      <c r="I17" s="268">
        <f>_xlfn.XLOOKUP(E17,[3]ТЗ_ФФ!$D:$D,[3]ТЗ_ФФ!$BG:$BG,0)</f>
        <v>14</v>
      </c>
      <c r="J17" s="269">
        <f t="shared" si="2"/>
        <v>8</v>
      </c>
      <c r="K17" s="273">
        <f t="shared" si="3"/>
        <v>0.61599999999999999</v>
      </c>
      <c r="L17" s="146">
        <v>28</v>
      </c>
      <c r="M17" s="146">
        <v>22</v>
      </c>
      <c r="N17" s="146">
        <v>1</v>
      </c>
      <c r="O17" s="150">
        <f>_xlfn.XLOOKUP($C17,'Юнит Карго'!$A:$A,'Юнит Карго'!$T:$T,0,0)</f>
        <v>0.1</v>
      </c>
      <c r="P17" s="127" t="s">
        <v>75</v>
      </c>
      <c r="Q17" s="146"/>
      <c r="R17" s="292"/>
      <c r="S17" s="285">
        <f t="shared" si="4"/>
        <v>669.2</v>
      </c>
      <c r="T17" s="286" t="str">
        <f>_xlfn.XLOOKUP(E17,'[2]Рассчет акции'!$D:$D,'[2]Рассчет акции'!$G:$G,0)</f>
        <v>956</v>
      </c>
      <c r="U17" s="417">
        <f>_xlfn.XLOOKUP(E17,'[2]Рассчет акции'!$D:$D,'[2]Рассчет акции'!$F:$F,0)</f>
        <v>0.3</v>
      </c>
      <c r="V17" s="235">
        <f t="shared" si="40"/>
        <v>354.54975999999999</v>
      </c>
      <c r="W17" s="288">
        <f t="shared" si="41"/>
        <v>0.52981135684399283</v>
      </c>
      <c r="X17" s="289">
        <f>IF(K17&gt;1,('Тарифы ВБ'!$B$9+(K17-1)*'Тарифы ВБ'!$B$10)*'Тарифы ВБ'!$B$15*'Тарифы ВБ'!$B$12+S17*'Тарифы ВБ'!$B$13,'Тарифы ВБ'!$B$8*'Тарифы ВБ'!$B$15*'Тарифы ВБ'!$B$12+S17*'Тарифы ВБ'!$B$13)</f>
        <v>73.059759999999997</v>
      </c>
      <c r="Y17" s="289">
        <f>IF(K17&gt;1,'Тарифы ВБ'!$B$9+(K17-1)*'Тарифы ВБ'!$B$10,'Тарифы ВБ'!$B$8)</f>
        <v>32</v>
      </c>
      <c r="Z17" s="289">
        <f t="shared" si="42"/>
        <v>105.05976</v>
      </c>
      <c r="AA17" s="236">
        <f t="shared" si="43"/>
        <v>0.15699306634787805</v>
      </c>
      <c r="AB17" s="237">
        <f>IF(K17&gt;1,'Тарифы ВБ'!$B$14*'Тарифы ВБ'!$B$16*'Тарифы ВБ'!$B$15+(K17-1)*'Тарифы ВБ'!$B$14,'Тарифы ВБ'!$B$14*'Тарифы ВБ'!B$16*'Тарифы ВБ'!$B$15)</f>
        <v>32</v>
      </c>
      <c r="AC17" s="287">
        <f t="shared" si="5"/>
        <v>137.05975999999998</v>
      </c>
      <c r="AD17" s="240">
        <f t="shared" si="6"/>
        <v>0.20481135684399279</v>
      </c>
      <c r="AE17" s="241">
        <v>0.29499999999999998</v>
      </c>
      <c r="AF17" s="289">
        <f t="shared" si="7"/>
        <v>197.41400000000002</v>
      </c>
      <c r="AG17" s="364">
        <f t="shared" si="8"/>
        <v>0</v>
      </c>
      <c r="AH17" s="364">
        <f t="shared" si="9"/>
        <v>20.076000000000001</v>
      </c>
      <c r="AI17" s="149">
        <f t="shared" si="10"/>
        <v>461.89088678247595</v>
      </c>
      <c r="AJ17" s="447">
        <f t="shared" si="11"/>
        <v>0.23978648119773474</v>
      </c>
      <c r="AK17" s="450">
        <f t="shared" si="12"/>
        <v>207.3091132175241</v>
      </c>
      <c r="AL17" s="450">
        <f t="shared" si="13"/>
        <v>160.46511321752411</v>
      </c>
      <c r="AM17" s="447">
        <f t="shared" si="14"/>
        <v>1.8802788206268939</v>
      </c>
      <c r="AN17" s="458">
        <v>669</v>
      </c>
      <c r="AO17" s="459">
        <f t="shared" si="15"/>
        <v>207.10911321752405</v>
      </c>
      <c r="AP17" s="459">
        <f t="shared" si="16"/>
        <v>160.27911321752404</v>
      </c>
      <c r="AQ17" s="463">
        <f t="shared" si="17"/>
        <v>1.8780993321784445</v>
      </c>
      <c r="AR17" s="464">
        <f t="shared" si="18"/>
        <v>0.23958013933860095</v>
      </c>
      <c r="AS17" s="487" t="str">
        <f>IFERROR(_xlfn.XLOOKUP(A17,'[2]Рассчет акции'!$A:$A,'[2]Рассчет акции'!$BH:$BH),0)</f>
        <v>*</v>
      </c>
      <c r="AT17" s="487">
        <f>IFERROR(_xlfn.XLOOKUP($A17,'[2]Рассчет акции'!$A:$A,'[2]Рассчет акции'!$BC:$BC),0)</f>
        <v>0</v>
      </c>
      <c r="AU17" s="409">
        <f t="shared" si="19"/>
        <v>0</v>
      </c>
      <c r="AV17" s="407">
        <f t="shared" si="20"/>
        <v>-461.89088678247595</v>
      </c>
      <c r="AW17" s="407">
        <f t="shared" si="21"/>
        <v>-461.89088678247595</v>
      </c>
      <c r="AX17" s="409">
        <f t="shared" si="22"/>
        <v>-5.4122895278823666</v>
      </c>
      <c r="AY17" s="293">
        <f>IFERROR(_xlfn.XLOOKUP(E17,'[2]Рассчет акции'!$D:$D,'[2]Рассчет акции'!$BM:$BM),0)</f>
        <v>130</v>
      </c>
      <c r="AZ17" s="203">
        <f>IFERROR(_xlfn.XLOOKUP(E17,'[2]Рассчет акции'!$D:$D,'[2]Рассчет акции'!$BN:$BN),0)</f>
        <v>999</v>
      </c>
      <c r="BA17" s="294">
        <f t="shared" si="23"/>
        <v>7.8414713424830751</v>
      </c>
      <c r="BB17" s="292"/>
      <c r="BC17" s="497" t="e">
        <f xml:space="preserve"> _xlfn.XLOOKUP(B17,#REF!,#REF!,0)</f>
        <v>#REF!</v>
      </c>
      <c r="BD17" s="500" t="e">
        <f t="shared" si="52"/>
        <v>#REF!</v>
      </c>
      <c r="BE17" s="501">
        <f>_xlfn.XLOOKUP($B17,'[1]Рассчет акции'!$A:$A,'[1]Рассчет акции'!$J:$J)</f>
        <v>0.35008870490833821</v>
      </c>
      <c r="BF17" s="191" t="e">
        <f t="shared" si="44"/>
        <v>#REF!</v>
      </c>
      <c r="BG17" s="192">
        <f t="shared" si="24"/>
        <v>0</v>
      </c>
      <c r="BH17" s="193">
        <v>0.4</v>
      </c>
      <c r="BI17" s="194" t="e">
        <f t="shared" si="25"/>
        <v>#REF!</v>
      </c>
      <c r="BJ17" s="195" t="e">
        <f t="shared" si="45"/>
        <v>#REF!</v>
      </c>
      <c r="BK17" s="422">
        <f t="shared" si="26"/>
        <v>0</v>
      </c>
      <c r="BL17" s="196">
        <f>(IF(K17&gt;$BL$3,('Тарифы ОЗОН'!$G$3+ROUNDUP(K17-$BL$3,0)*'Тарифы ОЗОН'!$G$4),'Тарифы ОЗОН'!$G$3))</f>
        <v>46.77</v>
      </c>
      <c r="BM17" s="196">
        <f t="shared" si="27"/>
        <v>35</v>
      </c>
      <c r="BN17" s="197">
        <f>_xlfn.XLOOKUP(BM17,'Тарифы ОЗОН'!$A:$A,'Тарифы ОЗОН'!$B:$B)</f>
        <v>1.32</v>
      </c>
      <c r="BO17" s="198">
        <f>_xlfn.XLOOKUP(BM17,'Тарифы ОЗОН'!$A:$A,'Тарифы ОЗОН'!C:C)</f>
        <v>1.6E-2</v>
      </c>
      <c r="BP17" s="199">
        <f t="shared" si="28"/>
        <v>25</v>
      </c>
      <c r="BQ17" s="199" t="e">
        <f t="shared" si="46"/>
        <v>#REF!</v>
      </c>
      <c r="BR17" s="359">
        <f t="shared" si="47"/>
        <v>0.85</v>
      </c>
      <c r="BS17" s="199" t="e">
        <f t="shared" si="48"/>
        <v>#REF!</v>
      </c>
      <c r="BT17" s="200">
        <f t="shared" si="29"/>
        <v>0</v>
      </c>
      <c r="BU17" s="262" t="e">
        <f t="shared" si="30"/>
        <v>#REF!</v>
      </c>
      <c r="BV17" s="149" t="e">
        <f t="shared" si="31"/>
        <v>#REF!</v>
      </c>
      <c r="BW17" s="291">
        <f t="shared" si="32"/>
        <v>0</v>
      </c>
      <c r="BX17" s="201">
        <f t="shared" si="33"/>
        <v>0</v>
      </c>
      <c r="BY17" s="201" t="e">
        <f t="shared" si="34"/>
        <v>#REF!</v>
      </c>
      <c r="BZ17" s="202">
        <f t="shared" si="35"/>
        <v>0</v>
      </c>
      <c r="CA17" s="425">
        <v>859</v>
      </c>
      <c r="CB17" s="426" t="e">
        <f t="shared" si="49"/>
        <v>#REF!</v>
      </c>
      <c r="CC17" s="427" t="e">
        <f t="shared" si="53"/>
        <v>#REF!</v>
      </c>
      <c r="CD17" s="429" t="e">
        <f t="shared" si="36"/>
        <v>#REF!</v>
      </c>
      <c r="CE17" s="429">
        <f t="shared" si="50"/>
        <v>0</v>
      </c>
      <c r="CF17" s="277">
        <f>_xlfn.XLOOKUP(B17,'[1]Рассчет акции'!$A:$A,'[1]Рассчет акции'!$R:$R,0)</f>
        <v>0</v>
      </c>
      <c r="CG17" s="360">
        <f>_xlfn.XLOOKUP(B17,'[1]Рассчет акции'!$A:$A,'[1]Рассчет акции'!$M:$M,0)</f>
        <v>670</v>
      </c>
      <c r="CH17" s="291">
        <f t="shared" si="54"/>
        <v>0</v>
      </c>
      <c r="CI17" s="290" t="e">
        <f t="shared" si="55"/>
        <v>#REF!</v>
      </c>
      <c r="CJ17" s="290" t="e">
        <f t="shared" si="56"/>
        <v>#REF!</v>
      </c>
      <c r="CK17" s="291" t="e">
        <f t="shared" si="38"/>
        <v>#REF!</v>
      </c>
      <c r="CL17" s="203">
        <f>_xlfn.XLOOKUP(B17,'[1]Рассчет акции'!$A:$A,'[1]Рассчет акции'!$W:$W,0)</f>
        <v>0</v>
      </c>
      <c r="CM17" s="424">
        <f>_xlfn.XLOOKUP(B17,'[1]Рассчет акции'!$A:$A,'[1]Рассчет акции'!$X:$X,0)</f>
        <v>0</v>
      </c>
      <c r="CN17" s="294" t="e">
        <f t="shared" si="39"/>
        <v>#REF!</v>
      </c>
      <c r="CO17" s="433">
        <f t="shared" si="51"/>
        <v>773.1</v>
      </c>
      <c r="CP17" s="507">
        <f>_xlfn.XLOOKUP(B17,'[1]Рассчет акции'!$A:$A,'[1]Рассчет акции'!$Z:$Z,0)</f>
        <v>0</v>
      </c>
    </row>
    <row r="18" spans="1:94" ht="25.5" customHeight="1" collapsed="1" x14ac:dyDescent="0.25">
      <c r="A18" s="174">
        <v>239235150</v>
      </c>
      <c r="B18" s="176"/>
      <c r="C18" s="174" t="s">
        <v>120</v>
      </c>
      <c r="D18" s="175" t="s">
        <v>435</v>
      </c>
      <c r="E18" s="176">
        <v>2040478720961</v>
      </c>
      <c r="F18" s="284">
        <v>115</v>
      </c>
      <c r="G18" s="147">
        <f t="shared" si="1"/>
        <v>0.23288780882948565</v>
      </c>
      <c r="H18" s="439">
        <f>IF(_xlfn.XLOOKUP($C18,'Юнит Карго'!$A:$A,'Юнит Карго'!$G:$G)=0,_xlfn.XLOOKUP(E18,'Себес 1С текущ'!G:G,'Себес 1С текущ'!H:H),_xlfn.XLOOKUP($C18,'Юнит Карго'!$A:$A,'Юнит Карго'!$P:$P,0,0))</f>
        <v>139</v>
      </c>
      <c r="I18" s="268">
        <v>14</v>
      </c>
      <c r="J18" s="269">
        <f t="shared" si="2"/>
        <v>8</v>
      </c>
      <c r="K18" s="273">
        <f t="shared" si="3"/>
        <v>0.96899999999999997</v>
      </c>
      <c r="L18" s="146">
        <v>19</v>
      </c>
      <c r="M18" s="146">
        <v>17</v>
      </c>
      <c r="N18" s="146">
        <v>3</v>
      </c>
      <c r="O18" s="150">
        <f>_xlfn.XLOOKUP($C18,'Юнит Карго'!$A:$A,'Юнит Карго'!$T:$T,0,0)</f>
        <v>0</v>
      </c>
      <c r="P18" s="127" t="s">
        <v>148</v>
      </c>
      <c r="Q18" s="146">
        <v>100</v>
      </c>
      <c r="R18" s="292"/>
      <c r="S18" s="285">
        <f t="shared" si="4"/>
        <v>493.79999999999995</v>
      </c>
      <c r="T18" s="286" t="str">
        <f>_xlfn.XLOOKUP(E18,'[2]Рассчет акции'!$D:$D,'[2]Рассчет акции'!$G:$G,0)</f>
        <v>823</v>
      </c>
      <c r="U18" s="417">
        <f>_xlfn.XLOOKUP(E18,'[2]Рассчет акции'!$D:$D,'[2]Рассчет акции'!$F:$F,0)</f>
        <v>0.4</v>
      </c>
      <c r="V18" s="235">
        <f t="shared" si="40"/>
        <v>296.17664000000002</v>
      </c>
      <c r="W18" s="288">
        <f t="shared" si="41"/>
        <v>0.59979068448764694</v>
      </c>
      <c r="X18" s="289">
        <f>IF(K18&gt;1,('Тарифы ВБ'!$B$9+(K18-1)*'Тарифы ВБ'!$B$10)*'Тарифы ВБ'!$B$15*'Тарифы ВБ'!$B$12+S18*'Тарифы ВБ'!$B$13,'Тарифы ВБ'!$B$8*'Тарифы ВБ'!$B$15*'Тарифы ВБ'!$B$12+S18*'Тарифы ВБ'!$B$13)</f>
        <v>71.691640000000007</v>
      </c>
      <c r="Y18" s="289">
        <f>IF(K18&gt;1,'Тарифы ВБ'!$B$9+(K18-1)*'Тарифы ВБ'!$B$10,'Тарифы ВБ'!$B$8)</f>
        <v>32</v>
      </c>
      <c r="Z18" s="289">
        <f t="shared" si="42"/>
        <v>103.69164000000001</v>
      </c>
      <c r="AA18" s="236">
        <f t="shared" si="43"/>
        <v>0.20998712029161606</v>
      </c>
      <c r="AB18" s="237">
        <f>IF(K18&gt;1,'Тарифы ВБ'!$B$14*'Тарифы ВБ'!$B$16*'Тарифы ВБ'!$B$15+(K18-1)*'Тарифы ВБ'!$B$14,'Тарифы ВБ'!$B$14*'Тарифы ВБ'!B$16*'Тарифы ВБ'!$B$15)</f>
        <v>32</v>
      </c>
      <c r="AC18" s="287">
        <f t="shared" si="5"/>
        <v>135.69164000000001</v>
      </c>
      <c r="AD18" s="240">
        <f t="shared" si="6"/>
        <v>0.27479068448764687</v>
      </c>
      <c r="AE18" s="241">
        <v>0.29499999999999998</v>
      </c>
      <c r="AF18" s="289">
        <f t="shared" si="7"/>
        <v>145.67099999999999</v>
      </c>
      <c r="AG18" s="364">
        <f t="shared" si="8"/>
        <v>0</v>
      </c>
      <c r="AH18" s="364">
        <f t="shared" si="9"/>
        <v>14.813999999999998</v>
      </c>
      <c r="AI18" s="149">
        <f t="shared" si="10"/>
        <v>411.17664000000002</v>
      </c>
      <c r="AJ18" s="447">
        <f t="shared" si="11"/>
        <v>9.7321506682867431E-2</v>
      </c>
      <c r="AK18" s="450">
        <f t="shared" si="12"/>
        <v>82.623359999999934</v>
      </c>
      <c r="AL18" s="450">
        <f t="shared" si="13"/>
        <v>48.057359999999932</v>
      </c>
      <c r="AM18" s="447">
        <f t="shared" si="14"/>
        <v>0.34573640287769736</v>
      </c>
      <c r="AN18" s="458">
        <v>499</v>
      </c>
      <c r="AO18" s="459">
        <f t="shared" si="15"/>
        <v>87.82335999999998</v>
      </c>
      <c r="AP18" s="459">
        <f t="shared" si="16"/>
        <v>52.893359999999973</v>
      </c>
      <c r="AQ18" s="463">
        <f t="shared" si="17"/>
        <v>0.38052776978417246</v>
      </c>
      <c r="AR18" s="464">
        <f t="shared" si="18"/>
        <v>0.10599871743486969</v>
      </c>
      <c r="AS18" s="487">
        <f>IFERROR(_xlfn.XLOOKUP(A18,'[2]Рассчет акции'!$A:$A,'[2]Рассчет акции'!$BH:$BH),0)</f>
        <v>0</v>
      </c>
      <c r="AT18" s="487">
        <f>IFERROR(_xlfn.XLOOKUP($A18,'[2]Рассчет акции'!$A:$A,'[2]Рассчет акции'!$BC:$BC),0)</f>
        <v>494</v>
      </c>
      <c r="AU18" s="409">
        <f t="shared" si="19"/>
        <v>9.7658623481781323E-2</v>
      </c>
      <c r="AV18" s="407">
        <f t="shared" si="20"/>
        <v>82.82335999999998</v>
      </c>
      <c r="AW18" s="407">
        <f t="shared" si="21"/>
        <v>48.243359999999974</v>
      </c>
      <c r="AX18" s="409">
        <f t="shared" si="22"/>
        <v>0.34707453237410052</v>
      </c>
      <c r="AY18" s="293">
        <f>IFERROR(_xlfn.XLOOKUP(E18,'[2]Рассчет акции'!$D:$D,'[2]Рассчет акции'!$BM:$BM),0)</f>
        <v>1</v>
      </c>
      <c r="AZ18" s="203">
        <f>IFERROR(_xlfn.XLOOKUP(E18,'[2]Рассчет акции'!$D:$D,'[2]Рассчет акции'!$BN:$BN),0)</f>
        <v>18</v>
      </c>
      <c r="BA18" s="294">
        <f t="shared" si="23"/>
        <v>3.5525179856115106</v>
      </c>
      <c r="BB18" s="292"/>
      <c r="BC18" s="497" t="e">
        <f xml:space="preserve"> _xlfn.XLOOKUP(B18,#REF!,#REF!,0)</f>
        <v>#REF!</v>
      </c>
      <c r="BD18" s="500" t="e">
        <f t="shared" si="52"/>
        <v>#REF!</v>
      </c>
      <c r="BE18" s="501">
        <f>_xlfn.XLOOKUP($B18,'[1]Рассчет акции'!$A:$A,'[1]Рассчет акции'!$J:$J)</f>
        <v>0</v>
      </c>
      <c r="BF18" s="191" t="e">
        <f t="shared" si="44"/>
        <v>#REF!</v>
      </c>
      <c r="BG18" s="192">
        <f t="shared" si="24"/>
        <v>0</v>
      </c>
      <c r="BH18" s="193">
        <v>0.4</v>
      </c>
      <c r="BI18" s="194" t="e">
        <f t="shared" si="25"/>
        <v>#REF!</v>
      </c>
      <c r="BJ18" s="195" t="e">
        <f t="shared" si="45"/>
        <v>#REF!</v>
      </c>
      <c r="BK18" s="422">
        <f t="shared" si="26"/>
        <v>0</v>
      </c>
      <c r="BL18" s="196">
        <f>(IF(K18&gt;$BL$3,('Тарифы ОЗОН'!$G$3+ROUNDUP(K18-$BL$3,0)*'Тарифы ОЗОН'!$G$4),'Тарифы ОЗОН'!$G$3))</f>
        <v>46.77</v>
      </c>
      <c r="BM18" s="196">
        <f t="shared" si="27"/>
        <v>35</v>
      </c>
      <c r="BN18" s="197">
        <f>_xlfn.XLOOKUP(BM18,'Тарифы ОЗОН'!$A:$A,'Тарифы ОЗОН'!$B:$B)</f>
        <v>1.32</v>
      </c>
      <c r="BO18" s="198">
        <f>_xlfn.XLOOKUP(BM18,'Тарифы ОЗОН'!$A:$A,'Тарифы ОЗОН'!C:C)</f>
        <v>1.6E-2</v>
      </c>
      <c r="BP18" s="199">
        <f t="shared" si="28"/>
        <v>25</v>
      </c>
      <c r="BQ18" s="199" t="e">
        <f t="shared" si="46"/>
        <v>#REF!</v>
      </c>
      <c r="BR18" s="359">
        <f t="shared" si="47"/>
        <v>0.85</v>
      </c>
      <c r="BS18" s="199" t="e">
        <f t="shared" si="48"/>
        <v>#REF!</v>
      </c>
      <c r="BT18" s="200">
        <f t="shared" si="29"/>
        <v>0</v>
      </c>
      <c r="BU18" s="262" t="e">
        <f t="shared" si="30"/>
        <v>#REF!</v>
      </c>
      <c r="BV18" s="149" t="e">
        <f t="shared" si="31"/>
        <v>#REF!</v>
      </c>
      <c r="BW18" s="291">
        <f t="shared" si="32"/>
        <v>0</v>
      </c>
      <c r="BX18" s="201">
        <f t="shared" si="33"/>
        <v>0</v>
      </c>
      <c r="BY18" s="201" t="e">
        <f t="shared" si="34"/>
        <v>#REF!</v>
      </c>
      <c r="BZ18" s="202">
        <f t="shared" si="35"/>
        <v>0</v>
      </c>
      <c r="CA18" s="425">
        <v>0</v>
      </c>
      <c r="CB18" s="426" t="e">
        <f t="shared" si="49"/>
        <v>#REF!</v>
      </c>
      <c r="CC18" s="427" t="e">
        <f t="shared" si="53"/>
        <v>#REF!</v>
      </c>
      <c r="CD18" s="429" t="e">
        <f t="shared" si="36"/>
        <v>#REF!</v>
      </c>
      <c r="CE18" s="429">
        <f t="shared" si="50"/>
        <v>0</v>
      </c>
      <c r="CF18" s="277">
        <f>_xlfn.XLOOKUP(B18,'[1]Рассчет акции'!$A:$A,'[1]Рассчет акции'!$R:$R,0)</f>
        <v>0</v>
      </c>
      <c r="CG18" s="360">
        <f>_xlfn.XLOOKUP(B18,'[1]Рассчет акции'!$A:$A,'[1]Рассчет акции'!$M:$M,0)</f>
        <v>0</v>
      </c>
      <c r="CH18" s="291">
        <f t="shared" si="54"/>
        <v>0</v>
      </c>
      <c r="CI18" s="290" t="e">
        <f t="shared" si="55"/>
        <v>#REF!</v>
      </c>
      <c r="CJ18" s="290" t="e">
        <f t="shared" si="56"/>
        <v>#REF!</v>
      </c>
      <c r="CK18" s="291" t="e">
        <f t="shared" si="38"/>
        <v>#REF!</v>
      </c>
      <c r="CL18" s="203">
        <f>_xlfn.XLOOKUP(B18,'[1]Рассчет акции'!$A:$A,'[1]Рассчет акции'!$W:$W,0)</f>
        <v>0</v>
      </c>
      <c r="CM18" s="424">
        <f>_xlfn.XLOOKUP(B18,'[1]Рассчет акции'!$A:$A,'[1]Рассчет акции'!$X:$X,0)</f>
        <v>0</v>
      </c>
      <c r="CN18" s="294" t="e">
        <f t="shared" si="39"/>
        <v>#REF!</v>
      </c>
      <c r="CO18" s="433">
        <f t="shared" si="51"/>
        <v>0</v>
      </c>
      <c r="CP18" s="507">
        <f>_xlfn.XLOOKUP(B18,'[1]Рассчет акции'!$A:$A,'[1]Рассчет акции'!$Z:$Z,0)</f>
        <v>0</v>
      </c>
    </row>
    <row r="19" spans="1:94" ht="25.5" customHeight="1" collapsed="1" x14ac:dyDescent="0.25">
      <c r="A19" s="174">
        <v>239233529</v>
      </c>
      <c r="B19" s="176"/>
      <c r="C19" s="174" t="s">
        <v>121</v>
      </c>
      <c r="D19" s="175" t="s">
        <v>436</v>
      </c>
      <c r="E19" s="176">
        <v>2040478696884</v>
      </c>
      <c r="F19" s="284">
        <v>144</v>
      </c>
      <c r="G19" s="147">
        <f t="shared" si="1"/>
        <v>0.20512820512820512</v>
      </c>
      <c r="H19" s="439">
        <f>IF(_xlfn.XLOOKUP($C19,'Юнит Карго'!$A:$A,'Юнит Карго'!$G:$G)=0,_xlfn.XLOOKUP(E19,'Себес 1С текущ'!G:G,'Себес 1С текущ'!H:H),_xlfn.XLOOKUP($C19,'Юнит Карго'!$A:$A,'Юнит Карго'!$P:$P,0,0))</f>
        <v>110</v>
      </c>
      <c r="I19" s="268">
        <v>14</v>
      </c>
      <c r="J19" s="269">
        <f t="shared" si="2"/>
        <v>8</v>
      </c>
      <c r="K19" s="273">
        <f t="shared" si="3"/>
        <v>1.9359999999999999</v>
      </c>
      <c r="L19" s="146">
        <v>22</v>
      </c>
      <c r="M19" s="146">
        <v>22</v>
      </c>
      <c r="N19" s="146">
        <v>4</v>
      </c>
      <c r="O19" s="150">
        <f>_xlfn.XLOOKUP($C19,'Юнит Карго'!$A:$A,'Юнит Карго'!$T:$T,0,0)</f>
        <v>0</v>
      </c>
      <c r="P19" s="127" t="s">
        <v>149</v>
      </c>
      <c r="Q19" s="146">
        <v>80</v>
      </c>
      <c r="R19" s="292"/>
      <c r="S19" s="285">
        <f t="shared" si="4"/>
        <v>702</v>
      </c>
      <c r="T19" s="286" t="str">
        <f>_xlfn.XLOOKUP(E19,'[2]Рассчет акции'!$D:$D,'[2]Рассчет акции'!$G:$G,0)</f>
        <v>1170</v>
      </c>
      <c r="U19" s="417">
        <f>_xlfn.XLOOKUP(E19,'[2]Рассчет акции'!$D:$D,'[2]Рассчет акции'!$F:$F,0)</f>
        <v>0.4</v>
      </c>
      <c r="V19" s="235">
        <f t="shared" si="40"/>
        <v>450.10496000000001</v>
      </c>
      <c r="W19" s="288">
        <f t="shared" si="41"/>
        <v>0.64117515669515668</v>
      </c>
      <c r="X19" s="289">
        <f>IF(K19&gt;1,('Тарифы ВБ'!$B$9+(K19-1)*'Тарифы ВБ'!$B$10)*'Тарифы ВБ'!$B$15*'Тарифы ВБ'!$B$12+S19*'Тарифы ВБ'!$B$13,'Тарифы ВБ'!$B$8*'Тарифы ВБ'!$B$15*'Тарифы ВБ'!$B$12+S19*'Тарифы ВБ'!$B$13)</f>
        <v>130.77608000000001</v>
      </c>
      <c r="Y19" s="289">
        <f>IF(K19&gt;1,'Тарифы ВБ'!$B$9+(K19-1)*'Тарифы ВБ'!$B$10,'Тарифы ВБ'!$B$8)</f>
        <v>59.103999999999999</v>
      </c>
      <c r="Z19" s="289">
        <f t="shared" si="42"/>
        <v>189.88008000000002</v>
      </c>
      <c r="AA19" s="236">
        <f t="shared" si="43"/>
        <v>0.27048444444444447</v>
      </c>
      <c r="AB19" s="237">
        <f>IF(K19&gt;1,'Тарифы ВБ'!$B$14*'Тарифы ВБ'!$B$16*'Тарифы ВБ'!$B$15+(K19-1)*'Тарифы ВБ'!$B$14,'Тарифы ВБ'!$B$14*'Тарифы ВБ'!B$16*'Тарифы ВБ'!$B$15)</f>
        <v>32.07488</v>
      </c>
      <c r="AC19" s="287">
        <f t="shared" si="5"/>
        <v>221.95496000000003</v>
      </c>
      <c r="AD19" s="240">
        <f t="shared" si="6"/>
        <v>0.31617515669515672</v>
      </c>
      <c r="AE19" s="241">
        <v>0.29499999999999998</v>
      </c>
      <c r="AF19" s="289">
        <f t="shared" si="7"/>
        <v>207.08999999999997</v>
      </c>
      <c r="AG19" s="364">
        <f t="shared" si="8"/>
        <v>0</v>
      </c>
      <c r="AH19" s="364">
        <f t="shared" si="9"/>
        <v>21.06</v>
      </c>
      <c r="AI19" s="149">
        <f t="shared" si="10"/>
        <v>594.10496000000001</v>
      </c>
      <c r="AJ19" s="447">
        <f t="shared" si="11"/>
        <v>8.3696638176638152E-2</v>
      </c>
      <c r="AK19" s="450">
        <f t="shared" si="12"/>
        <v>107.89503999999999</v>
      </c>
      <c r="AL19" s="450">
        <f t="shared" si="13"/>
        <v>58.755039999999987</v>
      </c>
      <c r="AM19" s="447">
        <f t="shared" si="14"/>
        <v>0.53413672727272721</v>
      </c>
      <c r="AN19" s="458">
        <v>709</v>
      </c>
      <c r="AO19" s="459">
        <f t="shared" si="15"/>
        <v>114.89503999999999</v>
      </c>
      <c r="AP19" s="459">
        <f t="shared" si="16"/>
        <v>65.265039999999999</v>
      </c>
      <c r="AQ19" s="463">
        <f t="shared" si="17"/>
        <v>0.59331854545454543</v>
      </c>
      <c r="AR19" s="464">
        <f t="shared" si="18"/>
        <v>9.2052242595204517E-2</v>
      </c>
      <c r="AS19" s="487" t="str">
        <f>IFERROR(_xlfn.XLOOKUP(A19,'[2]Рассчет акции'!$A:$A,'[2]Рассчет акции'!$BH:$BH),0)</f>
        <v>*</v>
      </c>
      <c r="AT19" s="487">
        <f>IFERROR(_xlfn.XLOOKUP($A19,'[2]Рассчет акции'!$A:$A,'[2]Рассчет акции'!$BC:$BC),0)</f>
        <v>702</v>
      </c>
      <c r="AU19" s="409">
        <f t="shared" si="19"/>
        <v>8.3696638176638152E-2</v>
      </c>
      <c r="AV19" s="407">
        <f t="shared" si="20"/>
        <v>107.89503999999999</v>
      </c>
      <c r="AW19" s="407">
        <f t="shared" si="21"/>
        <v>58.755039999999987</v>
      </c>
      <c r="AX19" s="409">
        <f t="shared" si="22"/>
        <v>0.53413672727272721</v>
      </c>
      <c r="AY19" s="293">
        <f>IFERROR(_xlfn.XLOOKUP(E19,'[2]Рассчет акции'!$D:$D,'[2]Рассчет акции'!$BM:$BM),0)</f>
        <v>55</v>
      </c>
      <c r="AZ19" s="203">
        <f>IFERROR(_xlfn.XLOOKUP(E19,'[2]Рассчет акции'!$D:$D,'[2]Рассчет акции'!$BN:$BN),0)</f>
        <v>290</v>
      </c>
      <c r="BA19" s="294">
        <f t="shared" si="23"/>
        <v>6.3818181818181818</v>
      </c>
      <c r="BB19" s="292"/>
      <c r="BC19" s="497" t="e">
        <f xml:space="preserve"> _xlfn.XLOOKUP(B19,#REF!,#REF!,0)</f>
        <v>#REF!</v>
      </c>
      <c r="BD19" s="500" t="e">
        <f t="shared" si="52"/>
        <v>#REF!</v>
      </c>
      <c r="BE19" s="501">
        <f>_xlfn.XLOOKUP($B19,'[1]Рассчет акции'!$A:$A,'[1]Рассчет акции'!$J:$J)</f>
        <v>0</v>
      </c>
      <c r="BF19" s="191" t="e">
        <f t="shared" si="44"/>
        <v>#REF!</v>
      </c>
      <c r="BG19" s="192">
        <f t="shared" si="24"/>
        <v>0</v>
      </c>
      <c r="BH19" s="193">
        <v>0.4</v>
      </c>
      <c r="BI19" s="194" t="e">
        <f t="shared" si="25"/>
        <v>#REF!</v>
      </c>
      <c r="BJ19" s="195" t="e">
        <f t="shared" si="45"/>
        <v>#REF!</v>
      </c>
      <c r="BK19" s="422">
        <f t="shared" si="26"/>
        <v>0</v>
      </c>
      <c r="BL19" s="196">
        <f>(IF(K19&gt;$BL$3,('Тарифы ОЗОН'!$G$3+ROUNDUP(K19-$BL$3,0)*'Тарифы ОЗОН'!$G$4),'Тарифы ОЗОН'!$G$3))</f>
        <v>56.940000000000005</v>
      </c>
      <c r="BM19" s="196">
        <f t="shared" si="27"/>
        <v>35</v>
      </c>
      <c r="BN19" s="197">
        <f>_xlfn.XLOOKUP(BM19,'Тарифы ОЗОН'!$A:$A,'Тарифы ОЗОН'!$B:$B)</f>
        <v>1.32</v>
      </c>
      <c r="BO19" s="198">
        <f>_xlfn.XLOOKUP(BM19,'Тарифы ОЗОН'!$A:$A,'Тарифы ОЗОН'!C:C)</f>
        <v>1.6E-2</v>
      </c>
      <c r="BP19" s="199">
        <f t="shared" si="28"/>
        <v>25</v>
      </c>
      <c r="BQ19" s="199" t="e">
        <f t="shared" si="46"/>
        <v>#REF!</v>
      </c>
      <c r="BR19" s="359">
        <f t="shared" si="47"/>
        <v>0.85</v>
      </c>
      <c r="BS19" s="199" t="e">
        <f t="shared" si="48"/>
        <v>#REF!</v>
      </c>
      <c r="BT19" s="200">
        <f t="shared" si="29"/>
        <v>0</v>
      </c>
      <c r="BU19" s="262" t="e">
        <f t="shared" si="30"/>
        <v>#REF!</v>
      </c>
      <c r="BV19" s="149" t="e">
        <f t="shared" si="31"/>
        <v>#REF!</v>
      </c>
      <c r="BW19" s="291">
        <f t="shared" si="32"/>
        <v>0</v>
      </c>
      <c r="BX19" s="201">
        <f t="shared" si="33"/>
        <v>0</v>
      </c>
      <c r="BY19" s="201" t="e">
        <f t="shared" si="34"/>
        <v>#REF!</v>
      </c>
      <c r="BZ19" s="202">
        <f t="shared" si="35"/>
        <v>0</v>
      </c>
      <c r="CA19" s="425">
        <v>0</v>
      </c>
      <c r="CB19" s="426" t="e">
        <f t="shared" si="49"/>
        <v>#REF!</v>
      </c>
      <c r="CC19" s="427" t="e">
        <f t="shared" si="53"/>
        <v>#REF!</v>
      </c>
      <c r="CD19" s="429" t="e">
        <f t="shared" si="36"/>
        <v>#REF!</v>
      </c>
      <c r="CE19" s="429">
        <f t="shared" si="50"/>
        <v>0</v>
      </c>
      <c r="CF19" s="277">
        <f>_xlfn.XLOOKUP(B19,'[1]Рассчет акции'!$A:$A,'[1]Рассчет акции'!$R:$R,0)</f>
        <v>0</v>
      </c>
      <c r="CG19" s="360">
        <f>_xlfn.XLOOKUP(B19,'[1]Рассчет акции'!$A:$A,'[1]Рассчет акции'!$M:$M,0)</f>
        <v>0</v>
      </c>
      <c r="CH19" s="291">
        <f t="shared" si="54"/>
        <v>0</v>
      </c>
      <c r="CI19" s="290" t="e">
        <f t="shared" si="55"/>
        <v>#REF!</v>
      </c>
      <c r="CJ19" s="290" t="e">
        <f t="shared" si="56"/>
        <v>#REF!</v>
      </c>
      <c r="CK19" s="291" t="e">
        <f t="shared" si="38"/>
        <v>#REF!</v>
      </c>
      <c r="CL19" s="203">
        <f>_xlfn.XLOOKUP(B19,'[1]Рассчет акции'!$A:$A,'[1]Рассчет акции'!$W:$W,0)</f>
        <v>0</v>
      </c>
      <c r="CM19" s="424">
        <f>_xlfn.XLOOKUP(B19,'[1]Рассчет акции'!$A:$A,'[1]Рассчет акции'!$X:$X,0)</f>
        <v>0</v>
      </c>
      <c r="CN19" s="294" t="e">
        <f t="shared" si="39"/>
        <v>#REF!</v>
      </c>
      <c r="CO19" s="433">
        <f t="shared" si="51"/>
        <v>0</v>
      </c>
      <c r="CP19" s="507">
        <f>_xlfn.XLOOKUP(B19,'[1]Рассчет акции'!$A:$A,'[1]Рассчет акции'!$Z:$Z,0)</f>
        <v>0</v>
      </c>
    </row>
    <row r="20" spans="1:94" ht="22.5" customHeight="1" x14ac:dyDescent="0.25">
      <c r="A20" s="162">
        <v>173605843</v>
      </c>
      <c r="B20" s="164">
        <v>1597441701</v>
      </c>
      <c r="C20" s="162" t="s">
        <v>59</v>
      </c>
      <c r="D20" s="163" t="s">
        <v>107</v>
      </c>
      <c r="E20" s="164">
        <v>2038430289250</v>
      </c>
      <c r="F20" s="284">
        <f t="shared" ref="F20:F66" si="57">SUM(H20:J20)</f>
        <v>81</v>
      </c>
      <c r="G20" s="147">
        <f t="shared" si="1"/>
        <v>0.23601398601398602</v>
      </c>
      <c r="H20" s="439">
        <f>IF(_xlfn.XLOOKUP($C20,'Юнит Карго'!$A:$A,'Юнит Карго'!$G:$G)=0,_xlfn.XLOOKUP(E20,'Себес 1С текущ'!G:G,'Себес 1С текущ'!H:H),_xlfn.XLOOKUP($C20,'Юнит Карго'!$A:$A,'Юнит Карго'!$P:$P,0,0))</f>
        <v>59</v>
      </c>
      <c r="I20" s="268">
        <f>_xlfn.XLOOKUP(E20,[3]ТЗ_ФФ!$D:$D,[3]ТЗ_ФФ!$BG:$BG,0)</f>
        <v>14</v>
      </c>
      <c r="J20" s="269">
        <f t="shared" si="2"/>
        <v>8</v>
      </c>
      <c r="K20" s="273">
        <f t="shared" si="3"/>
        <v>0.24</v>
      </c>
      <c r="L20" s="146">
        <v>15</v>
      </c>
      <c r="M20" s="146">
        <v>4</v>
      </c>
      <c r="N20" s="146">
        <v>4</v>
      </c>
      <c r="O20" s="150">
        <f>_xlfn.XLOOKUP($C20,'Юнит Карго'!$A:$A,'Юнит Карго'!$T:$T,0,0)</f>
        <v>0.04</v>
      </c>
      <c r="P20" s="127" t="s">
        <v>75</v>
      </c>
      <c r="Q20" s="146">
        <v>300</v>
      </c>
      <c r="R20" s="292"/>
      <c r="S20" s="285">
        <f t="shared" si="4"/>
        <v>343.2</v>
      </c>
      <c r="T20" s="286" t="str">
        <f>_xlfn.XLOOKUP(E20,'[2]Рассчет акции'!$D:$D,'[2]Рассчет акции'!$G:$G,0)</f>
        <v>572</v>
      </c>
      <c r="U20" s="417">
        <f>_xlfn.XLOOKUP(E20,'[2]Рассчет акции'!$D:$D,'[2]Рассчет акции'!$F:$F,0)</f>
        <v>0.4</v>
      </c>
      <c r="V20" s="235">
        <f t="shared" si="40"/>
        <v>252.92095999999998</v>
      </c>
      <c r="W20" s="288">
        <f t="shared" si="41"/>
        <v>0.73694918414918409</v>
      </c>
      <c r="X20" s="289">
        <f>IF(K20&gt;1,('Тарифы ВБ'!$B$9+(K20-1)*'Тарифы ВБ'!$B$10)*'Тарифы ВБ'!$B$15*'Тарифы ВБ'!$B$12+S20*'Тарифы ВБ'!$B$13,'Тарифы ВБ'!$B$8*'Тарифы ВБ'!$B$15*'Тарифы ВБ'!$B$12+S20*'Тарифы ВБ'!$B$13)</f>
        <v>70.516959999999997</v>
      </c>
      <c r="Y20" s="289">
        <f>IF(K20&gt;1,'Тарифы ВБ'!$B$9+(K20-1)*'Тарифы ВБ'!$B$10,'Тарифы ВБ'!$B$8)</f>
        <v>32</v>
      </c>
      <c r="Z20" s="289">
        <f t="shared" si="42"/>
        <v>102.51696</v>
      </c>
      <c r="AA20" s="236">
        <f t="shared" si="43"/>
        <v>0.29870909090909092</v>
      </c>
      <c r="AB20" s="237">
        <f>IF(K20&gt;1,'Тарифы ВБ'!$B$14*'Тарифы ВБ'!$B$16*'Тарифы ВБ'!$B$15+(K20-1)*'Тарифы ВБ'!$B$14,'Тарифы ВБ'!$B$14*'Тарифы ВБ'!B$16*'Тарифы ВБ'!$B$15)</f>
        <v>32</v>
      </c>
      <c r="AC20" s="287">
        <f t="shared" si="5"/>
        <v>134.51695999999998</v>
      </c>
      <c r="AD20" s="240">
        <f t="shared" si="6"/>
        <v>0.39194918414918412</v>
      </c>
      <c r="AE20" s="241">
        <v>0.315</v>
      </c>
      <c r="AF20" s="289">
        <f t="shared" si="7"/>
        <v>108.108</v>
      </c>
      <c r="AG20" s="364">
        <f t="shared" si="8"/>
        <v>0</v>
      </c>
      <c r="AH20" s="364">
        <f t="shared" si="9"/>
        <v>10.295999999999999</v>
      </c>
      <c r="AI20" s="149">
        <f t="shared" si="10"/>
        <v>333.92095999999998</v>
      </c>
      <c r="AJ20" s="447">
        <f t="shared" si="11"/>
        <v>-4.2963170163170139E-2</v>
      </c>
      <c r="AK20" s="450">
        <f t="shared" si="12"/>
        <v>9.2790400000000091</v>
      </c>
      <c r="AL20" s="450">
        <f t="shared" si="13"/>
        <v>-14.744959999999992</v>
      </c>
      <c r="AM20" s="447">
        <f t="shared" si="14"/>
        <v>-0.2499145762711863</v>
      </c>
      <c r="AN20" s="458">
        <v>409</v>
      </c>
      <c r="AO20" s="459">
        <f t="shared" si="15"/>
        <v>75.07904000000002</v>
      </c>
      <c r="AP20" s="459">
        <f t="shared" si="16"/>
        <v>46.449040000000018</v>
      </c>
      <c r="AQ20" s="463">
        <f t="shared" si="17"/>
        <v>0.78727186440677999</v>
      </c>
      <c r="AR20" s="464">
        <f t="shared" si="18"/>
        <v>0.11356733496332523</v>
      </c>
      <c r="AS20" s="487" t="str">
        <f>IFERROR(_xlfn.XLOOKUP(A20,'[2]Рассчет акции'!$A:$A,'[2]Рассчет акции'!$BH:$BH),0)</f>
        <v>*</v>
      </c>
      <c r="AT20" s="487">
        <f>IFERROR(_xlfn.XLOOKUP($A20,'[2]Рассчет акции'!$A:$A,'[2]Рассчет акции'!$BC:$BC),0)</f>
        <v>343</v>
      </c>
      <c r="AU20" s="409">
        <f t="shared" si="19"/>
        <v>-4.3530495626822104E-2</v>
      </c>
      <c r="AV20" s="407">
        <f t="shared" si="20"/>
        <v>9.0790400000000204</v>
      </c>
      <c r="AW20" s="407">
        <f t="shared" si="21"/>
        <v>-14.930959999999981</v>
      </c>
      <c r="AX20" s="409">
        <f t="shared" si="22"/>
        <v>-0.2530671186440675</v>
      </c>
      <c r="AY20" s="293">
        <f>IFERROR(_xlfn.XLOOKUP(E20,'[2]Рассчет акции'!$D:$D,'[2]Рассчет акции'!$BM:$BM),0)</f>
        <v>535</v>
      </c>
      <c r="AZ20" s="203">
        <f>IFERROR(_xlfn.XLOOKUP(E20,'[2]Рассчет акции'!$D:$D,'[2]Рассчет акции'!$BN:$BN),0)</f>
        <v>999</v>
      </c>
      <c r="BA20" s="294">
        <f t="shared" si="23"/>
        <v>5.8169491525423727</v>
      </c>
      <c r="BB20" s="292"/>
      <c r="BC20" s="497" t="e">
        <f xml:space="preserve"> _xlfn.XLOOKUP(B20,#REF!,#REF!,0)</f>
        <v>#REF!</v>
      </c>
      <c r="BD20" s="500" t="e">
        <f t="shared" si="52"/>
        <v>#REF!</v>
      </c>
      <c r="BE20" s="501">
        <f>_xlfn.XLOOKUP($B20,'[1]Рассчет акции'!$A:$A,'[1]Рассчет акции'!$J:$J)</f>
        <v>0.35020080321285141</v>
      </c>
      <c r="BF20" s="191" t="e">
        <f t="shared" si="44"/>
        <v>#REF!</v>
      </c>
      <c r="BG20" s="192">
        <f t="shared" si="24"/>
        <v>0</v>
      </c>
      <c r="BH20" s="193">
        <v>0.37</v>
      </c>
      <c r="BI20" s="194" t="e">
        <f t="shared" si="25"/>
        <v>#REF!</v>
      </c>
      <c r="BJ20" s="195" t="e">
        <f t="shared" si="45"/>
        <v>#REF!</v>
      </c>
      <c r="BK20" s="422">
        <f t="shared" si="26"/>
        <v>0</v>
      </c>
      <c r="BL20" s="196">
        <f>(IF(K20&gt;$BL$3,('Тарифы ОЗОН'!$G$3+ROUNDUP(K20-$BL$3,0)*'Тарифы ОЗОН'!$G$4),'Тарифы ОЗОН'!$G$3))</f>
        <v>46.77</v>
      </c>
      <c r="BM20" s="196">
        <f t="shared" si="27"/>
        <v>35</v>
      </c>
      <c r="BN20" s="197">
        <f>_xlfn.XLOOKUP(BM20,'Тарифы ОЗОН'!$A:$A,'Тарифы ОЗОН'!$B:$B)</f>
        <v>1.32</v>
      </c>
      <c r="BO20" s="198">
        <f>_xlfn.XLOOKUP(BM20,'Тарифы ОЗОН'!$A:$A,'Тарифы ОЗОН'!C:C)</f>
        <v>1.6E-2</v>
      </c>
      <c r="BP20" s="199">
        <f t="shared" si="28"/>
        <v>25</v>
      </c>
      <c r="BQ20" s="199" t="e">
        <f t="shared" si="46"/>
        <v>#REF!</v>
      </c>
      <c r="BR20" s="359">
        <f t="shared" si="47"/>
        <v>0.85</v>
      </c>
      <c r="BS20" s="199" t="e">
        <f t="shared" si="48"/>
        <v>#REF!</v>
      </c>
      <c r="BT20" s="200">
        <f t="shared" si="29"/>
        <v>0</v>
      </c>
      <c r="BU20" s="262" t="e">
        <f t="shared" si="30"/>
        <v>#REF!</v>
      </c>
      <c r="BV20" s="149" t="e">
        <f t="shared" si="31"/>
        <v>#REF!</v>
      </c>
      <c r="BW20" s="291">
        <f t="shared" si="32"/>
        <v>0</v>
      </c>
      <c r="BX20" s="201">
        <f t="shared" si="33"/>
        <v>0</v>
      </c>
      <c r="BY20" s="201" t="e">
        <f t="shared" si="34"/>
        <v>#REF!</v>
      </c>
      <c r="BZ20" s="202">
        <f t="shared" si="35"/>
        <v>0</v>
      </c>
      <c r="CA20" s="425">
        <v>455</v>
      </c>
      <c r="CB20" s="426" t="e">
        <f t="shared" si="49"/>
        <v>#REF!</v>
      </c>
      <c r="CC20" s="427" t="e">
        <f t="shared" si="53"/>
        <v>#REF!</v>
      </c>
      <c r="CD20" s="429" t="e">
        <f t="shared" si="36"/>
        <v>#REF!</v>
      </c>
      <c r="CE20" s="429">
        <f t="shared" si="50"/>
        <v>0</v>
      </c>
      <c r="CF20" s="277">
        <f>_xlfn.XLOOKUP(B20,'[1]Рассчет акции'!$A:$A,'[1]Рассчет акции'!$R:$R,0)</f>
        <v>0</v>
      </c>
      <c r="CG20" s="360">
        <f>_xlfn.XLOOKUP(B20,'[1]Рассчет акции'!$A:$A,'[1]Рассчет акции'!$M:$M,0)</f>
        <v>567</v>
      </c>
      <c r="CH20" s="291">
        <f t="shared" si="54"/>
        <v>0</v>
      </c>
      <c r="CI20" s="290" t="e">
        <f t="shared" si="55"/>
        <v>#REF!</v>
      </c>
      <c r="CJ20" s="290" t="e">
        <f t="shared" si="56"/>
        <v>#REF!</v>
      </c>
      <c r="CK20" s="291" t="e">
        <f t="shared" si="38"/>
        <v>#REF!</v>
      </c>
      <c r="CL20" s="203">
        <f>_xlfn.XLOOKUP(B20,'[1]Рассчет акции'!$A:$A,'[1]Рассчет акции'!$W:$W,0)</f>
        <v>42</v>
      </c>
      <c r="CM20" s="424">
        <f>_xlfn.XLOOKUP(B20,'[1]Рассчет акции'!$A:$A,'[1]Рассчет акции'!$X:$X,0)</f>
        <v>999</v>
      </c>
      <c r="CN20" s="294" t="e">
        <f t="shared" si="39"/>
        <v>#REF!</v>
      </c>
      <c r="CO20" s="433">
        <f t="shared" si="51"/>
        <v>409.5</v>
      </c>
      <c r="CP20" s="507">
        <f>_xlfn.XLOOKUP(B20,'[1]Рассчет акции'!$A:$A,'[1]Рассчет акции'!$Z:$Z,0)</f>
        <v>0</v>
      </c>
    </row>
    <row r="21" spans="1:94" ht="25.5" customHeight="1" x14ac:dyDescent="0.25">
      <c r="A21" s="162">
        <v>223420736</v>
      </c>
      <c r="B21" s="164">
        <v>2415742732</v>
      </c>
      <c r="C21" s="162" t="s">
        <v>110</v>
      </c>
      <c r="D21" s="163" t="s">
        <v>151</v>
      </c>
      <c r="E21" s="164">
        <v>2039813223373</v>
      </c>
      <c r="F21" s="284">
        <f t="shared" si="57"/>
        <v>165.07980285196152</v>
      </c>
      <c r="G21" s="147">
        <f t="shared" si="1"/>
        <v>0.1831777661473164</v>
      </c>
      <c r="H21" s="439">
        <f>IF(_xlfn.XLOOKUP($C21,'Юнит Карго'!$A:$A,'Юнит Карго'!$G:$G)=0,_xlfn.XLOOKUP(E21,'Себес 1С текущ'!G:G,'Себес 1С текущ'!H:H),_xlfn.XLOOKUP($C21,'Юнит Карго'!$A:$A,'Юнит Карго'!$P:$P,0,0))</f>
        <v>143.07980285196152</v>
      </c>
      <c r="I21" s="268">
        <f>_xlfn.XLOOKUP(E21,[3]ТЗ_ФФ!$D:$D,[3]ТЗ_ФФ!$BG:$BG,0)</f>
        <v>14</v>
      </c>
      <c r="J21" s="269">
        <f t="shared" si="2"/>
        <v>8</v>
      </c>
      <c r="K21" s="273">
        <f t="shared" si="3"/>
        <v>0.99</v>
      </c>
      <c r="L21" s="146">
        <v>55</v>
      </c>
      <c r="M21" s="146">
        <v>6</v>
      </c>
      <c r="N21" s="146">
        <v>3</v>
      </c>
      <c r="O21" s="150">
        <f>_xlfn.XLOOKUP($C21,'Юнит Карго'!$A:$A,'Юнит Карго'!$T:$T,0,0)</f>
        <v>0.16</v>
      </c>
      <c r="P21" s="127" t="s">
        <v>75</v>
      </c>
      <c r="Q21" s="146"/>
      <c r="R21" s="292"/>
      <c r="S21" s="285">
        <f t="shared" si="4"/>
        <v>901.19999999999993</v>
      </c>
      <c r="T21" s="286" t="str">
        <f>_xlfn.XLOOKUP(E21,'[2]Рассчет акции'!$D:$D,'[2]Рассчет акции'!$G:$G,0)</f>
        <v>1502</v>
      </c>
      <c r="U21" s="417">
        <f>_xlfn.XLOOKUP(E21,'[2]Рассчет акции'!$D:$D,'[2]Рассчет акции'!$F:$F,0)</f>
        <v>0.4</v>
      </c>
      <c r="V21" s="235">
        <f t="shared" si="40"/>
        <v>449.78335999999996</v>
      </c>
      <c r="W21" s="288">
        <f t="shared" si="41"/>
        <v>0.49909383044829114</v>
      </c>
      <c r="X21" s="289">
        <f>IF(K21&gt;1,('Тарифы ВБ'!$B$9+(K21-1)*'Тарифы ВБ'!$B$10)*'Тарифы ВБ'!$B$15*'Тарифы ВБ'!$B$12+S21*'Тарифы ВБ'!$B$13,'Тарифы ВБ'!$B$8*'Тарифы ВБ'!$B$15*'Тарифы ВБ'!$B$12+S21*'Тарифы ВБ'!$B$13)</f>
        <v>74.86936</v>
      </c>
      <c r="Y21" s="289">
        <f>IF(K21&gt;1,'Тарифы ВБ'!$B$9+(K21-1)*'Тарифы ВБ'!$B$10,'Тарифы ВБ'!$B$8)</f>
        <v>32</v>
      </c>
      <c r="Z21" s="289">
        <f t="shared" si="42"/>
        <v>106.86936</v>
      </c>
      <c r="AA21" s="236">
        <f t="shared" si="43"/>
        <v>0.1185856191744341</v>
      </c>
      <c r="AB21" s="237">
        <f>IF(K21&gt;1,'Тарифы ВБ'!$B$14*'Тарифы ВБ'!$B$16*'Тарифы ВБ'!$B$15+(K21-1)*'Тарифы ВБ'!$B$14,'Тарифы ВБ'!$B$14*'Тарифы ВБ'!B$16*'Тарифы ВБ'!$B$15)</f>
        <v>32</v>
      </c>
      <c r="AC21" s="287">
        <f t="shared" si="5"/>
        <v>138.86936</v>
      </c>
      <c r="AD21" s="240">
        <f t="shared" si="6"/>
        <v>0.15409383044829117</v>
      </c>
      <c r="AE21" s="241">
        <v>0.315</v>
      </c>
      <c r="AF21" s="289">
        <f t="shared" si="7"/>
        <v>283.87799999999999</v>
      </c>
      <c r="AG21" s="364">
        <f t="shared" si="8"/>
        <v>0</v>
      </c>
      <c r="AH21" s="364">
        <f t="shared" si="9"/>
        <v>27.035999999999998</v>
      </c>
      <c r="AI21" s="149">
        <f t="shared" si="10"/>
        <v>614.86316285196153</v>
      </c>
      <c r="AJ21" s="447">
        <f t="shared" si="11"/>
        <v>0.24772840340439237</v>
      </c>
      <c r="AK21" s="450">
        <f t="shared" si="12"/>
        <v>286.3368371480384</v>
      </c>
      <c r="AL21" s="450">
        <f t="shared" si="13"/>
        <v>223.2528371480384</v>
      </c>
      <c r="AM21" s="447">
        <f t="shared" si="14"/>
        <v>1.560337886256584</v>
      </c>
      <c r="AN21" s="458">
        <v>919</v>
      </c>
      <c r="AO21" s="459">
        <f t="shared" si="15"/>
        <v>304.13683714803847</v>
      </c>
      <c r="AP21" s="459">
        <f t="shared" si="16"/>
        <v>239.80683714803845</v>
      </c>
      <c r="AQ21" s="463">
        <f t="shared" si="17"/>
        <v>1.6760355575563395</v>
      </c>
      <c r="AR21" s="464">
        <f t="shared" si="18"/>
        <v>0.26094323955172843</v>
      </c>
      <c r="AS21" s="487" t="str">
        <f>IFERROR(_xlfn.XLOOKUP(A21,'[2]Рассчет акции'!$A:$A,'[2]Рассчет акции'!$BH:$BH),0)</f>
        <v>*</v>
      </c>
      <c r="AT21" s="487">
        <f>IFERROR(_xlfn.XLOOKUP($A21,'[2]Рассчет акции'!$A:$A,'[2]Рассчет акции'!$BC:$BC),0)</f>
        <v>901</v>
      </c>
      <c r="AU21" s="409">
        <f t="shared" si="19"/>
        <v>0.24757695576918809</v>
      </c>
      <c r="AV21" s="407">
        <f t="shared" si="20"/>
        <v>286.13683714803847</v>
      </c>
      <c r="AW21" s="407">
        <f t="shared" si="21"/>
        <v>223.06683714803847</v>
      </c>
      <c r="AX21" s="409">
        <f t="shared" si="22"/>
        <v>1.5590379124217559</v>
      </c>
      <c r="AY21" s="293">
        <f>IFERROR(_xlfn.XLOOKUP(E21,'[2]Рассчет акции'!$D:$D,'[2]Рассчет акции'!$BM:$BM),0)</f>
        <v>56</v>
      </c>
      <c r="AZ21" s="203">
        <f>IFERROR(_xlfn.XLOOKUP(E21,'[2]Рассчет акции'!$D:$D,'[2]Рассчет акции'!$BN:$BN),0)</f>
        <v>368</v>
      </c>
      <c r="BA21" s="294">
        <f t="shared" si="23"/>
        <v>6.2985829029442586</v>
      </c>
      <c r="BB21" s="292"/>
      <c r="BC21" s="497" t="e">
        <f xml:space="preserve"> _xlfn.XLOOKUP(B21,#REF!,#REF!,0)</f>
        <v>#REF!</v>
      </c>
      <c r="BD21" s="500" t="e">
        <f t="shared" si="52"/>
        <v>#REF!</v>
      </c>
      <c r="BE21" s="501">
        <f>_xlfn.XLOOKUP($B21,'[1]Рассчет акции'!$A:$A,'[1]Рассчет акции'!$J:$J)</f>
        <v>0.35013550135501359</v>
      </c>
      <c r="BF21" s="191" t="e">
        <f t="shared" si="44"/>
        <v>#REF!</v>
      </c>
      <c r="BG21" s="192">
        <f t="shared" si="24"/>
        <v>0</v>
      </c>
      <c r="BH21" s="193">
        <v>0.37</v>
      </c>
      <c r="BI21" s="194" t="e">
        <f t="shared" si="25"/>
        <v>#REF!</v>
      </c>
      <c r="BJ21" s="195" t="e">
        <f t="shared" si="45"/>
        <v>#REF!</v>
      </c>
      <c r="BK21" s="422">
        <f t="shared" si="26"/>
        <v>0</v>
      </c>
      <c r="BL21" s="196">
        <f>(IF(K21&gt;$BL$3,('Тарифы ОЗОН'!$G$3+ROUNDUP(K21-$BL$3,0)*'Тарифы ОЗОН'!$G$4),'Тарифы ОЗОН'!$G$3))</f>
        <v>46.77</v>
      </c>
      <c r="BM21" s="196">
        <f t="shared" si="27"/>
        <v>35</v>
      </c>
      <c r="BN21" s="197">
        <f>_xlfn.XLOOKUP(BM21,'Тарифы ОЗОН'!$A:$A,'Тарифы ОЗОН'!$B:$B)</f>
        <v>1.32</v>
      </c>
      <c r="BO21" s="198">
        <f>_xlfn.XLOOKUP(BM21,'Тарифы ОЗОН'!$A:$A,'Тарифы ОЗОН'!C:C)</f>
        <v>1.6E-2</v>
      </c>
      <c r="BP21" s="199">
        <f t="shared" si="28"/>
        <v>25</v>
      </c>
      <c r="BQ21" s="199" t="e">
        <f t="shared" si="46"/>
        <v>#REF!</v>
      </c>
      <c r="BR21" s="359">
        <f t="shared" si="47"/>
        <v>0.85</v>
      </c>
      <c r="BS21" s="199" t="e">
        <f t="shared" si="48"/>
        <v>#REF!</v>
      </c>
      <c r="BT21" s="200">
        <f t="shared" si="29"/>
        <v>0</v>
      </c>
      <c r="BU21" s="262" t="e">
        <f t="shared" si="30"/>
        <v>#REF!</v>
      </c>
      <c r="BV21" s="149" t="e">
        <f t="shared" si="31"/>
        <v>#REF!</v>
      </c>
      <c r="BW21" s="291">
        <f t="shared" si="32"/>
        <v>0</v>
      </c>
      <c r="BX21" s="201">
        <f t="shared" si="33"/>
        <v>0</v>
      </c>
      <c r="BY21" s="201" t="e">
        <f t="shared" si="34"/>
        <v>#REF!</v>
      </c>
      <c r="BZ21" s="202">
        <f t="shared" si="35"/>
        <v>0</v>
      </c>
      <c r="CA21" s="425">
        <v>839</v>
      </c>
      <c r="CB21" s="426" t="e">
        <f t="shared" si="49"/>
        <v>#REF!</v>
      </c>
      <c r="CC21" s="427" t="e">
        <f t="shared" si="53"/>
        <v>#REF!</v>
      </c>
      <c r="CD21" s="429" t="e">
        <f t="shared" si="36"/>
        <v>#REF!</v>
      </c>
      <c r="CE21" s="429">
        <f t="shared" si="50"/>
        <v>0</v>
      </c>
      <c r="CF21" s="277">
        <f>_xlfn.XLOOKUP(B21,'[1]Рассчет акции'!$A:$A,'[1]Рассчет акции'!$R:$R,0)</f>
        <v>0</v>
      </c>
      <c r="CG21" s="360">
        <f>_xlfn.XLOOKUP(B21,'[1]Рассчет акции'!$A:$A,'[1]Рассчет акции'!$M:$M,0)</f>
        <v>835</v>
      </c>
      <c r="CH21" s="291">
        <f t="shared" si="54"/>
        <v>0</v>
      </c>
      <c r="CI21" s="290" t="e">
        <f t="shared" si="55"/>
        <v>#REF!</v>
      </c>
      <c r="CJ21" s="290" t="e">
        <f t="shared" si="56"/>
        <v>#REF!</v>
      </c>
      <c r="CK21" s="291" t="e">
        <f t="shared" si="38"/>
        <v>#REF!</v>
      </c>
      <c r="CL21" s="203">
        <f>_xlfn.XLOOKUP(B21,'[1]Рассчет акции'!$A:$A,'[1]Рассчет акции'!$W:$W,0)</f>
        <v>18</v>
      </c>
      <c r="CM21" s="424">
        <f>_xlfn.XLOOKUP(B21,'[1]Рассчет акции'!$A:$A,'[1]Рассчет акции'!$X:$X,0)</f>
        <v>126</v>
      </c>
      <c r="CN21" s="294" t="e">
        <f t="shared" si="39"/>
        <v>#REF!</v>
      </c>
      <c r="CO21" s="433">
        <f t="shared" si="51"/>
        <v>755.1</v>
      </c>
      <c r="CP21" s="507">
        <f>_xlfn.XLOOKUP(B21,'[1]Рассчет акции'!$A:$A,'[1]Рассчет акции'!$Z:$Z,0)</f>
        <v>0</v>
      </c>
    </row>
    <row r="22" spans="1:94" ht="25.5" customHeight="1" x14ac:dyDescent="0.25">
      <c r="A22" s="162">
        <v>275208801</v>
      </c>
      <c r="B22" s="164">
        <v>2415742511</v>
      </c>
      <c r="C22" s="162" t="s">
        <v>115</v>
      </c>
      <c r="D22" s="163" t="s">
        <v>153</v>
      </c>
      <c r="E22" s="164">
        <v>2041591042329</v>
      </c>
      <c r="F22" s="284">
        <f t="shared" si="57"/>
        <v>165.07980285196152</v>
      </c>
      <c r="G22" s="147">
        <f t="shared" si="1"/>
        <v>0.22775910989509041</v>
      </c>
      <c r="H22" s="439">
        <f>IF(_xlfn.XLOOKUP($C22,'Юнит Карго'!$A:$A,'Юнит Карго'!$G:$G)=0,_xlfn.XLOOKUP(E22,'Себес 1С текущ'!G:G,'Себес 1С текущ'!H:H),_xlfn.XLOOKUP($C22,'Юнит Карго'!$A:$A,'Юнит Карго'!$P:$P,0,0))</f>
        <v>143.07980285196152</v>
      </c>
      <c r="I22" s="268">
        <f>_xlfn.XLOOKUP(E22,[3]ТЗ_ФФ!$D:$D,[3]ТЗ_ФФ!$BG:$BG,0)</f>
        <v>14</v>
      </c>
      <c r="J22" s="269">
        <f t="shared" si="2"/>
        <v>8</v>
      </c>
      <c r="K22" s="273">
        <f t="shared" si="3"/>
        <v>0.99</v>
      </c>
      <c r="L22" s="146">
        <v>55</v>
      </c>
      <c r="M22" s="146">
        <v>6</v>
      </c>
      <c r="N22" s="146">
        <v>3</v>
      </c>
      <c r="O22" s="150">
        <f>_xlfn.XLOOKUP($C22,'Юнит Карго'!$A:$A,'Юнит Карго'!$T:$T,0,0)</f>
        <v>0.16</v>
      </c>
      <c r="P22" s="127" t="s">
        <v>75</v>
      </c>
      <c r="Q22" s="146"/>
      <c r="R22" s="292"/>
      <c r="S22" s="285">
        <f t="shared" si="4"/>
        <v>724.8</v>
      </c>
      <c r="T22" s="286" t="str">
        <f>_xlfn.XLOOKUP(E22,'[2]Рассчет акции'!$D:$D,'[2]Рассчет акции'!$G:$G,0)</f>
        <v>1208</v>
      </c>
      <c r="U22" s="417">
        <f>_xlfn.XLOOKUP(E22,'[2]Рассчет акции'!$D:$D,'[2]Рассчет акции'!$F:$F,0)</f>
        <v>0.4</v>
      </c>
      <c r="V22" s="235">
        <f t="shared" si="40"/>
        <v>387.54943999999995</v>
      </c>
      <c r="W22" s="288">
        <f t="shared" si="41"/>
        <v>0.53469845474613686</v>
      </c>
      <c r="X22" s="289">
        <f>IF(K22&gt;1,('Тарифы ВБ'!$B$9+(K22-1)*'Тарифы ВБ'!$B$10)*'Тарифы ВБ'!$B$15*'Тарифы ВБ'!$B$12+S22*'Тарифы ВБ'!$B$13,'Тарифы ВБ'!$B$8*'Тарифы ВБ'!$B$15*'Тарифы ВБ'!$B$12+S22*'Тарифы ВБ'!$B$13)</f>
        <v>73.493440000000007</v>
      </c>
      <c r="Y22" s="289">
        <f>IF(K22&gt;1,'Тарифы ВБ'!$B$9+(K22-1)*'Тарифы ВБ'!$B$10,'Тарифы ВБ'!$B$8)</f>
        <v>32</v>
      </c>
      <c r="Z22" s="289">
        <f t="shared" si="42"/>
        <v>105.49344000000001</v>
      </c>
      <c r="AA22" s="236">
        <f t="shared" si="43"/>
        <v>0.14554834437086095</v>
      </c>
      <c r="AB22" s="237">
        <f>IF(K22&gt;1,'Тарифы ВБ'!$B$14*'Тарифы ВБ'!$B$16*'Тарифы ВБ'!$B$15+(K22-1)*'Тарифы ВБ'!$B$14,'Тарифы ВБ'!$B$14*'Тарифы ВБ'!B$16*'Тарифы ВБ'!$B$15)</f>
        <v>32</v>
      </c>
      <c r="AC22" s="287">
        <f t="shared" si="5"/>
        <v>137.49344000000002</v>
      </c>
      <c r="AD22" s="240">
        <f t="shared" si="6"/>
        <v>0.18969845474613692</v>
      </c>
      <c r="AE22" s="241">
        <v>0.315</v>
      </c>
      <c r="AF22" s="289">
        <f t="shared" si="7"/>
        <v>228.31199999999998</v>
      </c>
      <c r="AG22" s="364">
        <f t="shared" si="8"/>
        <v>0</v>
      </c>
      <c r="AH22" s="364">
        <f t="shared" si="9"/>
        <v>21.743999999999996</v>
      </c>
      <c r="AI22" s="149">
        <f t="shared" si="10"/>
        <v>552.62924285196141</v>
      </c>
      <c r="AJ22" s="447">
        <f t="shared" si="11"/>
        <v>0.16754243535877283</v>
      </c>
      <c r="AK22" s="450">
        <f t="shared" si="12"/>
        <v>172.17075714803855</v>
      </c>
      <c r="AL22" s="450">
        <f t="shared" si="13"/>
        <v>121.43475714803854</v>
      </c>
      <c r="AM22" s="447">
        <f t="shared" si="14"/>
        <v>0.84872046737219675</v>
      </c>
      <c r="AN22" s="458">
        <v>919</v>
      </c>
      <c r="AO22" s="459">
        <f t="shared" si="15"/>
        <v>366.37075714803859</v>
      </c>
      <c r="AP22" s="459">
        <f t="shared" si="16"/>
        <v>302.04075714803855</v>
      </c>
      <c r="AQ22" s="463">
        <f t="shared" si="17"/>
        <v>2.1109950609908728</v>
      </c>
      <c r="AR22" s="464">
        <f t="shared" si="18"/>
        <v>0.32866241256587436</v>
      </c>
      <c r="AS22" s="487" t="str">
        <f>IFERROR(_xlfn.XLOOKUP(A22,'[2]Рассчет акции'!$A:$A,'[2]Рассчет акции'!$BH:$BH),0)</f>
        <v>*</v>
      </c>
      <c r="AT22" s="487">
        <f>IFERROR(_xlfn.XLOOKUP($A22,'[2]Рассчет акции'!$A:$A,'[2]Рассчет акции'!$BC:$BC),0)</f>
        <v>725</v>
      </c>
      <c r="AU22" s="409">
        <f t="shared" si="19"/>
        <v>0.16775276848005324</v>
      </c>
      <c r="AV22" s="407">
        <f t="shared" si="20"/>
        <v>172.37075714803859</v>
      </c>
      <c r="AW22" s="407">
        <f t="shared" si="21"/>
        <v>121.62075714803859</v>
      </c>
      <c r="AX22" s="409">
        <f t="shared" si="22"/>
        <v>0.8500204412070258</v>
      </c>
      <c r="AY22" s="293">
        <f>IFERROR(_xlfn.XLOOKUP(E22,'[2]Рассчет акции'!$D:$D,'[2]Рассчет акции'!$BM:$BM),0)</f>
        <v>58</v>
      </c>
      <c r="AZ22" s="203">
        <f>IFERROR(_xlfn.XLOOKUP(E22,'[2]Рассчет акции'!$D:$D,'[2]Рассчет акции'!$BN:$BN),0)</f>
        <v>215</v>
      </c>
      <c r="BA22" s="294">
        <f t="shared" si="23"/>
        <v>5.0657044918486447</v>
      </c>
      <c r="BB22" s="292"/>
      <c r="BC22" s="497" t="e">
        <f xml:space="preserve"> _xlfn.XLOOKUP(B22,#REF!,#REF!,0)</f>
        <v>#REF!</v>
      </c>
      <c r="BD22" s="500" t="e">
        <f t="shared" si="52"/>
        <v>#REF!</v>
      </c>
      <c r="BE22" s="501">
        <f>_xlfn.XLOOKUP($B22,'[1]Рассчет акции'!$A:$A,'[1]Рассчет акции'!$J:$J)</f>
        <v>0.35013550135501359</v>
      </c>
      <c r="BF22" s="191" t="e">
        <f t="shared" si="44"/>
        <v>#REF!</v>
      </c>
      <c r="BG22" s="192">
        <f t="shared" si="24"/>
        <v>0</v>
      </c>
      <c r="BH22" s="193">
        <v>0.37</v>
      </c>
      <c r="BI22" s="194" t="e">
        <f t="shared" si="25"/>
        <v>#REF!</v>
      </c>
      <c r="BJ22" s="195" t="e">
        <f t="shared" si="45"/>
        <v>#REF!</v>
      </c>
      <c r="BK22" s="422">
        <f t="shared" si="26"/>
        <v>0</v>
      </c>
      <c r="BL22" s="196">
        <f>(IF(K22&gt;$BL$3,('Тарифы ОЗОН'!$G$3+ROUNDUP(K22-$BL$3,0)*'Тарифы ОЗОН'!$G$4),'Тарифы ОЗОН'!$G$3))</f>
        <v>46.77</v>
      </c>
      <c r="BM22" s="196">
        <f t="shared" si="27"/>
        <v>35</v>
      </c>
      <c r="BN22" s="197">
        <f>_xlfn.XLOOKUP(BM22,'Тарифы ОЗОН'!$A:$A,'Тарифы ОЗОН'!$B:$B)</f>
        <v>1.32</v>
      </c>
      <c r="BO22" s="198">
        <f>_xlfn.XLOOKUP(BM22,'Тарифы ОЗОН'!$A:$A,'Тарифы ОЗОН'!C:C)</f>
        <v>1.6E-2</v>
      </c>
      <c r="BP22" s="199">
        <f t="shared" si="28"/>
        <v>25</v>
      </c>
      <c r="BQ22" s="199" t="e">
        <f t="shared" si="46"/>
        <v>#REF!</v>
      </c>
      <c r="BR22" s="359">
        <f t="shared" si="47"/>
        <v>0.85</v>
      </c>
      <c r="BS22" s="199" t="e">
        <f t="shared" si="48"/>
        <v>#REF!</v>
      </c>
      <c r="BT22" s="200">
        <f t="shared" si="29"/>
        <v>0</v>
      </c>
      <c r="BU22" s="262" t="e">
        <f t="shared" si="30"/>
        <v>#REF!</v>
      </c>
      <c r="BV22" s="149" t="e">
        <f t="shared" si="31"/>
        <v>#REF!</v>
      </c>
      <c r="BW22" s="291">
        <f t="shared" si="32"/>
        <v>0</v>
      </c>
      <c r="BX22" s="201">
        <f t="shared" si="33"/>
        <v>0</v>
      </c>
      <c r="BY22" s="201" t="e">
        <f t="shared" si="34"/>
        <v>#REF!</v>
      </c>
      <c r="BZ22" s="202">
        <f t="shared" si="35"/>
        <v>0</v>
      </c>
      <c r="CA22" s="425">
        <v>839</v>
      </c>
      <c r="CB22" s="426" t="e">
        <f t="shared" si="49"/>
        <v>#REF!</v>
      </c>
      <c r="CC22" s="427" t="e">
        <f t="shared" si="53"/>
        <v>#REF!</v>
      </c>
      <c r="CD22" s="429" t="e">
        <f t="shared" si="36"/>
        <v>#REF!</v>
      </c>
      <c r="CE22" s="429">
        <f t="shared" si="50"/>
        <v>0</v>
      </c>
      <c r="CF22" s="277">
        <f>_xlfn.XLOOKUP(B22,'[1]Рассчет акции'!$A:$A,'[1]Рассчет акции'!$R:$R,0)</f>
        <v>0</v>
      </c>
      <c r="CG22" s="360">
        <f>_xlfn.XLOOKUP(B22,'[1]Рассчет акции'!$A:$A,'[1]Рассчет акции'!$M:$M,0)</f>
        <v>887</v>
      </c>
      <c r="CH22" s="291">
        <f t="shared" si="54"/>
        <v>0</v>
      </c>
      <c r="CI22" s="290" t="e">
        <f t="shared" si="55"/>
        <v>#REF!</v>
      </c>
      <c r="CJ22" s="290" t="e">
        <f t="shared" si="56"/>
        <v>#REF!</v>
      </c>
      <c r="CK22" s="291" t="e">
        <f t="shared" si="38"/>
        <v>#REF!</v>
      </c>
      <c r="CL22" s="203">
        <f>_xlfn.XLOOKUP(B22,'[1]Рассчет акции'!$A:$A,'[1]Рассчет акции'!$W:$W,0)</f>
        <v>23</v>
      </c>
      <c r="CM22" s="424">
        <f>_xlfn.XLOOKUP(B22,'[1]Рассчет акции'!$A:$A,'[1]Рассчет акции'!$X:$X,0)</f>
        <v>999</v>
      </c>
      <c r="CN22" s="294" t="e">
        <f t="shared" si="39"/>
        <v>#REF!</v>
      </c>
      <c r="CO22" s="433">
        <f t="shared" si="51"/>
        <v>755.1</v>
      </c>
      <c r="CP22" s="507">
        <f>_xlfn.XLOOKUP(B22,'[1]Рассчет акции'!$A:$A,'[1]Рассчет акции'!$Z:$Z,0)</f>
        <v>0</v>
      </c>
    </row>
    <row r="23" spans="1:94" ht="25.5" customHeight="1" x14ac:dyDescent="0.25">
      <c r="A23" s="162">
        <v>275208802</v>
      </c>
      <c r="B23" s="164">
        <v>2415742636</v>
      </c>
      <c r="C23" s="162" t="s">
        <v>114</v>
      </c>
      <c r="D23" s="163" t="s">
        <v>152</v>
      </c>
      <c r="E23" s="164">
        <v>2041591055954</v>
      </c>
      <c r="F23" s="284">
        <f t="shared" si="57"/>
        <v>165.07980285196152</v>
      </c>
      <c r="G23" s="147">
        <f t="shared" si="1"/>
        <v>0.1796102740201953</v>
      </c>
      <c r="H23" s="439">
        <f>IF(_xlfn.XLOOKUP($C23,'Юнит Карго'!$A:$A,'Юнит Карго'!$G:$G)=0,_xlfn.XLOOKUP(E23,'Себес 1С текущ'!G:G,'Себес 1С текущ'!H:H),_xlfn.XLOOKUP($C23,'Юнит Карго'!$A:$A,'Юнит Карго'!$P:$P,0,0))</f>
        <v>143.07980285196152</v>
      </c>
      <c r="I23" s="268">
        <f>_xlfn.XLOOKUP(E23,[3]ТЗ_ФФ!$D:$D,[3]ТЗ_ФФ!$BG:$BG,0)</f>
        <v>14</v>
      </c>
      <c r="J23" s="269">
        <f t="shared" si="2"/>
        <v>8</v>
      </c>
      <c r="K23" s="273">
        <f t="shared" si="3"/>
        <v>0.99</v>
      </c>
      <c r="L23" s="146">
        <v>55</v>
      </c>
      <c r="M23" s="146">
        <v>6</v>
      </c>
      <c r="N23" s="146">
        <v>3</v>
      </c>
      <c r="O23" s="150">
        <f>_xlfn.XLOOKUP($C23,'Юнит Карго'!$A:$A,'Юнит Карго'!$T:$T,0,0)</f>
        <v>0.16</v>
      </c>
      <c r="P23" s="127" t="s">
        <v>75</v>
      </c>
      <c r="Q23" s="146"/>
      <c r="R23" s="292"/>
      <c r="S23" s="285">
        <f t="shared" si="4"/>
        <v>919.1</v>
      </c>
      <c r="T23" s="286" t="str">
        <f>_xlfn.XLOOKUP(E23,'[2]Рассчет акции'!$D:$D,'[2]Рассчет акции'!$G:$G,0)</f>
        <v>1313</v>
      </c>
      <c r="U23" s="417">
        <f>_xlfn.XLOOKUP(E23,'[2]Рассчет акции'!$D:$D,'[2]Рассчет акции'!$F:$F,0)</f>
        <v>0.3</v>
      </c>
      <c r="V23" s="235">
        <f t="shared" si="40"/>
        <v>456.09848</v>
      </c>
      <c r="W23" s="288">
        <f t="shared" si="41"/>
        <v>0.49624467413774342</v>
      </c>
      <c r="X23" s="289">
        <f>IF(K23&gt;1,('Тарифы ВБ'!$B$9+(K23-1)*'Тарифы ВБ'!$B$10)*'Тарифы ВБ'!$B$15*'Тарифы ВБ'!$B$12+S23*'Тарифы ВБ'!$B$13,'Тарифы ВБ'!$B$8*'Тарифы ВБ'!$B$15*'Тарифы ВБ'!$B$12+S23*'Тарифы ВБ'!$B$13)</f>
        <v>75.008980000000008</v>
      </c>
      <c r="Y23" s="289">
        <f>IF(K23&gt;1,'Тарифы ВБ'!$B$9+(K23-1)*'Тарифы ВБ'!$B$10,'Тарифы ВБ'!$B$8)</f>
        <v>32</v>
      </c>
      <c r="Z23" s="289">
        <f t="shared" si="42"/>
        <v>107.00898000000001</v>
      </c>
      <c r="AA23" s="236">
        <f t="shared" si="43"/>
        <v>0.11642800565770864</v>
      </c>
      <c r="AB23" s="237">
        <f>IF(K23&gt;1,'Тарифы ВБ'!$B$14*'Тарифы ВБ'!$B$16*'Тарифы ВБ'!$B$15+(K23-1)*'Тарифы ВБ'!$B$14,'Тарифы ВБ'!$B$14*'Тарифы ВБ'!B$16*'Тарифы ВБ'!$B$15)</f>
        <v>32</v>
      </c>
      <c r="AC23" s="287">
        <f t="shared" si="5"/>
        <v>139.00898000000001</v>
      </c>
      <c r="AD23" s="240">
        <f t="shared" si="6"/>
        <v>0.15124467413774345</v>
      </c>
      <c r="AE23" s="241">
        <v>0.315</v>
      </c>
      <c r="AF23" s="289">
        <f t="shared" si="7"/>
        <v>289.51650000000001</v>
      </c>
      <c r="AG23" s="364">
        <f t="shared" si="8"/>
        <v>0</v>
      </c>
      <c r="AH23" s="364">
        <f t="shared" si="9"/>
        <v>27.573</v>
      </c>
      <c r="AI23" s="149">
        <f t="shared" si="10"/>
        <v>621.17828285196151</v>
      </c>
      <c r="AJ23" s="447">
        <f t="shared" si="11"/>
        <v>0.25414505184206126</v>
      </c>
      <c r="AK23" s="450">
        <f t="shared" si="12"/>
        <v>297.92171714803851</v>
      </c>
      <c r="AL23" s="450">
        <f t="shared" si="13"/>
        <v>233.58471714803852</v>
      </c>
      <c r="AM23" s="447">
        <f t="shared" si="14"/>
        <v>1.6325484973565314</v>
      </c>
      <c r="AN23" s="458">
        <v>919</v>
      </c>
      <c r="AO23" s="459">
        <f t="shared" si="15"/>
        <v>297.82171714803849</v>
      </c>
      <c r="AP23" s="459">
        <f t="shared" si="16"/>
        <v>233.49171714803848</v>
      </c>
      <c r="AQ23" s="463">
        <f t="shared" si="17"/>
        <v>1.6318985104391166</v>
      </c>
      <c r="AR23" s="464">
        <f t="shared" si="18"/>
        <v>0.2540715094102704</v>
      </c>
      <c r="AS23" s="487">
        <f>IFERROR(_xlfn.XLOOKUP(A23,'[2]Рассчет акции'!$A:$A,'[2]Рассчет акции'!$BH:$BH),0)</f>
        <v>0</v>
      </c>
      <c r="AT23" s="487">
        <f>IFERROR(_xlfn.XLOOKUP($A23,'[2]Рассчет акции'!$A:$A,'[2]Рассчет акции'!$BC:$BC),0)</f>
        <v>0</v>
      </c>
      <c r="AU23" s="409">
        <f t="shared" si="19"/>
        <v>0</v>
      </c>
      <c r="AV23" s="407">
        <f t="shared" si="20"/>
        <v>-621.17828285196151</v>
      </c>
      <c r="AW23" s="407">
        <f t="shared" si="21"/>
        <v>-621.17828285196151</v>
      </c>
      <c r="AX23" s="409">
        <f t="shared" si="22"/>
        <v>-4.3414812605987994</v>
      </c>
      <c r="AY23" s="293">
        <f>IFERROR(_xlfn.XLOOKUP(E23,'[2]Рассчет акции'!$D:$D,'[2]Рассчет акции'!$BM:$BM),0)</f>
        <v>60</v>
      </c>
      <c r="AZ23" s="203">
        <f>IFERROR(_xlfn.XLOOKUP(E23,'[2]Рассчет акции'!$D:$D,'[2]Рассчет акции'!$BN:$BN),0)</f>
        <v>999</v>
      </c>
      <c r="BA23" s="294">
        <f t="shared" si="23"/>
        <v>6.4236879117799246</v>
      </c>
      <c r="BB23" s="292"/>
      <c r="BC23" s="497" t="e">
        <f xml:space="preserve"> _xlfn.XLOOKUP(B23,#REF!,#REF!,0)</f>
        <v>#REF!</v>
      </c>
      <c r="BD23" s="500" t="e">
        <f t="shared" si="52"/>
        <v>#REF!</v>
      </c>
      <c r="BE23" s="501">
        <f>_xlfn.XLOOKUP($B23,'[1]Рассчет акции'!$A:$A,'[1]Рассчет акции'!$J:$J)</f>
        <v>0.35013550135501359</v>
      </c>
      <c r="BF23" s="191" t="e">
        <f t="shared" si="44"/>
        <v>#REF!</v>
      </c>
      <c r="BG23" s="192">
        <f t="shared" si="24"/>
        <v>0</v>
      </c>
      <c r="BH23" s="193">
        <v>0.37</v>
      </c>
      <c r="BI23" s="194" t="e">
        <f t="shared" si="25"/>
        <v>#REF!</v>
      </c>
      <c r="BJ23" s="195" t="e">
        <f t="shared" si="45"/>
        <v>#REF!</v>
      </c>
      <c r="BK23" s="422">
        <f t="shared" si="26"/>
        <v>0</v>
      </c>
      <c r="BL23" s="196">
        <f>(IF(K23&gt;$BL$3,('Тарифы ОЗОН'!$G$3+ROUNDUP(K23-$BL$3,0)*'Тарифы ОЗОН'!$G$4),'Тарифы ОЗОН'!$G$3))</f>
        <v>46.77</v>
      </c>
      <c r="BM23" s="196">
        <f t="shared" si="27"/>
        <v>35</v>
      </c>
      <c r="BN23" s="197">
        <f>_xlfn.XLOOKUP(BM23,'Тарифы ОЗОН'!$A:$A,'Тарифы ОЗОН'!$B:$B)</f>
        <v>1.32</v>
      </c>
      <c r="BO23" s="198">
        <f>_xlfn.XLOOKUP(BM23,'Тарифы ОЗОН'!$A:$A,'Тарифы ОЗОН'!C:C)</f>
        <v>1.6E-2</v>
      </c>
      <c r="BP23" s="199">
        <f t="shared" si="28"/>
        <v>25</v>
      </c>
      <c r="BQ23" s="199" t="e">
        <f t="shared" si="46"/>
        <v>#REF!</v>
      </c>
      <c r="BR23" s="359">
        <f t="shared" si="47"/>
        <v>0.85</v>
      </c>
      <c r="BS23" s="199" t="e">
        <f t="shared" si="48"/>
        <v>#REF!</v>
      </c>
      <c r="BT23" s="200">
        <f t="shared" si="29"/>
        <v>0</v>
      </c>
      <c r="BU23" s="262" t="e">
        <f t="shared" si="30"/>
        <v>#REF!</v>
      </c>
      <c r="BV23" s="149" t="e">
        <f t="shared" si="31"/>
        <v>#REF!</v>
      </c>
      <c r="BW23" s="291">
        <f t="shared" si="32"/>
        <v>0</v>
      </c>
      <c r="BX23" s="201">
        <f t="shared" si="33"/>
        <v>0</v>
      </c>
      <c r="BY23" s="201" t="e">
        <f t="shared" si="34"/>
        <v>#REF!</v>
      </c>
      <c r="BZ23" s="202">
        <f t="shared" si="35"/>
        <v>0</v>
      </c>
      <c r="CA23" s="425">
        <v>839</v>
      </c>
      <c r="CB23" s="426" t="e">
        <f t="shared" si="49"/>
        <v>#REF!</v>
      </c>
      <c r="CC23" s="427" t="e">
        <f t="shared" si="53"/>
        <v>#REF!</v>
      </c>
      <c r="CD23" s="429" t="e">
        <f t="shared" si="36"/>
        <v>#REF!</v>
      </c>
      <c r="CE23" s="429">
        <f t="shared" si="50"/>
        <v>0</v>
      </c>
      <c r="CF23" s="277">
        <f>_xlfn.XLOOKUP(B23,'[1]Рассчет акции'!$A:$A,'[1]Рассчет акции'!$R:$R,0)</f>
        <v>0</v>
      </c>
      <c r="CG23" s="360">
        <f>_xlfn.XLOOKUP(B23,'[1]Рассчет акции'!$A:$A,'[1]Рассчет акции'!$M:$M,0)</f>
        <v>887</v>
      </c>
      <c r="CH23" s="291">
        <f t="shared" si="54"/>
        <v>0</v>
      </c>
      <c r="CI23" s="290" t="e">
        <f t="shared" si="55"/>
        <v>#REF!</v>
      </c>
      <c r="CJ23" s="290" t="e">
        <f t="shared" si="56"/>
        <v>#REF!</v>
      </c>
      <c r="CK23" s="291" t="e">
        <f t="shared" si="38"/>
        <v>#REF!</v>
      </c>
      <c r="CL23" s="203">
        <f>_xlfn.XLOOKUP(B23,'[1]Рассчет акции'!$A:$A,'[1]Рассчет акции'!$W:$W,0)</f>
        <v>21</v>
      </c>
      <c r="CM23" s="424">
        <f>_xlfn.XLOOKUP(B23,'[1]Рассчет акции'!$A:$A,'[1]Рассчет акции'!$X:$X,0)</f>
        <v>999</v>
      </c>
      <c r="CN23" s="294" t="e">
        <f t="shared" si="39"/>
        <v>#REF!</v>
      </c>
      <c r="CO23" s="433">
        <f t="shared" si="51"/>
        <v>755.1</v>
      </c>
      <c r="CP23" s="507">
        <f>_xlfn.XLOOKUP(B23,'[1]Рассчет акции'!$A:$A,'[1]Рассчет акции'!$Z:$Z,0)</f>
        <v>0</v>
      </c>
    </row>
    <row r="24" spans="1:94" ht="25.5" customHeight="1" x14ac:dyDescent="0.25">
      <c r="A24" s="162">
        <v>236072835</v>
      </c>
      <c r="B24" s="164">
        <v>1980924906</v>
      </c>
      <c r="C24" s="162" t="s">
        <v>422</v>
      </c>
      <c r="D24" s="163" t="s">
        <v>396</v>
      </c>
      <c r="E24" s="164">
        <v>2040278804496</v>
      </c>
      <c r="F24" s="284">
        <f t="shared" si="57"/>
        <v>73.802450712990378</v>
      </c>
      <c r="G24" s="147">
        <f t="shared" si="1"/>
        <v>0.12362219549914637</v>
      </c>
      <c r="H24" s="439">
        <f>IF(_xlfn.XLOOKUP($C24,'Юнит Карго'!$A:$A,'Юнит Карго'!$G:$G)=0,_xlfn.XLOOKUP(E24,'Себес 1С текущ'!G:G,'Себес 1С текущ'!H:H),_xlfn.XLOOKUP($C24,'Юнит Карго'!$A:$A,'Юнит Карго'!$P:$P,0,0))</f>
        <v>51.802450712990378</v>
      </c>
      <c r="I24" s="268">
        <f>_xlfn.XLOOKUP(E24,[3]ТЗ_ФФ!$D:$D,[3]ТЗ_ФФ!$BG:$BG,0)</f>
        <v>14</v>
      </c>
      <c r="J24" s="269">
        <f t="shared" si="2"/>
        <v>8</v>
      </c>
      <c r="K24" s="273">
        <f t="shared" si="3"/>
        <v>0.34300000000000003</v>
      </c>
      <c r="L24" s="146">
        <v>7</v>
      </c>
      <c r="M24" s="146">
        <v>7</v>
      </c>
      <c r="N24" s="146">
        <v>7</v>
      </c>
      <c r="O24" s="150">
        <f>_xlfn.XLOOKUP($C24,'Юнит Карго'!$A:$A,'Юнит Карго'!$T:$T,0,0)</f>
        <v>0.04</v>
      </c>
      <c r="P24" s="127" t="s">
        <v>75</v>
      </c>
      <c r="Q24" s="146">
        <v>300</v>
      </c>
      <c r="R24" s="292"/>
      <c r="S24" s="285">
        <f t="shared" si="4"/>
        <v>597</v>
      </c>
      <c r="T24" s="286" t="str">
        <f>_xlfn.XLOOKUP(E24,'[2]Рассчет акции'!$D:$D,'[2]Рассчет акции'!$G:$G,0)</f>
        <v>995</v>
      </c>
      <c r="U24" s="417">
        <f>_xlfn.XLOOKUP(E24,'[2]Рассчет акции'!$D:$D,'[2]Рассчет акции'!$F:$F,0)</f>
        <v>0.4</v>
      </c>
      <c r="V24" s="235">
        <f t="shared" si="40"/>
        <v>342.46160000000003</v>
      </c>
      <c r="W24" s="288">
        <f t="shared" si="41"/>
        <v>0.57363752093802356</v>
      </c>
      <c r="X24" s="289">
        <f>IF(K24&gt;1,('Тарифы ВБ'!$B$9+(K24-1)*'Тарифы ВБ'!$B$10)*'Тарифы ВБ'!$B$15*'Тарифы ВБ'!$B$12+S24*'Тарифы ВБ'!$B$13,'Тарифы ВБ'!$B$8*'Тарифы ВБ'!$B$15*'Тарифы ВБ'!$B$12+S24*'Тарифы ВБ'!$B$13)</f>
        <v>72.496600000000001</v>
      </c>
      <c r="Y24" s="289">
        <f>IF(K24&gt;1,'Тарифы ВБ'!$B$9+(K24-1)*'Тарифы ВБ'!$B$10,'Тарифы ВБ'!$B$8)</f>
        <v>32</v>
      </c>
      <c r="Z24" s="289">
        <f t="shared" si="42"/>
        <v>104.4966</v>
      </c>
      <c r="AA24" s="236">
        <f t="shared" si="43"/>
        <v>0.17503618090452261</v>
      </c>
      <c r="AB24" s="237">
        <f>IF(K24&gt;1,'Тарифы ВБ'!$B$14*'Тарифы ВБ'!$B$16*'Тарифы ВБ'!$B$15+(K24-1)*'Тарифы ВБ'!$B$14,'Тарифы ВБ'!$B$14*'Тарифы ВБ'!B$16*'Тарифы ВБ'!$B$15)</f>
        <v>32</v>
      </c>
      <c r="AC24" s="287">
        <f t="shared" si="5"/>
        <v>136.4966</v>
      </c>
      <c r="AD24" s="240">
        <f t="shared" si="6"/>
        <v>0.22863752093802345</v>
      </c>
      <c r="AE24" s="241">
        <v>0.315</v>
      </c>
      <c r="AF24" s="289">
        <f t="shared" si="7"/>
        <v>188.05500000000001</v>
      </c>
      <c r="AG24" s="364">
        <f t="shared" si="8"/>
        <v>0</v>
      </c>
      <c r="AH24" s="364">
        <f t="shared" si="9"/>
        <v>17.91</v>
      </c>
      <c r="AI24" s="149">
        <f t="shared" si="10"/>
        <v>416.26405071299041</v>
      </c>
      <c r="AJ24" s="447">
        <f t="shared" si="11"/>
        <v>0.23274028356283011</v>
      </c>
      <c r="AK24" s="450">
        <f t="shared" si="12"/>
        <v>180.73594928700959</v>
      </c>
      <c r="AL24" s="450">
        <f t="shared" si="13"/>
        <v>138.94594928700957</v>
      </c>
      <c r="AM24" s="447">
        <f t="shared" si="14"/>
        <v>2.6822273343173402</v>
      </c>
      <c r="AN24" s="458">
        <v>599</v>
      </c>
      <c r="AO24" s="459">
        <f t="shared" si="15"/>
        <v>182.73594928700959</v>
      </c>
      <c r="AP24" s="459">
        <f t="shared" si="16"/>
        <v>140.80594928700958</v>
      </c>
      <c r="AQ24" s="463">
        <f t="shared" si="17"/>
        <v>2.7181329714908644</v>
      </c>
      <c r="AR24" s="464">
        <f t="shared" si="18"/>
        <v>0.23506836274959864</v>
      </c>
      <c r="AS24" s="487" t="str">
        <f>IFERROR(_xlfn.XLOOKUP(A24,'[2]Рассчет акции'!$A:$A,'[2]Рассчет акции'!$BH:$BH),0)</f>
        <v>*</v>
      </c>
      <c r="AT24" s="487">
        <f>IFERROR(_xlfn.XLOOKUP($A24,'[2]Рассчет акции'!$A:$A,'[2]Рассчет акции'!$BC:$BC),0)</f>
        <v>597</v>
      </c>
      <c r="AU24" s="409">
        <f t="shared" si="19"/>
        <v>0.23274028356283011</v>
      </c>
      <c r="AV24" s="407">
        <f t="shared" si="20"/>
        <v>180.73594928700959</v>
      </c>
      <c r="AW24" s="407">
        <f t="shared" si="21"/>
        <v>138.94594928700957</v>
      </c>
      <c r="AX24" s="409">
        <f t="shared" si="22"/>
        <v>2.6822273343173402</v>
      </c>
      <c r="AY24" s="293">
        <f>IFERROR(_xlfn.XLOOKUP(E24,'[2]Рассчет акции'!$D:$D,'[2]Рассчет акции'!$BM:$BM),0)</f>
        <v>427</v>
      </c>
      <c r="AZ24" s="203">
        <f>IFERROR(_xlfn.XLOOKUP(E24,'[2]Рассчет акции'!$D:$D,'[2]Рассчет акции'!$BN:$BN),0)</f>
        <v>256</v>
      </c>
      <c r="BA24" s="294">
        <f t="shared" si="23"/>
        <v>11.524551286340817</v>
      </c>
      <c r="BB24" s="292"/>
      <c r="BC24" s="497" t="e">
        <f xml:space="preserve"> _xlfn.XLOOKUP(B24,#REF!,#REF!,0)</f>
        <v>#REF!</v>
      </c>
      <c r="BD24" s="500" t="e">
        <f t="shared" si="52"/>
        <v>#REF!</v>
      </c>
      <c r="BE24" s="501">
        <f>_xlfn.XLOOKUP($B24,'[1]Рассчет акции'!$A:$A,'[1]Рассчет акции'!$J:$J)</f>
        <v>0.3498039215686275</v>
      </c>
      <c r="BF24" s="191" t="e">
        <f t="shared" si="44"/>
        <v>#REF!</v>
      </c>
      <c r="BG24" s="192">
        <f t="shared" si="24"/>
        <v>0</v>
      </c>
      <c r="BH24" s="193">
        <v>0.37</v>
      </c>
      <c r="BI24" s="194" t="e">
        <f t="shared" si="25"/>
        <v>#REF!</v>
      </c>
      <c r="BJ24" s="195" t="e">
        <f t="shared" si="45"/>
        <v>#REF!</v>
      </c>
      <c r="BK24" s="422">
        <f t="shared" si="26"/>
        <v>0</v>
      </c>
      <c r="BL24" s="196">
        <f>(IF(K24&gt;$BL$3,('Тарифы ОЗОН'!$G$3+ROUNDUP(K24-$BL$3,0)*'Тарифы ОЗОН'!$G$4),'Тарифы ОЗОН'!$G$3))</f>
        <v>46.77</v>
      </c>
      <c r="BM24" s="196">
        <f t="shared" si="27"/>
        <v>35</v>
      </c>
      <c r="BN24" s="197">
        <f>_xlfn.XLOOKUP(BM24,'Тарифы ОЗОН'!$A:$A,'Тарифы ОЗОН'!$B:$B)</f>
        <v>1.32</v>
      </c>
      <c r="BO24" s="198">
        <f>_xlfn.XLOOKUP(BM24,'Тарифы ОЗОН'!$A:$A,'Тарифы ОЗОН'!C:C)</f>
        <v>1.6E-2</v>
      </c>
      <c r="BP24" s="199">
        <f t="shared" si="28"/>
        <v>25</v>
      </c>
      <c r="BQ24" s="199" t="e">
        <f t="shared" si="46"/>
        <v>#REF!</v>
      </c>
      <c r="BR24" s="359">
        <f t="shared" si="47"/>
        <v>0.85</v>
      </c>
      <c r="BS24" s="199" t="e">
        <f t="shared" si="48"/>
        <v>#REF!</v>
      </c>
      <c r="BT24" s="200">
        <f t="shared" si="29"/>
        <v>0</v>
      </c>
      <c r="BU24" s="262" t="e">
        <f t="shared" si="30"/>
        <v>#REF!</v>
      </c>
      <c r="BV24" s="149" t="e">
        <f t="shared" si="31"/>
        <v>#REF!</v>
      </c>
      <c r="BW24" s="291">
        <f t="shared" si="32"/>
        <v>0</v>
      </c>
      <c r="BX24" s="201">
        <f t="shared" si="33"/>
        <v>0</v>
      </c>
      <c r="BY24" s="201" t="e">
        <f t="shared" si="34"/>
        <v>#REF!</v>
      </c>
      <c r="BZ24" s="202">
        <f t="shared" si="35"/>
        <v>0</v>
      </c>
      <c r="CA24" s="425">
        <v>600</v>
      </c>
      <c r="CB24" s="426" t="e">
        <f t="shared" si="49"/>
        <v>#REF!</v>
      </c>
      <c r="CC24" s="427" t="e">
        <f t="shared" si="53"/>
        <v>#REF!</v>
      </c>
      <c r="CD24" s="429" t="e">
        <f t="shared" si="36"/>
        <v>#REF!</v>
      </c>
      <c r="CE24" s="429">
        <f t="shared" si="50"/>
        <v>0</v>
      </c>
      <c r="CF24" s="277">
        <f>_xlfn.XLOOKUP(B24,'[1]Рассчет акции'!$A:$A,'[1]Рассчет акции'!$R:$R,0)</f>
        <v>0</v>
      </c>
      <c r="CG24" s="360">
        <f>_xlfn.XLOOKUP(B24,'[1]Рассчет акции'!$A:$A,'[1]Рассчет акции'!$M:$M,0)</f>
        <v>598</v>
      </c>
      <c r="CH24" s="291">
        <f t="shared" si="54"/>
        <v>0</v>
      </c>
      <c r="CI24" s="290" t="e">
        <f t="shared" si="55"/>
        <v>#REF!</v>
      </c>
      <c r="CJ24" s="290" t="e">
        <f t="shared" si="56"/>
        <v>#REF!</v>
      </c>
      <c r="CK24" s="291" t="e">
        <f t="shared" si="38"/>
        <v>#REF!</v>
      </c>
      <c r="CL24" s="203">
        <f>_xlfn.XLOOKUP(B24,'[1]Рассчет акции'!$A:$A,'[1]Рассчет акции'!$W:$W,0)</f>
        <v>48</v>
      </c>
      <c r="CM24" s="424">
        <f>_xlfn.XLOOKUP(B24,'[1]Рассчет акции'!$A:$A,'[1]Рассчет акции'!$X:$X,0)</f>
        <v>168</v>
      </c>
      <c r="CN24" s="294" t="e">
        <f t="shared" si="39"/>
        <v>#REF!</v>
      </c>
      <c r="CO24" s="433">
        <f t="shared" si="51"/>
        <v>540</v>
      </c>
      <c r="CP24" s="507">
        <f>_xlfn.XLOOKUP(B24,'[1]Рассчет акции'!$A:$A,'[1]Рассчет акции'!$Z:$Z,0)</f>
        <v>0</v>
      </c>
    </row>
    <row r="25" spans="1:94" ht="25.5" customHeight="1" x14ac:dyDescent="0.25">
      <c r="A25" s="162">
        <v>236072836</v>
      </c>
      <c r="B25" s="164">
        <v>1980925084</v>
      </c>
      <c r="C25" s="162" t="s">
        <v>423</v>
      </c>
      <c r="D25" s="163" t="s">
        <v>397</v>
      </c>
      <c r="E25" s="164">
        <v>2040278810534</v>
      </c>
      <c r="F25" s="284">
        <f t="shared" si="57"/>
        <v>73.802450712990378</v>
      </c>
      <c r="G25" s="147">
        <f t="shared" si="1"/>
        <v>0.12449806125673142</v>
      </c>
      <c r="H25" s="439">
        <f>IF(_xlfn.XLOOKUP($C25,'Юнит Карго'!$A:$A,'Юнит Карго'!$G:$G)=0,_xlfn.XLOOKUP(E25,'Себес 1С текущ'!G:G,'Себес 1С текущ'!H:H),_xlfn.XLOOKUP($C25,'Юнит Карго'!$A:$A,'Юнит Карго'!$P:$P,0,0))</f>
        <v>51.802450712990378</v>
      </c>
      <c r="I25" s="268">
        <f>_xlfn.XLOOKUP(E25,[3]ТЗ_ФФ!$D:$D,[3]ТЗ_ФФ!$BG:$BG,0)</f>
        <v>14</v>
      </c>
      <c r="J25" s="269">
        <f t="shared" si="2"/>
        <v>8</v>
      </c>
      <c r="K25" s="273">
        <f t="shared" si="3"/>
        <v>0.34300000000000003</v>
      </c>
      <c r="L25" s="146">
        <v>7</v>
      </c>
      <c r="M25" s="146">
        <v>7</v>
      </c>
      <c r="N25" s="146">
        <v>7</v>
      </c>
      <c r="O25" s="150">
        <f>_xlfn.XLOOKUP($C25,'Юнит Карго'!$A:$A,'Юнит Карго'!$T:$T,0,0)</f>
        <v>0.04</v>
      </c>
      <c r="P25" s="127" t="s">
        <v>75</v>
      </c>
      <c r="Q25" s="146">
        <v>300</v>
      </c>
      <c r="R25" s="292"/>
      <c r="S25" s="285">
        <f t="shared" si="4"/>
        <v>592.79999999999995</v>
      </c>
      <c r="T25" s="286" t="str">
        <f>_xlfn.XLOOKUP(E25,'[2]Рассчет акции'!$D:$D,'[2]Рассчет акции'!$G:$G,0)</f>
        <v>988</v>
      </c>
      <c r="U25" s="417">
        <f>_xlfn.XLOOKUP(E25,'[2]Рассчет акции'!$D:$D,'[2]Рассчет акции'!$F:$F,0)</f>
        <v>0.4</v>
      </c>
      <c r="V25" s="235">
        <f t="shared" si="40"/>
        <v>340.97983999999997</v>
      </c>
      <c r="W25" s="288">
        <f t="shared" si="41"/>
        <v>0.57520215924426454</v>
      </c>
      <c r="X25" s="289">
        <f>IF(K25&gt;1,('Тарифы ВБ'!$B$9+(K25-1)*'Тарифы ВБ'!$B$10)*'Тарифы ВБ'!$B$15*'Тарифы ВБ'!$B$12+S25*'Тарифы ВБ'!$B$13,'Тарифы ВБ'!$B$8*'Тарифы ВБ'!$B$15*'Тарифы ВБ'!$B$12+S25*'Тарифы ВБ'!$B$13)</f>
        <v>72.463840000000005</v>
      </c>
      <c r="Y25" s="289">
        <f>IF(K25&gt;1,'Тарифы ВБ'!$B$9+(K25-1)*'Тарифы ВБ'!$B$10,'Тарифы ВБ'!$B$8)</f>
        <v>32</v>
      </c>
      <c r="Z25" s="289">
        <f t="shared" si="42"/>
        <v>104.46384</v>
      </c>
      <c r="AA25" s="236">
        <f t="shared" si="43"/>
        <v>0.17622105263157897</v>
      </c>
      <c r="AB25" s="237">
        <f>IF(K25&gt;1,'Тарифы ВБ'!$B$14*'Тарифы ВБ'!$B$16*'Тарифы ВБ'!$B$15+(K25-1)*'Тарифы ВБ'!$B$14,'Тарифы ВБ'!$B$14*'Тарифы ВБ'!B$16*'Тарифы ВБ'!$B$15)</f>
        <v>32</v>
      </c>
      <c r="AC25" s="287">
        <f t="shared" si="5"/>
        <v>136.46384</v>
      </c>
      <c r="AD25" s="240">
        <f t="shared" si="6"/>
        <v>0.23020215924426454</v>
      </c>
      <c r="AE25" s="241">
        <v>0.315</v>
      </c>
      <c r="AF25" s="289">
        <f t="shared" si="7"/>
        <v>186.732</v>
      </c>
      <c r="AG25" s="364">
        <f t="shared" si="8"/>
        <v>0</v>
      </c>
      <c r="AH25" s="364">
        <f t="shared" si="9"/>
        <v>17.783999999999999</v>
      </c>
      <c r="AI25" s="149">
        <f t="shared" si="10"/>
        <v>414.78229071299035</v>
      </c>
      <c r="AJ25" s="447">
        <f t="shared" si="11"/>
        <v>0.23029977949900407</v>
      </c>
      <c r="AK25" s="450">
        <f t="shared" si="12"/>
        <v>178.01770928700961</v>
      </c>
      <c r="AL25" s="450">
        <f t="shared" si="13"/>
        <v>136.5217092870096</v>
      </c>
      <c r="AM25" s="447">
        <f t="shared" si="14"/>
        <v>2.6354295483702739</v>
      </c>
      <c r="AN25" s="458">
        <v>599</v>
      </c>
      <c r="AO25" s="459">
        <f t="shared" si="15"/>
        <v>184.21770928700965</v>
      </c>
      <c r="AP25" s="459">
        <f t="shared" si="16"/>
        <v>142.28770928700965</v>
      </c>
      <c r="AQ25" s="463">
        <f t="shared" si="17"/>
        <v>2.7467370236081994</v>
      </c>
      <c r="AR25" s="464">
        <f t="shared" si="18"/>
        <v>0.23754208562105117</v>
      </c>
      <c r="AS25" s="487" t="str">
        <f>IFERROR(_xlfn.XLOOKUP(A25,'[2]Рассчет акции'!$A:$A,'[2]Рассчет акции'!$BH:$BH),0)</f>
        <v>*</v>
      </c>
      <c r="AT25" s="487">
        <f>IFERROR(_xlfn.XLOOKUP($A25,'[2]Рассчет акции'!$A:$A,'[2]Рассчет акции'!$BC:$BC),0)</f>
        <v>593</v>
      </c>
      <c r="AU25" s="409">
        <f t="shared" si="19"/>
        <v>0.23053576608264698</v>
      </c>
      <c r="AV25" s="407">
        <f t="shared" si="20"/>
        <v>178.21770928700965</v>
      </c>
      <c r="AW25" s="407">
        <f t="shared" si="21"/>
        <v>136.70770928700966</v>
      </c>
      <c r="AX25" s="409">
        <f t="shared" si="22"/>
        <v>2.6390201120876275</v>
      </c>
      <c r="AY25" s="293">
        <f>IFERROR(_xlfn.XLOOKUP(E25,'[2]Рассчет акции'!$D:$D,'[2]Рассчет акции'!$BM:$BM),0)</f>
        <v>300</v>
      </c>
      <c r="AZ25" s="203">
        <f>IFERROR(_xlfn.XLOOKUP(E25,'[2]Рассчет акции'!$D:$D,'[2]Рассчет акции'!$BN:$BN),0)</f>
        <v>638</v>
      </c>
      <c r="BA25" s="294">
        <f t="shared" si="23"/>
        <v>11.443474041110276</v>
      </c>
      <c r="BB25" s="292"/>
      <c r="BC25" s="497" t="e">
        <f xml:space="preserve"> _xlfn.XLOOKUP(B25,#REF!,#REF!,0)</f>
        <v>#REF!</v>
      </c>
      <c r="BD25" s="500" t="e">
        <f t="shared" si="52"/>
        <v>#REF!</v>
      </c>
      <c r="BE25" s="501">
        <f>_xlfn.XLOOKUP($B25,'[1]Рассчет акции'!$A:$A,'[1]Рассчет акции'!$J:$J)</f>
        <v>0.3498039215686275</v>
      </c>
      <c r="BF25" s="191" t="e">
        <f t="shared" si="44"/>
        <v>#REF!</v>
      </c>
      <c r="BG25" s="192">
        <f t="shared" si="24"/>
        <v>0</v>
      </c>
      <c r="BH25" s="193">
        <v>0.37</v>
      </c>
      <c r="BI25" s="194" t="e">
        <f t="shared" si="25"/>
        <v>#REF!</v>
      </c>
      <c r="BJ25" s="195" t="e">
        <f t="shared" si="45"/>
        <v>#REF!</v>
      </c>
      <c r="BK25" s="422">
        <f t="shared" si="26"/>
        <v>0</v>
      </c>
      <c r="BL25" s="196">
        <f>(IF(K25&gt;$BL$3,('Тарифы ОЗОН'!$G$3+ROUNDUP(K25-$BL$3,0)*'Тарифы ОЗОН'!$G$4),'Тарифы ОЗОН'!$G$3))</f>
        <v>46.77</v>
      </c>
      <c r="BM25" s="196">
        <f t="shared" si="27"/>
        <v>35</v>
      </c>
      <c r="BN25" s="197">
        <f>_xlfn.XLOOKUP(BM25,'Тарифы ОЗОН'!$A:$A,'Тарифы ОЗОН'!$B:$B)</f>
        <v>1.32</v>
      </c>
      <c r="BO25" s="198">
        <f>_xlfn.XLOOKUP(BM25,'Тарифы ОЗОН'!$A:$A,'Тарифы ОЗОН'!C:C)</f>
        <v>1.6E-2</v>
      </c>
      <c r="BP25" s="199">
        <f t="shared" si="28"/>
        <v>25</v>
      </c>
      <c r="BQ25" s="199" t="e">
        <f t="shared" si="46"/>
        <v>#REF!</v>
      </c>
      <c r="BR25" s="359">
        <f t="shared" si="47"/>
        <v>0.85</v>
      </c>
      <c r="BS25" s="199" t="e">
        <f t="shared" si="48"/>
        <v>#REF!</v>
      </c>
      <c r="BT25" s="200">
        <f t="shared" si="29"/>
        <v>0</v>
      </c>
      <c r="BU25" s="262" t="e">
        <f t="shared" si="30"/>
        <v>#REF!</v>
      </c>
      <c r="BV25" s="149" t="e">
        <f t="shared" si="31"/>
        <v>#REF!</v>
      </c>
      <c r="BW25" s="291">
        <f t="shared" si="32"/>
        <v>0</v>
      </c>
      <c r="BX25" s="201">
        <f t="shared" si="33"/>
        <v>0</v>
      </c>
      <c r="BY25" s="201" t="e">
        <f t="shared" si="34"/>
        <v>#REF!</v>
      </c>
      <c r="BZ25" s="202">
        <f t="shared" si="35"/>
        <v>0</v>
      </c>
      <c r="CA25" s="425">
        <v>629</v>
      </c>
      <c r="CB25" s="426" t="e">
        <f t="shared" si="49"/>
        <v>#REF!</v>
      </c>
      <c r="CC25" s="427" t="e">
        <f t="shared" si="53"/>
        <v>#REF!</v>
      </c>
      <c r="CD25" s="429" t="e">
        <f t="shared" si="36"/>
        <v>#REF!</v>
      </c>
      <c r="CE25" s="429">
        <f t="shared" si="50"/>
        <v>0</v>
      </c>
      <c r="CF25" s="277">
        <f>_xlfn.XLOOKUP(B25,'[1]Рассчет акции'!$A:$A,'[1]Рассчет акции'!$R:$R,0)</f>
        <v>0</v>
      </c>
      <c r="CG25" s="360">
        <f>_xlfn.XLOOKUP(B25,'[1]Рассчет акции'!$A:$A,'[1]Рассчет акции'!$M:$M,0)</f>
        <v>598</v>
      </c>
      <c r="CH25" s="291">
        <f t="shared" si="54"/>
        <v>0</v>
      </c>
      <c r="CI25" s="290" t="e">
        <f t="shared" si="55"/>
        <v>#REF!</v>
      </c>
      <c r="CJ25" s="290" t="e">
        <f t="shared" si="56"/>
        <v>#REF!</v>
      </c>
      <c r="CK25" s="291" t="e">
        <f t="shared" si="38"/>
        <v>#REF!</v>
      </c>
      <c r="CL25" s="203">
        <f>_xlfn.XLOOKUP(B25,'[1]Рассчет акции'!$A:$A,'[1]Рассчет акции'!$W:$W,0)</f>
        <v>104</v>
      </c>
      <c r="CM25" s="424">
        <f>_xlfn.XLOOKUP(B25,'[1]Рассчет акции'!$A:$A,'[1]Рассчет акции'!$X:$X,0)</f>
        <v>242.66666666666669</v>
      </c>
      <c r="CN25" s="294" t="e">
        <f t="shared" si="39"/>
        <v>#REF!</v>
      </c>
      <c r="CO25" s="433">
        <f t="shared" si="51"/>
        <v>566.1</v>
      </c>
      <c r="CP25" s="507">
        <f>_xlfn.XLOOKUP(B25,'[1]Рассчет акции'!$A:$A,'[1]Рассчет акции'!$Z:$Z,0)</f>
        <v>0</v>
      </c>
    </row>
    <row r="26" spans="1:94" ht="25.5" customHeight="1" x14ac:dyDescent="0.25">
      <c r="A26" s="162">
        <v>236072834</v>
      </c>
      <c r="B26" s="164">
        <v>1980924909</v>
      </c>
      <c r="C26" s="162" t="s">
        <v>424</v>
      </c>
      <c r="D26" s="163" t="s">
        <v>395</v>
      </c>
      <c r="E26" s="164">
        <v>2040278804649</v>
      </c>
      <c r="F26" s="284">
        <f t="shared" si="57"/>
        <v>73.802450712990378</v>
      </c>
      <c r="G26" s="147">
        <f t="shared" si="1"/>
        <v>0.13546705343794124</v>
      </c>
      <c r="H26" s="439">
        <f>IF(_xlfn.XLOOKUP($C26,'Юнит Карго'!$A:$A,'Юнит Карго'!$G:$G)=0,_xlfn.XLOOKUP(E26,'Себес 1С текущ'!G:G,'Себес 1С текущ'!H:H),_xlfn.XLOOKUP($C26,'Юнит Карго'!$A:$A,'Юнит Карго'!$P:$P,0,0))</f>
        <v>51.802450712990378</v>
      </c>
      <c r="I26" s="268">
        <f>_xlfn.XLOOKUP(E26,[3]ТЗ_ФФ!$D:$D,[3]ТЗ_ФФ!$BG:$BG,0)</f>
        <v>14</v>
      </c>
      <c r="J26" s="269">
        <f t="shared" si="2"/>
        <v>8</v>
      </c>
      <c r="K26" s="273">
        <f t="shared" si="3"/>
        <v>0.34300000000000003</v>
      </c>
      <c r="L26" s="146">
        <v>7</v>
      </c>
      <c r="M26" s="146">
        <v>7</v>
      </c>
      <c r="N26" s="146">
        <v>7</v>
      </c>
      <c r="O26" s="150">
        <f>_xlfn.XLOOKUP($C26,'Юнит Карго'!$A:$A,'Юнит Карго'!$T:$T,0,0)</f>
        <v>0.04</v>
      </c>
      <c r="P26" s="127" t="s">
        <v>75</v>
      </c>
      <c r="Q26" s="146">
        <v>300</v>
      </c>
      <c r="R26" s="292"/>
      <c r="S26" s="285">
        <f t="shared" si="4"/>
        <v>544.79999999999995</v>
      </c>
      <c r="T26" s="286" t="str">
        <f>_xlfn.XLOOKUP(E26,'[2]Рассчет акции'!$D:$D,'[2]Рассчет акции'!$G:$G,0)</f>
        <v>908</v>
      </c>
      <c r="U26" s="417">
        <f>_xlfn.XLOOKUP(E26,'[2]Рассчет акции'!$D:$D,'[2]Рассчет акции'!$F:$F,0)</f>
        <v>0.4</v>
      </c>
      <c r="V26" s="235">
        <f t="shared" si="40"/>
        <v>324.04543999999999</v>
      </c>
      <c r="W26" s="288">
        <f t="shared" si="41"/>
        <v>0.59479706314243763</v>
      </c>
      <c r="X26" s="289">
        <f>IF(K26&gt;1,('Тарифы ВБ'!$B$9+(K26-1)*'Тарифы ВБ'!$B$10)*'Тарифы ВБ'!$B$15*'Тарифы ВБ'!$B$12+S26*'Тарифы ВБ'!$B$13,'Тарифы ВБ'!$B$8*'Тарифы ВБ'!$B$15*'Тарифы ВБ'!$B$12+S26*'Тарифы ВБ'!$B$13)</f>
        <v>72.089439999999996</v>
      </c>
      <c r="Y26" s="289">
        <f>IF(K26&gt;1,'Тарифы ВБ'!$B$9+(K26-1)*'Тарифы ВБ'!$B$10,'Тарифы ВБ'!$B$8)</f>
        <v>32</v>
      </c>
      <c r="Z26" s="289">
        <f t="shared" si="42"/>
        <v>104.08944</v>
      </c>
      <c r="AA26" s="236">
        <f t="shared" si="43"/>
        <v>0.19105991189427313</v>
      </c>
      <c r="AB26" s="237">
        <f>IF(K26&gt;1,'Тарифы ВБ'!$B$14*'Тарифы ВБ'!$B$16*'Тарифы ВБ'!$B$15+(K26-1)*'Тарифы ВБ'!$B$14,'Тарифы ВБ'!$B$14*'Тарифы ВБ'!B$16*'Тарифы ВБ'!$B$15)</f>
        <v>32</v>
      </c>
      <c r="AC26" s="287">
        <f t="shared" si="5"/>
        <v>136.08944</v>
      </c>
      <c r="AD26" s="240">
        <f t="shared" si="6"/>
        <v>0.2497970631424376</v>
      </c>
      <c r="AE26" s="241">
        <v>0.315</v>
      </c>
      <c r="AF26" s="289">
        <f t="shared" si="7"/>
        <v>171.61199999999999</v>
      </c>
      <c r="AG26" s="364">
        <f t="shared" si="8"/>
        <v>0</v>
      </c>
      <c r="AH26" s="364">
        <f t="shared" si="9"/>
        <v>16.343999999999998</v>
      </c>
      <c r="AI26" s="149">
        <f t="shared" si="10"/>
        <v>397.84789071299036</v>
      </c>
      <c r="AJ26" s="447">
        <f t="shared" si="11"/>
        <v>0.19973588341962115</v>
      </c>
      <c r="AK26" s="450">
        <f t="shared" si="12"/>
        <v>146.95210928700959</v>
      </c>
      <c r="AL26" s="450">
        <f t="shared" si="13"/>
        <v>108.8161092870096</v>
      </c>
      <c r="AM26" s="447">
        <f t="shared" si="14"/>
        <v>2.1005977089752248</v>
      </c>
      <c r="AN26" s="458">
        <v>599</v>
      </c>
      <c r="AO26" s="459">
        <f t="shared" si="15"/>
        <v>201.15210928700964</v>
      </c>
      <c r="AP26" s="459">
        <f t="shared" si="16"/>
        <v>159.22210928700963</v>
      </c>
      <c r="AQ26" s="463">
        <f t="shared" si="17"/>
        <v>3.0736404763777303</v>
      </c>
      <c r="AR26" s="464">
        <f t="shared" si="18"/>
        <v>0.26581320415193593</v>
      </c>
      <c r="AS26" s="487" t="str">
        <f>IFERROR(_xlfn.XLOOKUP(A26,'[2]Рассчет акции'!$A:$A,'[2]Рассчет акции'!$BH:$BH),0)</f>
        <v>*</v>
      </c>
      <c r="AT26" s="487">
        <f>IFERROR(_xlfn.XLOOKUP($A26,'[2]Рассчет акции'!$A:$A,'[2]Рассчет акции'!$BC:$BC),0)</f>
        <v>545</v>
      </c>
      <c r="AU26" s="409">
        <f t="shared" si="19"/>
        <v>0.20000387025139382</v>
      </c>
      <c r="AV26" s="407">
        <f t="shared" si="20"/>
        <v>147.15210928700964</v>
      </c>
      <c r="AW26" s="407">
        <f t="shared" si="21"/>
        <v>109.00210928700963</v>
      </c>
      <c r="AX26" s="409">
        <f t="shared" si="22"/>
        <v>2.104188272692578</v>
      </c>
      <c r="AY26" s="293">
        <f>IFERROR(_xlfn.XLOOKUP(E26,'[2]Рассчет акции'!$D:$D,'[2]Рассчет акции'!$BM:$BM),0)</f>
        <v>254</v>
      </c>
      <c r="AZ26" s="203">
        <f>IFERROR(_xlfn.XLOOKUP(E26,'[2]Рассчет акции'!$D:$D,'[2]Рассчет акции'!$BN:$BN),0)</f>
        <v>443</v>
      </c>
      <c r="BA26" s="294">
        <f t="shared" si="23"/>
        <v>10.516876952761267</v>
      </c>
      <c r="BB26" s="292"/>
      <c r="BC26" s="497" t="e">
        <f xml:space="preserve"> _xlfn.XLOOKUP(B26,#REF!,#REF!,0)</f>
        <v>#REF!</v>
      </c>
      <c r="BD26" s="500" t="e">
        <f t="shared" si="52"/>
        <v>#REF!</v>
      </c>
      <c r="BE26" s="501">
        <f>_xlfn.XLOOKUP($B26,'[1]Рассчет акции'!$A:$A,'[1]Рассчет акции'!$J:$J)</f>
        <v>0.3498039215686275</v>
      </c>
      <c r="BF26" s="191" t="e">
        <f t="shared" si="44"/>
        <v>#REF!</v>
      </c>
      <c r="BG26" s="192">
        <f t="shared" si="24"/>
        <v>0</v>
      </c>
      <c r="BH26" s="193">
        <v>0.37</v>
      </c>
      <c r="BI26" s="194" t="e">
        <f t="shared" si="25"/>
        <v>#REF!</v>
      </c>
      <c r="BJ26" s="195" t="e">
        <f t="shared" si="45"/>
        <v>#REF!</v>
      </c>
      <c r="BK26" s="422">
        <f t="shared" si="26"/>
        <v>0</v>
      </c>
      <c r="BL26" s="196">
        <f>(IF(K26&gt;$BL$3,('Тарифы ОЗОН'!$G$3+ROUNDUP(K26-$BL$3,0)*'Тарифы ОЗОН'!$G$4),'Тарифы ОЗОН'!$G$3))</f>
        <v>46.77</v>
      </c>
      <c r="BM26" s="196">
        <f t="shared" si="27"/>
        <v>35</v>
      </c>
      <c r="BN26" s="197">
        <f>_xlfn.XLOOKUP(BM26,'Тарифы ОЗОН'!$A:$A,'Тарифы ОЗОН'!$B:$B)</f>
        <v>1.32</v>
      </c>
      <c r="BO26" s="198">
        <f>_xlfn.XLOOKUP(BM26,'Тарифы ОЗОН'!$A:$A,'Тарифы ОЗОН'!C:C)</f>
        <v>1.6E-2</v>
      </c>
      <c r="BP26" s="199">
        <f t="shared" si="28"/>
        <v>25</v>
      </c>
      <c r="BQ26" s="199" t="e">
        <f t="shared" si="46"/>
        <v>#REF!</v>
      </c>
      <c r="BR26" s="359">
        <f t="shared" si="47"/>
        <v>0.85</v>
      </c>
      <c r="BS26" s="199" t="e">
        <f t="shared" si="48"/>
        <v>#REF!</v>
      </c>
      <c r="BT26" s="200">
        <f t="shared" si="29"/>
        <v>0</v>
      </c>
      <c r="BU26" s="262" t="e">
        <f t="shared" si="30"/>
        <v>#REF!</v>
      </c>
      <c r="BV26" s="149" t="e">
        <f t="shared" si="31"/>
        <v>#REF!</v>
      </c>
      <c r="BW26" s="291">
        <f t="shared" si="32"/>
        <v>0</v>
      </c>
      <c r="BX26" s="201">
        <f t="shared" si="33"/>
        <v>0</v>
      </c>
      <c r="BY26" s="201" t="e">
        <f t="shared" si="34"/>
        <v>#REF!</v>
      </c>
      <c r="BZ26" s="202">
        <f t="shared" si="35"/>
        <v>0</v>
      </c>
      <c r="CA26" s="425">
        <v>629</v>
      </c>
      <c r="CB26" s="426" t="e">
        <f t="shared" si="49"/>
        <v>#REF!</v>
      </c>
      <c r="CC26" s="427" t="e">
        <f t="shared" si="53"/>
        <v>#REF!</v>
      </c>
      <c r="CD26" s="429" t="e">
        <f t="shared" si="36"/>
        <v>#REF!</v>
      </c>
      <c r="CE26" s="429">
        <f t="shared" si="50"/>
        <v>0</v>
      </c>
      <c r="CF26" s="277">
        <f>_xlfn.XLOOKUP(B26,'[1]Рассчет акции'!$A:$A,'[1]Рассчет акции'!$R:$R,0)</f>
        <v>0</v>
      </c>
      <c r="CG26" s="360">
        <f>_xlfn.XLOOKUP(B26,'[1]Рассчет акции'!$A:$A,'[1]Рассчет акции'!$M:$M,0)</f>
        <v>598</v>
      </c>
      <c r="CH26" s="291">
        <f t="shared" si="54"/>
        <v>0</v>
      </c>
      <c r="CI26" s="290" t="e">
        <f t="shared" si="55"/>
        <v>#REF!</v>
      </c>
      <c r="CJ26" s="290" t="e">
        <f t="shared" si="56"/>
        <v>#REF!</v>
      </c>
      <c r="CK26" s="291" t="e">
        <f t="shared" si="38"/>
        <v>#REF!</v>
      </c>
      <c r="CL26" s="203">
        <f>_xlfn.XLOOKUP(B26,'[1]Рассчет акции'!$A:$A,'[1]Рассчет акции'!$W:$W,0)</f>
        <v>50</v>
      </c>
      <c r="CM26" s="424">
        <f>_xlfn.XLOOKUP(B26,'[1]Рассчет акции'!$A:$A,'[1]Рассчет акции'!$X:$X,0)</f>
        <v>175</v>
      </c>
      <c r="CN26" s="294" t="e">
        <f t="shared" si="39"/>
        <v>#REF!</v>
      </c>
      <c r="CO26" s="433">
        <f t="shared" si="51"/>
        <v>566.1</v>
      </c>
      <c r="CP26" s="507">
        <f>_xlfn.XLOOKUP(B26,'[1]Рассчет акции'!$A:$A,'[1]Рассчет акции'!$Z:$Z,0)</f>
        <v>0</v>
      </c>
    </row>
    <row r="27" spans="1:94" ht="25.5" customHeight="1" x14ac:dyDescent="0.25">
      <c r="A27" s="162">
        <v>223671295</v>
      </c>
      <c r="B27" s="164">
        <v>1980924947</v>
      </c>
      <c r="C27" s="162" t="s">
        <v>425</v>
      </c>
      <c r="D27" s="163" t="s">
        <v>394</v>
      </c>
      <c r="E27" s="164">
        <v>2039818580389</v>
      </c>
      <c r="F27" s="284">
        <f t="shared" si="57"/>
        <v>73.802450712990378</v>
      </c>
      <c r="G27" s="147">
        <f t="shared" si="1"/>
        <v>0.17131488094937414</v>
      </c>
      <c r="H27" s="439">
        <f>IF(_xlfn.XLOOKUP($C27,'Юнит Карго'!$A:$A,'Юнит Карго'!$G:$G)=0,_xlfn.XLOOKUP(E27,'Себес 1С текущ'!G:G,'Себес 1С текущ'!H:H),_xlfn.XLOOKUP($C27,'Юнит Карго'!$A:$A,'Юнит Карго'!$P:$P,0,0))</f>
        <v>51.802450712990378</v>
      </c>
      <c r="I27" s="268">
        <f>_xlfn.XLOOKUP(E27,[3]ТЗ_ФФ!$D:$D,[3]ТЗ_ФФ!$BG:$BG,0)</f>
        <v>14</v>
      </c>
      <c r="J27" s="269">
        <f t="shared" si="2"/>
        <v>8</v>
      </c>
      <c r="K27" s="273">
        <f t="shared" si="3"/>
        <v>0.34300000000000003</v>
      </c>
      <c r="L27" s="146">
        <v>7</v>
      </c>
      <c r="M27" s="146">
        <v>7</v>
      </c>
      <c r="N27" s="146">
        <v>7</v>
      </c>
      <c r="O27" s="150">
        <f>_xlfn.XLOOKUP($C27,'Юнит Карго'!$A:$A,'Юнит Карго'!$T:$T,0,0)</f>
        <v>0.04</v>
      </c>
      <c r="P27" s="127" t="s">
        <v>75</v>
      </c>
      <c r="Q27" s="146">
        <v>300</v>
      </c>
      <c r="R27" s="292"/>
      <c r="S27" s="285">
        <f t="shared" si="4"/>
        <v>430.8</v>
      </c>
      <c r="T27" s="286" t="str">
        <f>_xlfn.XLOOKUP(E27,'[2]Рассчет акции'!$D:$D,'[2]Рассчет акции'!$G:$G,0)</f>
        <v>718</v>
      </c>
      <c r="U27" s="417">
        <f>_xlfn.XLOOKUP(E27,'[2]Рассчет акции'!$D:$D,'[2]Рассчет акции'!$F:$F,0)</f>
        <v>0.4</v>
      </c>
      <c r="V27" s="235">
        <f t="shared" si="40"/>
        <v>283.82623999999998</v>
      </c>
      <c r="W27" s="288">
        <f t="shared" si="41"/>
        <v>0.65883528319405749</v>
      </c>
      <c r="X27" s="289">
        <f>IF(K27&gt;1,('Тарифы ВБ'!$B$9+(K27-1)*'Тарифы ВБ'!$B$10)*'Тарифы ВБ'!$B$15*'Тарифы ВБ'!$B$12+S27*'Тарифы ВБ'!$B$13,'Тарифы ВБ'!$B$8*'Тарифы ВБ'!$B$15*'Тарифы ВБ'!$B$12+S27*'Тарифы ВБ'!$B$13)</f>
        <v>71.200240000000008</v>
      </c>
      <c r="Y27" s="289">
        <f>IF(K27&gt;1,'Тарифы ВБ'!$B$9+(K27-1)*'Тарифы ВБ'!$B$10,'Тарифы ВБ'!$B$8)</f>
        <v>32</v>
      </c>
      <c r="Z27" s="289">
        <f t="shared" si="42"/>
        <v>103.20024000000001</v>
      </c>
      <c r="AA27" s="236">
        <f t="shared" si="43"/>
        <v>0.23955487465181061</v>
      </c>
      <c r="AB27" s="237">
        <f>IF(K27&gt;1,'Тарифы ВБ'!$B$14*'Тарифы ВБ'!$B$16*'Тарифы ВБ'!$B$15+(K27-1)*'Тарифы ВБ'!$B$14,'Тарифы ВБ'!$B$14*'Тарифы ВБ'!B$16*'Тарифы ВБ'!$B$15)</f>
        <v>32</v>
      </c>
      <c r="AC27" s="287">
        <f t="shared" si="5"/>
        <v>135.20024000000001</v>
      </c>
      <c r="AD27" s="240">
        <f t="shared" si="6"/>
        <v>0.31383528319405757</v>
      </c>
      <c r="AE27" s="241">
        <v>0.315</v>
      </c>
      <c r="AF27" s="289">
        <f t="shared" si="7"/>
        <v>135.702</v>
      </c>
      <c r="AG27" s="364">
        <f t="shared" si="8"/>
        <v>0</v>
      </c>
      <c r="AH27" s="364">
        <f t="shared" si="9"/>
        <v>12.923999999999999</v>
      </c>
      <c r="AI27" s="149">
        <f t="shared" si="10"/>
        <v>357.62869071299036</v>
      </c>
      <c r="AJ27" s="447">
        <f t="shared" si="11"/>
        <v>9.9849835856568342E-2</v>
      </c>
      <c r="AK27" s="450">
        <f t="shared" si="12"/>
        <v>73.171309287009649</v>
      </c>
      <c r="AL27" s="450">
        <f t="shared" si="13"/>
        <v>43.015309287009643</v>
      </c>
      <c r="AM27" s="447">
        <f t="shared" si="14"/>
        <v>0.83037209041198501</v>
      </c>
      <c r="AN27" s="458">
        <v>599</v>
      </c>
      <c r="AO27" s="459">
        <f t="shared" si="15"/>
        <v>241.37130928700964</v>
      </c>
      <c r="AP27" s="459">
        <f t="shared" si="16"/>
        <v>199.44130928700963</v>
      </c>
      <c r="AQ27" s="463">
        <f t="shared" si="17"/>
        <v>3.8500361767053657</v>
      </c>
      <c r="AR27" s="464">
        <f t="shared" si="18"/>
        <v>0.33295711066278738</v>
      </c>
      <c r="AS27" s="487" t="str">
        <f>IFERROR(_xlfn.XLOOKUP(A27,'[2]Рассчет акции'!$A:$A,'[2]Рассчет акции'!$BH:$BH),0)</f>
        <v>*</v>
      </c>
      <c r="AT27" s="487">
        <f>IFERROR(_xlfn.XLOOKUP($A27,'[2]Рассчет акции'!$A:$A,'[2]Рассчет акции'!$BC:$BC),0)</f>
        <v>431</v>
      </c>
      <c r="AU27" s="409">
        <f t="shared" si="19"/>
        <v>0.10023505635037039</v>
      </c>
      <c r="AV27" s="407">
        <f t="shared" si="20"/>
        <v>73.371309287009638</v>
      </c>
      <c r="AW27" s="407">
        <f t="shared" si="21"/>
        <v>43.201309287009636</v>
      </c>
      <c r="AX27" s="409">
        <f t="shared" si="22"/>
        <v>0.83396265412933723</v>
      </c>
      <c r="AY27" s="293">
        <f>IFERROR(_xlfn.XLOOKUP(E27,'[2]Рассчет акции'!$D:$D,'[2]Рассчет акции'!$BM:$BM),0)</f>
        <v>447</v>
      </c>
      <c r="AZ27" s="203">
        <f>IFERROR(_xlfn.XLOOKUP(E27,'[2]Рассчет акции'!$D:$D,'[2]Рассчет акции'!$BN:$BN),0)</f>
        <v>823</v>
      </c>
      <c r="BA27" s="294">
        <f t="shared" si="23"/>
        <v>8.3162088679323674</v>
      </c>
      <c r="BB27" s="292"/>
      <c r="BC27" s="497" t="e">
        <f xml:space="preserve"> _xlfn.XLOOKUP(B27,#REF!,#REF!,0)</f>
        <v>#REF!</v>
      </c>
      <c r="BD27" s="500" t="e">
        <f t="shared" si="52"/>
        <v>#REF!</v>
      </c>
      <c r="BE27" s="501">
        <f>_xlfn.XLOOKUP($B27,'[1]Рассчет акции'!$A:$A,'[1]Рассчет акции'!$J:$J)</f>
        <v>0.3498039215686275</v>
      </c>
      <c r="BF27" s="191" t="e">
        <f t="shared" si="44"/>
        <v>#REF!</v>
      </c>
      <c r="BG27" s="192">
        <f t="shared" si="24"/>
        <v>0</v>
      </c>
      <c r="BH27" s="193">
        <v>0.37</v>
      </c>
      <c r="BI27" s="194" t="e">
        <f t="shared" si="25"/>
        <v>#REF!</v>
      </c>
      <c r="BJ27" s="195" t="e">
        <f t="shared" si="45"/>
        <v>#REF!</v>
      </c>
      <c r="BK27" s="422">
        <f t="shared" si="26"/>
        <v>0</v>
      </c>
      <c r="BL27" s="196">
        <f>(IF(K27&gt;$BL$3,('Тарифы ОЗОН'!$G$3+ROUNDUP(K27-$BL$3,0)*'Тарифы ОЗОН'!$G$4),'Тарифы ОЗОН'!$G$3))</f>
        <v>46.77</v>
      </c>
      <c r="BM27" s="196">
        <f t="shared" si="27"/>
        <v>35</v>
      </c>
      <c r="BN27" s="197">
        <f>_xlfn.XLOOKUP(BM27,'Тарифы ОЗОН'!$A:$A,'Тарифы ОЗОН'!$B:$B)</f>
        <v>1.32</v>
      </c>
      <c r="BO27" s="198">
        <f>_xlfn.XLOOKUP(BM27,'Тарифы ОЗОН'!$A:$A,'Тарифы ОЗОН'!C:C)</f>
        <v>1.6E-2</v>
      </c>
      <c r="BP27" s="199">
        <f t="shared" si="28"/>
        <v>25</v>
      </c>
      <c r="BQ27" s="199" t="e">
        <f t="shared" si="46"/>
        <v>#REF!</v>
      </c>
      <c r="BR27" s="359">
        <f t="shared" si="47"/>
        <v>0.85</v>
      </c>
      <c r="BS27" s="199" t="e">
        <f t="shared" si="48"/>
        <v>#REF!</v>
      </c>
      <c r="BT27" s="200">
        <f t="shared" si="29"/>
        <v>0</v>
      </c>
      <c r="BU27" s="262" t="e">
        <f t="shared" si="30"/>
        <v>#REF!</v>
      </c>
      <c r="BV27" s="149" t="e">
        <f t="shared" si="31"/>
        <v>#REF!</v>
      </c>
      <c r="BW27" s="291">
        <f t="shared" si="32"/>
        <v>0</v>
      </c>
      <c r="BX27" s="201">
        <f t="shared" si="33"/>
        <v>0</v>
      </c>
      <c r="BY27" s="201" t="e">
        <f t="shared" si="34"/>
        <v>#REF!</v>
      </c>
      <c r="BZ27" s="202">
        <f t="shared" si="35"/>
        <v>0</v>
      </c>
      <c r="CA27" s="425">
        <v>629</v>
      </c>
      <c r="CB27" s="426" t="e">
        <f t="shared" si="49"/>
        <v>#REF!</v>
      </c>
      <c r="CC27" s="427" t="e">
        <f t="shared" si="53"/>
        <v>#REF!</v>
      </c>
      <c r="CD27" s="429" t="e">
        <f t="shared" si="36"/>
        <v>#REF!</v>
      </c>
      <c r="CE27" s="429">
        <f t="shared" si="50"/>
        <v>0</v>
      </c>
      <c r="CF27" s="277">
        <f>_xlfn.XLOOKUP(B27,'[1]Рассчет акции'!$A:$A,'[1]Рассчет акции'!$R:$R,0)</f>
        <v>0</v>
      </c>
      <c r="CG27" s="360">
        <f>_xlfn.XLOOKUP(B27,'[1]Рассчет акции'!$A:$A,'[1]Рассчет акции'!$M:$M,0)</f>
        <v>598</v>
      </c>
      <c r="CH27" s="291">
        <f t="shared" si="54"/>
        <v>0</v>
      </c>
      <c r="CI27" s="290" t="e">
        <f t="shared" si="55"/>
        <v>#REF!</v>
      </c>
      <c r="CJ27" s="290" t="e">
        <f t="shared" si="56"/>
        <v>#REF!</v>
      </c>
      <c r="CK27" s="291" t="e">
        <f t="shared" si="38"/>
        <v>#REF!</v>
      </c>
      <c r="CL27" s="203">
        <f>_xlfn.XLOOKUP(B27,'[1]Рассчет акции'!$A:$A,'[1]Рассчет акции'!$W:$W,0)</f>
        <v>63</v>
      </c>
      <c r="CM27" s="424">
        <f>_xlfn.XLOOKUP(B27,'[1]Рассчет акции'!$A:$A,'[1]Рассчет акции'!$X:$X,0)</f>
        <v>999</v>
      </c>
      <c r="CN27" s="294" t="e">
        <f t="shared" si="39"/>
        <v>#REF!</v>
      </c>
      <c r="CO27" s="433">
        <f t="shared" si="51"/>
        <v>566.1</v>
      </c>
      <c r="CP27" s="507">
        <f>_xlfn.XLOOKUP(B27,'[1]Рассчет акции'!$A:$A,'[1]Рассчет акции'!$Z:$Z,0)</f>
        <v>0</v>
      </c>
    </row>
    <row r="28" spans="1:94" ht="25.5" customHeight="1" x14ac:dyDescent="0.25">
      <c r="A28" s="162">
        <v>370591238</v>
      </c>
      <c r="B28" s="164">
        <v>1980924996</v>
      </c>
      <c r="C28" s="162" t="s">
        <v>426</v>
      </c>
      <c r="D28" s="163" t="s">
        <v>398</v>
      </c>
      <c r="E28" s="164">
        <v>2043369663040</v>
      </c>
      <c r="F28" s="284">
        <f t="shared" si="57"/>
        <v>61.702450712990384</v>
      </c>
      <c r="G28" s="147">
        <f t="shared" si="1"/>
        <v>0.10297471747828835</v>
      </c>
      <c r="H28" s="439">
        <f>IF(_xlfn.XLOOKUP($C28,'Юнит Карго'!$A:$A,'Юнит Карго'!$G:$G)=0,_xlfn.XLOOKUP(E28,'Себес 1С текущ'!G:G,'Себес 1С текущ'!H:H),_xlfn.XLOOKUP($C28,'Юнит Карго'!$A:$A,'Юнит Карго'!$P:$P,0,0))</f>
        <v>39.702450712990384</v>
      </c>
      <c r="I28" s="268">
        <f>_xlfn.XLOOKUP(E28,[3]ТЗ_ФФ!$D:$D,[3]ТЗ_ФФ!$BG:$BG,0)</f>
        <v>14</v>
      </c>
      <c r="J28" s="269">
        <f t="shared" si="2"/>
        <v>8</v>
      </c>
      <c r="K28" s="273">
        <f t="shared" si="3"/>
        <v>0.34300000000000003</v>
      </c>
      <c r="L28" s="146">
        <v>7</v>
      </c>
      <c r="M28" s="146">
        <v>7</v>
      </c>
      <c r="N28" s="146">
        <v>7</v>
      </c>
      <c r="O28" s="150">
        <f>_xlfn.XLOOKUP($C28,'Юнит Карго'!$A:$A,'Юнит Карго'!$T:$T,0,0)</f>
        <v>0.04</v>
      </c>
      <c r="P28" s="127" t="s">
        <v>75</v>
      </c>
      <c r="Q28" s="146">
        <v>300</v>
      </c>
      <c r="R28" s="292"/>
      <c r="S28" s="285">
        <f t="shared" si="4"/>
        <v>599.20000000000005</v>
      </c>
      <c r="T28" s="286" t="str">
        <f>_xlfn.XLOOKUP(E28,'[2]Рассчет акции'!$D:$D,'[2]Рассчет акции'!$G:$G,0)</f>
        <v>856</v>
      </c>
      <c r="U28" s="417">
        <f>_xlfn.XLOOKUP(E28,'[2]Рассчет акции'!$D:$D,'[2]Рассчет акции'!$F:$F,0)</f>
        <v>0.3</v>
      </c>
      <c r="V28" s="235">
        <f t="shared" si="40"/>
        <v>343.23775999999998</v>
      </c>
      <c r="W28" s="288">
        <f t="shared" si="41"/>
        <v>0.5728267022696929</v>
      </c>
      <c r="X28" s="289">
        <f>IF(K28&gt;1,('Тарифы ВБ'!$B$9+(K28-1)*'Тарифы ВБ'!$B$10)*'Тарифы ВБ'!$B$15*'Тарифы ВБ'!$B$12+S28*'Тарифы ВБ'!$B$13,'Тарифы ВБ'!$B$8*'Тарифы ВБ'!$B$15*'Тарифы ВБ'!$B$12+S28*'Тарифы ВБ'!$B$13)</f>
        <v>72.513760000000005</v>
      </c>
      <c r="Y28" s="289">
        <f>IF(K28&gt;1,'Тарифы ВБ'!$B$9+(K28-1)*'Тарифы ВБ'!$B$10,'Тарифы ВБ'!$B$8)</f>
        <v>32</v>
      </c>
      <c r="Z28" s="289">
        <f t="shared" si="42"/>
        <v>104.51376</v>
      </c>
      <c r="AA28" s="236">
        <f t="shared" si="43"/>
        <v>0.17442216288384513</v>
      </c>
      <c r="AB28" s="237">
        <f>IF(K28&gt;1,'Тарифы ВБ'!$B$14*'Тарифы ВБ'!$B$16*'Тарифы ВБ'!$B$15+(K28-1)*'Тарифы ВБ'!$B$14,'Тарифы ВБ'!$B$14*'Тарифы ВБ'!B$16*'Тарифы ВБ'!$B$15)</f>
        <v>32</v>
      </c>
      <c r="AC28" s="287">
        <f t="shared" si="5"/>
        <v>136.51375999999999</v>
      </c>
      <c r="AD28" s="240">
        <f t="shared" si="6"/>
        <v>0.2278267022696929</v>
      </c>
      <c r="AE28" s="241">
        <v>0.315</v>
      </c>
      <c r="AF28" s="289">
        <f t="shared" si="7"/>
        <v>188.74800000000002</v>
      </c>
      <c r="AG28" s="364">
        <f t="shared" si="8"/>
        <v>0</v>
      </c>
      <c r="AH28" s="364">
        <f t="shared" si="9"/>
        <v>17.975999999999999</v>
      </c>
      <c r="AI28" s="149">
        <f t="shared" si="10"/>
        <v>404.94021071299039</v>
      </c>
      <c r="AJ28" s="447">
        <f t="shared" si="11"/>
        <v>0.25419858025201875</v>
      </c>
      <c r="AK28" s="450">
        <f t="shared" si="12"/>
        <v>194.25978928700965</v>
      </c>
      <c r="AL28" s="450">
        <f t="shared" si="13"/>
        <v>152.31578928700964</v>
      </c>
      <c r="AM28" s="447">
        <f t="shared" si="14"/>
        <v>3.836432929244161</v>
      </c>
      <c r="AN28" s="458">
        <v>599</v>
      </c>
      <c r="AO28" s="459">
        <f t="shared" si="15"/>
        <v>194.05978928700961</v>
      </c>
      <c r="AP28" s="459">
        <f t="shared" si="16"/>
        <v>152.1297892870096</v>
      </c>
      <c r="AQ28" s="463">
        <f t="shared" si="17"/>
        <v>3.8317480799046422</v>
      </c>
      <c r="AR28" s="464">
        <f t="shared" si="18"/>
        <v>0.25397293704008278</v>
      </c>
      <c r="AS28" s="487">
        <f>IFERROR(_xlfn.XLOOKUP(A28,'[2]Рассчет акции'!$A:$A,'[2]Рассчет акции'!$BH:$BH),0)</f>
        <v>0</v>
      </c>
      <c r="AT28" s="487">
        <f>IFERROR(_xlfn.XLOOKUP($A28,'[2]Рассчет акции'!$A:$A,'[2]Рассчет акции'!$BC:$BC),0)</f>
        <v>0</v>
      </c>
      <c r="AU28" s="409">
        <f t="shared" si="19"/>
        <v>0</v>
      </c>
      <c r="AV28" s="407">
        <f t="shared" si="20"/>
        <v>-404.94021071299039</v>
      </c>
      <c r="AW28" s="407">
        <f t="shared" si="21"/>
        <v>-404.94021071299039</v>
      </c>
      <c r="AX28" s="409">
        <f t="shared" si="22"/>
        <v>-10.199375691951847</v>
      </c>
      <c r="AY28" s="293">
        <f>IFERROR(_xlfn.XLOOKUP(E28,'[2]Рассчет акции'!$D:$D,'[2]Рассчет акции'!$BM:$BM),0)</f>
        <v>252</v>
      </c>
      <c r="AZ28" s="203">
        <f>IFERROR(_xlfn.XLOOKUP(E28,'[2]Рассчет акции'!$D:$D,'[2]Рассчет акции'!$BN:$BN),0)</f>
        <v>999</v>
      </c>
      <c r="BA28" s="294">
        <f t="shared" si="23"/>
        <v>15.092267334619365</v>
      </c>
      <c r="BB28" s="292"/>
      <c r="BC28" s="497" t="e">
        <f xml:space="preserve"> _xlfn.XLOOKUP(B28,#REF!,#REF!,0)</f>
        <v>#REF!</v>
      </c>
      <c r="BD28" s="500" t="e">
        <f t="shared" si="52"/>
        <v>#REF!</v>
      </c>
      <c r="BE28" s="501">
        <f>_xlfn.XLOOKUP($B28,'[1]Рассчет акции'!$A:$A,'[1]Рассчет акции'!$J:$J)</f>
        <v>0.3498039215686275</v>
      </c>
      <c r="BF28" s="191" t="e">
        <f t="shared" si="44"/>
        <v>#REF!</v>
      </c>
      <c r="BG28" s="192">
        <f t="shared" si="24"/>
        <v>0</v>
      </c>
      <c r="BH28" s="193">
        <v>0.37</v>
      </c>
      <c r="BI28" s="194" t="e">
        <f t="shared" si="25"/>
        <v>#REF!</v>
      </c>
      <c r="BJ28" s="195" t="e">
        <f t="shared" si="45"/>
        <v>#REF!</v>
      </c>
      <c r="BK28" s="422">
        <f t="shared" si="26"/>
        <v>0</v>
      </c>
      <c r="BL28" s="196">
        <f>(IF(K28&gt;$BL$3,('Тарифы ОЗОН'!$G$3+ROUNDUP(K28-$BL$3,0)*'Тарифы ОЗОН'!$G$4),'Тарифы ОЗОН'!$G$3))</f>
        <v>46.77</v>
      </c>
      <c r="BM28" s="196">
        <f t="shared" si="27"/>
        <v>35</v>
      </c>
      <c r="BN28" s="197">
        <f>_xlfn.XLOOKUP(BM28,'Тарифы ОЗОН'!$A:$A,'Тарифы ОЗОН'!$B:$B)</f>
        <v>1.32</v>
      </c>
      <c r="BO28" s="198">
        <f>_xlfn.XLOOKUP(BM28,'Тарифы ОЗОН'!$A:$A,'Тарифы ОЗОН'!C:C)</f>
        <v>1.6E-2</v>
      </c>
      <c r="BP28" s="199">
        <f t="shared" si="28"/>
        <v>25</v>
      </c>
      <c r="BQ28" s="199" t="e">
        <f t="shared" si="46"/>
        <v>#REF!</v>
      </c>
      <c r="BR28" s="359">
        <f t="shared" si="47"/>
        <v>0.85</v>
      </c>
      <c r="BS28" s="199" t="e">
        <f t="shared" si="48"/>
        <v>#REF!</v>
      </c>
      <c r="BT28" s="200">
        <f t="shared" si="29"/>
        <v>0</v>
      </c>
      <c r="BU28" s="262" t="e">
        <f t="shared" si="30"/>
        <v>#REF!</v>
      </c>
      <c r="BV28" s="149" t="e">
        <f t="shared" si="31"/>
        <v>#REF!</v>
      </c>
      <c r="BW28" s="291">
        <f t="shared" si="32"/>
        <v>0</v>
      </c>
      <c r="BX28" s="201">
        <f t="shared" si="33"/>
        <v>0</v>
      </c>
      <c r="BY28" s="201" t="e">
        <f t="shared" si="34"/>
        <v>#REF!</v>
      </c>
      <c r="BZ28" s="202">
        <f t="shared" si="35"/>
        <v>0</v>
      </c>
      <c r="CA28" s="425">
        <v>629</v>
      </c>
      <c r="CB28" s="426" t="e">
        <f t="shared" si="49"/>
        <v>#REF!</v>
      </c>
      <c r="CC28" s="427" t="e">
        <f t="shared" si="53"/>
        <v>#REF!</v>
      </c>
      <c r="CD28" s="429" t="e">
        <f t="shared" si="36"/>
        <v>#REF!</v>
      </c>
      <c r="CE28" s="429">
        <f t="shared" si="50"/>
        <v>0</v>
      </c>
      <c r="CF28" s="277">
        <f>_xlfn.XLOOKUP(B28,'[1]Рассчет акции'!$A:$A,'[1]Рассчет акции'!$R:$R,0)</f>
        <v>0</v>
      </c>
      <c r="CG28" s="360">
        <f>_xlfn.XLOOKUP(B28,'[1]Рассчет акции'!$A:$A,'[1]Рассчет акции'!$M:$M,0)</f>
        <v>598</v>
      </c>
      <c r="CH28" s="291">
        <f t="shared" si="54"/>
        <v>0</v>
      </c>
      <c r="CI28" s="290" t="e">
        <f t="shared" si="55"/>
        <v>#REF!</v>
      </c>
      <c r="CJ28" s="290" t="e">
        <f t="shared" si="56"/>
        <v>#REF!</v>
      </c>
      <c r="CK28" s="291" t="e">
        <f t="shared" si="38"/>
        <v>#REF!</v>
      </c>
      <c r="CL28" s="203">
        <f>_xlfn.XLOOKUP(B28,'[1]Рассчет акции'!$A:$A,'[1]Рассчет акции'!$W:$W,0)</f>
        <v>78</v>
      </c>
      <c r="CM28" s="424">
        <f>_xlfn.XLOOKUP(B28,'[1]Рассчет акции'!$A:$A,'[1]Рассчет акции'!$X:$X,0)</f>
        <v>999</v>
      </c>
      <c r="CN28" s="294" t="e">
        <f t="shared" si="39"/>
        <v>#REF!</v>
      </c>
      <c r="CO28" s="433">
        <f t="shared" si="51"/>
        <v>566.1</v>
      </c>
      <c r="CP28" s="507">
        <f>_xlfn.XLOOKUP(B28,'[1]Рассчет акции'!$A:$A,'[1]Рассчет акции'!$Z:$Z,0)</f>
        <v>0</v>
      </c>
    </row>
    <row r="29" spans="1:94" ht="25.5" customHeight="1" x14ac:dyDescent="0.25">
      <c r="A29" s="162">
        <v>419145391</v>
      </c>
      <c r="B29" s="164">
        <v>2415742768</v>
      </c>
      <c r="C29" s="162" t="s">
        <v>409</v>
      </c>
      <c r="D29" s="163" t="s">
        <v>399</v>
      </c>
      <c r="E29" s="164">
        <v>2044025326637</v>
      </c>
      <c r="F29" s="284">
        <f t="shared" si="57"/>
        <v>72.478676069485573</v>
      </c>
      <c r="G29" s="147">
        <f t="shared" si="1"/>
        <v>0.11712778938184483</v>
      </c>
      <c r="H29" s="439">
        <f>IF(_xlfn.XLOOKUP($C29,'Юнит Карго'!$A:$A,'Юнит Карго'!$G:$G)=0,_xlfn.XLOOKUP(E29,'Себес 1С текущ'!G:G,'Себес 1С текущ'!H:H),_xlfn.XLOOKUP($C29,'Юнит Карго'!$A:$A,'Юнит Карго'!$P:$P,0,0))</f>
        <v>50.478676069485573</v>
      </c>
      <c r="I29" s="268">
        <f>_xlfn.XLOOKUP(E29,[3]ТЗ_ФФ!$D:$D,[3]ТЗ_ФФ!$BG:$BG,0)</f>
        <v>14</v>
      </c>
      <c r="J29" s="269">
        <f t="shared" si="2"/>
        <v>8</v>
      </c>
      <c r="K29" s="273">
        <f t="shared" si="3"/>
        <v>0.51200000000000001</v>
      </c>
      <c r="L29" s="146">
        <v>8</v>
      </c>
      <c r="M29" s="146">
        <v>8</v>
      </c>
      <c r="N29" s="146">
        <v>8</v>
      </c>
      <c r="O29" s="150">
        <f>_xlfn.XLOOKUP($C29,'Юнит Карго'!$A:$A,'Юнит Карго'!$T:$T,0,0)</f>
        <v>0.06</v>
      </c>
      <c r="P29" s="127" t="s">
        <v>75</v>
      </c>
      <c r="Q29" s="146"/>
      <c r="R29" s="292"/>
      <c r="S29" s="285">
        <f t="shared" si="4"/>
        <v>618.79999999999995</v>
      </c>
      <c r="T29" s="286" t="str">
        <f>_xlfn.XLOOKUP(E29,'[2]Рассчет акции'!$D:$D,'[2]Рассчет акции'!$G:$G,0)</f>
        <v>884</v>
      </c>
      <c r="U29" s="417">
        <f>_xlfn.XLOOKUP(E29,'[2]Рассчет акции'!$D:$D,'[2]Рассчет акции'!$F:$F,0)</f>
        <v>0.3</v>
      </c>
      <c r="V29" s="235">
        <f t="shared" si="40"/>
        <v>350.15264000000002</v>
      </c>
      <c r="W29" s="288">
        <f t="shared" si="41"/>
        <v>0.56585753070458955</v>
      </c>
      <c r="X29" s="289">
        <f>IF(K29&gt;1,('Тарифы ВБ'!$B$9+(K29-1)*'Тарифы ВБ'!$B$10)*'Тарифы ВБ'!$B$15*'Тарифы ВБ'!$B$12+S29*'Тарифы ВБ'!$B$13,'Тарифы ВБ'!$B$8*'Тарифы ВБ'!$B$15*'Тарифы ВБ'!$B$12+S29*'Тарифы ВБ'!$B$13)</f>
        <v>72.666640000000001</v>
      </c>
      <c r="Y29" s="289">
        <f>IF(K29&gt;1,'Тарифы ВБ'!$B$9+(K29-1)*'Тарифы ВБ'!$B$10,'Тарифы ВБ'!$B$8)</f>
        <v>32</v>
      </c>
      <c r="Z29" s="289">
        <f t="shared" si="42"/>
        <v>104.66664</v>
      </c>
      <c r="AA29" s="236">
        <f t="shared" si="43"/>
        <v>0.16914453781512606</v>
      </c>
      <c r="AB29" s="237">
        <f>IF(K29&gt;1,'Тарифы ВБ'!$B$14*'Тарифы ВБ'!$B$16*'Тарифы ВБ'!$B$15+(K29-1)*'Тарифы ВБ'!$B$14,'Тарифы ВБ'!$B$14*'Тарифы ВБ'!B$16*'Тарифы ВБ'!$B$15)</f>
        <v>32</v>
      </c>
      <c r="AC29" s="287">
        <f t="shared" si="5"/>
        <v>136.66664</v>
      </c>
      <c r="AD29" s="240">
        <f t="shared" si="6"/>
        <v>0.22085753070458955</v>
      </c>
      <c r="AE29" s="241">
        <v>0.315</v>
      </c>
      <c r="AF29" s="289">
        <f t="shared" si="7"/>
        <v>194.922</v>
      </c>
      <c r="AG29" s="364">
        <f t="shared" si="8"/>
        <v>0</v>
      </c>
      <c r="AH29" s="364">
        <f t="shared" si="9"/>
        <v>18.563999999999997</v>
      </c>
      <c r="AI29" s="149">
        <f t="shared" si="10"/>
        <v>422.63131606948559</v>
      </c>
      <c r="AJ29" s="447">
        <f t="shared" si="11"/>
        <v>0.24701467991356557</v>
      </c>
      <c r="AK29" s="450">
        <f t="shared" si="12"/>
        <v>196.16868393051436</v>
      </c>
      <c r="AL29" s="450">
        <f t="shared" si="13"/>
        <v>152.85268393051436</v>
      </c>
      <c r="AM29" s="447">
        <f t="shared" si="14"/>
        <v>3.0280644389347211</v>
      </c>
      <c r="AN29" s="458">
        <v>619</v>
      </c>
      <c r="AO29" s="459">
        <f t="shared" si="15"/>
        <v>196.36868393051441</v>
      </c>
      <c r="AP29" s="459">
        <f t="shared" si="16"/>
        <v>153.0386839305144</v>
      </c>
      <c r="AQ29" s="463">
        <f t="shared" si="17"/>
        <v>3.0317491631486444</v>
      </c>
      <c r="AR29" s="464">
        <f t="shared" si="18"/>
        <v>0.24723535368419128</v>
      </c>
      <c r="AS29" s="487">
        <f>IFERROR(_xlfn.XLOOKUP(A29,'[2]Рассчет акции'!$A:$A,'[2]Рассчет акции'!$BH:$BH),0)</f>
        <v>0</v>
      </c>
      <c r="AT29" s="487">
        <f>IFERROR(_xlfn.XLOOKUP($A29,'[2]Рассчет акции'!$A:$A,'[2]Рассчет акции'!$BC:$BC),0)</f>
        <v>0</v>
      </c>
      <c r="AU29" s="409">
        <f t="shared" si="19"/>
        <v>0</v>
      </c>
      <c r="AV29" s="407">
        <f t="shared" si="20"/>
        <v>-422.63131606948559</v>
      </c>
      <c r="AW29" s="407">
        <f t="shared" si="21"/>
        <v>-422.63131606948559</v>
      </c>
      <c r="AX29" s="409">
        <f t="shared" si="22"/>
        <v>-8.3724722789424888</v>
      </c>
      <c r="AY29" s="293">
        <f>IFERROR(_xlfn.XLOOKUP(E29,'[2]Рассчет акции'!$D:$D,'[2]Рассчет акции'!$BM:$BM),0)</f>
        <v>298</v>
      </c>
      <c r="AZ29" s="203">
        <f>IFERROR(_xlfn.XLOOKUP(E29,'[2]Рассчет акции'!$D:$D,'[2]Рассчет акции'!$BN:$BN),0)</f>
        <v>999</v>
      </c>
      <c r="BA29" s="294">
        <f t="shared" si="23"/>
        <v>12.258641632126032</v>
      </c>
      <c r="BB29" s="292"/>
      <c r="BC29" s="497" t="e">
        <f xml:space="preserve"> _xlfn.XLOOKUP(B29,#REF!,#REF!,0)</f>
        <v>#REF!</v>
      </c>
      <c r="BD29" s="500" t="e">
        <f t="shared" si="52"/>
        <v>#REF!</v>
      </c>
      <c r="BE29" s="501">
        <f>_xlfn.XLOOKUP($B29,'[1]Рассчет акции'!$A:$A,'[1]Рассчет акции'!$J:$J)</f>
        <v>0.3498039215686275</v>
      </c>
      <c r="BF29" s="191" t="e">
        <f t="shared" si="44"/>
        <v>#REF!</v>
      </c>
      <c r="BG29" s="192">
        <f t="shared" si="24"/>
        <v>0</v>
      </c>
      <c r="BH29" s="193">
        <v>0.37</v>
      </c>
      <c r="BI29" s="194" t="e">
        <f t="shared" si="25"/>
        <v>#REF!</v>
      </c>
      <c r="BJ29" s="195" t="e">
        <f t="shared" si="45"/>
        <v>#REF!</v>
      </c>
      <c r="BK29" s="422">
        <f t="shared" si="26"/>
        <v>0</v>
      </c>
      <c r="BL29" s="196">
        <f>(IF(K29&gt;$BL$3,('Тарифы ОЗОН'!$G$3+ROUNDUP(K29-$BL$3,0)*'Тарифы ОЗОН'!$G$4),'Тарифы ОЗОН'!$G$3))</f>
        <v>46.77</v>
      </c>
      <c r="BM29" s="196">
        <f t="shared" si="27"/>
        <v>35</v>
      </c>
      <c r="BN29" s="197">
        <f>_xlfn.XLOOKUP(BM29,'Тарифы ОЗОН'!$A:$A,'Тарифы ОЗОН'!$B:$B)</f>
        <v>1.32</v>
      </c>
      <c r="BO29" s="198">
        <f>_xlfn.XLOOKUP(BM29,'Тарифы ОЗОН'!$A:$A,'Тарифы ОЗОН'!C:C)</f>
        <v>1.6E-2</v>
      </c>
      <c r="BP29" s="199">
        <f t="shared" si="28"/>
        <v>25</v>
      </c>
      <c r="BQ29" s="199" t="e">
        <f t="shared" si="46"/>
        <v>#REF!</v>
      </c>
      <c r="BR29" s="359">
        <f t="shared" si="47"/>
        <v>0.85</v>
      </c>
      <c r="BS29" s="199" t="e">
        <f t="shared" si="48"/>
        <v>#REF!</v>
      </c>
      <c r="BT29" s="200">
        <f t="shared" si="29"/>
        <v>0</v>
      </c>
      <c r="BU29" s="262" t="e">
        <f t="shared" si="30"/>
        <v>#REF!</v>
      </c>
      <c r="BV29" s="149" t="e">
        <f t="shared" si="31"/>
        <v>#REF!</v>
      </c>
      <c r="BW29" s="291">
        <f t="shared" si="32"/>
        <v>0</v>
      </c>
      <c r="BX29" s="201">
        <f t="shared" si="33"/>
        <v>0</v>
      </c>
      <c r="BY29" s="201" t="e">
        <f t="shared" si="34"/>
        <v>#REF!</v>
      </c>
      <c r="BZ29" s="202">
        <f t="shared" si="35"/>
        <v>0</v>
      </c>
      <c r="CA29" s="425">
        <v>629</v>
      </c>
      <c r="CB29" s="426" t="e">
        <f t="shared" si="49"/>
        <v>#REF!</v>
      </c>
      <c r="CC29" s="427" t="e">
        <f t="shared" si="53"/>
        <v>#REF!</v>
      </c>
      <c r="CD29" s="429" t="e">
        <f t="shared" si="36"/>
        <v>#REF!</v>
      </c>
      <c r="CE29" s="429">
        <f t="shared" si="50"/>
        <v>0</v>
      </c>
      <c r="CF29" s="277">
        <f>_xlfn.XLOOKUP(B29,'[1]Рассчет акции'!$A:$A,'[1]Рассчет акции'!$R:$R,0)</f>
        <v>0</v>
      </c>
      <c r="CG29" s="360">
        <f>_xlfn.XLOOKUP(B29,'[1]Рассчет акции'!$A:$A,'[1]Рассчет акции'!$M:$M,0)</f>
        <v>626</v>
      </c>
      <c r="CH29" s="291">
        <f t="shared" si="54"/>
        <v>0</v>
      </c>
      <c r="CI29" s="290" t="e">
        <f t="shared" si="55"/>
        <v>#REF!</v>
      </c>
      <c r="CJ29" s="290" t="e">
        <f t="shared" si="56"/>
        <v>#REF!</v>
      </c>
      <c r="CK29" s="291" t="e">
        <f t="shared" si="38"/>
        <v>#REF!</v>
      </c>
      <c r="CL29" s="203">
        <f>_xlfn.XLOOKUP(B29,'[1]Рассчет акции'!$A:$A,'[1]Рассчет акции'!$W:$W,0)</f>
        <v>12</v>
      </c>
      <c r="CM29" s="424">
        <f>_xlfn.XLOOKUP(B29,'[1]Рассчет акции'!$A:$A,'[1]Рассчет акции'!$X:$X,0)</f>
        <v>999</v>
      </c>
      <c r="CN29" s="294" t="e">
        <f t="shared" si="39"/>
        <v>#REF!</v>
      </c>
      <c r="CO29" s="433">
        <f t="shared" si="51"/>
        <v>566.1</v>
      </c>
      <c r="CP29" s="507">
        <f>_xlfn.XLOOKUP(B29,'[1]Рассчет акции'!$A:$A,'[1]Рассчет акции'!$Z:$Z,0)</f>
        <v>0</v>
      </c>
    </row>
    <row r="30" spans="1:94" ht="25.5" customHeight="1" x14ac:dyDescent="0.25">
      <c r="A30" s="162">
        <v>419145389</v>
      </c>
      <c r="B30" s="164">
        <v>2415742912</v>
      </c>
      <c r="C30" s="162" t="s">
        <v>410</v>
      </c>
      <c r="D30" s="163" t="s">
        <v>400</v>
      </c>
      <c r="E30" s="164">
        <v>2044025316447</v>
      </c>
      <c r="F30" s="284">
        <f t="shared" si="57"/>
        <v>72.478676069485573</v>
      </c>
      <c r="G30" s="147">
        <f t="shared" si="1"/>
        <v>0.11842920926386531</v>
      </c>
      <c r="H30" s="439">
        <f>IF(_xlfn.XLOOKUP($C30,'Юнит Карго'!$A:$A,'Юнит Карго'!$G:$G)=0,_xlfn.XLOOKUP(E30,'Себес 1С текущ'!G:G,'Себес 1С текущ'!H:H),_xlfn.XLOOKUP($C30,'Юнит Карго'!$A:$A,'Юнит Карго'!$P:$P,0,0))</f>
        <v>50.478676069485573</v>
      </c>
      <c r="I30" s="268">
        <f>_xlfn.XLOOKUP(E30,[3]ТЗ_ФФ!$D:$D,[3]ТЗ_ФФ!$BG:$BG,0)</f>
        <v>14</v>
      </c>
      <c r="J30" s="269">
        <f t="shared" si="2"/>
        <v>8</v>
      </c>
      <c r="K30" s="273">
        <f t="shared" si="3"/>
        <v>0.51200000000000001</v>
      </c>
      <c r="L30" s="146">
        <v>8</v>
      </c>
      <c r="M30" s="146">
        <v>8</v>
      </c>
      <c r="N30" s="146">
        <v>8</v>
      </c>
      <c r="O30" s="150">
        <f>_xlfn.XLOOKUP($C30,'Юнит Карго'!$A:$A,'Юнит Карго'!$T:$T,0,0)</f>
        <v>0.06</v>
      </c>
      <c r="P30" s="127" t="s">
        <v>75</v>
      </c>
      <c r="Q30" s="146"/>
      <c r="R30" s="292"/>
      <c r="S30" s="285">
        <f t="shared" si="4"/>
        <v>612</v>
      </c>
      <c r="T30" s="286" t="str">
        <f>_xlfn.XLOOKUP(E30,'[2]Рассчет акции'!$D:$D,'[2]Рассчет акции'!$G:$G,0)</f>
        <v>1020</v>
      </c>
      <c r="U30" s="417">
        <f>_xlfn.XLOOKUP(E30,'[2]Рассчет акции'!$D:$D,'[2]Рассчет акции'!$F:$F,0)</f>
        <v>0.4</v>
      </c>
      <c r="V30" s="235">
        <f t="shared" si="40"/>
        <v>347.75360000000001</v>
      </c>
      <c r="W30" s="288">
        <f t="shared" si="41"/>
        <v>0.56822483660130718</v>
      </c>
      <c r="X30" s="289">
        <f>IF(K30&gt;1,('Тарифы ВБ'!$B$9+(K30-1)*'Тарифы ВБ'!$B$10)*'Тарифы ВБ'!$B$15*'Тарифы ВБ'!$B$12+S30*'Тарифы ВБ'!$B$13,'Тарифы ВБ'!$B$8*'Тарифы ВБ'!$B$15*'Тарифы ВБ'!$B$12+S30*'Тарифы ВБ'!$B$13)</f>
        <v>72.613600000000005</v>
      </c>
      <c r="Y30" s="289">
        <f>IF(K30&gt;1,'Тарифы ВБ'!$B$9+(K30-1)*'Тарифы ВБ'!$B$10,'Тарифы ВБ'!$B$8)</f>
        <v>32</v>
      </c>
      <c r="Z30" s="289">
        <f t="shared" si="42"/>
        <v>104.61360000000001</v>
      </c>
      <c r="AA30" s="236">
        <f t="shared" si="43"/>
        <v>0.17093725490196079</v>
      </c>
      <c r="AB30" s="237">
        <f>IF(K30&gt;1,'Тарифы ВБ'!$B$14*'Тарифы ВБ'!$B$16*'Тарифы ВБ'!$B$15+(K30-1)*'Тарифы ВБ'!$B$14,'Тарифы ВБ'!$B$14*'Тарифы ВБ'!B$16*'Тарифы ВБ'!$B$15)</f>
        <v>32</v>
      </c>
      <c r="AC30" s="287">
        <f t="shared" si="5"/>
        <v>136.61360000000002</v>
      </c>
      <c r="AD30" s="240">
        <f t="shared" si="6"/>
        <v>0.22322483660130721</v>
      </c>
      <c r="AE30" s="241">
        <v>0.315</v>
      </c>
      <c r="AF30" s="289">
        <f t="shared" si="7"/>
        <v>192.78</v>
      </c>
      <c r="AG30" s="364">
        <f t="shared" si="8"/>
        <v>0</v>
      </c>
      <c r="AH30" s="364">
        <f t="shared" si="9"/>
        <v>18.36</v>
      </c>
      <c r="AI30" s="149">
        <f t="shared" si="10"/>
        <v>420.23227606948558</v>
      </c>
      <c r="AJ30" s="447">
        <f t="shared" si="11"/>
        <v>0.24334595413482749</v>
      </c>
      <c r="AK30" s="450">
        <f t="shared" si="12"/>
        <v>191.76772393051442</v>
      </c>
      <c r="AL30" s="450">
        <f t="shared" si="13"/>
        <v>148.92772393051442</v>
      </c>
      <c r="AM30" s="447">
        <f t="shared" si="14"/>
        <v>2.9503096262966655</v>
      </c>
      <c r="AN30" s="458">
        <v>619</v>
      </c>
      <c r="AO30" s="459">
        <f t="shared" si="15"/>
        <v>198.76772393051442</v>
      </c>
      <c r="AP30" s="459">
        <f t="shared" si="16"/>
        <v>155.43772393051441</v>
      </c>
      <c r="AQ30" s="463">
        <f t="shared" si="17"/>
        <v>3.0792749737839644</v>
      </c>
      <c r="AR30" s="464">
        <f t="shared" si="18"/>
        <v>0.25111102412037867</v>
      </c>
      <c r="AS30" s="487" t="str">
        <f>IFERROR(_xlfn.XLOOKUP(A30,'[2]Рассчет акции'!$A:$A,'[2]Рассчет акции'!$BH:$BH),0)</f>
        <v>*</v>
      </c>
      <c r="AT30" s="487">
        <f>IFERROR(_xlfn.XLOOKUP($A30,'[2]Рассчет акции'!$A:$A,'[2]Рассчет акции'!$BC:$BC),0)</f>
        <v>612</v>
      </c>
      <c r="AU30" s="409">
        <f t="shared" si="19"/>
        <v>0.24334595413482749</v>
      </c>
      <c r="AV30" s="407">
        <f t="shared" si="20"/>
        <v>191.76772393051442</v>
      </c>
      <c r="AW30" s="407">
        <f t="shared" si="21"/>
        <v>148.92772393051442</v>
      </c>
      <c r="AX30" s="409">
        <f t="shared" si="22"/>
        <v>2.9503096262966655</v>
      </c>
      <c r="AY30" s="293">
        <f>IFERROR(_xlfn.XLOOKUP(E30,'[2]Рассчет акции'!$D:$D,'[2]Рассчет акции'!$BM:$BM),0)</f>
        <v>118</v>
      </c>
      <c r="AZ30" s="203">
        <f>IFERROR(_xlfn.XLOOKUP(E30,'[2]Рассчет акции'!$D:$D,'[2]Рассчет акции'!$BN:$BN),0)</f>
        <v>717</v>
      </c>
      <c r="BA30" s="294">
        <f t="shared" si="23"/>
        <v>12.123931284520253</v>
      </c>
      <c r="BB30" s="292"/>
      <c r="BC30" s="497" t="e">
        <f xml:space="preserve"> _xlfn.XLOOKUP(B30,#REF!,#REF!,0)</f>
        <v>#REF!</v>
      </c>
      <c r="BD30" s="500" t="e">
        <f t="shared" si="52"/>
        <v>#REF!</v>
      </c>
      <c r="BE30" s="501">
        <f>_xlfn.XLOOKUP($B30,'[1]Рассчет акции'!$A:$A,'[1]Рассчет акции'!$J:$J)</f>
        <v>0.3498039215686275</v>
      </c>
      <c r="BF30" s="191" t="e">
        <f t="shared" si="44"/>
        <v>#REF!</v>
      </c>
      <c r="BG30" s="192">
        <f t="shared" si="24"/>
        <v>0</v>
      </c>
      <c r="BH30" s="193">
        <v>0.37</v>
      </c>
      <c r="BI30" s="194" t="e">
        <f t="shared" si="25"/>
        <v>#REF!</v>
      </c>
      <c r="BJ30" s="195" t="e">
        <f t="shared" si="45"/>
        <v>#REF!</v>
      </c>
      <c r="BK30" s="422">
        <f t="shared" si="26"/>
        <v>0</v>
      </c>
      <c r="BL30" s="196">
        <f>(IF(K30&gt;$BL$3,('Тарифы ОЗОН'!$G$3+ROUNDUP(K30-$BL$3,0)*'Тарифы ОЗОН'!$G$4),'Тарифы ОЗОН'!$G$3))</f>
        <v>46.77</v>
      </c>
      <c r="BM30" s="196">
        <f t="shared" si="27"/>
        <v>35</v>
      </c>
      <c r="BN30" s="197">
        <f>_xlfn.XLOOKUP(BM30,'Тарифы ОЗОН'!$A:$A,'Тарифы ОЗОН'!$B:$B)</f>
        <v>1.32</v>
      </c>
      <c r="BO30" s="198">
        <f>_xlfn.XLOOKUP(BM30,'Тарифы ОЗОН'!$A:$A,'Тарифы ОЗОН'!C:C)</f>
        <v>1.6E-2</v>
      </c>
      <c r="BP30" s="199">
        <f t="shared" si="28"/>
        <v>25</v>
      </c>
      <c r="BQ30" s="199" t="e">
        <f t="shared" si="46"/>
        <v>#REF!</v>
      </c>
      <c r="BR30" s="359">
        <f t="shared" si="47"/>
        <v>0.85</v>
      </c>
      <c r="BS30" s="199" t="e">
        <f t="shared" si="48"/>
        <v>#REF!</v>
      </c>
      <c r="BT30" s="200">
        <f t="shared" si="29"/>
        <v>0</v>
      </c>
      <c r="BU30" s="262" t="e">
        <f t="shared" si="30"/>
        <v>#REF!</v>
      </c>
      <c r="BV30" s="149" t="e">
        <f t="shared" si="31"/>
        <v>#REF!</v>
      </c>
      <c r="BW30" s="291">
        <f t="shared" si="32"/>
        <v>0</v>
      </c>
      <c r="BX30" s="201">
        <f t="shared" si="33"/>
        <v>0</v>
      </c>
      <c r="BY30" s="201" t="e">
        <f t="shared" si="34"/>
        <v>#REF!</v>
      </c>
      <c r="BZ30" s="202">
        <f t="shared" si="35"/>
        <v>0</v>
      </c>
      <c r="CA30" s="425">
        <v>629</v>
      </c>
      <c r="CB30" s="426" t="e">
        <f t="shared" si="49"/>
        <v>#REF!</v>
      </c>
      <c r="CC30" s="427" t="e">
        <f t="shared" si="53"/>
        <v>#REF!</v>
      </c>
      <c r="CD30" s="429" t="e">
        <f t="shared" si="36"/>
        <v>#REF!</v>
      </c>
      <c r="CE30" s="429">
        <f t="shared" si="50"/>
        <v>0</v>
      </c>
      <c r="CF30" s="277">
        <f>_xlfn.XLOOKUP(B30,'[1]Рассчет акции'!$A:$A,'[1]Рассчет акции'!$R:$R,0)</f>
        <v>0</v>
      </c>
      <c r="CG30" s="360">
        <f>_xlfn.XLOOKUP(B30,'[1]Рассчет акции'!$A:$A,'[1]Рассчет акции'!$M:$M,0)</f>
        <v>626</v>
      </c>
      <c r="CH30" s="291">
        <f t="shared" si="54"/>
        <v>0</v>
      </c>
      <c r="CI30" s="290" t="e">
        <f t="shared" si="55"/>
        <v>#REF!</v>
      </c>
      <c r="CJ30" s="290" t="e">
        <f t="shared" si="56"/>
        <v>#REF!</v>
      </c>
      <c r="CK30" s="291" t="e">
        <f t="shared" si="38"/>
        <v>#REF!</v>
      </c>
      <c r="CL30" s="203">
        <f>_xlfn.XLOOKUP(B30,'[1]Рассчет акции'!$A:$A,'[1]Рассчет акции'!$W:$W,0)</f>
        <v>6</v>
      </c>
      <c r="CM30" s="424">
        <f>_xlfn.XLOOKUP(B30,'[1]Рассчет акции'!$A:$A,'[1]Рассчет акции'!$X:$X,0)</f>
        <v>999</v>
      </c>
      <c r="CN30" s="294" t="e">
        <f t="shared" si="39"/>
        <v>#REF!</v>
      </c>
      <c r="CO30" s="433">
        <f t="shared" si="51"/>
        <v>566.1</v>
      </c>
      <c r="CP30" s="507">
        <f>_xlfn.XLOOKUP(B30,'[1]Рассчет акции'!$A:$A,'[1]Рассчет акции'!$Z:$Z,0)</f>
        <v>0</v>
      </c>
    </row>
    <row r="31" spans="1:94" ht="25.5" customHeight="1" x14ac:dyDescent="0.25">
      <c r="A31" s="162">
        <v>419145748</v>
      </c>
      <c r="B31" s="164">
        <v>2415742611</v>
      </c>
      <c r="C31" s="162" t="s">
        <v>411</v>
      </c>
      <c r="D31" s="163" t="s">
        <v>401</v>
      </c>
      <c r="E31" s="164">
        <v>2044025338661</v>
      </c>
      <c r="F31" s="284">
        <f t="shared" si="57"/>
        <v>72.478676069485573</v>
      </c>
      <c r="G31" s="147">
        <f t="shared" si="1"/>
        <v>0.1310171295543846</v>
      </c>
      <c r="H31" s="439">
        <f>IF(_xlfn.XLOOKUP($C31,'Юнит Карго'!$A:$A,'Юнит Карго'!$G:$G)=0,_xlfn.XLOOKUP(E31,'Себес 1С текущ'!G:G,'Себес 1С текущ'!H:H),_xlfn.XLOOKUP($C31,'Юнит Карго'!$A:$A,'Юнит Карго'!$P:$P,0,0))</f>
        <v>50.478676069485573</v>
      </c>
      <c r="I31" s="268">
        <f>_xlfn.XLOOKUP(E31,[3]ТЗ_ФФ!$D:$D,[3]ТЗ_ФФ!$BG:$BG,0)</f>
        <v>14</v>
      </c>
      <c r="J31" s="269">
        <f t="shared" si="2"/>
        <v>8</v>
      </c>
      <c r="K31" s="273">
        <f t="shared" si="3"/>
        <v>0.51200000000000001</v>
      </c>
      <c r="L31" s="146">
        <v>8</v>
      </c>
      <c r="M31" s="146">
        <v>8</v>
      </c>
      <c r="N31" s="146">
        <v>8</v>
      </c>
      <c r="O31" s="150">
        <f>_xlfn.XLOOKUP($C31,'Юнит Карго'!$A:$A,'Юнит Карго'!$T:$T,0,0)</f>
        <v>0.06</v>
      </c>
      <c r="P31" s="127" t="s">
        <v>75</v>
      </c>
      <c r="Q31" s="146"/>
      <c r="R31" s="292"/>
      <c r="S31" s="285">
        <f t="shared" si="4"/>
        <v>553.20000000000005</v>
      </c>
      <c r="T31" s="286" t="str">
        <f>_xlfn.XLOOKUP(E31,'[2]Рассчет акции'!$D:$D,'[2]Рассчет акции'!$G:$G,0)</f>
        <v>922</v>
      </c>
      <c r="U31" s="417">
        <f>_xlfn.XLOOKUP(E31,'[2]Рассчет акции'!$D:$D,'[2]Рассчет акции'!$F:$F,0)</f>
        <v>0.4</v>
      </c>
      <c r="V31" s="235">
        <f t="shared" si="40"/>
        <v>327.00896</v>
      </c>
      <c r="W31" s="288">
        <f t="shared" si="41"/>
        <v>0.59112248734634842</v>
      </c>
      <c r="X31" s="289">
        <f>IF(K31&gt;1,('Тарифы ВБ'!$B$9+(K31-1)*'Тарифы ВБ'!$B$10)*'Тарифы ВБ'!$B$15*'Тарифы ВБ'!$B$12+S31*'Тарифы ВБ'!$B$13,'Тарифы ВБ'!$B$8*'Тарифы ВБ'!$B$15*'Тарифы ВБ'!$B$12+S31*'Тарифы ВБ'!$B$13)</f>
        <v>72.154960000000003</v>
      </c>
      <c r="Y31" s="289">
        <f>IF(K31&gt;1,'Тарифы ВБ'!$B$9+(K31-1)*'Тарифы ВБ'!$B$10,'Тарифы ВБ'!$B$8)</f>
        <v>32</v>
      </c>
      <c r="Z31" s="289">
        <f t="shared" si="42"/>
        <v>104.15496</v>
      </c>
      <c r="AA31" s="236">
        <f t="shared" si="43"/>
        <v>0.18827722342733189</v>
      </c>
      <c r="AB31" s="237">
        <f>IF(K31&gt;1,'Тарифы ВБ'!$B$14*'Тарифы ВБ'!$B$16*'Тарифы ВБ'!$B$15+(K31-1)*'Тарифы ВБ'!$B$14,'Тарифы ВБ'!$B$14*'Тарифы ВБ'!B$16*'Тарифы ВБ'!$B$15)</f>
        <v>32</v>
      </c>
      <c r="AC31" s="287">
        <f t="shared" si="5"/>
        <v>136.15496000000002</v>
      </c>
      <c r="AD31" s="240">
        <f t="shared" si="6"/>
        <v>0.24612248734634853</v>
      </c>
      <c r="AE31" s="241">
        <v>0.315</v>
      </c>
      <c r="AF31" s="289">
        <f t="shared" si="7"/>
        <v>174.25800000000001</v>
      </c>
      <c r="AG31" s="364">
        <f t="shared" si="8"/>
        <v>0</v>
      </c>
      <c r="AH31" s="364">
        <f t="shared" si="9"/>
        <v>16.596</v>
      </c>
      <c r="AI31" s="149">
        <f t="shared" si="10"/>
        <v>399.48763606948557</v>
      </c>
      <c r="AJ31" s="447">
        <f t="shared" si="11"/>
        <v>0.20786038309926691</v>
      </c>
      <c r="AK31" s="450">
        <f t="shared" si="12"/>
        <v>153.71236393051447</v>
      </c>
      <c r="AL31" s="450">
        <f t="shared" si="13"/>
        <v>114.98836393051447</v>
      </c>
      <c r="AM31" s="447">
        <f t="shared" si="14"/>
        <v>2.2779591876028835</v>
      </c>
      <c r="AN31" s="458">
        <v>619</v>
      </c>
      <c r="AO31" s="459">
        <f t="shared" si="15"/>
        <v>219.51236393051443</v>
      </c>
      <c r="AP31" s="459">
        <f t="shared" si="16"/>
        <v>176.18236393051441</v>
      </c>
      <c r="AQ31" s="463">
        <f t="shared" si="17"/>
        <v>3.4902334539834907</v>
      </c>
      <c r="AR31" s="464">
        <f t="shared" si="18"/>
        <v>0.28462417436270504</v>
      </c>
      <c r="AS31" s="487" t="str">
        <f>IFERROR(_xlfn.XLOOKUP(A31,'[2]Рассчет акции'!$A:$A,'[2]Рассчет акции'!$BH:$BH),0)</f>
        <v>*</v>
      </c>
      <c r="AT31" s="487">
        <f>IFERROR(_xlfn.XLOOKUP($A31,'[2]Рассчет акции'!$A:$A,'[2]Рассчет акции'!$BC:$BC),0)</f>
        <v>553</v>
      </c>
      <c r="AU31" s="409">
        <f t="shared" si="19"/>
        <v>0.20759921144758484</v>
      </c>
      <c r="AV31" s="407">
        <f t="shared" si="20"/>
        <v>153.51236393051443</v>
      </c>
      <c r="AW31" s="407">
        <f t="shared" si="21"/>
        <v>114.80236393051442</v>
      </c>
      <c r="AX31" s="409">
        <f t="shared" si="22"/>
        <v>2.2742744633889598</v>
      </c>
      <c r="AY31" s="293">
        <f>IFERROR(_xlfn.XLOOKUP(E31,'[2]Рассчет акции'!$D:$D,'[2]Рассчет акции'!$BM:$BM),0)</f>
        <v>109</v>
      </c>
      <c r="AZ31" s="203">
        <f>IFERROR(_xlfn.XLOOKUP(E31,'[2]Рассчет акции'!$D:$D,'[2]Рассчет акции'!$BN:$BN),0)</f>
        <v>999</v>
      </c>
      <c r="BA31" s="294">
        <f t="shared" si="23"/>
        <v>10.959082984634975</v>
      </c>
      <c r="BB31" s="292"/>
      <c r="BC31" s="497" t="e">
        <f xml:space="preserve"> _xlfn.XLOOKUP(B31,#REF!,#REF!,0)</f>
        <v>#REF!</v>
      </c>
      <c r="BD31" s="500" t="e">
        <f t="shared" si="52"/>
        <v>#REF!</v>
      </c>
      <c r="BE31" s="501">
        <f>_xlfn.XLOOKUP($B31,'[1]Рассчет акции'!$A:$A,'[1]Рассчет акции'!$J:$J)</f>
        <v>0.3498039215686275</v>
      </c>
      <c r="BF31" s="191" t="e">
        <f t="shared" si="44"/>
        <v>#REF!</v>
      </c>
      <c r="BG31" s="192">
        <f t="shared" si="24"/>
        <v>0</v>
      </c>
      <c r="BH31" s="193">
        <v>0.37</v>
      </c>
      <c r="BI31" s="194" t="e">
        <f t="shared" si="25"/>
        <v>#REF!</v>
      </c>
      <c r="BJ31" s="195" t="e">
        <f t="shared" si="45"/>
        <v>#REF!</v>
      </c>
      <c r="BK31" s="422">
        <f t="shared" si="26"/>
        <v>0</v>
      </c>
      <c r="BL31" s="196">
        <f>(IF(K31&gt;$BL$3,('Тарифы ОЗОН'!$G$3+ROUNDUP(K31-$BL$3,0)*'Тарифы ОЗОН'!$G$4),'Тарифы ОЗОН'!$G$3))</f>
        <v>46.77</v>
      </c>
      <c r="BM31" s="196">
        <f t="shared" si="27"/>
        <v>35</v>
      </c>
      <c r="BN31" s="197">
        <f>_xlfn.XLOOKUP(BM31,'Тарифы ОЗОН'!$A:$A,'Тарифы ОЗОН'!$B:$B)</f>
        <v>1.32</v>
      </c>
      <c r="BO31" s="198">
        <f>_xlfn.XLOOKUP(BM31,'Тарифы ОЗОН'!$A:$A,'Тарифы ОЗОН'!C:C)</f>
        <v>1.6E-2</v>
      </c>
      <c r="BP31" s="199">
        <f t="shared" si="28"/>
        <v>25</v>
      </c>
      <c r="BQ31" s="199" t="e">
        <f t="shared" si="46"/>
        <v>#REF!</v>
      </c>
      <c r="BR31" s="359">
        <f t="shared" si="47"/>
        <v>0.85</v>
      </c>
      <c r="BS31" s="199" t="e">
        <f t="shared" si="48"/>
        <v>#REF!</v>
      </c>
      <c r="BT31" s="200">
        <f t="shared" si="29"/>
        <v>0</v>
      </c>
      <c r="BU31" s="262" t="e">
        <f t="shared" si="30"/>
        <v>#REF!</v>
      </c>
      <c r="BV31" s="149" t="e">
        <f t="shared" si="31"/>
        <v>#REF!</v>
      </c>
      <c r="BW31" s="291">
        <f t="shared" si="32"/>
        <v>0</v>
      </c>
      <c r="BX31" s="201">
        <f t="shared" si="33"/>
        <v>0</v>
      </c>
      <c r="BY31" s="201" t="e">
        <f t="shared" si="34"/>
        <v>#REF!</v>
      </c>
      <c r="BZ31" s="202">
        <f t="shared" si="35"/>
        <v>0</v>
      </c>
      <c r="CA31" s="425">
        <v>629</v>
      </c>
      <c r="CB31" s="426" t="e">
        <f t="shared" si="49"/>
        <v>#REF!</v>
      </c>
      <c r="CC31" s="427" t="e">
        <f t="shared" si="53"/>
        <v>#REF!</v>
      </c>
      <c r="CD31" s="429" t="e">
        <f t="shared" si="36"/>
        <v>#REF!</v>
      </c>
      <c r="CE31" s="429">
        <f t="shared" si="50"/>
        <v>0</v>
      </c>
      <c r="CF31" s="277">
        <f>_xlfn.XLOOKUP(B31,'[1]Рассчет акции'!$A:$A,'[1]Рассчет акции'!$R:$R,0)</f>
        <v>0</v>
      </c>
      <c r="CG31" s="360">
        <f>_xlfn.XLOOKUP(B31,'[1]Рассчет акции'!$A:$A,'[1]Рассчет акции'!$M:$M,0)</f>
        <v>626</v>
      </c>
      <c r="CH31" s="291">
        <f t="shared" si="54"/>
        <v>0</v>
      </c>
      <c r="CI31" s="290" t="e">
        <f t="shared" si="55"/>
        <v>#REF!</v>
      </c>
      <c r="CJ31" s="290" t="e">
        <f t="shared" si="56"/>
        <v>#REF!</v>
      </c>
      <c r="CK31" s="291" t="e">
        <f t="shared" si="38"/>
        <v>#REF!</v>
      </c>
      <c r="CL31" s="203">
        <f>_xlfn.XLOOKUP(B31,'[1]Рассчет акции'!$A:$A,'[1]Рассчет акции'!$W:$W,0)</f>
        <v>8</v>
      </c>
      <c r="CM31" s="424">
        <f>_xlfn.XLOOKUP(B31,'[1]Рассчет акции'!$A:$A,'[1]Рассчет акции'!$X:$X,0)</f>
        <v>999</v>
      </c>
      <c r="CN31" s="294" t="e">
        <f t="shared" si="39"/>
        <v>#REF!</v>
      </c>
      <c r="CO31" s="433">
        <f t="shared" si="51"/>
        <v>566.1</v>
      </c>
      <c r="CP31" s="507">
        <f>_xlfn.XLOOKUP(B31,'[1]Рассчет акции'!$A:$A,'[1]Рассчет акции'!$Z:$Z,0)</f>
        <v>0</v>
      </c>
    </row>
    <row r="32" spans="1:94" ht="25.5" customHeight="1" x14ac:dyDescent="0.25">
      <c r="A32" s="162">
        <v>419141548</v>
      </c>
      <c r="B32" s="164">
        <v>2415742942</v>
      </c>
      <c r="C32" s="162" t="s">
        <v>412</v>
      </c>
      <c r="D32" s="163" t="s">
        <v>402</v>
      </c>
      <c r="E32" s="164">
        <v>2044025288003</v>
      </c>
      <c r="F32" s="284">
        <f t="shared" si="57"/>
        <v>72.478676069485573</v>
      </c>
      <c r="G32" s="147">
        <f t="shared" si="1"/>
        <v>0.12226497312666258</v>
      </c>
      <c r="H32" s="439">
        <f>IF(_xlfn.XLOOKUP($C32,'Юнит Карго'!$A:$A,'Юнит Карго'!$G:$G)=0,_xlfn.XLOOKUP(E32,'Себес 1С текущ'!G:G,'Себес 1С текущ'!H:H),_xlfn.XLOOKUP($C32,'Юнит Карго'!$A:$A,'Юнит Карго'!$P:$P,0,0))</f>
        <v>50.478676069485573</v>
      </c>
      <c r="I32" s="268">
        <f>_xlfn.XLOOKUP(E32,[3]ТЗ_ФФ!$D:$D,[3]ТЗ_ФФ!$BG:$BG,0)</f>
        <v>14</v>
      </c>
      <c r="J32" s="269">
        <f t="shared" si="2"/>
        <v>8</v>
      </c>
      <c r="K32" s="273">
        <f t="shared" si="3"/>
        <v>0.51200000000000001</v>
      </c>
      <c r="L32" s="146">
        <v>8</v>
      </c>
      <c r="M32" s="146">
        <v>8</v>
      </c>
      <c r="N32" s="146">
        <v>8</v>
      </c>
      <c r="O32" s="150">
        <f>_xlfn.XLOOKUP($C32,'Юнит Карго'!$A:$A,'Юнит Карго'!$T:$T,0,0)</f>
        <v>0.06</v>
      </c>
      <c r="P32" s="127" t="s">
        <v>75</v>
      </c>
      <c r="Q32" s="146"/>
      <c r="R32" s="292"/>
      <c r="S32" s="285">
        <f t="shared" si="4"/>
        <v>592.79999999999995</v>
      </c>
      <c r="T32" s="286" t="str">
        <f>_xlfn.XLOOKUP(E32,'[2]Рассчет акции'!$D:$D,'[2]Рассчет акции'!$G:$G,0)</f>
        <v>988</v>
      </c>
      <c r="U32" s="417">
        <f>_xlfn.XLOOKUP(E32,'[2]Рассчет акции'!$D:$D,'[2]Рассчет акции'!$F:$F,0)</f>
        <v>0.4</v>
      </c>
      <c r="V32" s="235">
        <f t="shared" si="40"/>
        <v>340.97983999999997</v>
      </c>
      <c r="W32" s="288">
        <f t="shared" si="41"/>
        <v>0.57520215924426454</v>
      </c>
      <c r="X32" s="289">
        <f>IF(K32&gt;1,('Тарифы ВБ'!$B$9+(K32-1)*'Тарифы ВБ'!$B$10)*'Тарифы ВБ'!$B$15*'Тарифы ВБ'!$B$12+S32*'Тарифы ВБ'!$B$13,'Тарифы ВБ'!$B$8*'Тарифы ВБ'!$B$15*'Тарифы ВБ'!$B$12+S32*'Тарифы ВБ'!$B$13)</f>
        <v>72.463840000000005</v>
      </c>
      <c r="Y32" s="289">
        <f>IF(K32&gt;1,'Тарифы ВБ'!$B$9+(K32-1)*'Тарифы ВБ'!$B$10,'Тарифы ВБ'!$B$8)</f>
        <v>32</v>
      </c>
      <c r="Z32" s="289">
        <f t="shared" si="42"/>
        <v>104.46384</v>
      </c>
      <c r="AA32" s="236">
        <f t="shared" si="43"/>
        <v>0.17622105263157897</v>
      </c>
      <c r="AB32" s="237">
        <f>IF(K32&gt;1,'Тарифы ВБ'!$B$14*'Тарифы ВБ'!$B$16*'Тарифы ВБ'!$B$15+(K32-1)*'Тарифы ВБ'!$B$14,'Тарифы ВБ'!$B$14*'Тарифы ВБ'!B$16*'Тарифы ВБ'!$B$15)</f>
        <v>32</v>
      </c>
      <c r="AC32" s="287">
        <f t="shared" si="5"/>
        <v>136.46384</v>
      </c>
      <c r="AD32" s="240">
        <f t="shared" si="6"/>
        <v>0.23020215924426454</v>
      </c>
      <c r="AE32" s="241">
        <v>0.315</v>
      </c>
      <c r="AF32" s="289">
        <f t="shared" si="7"/>
        <v>186.732</v>
      </c>
      <c r="AG32" s="364">
        <f t="shared" si="8"/>
        <v>0</v>
      </c>
      <c r="AH32" s="364">
        <f t="shared" si="9"/>
        <v>17.783999999999999</v>
      </c>
      <c r="AI32" s="149">
        <f t="shared" si="10"/>
        <v>413.45851606948554</v>
      </c>
      <c r="AJ32" s="447">
        <f t="shared" si="11"/>
        <v>0.23253286762907291</v>
      </c>
      <c r="AK32" s="450">
        <f t="shared" si="12"/>
        <v>179.34148393051441</v>
      </c>
      <c r="AL32" s="450">
        <f t="shared" si="13"/>
        <v>137.8454839305144</v>
      </c>
      <c r="AM32" s="447">
        <f t="shared" si="14"/>
        <v>2.7307666259068588</v>
      </c>
      <c r="AN32" s="458">
        <v>619</v>
      </c>
      <c r="AO32" s="459">
        <f t="shared" si="15"/>
        <v>205.54148393051446</v>
      </c>
      <c r="AP32" s="459">
        <f t="shared" si="16"/>
        <v>162.21148393051445</v>
      </c>
      <c r="AQ32" s="463">
        <f t="shared" si="17"/>
        <v>3.2134654979307493</v>
      </c>
      <c r="AR32" s="464">
        <f t="shared" si="18"/>
        <v>0.26205409358726084</v>
      </c>
      <c r="AS32" s="487" t="str">
        <f>IFERROR(_xlfn.XLOOKUP(A32,'[2]Рассчет акции'!$A:$A,'[2]Рассчет акции'!$BH:$BH),0)</f>
        <v>*</v>
      </c>
      <c r="AT32" s="487">
        <f>IFERROR(_xlfn.XLOOKUP($A32,'[2]Рассчет акции'!$A:$A,'[2]Рассчет акции'!$BC:$BC),0)</f>
        <v>593</v>
      </c>
      <c r="AU32" s="409">
        <f t="shared" si="19"/>
        <v>0.23276810106326218</v>
      </c>
      <c r="AV32" s="407">
        <f t="shared" si="20"/>
        <v>179.54148393051446</v>
      </c>
      <c r="AW32" s="407">
        <f t="shared" si="21"/>
        <v>138.03148393051447</v>
      </c>
      <c r="AX32" s="409">
        <f t="shared" si="22"/>
        <v>2.7344513501207826</v>
      </c>
      <c r="AY32" s="293">
        <f>IFERROR(_xlfn.XLOOKUP(E32,'[2]Рассчет акции'!$D:$D,'[2]Рассчет акции'!$BM:$BM),0)</f>
        <v>76</v>
      </c>
      <c r="AZ32" s="203">
        <f>IFERROR(_xlfn.XLOOKUP(E32,'[2]Рассчет акции'!$D:$D,'[2]Рассчет акции'!$BN:$BN),0)</f>
        <v>258</v>
      </c>
      <c r="BA32" s="294">
        <f t="shared" si="23"/>
        <v>11.743572655986284</v>
      </c>
      <c r="BB32" s="292"/>
      <c r="BC32" s="497" t="e">
        <f xml:space="preserve"> _xlfn.XLOOKUP(B32,#REF!,#REF!,0)</f>
        <v>#REF!</v>
      </c>
      <c r="BD32" s="500" t="e">
        <f t="shared" si="52"/>
        <v>#REF!</v>
      </c>
      <c r="BE32" s="501">
        <f>_xlfn.XLOOKUP($B32,'[1]Рассчет акции'!$A:$A,'[1]Рассчет акции'!$J:$J)</f>
        <v>0.3498039215686275</v>
      </c>
      <c r="BF32" s="191" t="e">
        <f t="shared" si="44"/>
        <v>#REF!</v>
      </c>
      <c r="BG32" s="192">
        <f t="shared" si="24"/>
        <v>0</v>
      </c>
      <c r="BH32" s="193">
        <v>0.37</v>
      </c>
      <c r="BI32" s="194" t="e">
        <f t="shared" si="25"/>
        <v>#REF!</v>
      </c>
      <c r="BJ32" s="195" t="e">
        <f t="shared" si="45"/>
        <v>#REF!</v>
      </c>
      <c r="BK32" s="422">
        <f t="shared" si="26"/>
        <v>0</v>
      </c>
      <c r="BL32" s="196">
        <f>(IF(K32&gt;$BL$3,('Тарифы ОЗОН'!$G$3+ROUNDUP(K32-$BL$3,0)*'Тарифы ОЗОН'!$G$4),'Тарифы ОЗОН'!$G$3))</f>
        <v>46.77</v>
      </c>
      <c r="BM32" s="196">
        <f t="shared" si="27"/>
        <v>35</v>
      </c>
      <c r="BN32" s="197">
        <f>_xlfn.XLOOKUP(BM32,'Тарифы ОЗОН'!$A:$A,'Тарифы ОЗОН'!$B:$B)</f>
        <v>1.32</v>
      </c>
      <c r="BO32" s="198">
        <f>_xlfn.XLOOKUP(BM32,'Тарифы ОЗОН'!$A:$A,'Тарифы ОЗОН'!C:C)</f>
        <v>1.6E-2</v>
      </c>
      <c r="BP32" s="199">
        <f t="shared" si="28"/>
        <v>25</v>
      </c>
      <c r="BQ32" s="199" t="e">
        <f t="shared" si="46"/>
        <v>#REF!</v>
      </c>
      <c r="BR32" s="359">
        <f t="shared" si="47"/>
        <v>0.85</v>
      </c>
      <c r="BS32" s="199" t="e">
        <f t="shared" si="48"/>
        <v>#REF!</v>
      </c>
      <c r="BT32" s="200">
        <f t="shared" si="29"/>
        <v>0</v>
      </c>
      <c r="BU32" s="262" t="e">
        <f t="shared" si="30"/>
        <v>#REF!</v>
      </c>
      <c r="BV32" s="149" t="e">
        <f t="shared" si="31"/>
        <v>#REF!</v>
      </c>
      <c r="BW32" s="291">
        <f t="shared" si="32"/>
        <v>0</v>
      </c>
      <c r="BX32" s="201">
        <f t="shared" si="33"/>
        <v>0</v>
      </c>
      <c r="BY32" s="201" t="e">
        <f t="shared" si="34"/>
        <v>#REF!</v>
      </c>
      <c r="BZ32" s="202">
        <f t="shared" si="35"/>
        <v>0</v>
      </c>
      <c r="CA32" s="425">
        <v>629</v>
      </c>
      <c r="CB32" s="426" t="e">
        <f t="shared" si="49"/>
        <v>#REF!</v>
      </c>
      <c r="CC32" s="427" t="e">
        <f t="shared" si="53"/>
        <v>#REF!</v>
      </c>
      <c r="CD32" s="429" t="e">
        <f t="shared" si="36"/>
        <v>#REF!</v>
      </c>
      <c r="CE32" s="429">
        <f t="shared" si="50"/>
        <v>0</v>
      </c>
      <c r="CF32" s="277">
        <f>_xlfn.XLOOKUP(B32,'[1]Рассчет акции'!$A:$A,'[1]Рассчет акции'!$R:$R,0)</f>
        <v>0</v>
      </c>
      <c r="CG32" s="360">
        <f>_xlfn.XLOOKUP(B32,'[1]Рассчет акции'!$A:$A,'[1]Рассчет акции'!$M:$M,0)</f>
        <v>626</v>
      </c>
      <c r="CH32" s="291">
        <f t="shared" si="54"/>
        <v>0</v>
      </c>
      <c r="CI32" s="290" t="e">
        <f t="shared" si="55"/>
        <v>#REF!</v>
      </c>
      <c r="CJ32" s="290" t="e">
        <f t="shared" si="56"/>
        <v>#REF!</v>
      </c>
      <c r="CK32" s="291" t="e">
        <f t="shared" si="38"/>
        <v>#REF!</v>
      </c>
      <c r="CL32" s="203">
        <f>_xlfn.XLOOKUP(B32,'[1]Рассчет акции'!$A:$A,'[1]Рассчет акции'!$W:$W,0)</f>
        <v>5</v>
      </c>
      <c r="CM32" s="424">
        <f>_xlfn.XLOOKUP(B32,'[1]Рассчет акции'!$A:$A,'[1]Рассчет акции'!$X:$X,0)</f>
        <v>999</v>
      </c>
      <c r="CN32" s="294" t="e">
        <f t="shared" si="39"/>
        <v>#REF!</v>
      </c>
      <c r="CO32" s="433">
        <f t="shared" si="51"/>
        <v>566.1</v>
      </c>
      <c r="CP32" s="507">
        <f>_xlfn.XLOOKUP(B32,'[1]Рассчет акции'!$A:$A,'[1]Рассчет акции'!$Z:$Z,0)</f>
        <v>0</v>
      </c>
    </row>
    <row r="33" spans="1:94" ht="25.5" customHeight="1" x14ac:dyDescent="0.25">
      <c r="A33" s="162">
        <v>419145985</v>
      </c>
      <c r="B33" s="164">
        <v>2415742795</v>
      </c>
      <c r="C33" s="162" t="s">
        <v>413</v>
      </c>
      <c r="D33" s="163" t="s">
        <v>403</v>
      </c>
      <c r="E33" s="164">
        <v>2044025344532</v>
      </c>
      <c r="F33" s="284">
        <f t="shared" si="57"/>
        <v>72.478676069485573</v>
      </c>
      <c r="G33" s="147">
        <f t="shared" si="1"/>
        <v>0.13130194940124199</v>
      </c>
      <c r="H33" s="439">
        <f>IF(_xlfn.XLOOKUP($C33,'Юнит Карго'!$A:$A,'Юнит Карго'!$G:$G)=0,_xlfn.XLOOKUP(E33,'Себес 1С текущ'!G:G,'Себес 1С текущ'!H:H),_xlfn.XLOOKUP($C33,'Юнит Карго'!$A:$A,'Юнит Карго'!$P:$P,0,0))</f>
        <v>50.478676069485573</v>
      </c>
      <c r="I33" s="268">
        <f>_xlfn.XLOOKUP(E33,[3]ТЗ_ФФ!$D:$D,[3]ТЗ_ФФ!$BG:$BG,0)</f>
        <v>14</v>
      </c>
      <c r="J33" s="269">
        <f t="shared" si="2"/>
        <v>8</v>
      </c>
      <c r="K33" s="273">
        <f t="shared" si="3"/>
        <v>0.51200000000000001</v>
      </c>
      <c r="L33" s="146">
        <v>8</v>
      </c>
      <c r="M33" s="146">
        <v>8</v>
      </c>
      <c r="N33" s="146">
        <v>8</v>
      </c>
      <c r="O33" s="150">
        <f>_xlfn.XLOOKUP($C33,'Юнит Карго'!$A:$A,'Юнит Карго'!$T:$T,0,0)</f>
        <v>0.06</v>
      </c>
      <c r="P33" s="127" t="s">
        <v>75</v>
      </c>
      <c r="Q33" s="146"/>
      <c r="R33" s="292"/>
      <c r="S33" s="285">
        <f t="shared" si="4"/>
        <v>552</v>
      </c>
      <c r="T33" s="286" t="str">
        <f>_xlfn.XLOOKUP(E33,'[2]Рассчет акции'!$D:$D,'[2]Рассчет акции'!$G:$G,0)</f>
        <v>920</v>
      </c>
      <c r="U33" s="417">
        <f>_xlfn.XLOOKUP(E33,'[2]Рассчет акции'!$D:$D,'[2]Рассчет акции'!$F:$F,0)</f>
        <v>0.4</v>
      </c>
      <c r="V33" s="235">
        <f t="shared" si="40"/>
        <v>326.5856</v>
      </c>
      <c r="W33" s="288">
        <f t="shared" si="41"/>
        <v>0.59164057971014494</v>
      </c>
      <c r="X33" s="289">
        <f>IF(K33&gt;1,('Тарифы ВБ'!$B$9+(K33-1)*'Тарифы ВБ'!$B$10)*'Тарифы ВБ'!$B$15*'Тарифы ВБ'!$B$12+S33*'Тарифы ВБ'!$B$13,'Тарифы ВБ'!$B$8*'Тарифы ВБ'!$B$15*'Тарифы ВБ'!$B$12+S33*'Тарифы ВБ'!$B$13)</f>
        <v>72.145600000000002</v>
      </c>
      <c r="Y33" s="289">
        <f>IF(K33&gt;1,'Тарифы ВБ'!$B$9+(K33-1)*'Тарифы ВБ'!$B$10,'Тарифы ВБ'!$B$8)</f>
        <v>32</v>
      </c>
      <c r="Z33" s="289">
        <f t="shared" si="42"/>
        <v>104.1456</v>
      </c>
      <c r="AA33" s="236">
        <f t="shared" si="43"/>
        <v>0.18866956521739131</v>
      </c>
      <c r="AB33" s="237">
        <f>IF(K33&gt;1,'Тарифы ВБ'!$B$14*'Тарифы ВБ'!$B$16*'Тарифы ВБ'!$B$15+(K33-1)*'Тарифы ВБ'!$B$14,'Тарифы ВБ'!$B$14*'Тарифы ВБ'!B$16*'Тарифы ВБ'!$B$15)</f>
        <v>32</v>
      </c>
      <c r="AC33" s="287">
        <f t="shared" si="5"/>
        <v>136.1456</v>
      </c>
      <c r="AD33" s="240">
        <f t="shared" si="6"/>
        <v>0.24664057971014494</v>
      </c>
      <c r="AE33" s="241">
        <v>0.315</v>
      </c>
      <c r="AF33" s="289">
        <f t="shared" si="7"/>
        <v>173.88</v>
      </c>
      <c r="AG33" s="364">
        <f t="shared" si="8"/>
        <v>0</v>
      </c>
      <c r="AH33" s="364">
        <f t="shared" si="9"/>
        <v>16.559999999999999</v>
      </c>
      <c r="AI33" s="149">
        <f t="shared" si="10"/>
        <v>399.06427606948557</v>
      </c>
      <c r="AJ33" s="447">
        <f t="shared" si="11"/>
        <v>0.20705747088861309</v>
      </c>
      <c r="AK33" s="450">
        <f t="shared" si="12"/>
        <v>152.93572393051443</v>
      </c>
      <c r="AL33" s="450">
        <f t="shared" si="13"/>
        <v>114.29572393051443</v>
      </c>
      <c r="AM33" s="447">
        <f t="shared" si="14"/>
        <v>2.2642377500785198</v>
      </c>
      <c r="AN33" s="458">
        <v>619</v>
      </c>
      <c r="AO33" s="459">
        <f t="shared" si="15"/>
        <v>219.93572393051443</v>
      </c>
      <c r="AP33" s="459">
        <f t="shared" si="16"/>
        <v>176.60572393051442</v>
      </c>
      <c r="AQ33" s="463">
        <f t="shared" si="17"/>
        <v>3.498620361742665</v>
      </c>
      <c r="AR33" s="464">
        <f t="shared" si="18"/>
        <v>0.28530811620438518</v>
      </c>
      <c r="AS33" s="487" t="str">
        <f>IFERROR(_xlfn.XLOOKUP(A33,'[2]Рассчет акции'!$A:$A,'[2]Рассчет акции'!$BH:$BH),0)</f>
        <v>*</v>
      </c>
      <c r="AT33" s="487">
        <f>IFERROR(_xlfn.XLOOKUP($A33,'[2]Рассчет акции'!$A:$A,'[2]Рассчет акции'!$BC:$BC),0)</f>
        <v>552</v>
      </c>
      <c r="AU33" s="409">
        <f t="shared" si="19"/>
        <v>0.20705747088861309</v>
      </c>
      <c r="AV33" s="407">
        <f t="shared" si="20"/>
        <v>152.93572393051443</v>
      </c>
      <c r="AW33" s="407">
        <f t="shared" si="21"/>
        <v>114.29572393051443</v>
      </c>
      <c r="AX33" s="409">
        <f t="shared" si="22"/>
        <v>2.2642377500785198</v>
      </c>
      <c r="AY33" s="293">
        <f>IFERROR(_xlfn.XLOOKUP(E33,'[2]Рассчет акции'!$D:$D,'[2]Рассчет акции'!$BM:$BM),0)</f>
        <v>90</v>
      </c>
      <c r="AZ33" s="203">
        <f>IFERROR(_xlfn.XLOOKUP(E33,'[2]Рассчет акции'!$D:$D,'[2]Рассчет акции'!$BN:$BN),0)</f>
        <v>999</v>
      </c>
      <c r="BA33" s="294">
        <f t="shared" si="23"/>
        <v>10.935310570351602</v>
      </c>
      <c r="BB33" s="292"/>
      <c r="BC33" s="497" t="e">
        <f xml:space="preserve"> _xlfn.XLOOKUP(B33,#REF!,#REF!,0)</f>
        <v>#REF!</v>
      </c>
      <c r="BD33" s="500" t="e">
        <f t="shared" si="52"/>
        <v>#REF!</v>
      </c>
      <c r="BE33" s="501">
        <f>_xlfn.XLOOKUP($B33,'[1]Рассчет акции'!$A:$A,'[1]Рассчет акции'!$J:$J)</f>
        <v>0.3498039215686275</v>
      </c>
      <c r="BF33" s="191" t="e">
        <f t="shared" si="44"/>
        <v>#REF!</v>
      </c>
      <c r="BG33" s="192">
        <f t="shared" si="24"/>
        <v>0</v>
      </c>
      <c r="BH33" s="193">
        <v>0.37</v>
      </c>
      <c r="BI33" s="194" t="e">
        <f t="shared" si="25"/>
        <v>#REF!</v>
      </c>
      <c r="BJ33" s="195" t="e">
        <f t="shared" si="45"/>
        <v>#REF!</v>
      </c>
      <c r="BK33" s="422">
        <f t="shared" si="26"/>
        <v>0</v>
      </c>
      <c r="BL33" s="196">
        <f>(IF(K33&gt;$BL$3,('Тарифы ОЗОН'!$G$3+ROUNDUP(K33-$BL$3,0)*'Тарифы ОЗОН'!$G$4),'Тарифы ОЗОН'!$G$3))</f>
        <v>46.77</v>
      </c>
      <c r="BM33" s="196">
        <f t="shared" si="27"/>
        <v>35</v>
      </c>
      <c r="BN33" s="197">
        <f>_xlfn.XLOOKUP(BM33,'Тарифы ОЗОН'!$A:$A,'Тарифы ОЗОН'!$B:$B)</f>
        <v>1.32</v>
      </c>
      <c r="BO33" s="198">
        <f>_xlfn.XLOOKUP(BM33,'Тарифы ОЗОН'!$A:$A,'Тарифы ОЗОН'!C:C)</f>
        <v>1.6E-2</v>
      </c>
      <c r="BP33" s="199">
        <f t="shared" si="28"/>
        <v>25</v>
      </c>
      <c r="BQ33" s="199" t="e">
        <f t="shared" si="46"/>
        <v>#REF!</v>
      </c>
      <c r="BR33" s="359">
        <f t="shared" si="47"/>
        <v>0.85</v>
      </c>
      <c r="BS33" s="199" t="e">
        <f t="shared" si="48"/>
        <v>#REF!</v>
      </c>
      <c r="BT33" s="200">
        <f t="shared" si="29"/>
        <v>0</v>
      </c>
      <c r="BU33" s="262" t="e">
        <f t="shared" si="30"/>
        <v>#REF!</v>
      </c>
      <c r="BV33" s="149" t="e">
        <f t="shared" si="31"/>
        <v>#REF!</v>
      </c>
      <c r="BW33" s="291">
        <f t="shared" si="32"/>
        <v>0</v>
      </c>
      <c r="BX33" s="201">
        <f t="shared" si="33"/>
        <v>0</v>
      </c>
      <c r="BY33" s="201" t="e">
        <f t="shared" si="34"/>
        <v>#REF!</v>
      </c>
      <c r="BZ33" s="202">
        <f t="shared" si="35"/>
        <v>0</v>
      </c>
      <c r="CA33" s="425">
        <v>629</v>
      </c>
      <c r="CB33" s="426" t="e">
        <f t="shared" si="49"/>
        <v>#REF!</v>
      </c>
      <c r="CC33" s="427" t="e">
        <f t="shared" si="53"/>
        <v>#REF!</v>
      </c>
      <c r="CD33" s="429" t="e">
        <f t="shared" si="36"/>
        <v>#REF!</v>
      </c>
      <c r="CE33" s="429">
        <f t="shared" si="50"/>
        <v>0</v>
      </c>
      <c r="CF33" s="277">
        <f>_xlfn.XLOOKUP(B33,'[1]Рассчет акции'!$A:$A,'[1]Рассчет акции'!$R:$R,0)</f>
        <v>0</v>
      </c>
      <c r="CG33" s="360">
        <f>_xlfn.XLOOKUP(B33,'[1]Рассчет акции'!$A:$A,'[1]Рассчет акции'!$M:$M,0)</f>
        <v>626</v>
      </c>
      <c r="CH33" s="291">
        <f t="shared" si="54"/>
        <v>0</v>
      </c>
      <c r="CI33" s="290" t="e">
        <f t="shared" si="55"/>
        <v>#REF!</v>
      </c>
      <c r="CJ33" s="290" t="e">
        <f t="shared" si="56"/>
        <v>#REF!</v>
      </c>
      <c r="CK33" s="291" t="e">
        <f t="shared" si="38"/>
        <v>#REF!</v>
      </c>
      <c r="CL33" s="203">
        <f>_xlfn.XLOOKUP(B33,'[1]Рассчет акции'!$A:$A,'[1]Рассчет акции'!$W:$W,0)</f>
        <v>8</v>
      </c>
      <c r="CM33" s="424">
        <f>_xlfn.XLOOKUP(B33,'[1]Рассчет акции'!$A:$A,'[1]Рассчет акции'!$X:$X,0)</f>
        <v>999</v>
      </c>
      <c r="CN33" s="294" t="e">
        <f t="shared" si="39"/>
        <v>#REF!</v>
      </c>
      <c r="CO33" s="433">
        <f t="shared" si="51"/>
        <v>566.1</v>
      </c>
      <c r="CP33" s="507">
        <f>_xlfn.XLOOKUP(B33,'[1]Рассчет акции'!$A:$A,'[1]Рассчет акции'!$Z:$Z,0)</f>
        <v>0</v>
      </c>
    </row>
    <row r="34" spans="1:94" ht="25.5" customHeight="1" x14ac:dyDescent="0.25">
      <c r="A34" s="162">
        <v>419145390</v>
      </c>
      <c r="B34" s="164">
        <v>2415742470</v>
      </c>
      <c r="C34" s="162" t="s">
        <v>414</v>
      </c>
      <c r="D34" s="163" t="s">
        <v>404</v>
      </c>
      <c r="E34" s="164">
        <v>2044025321588</v>
      </c>
      <c r="F34" s="284">
        <f t="shared" si="57"/>
        <v>101.29112678247596</v>
      </c>
      <c r="G34" s="147">
        <f t="shared" si="1"/>
        <v>0.14284462950567756</v>
      </c>
      <c r="H34" s="439">
        <f>IF(_xlfn.XLOOKUP($C34,'Юнит Карго'!$A:$A,'Юнит Карго'!$G:$G)=0,_xlfn.XLOOKUP(E34,'Себес 1С текущ'!G:G,'Себес 1С текущ'!H:H),_xlfn.XLOOKUP($C34,'Юнит Карго'!$A:$A,'Юнит Карго'!$P:$P,0,0))</f>
        <v>79.291126782475956</v>
      </c>
      <c r="I34" s="268">
        <f>_xlfn.XLOOKUP(E34,[3]ТЗ_ФФ!$D:$D,[3]ТЗ_ФФ!$BG:$BG,0)</f>
        <v>14</v>
      </c>
      <c r="J34" s="269">
        <f t="shared" si="2"/>
        <v>8</v>
      </c>
      <c r="K34" s="273">
        <f t="shared" si="3"/>
        <v>0.72899999999999998</v>
      </c>
      <c r="L34" s="146">
        <v>9</v>
      </c>
      <c r="M34" s="146">
        <v>9</v>
      </c>
      <c r="N34" s="146">
        <v>9</v>
      </c>
      <c r="O34" s="150">
        <f>_xlfn.XLOOKUP($C34,'Юнит Карго'!$A:$A,'Юнит Карго'!$T:$T,0,0)</f>
        <v>0.1</v>
      </c>
      <c r="P34" s="127" t="s">
        <v>75</v>
      </c>
      <c r="Q34" s="146"/>
      <c r="R34" s="292"/>
      <c r="S34" s="285">
        <f t="shared" si="4"/>
        <v>709.1</v>
      </c>
      <c r="T34" s="286" t="str">
        <f>_xlfn.XLOOKUP(E34,'[2]Рассчет акции'!$D:$D,'[2]Рассчет акции'!$G:$G,0)</f>
        <v>1013</v>
      </c>
      <c r="U34" s="417">
        <f>_xlfn.XLOOKUP(E34,'[2]Рассчет акции'!$D:$D,'[2]Рассчет акции'!$F:$F,0)</f>
        <v>0.3</v>
      </c>
      <c r="V34" s="235">
        <f t="shared" si="40"/>
        <v>382.01048000000003</v>
      </c>
      <c r="W34" s="288">
        <f t="shared" si="41"/>
        <v>0.53872582146382741</v>
      </c>
      <c r="X34" s="289">
        <f>IF(K34&gt;1,('Тарифы ВБ'!$B$9+(K34-1)*'Тарифы ВБ'!$B$10)*'Тарифы ВБ'!$B$15*'Тарифы ВБ'!$B$12+S34*'Тарифы ВБ'!$B$13,'Тарифы ВБ'!$B$8*'Тарифы ВБ'!$B$15*'Тарифы ВБ'!$B$12+S34*'Тарифы ВБ'!$B$13)</f>
        <v>73.370980000000003</v>
      </c>
      <c r="Y34" s="289">
        <f>IF(K34&gt;1,'Тарифы ВБ'!$B$9+(K34-1)*'Тарифы ВБ'!$B$10,'Тарифы ВБ'!$B$8)</f>
        <v>32</v>
      </c>
      <c r="Z34" s="289">
        <f t="shared" si="42"/>
        <v>105.37098</v>
      </c>
      <c r="AA34" s="236">
        <f t="shared" si="43"/>
        <v>0.14859819489493725</v>
      </c>
      <c r="AB34" s="237">
        <f>IF(K34&gt;1,'Тарифы ВБ'!$B$14*'Тарифы ВБ'!$B$16*'Тарифы ВБ'!$B$15+(K34-1)*'Тарифы ВБ'!$B$14,'Тарифы ВБ'!$B$14*'Тарифы ВБ'!B$16*'Тарифы ВБ'!$B$15)</f>
        <v>32</v>
      </c>
      <c r="AC34" s="287">
        <f t="shared" si="5"/>
        <v>137.37098</v>
      </c>
      <c r="AD34" s="240">
        <f t="shared" si="6"/>
        <v>0.19372582146382739</v>
      </c>
      <c r="AE34" s="241">
        <v>0.315</v>
      </c>
      <c r="AF34" s="289">
        <f t="shared" si="7"/>
        <v>223.3665</v>
      </c>
      <c r="AG34" s="364">
        <f t="shared" si="8"/>
        <v>0</v>
      </c>
      <c r="AH34" s="364">
        <f t="shared" si="9"/>
        <v>21.273</v>
      </c>
      <c r="AI34" s="149">
        <f t="shared" si="10"/>
        <v>483.30160678247597</v>
      </c>
      <c r="AJ34" s="447">
        <f t="shared" si="11"/>
        <v>0.24842954903049505</v>
      </c>
      <c r="AK34" s="450">
        <f t="shared" si="12"/>
        <v>225.79839321752405</v>
      </c>
      <c r="AL34" s="450">
        <f t="shared" si="13"/>
        <v>176.16139321752405</v>
      </c>
      <c r="AM34" s="447">
        <f t="shared" si="14"/>
        <v>2.221703743734126</v>
      </c>
      <c r="AN34" s="458">
        <v>709</v>
      </c>
      <c r="AO34" s="459">
        <f t="shared" si="15"/>
        <v>225.69839321752403</v>
      </c>
      <c r="AP34" s="459">
        <f t="shared" si="16"/>
        <v>176.06839321752403</v>
      </c>
      <c r="AQ34" s="463">
        <f t="shared" si="17"/>
        <v>2.2205308508295372</v>
      </c>
      <c r="AR34" s="464">
        <f t="shared" si="18"/>
        <v>0.24833341779622572</v>
      </c>
      <c r="AS34" s="487">
        <f>IFERROR(_xlfn.XLOOKUP(A34,'[2]Рассчет акции'!$A:$A,'[2]Рассчет акции'!$BH:$BH),0)</f>
        <v>0</v>
      </c>
      <c r="AT34" s="487">
        <f>IFERROR(_xlfn.XLOOKUP($A34,'[2]Рассчет акции'!$A:$A,'[2]Рассчет акции'!$BC:$BC),0)</f>
        <v>0</v>
      </c>
      <c r="AU34" s="409">
        <f t="shared" si="19"/>
        <v>0</v>
      </c>
      <c r="AV34" s="407">
        <f t="shared" si="20"/>
        <v>-483.30160678247597</v>
      </c>
      <c r="AW34" s="407">
        <f t="shared" si="21"/>
        <v>-483.30160678247597</v>
      </c>
      <c r="AX34" s="409">
        <f t="shared" si="22"/>
        <v>-6.0952798427035333</v>
      </c>
      <c r="AY34" s="293">
        <f>IFERROR(_xlfn.XLOOKUP(E34,'[2]Рассчет акции'!$D:$D,'[2]Рассчет акции'!$BM:$BM),0)</f>
        <v>152</v>
      </c>
      <c r="AZ34" s="203">
        <f>IFERROR(_xlfn.XLOOKUP(E34,'[2]Рассчет акции'!$D:$D,'[2]Рассчет акции'!$BN:$BN),0)</f>
        <v>999</v>
      </c>
      <c r="BA34" s="294">
        <f t="shared" si="23"/>
        <v>8.9429931036964074</v>
      </c>
      <c r="BB34" s="292"/>
      <c r="BC34" s="497" t="e">
        <f xml:space="preserve"> _xlfn.XLOOKUP(B34,#REF!,#REF!,0)</f>
        <v>#REF!</v>
      </c>
      <c r="BD34" s="500" t="e">
        <f t="shared" si="52"/>
        <v>#REF!</v>
      </c>
      <c r="BE34" s="501">
        <f>_xlfn.XLOOKUP($B34,'[1]Рассчет акции'!$A:$A,'[1]Рассчет акции'!$J:$J)</f>
        <v>0.34983050847457631</v>
      </c>
      <c r="BF34" s="191" t="e">
        <f t="shared" si="44"/>
        <v>#REF!</v>
      </c>
      <c r="BG34" s="192">
        <f t="shared" si="24"/>
        <v>0</v>
      </c>
      <c r="BH34" s="193">
        <v>0.37</v>
      </c>
      <c r="BI34" s="194" t="e">
        <f t="shared" si="25"/>
        <v>#REF!</v>
      </c>
      <c r="BJ34" s="195" t="e">
        <f t="shared" si="45"/>
        <v>#REF!</v>
      </c>
      <c r="BK34" s="422">
        <f t="shared" si="26"/>
        <v>0</v>
      </c>
      <c r="BL34" s="196">
        <f>(IF(K34&gt;$BL$3,('Тарифы ОЗОН'!$G$3+ROUNDUP(K34-$BL$3,0)*'Тарифы ОЗОН'!$G$4),'Тарифы ОЗОН'!$G$3))</f>
        <v>46.77</v>
      </c>
      <c r="BM34" s="196">
        <f t="shared" si="27"/>
        <v>35</v>
      </c>
      <c r="BN34" s="197">
        <f>_xlfn.XLOOKUP(BM34,'Тарифы ОЗОН'!$A:$A,'Тарифы ОЗОН'!$B:$B)</f>
        <v>1.32</v>
      </c>
      <c r="BO34" s="198">
        <f>_xlfn.XLOOKUP(BM34,'Тарифы ОЗОН'!$A:$A,'Тарифы ОЗОН'!C:C)</f>
        <v>1.6E-2</v>
      </c>
      <c r="BP34" s="199">
        <f t="shared" si="28"/>
        <v>25</v>
      </c>
      <c r="BQ34" s="199" t="e">
        <f t="shared" si="46"/>
        <v>#REF!</v>
      </c>
      <c r="BR34" s="359">
        <f t="shared" si="47"/>
        <v>0.85</v>
      </c>
      <c r="BS34" s="199" t="e">
        <f t="shared" si="48"/>
        <v>#REF!</v>
      </c>
      <c r="BT34" s="200">
        <f t="shared" si="29"/>
        <v>0</v>
      </c>
      <c r="BU34" s="262" t="e">
        <f t="shared" si="30"/>
        <v>#REF!</v>
      </c>
      <c r="BV34" s="149" t="e">
        <f t="shared" si="31"/>
        <v>#REF!</v>
      </c>
      <c r="BW34" s="291">
        <f t="shared" si="32"/>
        <v>0</v>
      </c>
      <c r="BX34" s="201">
        <f t="shared" si="33"/>
        <v>0</v>
      </c>
      <c r="BY34" s="201" t="e">
        <f t="shared" si="34"/>
        <v>#REF!</v>
      </c>
      <c r="BZ34" s="202">
        <f t="shared" si="35"/>
        <v>0</v>
      </c>
      <c r="CA34" s="425">
        <v>759</v>
      </c>
      <c r="CB34" s="426" t="e">
        <f t="shared" si="49"/>
        <v>#REF!</v>
      </c>
      <c r="CC34" s="427" t="e">
        <f t="shared" si="53"/>
        <v>#REF!</v>
      </c>
      <c r="CD34" s="429" t="e">
        <f t="shared" si="36"/>
        <v>#REF!</v>
      </c>
      <c r="CE34" s="429">
        <f t="shared" si="50"/>
        <v>0</v>
      </c>
      <c r="CF34" s="277">
        <f>_xlfn.XLOOKUP(B34,'[1]Рассчет акции'!$A:$A,'[1]Рассчет акции'!$R:$R,0)</f>
        <v>0</v>
      </c>
      <c r="CG34" s="360">
        <f>_xlfn.XLOOKUP(B34,'[1]Рассчет акции'!$A:$A,'[1]Рассчет акции'!$M:$M,0)</f>
        <v>701</v>
      </c>
      <c r="CH34" s="291">
        <f t="shared" si="54"/>
        <v>0</v>
      </c>
      <c r="CI34" s="290" t="e">
        <f t="shared" si="55"/>
        <v>#REF!</v>
      </c>
      <c r="CJ34" s="290" t="e">
        <f t="shared" si="56"/>
        <v>#REF!</v>
      </c>
      <c r="CK34" s="291" t="e">
        <f t="shared" si="38"/>
        <v>#REF!</v>
      </c>
      <c r="CL34" s="203">
        <f>_xlfn.XLOOKUP(B34,'[1]Рассчет акции'!$A:$A,'[1]Рассчет акции'!$W:$W,0)</f>
        <v>17</v>
      </c>
      <c r="CM34" s="424">
        <f>_xlfn.XLOOKUP(B34,'[1]Рассчет акции'!$A:$A,'[1]Рассчет акции'!$X:$X,0)</f>
        <v>999</v>
      </c>
      <c r="CN34" s="294" t="e">
        <f t="shared" si="39"/>
        <v>#REF!</v>
      </c>
      <c r="CO34" s="433">
        <f t="shared" si="51"/>
        <v>683.1</v>
      </c>
      <c r="CP34" s="507">
        <f>_xlfn.XLOOKUP(B34,'[1]Рассчет акции'!$A:$A,'[1]Рассчет акции'!$Z:$Z,0)</f>
        <v>0</v>
      </c>
    </row>
    <row r="35" spans="1:94" ht="25.5" customHeight="1" x14ac:dyDescent="0.25">
      <c r="A35" s="162">
        <v>419145749</v>
      </c>
      <c r="B35" s="164">
        <v>2415742615</v>
      </c>
      <c r="C35" s="162" t="s">
        <v>415</v>
      </c>
      <c r="D35" s="163" t="s">
        <v>405</v>
      </c>
      <c r="E35" s="164">
        <v>2044025342057</v>
      </c>
      <c r="F35" s="284">
        <f t="shared" si="57"/>
        <v>101.29112678247596</v>
      </c>
      <c r="G35" s="147">
        <f t="shared" si="1"/>
        <v>0.2016947964605256</v>
      </c>
      <c r="H35" s="439">
        <f>IF(_xlfn.XLOOKUP($C35,'Юнит Карго'!$A:$A,'Юнит Карго'!$G:$G)=0,_xlfn.XLOOKUP(E35,'Себес 1С текущ'!G:G,'Себес 1С текущ'!H:H),_xlfn.XLOOKUP($C35,'Юнит Карго'!$A:$A,'Юнит Карго'!$P:$P,0,0))</f>
        <v>79.291126782475956</v>
      </c>
      <c r="I35" s="268">
        <f>_xlfn.XLOOKUP(E35,[3]ТЗ_ФФ!$D:$D,[3]ТЗ_ФФ!$BG:$BG,0)</f>
        <v>14</v>
      </c>
      <c r="J35" s="269">
        <f t="shared" si="2"/>
        <v>8</v>
      </c>
      <c r="K35" s="273">
        <f t="shared" si="3"/>
        <v>0.72899999999999998</v>
      </c>
      <c r="L35" s="146">
        <v>9</v>
      </c>
      <c r="M35" s="146">
        <v>9</v>
      </c>
      <c r="N35" s="146">
        <v>9</v>
      </c>
      <c r="O35" s="150">
        <f>_xlfn.XLOOKUP($C35,'Юнит Карго'!$A:$A,'Юнит Карго'!$T:$T,0,0)</f>
        <v>0.1</v>
      </c>
      <c r="P35" s="127" t="s">
        <v>75</v>
      </c>
      <c r="Q35" s="146"/>
      <c r="R35" s="292"/>
      <c r="S35" s="285">
        <f t="shared" si="4"/>
        <v>502.2</v>
      </c>
      <c r="T35" s="286" t="str">
        <f>_xlfn.XLOOKUP(E35,'[2]Рассчет акции'!$D:$D,'[2]Рассчет акции'!$G:$G,0)</f>
        <v>837</v>
      </c>
      <c r="U35" s="417">
        <f>_xlfn.XLOOKUP(E35,'[2]Рассчет акции'!$D:$D,'[2]Рассчет акции'!$F:$F,0)</f>
        <v>0.4</v>
      </c>
      <c r="V35" s="235">
        <f t="shared" si="40"/>
        <v>309.01615999999996</v>
      </c>
      <c r="W35" s="288">
        <f t="shared" si="41"/>
        <v>0.61532489048187966</v>
      </c>
      <c r="X35" s="289">
        <f>IF(K35&gt;1,('Тарифы ВБ'!$B$9+(K35-1)*'Тарифы ВБ'!$B$10)*'Тарифы ВБ'!$B$15*'Тарифы ВБ'!$B$12+S35*'Тарифы ВБ'!$B$13,'Тарифы ВБ'!$B$8*'Тарифы ВБ'!$B$15*'Тарифы ВБ'!$B$12+S35*'Тарифы ВБ'!$B$13)</f>
        <v>71.757159999999999</v>
      </c>
      <c r="Y35" s="289">
        <f>IF(K35&gt;1,'Тарифы ВБ'!$B$9+(K35-1)*'Тарифы ВБ'!$B$10,'Тарифы ВБ'!$B$8)</f>
        <v>32</v>
      </c>
      <c r="Z35" s="289">
        <f t="shared" si="42"/>
        <v>103.75716</v>
      </c>
      <c r="AA35" s="236">
        <f t="shared" si="43"/>
        <v>0.20660525686977299</v>
      </c>
      <c r="AB35" s="237">
        <f>IF(K35&gt;1,'Тарифы ВБ'!$B$14*'Тарифы ВБ'!$B$16*'Тарифы ВБ'!$B$15+(K35-1)*'Тарифы ВБ'!$B$14,'Тарифы ВБ'!$B$14*'Тарифы ВБ'!B$16*'Тарифы ВБ'!$B$15)</f>
        <v>32</v>
      </c>
      <c r="AC35" s="287">
        <f t="shared" si="5"/>
        <v>135.75716</v>
      </c>
      <c r="AD35" s="240">
        <f t="shared" si="6"/>
        <v>0.27032489048187974</v>
      </c>
      <c r="AE35" s="241">
        <v>0.315</v>
      </c>
      <c r="AF35" s="289">
        <f t="shared" si="7"/>
        <v>158.19299999999998</v>
      </c>
      <c r="AG35" s="364">
        <f t="shared" si="8"/>
        <v>0</v>
      </c>
      <c r="AH35" s="364">
        <f t="shared" si="9"/>
        <v>15.065999999999999</v>
      </c>
      <c r="AI35" s="149">
        <f t="shared" si="10"/>
        <v>410.3072867824759</v>
      </c>
      <c r="AJ35" s="447">
        <f t="shared" si="11"/>
        <v>0.11298031305759476</v>
      </c>
      <c r="AK35" s="450">
        <f t="shared" si="12"/>
        <v>91.89271321752409</v>
      </c>
      <c r="AL35" s="450">
        <f t="shared" si="13"/>
        <v>56.738713217524086</v>
      </c>
      <c r="AM35" s="447">
        <f t="shared" si="14"/>
        <v>0.71557456073462999</v>
      </c>
      <c r="AN35" s="458">
        <v>709</v>
      </c>
      <c r="AO35" s="459">
        <f t="shared" si="15"/>
        <v>298.6927132175241</v>
      </c>
      <c r="AP35" s="459">
        <f t="shared" si="16"/>
        <v>249.06271321752411</v>
      </c>
      <c r="AQ35" s="463">
        <f t="shared" si="17"/>
        <v>3.141117087423825</v>
      </c>
      <c r="AR35" s="464">
        <f t="shared" si="18"/>
        <v>0.35128732470736829</v>
      </c>
      <c r="AS35" s="487" t="str">
        <f>IFERROR(_xlfn.XLOOKUP(A35,'[2]Рассчет акции'!$A:$A,'[2]Рассчет акции'!$BH:$BH),0)</f>
        <v>*</v>
      </c>
      <c r="AT35" s="487">
        <f>IFERROR(_xlfn.XLOOKUP($A35,'[2]Рассчет акции'!$A:$A,'[2]Рассчет акции'!$BC:$BC),0)</f>
        <v>502</v>
      </c>
      <c r="AU35" s="409">
        <f t="shared" si="19"/>
        <v>0.11265480720622331</v>
      </c>
      <c r="AV35" s="407">
        <f t="shared" si="20"/>
        <v>91.692713217524101</v>
      </c>
      <c r="AW35" s="407">
        <f t="shared" si="21"/>
        <v>56.552713217524101</v>
      </c>
      <c r="AX35" s="409">
        <f t="shared" si="22"/>
        <v>0.713228774925453</v>
      </c>
      <c r="AY35" s="293">
        <f>IFERROR(_xlfn.XLOOKUP(E35,'[2]Рассчет акции'!$D:$D,'[2]Рассчет акции'!$BM:$BM),0)</f>
        <v>106</v>
      </c>
      <c r="AZ35" s="203">
        <f>IFERROR(_xlfn.XLOOKUP(E35,'[2]Рассчет акции'!$D:$D,'[2]Рассчет акции'!$BN:$BN),0)</f>
        <v>816</v>
      </c>
      <c r="BA35" s="294">
        <f t="shared" si="23"/>
        <v>6.3336216847783611</v>
      </c>
      <c r="BB35" s="292"/>
      <c r="BC35" s="497" t="e">
        <f xml:space="preserve"> _xlfn.XLOOKUP(B35,#REF!,#REF!,0)</f>
        <v>#REF!</v>
      </c>
      <c r="BD35" s="500" t="e">
        <f t="shared" si="52"/>
        <v>#REF!</v>
      </c>
      <c r="BE35" s="501">
        <f>_xlfn.XLOOKUP($B35,'[1]Рассчет акции'!$A:$A,'[1]Рассчет акции'!$J:$J)</f>
        <v>0.34983050847457631</v>
      </c>
      <c r="BF35" s="191" t="e">
        <f t="shared" si="44"/>
        <v>#REF!</v>
      </c>
      <c r="BG35" s="192">
        <f t="shared" si="24"/>
        <v>0</v>
      </c>
      <c r="BH35" s="193">
        <v>0.37</v>
      </c>
      <c r="BI35" s="194" t="e">
        <f t="shared" si="25"/>
        <v>#REF!</v>
      </c>
      <c r="BJ35" s="195" t="e">
        <f t="shared" si="45"/>
        <v>#REF!</v>
      </c>
      <c r="BK35" s="422">
        <f t="shared" si="26"/>
        <v>0</v>
      </c>
      <c r="BL35" s="196">
        <f>(IF(K35&gt;$BL$3,('Тарифы ОЗОН'!$G$3+ROUNDUP(K35-$BL$3,0)*'Тарифы ОЗОН'!$G$4),'Тарифы ОЗОН'!$G$3))</f>
        <v>46.77</v>
      </c>
      <c r="BM35" s="196">
        <f t="shared" si="27"/>
        <v>35</v>
      </c>
      <c r="BN35" s="197">
        <f>_xlfn.XLOOKUP(BM35,'Тарифы ОЗОН'!$A:$A,'Тарифы ОЗОН'!$B:$B)</f>
        <v>1.32</v>
      </c>
      <c r="BO35" s="198">
        <f>_xlfn.XLOOKUP(BM35,'Тарифы ОЗОН'!$A:$A,'Тарифы ОЗОН'!C:C)</f>
        <v>1.6E-2</v>
      </c>
      <c r="BP35" s="199">
        <f t="shared" si="28"/>
        <v>25</v>
      </c>
      <c r="BQ35" s="199" t="e">
        <f t="shared" si="46"/>
        <v>#REF!</v>
      </c>
      <c r="BR35" s="359">
        <f t="shared" si="47"/>
        <v>0.85</v>
      </c>
      <c r="BS35" s="199" t="e">
        <f t="shared" si="48"/>
        <v>#REF!</v>
      </c>
      <c r="BT35" s="200">
        <f t="shared" si="29"/>
        <v>0</v>
      </c>
      <c r="BU35" s="262" t="e">
        <f t="shared" si="30"/>
        <v>#REF!</v>
      </c>
      <c r="BV35" s="149" t="e">
        <f t="shared" si="31"/>
        <v>#REF!</v>
      </c>
      <c r="BW35" s="291">
        <f t="shared" si="32"/>
        <v>0</v>
      </c>
      <c r="BX35" s="201">
        <f t="shared" si="33"/>
        <v>0</v>
      </c>
      <c r="BY35" s="201" t="e">
        <f t="shared" si="34"/>
        <v>#REF!</v>
      </c>
      <c r="BZ35" s="202">
        <f t="shared" si="35"/>
        <v>0</v>
      </c>
      <c r="CA35" s="425">
        <v>759</v>
      </c>
      <c r="CB35" s="426" t="e">
        <f t="shared" si="49"/>
        <v>#REF!</v>
      </c>
      <c r="CC35" s="427" t="e">
        <f t="shared" si="53"/>
        <v>#REF!</v>
      </c>
      <c r="CD35" s="429" t="e">
        <f t="shared" si="36"/>
        <v>#REF!</v>
      </c>
      <c r="CE35" s="429">
        <f t="shared" si="50"/>
        <v>0</v>
      </c>
      <c r="CF35" s="277">
        <f>_xlfn.XLOOKUP(B35,'[1]Рассчет акции'!$A:$A,'[1]Рассчет акции'!$R:$R,0)</f>
        <v>0</v>
      </c>
      <c r="CG35" s="360">
        <f>_xlfn.XLOOKUP(B35,'[1]Рассчет акции'!$A:$A,'[1]Рассчет акции'!$M:$M,0)</f>
        <v>701</v>
      </c>
      <c r="CH35" s="291">
        <f t="shared" si="54"/>
        <v>0</v>
      </c>
      <c r="CI35" s="290" t="e">
        <f t="shared" si="55"/>
        <v>#REF!</v>
      </c>
      <c r="CJ35" s="290" t="e">
        <f t="shared" si="56"/>
        <v>#REF!</v>
      </c>
      <c r="CK35" s="291" t="e">
        <f t="shared" si="38"/>
        <v>#REF!</v>
      </c>
      <c r="CL35" s="203">
        <f>_xlfn.XLOOKUP(B35,'[1]Рассчет акции'!$A:$A,'[1]Рассчет акции'!$W:$W,0)</f>
        <v>20</v>
      </c>
      <c r="CM35" s="424">
        <f>_xlfn.XLOOKUP(B35,'[1]Рассчет акции'!$A:$A,'[1]Рассчет акции'!$X:$X,0)</f>
        <v>140</v>
      </c>
      <c r="CN35" s="294" t="e">
        <f t="shared" si="39"/>
        <v>#REF!</v>
      </c>
      <c r="CO35" s="433">
        <f t="shared" si="51"/>
        <v>683.1</v>
      </c>
      <c r="CP35" s="507">
        <f>_xlfn.XLOOKUP(B35,'[1]Рассчет акции'!$A:$A,'[1]Рассчет акции'!$Z:$Z,0)</f>
        <v>0</v>
      </c>
    </row>
    <row r="36" spans="1:94" ht="25.5" customHeight="1" x14ac:dyDescent="0.25">
      <c r="A36" s="162">
        <v>419141549</v>
      </c>
      <c r="B36" s="164">
        <v>2415742943</v>
      </c>
      <c r="C36" s="162" t="s">
        <v>416</v>
      </c>
      <c r="D36" s="163" t="s">
        <v>406</v>
      </c>
      <c r="E36" s="164">
        <v>2044025291485</v>
      </c>
      <c r="F36" s="284">
        <f t="shared" si="57"/>
        <v>101.29112678247596</v>
      </c>
      <c r="G36" s="147">
        <f t="shared" si="1"/>
        <v>0.14284462950567756</v>
      </c>
      <c r="H36" s="439">
        <f>IF(_xlfn.XLOOKUP($C36,'Юнит Карго'!$A:$A,'Юнит Карго'!$G:$G)=0,_xlfn.XLOOKUP(E36,'Себес 1С текущ'!G:G,'Себес 1С текущ'!H:H),_xlfn.XLOOKUP($C36,'Юнит Карго'!$A:$A,'Юнит Карго'!$P:$P,0,0))</f>
        <v>79.291126782475956</v>
      </c>
      <c r="I36" s="268">
        <f>_xlfn.XLOOKUP(E36,[3]ТЗ_ФФ!$D:$D,[3]ТЗ_ФФ!$BG:$BG,0)</f>
        <v>14</v>
      </c>
      <c r="J36" s="269">
        <f t="shared" si="2"/>
        <v>8</v>
      </c>
      <c r="K36" s="273">
        <f t="shared" si="3"/>
        <v>0.72899999999999998</v>
      </c>
      <c r="L36" s="146">
        <v>9</v>
      </c>
      <c r="M36" s="146">
        <v>9</v>
      </c>
      <c r="N36" s="146">
        <v>9</v>
      </c>
      <c r="O36" s="150">
        <f>_xlfn.XLOOKUP($C36,'Юнит Карго'!$A:$A,'Юнит Карго'!$T:$T,0,0)</f>
        <v>0.1</v>
      </c>
      <c r="P36" s="127" t="s">
        <v>75</v>
      </c>
      <c r="Q36" s="146"/>
      <c r="R36" s="292"/>
      <c r="S36" s="285">
        <f t="shared" si="4"/>
        <v>709.1</v>
      </c>
      <c r="T36" s="286" t="str">
        <f>_xlfn.XLOOKUP(E36,'[2]Рассчет акции'!$D:$D,'[2]Рассчет акции'!$G:$G,0)</f>
        <v>1013</v>
      </c>
      <c r="U36" s="417">
        <f>_xlfn.XLOOKUP(E36,'[2]Рассчет акции'!$D:$D,'[2]Рассчет акции'!$F:$F,0)</f>
        <v>0.3</v>
      </c>
      <c r="V36" s="235">
        <f t="shared" si="40"/>
        <v>382.01048000000003</v>
      </c>
      <c r="W36" s="288">
        <f t="shared" si="41"/>
        <v>0.53872582146382741</v>
      </c>
      <c r="X36" s="289">
        <f>IF(K36&gt;1,('Тарифы ВБ'!$B$9+(K36-1)*'Тарифы ВБ'!$B$10)*'Тарифы ВБ'!$B$15*'Тарифы ВБ'!$B$12+S36*'Тарифы ВБ'!$B$13,'Тарифы ВБ'!$B$8*'Тарифы ВБ'!$B$15*'Тарифы ВБ'!$B$12+S36*'Тарифы ВБ'!$B$13)</f>
        <v>73.370980000000003</v>
      </c>
      <c r="Y36" s="289">
        <f>IF(K36&gt;1,'Тарифы ВБ'!$B$9+(K36-1)*'Тарифы ВБ'!$B$10,'Тарифы ВБ'!$B$8)</f>
        <v>32</v>
      </c>
      <c r="Z36" s="289">
        <f t="shared" si="42"/>
        <v>105.37098</v>
      </c>
      <c r="AA36" s="236">
        <f t="shared" si="43"/>
        <v>0.14859819489493725</v>
      </c>
      <c r="AB36" s="237">
        <f>IF(K36&gt;1,'Тарифы ВБ'!$B$14*'Тарифы ВБ'!$B$16*'Тарифы ВБ'!$B$15+(K36-1)*'Тарифы ВБ'!$B$14,'Тарифы ВБ'!$B$14*'Тарифы ВБ'!B$16*'Тарифы ВБ'!$B$15)</f>
        <v>32</v>
      </c>
      <c r="AC36" s="287">
        <f t="shared" si="5"/>
        <v>137.37098</v>
      </c>
      <c r="AD36" s="240">
        <f t="shared" si="6"/>
        <v>0.19372582146382739</v>
      </c>
      <c r="AE36" s="241">
        <v>0.315</v>
      </c>
      <c r="AF36" s="289">
        <f t="shared" si="7"/>
        <v>223.3665</v>
      </c>
      <c r="AG36" s="364">
        <f t="shared" si="8"/>
        <v>0</v>
      </c>
      <c r="AH36" s="364">
        <f t="shared" si="9"/>
        <v>21.273</v>
      </c>
      <c r="AI36" s="149">
        <f t="shared" si="10"/>
        <v>483.30160678247597</v>
      </c>
      <c r="AJ36" s="447">
        <f t="shared" si="11"/>
        <v>0.24842954903049505</v>
      </c>
      <c r="AK36" s="450">
        <f t="shared" si="12"/>
        <v>225.79839321752405</v>
      </c>
      <c r="AL36" s="450">
        <f t="shared" si="13"/>
        <v>176.16139321752405</v>
      </c>
      <c r="AM36" s="447">
        <f t="shared" si="14"/>
        <v>2.221703743734126</v>
      </c>
      <c r="AN36" s="458">
        <v>709</v>
      </c>
      <c r="AO36" s="459">
        <f t="shared" si="15"/>
        <v>225.69839321752403</v>
      </c>
      <c r="AP36" s="459">
        <f t="shared" si="16"/>
        <v>176.06839321752403</v>
      </c>
      <c r="AQ36" s="463">
        <f t="shared" si="17"/>
        <v>2.2205308508295372</v>
      </c>
      <c r="AR36" s="464">
        <f t="shared" si="18"/>
        <v>0.24833341779622572</v>
      </c>
      <c r="AS36" s="487">
        <f>IFERROR(_xlfn.XLOOKUP(A36,'[2]Рассчет акции'!$A:$A,'[2]Рассчет акции'!$BH:$BH),0)</f>
        <v>0</v>
      </c>
      <c r="AT36" s="487">
        <f>IFERROR(_xlfn.XLOOKUP($A36,'[2]Рассчет акции'!$A:$A,'[2]Рассчет акции'!$BC:$BC),0)</f>
        <v>0</v>
      </c>
      <c r="AU36" s="409">
        <f t="shared" si="19"/>
        <v>0</v>
      </c>
      <c r="AV36" s="407">
        <f t="shared" si="20"/>
        <v>-483.30160678247597</v>
      </c>
      <c r="AW36" s="407">
        <f t="shared" si="21"/>
        <v>-483.30160678247597</v>
      </c>
      <c r="AX36" s="409">
        <f t="shared" si="22"/>
        <v>-6.0952798427035333</v>
      </c>
      <c r="AY36" s="293">
        <f>IFERROR(_xlfn.XLOOKUP(E36,'[2]Рассчет акции'!$D:$D,'[2]Рассчет акции'!$BM:$BM),0)</f>
        <v>98</v>
      </c>
      <c r="AZ36" s="203">
        <f>IFERROR(_xlfn.XLOOKUP(E36,'[2]Рассчет акции'!$D:$D,'[2]Рассчет акции'!$BN:$BN),0)</f>
        <v>339</v>
      </c>
      <c r="BA36" s="294">
        <f t="shared" si="23"/>
        <v>8.9429931036964074</v>
      </c>
      <c r="BB36" s="292"/>
      <c r="BC36" s="497" t="e">
        <f xml:space="preserve"> _xlfn.XLOOKUP(B36,#REF!,#REF!,0)</f>
        <v>#REF!</v>
      </c>
      <c r="BD36" s="500" t="e">
        <f t="shared" si="52"/>
        <v>#REF!</v>
      </c>
      <c r="BE36" s="501">
        <f>_xlfn.XLOOKUP($B36,'[1]Рассчет акции'!$A:$A,'[1]Рассчет акции'!$J:$J)</f>
        <v>0.34983050847457631</v>
      </c>
      <c r="BF36" s="191" t="e">
        <f t="shared" si="44"/>
        <v>#REF!</v>
      </c>
      <c r="BG36" s="192">
        <f t="shared" si="24"/>
        <v>0</v>
      </c>
      <c r="BH36" s="193">
        <v>0.37</v>
      </c>
      <c r="BI36" s="194" t="e">
        <f t="shared" si="25"/>
        <v>#REF!</v>
      </c>
      <c r="BJ36" s="195" t="e">
        <f t="shared" si="45"/>
        <v>#REF!</v>
      </c>
      <c r="BK36" s="422">
        <f t="shared" si="26"/>
        <v>0</v>
      </c>
      <c r="BL36" s="196">
        <f>(IF(K36&gt;$BL$3,('Тарифы ОЗОН'!$G$3+ROUNDUP(K36-$BL$3,0)*'Тарифы ОЗОН'!$G$4),'Тарифы ОЗОН'!$G$3))</f>
        <v>46.77</v>
      </c>
      <c r="BM36" s="196">
        <f t="shared" si="27"/>
        <v>35</v>
      </c>
      <c r="BN36" s="197">
        <f>_xlfn.XLOOKUP(BM36,'Тарифы ОЗОН'!$A:$A,'Тарифы ОЗОН'!$B:$B)</f>
        <v>1.32</v>
      </c>
      <c r="BO36" s="198">
        <f>_xlfn.XLOOKUP(BM36,'Тарифы ОЗОН'!$A:$A,'Тарифы ОЗОН'!C:C)</f>
        <v>1.6E-2</v>
      </c>
      <c r="BP36" s="199">
        <f t="shared" si="28"/>
        <v>25</v>
      </c>
      <c r="BQ36" s="199" t="e">
        <f t="shared" si="46"/>
        <v>#REF!</v>
      </c>
      <c r="BR36" s="359">
        <f t="shared" si="47"/>
        <v>0.85</v>
      </c>
      <c r="BS36" s="199" t="e">
        <f t="shared" si="48"/>
        <v>#REF!</v>
      </c>
      <c r="BT36" s="200">
        <f t="shared" si="29"/>
        <v>0</v>
      </c>
      <c r="BU36" s="262" t="e">
        <f t="shared" si="30"/>
        <v>#REF!</v>
      </c>
      <c r="BV36" s="149" t="e">
        <f t="shared" si="31"/>
        <v>#REF!</v>
      </c>
      <c r="BW36" s="291">
        <f t="shared" si="32"/>
        <v>0</v>
      </c>
      <c r="BX36" s="201">
        <f t="shared" si="33"/>
        <v>0</v>
      </c>
      <c r="BY36" s="201" t="e">
        <f t="shared" si="34"/>
        <v>#REF!</v>
      </c>
      <c r="BZ36" s="202">
        <f t="shared" si="35"/>
        <v>0</v>
      </c>
      <c r="CA36" s="425">
        <v>759</v>
      </c>
      <c r="CB36" s="426" t="e">
        <f t="shared" si="49"/>
        <v>#REF!</v>
      </c>
      <c r="CC36" s="427" t="e">
        <f t="shared" si="53"/>
        <v>#REF!</v>
      </c>
      <c r="CD36" s="429" t="e">
        <f t="shared" si="36"/>
        <v>#REF!</v>
      </c>
      <c r="CE36" s="429">
        <f t="shared" si="50"/>
        <v>0</v>
      </c>
      <c r="CF36" s="277">
        <f>_xlfn.XLOOKUP(B36,'[1]Рассчет акции'!$A:$A,'[1]Рассчет акции'!$R:$R,0)</f>
        <v>0</v>
      </c>
      <c r="CG36" s="360">
        <f>_xlfn.XLOOKUP(B36,'[1]Рассчет акции'!$A:$A,'[1]Рассчет акции'!$M:$M,0)</f>
        <v>701</v>
      </c>
      <c r="CH36" s="291">
        <f t="shared" si="54"/>
        <v>0</v>
      </c>
      <c r="CI36" s="290" t="e">
        <f t="shared" si="55"/>
        <v>#REF!</v>
      </c>
      <c r="CJ36" s="290" t="e">
        <f t="shared" si="56"/>
        <v>#REF!</v>
      </c>
      <c r="CK36" s="291" t="e">
        <f t="shared" si="38"/>
        <v>#REF!</v>
      </c>
      <c r="CL36" s="203">
        <f>_xlfn.XLOOKUP(B36,'[1]Рассчет акции'!$A:$A,'[1]Рассчет акции'!$W:$W,0)</f>
        <v>24</v>
      </c>
      <c r="CM36" s="424">
        <f>_xlfn.XLOOKUP(B36,'[1]Рассчет акции'!$A:$A,'[1]Рассчет акции'!$X:$X,0)</f>
        <v>999</v>
      </c>
      <c r="CN36" s="294" t="e">
        <f t="shared" si="39"/>
        <v>#REF!</v>
      </c>
      <c r="CO36" s="433">
        <f t="shared" si="51"/>
        <v>683.1</v>
      </c>
      <c r="CP36" s="507">
        <f>_xlfn.XLOOKUP(B36,'[1]Рассчет акции'!$A:$A,'[1]Рассчет акции'!$Z:$Z,0)</f>
        <v>0</v>
      </c>
    </row>
    <row r="37" spans="1:94" ht="25.5" customHeight="1" x14ac:dyDescent="0.25">
      <c r="A37" s="162">
        <v>419145986</v>
      </c>
      <c r="B37" s="164">
        <v>2415742693</v>
      </c>
      <c r="C37" s="162" t="s">
        <v>417</v>
      </c>
      <c r="D37" s="163" t="s">
        <v>407</v>
      </c>
      <c r="E37" s="164">
        <v>2044025347953</v>
      </c>
      <c r="F37" s="284">
        <f t="shared" si="57"/>
        <v>101.29112678247596</v>
      </c>
      <c r="G37" s="147">
        <f t="shared" ref="G37:G80" si="58">IFERROR(F37/S37*100%,0)</f>
        <v>0.14873880584798232</v>
      </c>
      <c r="H37" s="439">
        <f>IF(_xlfn.XLOOKUP($C37,'Юнит Карго'!$A:$A,'Юнит Карго'!$G:$G)=0,_xlfn.XLOOKUP(E37,'Себес 1С текущ'!G:G,'Себес 1С текущ'!H:H),_xlfn.XLOOKUP($C37,'Юнит Карго'!$A:$A,'Юнит Карго'!$P:$P,0,0))</f>
        <v>79.291126782475956</v>
      </c>
      <c r="I37" s="268">
        <f>_xlfn.XLOOKUP(E37,[3]ТЗ_ФФ!$D:$D,[3]ТЗ_ФФ!$BG:$BG,0)</f>
        <v>14</v>
      </c>
      <c r="J37" s="269">
        <f t="shared" ref="J37:J72" si="59">$J$3</f>
        <v>8</v>
      </c>
      <c r="K37" s="273">
        <f t="shared" ref="K37:K80" si="60">(L37*M37*N37)/1000</f>
        <v>0.72899999999999998</v>
      </c>
      <c r="L37" s="146">
        <v>9</v>
      </c>
      <c r="M37" s="146">
        <v>9</v>
      </c>
      <c r="N37" s="146">
        <v>9</v>
      </c>
      <c r="O37" s="150">
        <f>_xlfn.XLOOKUP($C37,'Юнит Карго'!$A:$A,'Юнит Карго'!$T:$T,0,0)</f>
        <v>0.1</v>
      </c>
      <c r="P37" s="127" t="s">
        <v>75</v>
      </c>
      <c r="Q37" s="146"/>
      <c r="R37" s="292"/>
      <c r="S37" s="285">
        <f t="shared" si="4"/>
        <v>681</v>
      </c>
      <c r="T37" s="286" t="str">
        <f>_xlfn.XLOOKUP(E37,'[2]Рассчет акции'!$D:$D,'[2]Рассчет акции'!$G:$G,0)</f>
        <v>1135</v>
      </c>
      <c r="U37" s="417">
        <f>_xlfn.XLOOKUP(E37,'[2]Рассчет акции'!$D:$D,'[2]Рассчет акции'!$F:$F,0)</f>
        <v>0.4</v>
      </c>
      <c r="V37" s="235">
        <f t="shared" si="40"/>
        <v>372.09680000000003</v>
      </c>
      <c r="W37" s="288">
        <f t="shared" ref="W37:W80" si="61">IFERROR(V37/S37,0)</f>
        <v>0.54639765051395017</v>
      </c>
      <c r="X37" s="289">
        <f>IF(K37&gt;1,('Тарифы ВБ'!$B$9+(K37-1)*'Тарифы ВБ'!$B$10)*'Тарифы ВБ'!$B$15*'Тарифы ВБ'!$B$12+S37*'Тарифы ВБ'!$B$13,'Тарифы ВБ'!$B$8*'Тарифы ВБ'!$B$15*'Тарифы ВБ'!$B$12+S37*'Тарифы ВБ'!$B$13)</f>
        <v>73.151800000000009</v>
      </c>
      <c r="Y37" s="289">
        <f>IF(K37&gt;1,'Тарифы ВБ'!$B$9+(K37-1)*'Тарифы ВБ'!$B$10,'Тарифы ВБ'!$B$8)</f>
        <v>32</v>
      </c>
      <c r="Z37" s="289">
        <f t="shared" si="42"/>
        <v>105.15180000000001</v>
      </c>
      <c r="AA37" s="236">
        <f t="shared" si="43"/>
        <v>0.15440792951541851</v>
      </c>
      <c r="AB37" s="237">
        <f>IF(K37&gt;1,'Тарифы ВБ'!$B$14*'Тарифы ВБ'!$B$16*'Тарифы ВБ'!$B$15+(K37-1)*'Тарифы ВБ'!$B$14,'Тарифы ВБ'!$B$14*'Тарифы ВБ'!B$16*'Тарифы ВБ'!$B$15)</f>
        <v>32</v>
      </c>
      <c r="AC37" s="287">
        <f t="shared" ref="AC37:AC68" si="62">+X37+AB37+Y37</f>
        <v>137.15180000000001</v>
      </c>
      <c r="AD37" s="240">
        <f t="shared" ref="AD37:AD68" si="63">AC37/S37*100%</f>
        <v>0.20139765051395009</v>
      </c>
      <c r="AE37" s="241">
        <v>0.315</v>
      </c>
      <c r="AF37" s="289">
        <f t="shared" ref="AF37:AF68" si="64">S37*AE37</f>
        <v>214.51500000000001</v>
      </c>
      <c r="AG37" s="364">
        <f t="shared" ref="AG37:AG68" si="65">1.1*S37*$AG$3</f>
        <v>0</v>
      </c>
      <c r="AH37" s="364">
        <f t="shared" ref="AH37:AH68" si="66">S37*$AH$3</f>
        <v>20.43</v>
      </c>
      <c r="AI37" s="149">
        <f t="shared" ref="AI37:AI68" si="67">F37+V37</f>
        <v>473.38792678247597</v>
      </c>
      <c r="AJ37" s="447">
        <f t="shared" ref="AJ37:AJ68" si="68">IFERROR(AL37/S37,0)</f>
        <v>0.23486354363806758</v>
      </c>
      <c r="AK37" s="450">
        <f t="shared" ref="AK37:AK68" si="69">S37-AI37</f>
        <v>207.61207321752403</v>
      </c>
      <c r="AL37" s="450">
        <f t="shared" ref="AL37:AL68" si="70">AK37-S37*7%</f>
        <v>159.94207321752401</v>
      </c>
      <c r="AM37" s="447">
        <f t="shared" ref="AM37:AM68" si="71">AL37/H37</f>
        <v>2.0171497077636769</v>
      </c>
      <c r="AN37" s="458">
        <v>709</v>
      </c>
      <c r="AO37" s="459">
        <f t="shared" ref="AO37:AO84" si="72">$AN37-$AI37</f>
        <v>235.61207321752403</v>
      </c>
      <c r="AP37" s="459">
        <f t="shared" ref="AP37:AP84" si="73">$AO37-$AN37*7%</f>
        <v>185.98207321752403</v>
      </c>
      <c r="AQ37" s="463">
        <f t="shared" ref="AQ37:AQ68" si="74">$AP37/$H37*100%</f>
        <v>2.3455597210484807</v>
      </c>
      <c r="AR37" s="464">
        <f t="shared" ref="AR37:AR84" si="75">$AP37/$AN37</f>
        <v>0.26231604120948382</v>
      </c>
      <c r="AS37" s="487" t="str">
        <f>IFERROR(_xlfn.XLOOKUP(A37,'[2]Рассчет акции'!$A:$A,'[2]Рассчет акции'!$BH:$BH),0)</f>
        <v>*</v>
      </c>
      <c r="AT37" s="487">
        <f>IFERROR(_xlfn.XLOOKUP($A37,'[2]Рассчет акции'!$A:$A,'[2]Рассчет акции'!$BC:$BC),0)</f>
        <v>681</v>
      </c>
      <c r="AU37" s="409">
        <f t="shared" ref="AU37:AU84" si="76">IFERROR($AW37/$AT37,0)</f>
        <v>0.23486354363806758</v>
      </c>
      <c r="AV37" s="407">
        <f t="shared" ref="AV37:AV84" si="77">$AT37-$AI37</f>
        <v>207.61207321752403</v>
      </c>
      <c r="AW37" s="407">
        <f t="shared" ref="AW37:AW84" si="78">$AV37-$AT37*7%</f>
        <v>159.94207321752401</v>
      </c>
      <c r="AX37" s="409">
        <f t="shared" ref="AX37:AX68" si="79">$AW37/$H37*100%</f>
        <v>2.0171497077636769</v>
      </c>
      <c r="AY37" s="293">
        <f>IFERROR(_xlfn.XLOOKUP(E37,'[2]Рассчет акции'!$D:$D,'[2]Рассчет акции'!$BM:$BM),0)</f>
        <v>119</v>
      </c>
      <c r="AZ37" s="203">
        <f>IFERROR(_xlfn.XLOOKUP(E37,'[2]Рассчет акции'!$D:$D,'[2]Рассчет акции'!$BN:$BN),0)</f>
        <v>999</v>
      </c>
      <c r="BA37" s="294">
        <f t="shared" ref="BA37:BA68" si="80">S37/H37</f>
        <v>8.5886028819873825</v>
      </c>
      <c r="BB37" s="292"/>
      <c r="BC37" s="497" t="e">
        <f xml:space="preserve"> _xlfn.XLOOKUP(B37,#REF!,#REF!,0)</f>
        <v>#REF!</v>
      </c>
      <c r="BD37" s="500" t="e">
        <f t="shared" si="52"/>
        <v>#REF!</v>
      </c>
      <c r="BE37" s="501">
        <f>_xlfn.XLOOKUP($B37,'[1]Рассчет акции'!$A:$A,'[1]Рассчет акции'!$J:$J)</f>
        <v>0.34983050847457631</v>
      </c>
      <c r="BF37" s="191" t="e">
        <f t="shared" si="44"/>
        <v>#REF!</v>
      </c>
      <c r="BG37" s="192">
        <f t="shared" ref="BG37:BG80" si="81">IFERROR(BF37/BC37,0)</f>
        <v>0</v>
      </c>
      <c r="BH37" s="193">
        <v>0.37</v>
      </c>
      <c r="BI37" s="194" t="e">
        <f t="shared" ref="BI37:BI80" si="82">BC37*BH37</f>
        <v>#REF!</v>
      </c>
      <c r="BJ37" s="195" t="e">
        <f t="shared" si="45"/>
        <v>#REF!</v>
      </c>
      <c r="BK37" s="422">
        <f t="shared" ref="BK37:BK68" si="83">K37*$BK$3*30</f>
        <v>0</v>
      </c>
      <c r="BL37" s="196">
        <f>(IF(K37&gt;$BL$3,('Тарифы ОЗОН'!$G$3+ROUNDUP(K37-$BL$3,0)*'Тарифы ОЗОН'!$G$4),'Тарифы ОЗОН'!$G$3))</f>
        <v>46.77</v>
      </c>
      <c r="BM37" s="196">
        <f t="shared" ref="BM37:BM81" si="84">$BN$3</f>
        <v>35</v>
      </c>
      <c r="BN37" s="197">
        <f>_xlfn.XLOOKUP(BM37,'Тарифы ОЗОН'!$A:$A,'Тарифы ОЗОН'!$B:$B)</f>
        <v>1.32</v>
      </c>
      <c r="BO37" s="198">
        <f>_xlfn.XLOOKUP(BM37,'Тарифы ОЗОН'!$A:$A,'Тарифы ОЗОН'!C:C)</f>
        <v>1.6E-2</v>
      </c>
      <c r="BP37" s="199">
        <f t="shared" ref="BP37:BP81" si="85">$BP$3</f>
        <v>25</v>
      </c>
      <c r="BQ37" s="199" t="e">
        <f t="shared" si="46"/>
        <v>#REF!</v>
      </c>
      <c r="BR37" s="359">
        <f t="shared" si="47"/>
        <v>0.85</v>
      </c>
      <c r="BS37" s="199" t="e">
        <f t="shared" si="48"/>
        <v>#REF!</v>
      </c>
      <c r="BT37" s="200">
        <f t="shared" ref="BT37:BT80" si="86">IFERROR(BS37/BC37*100%,0)</f>
        <v>0</v>
      </c>
      <c r="BU37" s="262" t="e">
        <f t="shared" si="30"/>
        <v>#REF!</v>
      </c>
      <c r="BV37" s="149" t="e">
        <f t="shared" ref="BV37:BV68" si="87">BF37+F37</f>
        <v>#REF!</v>
      </c>
      <c r="BW37" s="291">
        <f t="shared" ref="BW37:BW84" si="88">IFERROR(BY37/BC37,0)</f>
        <v>0</v>
      </c>
      <c r="BX37" s="201">
        <f t="shared" ref="BX37:BX84" si="89">IFERROR(BC37-BV37,0)</f>
        <v>0</v>
      </c>
      <c r="BY37" s="201" t="e">
        <f t="shared" ref="BY37:BY80" si="90">BX37-BC37*7%</f>
        <v>#REF!</v>
      </c>
      <c r="BZ37" s="202">
        <f t="shared" si="35"/>
        <v>0</v>
      </c>
      <c r="CA37" s="425">
        <v>759</v>
      </c>
      <c r="CB37" s="426" t="e">
        <f t="shared" si="49"/>
        <v>#REF!</v>
      </c>
      <c r="CC37" s="427" t="e">
        <f t="shared" si="53"/>
        <v>#REF!</v>
      </c>
      <c r="CD37" s="429" t="e">
        <f t="shared" ref="CD37:CD68" si="91">CC37/H37*100%</f>
        <v>#REF!</v>
      </c>
      <c r="CE37" s="429">
        <f t="shared" si="50"/>
        <v>0</v>
      </c>
      <c r="CF37" s="277">
        <f>_xlfn.XLOOKUP(B37,'[1]Рассчет акции'!$A:$A,'[1]Рассчет акции'!$R:$R,0)</f>
        <v>0</v>
      </c>
      <c r="CG37" s="360">
        <f>_xlfn.XLOOKUP(B37,'[1]Рассчет акции'!$A:$A,'[1]Рассчет акции'!$M:$M,0)</f>
        <v>701</v>
      </c>
      <c r="CH37" s="291">
        <f t="shared" ref="CH37:CH84" si="92">IFERROR($CJ37/$CG37,0)</f>
        <v>0</v>
      </c>
      <c r="CI37" s="290" t="e">
        <f t="shared" si="55"/>
        <v>#REF!</v>
      </c>
      <c r="CJ37" s="290" t="e">
        <f t="shared" si="56"/>
        <v>#REF!</v>
      </c>
      <c r="CK37" s="291" t="e">
        <f t="shared" ref="CK37:CK68" si="93">$CJ37/$H37*100%</f>
        <v>#REF!</v>
      </c>
      <c r="CL37" s="203">
        <f>_xlfn.XLOOKUP(B37,'[1]Рассчет акции'!$A:$A,'[1]Рассчет акции'!$W:$W,0)</f>
        <v>17</v>
      </c>
      <c r="CM37" s="424">
        <f>_xlfn.XLOOKUP(B37,'[1]Рассчет акции'!$A:$A,'[1]Рассчет акции'!$X:$X,0)</f>
        <v>999</v>
      </c>
      <c r="CN37" s="294" t="e">
        <f t="shared" ref="CN37:CN68" si="94">BC37/H37</f>
        <v>#REF!</v>
      </c>
      <c r="CO37" s="433">
        <f t="shared" si="51"/>
        <v>683.1</v>
      </c>
      <c r="CP37" s="507">
        <f>_xlfn.XLOOKUP(B37,'[1]Рассчет акции'!$A:$A,'[1]Рассчет акции'!$Z:$Z,0)</f>
        <v>0</v>
      </c>
    </row>
    <row r="38" spans="1:94" ht="25.5" customHeight="1" x14ac:dyDescent="0.25">
      <c r="A38" s="162">
        <v>419146579</v>
      </c>
      <c r="B38" s="164">
        <v>2415742565</v>
      </c>
      <c r="C38" s="162" t="s">
        <v>418</v>
      </c>
      <c r="D38" s="163" t="s">
        <v>408</v>
      </c>
      <c r="E38" s="164">
        <v>2044025354937</v>
      </c>
      <c r="F38" s="284">
        <f t="shared" si="57"/>
        <v>101.29112678247596</v>
      </c>
      <c r="G38" s="147">
        <f t="shared" si="58"/>
        <v>0.14428935439099139</v>
      </c>
      <c r="H38" s="439">
        <f>IF(_xlfn.XLOOKUP($C38,'Юнит Карго'!$A:$A,'Юнит Карго'!$G:$G)=0,_xlfn.XLOOKUP(E38,'Себес 1С текущ'!G:G,'Себес 1С текущ'!H:H),_xlfn.XLOOKUP($C38,'Юнит Карго'!$A:$A,'Юнит Карго'!$P:$P,0,0))</f>
        <v>79.291126782475956</v>
      </c>
      <c r="I38" s="268">
        <f>_xlfn.XLOOKUP(E38,[3]ТЗ_ФФ!$D:$D,[3]ТЗ_ФФ!$BG:$BG,0)</f>
        <v>14</v>
      </c>
      <c r="J38" s="269">
        <f t="shared" si="59"/>
        <v>8</v>
      </c>
      <c r="K38" s="273">
        <f t="shared" si="60"/>
        <v>0.72899999999999998</v>
      </c>
      <c r="L38" s="146">
        <v>9</v>
      </c>
      <c r="M38" s="146">
        <v>9</v>
      </c>
      <c r="N38" s="146">
        <v>9</v>
      </c>
      <c r="O38" s="150">
        <f>_xlfn.XLOOKUP($C38,'Юнит Карго'!$A:$A,'Юнит Карго'!$T:$T,0,0)</f>
        <v>0.1</v>
      </c>
      <c r="P38" s="127" t="s">
        <v>75</v>
      </c>
      <c r="Q38" s="146"/>
      <c r="R38" s="292"/>
      <c r="S38" s="285">
        <f t="shared" si="4"/>
        <v>702</v>
      </c>
      <c r="T38" s="286" t="str">
        <f>_xlfn.XLOOKUP(E38,'[2]Рассчет акции'!$D:$D,'[2]Рассчет акции'!$G:$G,0)</f>
        <v>1170</v>
      </c>
      <c r="U38" s="417">
        <f>_xlfn.XLOOKUP(E38,'[2]Рассчет акции'!$D:$D,'[2]Рассчет акции'!$F:$F,0)</f>
        <v>0.4</v>
      </c>
      <c r="V38" s="235">
        <f t="shared" si="40"/>
        <v>379.50560000000002</v>
      </c>
      <c r="W38" s="288">
        <f t="shared" si="61"/>
        <v>0.54060626780626786</v>
      </c>
      <c r="X38" s="289">
        <f>IF(K38&gt;1,('Тарифы ВБ'!$B$9+(K38-1)*'Тарифы ВБ'!$B$10)*'Тарифы ВБ'!$B$15*'Тарифы ВБ'!$B$12+S38*'Тарифы ВБ'!$B$13,'Тарифы ВБ'!$B$8*'Тарифы ВБ'!$B$15*'Тарифы ВБ'!$B$12+S38*'Тарифы ВБ'!$B$13)</f>
        <v>73.315600000000003</v>
      </c>
      <c r="Y38" s="289">
        <f>IF(K38&gt;1,'Тарифы ВБ'!$B$9+(K38-1)*'Тарифы ВБ'!$B$10,'Тарифы ВБ'!$B$8)</f>
        <v>32</v>
      </c>
      <c r="Z38" s="289">
        <f t="shared" si="42"/>
        <v>105.3156</v>
      </c>
      <c r="AA38" s="236">
        <f t="shared" si="43"/>
        <v>0.15002222222222222</v>
      </c>
      <c r="AB38" s="237">
        <f>IF(K38&gt;1,'Тарифы ВБ'!$B$14*'Тарифы ВБ'!$B$16*'Тарифы ВБ'!$B$15+(K38-1)*'Тарифы ВБ'!$B$14,'Тарифы ВБ'!$B$14*'Тарифы ВБ'!B$16*'Тарифы ВБ'!$B$15)</f>
        <v>32</v>
      </c>
      <c r="AC38" s="287">
        <f t="shared" si="62"/>
        <v>137.31560000000002</v>
      </c>
      <c r="AD38" s="240">
        <f t="shared" si="63"/>
        <v>0.19560626780626783</v>
      </c>
      <c r="AE38" s="241">
        <v>0.315</v>
      </c>
      <c r="AF38" s="289">
        <f t="shared" si="64"/>
        <v>221.13</v>
      </c>
      <c r="AG38" s="364">
        <f t="shared" si="65"/>
        <v>0</v>
      </c>
      <c r="AH38" s="364">
        <f t="shared" si="66"/>
        <v>21.06</v>
      </c>
      <c r="AI38" s="149">
        <f t="shared" si="67"/>
        <v>480.79672678247596</v>
      </c>
      <c r="AJ38" s="447">
        <f t="shared" si="68"/>
        <v>0.24510437780274077</v>
      </c>
      <c r="AK38" s="450">
        <f t="shared" si="69"/>
        <v>221.20327321752404</v>
      </c>
      <c r="AL38" s="450">
        <f t="shared" si="70"/>
        <v>172.06327321752403</v>
      </c>
      <c r="AM38" s="447">
        <f t="shared" si="71"/>
        <v>2.170019272012055</v>
      </c>
      <c r="AN38" s="458">
        <v>709</v>
      </c>
      <c r="AO38" s="459">
        <f t="shared" si="72"/>
        <v>228.20327321752404</v>
      </c>
      <c r="AP38" s="459">
        <f t="shared" si="73"/>
        <v>178.57327321752405</v>
      </c>
      <c r="AQ38" s="463">
        <f t="shared" si="74"/>
        <v>2.2521217753332561</v>
      </c>
      <c r="AR38" s="464">
        <f t="shared" si="75"/>
        <v>0.25186639381879272</v>
      </c>
      <c r="AS38" s="487" t="str">
        <f>IFERROR(_xlfn.XLOOKUP(A38,'[2]Рассчет акции'!$A:$A,'[2]Рассчет акции'!$BH:$BH),0)</f>
        <v>*</v>
      </c>
      <c r="AT38" s="487">
        <f>IFERROR(_xlfn.XLOOKUP($A38,'[2]Рассчет акции'!$A:$A,'[2]Рассчет акции'!$BC:$BC),0)</f>
        <v>702</v>
      </c>
      <c r="AU38" s="409">
        <f t="shared" si="76"/>
        <v>0.24510437780274077</v>
      </c>
      <c r="AV38" s="407">
        <f t="shared" si="77"/>
        <v>221.20327321752404</v>
      </c>
      <c r="AW38" s="407">
        <f t="shared" si="78"/>
        <v>172.06327321752403</v>
      </c>
      <c r="AX38" s="409">
        <f t="shared" si="79"/>
        <v>2.170019272012055</v>
      </c>
      <c r="AY38" s="293">
        <f>IFERROR(_xlfn.XLOOKUP(E38,'[2]Рассчет акции'!$D:$D,'[2]Рассчет акции'!$BM:$BM),0)</f>
        <v>120</v>
      </c>
      <c r="AZ38" s="203">
        <f>IFERROR(_xlfn.XLOOKUP(E38,'[2]Рассчет акции'!$D:$D,'[2]Рассчет акции'!$BN:$BN),0)</f>
        <v>999</v>
      </c>
      <c r="BA38" s="294">
        <f t="shared" si="80"/>
        <v>8.853449666894484</v>
      </c>
      <c r="BB38" s="292"/>
      <c r="BC38" s="497" t="e">
        <f xml:space="preserve"> _xlfn.XLOOKUP(B38,#REF!,#REF!,0)</f>
        <v>#REF!</v>
      </c>
      <c r="BD38" s="500" t="e">
        <f t="shared" si="52"/>
        <v>#REF!</v>
      </c>
      <c r="BE38" s="501">
        <f>_xlfn.XLOOKUP($B38,'[1]Рассчет акции'!$A:$A,'[1]Рассчет акции'!$J:$J)</f>
        <v>0.34983050847457631</v>
      </c>
      <c r="BF38" s="191" t="e">
        <f t="shared" si="44"/>
        <v>#REF!</v>
      </c>
      <c r="BG38" s="192">
        <f t="shared" si="81"/>
        <v>0</v>
      </c>
      <c r="BH38" s="193">
        <v>0.37</v>
      </c>
      <c r="BI38" s="194" t="e">
        <f t="shared" si="82"/>
        <v>#REF!</v>
      </c>
      <c r="BJ38" s="195" t="e">
        <f t="shared" si="45"/>
        <v>#REF!</v>
      </c>
      <c r="BK38" s="422">
        <f t="shared" si="83"/>
        <v>0</v>
      </c>
      <c r="BL38" s="196">
        <f>(IF(K38&gt;$BL$3,('Тарифы ОЗОН'!$G$3+ROUNDUP(K38-$BL$3,0)*'Тарифы ОЗОН'!$G$4),'Тарифы ОЗОН'!$G$3))</f>
        <v>46.77</v>
      </c>
      <c r="BM38" s="196">
        <f t="shared" si="84"/>
        <v>35</v>
      </c>
      <c r="BN38" s="197">
        <f>_xlfn.XLOOKUP(BM38,'Тарифы ОЗОН'!$A:$A,'Тарифы ОЗОН'!$B:$B)</f>
        <v>1.32</v>
      </c>
      <c r="BO38" s="198">
        <f>_xlfn.XLOOKUP(BM38,'Тарифы ОЗОН'!$A:$A,'Тарифы ОЗОН'!C:C)</f>
        <v>1.6E-2</v>
      </c>
      <c r="BP38" s="199">
        <f t="shared" si="85"/>
        <v>25</v>
      </c>
      <c r="BQ38" s="199" t="e">
        <f t="shared" si="46"/>
        <v>#REF!</v>
      </c>
      <c r="BR38" s="359">
        <f t="shared" si="47"/>
        <v>0.85</v>
      </c>
      <c r="BS38" s="199" t="e">
        <f t="shared" si="48"/>
        <v>#REF!</v>
      </c>
      <c r="BT38" s="200">
        <f t="shared" si="86"/>
        <v>0</v>
      </c>
      <c r="BU38" s="262" t="e">
        <f t="shared" si="30"/>
        <v>#REF!</v>
      </c>
      <c r="BV38" s="149" t="e">
        <f t="shared" si="87"/>
        <v>#REF!</v>
      </c>
      <c r="BW38" s="291">
        <f t="shared" si="88"/>
        <v>0</v>
      </c>
      <c r="BX38" s="201">
        <f t="shared" si="89"/>
        <v>0</v>
      </c>
      <c r="BY38" s="201" t="e">
        <f t="shared" si="90"/>
        <v>#REF!</v>
      </c>
      <c r="BZ38" s="202">
        <f t="shared" si="35"/>
        <v>0</v>
      </c>
      <c r="CA38" s="425">
        <v>759</v>
      </c>
      <c r="CB38" s="426" t="e">
        <f t="shared" si="49"/>
        <v>#REF!</v>
      </c>
      <c r="CC38" s="427" t="e">
        <f t="shared" si="53"/>
        <v>#REF!</v>
      </c>
      <c r="CD38" s="429" t="e">
        <f t="shared" si="91"/>
        <v>#REF!</v>
      </c>
      <c r="CE38" s="429">
        <f t="shared" si="50"/>
        <v>0</v>
      </c>
      <c r="CF38" s="277">
        <f>_xlfn.XLOOKUP(B38,'[1]Рассчет акции'!$A:$A,'[1]Рассчет акции'!$R:$R,0)</f>
        <v>0</v>
      </c>
      <c r="CG38" s="360">
        <f>_xlfn.XLOOKUP(B38,'[1]Рассчет акции'!$A:$A,'[1]Рассчет акции'!$M:$M,0)</f>
        <v>701</v>
      </c>
      <c r="CH38" s="291">
        <f t="shared" si="92"/>
        <v>0</v>
      </c>
      <c r="CI38" s="290" t="e">
        <f t="shared" si="55"/>
        <v>#REF!</v>
      </c>
      <c r="CJ38" s="290" t="e">
        <f t="shared" si="56"/>
        <v>#REF!</v>
      </c>
      <c r="CK38" s="291" t="e">
        <f t="shared" si="93"/>
        <v>#REF!</v>
      </c>
      <c r="CL38" s="203">
        <f>_xlfn.XLOOKUP(B38,'[1]Рассчет акции'!$A:$A,'[1]Рассчет акции'!$W:$W,0)</f>
        <v>4</v>
      </c>
      <c r="CM38" s="424">
        <f>_xlfn.XLOOKUP(B38,'[1]Рассчет акции'!$A:$A,'[1]Рассчет акции'!$X:$X,0)</f>
        <v>999</v>
      </c>
      <c r="CN38" s="294" t="e">
        <f t="shared" si="94"/>
        <v>#REF!</v>
      </c>
      <c r="CO38" s="433">
        <f t="shared" si="51"/>
        <v>683.1</v>
      </c>
      <c r="CP38" s="507">
        <f>_xlfn.XLOOKUP(B38,'[1]Рассчет акции'!$A:$A,'[1]Рассчет акции'!$Z:$Z,0)</f>
        <v>0</v>
      </c>
    </row>
    <row r="39" spans="1:94" ht="25.5" customHeight="1" x14ac:dyDescent="0.25">
      <c r="A39" s="162">
        <v>340734340</v>
      </c>
      <c r="B39" s="164">
        <v>2415742594</v>
      </c>
      <c r="C39" s="162" t="s">
        <v>292</v>
      </c>
      <c r="D39" s="163" t="s">
        <v>291</v>
      </c>
      <c r="E39" s="164">
        <v>2042985583893</v>
      </c>
      <c r="F39" s="284">
        <f t="shared" si="57"/>
        <v>96</v>
      </c>
      <c r="G39" s="147">
        <f t="shared" si="58"/>
        <v>0.1871345029239766</v>
      </c>
      <c r="H39" s="439">
        <f>IF(_xlfn.XLOOKUP($C39,'Юнит Карго'!$A:$A,'Юнит Карго'!$G:$G)=0,_xlfn.XLOOKUP(E39,'Себес 1С текущ'!G:G,'Себес 1С текущ'!H:H),_xlfn.XLOOKUP($C39,'Юнит Карго'!$A:$A,'Юнит Карго'!$P:$P,0,0))</f>
        <v>80</v>
      </c>
      <c r="I39" s="268">
        <f>_xlfn.XLOOKUP(E39,[3]ТЗ_ФФ!$D:$D,[3]ТЗ_ФФ!$BG:$BG,0)</f>
        <v>8</v>
      </c>
      <c r="J39" s="269">
        <f t="shared" si="59"/>
        <v>8</v>
      </c>
      <c r="K39" s="273">
        <f t="shared" si="60"/>
        <v>0.38400000000000001</v>
      </c>
      <c r="L39" s="146">
        <v>8</v>
      </c>
      <c r="M39" s="146">
        <v>8</v>
      </c>
      <c r="N39" s="146">
        <v>6</v>
      </c>
      <c r="O39" s="150">
        <f>_xlfn.XLOOKUP($C39,'Юнит Карго'!$A:$A,'Юнит Карго'!$T:$T,0,0)</f>
        <v>0</v>
      </c>
      <c r="P39" s="127" t="s">
        <v>75</v>
      </c>
      <c r="Q39" s="146"/>
      <c r="R39" s="292"/>
      <c r="S39" s="285">
        <f t="shared" si="4"/>
        <v>513</v>
      </c>
      <c r="T39" s="286" t="str">
        <f>_xlfn.XLOOKUP(E39,'[2]Рассчет акции'!$D:$D,'[2]Рассчет акции'!$G:$G,0)</f>
        <v>855</v>
      </c>
      <c r="U39" s="417">
        <f>_xlfn.XLOOKUP(E39,'[2]Рассчет акции'!$D:$D,'[2]Рассчет акции'!$F:$F,0)</f>
        <v>0.4</v>
      </c>
      <c r="V39" s="235">
        <f t="shared" si="40"/>
        <v>312.82640000000004</v>
      </c>
      <c r="W39" s="288">
        <f t="shared" si="61"/>
        <v>0.60979805068226123</v>
      </c>
      <c r="X39" s="289">
        <f>IF(K39&gt;1,('Тарифы ВБ'!$B$9+(K39-1)*'Тарифы ВБ'!$B$10)*'Тарифы ВБ'!$B$15*'Тарифы ВБ'!$B$12+S39*'Тарифы ВБ'!$B$13,'Тарифы ВБ'!$B$8*'Тарифы ВБ'!$B$15*'Тарифы ВБ'!$B$12+S39*'Тарифы ВБ'!$B$13)</f>
        <v>71.841400000000007</v>
      </c>
      <c r="Y39" s="289">
        <f>IF(K39&gt;1,'Тарифы ВБ'!$B$9+(K39-1)*'Тарифы ВБ'!$B$10,'Тарифы ВБ'!$B$8)</f>
        <v>32</v>
      </c>
      <c r="Z39" s="289">
        <f t="shared" si="42"/>
        <v>103.84140000000001</v>
      </c>
      <c r="AA39" s="236">
        <f t="shared" si="43"/>
        <v>0.20241988304093569</v>
      </c>
      <c r="AB39" s="237">
        <f>IF(K39&gt;1,'Тарифы ВБ'!$B$14*'Тарифы ВБ'!$B$16*'Тарифы ВБ'!$B$15+(K39-1)*'Тарифы ВБ'!$B$14,'Тарифы ВБ'!$B$14*'Тарифы ВБ'!B$16*'Тарифы ВБ'!$B$15)</f>
        <v>32</v>
      </c>
      <c r="AC39" s="287">
        <f t="shared" si="62"/>
        <v>135.84140000000002</v>
      </c>
      <c r="AD39" s="240">
        <f t="shared" si="63"/>
        <v>0.26479805068226125</v>
      </c>
      <c r="AE39" s="241">
        <v>0.315</v>
      </c>
      <c r="AF39" s="289">
        <f t="shared" si="64"/>
        <v>161.595</v>
      </c>
      <c r="AG39" s="364">
        <f t="shared" si="65"/>
        <v>0</v>
      </c>
      <c r="AH39" s="364">
        <f t="shared" si="66"/>
        <v>15.389999999999999</v>
      </c>
      <c r="AI39" s="149">
        <f t="shared" si="67"/>
        <v>408.82640000000004</v>
      </c>
      <c r="AJ39" s="447">
        <f t="shared" si="68"/>
        <v>0.13306744639376211</v>
      </c>
      <c r="AK39" s="450">
        <f t="shared" si="69"/>
        <v>104.17359999999996</v>
      </c>
      <c r="AL39" s="450">
        <f t="shared" si="70"/>
        <v>68.263599999999968</v>
      </c>
      <c r="AM39" s="447">
        <f t="shared" si="71"/>
        <v>0.85329499999999958</v>
      </c>
      <c r="AN39" s="458">
        <v>519</v>
      </c>
      <c r="AO39" s="459">
        <f t="shared" si="72"/>
        <v>110.17359999999996</v>
      </c>
      <c r="AP39" s="459">
        <f t="shared" si="73"/>
        <v>73.843599999999952</v>
      </c>
      <c r="AQ39" s="463">
        <f t="shared" si="74"/>
        <v>0.92304499999999945</v>
      </c>
      <c r="AR39" s="464">
        <f t="shared" si="75"/>
        <v>0.14228053949903652</v>
      </c>
      <c r="AS39" s="487" t="str">
        <f>IFERROR(_xlfn.XLOOKUP(A39,'[2]Рассчет акции'!$A:$A,'[2]Рассчет акции'!$BH:$BH),0)</f>
        <v>*</v>
      </c>
      <c r="AT39" s="487">
        <f>IFERROR(_xlfn.XLOOKUP($A39,'[2]Рассчет акции'!$A:$A,'[2]Рассчет акции'!$BC:$BC),0)</f>
        <v>513</v>
      </c>
      <c r="AU39" s="409">
        <f t="shared" si="76"/>
        <v>0.13306744639376211</v>
      </c>
      <c r="AV39" s="407">
        <f t="shared" si="77"/>
        <v>104.17359999999996</v>
      </c>
      <c r="AW39" s="407">
        <f t="shared" si="78"/>
        <v>68.263599999999968</v>
      </c>
      <c r="AX39" s="409">
        <f t="shared" si="79"/>
        <v>0.85329499999999958</v>
      </c>
      <c r="AY39" s="293">
        <f>IFERROR(_xlfn.XLOOKUP(E39,'[2]Рассчет акции'!$D:$D,'[2]Рассчет акции'!$BM:$BM),0)</f>
        <v>4</v>
      </c>
      <c r="AZ39" s="203">
        <f>IFERROR(_xlfn.XLOOKUP(E39,'[2]Рассчет акции'!$D:$D,'[2]Рассчет акции'!$BN:$BN),0)</f>
        <v>999</v>
      </c>
      <c r="BA39" s="294">
        <f t="shared" si="80"/>
        <v>6.4124999999999996</v>
      </c>
      <c r="BB39" s="292"/>
      <c r="BC39" s="497" t="e">
        <f xml:space="preserve"> _xlfn.XLOOKUP(B39,#REF!,#REF!,0)</f>
        <v>#REF!</v>
      </c>
      <c r="BD39" s="500" t="e">
        <f t="shared" si="52"/>
        <v>#REF!</v>
      </c>
      <c r="BE39" s="501">
        <f>_xlfn.XLOOKUP($B39,'[1]Рассчет акции'!$A:$A,'[1]Рассчет акции'!$J:$J)</f>
        <v>0.35022692889561269</v>
      </c>
      <c r="BF39" s="191" t="e">
        <f t="shared" si="44"/>
        <v>#REF!</v>
      </c>
      <c r="BG39" s="192">
        <f t="shared" si="81"/>
        <v>0</v>
      </c>
      <c r="BH39" s="193">
        <v>0.37</v>
      </c>
      <c r="BI39" s="194" t="e">
        <f t="shared" si="82"/>
        <v>#REF!</v>
      </c>
      <c r="BJ39" s="195" t="e">
        <f t="shared" si="45"/>
        <v>#REF!</v>
      </c>
      <c r="BK39" s="422">
        <f t="shared" si="83"/>
        <v>0</v>
      </c>
      <c r="BL39" s="196">
        <f>(IF(K39&gt;$BL$3,('Тарифы ОЗОН'!$G$3+ROUNDUP(K39-$BL$3,0)*'Тарифы ОЗОН'!$G$4),'Тарифы ОЗОН'!$G$3))</f>
        <v>46.77</v>
      </c>
      <c r="BM39" s="196">
        <f t="shared" si="84"/>
        <v>35</v>
      </c>
      <c r="BN39" s="197">
        <f>_xlfn.XLOOKUP(BM39,'Тарифы ОЗОН'!$A:$A,'Тарифы ОЗОН'!$B:$B)</f>
        <v>1.32</v>
      </c>
      <c r="BO39" s="198">
        <f>_xlfn.XLOOKUP(BM39,'Тарифы ОЗОН'!$A:$A,'Тарифы ОЗОН'!C:C)</f>
        <v>1.6E-2</v>
      </c>
      <c r="BP39" s="199">
        <f t="shared" si="85"/>
        <v>25</v>
      </c>
      <c r="BQ39" s="199" t="e">
        <f t="shared" si="46"/>
        <v>#REF!</v>
      </c>
      <c r="BR39" s="359">
        <f t="shared" si="47"/>
        <v>0.85</v>
      </c>
      <c r="BS39" s="199" t="e">
        <f t="shared" si="48"/>
        <v>#REF!</v>
      </c>
      <c r="BT39" s="200">
        <f t="shared" si="86"/>
        <v>0</v>
      </c>
      <c r="BU39" s="262" t="e">
        <f t="shared" si="30"/>
        <v>#REF!</v>
      </c>
      <c r="BV39" s="149" t="e">
        <f t="shared" si="87"/>
        <v>#REF!</v>
      </c>
      <c r="BW39" s="291"/>
      <c r="BX39" s="201"/>
      <c r="BY39" s="201"/>
      <c r="BZ39" s="202"/>
      <c r="CA39" s="425"/>
      <c r="CB39" s="426" t="e">
        <f t="shared" si="49"/>
        <v>#REF!</v>
      </c>
      <c r="CC39" s="427" t="e">
        <f t="shared" si="53"/>
        <v>#REF!</v>
      </c>
      <c r="CD39" s="429" t="e">
        <f t="shared" si="91"/>
        <v>#REF!</v>
      </c>
      <c r="CE39" s="429">
        <f t="shared" si="50"/>
        <v>0</v>
      </c>
      <c r="CF39" s="277">
        <f>_xlfn.XLOOKUP(B39,'[1]Рассчет акции'!$A:$A,'[1]Рассчет акции'!$R:$R,0)</f>
        <v>0</v>
      </c>
      <c r="CG39" s="360">
        <f>_xlfn.XLOOKUP(B39,'[1]Рассчет акции'!$A:$A,'[1]Рассчет акции'!$M:$M,0)</f>
        <v>0</v>
      </c>
      <c r="CH39" s="291">
        <f t="shared" si="92"/>
        <v>0</v>
      </c>
      <c r="CI39" s="290" t="e">
        <f t="shared" si="55"/>
        <v>#REF!</v>
      </c>
      <c r="CJ39" s="290" t="e">
        <f t="shared" si="56"/>
        <v>#REF!</v>
      </c>
      <c r="CK39" s="291" t="e">
        <f t="shared" si="93"/>
        <v>#REF!</v>
      </c>
      <c r="CL39" s="203">
        <f>_xlfn.XLOOKUP(B39,'[1]Рассчет акции'!$A:$A,'[1]Рассчет акции'!$W:$W,0)</f>
        <v>0</v>
      </c>
      <c r="CM39" s="424">
        <f>_xlfn.XLOOKUP(B39,'[1]Рассчет акции'!$A:$A,'[1]Рассчет акции'!$X:$X,0)</f>
        <v>0</v>
      </c>
      <c r="CN39" s="294" t="e">
        <f t="shared" si="94"/>
        <v>#REF!</v>
      </c>
      <c r="CO39" s="433">
        <f t="shared" si="51"/>
        <v>0</v>
      </c>
      <c r="CP39" s="507">
        <f>_xlfn.XLOOKUP(B39,'[1]Рассчет акции'!$A:$A,'[1]Рассчет акции'!$Z:$Z,0)</f>
        <v>0</v>
      </c>
    </row>
    <row r="40" spans="1:94" ht="25.5" customHeight="1" x14ac:dyDescent="0.25">
      <c r="A40" s="162">
        <v>340741532</v>
      </c>
      <c r="B40" s="164">
        <v>2415743200</v>
      </c>
      <c r="C40" s="162" t="s">
        <v>296</v>
      </c>
      <c r="D40" s="163" t="s">
        <v>293</v>
      </c>
      <c r="E40" s="164">
        <v>2042986356632</v>
      </c>
      <c r="F40" s="284">
        <f t="shared" si="57"/>
        <v>96</v>
      </c>
      <c r="G40" s="147">
        <f t="shared" si="58"/>
        <v>0.1871345029239766</v>
      </c>
      <c r="H40" s="439">
        <f>IF(_xlfn.XLOOKUP($C40,'Юнит Карго'!$A:$A,'Юнит Карго'!$G:$G)=0,_xlfn.XLOOKUP(E40,'Себес 1С текущ'!G:G,'Себес 1С текущ'!H:H),_xlfn.XLOOKUP($C40,'Юнит Карго'!$A:$A,'Юнит Карго'!$P:$P,0,0))</f>
        <v>80</v>
      </c>
      <c r="I40" s="268">
        <f>_xlfn.XLOOKUP(E40,[3]ТЗ_ФФ!$D:$D,[3]ТЗ_ФФ!$BG:$BG,0)</f>
        <v>8</v>
      </c>
      <c r="J40" s="269">
        <f t="shared" si="59"/>
        <v>8</v>
      </c>
      <c r="K40" s="273">
        <f t="shared" si="60"/>
        <v>0.38400000000000001</v>
      </c>
      <c r="L40" s="146">
        <v>8</v>
      </c>
      <c r="M40" s="146">
        <v>8</v>
      </c>
      <c r="N40" s="146">
        <v>6</v>
      </c>
      <c r="O40" s="150">
        <f>_xlfn.XLOOKUP($C40,'Юнит Карго'!$A:$A,'Юнит Карго'!$T:$T,0,0)</f>
        <v>0</v>
      </c>
      <c r="P40" s="127" t="s">
        <v>75</v>
      </c>
      <c r="Q40" s="146"/>
      <c r="R40" s="292"/>
      <c r="S40" s="285">
        <f t="shared" si="4"/>
        <v>513</v>
      </c>
      <c r="T40" s="286" t="str">
        <f>_xlfn.XLOOKUP(E40,'[2]Рассчет акции'!$D:$D,'[2]Рассчет акции'!$G:$G,0)</f>
        <v>855</v>
      </c>
      <c r="U40" s="417">
        <f>_xlfn.XLOOKUP(E40,'[2]Рассчет акции'!$D:$D,'[2]Рассчет акции'!$F:$F,0)</f>
        <v>0.4</v>
      </c>
      <c r="V40" s="235">
        <f t="shared" si="40"/>
        <v>312.82640000000004</v>
      </c>
      <c r="W40" s="288">
        <f t="shared" si="61"/>
        <v>0.60979805068226123</v>
      </c>
      <c r="X40" s="289">
        <f>IF(K40&gt;1,('Тарифы ВБ'!$B$9+(K40-1)*'Тарифы ВБ'!$B$10)*'Тарифы ВБ'!$B$15*'Тарифы ВБ'!$B$12+S40*'Тарифы ВБ'!$B$13,'Тарифы ВБ'!$B$8*'Тарифы ВБ'!$B$15*'Тарифы ВБ'!$B$12+S40*'Тарифы ВБ'!$B$13)</f>
        <v>71.841400000000007</v>
      </c>
      <c r="Y40" s="289">
        <f>IF(K40&gt;1,'Тарифы ВБ'!$B$9+(K40-1)*'Тарифы ВБ'!$B$10,'Тарифы ВБ'!$B$8)</f>
        <v>32</v>
      </c>
      <c r="Z40" s="289">
        <f t="shared" si="42"/>
        <v>103.84140000000001</v>
      </c>
      <c r="AA40" s="236">
        <f t="shared" si="43"/>
        <v>0.20241988304093569</v>
      </c>
      <c r="AB40" s="237">
        <f>IF(K40&gt;1,'Тарифы ВБ'!$B$14*'Тарифы ВБ'!$B$16*'Тарифы ВБ'!$B$15+(K40-1)*'Тарифы ВБ'!$B$14,'Тарифы ВБ'!$B$14*'Тарифы ВБ'!B$16*'Тарифы ВБ'!$B$15)</f>
        <v>32</v>
      </c>
      <c r="AC40" s="287">
        <f t="shared" si="62"/>
        <v>135.84140000000002</v>
      </c>
      <c r="AD40" s="240">
        <f t="shared" si="63"/>
        <v>0.26479805068226125</v>
      </c>
      <c r="AE40" s="241">
        <v>0.315</v>
      </c>
      <c r="AF40" s="289">
        <f t="shared" si="64"/>
        <v>161.595</v>
      </c>
      <c r="AG40" s="364">
        <f t="shared" si="65"/>
        <v>0</v>
      </c>
      <c r="AH40" s="364">
        <f t="shared" si="66"/>
        <v>15.389999999999999</v>
      </c>
      <c r="AI40" s="149">
        <f t="shared" si="67"/>
        <v>408.82640000000004</v>
      </c>
      <c r="AJ40" s="447">
        <f t="shared" si="68"/>
        <v>0.13306744639376211</v>
      </c>
      <c r="AK40" s="450">
        <f t="shared" si="69"/>
        <v>104.17359999999996</v>
      </c>
      <c r="AL40" s="450">
        <f t="shared" si="70"/>
        <v>68.263599999999968</v>
      </c>
      <c r="AM40" s="447">
        <f t="shared" si="71"/>
        <v>0.85329499999999958</v>
      </c>
      <c r="AN40" s="458">
        <v>519</v>
      </c>
      <c r="AO40" s="459">
        <f t="shared" si="72"/>
        <v>110.17359999999996</v>
      </c>
      <c r="AP40" s="459">
        <f t="shared" si="73"/>
        <v>73.843599999999952</v>
      </c>
      <c r="AQ40" s="463">
        <f t="shared" si="74"/>
        <v>0.92304499999999945</v>
      </c>
      <c r="AR40" s="464">
        <f t="shared" si="75"/>
        <v>0.14228053949903652</v>
      </c>
      <c r="AS40" s="487" t="str">
        <f>IFERROR(_xlfn.XLOOKUP(A40,'[2]Рассчет акции'!$A:$A,'[2]Рассчет акции'!$BH:$BH),0)</f>
        <v>*</v>
      </c>
      <c r="AT40" s="487">
        <f>IFERROR(_xlfn.XLOOKUP($A40,'[2]Рассчет акции'!$A:$A,'[2]Рассчет акции'!$BC:$BC),0)</f>
        <v>513</v>
      </c>
      <c r="AU40" s="409">
        <f t="shared" si="76"/>
        <v>0.13306744639376211</v>
      </c>
      <c r="AV40" s="407">
        <f t="shared" si="77"/>
        <v>104.17359999999996</v>
      </c>
      <c r="AW40" s="407">
        <f t="shared" si="78"/>
        <v>68.263599999999968</v>
      </c>
      <c r="AX40" s="409">
        <f t="shared" si="79"/>
        <v>0.85329499999999958</v>
      </c>
      <c r="AY40" s="293">
        <f>IFERROR(_xlfn.XLOOKUP(E40,'[2]Рассчет акции'!$D:$D,'[2]Рассчет акции'!$BM:$BM),0)</f>
        <v>60</v>
      </c>
      <c r="AZ40" s="203">
        <f>IFERROR(_xlfn.XLOOKUP(E40,'[2]Рассчет акции'!$D:$D,'[2]Рассчет акции'!$BN:$BN),0)</f>
        <v>999</v>
      </c>
      <c r="BA40" s="294">
        <f t="shared" si="80"/>
        <v>6.4124999999999996</v>
      </c>
      <c r="BB40" s="292"/>
      <c r="BC40" s="497" t="e">
        <f xml:space="preserve"> _xlfn.XLOOKUP(B40,#REF!,#REF!,0)</f>
        <v>#REF!</v>
      </c>
      <c r="BD40" s="500" t="e">
        <f t="shared" si="52"/>
        <v>#REF!</v>
      </c>
      <c r="BE40" s="501">
        <f>_xlfn.XLOOKUP($B40,'[1]Рассчет акции'!$A:$A,'[1]Рассчет акции'!$J:$J)</f>
        <v>0.35022692889561269</v>
      </c>
      <c r="BF40" s="191" t="e">
        <f t="shared" si="44"/>
        <v>#REF!</v>
      </c>
      <c r="BG40" s="192">
        <f t="shared" si="81"/>
        <v>0</v>
      </c>
      <c r="BH40" s="193">
        <v>0.37</v>
      </c>
      <c r="BI40" s="194" t="e">
        <f t="shared" si="82"/>
        <v>#REF!</v>
      </c>
      <c r="BJ40" s="195" t="e">
        <f t="shared" si="45"/>
        <v>#REF!</v>
      </c>
      <c r="BK40" s="422">
        <f t="shared" si="83"/>
        <v>0</v>
      </c>
      <c r="BL40" s="196">
        <f>(IF(K40&gt;$BL$3,('Тарифы ОЗОН'!$G$3+ROUNDUP(K40-$BL$3,0)*'Тарифы ОЗОН'!$G$4),'Тарифы ОЗОН'!$G$3))</f>
        <v>46.77</v>
      </c>
      <c r="BM40" s="196">
        <f t="shared" si="84"/>
        <v>35</v>
      </c>
      <c r="BN40" s="197">
        <f>_xlfn.XLOOKUP(BM40,'Тарифы ОЗОН'!$A:$A,'Тарифы ОЗОН'!$B:$B)</f>
        <v>1.32</v>
      </c>
      <c r="BO40" s="198">
        <f>_xlfn.XLOOKUP(BM40,'Тарифы ОЗОН'!$A:$A,'Тарифы ОЗОН'!C:C)</f>
        <v>1.6E-2</v>
      </c>
      <c r="BP40" s="199">
        <f t="shared" si="85"/>
        <v>25</v>
      </c>
      <c r="BQ40" s="199" t="e">
        <f t="shared" si="46"/>
        <v>#REF!</v>
      </c>
      <c r="BR40" s="359">
        <f t="shared" si="47"/>
        <v>0.85</v>
      </c>
      <c r="BS40" s="199" t="e">
        <f t="shared" si="48"/>
        <v>#REF!</v>
      </c>
      <c r="BT40" s="200">
        <f t="shared" si="86"/>
        <v>0</v>
      </c>
      <c r="BU40" s="262" t="e">
        <f t="shared" si="30"/>
        <v>#REF!</v>
      </c>
      <c r="BV40" s="149" t="e">
        <f t="shared" si="87"/>
        <v>#REF!</v>
      </c>
      <c r="BW40" s="291"/>
      <c r="BX40" s="201"/>
      <c r="BY40" s="201"/>
      <c r="BZ40" s="202"/>
      <c r="CA40" s="425"/>
      <c r="CB40" s="426" t="e">
        <f t="shared" si="49"/>
        <v>#REF!</v>
      </c>
      <c r="CC40" s="427" t="e">
        <f t="shared" si="53"/>
        <v>#REF!</v>
      </c>
      <c r="CD40" s="429" t="e">
        <f t="shared" si="91"/>
        <v>#REF!</v>
      </c>
      <c r="CE40" s="429">
        <f t="shared" si="50"/>
        <v>0</v>
      </c>
      <c r="CF40" s="277">
        <f>_xlfn.XLOOKUP(B40,'[1]Рассчет акции'!$A:$A,'[1]Рассчет акции'!$R:$R,0)</f>
        <v>0</v>
      </c>
      <c r="CG40" s="360">
        <f>_xlfn.XLOOKUP(B40,'[1]Рассчет акции'!$A:$A,'[1]Рассчет акции'!$M:$M,0)</f>
        <v>0</v>
      </c>
      <c r="CH40" s="291">
        <f t="shared" si="92"/>
        <v>0</v>
      </c>
      <c r="CI40" s="290" t="e">
        <f t="shared" si="55"/>
        <v>#REF!</v>
      </c>
      <c r="CJ40" s="290" t="e">
        <f t="shared" si="56"/>
        <v>#REF!</v>
      </c>
      <c r="CK40" s="291" t="e">
        <f t="shared" si="93"/>
        <v>#REF!</v>
      </c>
      <c r="CL40" s="203">
        <f>_xlfn.XLOOKUP(B40,'[1]Рассчет акции'!$A:$A,'[1]Рассчет акции'!$W:$W,0)</f>
        <v>0</v>
      </c>
      <c r="CM40" s="424">
        <f>_xlfn.XLOOKUP(B40,'[1]Рассчет акции'!$A:$A,'[1]Рассчет акции'!$X:$X,0)</f>
        <v>0</v>
      </c>
      <c r="CN40" s="294" t="e">
        <f t="shared" si="94"/>
        <v>#REF!</v>
      </c>
      <c r="CO40" s="433">
        <f t="shared" si="51"/>
        <v>0</v>
      </c>
      <c r="CP40" s="507">
        <f>_xlfn.XLOOKUP(B40,'[1]Рассчет акции'!$A:$A,'[1]Рассчет акции'!$Z:$Z,0)</f>
        <v>0</v>
      </c>
    </row>
    <row r="41" spans="1:94" ht="25.5" customHeight="1" x14ac:dyDescent="0.25">
      <c r="A41" s="162">
        <v>340743352</v>
      </c>
      <c r="B41" s="164">
        <v>2415742578</v>
      </c>
      <c r="C41" s="162" t="s">
        <v>299</v>
      </c>
      <c r="D41" s="163" t="s">
        <v>294</v>
      </c>
      <c r="E41" s="164">
        <v>2042986372359</v>
      </c>
      <c r="F41" s="284">
        <f t="shared" si="57"/>
        <v>96</v>
      </c>
      <c r="G41" s="147">
        <f t="shared" si="58"/>
        <v>0.1871345029239766</v>
      </c>
      <c r="H41" s="439">
        <f>IF(_xlfn.XLOOKUP($C41,'Юнит Карго'!$A:$A,'Юнит Карго'!$G:$G)=0,_xlfn.XLOOKUP(E41,'Себес 1С текущ'!G:G,'Себес 1С текущ'!H:H),_xlfn.XLOOKUP($C41,'Юнит Карго'!$A:$A,'Юнит Карго'!$P:$P,0,0))</f>
        <v>80</v>
      </c>
      <c r="I41" s="268">
        <f>_xlfn.XLOOKUP(E41,[3]ТЗ_ФФ!$D:$D,[3]ТЗ_ФФ!$BG:$BG,0)</f>
        <v>8</v>
      </c>
      <c r="J41" s="269">
        <f t="shared" si="59"/>
        <v>8</v>
      </c>
      <c r="K41" s="273">
        <f t="shared" si="60"/>
        <v>0.38400000000000001</v>
      </c>
      <c r="L41" s="146">
        <v>8</v>
      </c>
      <c r="M41" s="146">
        <v>8</v>
      </c>
      <c r="N41" s="146">
        <v>6</v>
      </c>
      <c r="O41" s="150">
        <f>_xlfn.XLOOKUP($C41,'Юнит Карго'!$A:$A,'Юнит Карго'!$T:$T,0,0)</f>
        <v>0</v>
      </c>
      <c r="P41" s="127" t="s">
        <v>75</v>
      </c>
      <c r="Q41" s="146"/>
      <c r="R41" s="292"/>
      <c r="S41" s="285">
        <f t="shared" si="4"/>
        <v>513</v>
      </c>
      <c r="T41" s="286" t="str">
        <f>_xlfn.XLOOKUP(E41,'[2]Рассчет акции'!$D:$D,'[2]Рассчет акции'!$G:$G,0)</f>
        <v>855</v>
      </c>
      <c r="U41" s="417">
        <f>_xlfn.XLOOKUP(E41,'[2]Рассчет акции'!$D:$D,'[2]Рассчет акции'!$F:$F,0)</f>
        <v>0.4</v>
      </c>
      <c r="V41" s="235">
        <f t="shared" si="40"/>
        <v>312.82640000000004</v>
      </c>
      <c r="W41" s="288">
        <f t="shared" si="61"/>
        <v>0.60979805068226123</v>
      </c>
      <c r="X41" s="289">
        <f>IF(K41&gt;1,('Тарифы ВБ'!$B$9+(K41-1)*'Тарифы ВБ'!$B$10)*'Тарифы ВБ'!$B$15*'Тарифы ВБ'!$B$12+S41*'Тарифы ВБ'!$B$13,'Тарифы ВБ'!$B$8*'Тарифы ВБ'!$B$15*'Тарифы ВБ'!$B$12+S41*'Тарифы ВБ'!$B$13)</f>
        <v>71.841400000000007</v>
      </c>
      <c r="Y41" s="289">
        <f>IF(K41&gt;1,'Тарифы ВБ'!$B$9+(K41-1)*'Тарифы ВБ'!$B$10,'Тарифы ВБ'!$B$8)</f>
        <v>32</v>
      </c>
      <c r="Z41" s="289">
        <f t="shared" si="42"/>
        <v>103.84140000000001</v>
      </c>
      <c r="AA41" s="236">
        <f t="shared" si="43"/>
        <v>0.20241988304093569</v>
      </c>
      <c r="AB41" s="237">
        <f>IF(K41&gt;1,'Тарифы ВБ'!$B$14*'Тарифы ВБ'!$B$16*'Тарифы ВБ'!$B$15+(K41-1)*'Тарифы ВБ'!$B$14,'Тарифы ВБ'!$B$14*'Тарифы ВБ'!B$16*'Тарифы ВБ'!$B$15)</f>
        <v>32</v>
      </c>
      <c r="AC41" s="287">
        <f t="shared" si="62"/>
        <v>135.84140000000002</v>
      </c>
      <c r="AD41" s="240">
        <f t="shared" si="63"/>
        <v>0.26479805068226125</v>
      </c>
      <c r="AE41" s="241">
        <v>0.315</v>
      </c>
      <c r="AF41" s="289">
        <f t="shared" si="64"/>
        <v>161.595</v>
      </c>
      <c r="AG41" s="364">
        <f t="shared" si="65"/>
        <v>0</v>
      </c>
      <c r="AH41" s="364">
        <f t="shared" si="66"/>
        <v>15.389999999999999</v>
      </c>
      <c r="AI41" s="149">
        <f t="shared" si="67"/>
        <v>408.82640000000004</v>
      </c>
      <c r="AJ41" s="447">
        <f t="shared" si="68"/>
        <v>0.13306744639376211</v>
      </c>
      <c r="AK41" s="450">
        <f t="shared" si="69"/>
        <v>104.17359999999996</v>
      </c>
      <c r="AL41" s="450">
        <f t="shared" si="70"/>
        <v>68.263599999999968</v>
      </c>
      <c r="AM41" s="447">
        <f t="shared" si="71"/>
        <v>0.85329499999999958</v>
      </c>
      <c r="AN41" s="458">
        <v>519</v>
      </c>
      <c r="AO41" s="459">
        <f t="shared" si="72"/>
        <v>110.17359999999996</v>
      </c>
      <c r="AP41" s="459">
        <f t="shared" si="73"/>
        <v>73.843599999999952</v>
      </c>
      <c r="AQ41" s="463">
        <f t="shared" si="74"/>
        <v>0.92304499999999945</v>
      </c>
      <c r="AR41" s="464">
        <f t="shared" si="75"/>
        <v>0.14228053949903652</v>
      </c>
      <c r="AS41" s="487" t="str">
        <f>IFERROR(_xlfn.XLOOKUP(A41,'[2]Рассчет акции'!$A:$A,'[2]Рассчет акции'!$BH:$BH),0)</f>
        <v>*</v>
      </c>
      <c r="AT41" s="487">
        <f>IFERROR(_xlfn.XLOOKUP($A41,'[2]Рассчет акции'!$A:$A,'[2]Рассчет акции'!$BC:$BC),0)</f>
        <v>513</v>
      </c>
      <c r="AU41" s="409">
        <f t="shared" si="76"/>
        <v>0.13306744639376211</v>
      </c>
      <c r="AV41" s="407">
        <f t="shared" si="77"/>
        <v>104.17359999999996</v>
      </c>
      <c r="AW41" s="407">
        <f t="shared" si="78"/>
        <v>68.263599999999968</v>
      </c>
      <c r="AX41" s="409">
        <f t="shared" si="79"/>
        <v>0.85329499999999958</v>
      </c>
      <c r="AY41" s="293">
        <f>IFERROR(_xlfn.XLOOKUP(E41,'[2]Рассчет акции'!$D:$D,'[2]Рассчет акции'!$BM:$BM),0)</f>
        <v>27</v>
      </c>
      <c r="AZ41" s="203">
        <f>IFERROR(_xlfn.XLOOKUP(E41,'[2]Рассчет акции'!$D:$D,'[2]Рассчет акции'!$BN:$BN),0)</f>
        <v>216</v>
      </c>
      <c r="BA41" s="294">
        <f t="shared" si="80"/>
        <v>6.4124999999999996</v>
      </c>
      <c r="BB41" s="292"/>
      <c r="BC41" s="497" t="e">
        <f xml:space="preserve"> _xlfn.XLOOKUP(B41,#REF!,#REF!,0)</f>
        <v>#REF!</v>
      </c>
      <c r="BD41" s="500" t="e">
        <f t="shared" si="52"/>
        <v>#REF!</v>
      </c>
      <c r="BE41" s="501">
        <f>_xlfn.XLOOKUP($B41,'[1]Рассчет акции'!$A:$A,'[1]Рассчет акции'!$J:$J)</f>
        <v>0.35022692889561269</v>
      </c>
      <c r="BF41" s="191" t="e">
        <f t="shared" si="44"/>
        <v>#REF!</v>
      </c>
      <c r="BG41" s="192">
        <f t="shared" si="81"/>
        <v>0</v>
      </c>
      <c r="BH41" s="193">
        <v>0.37</v>
      </c>
      <c r="BI41" s="194" t="e">
        <f t="shared" si="82"/>
        <v>#REF!</v>
      </c>
      <c r="BJ41" s="195" t="e">
        <f t="shared" si="45"/>
        <v>#REF!</v>
      </c>
      <c r="BK41" s="422">
        <f t="shared" si="83"/>
        <v>0</v>
      </c>
      <c r="BL41" s="196">
        <f>(IF(K41&gt;$BL$3,('Тарифы ОЗОН'!$G$3+ROUNDUP(K41-$BL$3,0)*'Тарифы ОЗОН'!$G$4),'Тарифы ОЗОН'!$G$3))</f>
        <v>46.77</v>
      </c>
      <c r="BM41" s="196">
        <f t="shared" si="84"/>
        <v>35</v>
      </c>
      <c r="BN41" s="197">
        <f>_xlfn.XLOOKUP(BM41,'Тарифы ОЗОН'!$A:$A,'Тарифы ОЗОН'!$B:$B)</f>
        <v>1.32</v>
      </c>
      <c r="BO41" s="198">
        <f>_xlfn.XLOOKUP(BM41,'Тарифы ОЗОН'!$A:$A,'Тарифы ОЗОН'!C:C)</f>
        <v>1.6E-2</v>
      </c>
      <c r="BP41" s="199">
        <f t="shared" si="85"/>
        <v>25</v>
      </c>
      <c r="BQ41" s="199" t="e">
        <f t="shared" si="46"/>
        <v>#REF!</v>
      </c>
      <c r="BR41" s="359">
        <f t="shared" si="47"/>
        <v>0.85</v>
      </c>
      <c r="BS41" s="199" t="e">
        <f t="shared" si="48"/>
        <v>#REF!</v>
      </c>
      <c r="BT41" s="200">
        <f t="shared" si="86"/>
        <v>0</v>
      </c>
      <c r="BU41" s="262" t="e">
        <f t="shared" si="30"/>
        <v>#REF!</v>
      </c>
      <c r="BV41" s="149" t="e">
        <f t="shared" si="87"/>
        <v>#REF!</v>
      </c>
      <c r="BW41" s="291"/>
      <c r="BX41" s="201"/>
      <c r="BY41" s="201"/>
      <c r="BZ41" s="202"/>
      <c r="CA41" s="425"/>
      <c r="CB41" s="426" t="e">
        <f t="shared" si="49"/>
        <v>#REF!</v>
      </c>
      <c r="CC41" s="427" t="e">
        <f t="shared" si="53"/>
        <v>#REF!</v>
      </c>
      <c r="CD41" s="429" t="e">
        <f t="shared" si="91"/>
        <v>#REF!</v>
      </c>
      <c r="CE41" s="429">
        <f t="shared" si="50"/>
        <v>0</v>
      </c>
      <c r="CF41" s="277">
        <f>_xlfn.XLOOKUP(B41,'[1]Рассчет акции'!$A:$A,'[1]Рассчет акции'!$R:$R,0)</f>
        <v>0</v>
      </c>
      <c r="CG41" s="360">
        <f>_xlfn.XLOOKUP(B41,'[1]Рассчет акции'!$A:$A,'[1]Рассчет акции'!$M:$M,0)</f>
        <v>0</v>
      </c>
      <c r="CH41" s="291">
        <f t="shared" si="92"/>
        <v>0</v>
      </c>
      <c r="CI41" s="290" t="e">
        <f t="shared" si="55"/>
        <v>#REF!</v>
      </c>
      <c r="CJ41" s="290" t="e">
        <f t="shared" si="56"/>
        <v>#REF!</v>
      </c>
      <c r="CK41" s="291" t="e">
        <f t="shared" si="93"/>
        <v>#REF!</v>
      </c>
      <c r="CL41" s="203">
        <f>_xlfn.XLOOKUP(B41,'[1]Рассчет акции'!$A:$A,'[1]Рассчет акции'!$W:$W,0)</f>
        <v>0</v>
      </c>
      <c r="CM41" s="424">
        <f>_xlfn.XLOOKUP(B41,'[1]Рассчет акции'!$A:$A,'[1]Рассчет акции'!$X:$X,0)</f>
        <v>0</v>
      </c>
      <c r="CN41" s="294" t="e">
        <f t="shared" si="94"/>
        <v>#REF!</v>
      </c>
      <c r="CO41" s="433">
        <f t="shared" si="51"/>
        <v>0</v>
      </c>
      <c r="CP41" s="507">
        <f>_xlfn.XLOOKUP(B41,'[1]Рассчет акции'!$A:$A,'[1]Рассчет акции'!$Z:$Z,0)</f>
        <v>0</v>
      </c>
    </row>
    <row r="42" spans="1:94" ht="25.5" customHeight="1" x14ac:dyDescent="0.25">
      <c r="A42" s="162">
        <v>340743911</v>
      </c>
      <c r="B42" s="164">
        <v>2415742537</v>
      </c>
      <c r="C42" s="162" t="s">
        <v>297</v>
      </c>
      <c r="D42" s="163" t="s">
        <v>295</v>
      </c>
      <c r="E42" s="164">
        <v>2042986377583</v>
      </c>
      <c r="F42" s="284">
        <f t="shared" si="57"/>
        <v>97</v>
      </c>
      <c r="G42" s="147">
        <f t="shared" si="58"/>
        <v>0.19086973632428178</v>
      </c>
      <c r="H42" s="439">
        <f>IF(_xlfn.XLOOKUP($C42,'Юнит Карго'!$A:$A,'Юнит Карго'!$G:$G)=0,_xlfn.XLOOKUP(E42,'Себес 1С текущ'!G:G,'Себес 1С текущ'!H:H),_xlfn.XLOOKUP($C42,'Юнит Карго'!$A:$A,'Юнит Карго'!$P:$P,0,0))</f>
        <v>81</v>
      </c>
      <c r="I42" s="268">
        <f>_xlfn.XLOOKUP(E42,[3]ТЗ_ФФ!$D:$D,[3]ТЗ_ФФ!$BG:$BG,0)</f>
        <v>8</v>
      </c>
      <c r="J42" s="269">
        <f t="shared" si="59"/>
        <v>8</v>
      </c>
      <c r="K42" s="273">
        <f t="shared" si="60"/>
        <v>0.38400000000000001</v>
      </c>
      <c r="L42" s="146">
        <v>8</v>
      </c>
      <c r="M42" s="146">
        <v>8</v>
      </c>
      <c r="N42" s="146">
        <v>6</v>
      </c>
      <c r="O42" s="150">
        <f>_xlfn.XLOOKUP($C42,'Юнит Карго'!$A:$A,'Юнит Карго'!$T:$T,0,0)</f>
        <v>0</v>
      </c>
      <c r="P42" s="127" t="s">
        <v>75</v>
      </c>
      <c r="Q42" s="146"/>
      <c r="R42" s="292"/>
      <c r="S42" s="285">
        <f t="shared" si="4"/>
        <v>508.2</v>
      </c>
      <c r="T42" s="286" t="str">
        <f>_xlfn.XLOOKUP(E42,'[2]Рассчет акции'!$D:$D,'[2]Рассчет акции'!$G:$G,0)</f>
        <v>847</v>
      </c>
      <c r="U42" s="417">
        <f>_xlfn.XLOOKUP(E42,'[2]Рассчет акции'!$D:$D,'[2]Рассчет акции'!$F:$F,0)</f>
        <v>0.4</v>
      </c>
      <c r="V42" s="235">
        <f t="shared" si="40"/>
        <v>311.13296000000003</v>
      </c>
      <c r="W42" s="288">
        <f t="shared" si="61"/>
        <v>0.61222542306178673</v>
      </c>
      <c r="X42" s="289">
        <f>IF(K42&gt;1,('Тарифы ВБ'!$B$9+(K42-1)*'Тарифы ВБ'!$B$10)*'Тарифы ВБ'!$B$15*'Тарифы ВБ'!$B$12+S42*'Тарифы ВБ'!$B$13,'Тарифы ВБ'!$B$8*'Тарифы ВБ'!$B$15*'Тарифы ВБ'!$B$12+S42*'Тарифы ВБ'!$B$13)</f>
        <v>71.803960000000004</v>
      </c>
      <c r="Y42" s="289">
        <f>IF(K42&gt;1,'Тарифы ВБ'!$B$9+(K42-1)*'Тарифы ВБ'!$B$10,'Тарифы ВБ'!$B$8)</f>
        <v>32</v>
      </c>
      <c r="Z42" s="289">
        <f t="shared" si="42"/>
        <v>103.80396</v>
      </c>
      <c r="AA42" s="236">
        <f t="shared" si="43"/>
        <v>0.20425808736717829</v>
      </c>
      <c r="AB42" s="237">
        <f>IF(K42&gt;1,'Тарифы ВБ'!$B$14*'Тарифы ВБ'!$B$16*'Тарифы ВБ'!$B$15+(K42-1)*'Тарифы ВБ'!$B$14,'Тарифы ВБ'!$B$14*'Тарифы ВБ'!B$16*'Тарифы ВБ'!$B$15)</f>
        <v>32</v>
      </c>
      <c r="AC42" s="287">
        <f t="shared" si="62"/>
        <v>135.80396000000002</v>
      </c>
      <c r="AD42" s="240">
        <f t="shared" si="63"/>
        <v>0.26722542306178676</v>
      </c>
      <c r="AE42" s="241">
        <v>0.315</v>
      </c>
      <c r="AF42" s="289">
        <f t="shared" si="64"/>
        <v>160.083</v>
      </c>
      <c r="AG42" s="364">
        <f t="shared" si="65"/>
        <v>0</v>
      </c>
      <c r="AH42" s="364">
        <f t="shared" si="66"/>
        <v>15.245999999999999</v>
      </c>
      <c r="AI42" s="149">
        <f t="shared" si="67"/>
        <v>408.13296000000003</v>
      </c>
      <c r="AJ42" s="447">
        <f t="shared" si="68"/>
        <v>0.12690484061393142</v>
      </c>
      <c r="AK42" s="450">
        <f t="shared" si="69"/>
        <v>100.06703999999996</v>
      </c>
      <c r="AL42" s="450">
        <f t="shared" si="70"/>
        <v>64.493039999999951</v>
      </c>
      <c r="AM42" s="447">
        <f t="shared" si="71"/>
        <v>0.79621037037036979</v>
      </c>
      <c r="AN42" s="458">
        <v>519</v>
      </c>
      <c r="AO42" s="459">
        <f t="shared" si="72"/>
        <v>110.86703999999997</v>
      </c>
      <c r="AP42" s="459">
        <f t="shared" si="73"/>
        <v>74.537039999999962</v>
      </c>
      <c r="AQ42" s="463">
        <f t="shared" si="74"/>
        <v>0.9202103703703699</v>
      </c>
      <c r="AR42" s="464">
        <f t="shared" si="75"/>
        <v>0.14361664739884386</v>
      </c>
      <c r="AS42" s="487" t="str">
        <f>IFERROR(_xlfn.XLOOKUP(A42,'[2]Рассчет акции'!$A:$A,'[2]Рассчет акции'!$BH:$BH),0)</f>
        <v>*</v>
      </c>
      <c r="AT42" s="487">
        <f>IFERROR(_xlfn.XLOOKUP($A42,'[2]Рассчет акции'!$A:$A,'[2]Рассчет акции'!$BC:$BC),0)</f>
        <v>508</v>
      </c>
      <c r="AU42" s="409">
        <f t="shared" si="76"/>
        <v>0.12658866141732278</v>
      </c>
      <c r="AV42" s="407">
        <f t="shared" si="77"/>
        <v>99.867039999999974</v>
      </c>
      <c r="AW42" s="407">
        <f t="shared" si="78"/>
        <v>64.307039999999972</v>
      </c>
      <c r="AX42" s="409">
        <f t="shared" si="79"/>
        <v>0.79391407407407377</v>
      </c>
      <c r="AY42" s="293">
        <f>IFERROR(_xlfn.XLOOKUP(E42,'[2]Рассчет акции'!$D:$D,'[2]Рассчет акции'!$BM:$BM),0)</f>
        <v>13</v>
      </c>
      <c r="AZ42" s="203">
        <f>IFERROR(_xlfn.XLOOKUP(E42,'[2]Рассчет акции'!$D:$D,'[2]Рассчет акции'!$BN:$BN),0)</f>
        <v>416</v>
      </c>
      <c r="BA42" s="294">
        <f t="shared" si="80"/>
        <v>6.2740740740740737</v>
      </c>
      <c r="BB42" s="292"/>
      <c r="BC42" s="497" t="e">
        <f xml:space="preserve"> _xlfn.XLOOKUP(B42,#REF!,#REF!,0)</f>
        <v>#REF!</v>
      </c>
      <c r="BD42" s="500" t="e">
        <f t="shared" si="52"/>
        <v>#REF!</v>
      </c>
      <c r="BE42" s="501">
        <f>_xlfn.XLOOKUP($B42,'[1]Рассчет акции'!$A:$A,'[1]Рассчет акции'!$J:$J)</f>
        <v>0.35022692889561269</v>
      </c>
      <c r="BF42" s="191" t="e">
        <f t="shared" si="44"/>
        <v>#REF!</v>
      </c>
      <c r="BG42" s="192">
        <f t="shared" si="81"/>
        <v>0</v>
      </c>
      <c r="BH42" s="193">
        <v>0.37</v>
      </c>
      <c r="BI42" s="194" t="e">
        <f t="shared" si="82"/>
        <v>#REF!</v>
      </c>
      <c r="BJ42" s="195" t="e">
        <f t="shared" si="45"/>
        <v>#REF!</v>
      </c>
      <c r="BK42" s="422">
        <f t="shared" si="83"/>
        <v>0</v>
      </c>
      <c r="BL42" s="196">
        <f>(IF(K42&gt;$BL$3,('Тарифы ОЗОН'!$G$3+ROUNDUP(K42-$BL$3,0)*'Тарифы ОЗОН'!$G$4),'Тарифы ОЗОН'!$G$3))</f>
        <v>46.77</v>
      </c>
      <c r="BM42" s="196">
        <f t="shared" si="84"/>
        <v>35</v>
      </c>
      <c r="BN42" s="197">
        <f>_xlfn.XLOOKUP(BM42,'Тарифы ОЗОН'!$A:$A,'Тарифы ОЗОН'!$B:$B)</f>
        <v>1.32</v>
      </c>
      <c r="BO42" s="198">
        <f>_xlfn.XLOOKUP(BM42,'Тарифы ОЗОН'!$A:$A,'Тарифы ОЗОН'!C:C)</f>
        <v>1.6E-2</v>
      </c>
      <c r="BP42" s="199">
        <f t="shared" si="85"/>
        <v>25</v>
      </c>
      <c r="BQ42" s="199" t="e">
        <f t="shared" si="46"/>
        <v>#REF!</v>
      </c>
      <c r="BR42" s="359">
        <f t="shared" si="47"/>
        <v>0.85</v>
      </c>
      <c r="BS42" s="199" t="e">
        <f t="shared" si="48"/>
        <v>#REF!</v>
      </c>
      <c r="BT42" s="200">
        <f t="shared" si="86"/>
        <v>0</v>
      </c>
      <c r="BU42" s="262" t="e">
        <f t="shared" si="30"/>
        <v>#REF!</v>
      </c>
      <c r="BV42" s="149" t="e">
        <f t="shared" si="87"/>
        <v>#REF!</v>
      </c>
      <c r="BW42" s="291"/>
      <c r="BX42" s="201"/>
      <c r="BY42" s="201"/>
      <c r="BZ42" s="202"/>
      <c r="CA42" s="425"/>
      <c r="CB42" s="426" t="e">
        <f t="shared" si="49"/>
        <v>#REF!</v>
      </c>
      <c r="CC42" s="427" t="e">
        <f t="shared" si="53"/>
        <v>#REF!</v>
      </c>
      <c r="CD42" s="429" t="e">
        <f t="shared" si="91"/>
        <v>#REF!</v>
      </c>
      <c r="CE42" s="429">
        <f t="shared" si="50"/>
        <v>0</v>
      </c>
      <c r="CF42" s="277">
        <f>_xlfn.XLOOKUP(B42,'[1]Рассчет акции'!$A:$A,'[1]Рассчет акции'!$R:$R,0)</f>
        <v>0</v>
      </c>
      <c r="CG42" s="360">
        <f>_xlfn.XLOOKUP(B42,'[1]Рассчет акции'!$A:$A,'[1]Рассчет акции'!$M:$M,0)</f>
        <v>0</v>
      </c>
      <c r="CH42" s="291">
        <f t="shared" si="92"/>
        <v>0</v>
      </c>
      <c r="CI42" s="290" t="e">
        <f t="shared" si="55"/>
        <v>#REF!</v>
      </c>
      <c r="CJ42" s="290" t="e">
        <f t="shared" si="56"/>
        <v>#REF!</v>
      </c>
      <c r="CK42" s="291" t="e">
        <f t="shared" si="93"/>
        <v>#REF!</v>
      </c>
      <c r="CL42" s="203">
        <f>_xlfn.XLOOKUP(B42,'[1]Рассчет акции'!$A:$A,'[1]Рассчет акции'!$W:$W,0)</f>
        <v>0</v>
      </c>
      <c r="CM42" s="424">
        <f>_xlfn.XLOOKUP(B42,'[1]Рассчет акции'!$A:$A,'[1]Рассчет акции'!$X:$X,0)</f>
        <v>0</v>
      </c>
      <c r="CN42" s="294" t="e">
        <f t="shared" si="94"/>
        <v>#REF!</v>
      </c>
      <c r="CO42" s="433">
        <f t="shared" si="51"/>
        <v>0</v>
      </c>
      <c r="CP42" s="507">
        <f>_xlfn.XLOOKUP(B42,'[1]Рассчет акции'!$A:$A,'[1]Рассчет акции'!$Z:$Z,0)</f>
        <v>0</v>
      </c>
    </row>
    <row r="43" spans="1:94" ht="25.5" customHeight="1" x14ac:dyDescent="0.25">
      <c r="A43" s="384">
        <v>820643010</v>
      </c>
      <c r="B43" s="385"/>
      <c r="C43" s="388" t="s">
        <v>1114</v>
      </c>
      <c r="D43" s="389" t="s">
        <v>971</v>
      </c>
      <c r="E43" s="385">
        <v>2048933027488</v>
      </c>
      <c r="F43" s="284">
        <f t="shared" ref="F43:F57" si="95">SUM(H43:J43)</f>
        <v>443.69016909516102</v>
      </c>
      <c r="G43" s="147">
        <f t="shared" ref="G43:G57" si="96">IFERROR(F43/S43*100%,0)</f>
        <v>0.29914385726480658</v>
      </c>
      <c r="H43" s="439">
        <f>IF(_xlfn.XLOOKUP($C43,'Юнит Карго'!$A:$A,'Юнит Карго'!$G:$G)=0,_xlfn.XLOOKUP(E43,'Себес 1С текущ'!G:G,'Себес 1С текущ'!H:H),_xlfn.XLOOKUP($C43,'Юнит Карго'!$A:$A,'Юнит Карго'!$P:$P,0,0))</f>
        <v>408.69016909516102</v>
      </c>
      <c r="I43" s="268">
        <f>_xlfn.XLOOKUP(E43,[3]ТЗ_ФФ!$D:$D,[3]ТЗ_ФФ!$BG:$BG,0)</f>
        <v>27</v>
      </c>
      <c r="J43" s="269">
        <f t="shared" si="59"/>
        <v>8</v>
      </c>
      <c r="K43" s="273">
        <f t="shared" si="60"/>
        <v>1.98</v>
      </c>
      <c r="L43" s="146">
        <v>30</v>
      </c>
      <c r="M43" s="146">
        <v>11</v>
      </c>
      <c r="N43" s="146">
        <v>6</v>
      </c>
      <c r="O43" s="150">
        <f>_xlfn.XLOOKUP($C43,'Юнит Карго'!$A:$A,'Юнит Карго'!$T:$T,0,0)</f>
        <v>0.37</v>
      </c>
      <c r="P43" s="127"/>
      <c r="Q43" s="146"/>
      <c r="R43" s="292"/>
      <c r="S43" s="285">
        <f t="shared" si="4"/>
        <v>1483.1999999999998</v>
      </c>
      <c r="T43" s="286" t="str">
        <f>_xlfn.XLOOKUP(E43,'[2]Рассчет акции'!$D:$D,'[2]Рассчет акции'!$G:$G,0)</f>
        <v>2472</v>
      </c>
      <c r="U43" s="417">
        <f>_xlfn.XLOOKUP(E43,'[2]Рассчет акции'!$D:$D,'[2]Рассчет акции'!$F:$F,0)</f>
        <v>0.4</v>
      </c>
      <c r="V43" s="235">
        <f t="shared" ref="V43:V57" si="97">AC43+AF43+AH43+AG43</f>
        <v>682.34975999999995</v>
      </c>
      <c r="W43" s="288">
        <f t="shared" ref="W43:W57" si="98">IFERROR(V43/S43,0)</f>
        <v>0.46005242718446604</v>
      </c>
      <c r="X43" s="289">
        <f>IF(K43&gt;1,('Тарифы ВБ'!$B$9+(K43-1)*'Тарифы ВБ'!$B$10)*'Тарифы ВБ'!$B$15*'Тарифы ВБ'!$B$12+S43*'Тарифы ВБ'!$B$13,'Тарифы ВБ'!$B$8*'Тарифы ВБ'!$B$15*'Тарифы ВБ'!$B$12+S43*'Тарифы ВБ'!$B$13)</f>
        <v>138.17536000000001</v>
      </c>
      <c r="Y43" s="289">
        <f>IF(K43&gt;1,'Тарифы ВБ'!$B$9+(K43-1)*'Тарифы ВБ'!$B$10,'Тарифы ВБ'!$B$8)</f>
        <v>59.72</v>
      </c>
      <c r="Z43" s="289">
        <f t="shared" si="42"/>
        <v>197.89536000000001</v>
      </c>
      <c r="AA43" s="236">
        <f t="shared" si="43"/>
        <v>0.1334245954692557</v>
      </c>
      <c r="AB43" s="237">
        <f>IF(K43&gt;1,'Тарифы ВБ'!$B$14*'Тарифы ВБ'!$B$16*'Тарифы ВБ'!$B$15+(K43-1)*'Тарифы ВБ'!$B$14,'Тарифы ВБ'!$B$14*'Тарифы ВБ'!B$16*'Тарифы ВБ'!$B$15)</f>
        <v>32.078400000000002</v>
      </c>
      <c r="AC43" s="287">
        <f t="shared" si="62"/>
        <v>229.97376</v>
      </c>
      <c r="AD43" s="240">
        <f t="shared" si="63"/>
        <v>0.15505242718446605</v>
      </c>
      <c r="AE43" s="241">
        <v>0.27500000000000002</v>
      </c>
      <c r="AF43" s="289">
        <f t="shared" si="64"/>
        <v>407.88</v>
      </c>
      <c r="AG43" s="364">
        <f t="shared" si="65"/>
        <v>0</v>
      </c>
      <c r="AH43" s="364">
        <f t="shared" si="66"/>
        <v>44.495999999999995</v>
      </c>
      <c r="AI43" s="149">
        <f t="shared" si="67"/>
        <v>1126.0399290951609</v>
      </c>
      <c r="AJ43" s="447">
        <f t="shared" si="68"/>
        <v>0.17080371555072743</v>
      </c>
      <c r="AK43" s="450">
        <f t="shared" si="69"/>
        <v>357.1600709048389</v>
      </c>
      <c r="AL43" s="450">
        <f t="shared" si="70"/>
        <v>253.33607090483889</v>
      </c>
      <c r="AM43" s="447">
        <f t="shared" si="71"/>
        <v>0.61987317058720615</v>
      </c>
      <c r="AN43" s="458">
        <v>1499</v>
      </c>
      <c r="AO43" s="459">
        <f t="shared" si="72"/>
        <v>372.96007090483909</v>
      </c>
      <c r="AP43" s="459">
        <f t="shared" si="73"/>
        <v>268.03007090483908</v>
      </c>
      <c r="AQ43" s="463">
        <f t="shared" si="74"/>
        <v>0.65582705720144174</v>
      </c>
      <c r="AR43" s="464">
        <f t="shared" si="75"/>
        <v>0.17880591788181394</v>
      </c>
      <c r="AS43" s="487" t="str">
        <f>IFERROR(_xlfn.XLOOKUP(A43,'[2]Рассчет акции'!$A:$A,'[2]Рассчет акции'!$BH:$BH),0)</f>
        <v>*</v>
      </c>
      <c r="AT43" s="487">
        <f>IFERROR(_xlfn.XLOOKUP($A43,'[2]Рассчет акции'!$A:$A,'[2]Рассчет акции'!$BC:$BC),0)</f>
        <v>1483</v>
      </c>
      <c r="AU43" s="409">
        <f t="shared" si="76"/>
        <v>0.17070132899854287</v>
      </c>
      <c r="AV43" s="407">
        <f t="shared" si="77"/>
        <v>356.96007090483909</v>
      </c>
      <c r="AW43" s="407">
        <f t="shared" si="78"/>
        <v>253.15007090483908</v>
      </c>
      <c r="AX43" s="409">
        <f t="shared" si="79"/>
        <v>0.61941805809841888</v>
      </c>
      <c r="AY43" s="293">
        <f>IFERROR(_xlfn.XLOOKUP(E43,'[2]Рассчет акции'!$D:$D,'[2]Рассчет акции'!$BM:$BM),0)</f>
        <v>89</v>
      </c>
      <c r="AZ43" s="203">
        <f>IFERROR(_xlfn.XLOOKUP(E43,'[2]Рассчет акции'!$D:$D,'[2]Рассчет акции'!$BN:$BN),0)</f>
        <v>520</v>
      </c>
      <c r="BA43" s="294">
        <f t="shared" si="80"/>
        <v>3.6291550718819607</v>
      </c>
      <c r="BB43" s="292"/>
      <c r="BC43" s="497" t="e">
        <f xml:space="preserve"> _xlfn.XLOOKUP(B43,#REF!,#REF!,0)</f>
        <v>#REF!</v>
      </c>
      <c r="BD43" s="500" t="e">
        <f t="shared" ref="BD43:BD57" si="99">BC43/(100%-BE43)</f>
        <v>#REF!</v>
      </c>
      <c r="BE43" s="501">
        <v>0.35</v>
      </c>
      <c r="BF43" s="191" t="e">
        <f t="shared" si="44"/>
        <v>#REF!</v>
      </c>
      <c r="BG43" s="192">
        <f t="shared" ref="BG43:BG57" si="100">IFERROR(BF43/BC43,0)</f>
        <v>0</v>
      </c>
      <c r="BH43" s="193">
        <v>0.37</v>
      </c>
      <c r="BI43" s="194" t="e">
        <f t="shared" ref="BI43:BI57" si="101">BC43*BH43</f>
        <v>#REF!</v>
      </c>
      <c r="BJ43" s="195" t="e">
        <f t="shared" ref="BJ43:BJ57" si="102">BC43*$BJ$3</f>
        <v>#REF!</v>
      </c>
      <c r="BK43" s="422">
        <f t="shared" si="83"/>
        <v>0</v>
      </c>
      <c r="BL43" s="196">
        <f>(IF(K43&gt;$BL$3,('Тарифы ОЗОН'!$G$3+ROUNDUP(K43-$BL$3,0)*'Тарифы ОЗОН'!$G$4),'Тарифы ОЗОН'!$G$3))</f>
        <v>56.940000000000005</v>
      </c>
      <c r="BM43" s="196">
        <f t="shared" si="84"/>
        <v>35</v>
      </c>
      <c r="BN43" s="197">
        <f>_xlfn.XLOOKUP(BM43,'Тарифы ОЗОН'!$A:$A,'Тарифы ОЗОН'!$B:$B)</f>
        <v>1.32</v>
      </c>
      <c r="BO43" s="198">
        <f>_xlfn.XLOOKUP(BM43,'Тарифы ОЗОН'!$A:$A,'Тарифы ОЗОН'!C:C)</f>
        <v>1.6E-2</v>
      </c>
      <c r="BP43" s="199">
        <f t="shared" si="85"/>
        <v>25</v>
      </c>
      <c r="BQ43" s="199" t="e">
        <f t="shared" ref="BQ43:BQ57" si="103">BL43*BN43+BC43*BO43+BP43</f>
        <v>#REF!</v>
      </c>
      <c r="BR43" s="359">
        <f t="shared" si="47"/>
        <v>0.85</v>
      </c>
      <c r="BS43" s="199" t="e">
        <f t="shared" ref="BS43:BS57" si="104">(100%/BR43)*BQ43+(100%/BR43-1)*BL43</f>
        <v>#REF!</v>
      </c>
      <c r="BT43" s="200">
        <f t="shared" ref="BT43:BT57" si="105">IFERROR(BS43/BC43*100%,0)</f>
        <v>0</v>
      </c>
      <c r="BU43" s="262" t="e">
        <f t="shared" ref="BU43:BU57" si="106">BC43*$BU$3</f>
        <v>#REF!</v>
      </c>
      <c r="BV43" s="149" t="e">
        <f t="shared" si="87"/>
        <v>#REF!</v>
      </c>
      <c r="BW43" s="291"/>
      <c r="BX43" s="201"/>
      <c r="BY43" s="201"/>
      <c r="BZ43" s="202"/>
      <c r="CA43" s="425"/>
      <c r="CB43" s="426" t="e">
        <f t="shared" si="49"/>
        <v>#REF!</v>
      </c>
      <c r="CC43" s="427" t="e">
        <f t="shared" si="53"/>
        <v>#REF!</v>
      </c>
      <c r="CD43" s="429" t="e">
        <f t="shared" si="91"/>
        <v>#REF!</v>
      </c>
      <c r="CE43" s="429">
        <f t="shared" ref="CE43:CE57" si="107">IFERROR(CC43/CA43,0)</f>
        <v>0</v>
      </c>
      <c r="CF43" s="277">
        <f>_xlfn.XLOOKUP(B43,'[1]Рассчет акции'!$A:$A,'[1]Рассчет акции'!$R:$R,0)</f>
        <v>0</v>
      </c>
      <c r="CG43" s="360">
        <f>_xlfn.XLOOKUP(B43,'[1]Рассчет акции'!$A:$A,'[1]Рассчет акции'!$M:$M,0)</f>
        <v>0</v>
      </c>
      <c r="CH43" s="291">
        <f t="shared" si="92"/>
        <v>0</v>
      </c>
      <c r="CI43" s="290" t="e">
        <f t="shared" si="55"/>
        <v>#REF!</v>
      </c>
      <c r="CJ43" s="290" t="e">
        <f t="shared" si="56"/>
        <v>#REF!</v>
      </c>
      <c r="CK43" s="291" t="e">
        <f t="shared" si="93"/>
        <v>#REF!</v>
      </c>
      <c r="CL43" s="203">
        <f>_xlfn.XLOOKUP(B43,'[1]Рассчет акции'!$A:$A,'[1]Рассчет акции'!$W:$W,0)</f>
        <v>0</v>
      </c>
      <c r="CM43" s="424">
        <f>_xlfn.XLOOKUP(B43,'[1]Рассчет акции'!$A:$A,'[1]Рассчет акции'!$X:$X,0)</f>
        <v>0</v>
      </c>
      <c r="CN43" s="294" t="e">
        <f t="shared" si="94"/>
        <v>#REF!</v>
      </c>
      <c r="CO43" s="433">
        <f t="shared" si="51"/>
        <v>0</v>
      </c>
      <c r="CP43" s="507">
        <f>_xlfn.XLOOKUP(B43,'[1]Рассчет акции'!$A:$A,'[1]Рассчет акции'!$Z:$Z,0)</f>
        <v>0</v>
      </c>
    </row>
    <row r="44" spans="1:94" ht="25.5" customHeight="1" x14ac:dyDescent="0.25">
      <c r="A44" s="384">
        <v>550539998</v>
      </c>
      <c r="B44" s="385"/>
      <c r="C44" s="388" t="s">
        <v>968</v>
      </c>
      <c r="D44" s="389" t="s">
        <v>972</v>
      </c>
      <c r="E44" s="385">
        <v>2046392546618</v>
      </c>
      <c r="F44" s="284">
        <f t="shared" si="95"/>
        <v>486.17470427794228</v>
      </c>
      <c r="G44" s="147">
        <f t="shared" si="96"/>
        <v>0.29933179674790189</v>
      </c>
      <c r="H44" s="439">
        <f>IF(_xlfn.XLOOKUP($C44,'Юнит Карго'!$A:$A,'Юнит Карго'!$G:$G)=0,_xlfn.XLOOKUP(E44,'Себес 1С текущ'!G:G,'Себес 1С текущ'!H:H),_xlfn.XLOOKUP($C44,'Юнит Карго'!$A:$A,'Юнит Карго'!$P:$P,0,0))</f>
        <v>451.17470427794228</v>
      </c>
      <c r="I44" s="268">
        <f>_xlfn.XLOOKUP(E44,[3]ТЗ_ФФ!$D:$D,[3]ТЗ_ФФ!$BG:$BG,0)</f>
        <v>27</v>
      </c>
      <c r="J44" s="269">
        <f t="shared" si="59"/>
        <v>8</v>
      </c>
      <c r="K44" s="273">
        <f t="shared" si="60"/>
        <v>0.95</v>
      </c>
      <c r="L44" s="146">
        <v>19</v>
      </c>
      <c r="M44" s="146">
        <v>10</v>
      </c>
      <c r="N44" s="146">
        <v>5</v>
      </c>
      <c r="O44" s="150">
        <f>_xlfn.XLOOKUP($C44,'Юнит Карго'!$A:$A,'Юнит Карго'!$T:$T,0,0)</f>
        <v>0.24</v>
      </c>
      <c r="P44" s="127"/>
      <c r="Q44" s="146"/>
      <c r="R44" s="292"/>
      <c r="S44" s="285">
        <f t="shared" si="4"/>
        <v>1624.2</v>
      </c>
      <c r="T44" s="286" t="str">
        <f>_xlfn.XLOOKUP(E44,'[2]Рассчет акции'!$D:$D,'[2]Рассчет акции'!$G:$G,0)</f>
        <v>2707</v>
      </c>
      <c r="U44" s="417">
        <f>_xlfn.XLOOKUP(E44,'[2]Рассчет акции'!$D:$D,'[2]Рассчет акции'!$F:$F,0)</f>
        <v>0.4</v>
      </c>
      <c r="V44" s="235">
        <f t="shared" si="97"/>
        <v>639.88976000000002</v>
      </c>
      <c r="W44" s="288">
        <f t="shared" si="98"/>
        <v>0.39397226942494767</v>
      </c>
      <c r="X44" s="289">
        <f>IF(K44&gt;1,('Тарифы ВБ'!$B$9+(K44-1)*'Тарифы ВБ'!$B$10)*'Тарифы ВБ'!$B$15*'Тарифы ВБ'!$B$12+S44*'Тарифы ВБ'!$B$13,'Тарифы ВБ'!$B$8*'Тарифы ВБ'!$B$15*'Тарифы ВБ'!$B$12+S44*'Тарифы ВБ'!$B$13)</f>
        <v>80.508759999999995</v>
      </c>
      <c r="Y44" s="289">
        <f>IF(K44&gt;1,'Тарифы ВБ'!$B$9+(K44-1)*'Тарифы ВБ'!$B$10,'Тарифы ВБ'!$B$8)</f>
        <v>32</v>
      </c>
      <c r="Z44" s="289">
        <f t="shared" si="42"/>
        <v>112.50876</v>
      </c>
      <c r="AA44" s="236">
        <f t="shared" si="43"/>
        <v>6.9270262282970077E-2</v>
      </c>
      <c r="AB44" s="237">
        <f>IF(K44&gt;1,'Тарифы ВБ'!$B$14*'Тарифы ВБ'!$B$16*'Тарифы ВБ'!$B$15+(K44-1)*'Тарифы ВБ'!$B$14,'Тарифы ВБ'!$B$14*'Тарифы ВБ'!B$16*'Тарифы ВБ'!$B$15)</f>
        <v>32</v>
      </c>
      <c r="AC44" s="287">
        <f t="shared" si="62"/>
        <v>144.50876</v>
      </c>
      <c r="AD44" s="240">
        <f t="shared" si="63"/>
        <v>8.8972269424947667E-2</v>
      </c>
      <c r="AE44" s="241">
        <v>0.27500000000000002</v>
      </c>
      <c r="AF44" s="289">
        <f t="shared" si="64"/>
        <v>446.65500000000003</v>
      </c>
      <c r="AG44" s="364">
        <f t="shared" si="65"/>
        <v>0</v>
      </c>
      <c r="AH44" s="364">
        <f t="shared" si="66"/>
        <v>48.725999999999999</v>
      </c>
      <c r="AI44" s="149">
        <f t="shared" si="67"/>
        <v>1126.0644642779423</v>
      </c>
      <c r="AJ44" s="447">
        <f t="shared" si="68"/>
        <v>0.23669593382715043</v>
      </c>
      <c r="AK44" s="450">
        <f t="shared" si="69"/>
        <v>498.13553572205774</v>
      </c>
      <c r="AL44" s="450">
        <f t="shared" si="70"/>
        <v>384.44153572205772</v>
      </c>
      <c r="AM44" s="447">
        <f t="shared" si="71"/>
        <v>0.85209018164552464</v>
      </c>
      <c r="AN44" s="458">
        <v>1379</v>
      </c>
      <c r="AO44" s="459">
        <f t="shared" si="72"/>
        <v>252.93553572205769</v>
      </c>
      <c r="AP44" s="459">
        <f t="shared" si="73"/>
        <v>156.40553572205766</v>
      </c>
      <c r="AQ44" s="463">
        <f t="shared" si="74"/>
        <v>0.34666290959810853</v>
      </c>
      <c r="AR44" s="464">
        <f t="shared" si="75"/>
        <v>0.11341953279337032</v>
      </c>
      <c r="AS44" s="487" t="str">
        <f>IFERROR(_xlfn.XLOOKUP(A44,'[2]Рассчет акции'!$A:$A,'[2]Рассчет акции'!$BH:$BH),0)</f>
        <v>*</v>
      </c>
      <c r="AT44" s="487">
        <f>IFERROR(_xlfn.XLOOKUP($A44,'[2]Рассчет акции'!$A:$A,'[2]Рассчет акции'!$BC:$BC),0)</f>
        <v>1624</v>
      </c>
      <c r="AU44" s="409">
        <f t="shared" si="76"/>
        <v>0.23661055155299118</v>
      </c>
      <c r="AV44" s="407">
        <f t="shared" si="77"/>
        <v>497.93553572205769</v>
      </c>
      <c r="AW44" s="407">
        <f t="shared" si="78"/>
        <v>384.25553572205769</v>
      </c>
      <c r="AX44" s="409">
        <f t="shared" si="79"/>
        <v>0.85167792449051039</v>
      </c>
      <c r="AY44" s="293">
        <f>IFERROR(_xlfn.XLOOKUP(E44,'[2]Рассчет акции'!$D:$D,'[2]Рассчет акции'!$BM:$BM),0)</f>
        <v>59</v>
      </c>
      <c r="AZ44" s="203">
        <f>IFERROR(_xlfn.XLOOKUP(E44,'[2]Рассчет акции'!$D:$D,'[2]Рассчет акции'!$BN:$BN),0)</f>
        <v>999</v>
      </c>
      <c r="BA44" s="294">
        <f t="shared" si="80"/>
        <v>3.5999358665272725</v>
      </c>
      <c r="BB44" s="292"/>
      <c r="BC44" s="497" t="e">
        <f xml:space="preserve"> _xlfn.XLOOKUP(B44,#REF!,#REF!,0)</f>
        <v>#REF!</v>
      </c>
      <c r="BD44" s="500" t="e">
        <f t="shared" si="99"/>
        <v>#REF!</v>
      </c>
      <c r="BE44" s="501">
        <v>0.35</v>
      </c>
      <c r="BF44" s="191" t="e">
        <f t="shared" si="44"/>
        <v>#REF!</v>
      </c>
      <c r="BG44" s="192">
        <f t="shared" si="100"/>
        <v>0</v>
      </c>
      <c r="BH44" s="193">
        <v>0.37</v>
      </c>
      <c r="BI44" s="194" t="e">
        <f t="shared" si="101"/>
        <v>#REF!</v>
      </c>
      <c r="BJ44" s="195" t="e">
        <f t="shared" si="102"/>
        <v>#REF!</v>
      </c>
      <c r="BK44" s="422">
        <f t="shared" si="83"/>
        <v>0</v>
      </c>
      <c r="BL44" s="196">
        <f>(IF(K44&gt;$BL$3,('Тарифы ОЗОН'!$G$3+ROUNDUP(K44-$BL$3,0)*'Тарифы ОЗОН'!$G$4),'Тарифы ОЗОН'!$G$3))</f>
        <v>46.77</v>
      </c>
      <c r="BM44" s="196">
        <f t="shared" si="84"/>
        <v>35</v>
      </c>
      <c r="BN44" s="197">
        <f>_xlfn.XLOOKUP(BM44,'Тарифы ОЗОН'!$A:$A,'Тарифы ОЗОН'!$B:$B)</f>
        <v>1.32</v>
      </c>
      <c r="BO44" s="198">
        <f>_xlfn.XLOOKUP(BM44,'Тарифы ОЗОН'!$A:$A,'Тарифы ОЗОН'!C:C)</f>
        <v>1.6E-2</v>
      </c>
      <c r="BP44" s="199">
        <f t="shared" si="85"/>
        <v>25</v>
      </c>
      <c r="BQ44" s="199" t="e">
        <f t="shared" si="103"/>
        <v>#REF!</v>
      </c>
      <c r="BR44" s="359">
        <f t="shared" si="47"/>
        <v>0.85</v>
      </c>
      <c r="BS44" s="199" t="e">
        <f t="shared" si="104"/>
        <v>#REF!</v>
      </c>
      <c r="BT44" s="200">
        <f t="shared" si="105"/>
        <v>0</v>
      </c>
      <c r="BU44" s="262" t="e">
        <f t="shared" si="106"/>
        <v>#REF!</v>
      </c>
      <c r="BV44" s="149" t="e">
        <f t="shared" si="87"/>
        <v>#REF!</v>
      </c>
      <c r="BW44" s="291">
        <f t="shared" ref="BW44:BW57" si="108">IFERROR(BY44/BC44,0)</f>
        <v>0</v>
      </c>
      <c r="BX44" s="201">
        <f t="shared" ref="BX44:BX57" si="109">IFERROR(BC44-BV44,0)</f>
        <v>0</v>
      </c>
      <c r="BY44" s="201" t="e">
        <f t="shared" ref="BY44:BY57" si="110">BX44-BC44*7%</f>
        <v>#REF!</v>
      </c>
      <c r="BZ44" s="202">
        <f t="shared" ref="BZ44:BZ84" si="111">IFERROR(BY44/H44*100%,0)</f>
        <v>0</v>
      </c>
      <c r="CA44" s="425">
        <v>0</v>
      </c>
      <c r="CB44" s="426" t="e">
        <f t="shared" si="49"/>
        <v>#REF!</v>
      </c>
      <c r="CC44" s="427" t="e">
        <f t="shared" si="53"/>
        <v>#REF!</v>
      </c>
      <c r="CD44" s="429" t="e">
        <f t="shared" si="91"/>
        <v>#REF!</v>
      </c>
      <c r="CE44" s="429">
        <f t="shared" si="107"/>
        <v>0</v>
      </c>
      <c r="CF44" s="277">
        <f>_xlfn.XLOOKUP(B44,'[1]Рассчет акции'!$A:$A,'[1]Рассчет акции'!$R:$R,0)</f>
        <v>0</v>
      </c>
      <c r="CG44" s="360">
        <f>_xlfn.XLOOKUP(B44,'[1]Рассчет акции'!$A:$A,'[1]Рассчет акции'!$M:$M,0)</f>
        <v>0</v>
      </c>
      <c r="CH44" s="291">
        <f t="shared" si="92"/>
        <v>0</v>
      </c>
      <c r="CI44" s="290" t="e">
        <f t="shared" si="55"/>
        <v>#REF!</v>
      </c>
      <c r="CJ44" s="290" t="e">
        <f t="shared" si="56"/>
        <v>#REF!</v>
      </c>
      <c r="CK44" s="291" t="e">
        <f t="shared" si="93"/>
        <v>#REF!</v>
      </c>
      <c r="CL44" s="203">
        <f>_xlfn.XLOOKUP(B44,'[1]Рассчет акции'!$A:$A,'[1]Рассчет акции'!$W:$W,0)</f>
        <v>0</v>
      </c>
      <c r="CM44" s="424">
        <f>_xlfn.XLOOKUP(B44,'[1]Рассчет акции'!$A:$A,'[1]Рассчет акции'!$X:$X,0)</f>
        <v>0</v>
      </c>
      <c r="CN44" s="294" t="e">
        <f t="shared" si="94"/>
        <v>#REF!</v>
      </c>
      <c r="CO44" s="433">
        <f t="shared" si="51"/>
        <v>0</v>
      </c>
      <c r="CP44" s="507">
        <f>_xlfn.XLOOKUP(B44,'[1]Рассчет акции'!$A:$A,'[1]Рассчет акции'!$Z:$Z,0)</f>
        <v>0</v>
      </c>
    </row>
    <row r="45" spans="1:94" ht="25.5" customHeight="1" x14ac:dyDescent="0.25">
      <c r="A45" s="384">
        <v>550539999</v>
      </c>
      <c r="B45" s="385"/>
      <c r="C45" s="388" t="s">
        <v>969</v>
      </c>
      <c r="D45" s="389" t="s">
        <v>973</v>
      </c>
      <c r="E45" s="385">
        <v>2046392546632</v>
      </c>
      <c r="F45" s="284">
        <f>SUM(H45:J45)</f>
        <v>363</v>
      </c>
      <c r="G45" s="147">
        <f>IFERROR(F45/S45*100%,0)</f>
        <v>0.36336336336336339</v>
      </c>
      <c r="H45" s="439">
        <f>IF(_xlfn.XLOOKUP($C45,'Юнит Карго'!$A:$A,'Юнит Карго'!$G:$G)=0,_xlfn.XLOOKUP(E45,'Себес 1С текущ'!G:G,'Себес 1С текущ'!H:H),_xlfn.XLOOKUP($C45,'Юнит Карго'!$A:$A,'Юнит Карго'!$P:$P,0,0))</f>
        <v>309</v>
      </c>
      <c r="I45" s="268">
        <f>_xlfn.XLOOKUP(E45,[3]ТЗ_ФФ!$D:$D,[3]ТЗ_ФФ!$BG:$BG,0)</f>
        <v>46</v>
      </c>
      <c r="J45" s="269">
        <f t="shared" si="59"/>
        <v>8</v>
      </c>
      <c r="K45" s="273">
        <f>(L45*M45*N45)/1000</f>
        <v>0.85</v>
      </c>
      <c r="L45" s="146">
        <v>17</v>
      </c>
      <c r="M45" s="146">
        <v>10</v>
      </c>
      <c r="N45" s="146">
        <v>5</v>
      </c>
      <c r="O45" s="150">
        <f>_xlfn.XLOOKUP($C45,'Юнит Карго'!$A:$A,'Юнит Карго'!$T:$T,0,0)</f>
        <v>0.25</v>
      </c>
      <c r="P45" s="127"/>
      <c r="Q45" s="146"/>
      <c r="R45" s="292"/>
      <c r="S45" s="285">
        <f t="shared" si="4"/>
        <v>999</v>
      </c>
      <c r="T45" s="286" t="str">
        <f>_xlfn.XLOOKUP(E45,'[2]Рассчет акции'!$D:$D,'[2]Рассчет акции'!$G:$G,0)</f>
        <v>1665</v>
      </c>
      <c r="U45" s="417">
        <f>_xlfn.XLOOKUP(E45,'[2]Рассчет акции'!$D:$D,'[2]Рассчет акции'!$F:$F,0)</f>
        <v>0.4</v>
      </c>
      <c r="V45" s="235">
        <f>AC45+AF45+AH45+AG45</f>
        <v>444.32720000000006</v>
      </c>
      <c r="W45" s="288">
        <f>IFERROR(V45/S45,0)</f>
        <v>0.44477197197197205</v>
      </c>
      <c r="X45" s="289">
        <f>IF(K45&gt;1,('Тарифы ВБ'!$B$9+(K45-1)*'Тарифы ВБ'!$B$10)*'Тарифы ВБ'!$B$15*'Тарифы ВБ'!$B$12+S45*'Тарифы ВБ'!$B$13,'Тарифы ВБ'!$B$8*'Тарифы ВБ'!$B$15*'Тарифы ВБ'!$B$12+S45*'Тарифы ВБ'!$B$13)</f>
        <v>75.632199999999997</v>
      </c>
      <c r="Y45" s="289">
        <f>IF(K45&gt;1,'Тарифы ВБ'!$B$9+(K45-1)*'Тарифы ВБ'!$B$10,'Тарифы ВБ'!$B$8)</f>
        <v>32</v>
      </c>
      <c r="Z45" s="289">
        <f t="shared" si="42"/>
        <v>107.6322</v>
      </c>
      <c r="AA45" s="236">
        <f t="shared" si="43"/>
        <v>0.10773993993993994</v>
      </c>
      <c r="AB45" s="237">
        <f>IF(K45&gt;1,'Тарифы ВБ'!$B$14*'Тарифы ВБ'!$B$16*'Тарифы ВБ'!$B$15+(K45-1)*'Тарифы ВБ'!$B$14,'Тарифы ВБ'!$B$14*'Тарифы ВБ'!B$16*'Тарифы ВБ'!$B$15)</f>
        <v>32</v>
      </c>
      <c r="AC45" s="287">
        <f t="shared" si="62"/>
        <v>139.63220000000001</v>
      </c>
      <c r="AD45" s="240">
        <f t="shared" si="63"/>
        <v>0.13977197197197197</v>
      </c>
      <c r="AE45" s="241">
        <v>0.27500000000000002</v>
      </c>
      <c r="AF45" s="289">
        <f t="shared" si="64"/>
        <v>274.72500000000002</v>
      </c>
      <c r="AG45" s="364">
        <f t="shared" si="65"/>
        <v>0</v>
      </c>
      <c r="AH45" s="364">
        <f t="shared" si="66"/>
        <v>29.97</v>
      </c>
      <c r="AI45" s="149">
        <f t="shared" si="67"/>
        <v>807.32720000000006</v>
      </c>
      <c r="AJ45" s="447">
        <f t="shared" si="68"/>
        <v>0.1218646646646646</v>
      </c>
      <c r="AK45" s="450">
        <f t="shared" si="69"/>
        <v>191.67279999999994</v>
      </c>
      <c r="AL45" s="450">
        <f t="shared" si="70"/>
        <v>121.74279999999993</v>
      </c>
      <c r="AM45" s="447">
        <f t="shared" si="71"/>
        <v>0.39398964401294478</v>
      </c>
      <c r="AN45" s="458">
        <v>1019</v>
      </c>
      <c r="AO45" s="459">
        <f>$AN45-$AI45</f>
        <v>211.67279999999994</v>
      </c>
      <c r="AP45" s="459">
        <f>$AO45-$AN45*7%</f>
        <v>140.34279999999993</v>
      </c>
      <c r="AQ45" s="463">
        <f t="shared" si="74"/>
        <v>0.45418381877022629</v>
      </c>
      <c r="AR45" s="464">
        <f>$AP45/$AN45</f>
        <v>0.13772600588812553</v>
      </c>
      <c r="AS45" s="487" t="str">
        <f>IFERROR(_xlfn.XLOOKUP(A45,'[2]Рассчет акции'!$A:$A,'[2]Рассчет акции'!$BH:$BH),0)</f>
        <v>*</v>
      </c>
      <c r="AT45" s="487">
        <f>IFERROR(_xlfn.XLOOKUP($A45,'[2]Рассчет акции'!$A:$A,'[2]Рассчет акции'!$BC:$BC),0)</f>
        <v>999</v>
      </c>
      <c r="AU45" s="409">
        <f>IFERROR($AW45/$AT45,0)</f>
        <v>0.1218646646646646</v>
      </c>
      <c r="AV45" s="407">
        <f>$AT45-$AI45</f>
        <v>191.67279999999994</v>
      </c>
      <c r="AW45" s="407">
        <f>$AV45-$AT45*7%</f>
        <v>121.74279999999993</v>
      </c>
      <c r="AX45" s="409">
        <f t="shared" si="79"/>
        <v>0.39398964401294478</v>
      </c>
      <c r="AY45" s="293">
        <f>IFERROR(_xlfn.XLOOKUP(E45,'[2]Рассчет акции'!$D:$D,'[2]Рассчет акции'!$BM:$BM),0)</f>
        <v>40</v>
      </c>
      <c r="AZ45" s="203">
        <f>IFERROR(_xlfn.XLOOKUP(E45,'[2]Рассчет акции'!$D:$D,'[2]Рассчет акции'!$BN:$BN),0)</f>
        <v>999</v>
      </c>
      <c r="BA45" s="294">
        <f t="shared" si="80"/>
        <v>3.233009708737864</v>
      </c>
      <c r="BB45" s="292"/>
      <c r="BC45" s="497" t="e">
        <f xml:space="preserve"> _xlfn.XLOOKUP(B45,#REF!,#REF!,0)</f>
        <v>#REF!</v>
      </c>
      <c r="BD45" s="500" t="e">
        <f>BC45/(100%-BE45)</f>
        <v>#REF!</v>
      </c>
      <c r="BE45" s="501">
        <v>0.35</v>
      </c>
      <c r="BF45" s="191" t="e">
        <f>BS45+BI45+BJ45+BU45+BK45</f>
        <v>#REF!</v>
      </c>
      <c r="BG45" s="192">
        <f>IFERROR(BF45/BC45,0)</f>
        <v>0</v>
      </c>
      <c r="BH45" s="193">
        <v>0.37</v>
      </c>
      <c r="BI45" s="194" t="e">
        <f>BC45*BH45</f>
        <v>#REF!</v>
      </c>
      <c r="BJ45" s="195" t="e">
        <f>BC45*$BJ$3</f>
        <v>#REF!</v>
      </c>
      <c r="BK45" s="422">
        <f t="shared" si="83"/>
        <v>0</v>
      </c>
      <c r="BL45" s="196">
        <f>(IF(K45&gt;$BL$3,('Тарифы ОЗОН'!$G$3+ROUNDUP(K45-$BL$3,0)*'Тарифы ОЗОН'!$G$4),'Тарифы ОЗОН'!$G$3))</f>
        <v>46.77</v>
      </c>
      <c r="BM45" s="196">
        <f t="shared" si="84"/>
        <v>35</v>
      </c>
      <c r="BN45" s="197">
        <f>_xlfn.XLOOKUP(BM45,'Тарифы ОЗОН'!$A:$A,'Тарифы ОЗОН'!$B:$B)</f>
        <v>1.32</v>
      </c>
      <c r="BO45" s="198">
        <f>_xlfn.XLOOKUP(BM45,'Тарифы ОЗОН'!$A:$A,'Тарифы ОЗОН'!C:C)</f>
        <v>1.6E-2</v>
      </c>
      <c r="BP45" s="199">
        <f t="shared" si="85"/>
        <v>25</v>
      </c>
      <c r="BQ45" s="199" t="e">
        <f>BL45*BN45+BC45*BO45+BP45</f>
        <v>#REF!</v>
      </c>
      <c r="BR45" s="359">
        <f t="shared" si="47"/>
        <v>0.85</v>
      </c>
      <c r="BS45" s="199" t="e">
        <f>(100%/BR45)*BQ45+(100%/BR45-1)*BL45</f>
        <v>#REF!</v>
      </c>
      <c r="BT45" s="200">
        <f>IFERROR(BS45/BC45*100%,0)</f>
        <v>0</v>
      </c>
      <c r="BU45" s="262" t="e">
        <f>BC45*$BU$3</f>
        <v>#REF!</v>
      </c>
      <c r="BV45" s="149" t="e">
        <f t="shared" si="87"/>
        <v>#REF!</v>
      </c>
      <c r="BW45" s="291">
        <f>IFERROR(BY45/BC45,0)</f>
        <v>0</v>
      </c>
      <c r="BX45" s="201">
        <f>IFERROR(BC45-BV45,0)</f>
        <v>0</v>
      </c>
      <c r="BY45" s="201" t="e">
        <f>BX45-BC45*7%</f>
        <v>#REF!</v>
      </c>
      <c r="BZ45" s="202">
        <f t="shared" si="111"/>
        <v>0</v>
      </c>
      <c r="CA45" s="425">
        <v>0</v>
      </c>
      <c r="CB45" s="426" t="e">
        <f>IF(BC45=0,0,CA45-BV45)</f>
        <v>#REF!</v>
      </c>
      <c r="CC45" s="427" t="e">
        <f>IF(CB45=0,0,CB45-CA45*7%)</f>
        <v>#REF!</v>
      </c>
      <c r="CD45" s="429" t="e">
        <f t="shared" si="91"/>
        <v>#REF!</v>
      </c>
      <c r="CE45" s="429">
        <f>IFERROR(CC45/CA45,0)</f>
        <v>0</v>
      </c>
      <c r="CF45" s="277">
        <f>_xlfn.XLOOKUP(B45,'[1]Рассчет акции'!$A:$A,'[1]Рассчет акции'!$R:$R,0)</f>
        <v>0</v>
      </c>
      <c r="CG45" s="360">
        <f>_xlfn.XLOOKUP(B45,'[1]Рассчет акции'!$A:$A,'[1]Рассчет акции'!$M:$M,0)</f>
        <v>0</v>
      </c>
      <c r="CH45" s="291">
        <f>IFERROR($CJ45/$CG45,0)</f>
        <v>0</v>
      </c>
      <c r="CI45" s="290" t="e">
        <f>IF(BC45&gt;0,CG45-BV45,0)</f>
        <v>#REF!</v>
      </c>
      <c r="CJ45" s="290" t="e">
        <f>IF(CI45&gt;0,$CI45-$CG45*7%,0)</f>
        <v>#REF!</v>
      </c>
      <c r="CK45" s="291" t="e">
        <f t="shared" si="93"/>
        <v>#REF!</v>
      </c>
      <c r="CL45" s="203">
        <f>_xlfn.XLOOKUP(B45,'[1]Рассчет акции'!$A:$A,'[1]Рассчет акции'!$W:$W,0)</f>
        <v>0</v>
      </c>
      <c r="CM45" s="424">
        <f>_xlfn.XLOOKUP(B45,'[1]Рассчет акции'!$A:$A,'[1]Рассчет акции'!$X:$X,0)</f>
        <v>0</v>
      </c>
      <c r="CN45" s="294" t="e">
        <f t="shared" si="94"/>
        <v>#REF!</v>
      </c>
      <c r="CO45" s="433">
        <f>CA45-10%*CA45</f>
        <v>0</v>
      </c>
      <c r="CP45" s="507">
        <f>_xlfn.XLOOKUP(B45,'[1]Рассчет акции'!$A:$A,'[1]Рассчет акции'!$Z:$Z,0)</f>
        <v>0</v>
      </c>
    </row>
    <row r="46" spans="1:94" ht="25.5" customHeight="1" x14ac:dyDescent="0.25">
      <c r="A46" s="384">
        <v>550540000</v>
      </c>
      <c r="B46" s="385"/>
      <c r="C46" s="388" t="s">
        <v>970</v>
      </c>
      <c r="D46" s="389" t="s">
        <v>974</v>
      </c>
      <c r="E46" s="385">
        <v>2046392546656</v>
      </c>
      <c r="F46" s="284">
        <f t="shared" si="95"/>
        <v>45</v>
      </c>
      <c r="G46" s="147">
        <f t="shared" si="96"/>
        <v>6.008010680907877E-2</v>
      </c>
      <c r="H46" s="439"/>
      <c r="I46" s="268">
        <f>_xlfn.XLOOKUP(E46,[3]ТЗ_ФФ!$D:$D,[3]ТЗ_ФФ!$BG:$BG,0)</f>
        <v>37</v>
      </c>
      <c r="J46" s="269">
        <f t="shared" si="59"/>
        <v>8</v>
      </c>
      <c r="K46" s="273">
        <f t="shared" si="60"/>
        <v>0.64</v>
      </c>
      <c r="L46" s="146">
        <v>20</v>
      </c>
      <c r="M46" s="146">
        <v>8</v>
      </c>
      <c r="N46" s="146">
        <v>4</v>
      </c>
      <c r="O46" s="150">
        <f>_xlfn.XLOOKUP($C46,'Юнит Карго'!$A:$A,'Юнит Карго'!$T:$T,0,0)</f>
        <v>1.4E-2</v>
      </c>
      <c r="P46" s="127"/>
      <c r="Q46" s="146"/>
      <c r="R46" s="292"/>
      <c r="S46" s="285">
        <f t="shared" si="4"/>
        <v>749</v>
      </c>
      <c r="T46" s="286" t="str">
        <f>_xlfn.XLOOKUP(E46,'[2]Рассчет акции'!$D:$D,'[2]Рассчет акции'!$G:$G,0)</f>
        <v>1070</v>
      </c>
      <c r="U46" s="417">
        <f>_xlfn.XLOOKUP(E46,'[2]Рассчет акции'!$D:$D,'[2]Рассчет акции'!$F:$F,0)</f>
        <v>0.3</v>
      </c>
      <c r="V46" s="235">
        <f t="shared" si="97"/>
        <v>366.12720000000002</v>
      </c>
      <c r="W46" s="288">
        <f t="shared" si="98"/>
        <v>0.48882136181575436</v>
      </c>
      <c r="X46" s="289">
        <f>IF(K46&gt;1,('Тарифы ВБ'!$B$9+(K46-1)*'Тарифы ВБ'!$B$10)*'Тарифы ВБ'!$B$15*'Тарифы ВБ'!$B$12+S46*'Тарифы ВБ'!$B$13,'Тарифы ВБ'!$B$8*'Тарифы ВБ'!$B$15*'Тарифы ВБ'!$B$12+S46*'Тарифы ВБ'!$B$13)</f>
        <v>73.682200000000009</v>
      </c>
      <c r="Y46" s="289">
        <f>IF(K46&gt;1,'Тарифы ВБ'!$B$9+(K46-1)*'Тарифы ВБ'!$B$10,'Тарифы ВБ'!$B$8)</f>
        <v>32</v>
      </c>
      <c r="Z46" s="289">
        <f t="shared" si="42"/>
        <v>105.68220000000001</v>
      </c>
      <c r="AA46" s="236">
        <f t="shared" si="43"/>
        <v>0.14109773030707612</v>
      </c>
      <c r="AB46" s="237">
        <f>IF(K46&gt;1,'Тарифы ВБ'!$B$14*'Тарифы ВБ'!$B$16*'Тарифы ВБ'!$B$15+(K46-1)*'Тарифы ВБ'!$B$14,'Тарифы ВБ'!$B$14*'Тарифы ВБ'!B$16*'Тарифы ВБ'!$B$15)</f>
        <v>32</v>
      </c>
      <c r="AC46" s="287">
        <f t="shared" si="62"/>
        <v>137.68220000000002</v>
      </c>
      <c r="AD46" s="240">
        <f t="shared" si="63"/>
        <v>0.18382136181575437</v>
      </c>
      <c r="AE46" s="241">
        <v>0.27500000000000002</v>
      </c>
      <c r="AF46" s="289">
        <f t="shared" si="64"/>
        <v>205.97500000000002</v>
      </c>
      <c r="AG46" s="364">
        <f t="shared" si="65"/>
        <v>0</v>
      </c>
      <c r="AH46" s="364">
        <f t="shared" si="66"/>
        <v>22.47</v>
      </c>
      <c r="AI46" s="149">
        <f t="shared" si="67"/>
        <v>411.12720000000002</v>
      </c>
      <c r="AJ46" s="447">
        <f t="shared" si="68"/>
        <v>0.38109853137516686</v>
      </c>
      <c r="AK46" s="450">
        <f t="shared" si="69"/>
        <v>337.87279999999998</v>
      </c>
      <c r="AL46" s="450">
        <f t="shared" si="70"/>
        <v>285.44279999999998</v>
      </c>
      <c r="AM46" s="447" t="e">
        <f t="shared" si="71"/>
        <v>#DIV/0!</v>
      </c>
      <c r="AN46" s="458">
        <v>0</v>
      </c>
      <c r="AO46" s="459">
        <f t="shared" si="72"/>
        <v>-411.12720000000002</v>
      </c>
      <c r="AP46" s="459">
        <f t="shared" si="73"/>
        <v>-411.12720000000002</v>
      </c>
      <c r="AQ46" s="463" t="e">
        <f t="shared" si="74"/>
        <v>#DIV/0!</v>
      </c>
      <c r="AR46" s="464" t="e">
        <f t="shared" si="75"/>
        <v>#DIV/0!</v>
      </c>
      <c r="AS46" s="487">
        <f>IFERROR(_xlfn.XLOOKUP(A46,'[2]Рассчет акции'!$A:$A,'[2]Рассчет акции'!$BH:$BH),0)</f>
        <v>0</v>
      </c>
      <c r="AT46" s="487">
        <f>IFERROR(_xlfn.XLOOKUP($A46,'[2]Рассчет акции'!$A:$A,'[2]Рассчет акции'!$BC:$BC),0)</f>
        <v>0</v>
      </c>
      <c r="AU46" s="409">
        <f t="shared" si="76"/>
        <v>0</v>
      </c>
      <c r="AV46" s="407">
        <f t="shared" si="77"/>
        <v>-411.12720000000002</v>
      </c>
      <c r="AW46" s="407">
        <f t="shared" si="78"/>
        <v>-411.12720000000002</v>
      </c>
      <c r="AX46" s="409" t="e">
        <f t="shared" si="79"/>
        <v>#DIV/0!</v>
      </c>
      <c r="AY46" s="293" t="str">
        <f>IFERROR(_xlfn.XLOOKUP(E46,'[2]Рассчет акции'!$D:$D,'[2]Рассчет акции'!$BM:$BM),0)</f>
        <v/>
      </c>
      <c r="AZ46" s="203" t="str">
        <f>IFERROR(_xlfn.XLOOKUP(E46,'[2]Рассчет акции'!$D:$D,'[2]Рассчет акции'!$BN:$BN),0)</f>
        <v/>
      </c>
      <c r="BA46" s="294" t="e">
        <f t="shared" si="80"/>
        <v>#DIV/0!</v>
      </c>
      <c r="BB46" s="292"/>
      <c r="BC46" s="497" t="e">
        <f xml:space="preserve"> _xlfn.XLOOKUP(B46,#REF!,#REF!,0)</f>
        <v>#REF!</v>
      </c>
      <c r="BD46" s="500" t="e">
        <f t="shared" si="99"/>
        <v>#REF!</v>
      </c>
      <c r="BE46" s="501">
        <v>0.35</v>
      </c>
      <c r="BF46" s="191" t="e">
        <f t="shared" si="44"/>
        <v>#REF!</v>
      </c>
      <c r="BG46" s="192">
        <f t="shared" si="100"/>
        <v>0</v>
      </c>
      <c r="BH46" s="193">
        <v>0.37</v>
      </c>
      <c r="BI46" s="194" t="e">
        <f t="shared" si="101"/>
        <v>#REF!</v>
      </c>
      <c r="BJ46" s="195" t="e">
        <f t="shared" si="102"/>
        <v>#REF!</v>
      </c>
      <c r="BK46" s="422">
        <f t="shared" si="83"/>
        <v>0</v>
      </c>
      <c r="BL46" s="196">
        <f>(IF(K46&gt;$BL$3,('Тарифы ОЗОН'!$G$3+ROUNDUP(K46-$BL$3,0)*'Тарифы ОЗОН'!$G$4),'Тарифы ОЗОН'!$G$3))</f>
        <v>46.77</v>
      </c>
      <c r="BM46" s="196">
        <f t="shared" si="84"/>
        <v>35</v>
      </c>
      <c r="BN46" s="197">
        <f>_xlfn.XLOOKUP(BM46,'Тарифы ОЗОН'!$A:$A,'Тарифы ОЗОН'!$B:$B)</f>
        <v>1.32</v>
      </c>
      <c r="BO46" s="198">
        <f>_xlfn.XLOOKUP(BM46,'Тарифы ОЗОН'!$A:$A,'Тарифы ОЗОН'!C:C)</f>
        <v>1.6E-2</v>
      </c>
      <c r="BP46" s="199">
        <f t="shared" si="85"/>
        <v>25</v>
      </c>
      <c r="BQ46" s="199" t="e">
        <f t="shared" si="103"/>
        <v>#REF!</v>
      </c>
      <c r="BR46" s="359">
        <f t="shared" si="47"/>
        <v>0.85</v>
      </c>
      <c r="BS46" s="199" t="e">
        <f t="shared" si="104"/>
        <v>#REF!</v>
      </c>
      <c r="BT46" s="200">
        <f t="shared" si="105"/>
        <v>0</v>
      </c>
      <c r="BU46" s="262" t="e">
        <f t="shared" si="106"/>
        <v>#REF!</v>
      </c>
      <c r="BV46" s="149" t="e">
        <f t="shared" si="87"/>
        <v>#REF!</v>
      </c>
      <c r="BW46" s="291">
        <f t="shared" si="108"/>
        <v>0</v>
      </c>
      <c r="BX46" s="201">
        <f t="shared" si="109"/>
        <v>0</v>
      </c>
      <c r="BY46" s="201" t="e">
        <f t="shared" si="110"/>
        <v>#REF!</v>
      </c>
      <c r="BZ46" s="202">
        <f t="shared" si="111"/>
        <v>0</v>
      </c>
      <c r="CA46" s="425">
        <v>0</v>
      </c>
      <c r="CB46" s="426" t="e">
        <f t="shared" si="49"/>
        <v>#REF!</v>
      </c>
      <c r="CC46" s="427" t="e">
        <f t="shared" si="53"/>
        <v>#REF!</v>
      </c>
      <c r="CD46" s="429" t="e">
        <f t="shared" si="91"/>
        <v>#REF!</v>
      </c>
      <c r="CE46" s="429">
        <f t="shared" si="107"/>
        <v>0</v>
      </c>
      <c r="CF46" s="277">
        <f>_xlfn.XLOOKUP(B46,'[1]Рассчет акции'!$A:$A,'[1]Рассчет акции'!$R:$R,0)</f>
        <v>0</v>
      </c>
      <c r="CG46" s="360">
        <f>_xlfn.XLOOKUP(B46,'[1]Рассчет акции'!$A:$A,'[1]Рассчет акции'!$M:$M,0)</f>
        <v>0</v>
      </c>
      <c r="CH46" s="291">
        <f t="shared" si="92"/>
        <v>0</v>
      </c>
      <c r="CI46" s="290" t="e">
        <f t="shared" si="55"/>
        <v>#REF!</v>
      </c>
      <c r="CJ46" s="290" t="e">
        <f t="shared" si="56"/>
        <v>#REF!</v>
      </c>
      <c r="CK46" s="291" t="e">
        <f t="shared" si="93"/>
        <v>#REF!</v>
      </c>
      <c r="CL46" s="203">
        <f>_xlfn.XLOOKUP(B46,'[1]Рассчет акции'!$A:$A,'[1]Рассчет акции'!$W:$W,0)</f>
        <v>0</v>
      </c>
      <c r="CM46" s="424">
        <f>_xlfn.XLOOKUP(B46,'[1]Рассчет акции'!$A:$A,'[1]Рассчет акции'!$X:$X,0)</f>
        <v>0</v>
      </c>
      <c r="CN46" s="294" t="e">
        <f t="shared" si="94"/>
        <v>#REF!</v>
      </c>
      <c r="CO46" s="433">
        <f t="shared" si="51"/>
        <v>0</v>
      </c>
      <c r="CP46" s="507">
        <f>_xlfn.XLOOKUP(B46,'[1]Рассчет акции'!$A:$A,'[1]Рассчет акции'!$Z:$Z,0)</f>
        <v>0</v>
      </c>
    </row>
    <row r="47" spans="1:94" ht="25.5" customHeight="1" x14ac:dyDescent="0.25">
      <c r="A47" s="177">
        <v>271440668</v>
      </c>
      <c r="B47" s="179">
        <v>2415742680</v>
      </c>
      <c r="C47" s="177" t="s">
        <v>168</v>
      </c>
      <c r="D47" s="178" t="s">
        <v>154</v>
      </c>
      <c r="E47" s="179">
        <v>2041473034138</v>
      </c>
      <c r="F47" s="284">
        <f>SUM(H47:J47)</f>
        <v>318</v>
      </c>
      <c r="G47" s="147">
        <f>IFERROR(F47/S47*100%,0)</f>
        <v>0.26368159203980102</v>
      </c>
      <c r="H47" s="439">
        <f>IF(_xlfn.XLOOKUP($C47,'Юнит Карго'!$A:$A,'Юнит Карго'!$G:$G)=0,_xlfn.XLOOKUP(E47,'Себес 1С текущ'!G:G,'Себес 1С текущ'!H:H),_xlfn.XLOOKUP($C47,'Юнит Карго'!$A:$A,'Юнит Карго'!$P:$P,0,0))</f>
        <v>281</v>
      </c>
      <c r="I47" s="268">
        <f>_xlfn.XLOOKUP(E47,[3]ТЗ_ФФ!$D:$D,[3]ТЗ_ФФ!$BG:$BG,0)</f>
        <v>29</v>
      </c>
      <c r="J47" s="269">
        <f t="shared" si="59"/>
        <v>8</v>
      </c>
      <c r="K47" s="273">
        <f>(L47*M47*N47)/1000</f>
        <v>0.4</v>
      </c>
      <c r="L47" s="146">
        <v>20</v>
      </c>
      <c r="M47" s="146">
        <v>10</v>
      </c>
      <c r="N47" s="146">
        <v>2</v>
      </c>
      <c r="O47" s="150">
        <f>_xlfn.XLOOKUP($C47,'Юнит Карго'!$A:$A,'Юнит Карго'!$T:$T,0,0)</f>
        <v>0.17</v>
      </c>
      <c r="P47" s="127" t="s">
        <v>75</v>
      </c>
      <c r="Q47" s="146"/>
      <c r="R47" s="292"/>
      <c r="S47" s="285">
        <f t="shared" si="4"/>
        <v>1206</v>
      </c>
      <c r="T47" s="286" t="str">
        <f>_xlfn.XLOOKUP(E47,'[2]Рассчет акции'!$D:$D,'[2]Рассчет акции'!$G:$G,0)</f>
        <v>2010</v>
      </c>
      <c r="U47" s="417">
        <f>_xlfn.XLOOKUP(E47,'[2]Рассчет акции'!$D:$D,'[2]Рассчет акции'!$F:$F,0)</f>
        <v>0.4</v>
      </c>
      <c r="V47" s="235">
        <f>AC47+AF47+AH47+AG47</f>
        <v>509.07680000000005</v>
      </c>
      <c r="W47" s="288">
        <f>IFERROR(V47/S47,0)</f>
        <v>0.42212006633499177</v>
      </c>
      <c r="X47" s="289">
        <f>IF(K47&gt;1,('Тарифы ВБ'!$B$9+(K47-1)*'Тарифы ВБ'!$B$10)*'Тарифы ВБ'!$B$15*'Тарифы ВБ'!$B$12+S47*'Тарифы ВБ'!$B$13,'Тарифы ВБ'!$B$8*'Тарифы ВБ'!$B$15*'Тарифы ВБ'!$B$12+S47*'Тарифы ВБ'!$B$13)</f>
        <v>77.246800000000007</v>
      </c>
      <c r="Y47" s="289">
        <f>IF(K47&gt;1,'Тарифы ВБ'!$B$9+(K47-1)*'Тарифы ВБ'!$B$10,'Тарифы ВБ'!$B$8)</f>
        <v>32</v>
      </c>
      <c r="Z47" s="289">
        <f t="shared" si="42"/>
        <v>109.24680000000001</v>
      </c>
      <c r="AA47" s="236">
        <f t="shared" si="43"/>
        <v>9.0586069651741305E-2</v>
      </c>
      <c r="AB47" s="237">
        <f>IF(K47&gt;1,'Тарифы ВБ'!$B$14*'Тарифы ВБ'!$B$16*'Тарифы ВБ'!$B$15+(K47-1)*'Тарифы ВБ'!$B$14,'Тарифы ВБ'!$B$14*'Тарифы ВБ'!B$16*'Тарифы ВБ'!$B$15)</f>
        <v>32</v>
      </c>
      <c r="AC47" s="287">
        <f t="shared" si="62"/>
        <v>141.24680000000001</v>
      </c>
      <c r="AD47" s="240">
        <f t="shared" si="63"/>
        <v>0.11712006633499171</v>
      </c>
      <c r="AE47" s="241">
        <v>0.27500000000000002</v>
      </c>
      <c r="AF47" s="289">
        <f t="shared" si="64"/>
        <v>331.65000000000003</v>
      </c>
      <c r="AG47" s="364">
        <f t="shared" si="65"/>
        <v>0</v>
      </c>
      <c r="AH47" s="364">
        <f t="shared" si="66"/>
        <v>36.18</v>
      </c>
      <c r="AI47" s="149">
        <f t="shared" si="67"/>
        <v>827.07680000000005</v>
      </c>
      <c r="AJ47" s="447">
        <f t="shared" si="68"/>
        <v>0.24419834162520723</v>
      </c>
      <c r="AK47" s="450">
        <f t="shared" si="69"/>
        <v>378.92319999999995</v>
      </c>
      <c r="AL47" s="450">
        <f t="shared" si="70"/>
        <v>294.50319999999994</v>
      </c>
      <c r="AM47" s="447">
        <f t="shared" si="71"/>
        <v>1.0480540925266901</v>
      </c>
      <c r="AN47" s="458">
        <v>1219</v>
      </c>
      <c r="AO47" s="459">
        <f>$AN47-$AI47</f>
        <v>391.92319999999995</v>
      </c>
      <c r="AP47" s="459">
        <f>$AO47-$AN47*7%</f>
        <v>306.59319999999991</v>
      </c>
      <c r="AQ47" s="463">
        <f t="shared" si="74"/>
        <v>1.0910790035587186</v>
      </c>
      <c r="AR47" s="464">
        <f>$AP47/$AN47</f>
        <v>0.25151205906480717</v>
      </c>
      <c r="AS47" s="487" t="str">
        <f>IFERROR(_xlfn.XLOOKUP(A47,'[2]Рассчет акции'!$A:$A,'[2]Рассчет акции'!$BH:$BH),0)</f>
        <v>*</v>
      </c>
      <c r="AT47" s="487">
        <f>IFERROR(_xlfn.XLOOKUP($A47,'[2]Рассчет акции'!$A:$A,'[2]Рассчет акции'!$BC:$BC),0)</f>
        <v>1206</v>
      </c>
      <c r="AU47" s="409">
        <f>IFERROR($AW47/$AT47,0)</f>
        <v>0.24419834162520723</v>
      </c>
      <c r="AV47" s="407">
        <f>$AT47-$AI47</f>
        <v>378.92319999999995</v>
      </c>
      <c r="AW47" s="407">
        <f>$AV47-$AT47*7%</f>
        <v>294.50319999999994</v>
      </c>
      <c r="AX47" s="409">
        <f t="shared" si="79"/>
        <v>1.0480540925266901</v>
      </c>
      <c r="AY47" s="293">
        <f>IFERROR(_xlfn.XLOOKUP(E47,'[2]Рассчет акции'!$D:$D,'[2]Рассчет акции'!$BM:$BM),0)</f>
        <v>130</v>
      </c>
      <c r="AZ47" s="203">
        <f>IFERROR(_xlfn.XLOOKUP(E47,'[2]Рассчет акции'!$D:$D,'[2]Рассчет акции'!$BN:$BN),0)</f>
        <v>983</v>
      </c>
      <c r="BA47" s="294">
        <f t="shared" si="80"/>
        <v>4.2918149466192173</v>
      </c>
      <c r="BB47" s="292"/>
      <c r="BC47" s="497" t="e">
        <f xml:space="preserve"> _xlfn.XLOOKUP(B47,#REF!,#REF!,0)</f>
        <v>#REF!</v>
      </c>
      <c r="BD47" s="500" t="e">
        <f>BC47/(100%-BE47)</f>
        <v>#REF!</v>
      </c>
      <c r="BE47" s="501">
        <f>_xlfn.XLOOKUP($B47,'[1]Рассчет акции'!$A:$A,'[1]Рассчет акции'!$J:$J)</f>
        <v>0.35007225433526012</v>
      </c>
      <c r="BF47" s="191" t="e">
        <f>BS47+BI47+BJ47+BU47+BK47</f>
        <v>#REF!</v>
      </c>
      <c r="BG47" s="192">
        <f>IFERROR(BF47/BC47,0)</f>
        <v>0</v>
      </c>
      <c r="BH47" s="193">
        <v>0.37</v>
      </c>
      <c r="BI47" s="194" t="e">
        <f>BC47*BH47</f>
        <v>#REF!</v>
      </c>
      <c r="BJ47" s="195" t="e">
        <f>BC47*$BJ$3</f>
        <v>#REF!</v>
      </c>
      <c r="BK47" s="422">
        <f t="shared" si="83"/>
        <v>0</v>
      </c>
      <c r="BL47" s="196">
        <f>(IF(K47&gt;$BL$3,('Тарифы ОЗОН'!$G$3+ROUNDUP(K47-$BL$3,0)*'Тарифы ОЗОН'!$G$4),'Тарифы ОЗОН'!$G$3))</f>
        <v>46.77</v>
      </c>
      <c r="BM47" s="196">
        <f t="shared" si="84"/>
        <v>35</v>
      </c>
      <c r="BN47" s="197">
        <f>_xlfn.XLOOKUP(BM47,'Тарифы ОЗОН'!$A:$A,'Тарифы ОЗОН'!$B:$B)</f>
        <v>1.32</v>
      </c>
      <c r="BO47" s="198">
        <f>_xlfn.XLOOKUP(BM47,'Тарифы ОЗОН'!$A:$A,'Тарифы ОЗОН'!C:C)</f>
        <v>1.6E-2</v>
      </c>
      <c r="BP47" s="199">
        <f t="shared" si="85"/>
        <v>25</v>
      </c>
      <c r="BQ47" s="199" t="e">
        <f>BL47*BN47+BC47*BO47+BP47</f>
        <v>#REF!</v>
      </c>
      <c r="BR47" s="359">
        <f t="shared" si="47"/>
        <v>0.85</v>
      </c>
      <c r="BS47" s="199" t="e">
        <f>(100%/BR47)*BQ47+(100%/BR47-1)*BL47</f>
        <v>#REF!</v>
      </c>
      <c r="BT47" s="200">
        <f>IFERROR(BS47/BC47*100%,0)</f>
        <v>0</v>
      </c>
      <c r="BU47" s="262" t="e">
        <f>BC47*$BU$3</f>
        <v>#REF!</v>
      </c>
      <c r="BV47" s="149" t="e">
        <f t="shared" si="87"/>
        <v>#REF!</v>
      </c>
      <c r="BW47" s="291">
        <f>IFERROR(BY47/BC47,0)</f>
        <v>0</v>
      </c>
      <c r="BX47" s="201">
        <f>IFERROR(BC47-BV47,0)</f>
        <v>0</v>
      </c>
      <c r="BY47" s="201" t="e">
        <f>BX47-BC47*7%</f>
        <v>#REF!</v>
      </c>
      <c r="BZ47" s="202">
        <f t="shared" si="111"/>
        <v>0</v>
      </c>
      <c r="CA47" s="425">
        <v>1395</v>
      </c>
      <c r="CB47" s="426" t="e">
        <f>IF(BC47=0,0,CA47-BV47)</f>
        <v>#REF!</v>
      </c>
      <c r="CC47" s="427" t="e">
        <f>IF(CB47=0,0,CB47-CA47*7%)</f>
        <v>#REF!</v>
      </c>
      <c r="CD47" s="429" t="e">
        <f t="shared" si="91"/>
        <v>#REF!</v>
      </c>
      <c r="CE47" s="429">
        <f>IFERROR(CC47/CA47,0)</f>
        <v>0</v>
      </c>
      <c r="CF47" s="277">
        <f>_xlfn.XLOOKUP(B47,'[1]Рассчет акции'!$A:$A,'[1]Рассчет акции'!$R:$R,0)</f>
        <v>0</v>
      </c>
      <c r="CG47" s="360">
        <f>_xlfn.XLOOKUP(B47,'[1]Рассчет акции'!$A:$A,'[1]Рассчет акции'!$M:$M,0)</f>
        <v>1295</v>
      </c>
      <c r="CH47" s="291">
        <f>IFERROR($CJ47/$CG47,0)</f>
        <v>0</v>
      </c>
      <c r="CI47" s="290" t="e">
        <f>IF(BC47&gt;0,CG47-BV47,0)</f>
        <v>#REF!</v>
      </c>
      <c r="CJ47" s="290" t="e">
        <f>IF(CI47&gt;0,$CI47-$CG47*7%,0)</f>
        <v>#REF!</v>
      </c>
      <c r="CK47" s="291" t="e">
        <f t="shared" si="93"/>
        <v>#REF!</v>
      </c>
      <c r="CL47" s="203">
        <f>_xlfn.XLOOKUP(B47,'[1]Рассчет акции'!$A:$A,'[1]Рассчет акции'!$W:$W,0)</f>
        <v>2</v>
      </c>
      <c r="CM47" s="424">
        <f>_xlfn.XLOOKUP(B47,'[1]Рассчет акции'!$A:$A,'[1]Рассчет акции'!$X:$X,0)</f>
        <v>14</v>
      </c>
      <c r="CN47" s="294" t="e">
        <f t="shared" si="94"/>
        <v>#REF!</v>
      </c>
      <c r="CO47" s="433">
        <f>CA47-10%*CA47</f>
        <v>1255.5</v>
      </c>
      <c r="CP47" s="507">
        <f>_xlfn.XLOOKUP(B47,'[1]Рассчет акции'!$A:$A,'[1]Рассчет акции'!$Z:$Z,0)</f>
        <v>0</v>
      </c>
    </row>
    <row r="48" spans="1:94" ht="25.5" customHeight="1" x14ac:dyDescent="0.25">
      <c r="A48" s="177">
        <v>271440669</v>
      </c>
      <c r="B48" s="179">
        <v>2415742649</v>
      </c>
      <c r="C48" s="177" t="s">
        <v>167</v>
      </c>
      <c r="D48" s="178" t="s">
        <v>155</v>
      </c>
      <c r="E48" s="179">
        <v>2041473034145</v>
      </c>
      <c r="F48" s="284">
        <f>SUM(H48:J48)</f>
        <v>318</v>
      </c>
      <c r="G48" s="147">
        <f>IFERROR(F48/S48*100%,0)</f>
        <v>0.29233314947600664</v>
      </c>
      <c r="H48" s="439">
        <f>IF(_xlfn.XLOOKUP($C48,'Юнит Карго'!$A:$A,'Юнит Карго'!$G:$G)=0,_xlfn.XLOOKUP(E48,'Себес 1С текущ'!G:G,'Себес 1С текущ'!H:H),_xlfn.XLOOKUP($C48,'Юнит Карго'!$A:$A,'Юнит Карго'!$P:$P,0,0))</f>
        <v>281</v>
      </c>
      <c r="I48" s="268">
        <f>_xlfn.XLOOKUP(E48,[3]ТЗ_ФФ!$D:$D,[3]ТЗ_ФФ!$BG:$BG,0)</f>
        <v>29</v>
      </c>
      <c r="J48" s="269">
        <f t="shared" si="59"/>
        <v>8</v>
      </c>
      <c r="K48" s="273">
        <f>(L48*M48*N48)/1000</f>
        <v>0.4</v>
      </c>
      <c r="L48" s="146">
        <v>20</v>
      </c>
      <c r="M48" s="146">
        <v>10</v>
      </c>
      <c r="N48" s="146">
        <v>2</v>
      </c>
      <c r="O48" s="150">
        <f>_xlfn.XLOOKUP($C48,'Юнит Карго'!$A:$A,'Юнит Карго'!$T:$T,0,0)</f>
        <v>0.17</v>
      </c>
      <c r="P48" s="127" t="s">
        <v>75</v>
      </c>
      <c r="Q48" s="146"/>
      <c r="R48" s="292"/>
      <c r="S48" s="285">
        <f t="shared" si="4"/>
        <v>1087.8</v>
      </c>
      <c r="T48" s="286" t="str">
        <f>_xlfn.XLOOKUP(E48,'[2]Рассчет акции'!$D:$D,'[2]Рассчет акции'!$G:$G,0)</f>
        <v>1813</v>
      </c>
      <c r="U48" s="417">
        <f>_xlfn.XLOOKUP(E48,'[2]Рассчет акции'!$D:$D,'[2]Рассчет акции'!$F:$F,0)</f>
        <v>0.4</v>
      </c>
      <c r="V48" s="235">
        <f>AC48+AF48+AH48+AG48</f>
        <v>472.10384000000005</v>
      </c>
      <c r="W48" s="288">
        <f>IFERROR(V48/S48,0)</f>
        <v>0.43399874977017838</v>
      </c>
      <c r="X48" s="289">
        <f>IF(K48&gt;1,('Тарифы ВБ'!$B$9+(K48-1)*'Тарифы ВБ'!$B$10)*'Тарифы ВБ'!$B$15*'Тарифы ВБ'!$B$12+S48*'Тарифы ВБ'!$B$13,'Тарифы ВБ'!$B$8*'Тарифы ВБ'!$B$15*'Тарифы ВБ'!$B$12+S48*'Тарифы ВБ'!$B$13)</f>
        <v>76.324839999999995</v>
      </c>
      <c r="Y48" s="289">
        <f>IF(K48&gt;1,'Тарифы ВБ'!$B$9+(K48-1)*'Тарифы ВБ'!$B$10,'Тарифы ВБ'!$B$8)</f>
        <v>32</v>
      </c>
      <c r="Z48" s="289">
        <f t="shared" si="42"/>
        <v>108.32483999999999</v>
      </c>
      <c r="AA48" s="236">
        <f t="shared" si="43"/>
        <v>9.9581577495863216E-2</v>
      </c>
      <c r="AB48" s="237">
        <f>IF(K48&gt;1,'Тарифы ВБ'!$B$14*'Тарифы ВБ'!$B$16*'Тарифы ВБ'!$B$15+(K48-1)*'Тарифы ВБ'!$B$14,'Тарифы ВБ'!$B$14*'Тарифы ВБ'!B$16*'Тарифы ВБ'!$B$15)</f>
        <v>32</v>
      </c>
      <c r="AC48" s="287">
        <f t="shared" si="62"/>
        <v>140.32483999999999</v>
      </c>
      <c r="AD48" s="240">
        <f t="shared" si="63"/>
        <v>0.12899874977017833</v>
      </c>
      <c r="AE48" s="241">
        <v>0.27500000000000002</v>
      </c>
      <c r="AF48" s="289">
        <f t="shared" si="64"/>
        <v>299.14500000000004</v>
      </c>
      <c r="AG48" s="364">
        <f t="shared" si="65"/>
        <v>0</v>
      </c>
      <c r="AH48" s="364">
        <f t="shared" si="66"/>
        <v>32.634</v>
      </c>
      <c r="AI48" s="149">
        <f t="shared" si="67"/>
        <v>790.10383999999999</v>
      </c>
      <c r="AJ48" s="447">
        <f t="shared" si="68"/>
        <v>0.203668100753815</v>
      </c>
      <c r="AK48" s="450">
        <f t="shared" si="69"/>
        <v>297.69615999999996</v>
      </c>
      <c r="AL48" s="450">
        <f t="shared" si="70"/>
        <v>221.55015999999995</v>
      </c>
      <c r="AM48" s="447">
        <f t="shared" si="71"/>
        <v>0.78843473309608525</v>
      </c>
      <c r="AN48" s="458">
        <v>1219</v>
      </c>
      <c r="AO48" s="459">
        <f>$AN48-$AI48</f>
        <v>428.89616000000001</v>
      </c>
      <c r="AP48" s="459">
        <f>$AO48-$AN48*7%</f>
        <v>343.56615999999997</v>
      </c>
      <c r="AQ48" s="463">
        <f t="shared" si="74"/>
        <v>1.2226553736654804</v>
      </c>
      <c r="AR48" s="464">
        <f>$AP48/$AN48</f>
        <v>0.28184262510254304</v>
      </c>
      <c r="AS48" s="487" t="str">
        <f>IFERROR(_xlfn.XLOOKUP(A48,'[2]Рассчет акции'!$A:$A,'[2]Рассчет акции'!$BH:$BH),0)</f>
        <v>*</v>
      </c>
      <c r="AT48" s="487">
        <f>IFERROR(_xlfn.XLOOKUP($A48,'[2]Рассчет акции'!$A:$A,'[2]Рассчет акции'!$BC:$BC),0)</f>
        <v>1088</v>
      </c>
      <c r="AU48" s="409">
        <f>IFERROR($AW48/$AT48,0)</f>
        <v>0.20380161764705881</v>
      </c>
      <c r="AV48" s="407">
        <f>$AT48-$AI48</f>
        <v>297.89616000000001</v>
      </c>
      <c r="AW48" s="407">
        <f>$AV48-$AT48*7%</f>
        <v>221.73615999999998</v>
      </c>
      <c r="AX48" s="409">
        <f t="shared" si="79"/>
        <v>0.78909665480427038</v>
      </c>
      <c r="AY48" s="293">
        <f>IFERROR(_xlfn.XLOOKUP(E48,'[2]Рассчет акции'!$D:$D,'[2]Рассчет акции'!$BM:$BM),0)</f>
        <v>128</v>
      </c>
      <c r="AZ48" s="203">
        <f>IFERROR(_xlfn.XLOOKUP(E48,'[2]Рассчет акции'!$D:$D,'[2]Рассчет акции'!$BN:$BN),0)</f>
        <v>440</v>
      </c>
      <c r="BA48" s="294">
        <f t="shared" si="80"/>
        <v>3.8711743772241993</v>
      </c>
      <c r="BB48" s="292"/>
      <c r="BC48" s="497" t="e">
        <f xml:space="preserve"> _xlfn.XLOOKUP(B48,#REF!,#REF!,0)</f>
        <v>#REF!</v>
      </c>
      <c r="BD48" s="500" t="e">
        <f>BC48/(100%-BE48)</f>
        <v>#REF!</v>
      </c>
      <c r="BE48" s="501">
        <f>_xlfn.XLOOKUP($B48,'[1]Рассчет акции'!$A:$A,'[1]Рассчет акции'!$J:$J)</f>
        <v>0.35007225433526012</v>
      </c>
      <c r="BF48" s="191" t="e">
        <f>BS48+BI48+BJ48+BU48+BK48</f>
        <v>#REF!</v>
      </c>
      <c r="BG48" s="192">
        <f>IFERROR(BF48/BC48,0)</f>
        <v>0</v>
      </c>
      <c r="BH48" s="193">
        <v>0.37</v>
      </c>
      <c r="BI48" s="194" t="e">
        <f>BC48*BH48</f>
        <v>#REF!</v>
      </c>
      <c r="BJ48" s="195" t="e">
        <f>BC48*$BJ$3</f>
        <v>#REF!</v>
      </c>
      <c r="BK48" s="422">
        <f t="shared" si="83"/>
        <v>0</v>
      </c>
      <c r="BL48" s="196">
        <f>(IF(K48&gt;$BL$3,('Тарифы ОЗОН'!$G$3+ROUNDUP(K48-$BL$3,0)*'Тарифы ОЗОН'!$G$4),'Тарифы ОЗОН'!$G$3))</f>
        <v>46.77</v>
      </c>
      <c r="BM48" s="196">
        <f t="shared" si="84"/>
        <v>35</v>
      </c>
      <c r="BN48" s="197">
        <f>_xlfn.XLOOKUP(BM48,'Тарифы ОЗОН'!$A:$A,'Тарифы ОЗОН'!$B:$B)</f>
        <v>1.32</v>
      </c>
      <c r="BO48" s="198">
        <f>_xlfn.XLOOKUP(BM48,'Тарифы ОЗОН'!$A:$A,'Тарифы ОЗОН'!C:C)</f>
        <v>1.6E-2</v>
      </c>
      <c r="BP48" s="199">
        <f t="shared" si="85"/>
        <v>25</v>
      </c>
      <c r="BQ48" s="199" t="e">
        <f>BL48*BN48+BC48*BO48+BP48</f>
        <v>#REF!</v>
      </c>
      <c r="BR48" s="359">
        <f t="shared" si="47"/>
        <v>0.85</v>
      </c>
      <c r="BS48" s="199" t="e">
        <f>(100%/BR48)*BQ48+(100%/BR48-1)*BL48</f>
        <v>#REF!</v>
      </c>
      <c r="BT48" s="200">
        <f>IFERROR(BS48/BC48*100%,0)</f>
        <v>0</v>
      </c>
      <c r="BU48" s="262" t="e">
        <f>BC48*$BU$3</f>
        <v>#REF!</v>
      </c>
      <c r="BV48" s="149" t="e">
        <f t="shared" si="87"/>
        <v>#REF!</v>
      </c>
      <c r="BW48" s="291">
        <f>IFERROR(BY48/BC48,0)</f>
        <v>0</v>
      </c>
      <c r="BX48" s="201">
        <f>IFERROR(BC48-BV48,0)</f>
        <v>0</v>
      </c>
      <c r="BY48" s="201" t="e">
        <f>BX48-BC48*7%</f>
        <v>#REF!</v>
      </c>
      <c r="BZ48" s="202">
        <f t="shared" si="111"/>
        <v>0</v>
      </c>
      <c r="CA48" s="425">
        <v>1395</v>
      </c>
      <c r="CB48" s="426" t="e">
        <f>IF(BC48=0,0,CA48-BV48)</f>
        <v>#REF!</v>
      </c>
      <c r="CC48" s="427" t="e">
        <f>IF(CB48=0,0,CB48-CA48*7%)</f>
        <v>#REF!</v>
      </c>
      <c r="CD48" s="429" t="e">
        <f t="shared" si="91"/>
        <v>#REF!</v>
      </c>
      <c r="CE48" s="429">
        <f>IFERROR(CC48/CA48,0)</f>
        <v>0</v>
      </c>
      <c r="CF48" s="277">
        <f>_xlfn.XLOOKUP(B48,'[1]Рассчет акции'!$A:$A,'[1]Рассчет акции'!$R:$R,0)</f>
        <v>0</v>
      </c>
      <c r="CG48" s="360">
        <f>_xlfn.XLOOKUP(B48,'[1]Рассчет акции'!$A:$A,'[1]Рассчет акции'!$M:$M,0)</f>
        <v>1295</v>
      </c>
      <c r="CH48" s="291">
        <f>IFERROR($CJ48/$CG48,0)</f>
        <v>0</v>
      </c>
      <c r="CI48" s="290" t="e">
        <f>IF(BC48&gt;0,CG48-BV48,0)</f>
        <v>#REF!</v>
      </c>
      <c r="CJ48" s="290" t="e">
        <f>IF(CI48&gt;0,$CI48-$CG48*7%,0)</f>
        <v>#REF!</v>
      </c>
      <c r="CK48" s="291" t="e">
        <f t="shared" si="93"/>
        <v>#REF!</v>
      </c>
      <c r="CL48" s="203">
        <f>_xlfn.XLOOKUP(B48,'[1]Рассчет акции'!$A:$A,'[1]Рассчет акции'!$W:$W,0)</f>
        <v>2</v>
      </c>
      <c r="CM48" s="424">
        <f>_xlfn.XLOOKUP(B48,'[1]Рассчет акции'!$A:$A,'[1]Рассчет акции'!$X:$X,0)</f>
        <v>999</v>
      </c>
      <c r="CN48" s="294" t="e">
        <f t="shared" si="94"/>
        <v>#REF!</v>
      </c>
      <c r="CO48" s="433">
        <f>CA48-10%*CA48</f>
        <v>1255.5</v>
      </c>
      <c r="CP48" s="507">
        <f>_xlfn.XLOOKUP(B48,'[1]Рассчет акции'!$A:$A,'[1]Рассчет акции'!$Z:$Z,0)</f>
        <v>0</v>
      </c>
    </row>
    <row r="49" spans="1:94" ht="25.5" customHeight="1" x14ac:dyDescent="0.25">
      <c r="A49" s="177">
        <v>271440670</v>
      </c>
      <c r="B49" s="179">
        <v>2415743140</v>
      </c>
      <c r="C49" s="177" t="s">
        <v>166</v>
      </c>
      <c r="D49" s="178" t="s">
        <v>156</v>
      </c>
      <c r="E49" s="179">
        <v>2041473034169</v>
      </c>
      <c r="F49" s="284">
        <f>SUM(H49:J49)</f>
        <v>318</v>
      </c>
      <c r="G49" s="147">
        <f>IFERROR(F49/S49*100%,0)</f>
        <v>0.29233314947600664</v>
      </c>
      <c r="H49" s="439">
        <f>IF(_xlfn.XLOOKUP($C49,'Юнит Карго'!$A:$A,'Юнит Карго'!$G:$G)=0,_xlfn.XLOOKUP(E49,'Себес 1С текущ'!G:G,'Себес 1С текущ'!H:H),_xlfn.XLOOKUP($C49,'Юнит Карго'!$A:$A,'Юнит Карго'!$P:$P,0,0))</f>
        <v>281</v>
      </c>
      <c r="I49" s="268">
        <f>_xlfn.XLOOKUP(E49,[3]ТЗ_ФФ!$D:$D,[3]ТЗ_ФФ!$BG:$BG,0)</f>
        <v>29</v>
      </c>
      <c r="J49" s="269">
        <f t="shared" si="59"/>
        <v>8</v>
      </c>
      <c r="K49" s="273">
        <f>(L49*M49*N49)/1000</f>
        <v>0.4</v>
      </c>
      <c r="L49" s="146">
        <v>20</v>
      </c>
      <c r="M49" s="146">
        <v>10</v>
      </c>
      <c r="N49" s="146">
        <v>2</v>
      </c>
      <c r="O49" s="150">
        <f>_xlfn.XLOOKUP($C49,'Юнит Карго'!$A:$A,'Юнит Карго'!$T:$T,0,0)</f>
        <v>0.17</v>
      </c>
      <c r="P49" s="127" t="s">
        <v>75</v>
      </c>
      <c r="Q49" s="146"/>
      <c r="R49" s="292"/>
      <c r="S49" s="285">
        <f t="shared" si="4"/>
        <v>1087.8</v>
      </c>
      <c r="T49" s="286" t="str">
        <f>_xlfn.XLOOKUP(E49,'[2]Рассчет акции'!$D:$D,'[2]Рассчет акции'!$G:$G,0)</f>
        <v>1813</v>
      </c>
      <c r="U49" s="417">
        <f>_xlfn.XLOOKUP(E49,'[2]Рассчет акции'!$D:$D,'[2]Рассчет акции'!$F:$F,0)</f>
        <v>0.4</v>
      </c>
      <c r="V49" s="235">
        <f>AC49+AF49+AH49+AG49</f>
        <v>472.10384000000005</v>
      </c>
      <c r="W49" s="288">
        <f>IFERROR(V49/S49,0)</f>
        <v>0.43399874977017838</v>
      </c>
      <c r="X49" s="289">
        <f>IF(K49&gt;1,('Тарифы ВБ'!$B$9+(K49-1)*'Тарифы ВБ'!$B$10)*'Тарифы ВБ'!$B$15*'Тарифы ВБ'!$B$12+S49*'Тарифы ВБ'!$B$13,'Тарифы ВБ'!$B$8*'Тарифы ВБ'!$B$15*'Тарифы ВБ'!$B$12+S49*'Тарифы ВБ'!$B$13)</f>
        <v>76.324839999999995</v>
      </c>
      <c r="Y49" s="289">
        <f>IF(K49&gt;1,'Тарифы ВБ'!$B$9+(K49-1)*'Тарифы ВБ'!$B$10,'Тарифы ВБ'!$B$8)</f>
        <v>32</v>
      </c>
      <c r="Z49" s="289">
        <f t="shared" si="42"/>
        <v>108.32483999999999</v>
      </c>
      <c r="AA49" s="236">
        <f t="shared" si="43"/>
        <v>9.9581577495863216E-2</v>
      </c>
      <c r="AB49" s="237">
        <f>IF(K49&gt;1,'Тарифы ВБ'!$B$14*'Тарифы ВБ'!$B$16*'Тарифы ВБ'!$B$15+(K49-1)*'Тарифы ВБ'!$B$14,'Тарифы ВБ'!$B$14*'Тарифы ВБ'!B$16*'Тарифы ВБ'!$B$15)</f>
        <v>32</v>
      </c>
      <c r="AC49" s="287">
        <f t="shared" si="62"/>
        <v>140.32483999999999</v>
      </c>
      <c r="AD49" s="240">
        <f t="shared" si="63"/>
        <v>0.12899874977017833</v>
      </c>
      <c r="AE49" s="241">
        <v>0.27500000000000002</v>
      </c>
      <c r="AF49" s="289">
        <f t="shared" si="64"/>
        <v>299.14500000000004</v>
      </c>
      <c r="AG49" s="364">
        <f t="shared" si="65"/>
        <v>0</v>
      </c>
      <c r="AH49" s="364">
        <f t="shared" si="66"/>
        <v>32.634</v>
      </c>
      <c r="AI49" s="149">
        <f t="shared" si="67"/>
        <v>790.10383999999999</v>
      </c>
      <c r="AJ49" s="447">
        <f t="shared" si="68"/>
        <v>0.203668100753815</v>
      </c>
      <c r="AK49" s="450">
        <f t="shared" si="69"/>
        <v>297.69615999999996</v>
      </c>
      <c r="AL49" s="450">
        <f t="shared" si="70"/>
        <v>221.55015999999995</v>
      </c>
      <c r="AM49" s="447">
        <f t="shared" si="71"/>
        <v>0.78843473309608525</v>
      </c>
      <c r="AN49" s="458">
        <v>1219</v>
      </c>
      <c r="AO49" s="459">
        <f>$AN49-$AI49</f>
        <v>428.89616000000001</v>
      </c>
      <c r="AP49" s="459">
        <f>$AO49-$AN49*7%</f>
        <v>343.56615999999997</v>
      </c>
      <c r="AQ49" s="463">
        <f t="shared" si="74"/>
        <v>1.2226553736654804</v>
      </c>
      <c r="AR49" s="464">
        <f>$AP49/$AN49</f>
        <v>0.28184262510254304</v>
      </c>
      <c r="AS49" s="487" t="str">
        <f>IFERROR(_xlfn.XLOOKUP(A49,'[2]Рассчет акции'!$A:$A,'[2]Рассчет акции'!$BH:$BH),0)</f>
        <v>*</v>
      </c>
      <c r="AT49" s="487">
        <f>IFERROR(_xlfn.XLOOKUP($A49,'[2]Рассчет акции'!$A:$A,'[2]Рассчет акции'!$BC:$BC),0)</f>
        <v>1088</v>
      </c>
      <c r="AU49" s="409">
        <f>IFERROR($AW49/$AT49,0)</f>
        <v>0.20380161764705881</v>
      </c>
      <c r="AV49" s="407">
        <f>$AT49-$AI49</f>
        <v>297.89616000000001</v>
      </c>
      <c r="AW49" s="407">
        <f>$AV49-$AT49*7%</f>
        <v>221.73615999999998</v>
      </c>
      <c r="AX49" s="409">
        <f t="shared" si="79"/>
        <v>0.78909665480427038</v>
      </c>
      <c r="AY49" s="293">
        <f>IFERROR(_xlfn.XLOOKUP(E49,'[2]Рассчет акции'!$D:$D,'[2]Рассчет акции'!$BM:$BM),0)</f>
        <v>100</v>
      </c>
      <c r="AZ49" s="203">
        <f>IFERROR(_xlfn.XLOOKUP(E49,'[2]Рассчет акции'!$D:$D,'[2]Рассчет акции'!$BN:$BN),0)</f>
        <v>999</v>
      </c>
      <c r="BA49" s="294">
        <f t="shared" si="80"/>
        <v>3.8711743772241993</v>
      </c>
      <c r="BB49" s="292"/>
      <c r="BC49" s="497" t="e">
        <f xml:space="preserve"> _xlfn.XLOOKUP(B49,#REF!,#REF!,0)</f>
        <v>#REF!</v>
      </c>
      <c r="BD49" s="500" t="e">
        <f>BC49/(100%-BE49)</f>
        <v>#REF!</v>
      </c>
      <c r="BE49" s="501">
        <f>_xlfn.XLOOKUP($B49,'[1]Рассчет акции'!$A:$A,'[1]Рассчет акции'!$J:$J)</f>
        <v>0.35007225433526012</v>
      </c>
      <c r="BF49" s="191" t="e">
        <f>BS49+BI49+BJ49+BU49+BK49</f>
        <v>#REF!</v>
      </c>
      <c r="BG49" s="192">
        <f>IFERROR(BF49/BC49,0)</f>
        <v>0</v>
      </c>
      <c r="BH49" s="193">
        <v>0.37</v>
      </c>
      <c r="BI49" s="194" t="e">
        <f>BC49*BH49</f>
        <v>#REF!</v>
      </c>
      <c r="BJ49" s="195" t="e">
        <f>BC49*$BJ$3</f>
        <v>#REF!</v>
      </c>
      <c r="BK49" s="422">
        <f t="shared" si="83"/>
        <v>0</v>
      </c>
      <c r="BL49" s="196">
        <f>(IF(K49&gt;$BL$3,('Тарифы ОЗОН'!$G$3+ROUNDUP(K49-$BL$3,0)*'Тарифы ОЗОН'!$G$4),'Тарифы ОЗОН'!$G$3))</f>
        <v>46.77</v>
      </c>
      <c r="BM49" s="196">
        <f t="shared" si="84"/>
        <v>35</v>
      </c>
      <c r="BN49" s="197">
        <f>_xlfn.XLOOKUP(BM49,'Тарифы ОЗОН'!$A:$A,'Тарифы ОЗОН'!$B:$B)</f>
        <v>1.32</v>
      </c>
      <c r="BO49" s="198">
        <f>_xlfn.XLOOKUP(BM49,'Тарифы ОЗОН'!$A:$A,'Тарифы ОЗОН'!C:C)</f>
        <v>1.6E-2</v>
      </c>
      <c r="BP49" s="199">
        <f t="shared" si="85"/>
        <v>25</v>
      </c>
      <c r="BQ49" s="199" t="e">
        <f>BL49*BN49+BC49*BO49+BP49</f>
        <v>#REF!</v>
      </c>
      <c r="BR49" s="359">
        <f t="shared" si="47"/>
        <v>0.85</v>
      </c>
      <c r="BS49" s="199" t="e">
        <f>(100%/BR49)*BQ49+(100%/BR49-1)*BL49</f>
        <v>#REF!</v>
      </c>
      <c r="BT49" s="200">
        <f>IFERROR(BS49/BC49*100%,0)</f>
        <v>0</v>
      </c>
      <c r="BU49" s="262" t="e">
        <f>BC49*$BU$3</f>
        <v>#REF!</v>
      </c>
      <c r="BV49" s="149" t="e">
        <f t="shared" si="87"/>
        <v>#REF!</v>
      </c>
      <c r="BW49" s="291">
        <f>IFERROR(BY49/BC49,0)</f>
        <v>0</v>
      </c>
      <c r="BX49" s="201">
        <f>IFERROR(BC49-BV49,0)</f>
        <v>0</v>
      </c>
      <c r="BY49" s="201" t="e">
        <f>BX49-BC49*7%</f>
        <v>#REF!</v>
      </c>
      <c r="BZ49" s="202">
        <f t="shared" si="111"/>
        <v>0</v>
      </c>
      <c r="CA49" s="425">
        <v>1395</v>
      </c>
      <c r="CB49" s="426" t="e">
        <f>IF(BC49=0,0,CA49-BV49)</f>
        <v>#REF!</v>
      </c>
      <c r="CC49" s="427" t="e">
        <f>IF(CB49=0,0,CB49-CA49*7%)</f>
        <v>#REF!</v>
      </c>
      <c r="CD49" s="429" t="e">
        <f t="shared" si="91"/>
        <v>#REF!</v>
      </c>
      <c r="CE49" s="429">
        <f>IFERROR(CC49/CA49,0)</f>
        <v>0</v>
      </c>
      <c r="CF49" s="277">
        <f>_xlfn.XLOOKUP(B49,'[1]Рассчет акции'!$A:$A,'[1]Рассчет акции'!$R:$R,0)</f>
        <v>0</v>
      </c>
      <c r="CG49" s="360">
        <f>_xlfn.XLOOKUP(B49,'[1]Рассчет акции'!$A:$A,'[1]Рассчет акции'!$M:$M,0)</f>
        <v>1295</v>
      </c>
      <c r="CH49" s="291">
        <f>IFERROR($CJ49/$CG49,0)</f>
        <v>0</v>
      </c>
      <c r="CI49" s="290" t="e">
        <f>IF(BC49&gt;0,CG49-BV49,0)</f>
        <v>#REF!</v>
      </c>
      <c r="CJ49" s="290" t="e">
        <f>IF(CI49&gt;0,$CI49-$CG49*7%,0)</f>
        <v>#REF!</v>
      </c>
      <c r="CK49" s="291" t="e">
        <f t="shared" si="93"/>
        <v>#REF!</v>
      </c>
      <c r="CL49" s="203">
        <f>_xlfn.XLOOKUP(B49,'[1]Рассчет акции'!$A:$A,'[1]Рассчет акции'!$W:$W,0)</f>
        <v>3</v>
      </c>
      <c r="CM49" s="424">
        <f>_xlfn.XLOOKUP(B49,'[1]Рассчет акции'!$A:$A,'[1]Рассчет акции'!$X:$X,0)</f>
        <v>999</v>
      </c>
      <c r="CN49" s="294" t="e">
        <f t="shared" si="94"/>
        <v>#REF!</v>
      </c>
      <c r="CO49" s="433">
        <f>CA49-10%*CA49</f>
        <v>1255.5</v>
      </c>
      <c r="CP49" s="507">
        <f>_xlfn.XLOOKUP(B49,'[1]Рассчет акции'!$A:$A,'[1]Рассчет акции'!$Z:$Z,0)</f>
        <v>0</v>
      </c>
    </row>
    <row r="50" spans="1:94" ht="25.5" customHeight="1" x14ac:dyDescent="0.25">
      <c r="A50" s="386">
        <v>550445272</v>
      </c>
      <c r="B50" s="387"/>
      <c r="C50" s="386" t="s">
        <v>975</v>
      </c>
      <c r="D50" s="435" t="s">
        <v>1060</v>
      </c>
      <c r="E50" s="387">
        <v>2046391283330</v>
      </c>
      <c r="F50" s="284">
        <f t="shared" si="95"/>
        <v>22</v>
      </c>
      <c r="G50" s="147">
        <f t="shared" si="96"/>
        <v>0</v>
      </c>
      <c r="H50" s="439"/>
      <c r="I50" s="268">
        <f>_xlfn.XLOOKUP(E50,[3]ТЗ_ФФ!$D:$D,[3]ТЗ_ФФ!$BG:$BG,0)</f>
        <v>14</v>
      </c>
      <c r="J50" s="269">
        <f t="shared" si="59"/>
        <v>8</v>
      </c>
      <c r="K50" s="273">
        <f t="shared" si="60"/>
        <v>0.34300000000000003</v>
      </c>
      <c r="L50" s="146">
        <v>7</v>
      </c>
      <c r="M50" s="146">
        <v>7</v>
      </c>
      <c r="N50" s="146">
        <v>7</v>
      </c>
      <c r="O50" s="150">
        <f>_xlfn.XLOOKUP($C50,'Юнит Карго'!$A:$A,'Юнит Карго'!$T:$T,0,0)</f>
        <v>0.04</v>
      </c>
      <c r="P50" s="127"/>
      <c r="Q50" s="146"/>
      <c r="R50" s="292"/>
      <c r="S50" s="285">
        <f t="shared" si="4"/>
        <v>0</v>
      </c>
      <c r="T50" s="407"/>
      <c r="U50" s="417">
        <f>_xlfn.XLOOKUP(E50,'[2]Рассчет акции'!$D:$D,'[2]Рассчет акции'!$F:$F,0)</f>
        <v>0.3</v>
      </c>
      <c r="V50" s="235">
        <f t="shared" si="97"/>
        <v>131.84</v>
      </c>
      <c r="W50" s="288">
        <f t="shared" si="98"/>
        <v>0</v>
      </c>
      <c r="X50" s="289">
        <f>IF(K50&gt;1,('Тарифы ВБ'!$B$9+(K50-1)*'Тарифы ВБ'!$B$10)*'Тарифы ВБ'!$B$15*'Тарифы ВБ'!$B$12+S50*'Тарифы ВБ'!$B$13,'Тарифы ВБ'!$B$8*'Тарифы ВБ'!$B$15*'Тарифы ВБ'!$B$12+S50*'Тарифы ВБ'!$B$13)</f>
        <v>67.84</v>
      </c>
      <c r="Y50" s="289">
        <f>IF(K50&gt;1,'Тарифы ВБ'!$B$9+(K50-1)*'Тарифы ВБ'!$B$10,'Тарифы ВБ'!$B$8)</f>
        <v>32</v>
      </c>
      <c r="Z50" s="289">
        <f t="shared" si="42"/>
        <v>99.84</v>
      </c>
      <c r="AA50" s="236">
        <f t="shared" si="43"/>
        <v>0</v>
      </c>
      <c r="AB50" s="237">
        <f>IF(K50&gt;1,'Тарифы ВБ'!$B$14*'Тарифы ВБ'!$B$16*'Тарифы ВБ'!$B$15+(K50-1)*'Тарифы ВБ'!$B$14,'Тарифы ВБ'!$B$14*'Тарифы ВБ'!B$16*'Тарифы ВБ'!$B$15)</f>
        <v>32</v>
      </c>
      <c r="AC50" s="287">
        <f t="shared" si="62"/>
        <v>131.84</v>
      </c>
      <c r="AD50" s="240" t="e">
        <f t="shared" si="63"/>
        <v>#DIV/0!</v>
      </c>
      <c r="AE50" s="241">
        <v>0.27500000000000002</v>
      </c>
      <c r="AF50" s="289">
        <f t="shared" si="64"/>
        <v>0</v>
      </c>
      <c r="AG50" s="364">
        <f t="shared" si="65"/>
        <v>0</v>
      </c>
      <c r="AH50" s="364">
        <f t="shared" si="66"/>
        <v>0</v>
      </c>
      <c r="AI50" s="149">
        <f t="shared" si="67"/>
        <v>153.84</v>
      </c>
      <c r="AJ50" s="447">
        <f t="shared" si="68"/>
        <v>0</v>
      </c>
      <c r="AK50" s="450">
        <f t="shared" si="69"/>
        <v>-153.84</v>
      </c>
      <c r="AL50" s="450">
        <f t="shared" si="70"/>
        <v>-153.84</v>
      </c>
      <c r="AM50" s="447" t="e">
        <f t="shared" si="71"/>
        <v>#DIV/0!</v>
      </c>
      <c r="AN50" s="458">
        <v>0</v>
      </c>
      <c r="AO50" s="459">
        <f t="shared" si="72"/>
        <v>-153.84</v>
      </c>
      <c r="AP50" s="459">
        <f t="shared" si="73"/>
        <v>-153.84</v>
      </c>
      <c r="AQ50" s="463" t="e">
        <f t="shared" si="74"/>
        <v>#DIV/0!</v>
      </c>
      <c r="AR50" s="464" t="e">
        <f t="shared" si="75"/>
        <v>#DIV/0!</v>
      </c>
      <c r="AS50" s="487">
        <f>IFERROR(_xlfn.XLOOKUP(A50,'[2]Рассчет акции'!$A:$A,'[2]Рассчет акции'!$BH:$BH),0)</f>
        <v>0</v>
      </c>
      <c r="AT50" s="487">
        <f>IFERROR(_xlfn.XLOOKUP($A50,'[2]Рассчет акции'!$A:$A,'[2]Рассчет акции'!$BC:$BC),0)</f>
        <v>0</v>
      </c>
      <c r="AU50" s="409">
        <f t="shared" si="76"/>
        <v>0</v>
      </c>
      <c r="AV50" s="407">
        <f t="shared" si="77"/>
        <v>-153.84</v>
      </c>
      <c r="AW50" s="407">
        <f t="shared" si="78"/>
        <v>-153.84</v>
      </c>
      <c r="AX50" s="409" t="e">
        <f t="shared" si="79"/>
        <v>#DIV/0!</v>
      </c>
      <c r="AY50" s="293" t="str">
        <f>IFERROR(_xlfn.XLOOKUP(E50,'[2]Рассчет акции'!$D:$D,'[2]Рассчет акции'!$BM:$BM),0)</f>
        <v/>
      </c>
      <c r="AZ50" s="203" t="str">
        <f>IFERROR(_xlfn.XLOOKUP(E50,'[2]Рассчет акции'!$D:$D,'[2]Рассчет акции'!$BN:$BN),0)</f>
        <v/>
      </c>
      <c r="BA50" s="294" t="e">
        <f t="shared" si="80"/>
        <v>#DIV/0!</v>
      </c>
      <c r="BB50" s="292"/>
      <c r="BC50" s="497" t="e">
        <f xml:space="preserve"> _xlfn.XLOOKUP(B50,#REF!,#REF!,0)</f>
        <v>#REF!</v>
      </c>
      <c r="BD50" s="500" t="e">
        <f t="shared" si="99"/>
        <v>#REF!</v>
      </c>
      <c r="BE50" s="501">
        <v>0.35</v>
      </c>
      <c r="BF50" s="191" t="e">
        <f t="shared" si="44"/>
        <v>#REF!</v>
      </c>
      <c r="BG50" s="192">
        <f t="shared" si="100"/>
        <v>0</v>
      </c>
      <c r="BH50" s="193">
        <v>0.37</v>
      </c>
      <c r="BI50" s="194" t="e">
        <f t="shared" si="101"/>
        <v>#REF!</v>
      </c>
      <c r="BJ50" s="195" t="e">
        <f t="shared" si="102"/>
        <v>#REF!</v>
      </c>
      <c r="BK50" s="422">
        <f t="shared" si="83"/>
        <v>0</v>
      </c>
      <c r="BL50" s="196">
        <f>(IF(K50&gt;$BL$3,('Тарифы ОЗОН'!$G$3+ROUNDUP(K50-$BL$3,0)*'Тарифы ОЗОН'!$G$4),'Тарифы ОЗОН'!$G$3))</f>
        <v>46.77</v>
      </c>
      <c r="BM50" s="196">
        <f t="shared" si="84"/>
        <v>35</v>
      </c>
      <c r="BN50" s="197">
        <f>_xlfn.XLOOKUP(BM50,'Тарифы ОЗОН'!$A:$A,'Тарифы ОЗОН'!$B:$B)</f>
        <v>1.32</v>
      </c>
      <c r="BO50" s="198">
        <f>_xlfn.XLOOKUP(BM50,'Тарифы ОЗОН'!$A:$A,'Тарифы ОЗОН'!C:C)</f>
        <v>1.6E-2</v>
      </c>
      <c r="BP50" s="199">
        <f t="shared" si="85"/>
        <v>25</v>
      </c>
      <c r="BQ50" s="199" t="e">
        <f t="shared" si="103"/>
        <v>#REF!</v>
      </c>
      <c r="BR50" s="359">
        <f t="shared" si="47"/>
        <v>0.85</v>
      </c>
      <c r="BS50" s="199" t="e">
        <f t="shared" si="104"/>
        <v>#REF!</v>
      </c>
      <c r="BT50" s="200">
        <f t="shared" si="105"/>
        <v>0</v>
      </c>
      <c r="BU50" s="262" t="e">
        <f t="shared" si="106"/>
        <v>#REF!</v>
      </c>
      <c r="BV50" s="149" t="e">
        <f t="shared" si="87"/>
        <v>#REF!</v>
      </c>
      <c r="BW50" s="291">
        <f t="shared" si="108"/>
        <v>0</v>
      </c>
      <c r="BX50" s="201">
        <f t="shared" si="109"/>
        <v>0</v>
      </c>
      <c r="BY50" s="201" t="e">
        <f t="shared" si="110"/>
        <v>#REF!</v>
      </c>
      <c r="BZ50" s="202">
        <f t="shared" si="111"/>
        <v>0</v>
      </c>
      <c r="CA50" s="425">
        <v>0</v>
      </c>
      <c r="CB50" s="426" t="e">
        <f t="shared" si="49"/>
        <v>#REF!</v>
      </c>
      <c r="CC50" s="427" t="e">
        <f t="shared" si="53"/>
        <v>#REF!</v>
      </c>
      <c r="CD50" s="429" t="e">
        <f t="shared" si="91"/>
        <v>#REF!</v>
      </c>
      <c r="CE50" s="429">
        <f t="shared" si="107"/>
        <v>0</v>
      </c>
      <c r="CF50" s="277">
        <f>_xlfn.XLOOKUP(B50,'[1]Рассчет акции'!$A:$A,'[1]Рассчет акции'!$R:$R,0)</f>
        <v>0</v>
      </c>
      <c r="CG50" s="360">
        <f>_xlfn.XLOOKUP(B50,'[1]Рассчет акции'!$A:$A,'[1]Рассчет акции'!$M:$M,0)</f>
        <v>0</v>
      </c>
      <c r="CH50" s="291">
        <f t="shared" si="92"/>
        <v>0</v>
      </c>
      <c r="CI50" s="290" t="e">
        <f t="shared" si="55"/>
        <v>#REF!</v>
      </c>
      <c r="CJ50" s="290" t="e">
        <f t="shared" si="56"/>
        <v>#REF!</v>
      </c>
      <c r="CK50" s="291" t="e">
        <f t="shared" si="93"/>
        <v>#REF!</v>
      </c>
      <c r="CL50" s="203">
        <f>_xlfn.XLOOKUP(B50,'[1]Рассчет акции'!$A:$A,'[1]Рассчет акции'!$W:$W,0)</f>
        <v>0</v>
      </c>
      <c r="CM50" s="424">
        <f>_xlfn.XLOOKUP(B50,'[1]Рассчет акции'!$A:$A,'[1]Рассчет акции'!$X:$X,0)</f>
        <v>0</v>
      </c>
      <c r="CN50" s="294" t="e">
        <f t="shared" si="94"/>
        <v>#REF!</v>
      </c>
      <c r="CO50" s="433">
        <f t="shared" si="51"/>
        <v>0</v>
      </c>
      <c r="CP50" s="507">
        <f>_xlfn.XLOOKUP(B50,'[1]Рассчет акции'!$A:$A,'[1]Рассчет акции'!$Z:$Z,0)</f>
        <v>0</v>
      </c>
    </row>
    <row r="51" spans="1:94" ht="25.5" customHeight="1" x14ac:dyDescent="0.25">
      <c r="A51" s="386">
        <v>550445274</v>
      </c>
      <c r="B51" s="387"/>
      <c r="C51" s="386" t="s">
        <v>976</v>
      </c>
      <c r="D51" s="435" t="s">
        <v>1061</v>
      </c>
      <c r="E51" s="387">
        <v>2046391283385</v>
      </c>
      <c r="F51" s="284">
        <f t="shared" si="95"/>
        <v>22</v>
      </c>
      <c r="G51" s="147">
        <f t="shared" si="96"/>
        <v>0</v>
      </c>
      <c r="H51" s="439"/>
      <c r="I51" s="268">
        <f>_xlfn.XLOOKUP(E51,[3]ТЗ_ФФ!$D:$D,[3]ТЗ_ФФ!$BG:$BG,0)</f>
        <v>14</v>
      </c>
      <c r="J51" s="269">
        <f t="shared" si="59"/>
        <v>8</v>
      </c>
      <c r="K51" s="273">
        <f t="shared" si="60"/>
        <v>0.34300000000000003</v>
      </c>
      <c r="L51" s="146">
        <v>7</v>
      </c>
      <c r="M51" s="146">
        <v>7</v>
      </c>
      <c r="N51" s="146">
        <v>7</v>
      </c>
      <c r="O51" s="150">
        <f>_xlfn.XLOOKUP($C51,'Юнит Карго'!$A:$A,'Юнит Карго'!$T:$T,0,0)</f>
        <v>0.04</v>
      </c>
      <c r="P51" s="127"/>
      <c r="Q51" s="146"/>
      <c r="R51" s="292"/>
      <c r="S51" s="285">
        <f t="shared" si="4"/>
        <v>0</v>
      </c>
      <c r="T51" s="407"/>
      <c r="U51" s="417">
        <f>_xlfn.XLOOKUP(E51,'[2]Рассчет акции'!$D:$D,'[2]Рассчет акции'!$F:$F,0)</f>
        <v>0.3</v>
      </c>
      <c r="V51" s="235">
        <f t="shared" si="97"/>
        <v>131.84</v>
      </c>
      <c r="W51" s="288">
        <f t="shared" si="98"/>
        <v>0</v>
      </c>
      <c r="X51" s="289">
        <f>IF(K51&gt;1,('Тарифы ВБ'!$B$9+(K51-1)*'Тарифы ВБ'!$B$10)*'Тарифы ВБ'!$B$15*'Тарифы ВБ'!$B$12+S51*'Тарифы ВБ'!$B$13,'Тарифы ВБ'!$B$8*'Тарифы ВБ'!$B$15*'Тарифы ВБ'!$B$12+S51*'Тарифы ВБ'!$B$13)</f>
        <v>67.84</v>
      </c>
      <c r="Y51" s="289">
        <f>IF(K51&gt;1,'Тарифы ВБ'!$B$9+(K51-1)*'Тарифы ВБ'!$B$10,'Тарифы ВБ'!$B$8)</f>
        <v>32</v>
      </c>
      <c r="Z51" s="289">
        <f t="shared" si="42"/>
        <v>99.84</v>
      </c>
      <c r="AA51" s="236">
        <f t="shared" si="43"/>
        <v>0</v>
      </c>
      <c r="AB51" s="237">
        <f>IF(K51&gt;1,'Тарифы ВБ'!$B$14*'Тарифы ВБ'!$B$16*'Тарифы ВБ'!$B$15+(K51-1)*'Тарифы ВБ'!$B$14,'Тарифы ВБ'!$B$14*'Тарифы ВБ'!B$16*'Тарифы ВБ'!$B$15)</f>
        <v>32</v>
      </c>
      <c r="AC51" s="287">
        <f t="shared" si="62"/>
        <v>131.84</v>
      </c>
      <c r="AD51" s="240" t="e">
        <f t="shared" si="63"/>
        <v>#DIV/0!</v>
      </c>
      <c r="AE51" s="241">
        <v>0.27500000000000002</v>
      </c>
      <c r="AF51" s="289">
        <f t="shared" si="64"/>
        <v>0</v>
      </c>
      <c r="AG51" s="364">
        <f t="shared" si="65"/>
        <v>0</v>
      </c>
      <c r="AH51" s="364">
        <f t="shared" si="66"/>
        <v>0</v>
      </c>
      <c r="AI51" s="149">
        <f t="shared" si="67"/>
        <v>153.84</v>
      </c>
      <c r="AJ51" s="447">
        <f t="shared" si="68"/>
        <v>0</v>
      </c>
      <c r="AK51" s="450">
        <f t="shared" si="69"/>
        <v>-153.84</v>
      </c>
      <c r="AL51" s="450">
        <f t="shared" si="70"/>
        <v>-153.84</v>
      </c>
      <c r="AM51" s="447" t="e">
        <f t="shared" si="71"/>
        <v>#DIV/0!</v>
      </c>
      <c r="AN51" s="458">
        <v>0</v>
      </c>
      <c r="AO51" s="459">
        <f t="shared" si="72"/>
        <v>-153.84</v>
      </c>
      <c r="AP51" s="459">
        <f t="shared" si="73"/>
        <v>-153.84</v>
      </c>
      <c r="AQ51" s="463" t="e">
        <f t="shared" si="74"/>
        <v>#DIV/0!</v>
      </c>
      <c r="AR51" s="464" t="e">
        <f t="shared" si="75"/>
        <v>#DIV/0!</v>
      </c>
      <c r="AS51" s="487">
        <f>IFERROR(_xlfn.XLOOKUP(A51,'[2]Рассчет акции'!$A:$A,'[2]Рассчет акции'!$BH:$BH),0)</f>
        <v>0</v>
      </c>
      <c r="AT51" s="487">
        <f>IFERROR(_xlfn.XLOOKUP($A51,'[2]Рассчет акции'!$A:$A,'[2]Рассчет акции'!$BC:$BC),0)</f>
        <v>0</v>
      </c>
      <c r="AU51" s="409">
        <f t="shared" si="76"/>
        <v>0</v>
      </c>
      <c r="AV51" s="407">
        <f t="shared" si="77"/>
        <v>-153.84</v>
      </c>
      <c r="AW51" s="407">
        <f t="shared" si="78"/>
        <v>-153.84</v>
      </c>
      <c r="AX51" s="409" t="e">
        <f t="shared" si="79"/>
        <v>#DIV/0!</v>
      </c>
      <c r="AY51" s="293" t="str">
        <f>IFERROR(_xlfn.XLOOKUP(E51,'[2]Рассчет акции'!$D:$D,'[2]Рассчет акции'!$BM:$BM),0)</f>
        <v/>
      </c>
      <c r="AZ51" s="203" t="str">
        <f>IFERROR(_xlfn.XLOOKUP(E51,'[2]Рассчет акции'!$D:$D,'[2]Рассчет акции'!$BN:$BN),0)</f>
        <v/>
      </c>
      <c r="BA51" s="294" t="e">
        <f t="shared" si="80"/>
        <v>#DIV/0!</v>
      </c>
      <c r="BB51" s="292"/>
      <c r="BC51" s="497" t="e">
        <f xml:space="preserve"> _xlfn.XLOOKUP(B51,#REF!,#REF!,0)</f>
        <v>#REF!</v>
      </c>
      <c r="BD51" s="500" t="e">
        <f t="shared" si="99"/>
        <v>#REF!</v>
      </c>
      <c r="BE51" s="501">
        <v>0.35</v>
      </c>
      <c r="BF51" s="191" t="e">
        <f t="shared" si="44"/>
        <v>#REF!</v>
      </c>
      <c r="BG51" s="192">
        <f t="shared" si="100"/>
        <v>0</v>
      </c>
      <c r="BH51" s="193">
        <v>0.37</v>
      </c>
      <c r="BI51" s="194" t="e">
        <f t="shared" si="101"/>
        <v>#REF!</v>
      </c>
      <c r="BJ51" s="195" t="e">
        <f t="shared" si="102"/>
        <v>#REF!</v>
      </c>
      <c r="BK51" s="422">
        <f t="shared" si="83"/>
        <v>0</v>
      </c>
      <c r="BL51" s="196">
        <f>(IF(K51&gt;$BL$3,('Тарифы ОЗОН'!$G$3+ROUNDUP(K51-$BL$3,0)*'Тарифы ОЗОН'!$G$4),'Тарифы ОЗОН'!$G$3))</f>
        <v>46.77</v>
      </c>
      <c r="BM51" s="196">
        <f t="shared" si="84"/>
        <v>35</v>
      </c>
      <c r="BN51" s="197">
        <f>_xlfn.XLOOKUP(BM51,'Тарифы ОЗОН'!$A:$A,'Тарифы ОЗОН'!$B:$B)</f>
        <v>1.32</v>
      </c>
      <c r="BO51" s="198">
        <f>_xlfn.XLOOKUP(BM51,'Тарифы ОЗОН'!$A:$A,'Тарифы ОЗОН'!C:C)</f>
        <v>1.6E-2</v>
      </c>
      <c r="BP51" s="199">
        <f t="shared" si="85"/>
        <v>25</v>
      </c>
      <c r="BQ51" s="199" t="e">
        <f t="shared" si="103"/>
        <v>#REF!</v>
      </c>
      <c r="BR51" s="359">
        <f t="shared" si="47"/>
        <v>0.85</v>
      </c>
      <c r="BS51" s="199" t="e">
        <f t="shared" si="104"/>
        <v>#REF!</v>
      </c>
      <c r="BT51" s="200">
        <f t="shared" si="105"/>
        <v>0</v>
      </c>
      <c r="BU51" s="262" t="e">
        <f t="shared" si="106"/>
        <v>#REF!</v>
      </c>
      <c r="BV51" s="149" t="e">
        <f t="shared" si="87"/>
        <v>#REF!</v>
      </c>
      <c r="BW51" s="291">
        <f t="shared" si="108"/>
        <v>0</v>
      </c>
      <c r="BX51" s="201">
        <f t="shared" si="109"/>
        <v>0</v>
      </c>
      <c r="BY51" s="201" t="e">
        <f t="shared" si="110"/>
        <v>#REF!</v>
      </c>
      <c r="BZ51" s="202">
        <f t="shared" si="111"/>
        <v>0</v>
      </c>
      <c r="CA51" s="425">
        <v>0</v>
      </c>
      <c r="CB51" s="426" t="e">
        <f t="shared" si="49"/>
        <v>#REF!</v>
      </c>
      <c r="CC51" s="427" t="e">
        <f t="shared" si="53"/>
        <v>#REF!</v>
      </c>
      <c r="CD51" s="429" t="e">
        <f t="shared" si="91"/>
        <v>#REF!</v>
      </c>
      <c r="CE51" s="429">
        <f t="shared" si="107"/>
        <v>0</v>
      </c>
      <c r="CF51" s="277">
        <f>_xlfn.XLOOKUP(B51,'[1]Рассчет акции'!$A:$A,'[1]Рассчет акции'!$R:$R,0)</f>
        <v>0</v>
      </c>
      <c r="CG51" s="360">
        <f>_xlfn.XLOOKUP(B51,'[1]Рассчет акции'!$A:$A,'[1]Рассчет акции'!$M:$M,0)</f>
        <v>0</v>
      </c>
      <c r="CH51" s="291">
        <f t="shared" si="92"/>
        <v>0</v>
      </c>
      <c r="CI51" s="290" t="e">
        <f t="shared" si="55"/>
        <v>#REF!</v>
      </c>
      <c r="CJ51" s="290" t="e">
        <f t="shared" si="56"/>
        <v>#REF!</v>
      </c>
      <c r="CK51" s="291" t="e">
        <f t="shared" si="93"/>
        <v>#REF!</v>
      </c>
      <c r="CL51" s="203">
        <f>_xlfn.XLOOKUP(B51,'[1]Рассчет акции'!$A:$A,'[1]Рассчет акции'!$W:$W,0)</f>
        <v>0</v>
      </c>
      <c r="CM51" s="424">
        <f>_xlfn.XLOOKUP(B51,'[1]Рассчет акции'!$A:$A,'[1]Рассчет акции'!$X:$X,0)</f>
        <v>0</v>
      </c>
      <c r="CN51" s="294" t="e">
        <f t="shared" si="94"/>
        <v>#REF!</v>
      </c>
      <c r="CO51" s="433">
        <f t="shared" si="51"/>
        <v>0</v>
      </c>
      <c r="CP51" s="507">
        <f>_xlfn.XLOOKUP(B51,'[1]Рассчет акции'!$A:$A,'[1]Рассчет акции'!$Z:$Z,0)</f>
        <v>0</v>
      </c>
    </row>
    <row r="52" spans="1:94" ht="25.5" customHeight="1" x14ac:dyDescent="0.25">
      <c r="A52" s="386">
        <v>550445275</v>
      </c>
      <c r="B52" s="387"/>
      <c r="C52" s="386" t="s">
        <v>977</v>
      </c>
      <c r="D52" s="387" t="s">
        <v>1054</v>
      </c>
      <c r="E52" s="387">
        <v>2046391283415</v>
      </c>
      <c r="F52" s="284">
        <f t="shared" si="95"/>
        <v>22</v>
      </c>
      <c r="G52" s="147">
        <f t="shared" si="96"/>
        <v>0</v>
      </c>
      <c r="H52" s="439"/>
      <c r="I52" s="268">
        <f>_xlfn.XLOOKUP(E52,[3]ТЗ_ФФ!$D:$D,[3]ТЗ_ФФ!$BG:$BG,0)</f>
        <v>14</v>
      </c>
      <c r="J52" s="269">
        <f t="shared" si="59"/>
        <v>8</v>
      </c>
      <c r="K52" s="273">
        <f t="shared" si="60"/>
        <v>0.34300000000000003</v>
      </c>
      <c r="L52" s="146">
        <v>7</v>
      </c>
      <c r="M52" s="146">
        <v>7</v>
      </c>
      <c r="N52" s="146">
        <v>7</v>
      </c>
      <c r="O52" s="150">
        <f>_xlfn.XLOOKUP($C52,'Юнит Карго'!$A:$A,'Юнит Карго'!$T:$T,0,0)</f>
        <v>0.04</v>
      </c>
      <c r="P52" s="127"/>
      <c r="Q52" s="146"/>
      <c r="R52" s="292"/>
      <c r="S52" s="285">
        <f t="shared" si="4"/>
        <v>0</v>
      </c>
      <c r="T52" s="407"/>
      <c r="U52" s="417">
        <f>_xlfn.XLOOKUP(E52,'[2]Рассчет акции'!$D:$D,'[2]Рассчет акции'!$F:$F,0)</f>
        <v>0.3</v>
      </c>
      <c r="V52" s="235">
        <f t="shared" si="97"/>
        <v>131.84</v>
      </c>
      <c r="W52" s="288">
        <f t="shared" si="98"/>
        <v>0</v>
      </c>
      <c r="X52" s="289">
        <f>IF(K52&gt;1,('Тарифы ВБ'!$B$9+(K52-1)*'Тарифы ВБ'!$B$10)*'Тарифы ВБ'!$B$15*'Тарифы ВБ'!$B$12+S52*'Тарифы ВБ'!$B$13,'Тарифы ВБ'!$B$8*'Тарифы ВБ'!$B$15*'Тарифы ВБ'!$B$12+S52*'Тарифы ВБ'!$B$13)</f>
        <v>67.84</v>
      </c>
      <c r="Y52" s="289">
        <f>IF(K52&gt;1,'Тарифы ВБ'!$B$9+(K52-1)*'Тарифы ВБ'!$B$10,'Тарифы ВБ'!$B$8)</f>
        <v>32</v>
      </c>
      <c r="Z52" s="289">
        <f t="shared" si="42"/>
        <v>99.84</v>
      </c>
      <c r="AA52" s="236">
        <f t="shared" si="43"/>
        <v>0</v>
      </c>
      <c r="AB52" s="237">
        <f>IF(K52&gt;1,'Тарифы ВБ'!$B$14*'Тарифы ВБ'!$B$16*'Тарифы ВБ'!$B$15+(K52-1)*'Тарифы ВБ'!$B$14,'Тарифы ВБ'!$B$14*'Тарифы ВБ'!B$16*'Тарифы ВБ'!$B$15)</f>
        <v>32</v>
      </c>
      <c r="AC52" s="287">
        <f t="shared" si="62"/>
        <v>131.84</v>
      </c>
      <c r="AD52" s="240" t="e">
        <f t="shared" si="63"/>
        <v>#DIV/0!</v>
      </c>
      <c r="AE52" s="241">
        <v>0.27500000000000002</v>
      </c>
      <c r="AF52" s="289">
        <f t="shared" si="64"/>
        <v>0</v>
      </c>
      <c r="AG52" s="364">
        <f t="shared" si="65"/>
        <v>0</v>
      </c>
      <c r="AH52" s="364">
        <f t="shared" si="66"/>
        <v>0</v>
      </c>
      <c r="AI52" s="149">
        <f t="shared" si="67"/>
        <v>153.84</v>
      </c>
      <c r="AJ52" s="447">
        <f t="shared" si="68"/>
        <v>0</v>
      </c>
      <c r="AK52" s="450">
        <f t="shared" si="69"/>
        <v>-153.84</v>
      </c>
      <c r="AL52" s="450">
        <f t="shared" si="70"/>
        <v>-153.84</v>
      </c>
      <c r="AM52" s="447" t="e">
        <f t="shared" si="71"/>
        <v>#DIV/0!</v>
      </c>
      <c r="AN52" s="458">
        <v>0</v>
      </c>
      <c r="AO52" s="459">
        <f t="shared" si="72"/>
        <v>-153.84</v>
      </c>
      <c r="AP52" s="459">
        <f t="shared" si="73"/>
        <v>-153.84</v>
      </c>
      <c r="AQ52" s="463" t="e">
        <f t="shared" si="74"/>
        <v>#DIV/0!</v>
      </c>
      <c r="AR52" s="464" t="e">
        <f t="shared" si="75"/>
        <v>#DIV/0!</v>
      </c>
      <c r="AS52" s="487">
        <f>IFERROR(_xlfn.XLOOKUP(A52,'[2]Рассчет акции'!$A:$A,'[2]Рассчет акции'!$BH:$BH),0)</f>
        <v>0</v>
      </c>
      <c r="AT52" s="487">
        <f>IFERROR(_xlfn.XLOOKUP($A52,'[2]Рассчет акции'!$A:$A,'[2]Рассчет акции'!$BC:$BC),0)</f>
        <v>0</v>
      </c>
      <c r="AU52" s="409">
        <f t="shared" si="76"/>
        <v>0</v>
      </c>
      <c r="AV52" s="407">
        <f t="shared" si="77"/>
        <v>-153.84</v>
      </c>
      <c r="AW52" s="407">
        <f t="shared" si="78"/>
        <v>-153.84</v>
      </c>
      <c r="AX52" s="409" t="e">
        <f t="shared" si="79"/>
        <v>#DIV/0!</v>
      </c>
      <c r="AY52" s="293" t="str">
        <f>IFERROR(_xlfn.XLOOKUP(E52,'[2]Рассчет акции'!$D:$D,'[2]Рассчет акции'!$BM:$BM),0)</f>
        <v/>
      </c>
      <c r="AZ52" s="203" t="str">
        <f>IFERROR(_xlfn.XLOOKUP(E52,'[2]Рассчет акции'!$D:$D,'[2]Рассчет акции'!$BN:$BN),0)</f>
        <v/>
      </c>
      <c r="BA52" s="294" t="e">
        <f t="shared" si="80"/>
        <v>#DIV/0!</v>
      </c>
      <c r="BB52" s="292"/>
      <c r="BC52" s="497" t="e">
        <f xml:space="preserve"> _xlfn.XLOOKUP(B52,#REF!,#REF!,0)</f>
        <v>#REF!</v>
      </c>
      <c r="BD52" s="500" t="e">
        <f t="shared" si="99"/>
        <v>#REF!</v>
      </c>
      <c r="BE52" s="501">
        <v>0.35</v>
      </c>
      <c r="BF52" s="191" t="e">
        <f t="shared" si="44"/>
        <v>#REF!</v>
      </c>
      <c r="BG52" s="192">
        <f t="shared" si="100"/>
        <v>0</v>
      </c>
      <c r="BH52" s="193">
        <v>0.37</v>
      </c>
      <c r="BI52" s="194" t="e">
        <f t="shared" si="101"/>
        <v>#REF!</v>
      </c>
      <c r="BJ52" s="195" t="e">
        <f t="shared" si="102"/>
        <v>#REF!</v>
      </c>
      <c r="BK52" s="422">
        <f t="shared" si="83"/>
        <v>0</v>
      </c>
      <c r="BL52" s="196">
        <f>(IF(K52&gt;$BL$3,('Тарифы ОЗОН'!$G$3+ROUNDUP(K52-$BL$3,0)*'Тарифы ОЗОН'!$G$4),'Тарифы ОЗОН'!$G$3))</f>
        <v>46.77</v>
      </c>
      <c r="BM52" s="196">
        <f t="shared" si="84"/>
        <v>35</v>
      </c>
      <c r="BN52" s="197">
        <f>_xlfn.XLOOKUP(BM52,'Тарифы ОЗОН'!$A:$A,'Тарифы ОЗОН'!$B:$B)</f>
        <v>1.32</v>
      </c>
      <c r="BO52" s="198">
        <f>_xlfn.XLOOKUP(BM52,'Тарифы ОЗОН'!$A:$A,'Тарифы ОЗОН'!C:C)</f>
        <v>1.6E-2</v>
      </c>
      <c r="BP52" s="199">
        <f t="shared" si="85"/>
        <v>25</v>
      </c>
      <c r="BQ52" s="199" t="e">
        <f t="shared" si="103"/>
        <v>#REF!</v>
      </c>
      <c r="BR52" s="359">
        <f t="shared" si="47"/>
        <v>0.85</v>
      </c>
      <c r="BS52" s="199" t="e">
        <f t="shared" si="104"/>
        <v>#REF!</v>
      </c>
      <c r="BT52" s="200">
        <f t="shared" si="105"/>
        <v>0</v>
      </c>
      <c r="BU52" s="262" t="e">
        <f t="shared" si="106"/>
        <v>#REF!</v>
      </c>
      <c r="BV52" s="149" t="e">
        <f t="shared" si="87"/>
        <v>#REF!</v>
      </c>
      <c r="BW52" s="291">
        <f t="shared" si="108"/>
        <v>0</v>
      </c>
      <c r="BX52" s="201">
        <f t="shared" si="109"/>
        <v>0</v>
      </c>
      <c r="BY52" s="201" t="e">
        <f t="shared" si="110"/>
        <v>#REF!</v>
      </c>
      <c r="BZ52" s="202">
        <f t="shared" si="111"/>
        <v>0</v>
      </c>
      <c r="CA52" s="425">
        <v>0</v>
      </c>
      <c r="CB52" s="426" t="e">
        <f t="shared" si="49"/>
        <v>#REF!</v>
      </c>
      <c r="CC52" s="427" t="e">
        <f t="shared" si="53"/>
        <v>#REF!</v>
      </c>
      <c r="CD52" s="429" t="e">
        <f t="shared" si="91"/>
        <v>#REF!</v>
      </c>
      <c r="CE52" s="429">
        <f t="shared" si="107"/>
        <v>0</v>
      </c>
      <c r="CF52" s="277">
        <f>_xlfn.XLOOKUP(B52,'[1]Рассчет акции'!$A:$A,'[1]Рассчет акции'!$R:$R,0)</f>
        <v>0</v>
      </c>
      <c r="CG52" s="360">
        <f>_xlfn.XLOOKUP(B52,'[1]Рассчет акции'!$A:$A,'[1]Рассчет акции'!$M:$M,0)</f>
        <v>0</v>
      </c>
      <c r="CH52" s="291">
        <f t="shared" si="92"/>
        <v>0</v>
      </c>
      <c r="CI52" s="290" t="e">
        <f t="shared" si="55"/>
        <v>#REF!</v>
      </c>
      <c r="CJ52" s="290" t="e">
        <f t="shared" si="56"/>
        <v>#REF!</v>
      </c>
      <c r="CK52" s="291" t="e">
        <f t="shared" si="93"/>
        <v>#REF!</v>
      </c>
      <c r="CL52" s="203">
        <f>_xlfn.XLOOKUP(B52,'[1]Рассчет акции'!$A:$A,'[1]Рассчет акции'!$W:$W,0)</f>
        <v>0</v>
      </c>
      <c r="CM52" s="424">
        <f>_xlfn.XLOOKUP(B52,'[1]Рассчет акции'!$A:$A,'[1]Рассчет акции'!$X:$X,0)</f>
        <v>0</v>
      </c>
      <c r="CN52" s="294" t="e">
        <f t="shared" si="94"/>
        <v>#REF!</v>
      </c>
      <c r="CO52" s="433">
        <f t="shared" si="51"/>
        <v>0</v>
      </c>
      <c r="CP52" s="507">
        <f>_xlfn.XLOOKUP(B52,'[1]Рассчет акции'!$A:$A,'[1]Рассчет акции'!$Z:$Z,0)</f>
        <v>0</v>
      </c>
    </row>
    <row r="53" spans="1:94" ht="25.5" customHeight="1" x14ac:dyDescent="0.25">
      <c r="A53" s="386">
        <v>550445277</v>
      </c>
      <c r="B53" s="387"/>
      <c r="C53" s="386" t="s">
        <v>978</v>
      </c>
      <c r="D53" s="387" t="s">
        <v>1055</v>
      </c>
      <c r="E53" s="387">
        <v>2046391283446</v>
      </c>
      <c r="F53" s="284">
        <f t="shared" si="95"/>
        <v>22</v>
      </c>
      <c r="G53" s="147">
        <f t="shared" si="96"/>
        <v>0</v>
      </c>
      <c r="H53" s="439"/>
      <c r="I53" s="268">
        <f>_xlfn.XLOOKUP(E53,[3]ТЗ_ФФ!$D:$D,[3]ТЗ_ФФ!$BG:$BG,0)</f>
        <v>14</v>
      </c>
      <c r="J53" s="269">
        <f t="shared" si="59"/>
        <v>8</v>
      </c>
      <c r="K53" s="273">
        <f t="shared" si="60"/>
        <v>0.34300000000000003</v>
      </c>
      <c r="L53" s="146">
        <v>7</v>
      </c>
      <c r="M53" s="146">
        <v>7</v>
      </c>
      <c r="N53" s="146">
        <v>7</v>
      </c>
      <c r="O53" s="150">
        <f>_xlfn.XLOOKUP($C53,'Юнит Карго'!$A:$A,'Юнит Карго'!$T:$T,0,0)</f>
        <v>0.04</v>
      </c>
      <c r="P53" s="127"/>
      <c r="Q53" s="146"/>
      <c r="R53" s="292"/>
      <c r="S53" s="285">
        <f t="shared" si="4"/>
        <v>0</v>
      </c>
      <c r="T53" s="407"/>
      <c r="U53" s="417">
        <f>_xlfn.XLOOKUP(E53,'[2]Рассчет акции'!$D:$D,'[2]Рассчет акции'!$F:$F,0)</f>
        <v>0.3</v>
      </c>
      <c r="V53" s="235">
        <f t="shared" si="97"/>
        <v>131.84</v>
      </c>
      <c r="W53" s="288">
        <f t="shared" si="98"/>
        <v>0</v>
      </c>
      <c r="X53" s="289">
        <f>IF(K53&gt;1,('Тарифы ВБ'!$B$9+(K53-1)*'Тарифы ВБ'!$B$10)*'Тарифы ВБ'!$B$15*'Тарифы ВБ'!$B$12+S53*'Тарифы ВБ'!$B$13,'Тарифы ВБ'!$B$8*'Тарифы ВБ'!$B$15*'Тарифы ВБ'!$B$12+S53*'Тарифы ВБ'!$B$13)</f>
        <v>67.84</v>
      </c>
      <c r="Y53" s="289">
        <f>IF(K53&gt;1,'Тарифы ВБ'!$B$9+(K53-1)*'Тарифы ВБ'!$B$10,'Тарифы ВБ'!$B$8)</f>
        <v>32</v>
      </c>
      <c r="Z53" s="289">
        <f t="shared" si="42"/>
        <v>99.84</v>
      </c>
      <c r="AA53" s="236">
        <f t="shared" si="43"/>
        <v>0</v>
      </c>
      <c r="AB53" s="237">
        <f>IF(K53&gt;1,'Тарифы ВБ'!$B$14*'Тарифы ВБ'!$B$16*'Тарифы ВБ'!$B$15+(K53-1)*'Тарифы ВБ'!$B$14,'Тарифы ВБ'!$B$14*'Тарифы ВБ'!B$16*'Тарифы ВБ'!$B$15)</f>
        <v>32</v>
      </c>
      <c r="AC53" s="287">
        <f t="shared" si="62"/>
        <v>131.84</v>
      </c>
      <c r="AD53" s="240" t="e">
        <f t="shared" si="63"/>
        <v>#DIV/0!</v>
      </c>
      <c r="AE53" s="241">
        <v>0.27500000000000002</v>
      </c>
      <c r="AF53" s="289">
        <f t="shared" si="64"/>
        <v>0</v>
      </c>
      <c r="AG53" s="364">
        <f t="shared" si="65"/>
        <v>0</v>
      </c>
      <c r="AH53" s="364">
        <f t="shared" si="66"/>
        <v>0</v>
      </c>
      <c r="AI53" s="149">
        <f t="shared" si="67"/>
        <v>153.84</v>
      </c>
      <c r="AJ53" s="447">
        <f t="shared" si="68"/>
        <v>0</v>
      </c>
      <c r="AK53" s="450">
        <f t="shared" si="69"/>
        <v>-153.84</v>
      </c>
      <c r="AL53" s="450">
        <f t="shared" si="70"/>
        <v>-153.84</v>
      </c>
      <c r="AM53" s="447" t="e">
        <f t="shared" si="71"/>
        <v>#DIV/0!</v>
      </c>
      <c r="AN53" s="458">
        <v>0</v>
      </c>
      <c r="AO53" s="459">
        <f t="shared" si="72"/>
        <v>-153.84</v>
      </c>
      <c r="AP53" s="459">
        <f t="shared" si="73"/>
        <v>-153.84</v>
      </c>
      <c r="AQ53" s="463" t="e">
        <f t="shared" si="74"/>
        <v>#DIV/0!</v>
      </c>
      <c r="AR53" s="464" t="e">
        <f t="shared" si="75"/>
        <v>#DIV/0!</v>
      </c>
      <c r="AS53" s="487">
        <f>IFERROR(_xlfn.XLOOKUP(A53,'[2]Рассчет акции'!$A:$A,'[2]Рассчет акции'!$BH:$BH),0)</f>
        <v>0</v>
      </c>
      <c r="AT53" s="487">
        <f>IFERROR(_xlfn.XLOOKUP($A53,'[2]Рассчет акции'!$A:$A,'[2]Рассчет акции'!$BC:$BC),0)</f>
        <v>0</v>
      </c>
      <c r="AU53" s="409">
        <f t="shared" si="76"/>
        <v>0</v>
      </c>
      <c r="AV53" s="407">
        <f t="shared" si="77"/>
        <v>-153.84</v>
      </c>
      <c r="AW53" s="407">
        <f t="shared" si="78"/>
        <v>-153.84</v>
      </c>
      <c r="AX53" s="409" t="e">
        <f t="shared" si="79"/>
        <v>#DIV/0!</v>
      </c>
      <c r="AY53" s="293" t="str">
        <f>IFERROR(_xlfn.XLOOKUP(E53,'[2]Рассчет акции'!$D:$D,'[2]Рассчет акции'!$BM:$BM),0)</f>
        <v/>
      </c>
      <c r="AZ53" s="203" t="str">
        <f>IFERROR(_xlfn.XLOOKUP(E53,'[2]Рассчет акции'!$D:$D,'[2]Рассчет акции'!$BN:$BN),0)</f>
        <v/>
      </c>
      <c r="BA53" s="294" t="e">
        <f t="shared" si="80"/>
        <v>#DIV/0!</v>
      </c>
      <c r="BB53" s="292"/>
      <c r="BC53" s="497" t="e">
        <f xml:space="preserve"> _xlfn.XLOOKUP(B53,#REF!,#REF!,0)</f>
        <v>#REF!</v>
      </c>
      <c r="BD53" s="500" t="e">
        <f t="shared" si="99"/>
        <v>#REF!</v>
      </c>
      <c r="BE53" s="501">
        <v>0.35</v>
      </c>
      <c r="BF53" s="191" t="e">
        <f t="shared" si="44"/>
        <v>#REF!</v>
      </c>
      <c r="BG53" s="192">
        <f t="shared" si="100"/>
        <v>0</v>
      </c>
      <c r="BH53" s="193">
        <v>0.37</v>
      </c>
      <c r="BI53" s="194" t="e">
        <f t="shared" si="101"/>
        <v>#REF!</v>
      </c>
      <c r="BJ53" s="195" t="e">
        <f t="shared" si="102"/>
        <v>#REF!</v>
      </c>
      <c r="BK53" s="422">
        <f t="shared" si="83"/>
        <v>0</v>
      </c>
      <c r="BL53" s="196">
        <f>(IF(K53&gt;$BL$3,('Тарифы ОЗОН'!$G$3+ROUNDUP(K53-$BL$3,0)*'Тарифы ОЗОН'!$G$4),'Тарифы ОЗОН'!$G$3))</f>
        <v>46.77</v>
      </c>
      <c r="BM53" s="196">
        <f t="shared" si="84"/>
        <v>35</v>
      </c>
      <c r="BN53" s="197">
        <f>_xlfn.XLOOKUP(BM53,'Тарифы ОЗОН'!$A:$A,'Тарифы ОЗОН'!$B:$B)</f>
        <v>1.32</v>
      </c>
      <c r="BO53" s="198">
        <f>_xlfn.XLOOKUP(BM53,'Тарифы ОЗОН'!$A:$A,'Тарифы ОЗОН'!C:C)</f>
        <v>1.6E-2</v>
      </c>
      <c r="BP53" s="199">
        <f t="shared" si="85"/>
        <v>25</v>
      </c>
      <c r="BQ53" s="199" t="e">
        <f t="shared" si="103"/>
        <v>#REF!</v>
      </c>
      <c r="BR53" s="359">
        <f t="shared" si="47"/>
        <v>0.85</v>
      </c>
      <c r="BS53" s="199" t="e">
        <f t="shared" si="104"/>
        <v>#REF!</v>
      </c>
      <c r="BT53" s="200">
        <f t="shared" si="105"/>
        <v>0</v>
      </c>
      <c r="BU53" s="262" t="e">
        <f t="shared" si="106"/>
        <v>#REF!</v>
      </c>
      <c r="BV53" s="149" t="e">
        <f t="shared" si="87"/>
        <v>#REF!</v>
      </c>
      <c r="BW53" s="291">
        <f t="shared" si="108"/>
        <v>0</v>
      </c>
      <c r="BX53" s="201">
        <f t="shared" si="109"/>
        <v>0</v>
      </c>
      <c r="BY53" s="201" t="e">
        <f t="shared" si="110"/>
        <v>#REF!</v>
      </c>
      <c r="BZ53" s="202">
        <f t="shared" si="111"/>
        <v>0</v>
      </c>
      <c r="CA53" s="425">
        <v>0</v>
      </c>
      <c r="CB53" s="426" t="e">
        <f t="shared" si="49"/>
        <v>#REF!</v>
      </c>
      <c r="CC53" s="427" t="e">
        <f t="shared" si="53"/>
        <v>#REF!</v>
      </c>
      <c r="CD53" s="429" t="e">
        <f t="shared" si="91"/>
        <v>#REF!</v>
      </c>
      <c r="CE53" s="429">
        <f t="shared" si="107"/>
        <v>0</v>
      </c>
      <c r="CF53" s="277">
        <f>_xlfn.XLOOKUP(B53,'[1]Рассчет акции'!$A:$A,'[1]Рассчет акции'!$R:$R,0)</f>
        <v>0</v>
      </c>
      <c r="CG53" s="360">
        <f>_xlfn.XLOOKUP(B53,'[1]Рассчет акции'!$A:$A,'[1]Рассчет акции'!$M:$M,0)</f>
        <v>0</v>
      </c>
      <c r="CH53" s="291">
        <f t="shared" si="92"/>
        <v>0</v>
      </c>
      <c r="CI53" s="290" t="e">
        <f t="shared" si="55"/>
        <v>#REF!</v>
      </c>
      <c r="CJ53" s="290" t="e">
        <f t="shared" si="56"/>
        <v>#REF!</v>
      </c>
      <c r="CK53" s="291" t="e">
        <f t="shared" si="93"/>
        <v>#REF!</v>
      </c>
      <c r="CL53" s="203">
        <f>_xlfn.XLOOKUP(B53,'[1]Рассчет акции'!$A:$A,'[1]Рассчет акции'!$W:$W,0)</f>
        <v>0</v>
      </c>
      <c r="CM53" s="424">
        <f>_xlfn.XLOOKUP(B53,'[1]Рассчет акции'!$A:$A,'[1]Рассчет акции'!$X:$X,0)</f>
        <v>0</v>
      </c>
      <c r="CN53" s="294" t="e">
        <f t="shared" si="94"/>
        <v>#REF!</v>
      </c>
      <c r="CO53" s="433">
        <f t="shared" si="51"/>
        <v>0</v>
      </c>
      <c r="CP53" s="507">
        <f>_xlfn.XLOOKUP(B53,'[1]Рассчет акции'!$A:$A,'[1]Рассчет акции'!$Z:$Z,0)</f>
        <v>0</v>
      </c>
    </row>
    <row r="54" spans="1:94" ht="25.5" customHeight="1" x14ac:dyDescent="0.25">
      <c r="A54" s="386">
        <v>550445279</v>
      </c>
      <c r="B54" s="387"/>
      <c r="C54" s="386" t="s">
        <v>979</v>
      </c>
      <c r="D54" s="387" t="s">
        <v>1056</v>
      </c>
      <c r="E54" s="387">
        <v>2046391283507</v>
      </c>
      <c r="F54" s="284">
        <f t="shared" si="95"/>
        <v>22</v>
      </c>
      <c r="G54" s="147">
        <f t="shared" si="96"/>
        <v>0</v>
      </c>
      <c r="H54" s="439"/>
      <c r="I54" s="268">
        <f>_xlfn.XLOOKUP(E54,[3]ТЗ_ФФ!$D:$D,[3]ТЗ_ФФ!$BG:$BG,0)</f>
        <v>14</v>
      </c>
      <c r="J54" s="269">
        <f t="shared" si="59"/>
        <v>8</v>
      </c>
      <c r="K54" s="273">
        <f t="shared" si="60"/>
        <v>0.34300000000000003</v>
      </c>
      <c r="L54" s="146">
        <v>7</v>
      </c>
      <c r="M54" s="146">
        <v>7</v>
      </c>
      <c r="N54" s="146">
        <v>7</v>
      </c>
      <c r="O54" s="150">
        <f>_xlfn.XLOOKUP($C54,'Юнит Карго'!$A:$A,'Юнит Карго'!$T:$T,0,0)</f>
        <v>0.04</v>
      </c>
      <c r="P54" s="127"/>
      <c r="Q54" s="146"/>
      <c r="R54" s="292"/>
      <c r="S54" s="285">
        <f t="shared" si="4"/>
        <v>0</v>
      </c>
      <c r="T54" s="407"/>
      <c r="U54" s="417">
        <f>_xlfn.XLOOKUP(E54,'[2]Рассчет акции'!$D:$D,'[2]Рассчет акции'!$F:$F,0)</f>
        <v>0.3</v>
      </c>
      <c r="V54" s="235">
        <f t="shared" si="97"/>
        <v>131.84</v>
      </c>
      <c r="W54" s="288">
        <f t="shared" si="98"/>
        <v>0</v>
      </c>
      <c r="X54" s="289">
        <f>IF(K54&gt;1,('Тарифы ВБ'!$B$9+(K54-1)*'Тарифы ВБ'!$B$10)*'Тарифы ВБ'!$B$15*'Тарифы ВБ'!$B$12+S54*'Тарифы ВБ'!$B$13,'Тарифы ВБ'!$B$8*'Тарифы ВБ'!$B$15*'Тарифы ВБ'!$B$12+S54*'Тарифы ВБ'!$B$13)</f>
        <v>67.84</v>
      </c>
      <c r="Y54" s="289">
        <f>IF(K54&gt;1,'Тарифы ВБ'!$B$9+(K54-1)*'Тарифы ВБ'!$B$10,'Тарифы ВБ'!$B$8)</f>
        <v>32</v>
      </c>
      <c r="Z54" s="289">
        <f t="shared" si="42"/>
        <v>99.84</v>
      </c>
      <c r="AA54" s="236">
        <f t="shared" si="43"/>
        <v>0</v>
      </c>
      <c r="AB54" s="237">
        <f>IF(K54&gt;1,'Тарифы ВБ'!$B$14*'Тарифы ВБ'!$B$16*'Тарифы ВБ'!$B$15+(K54-1)*'Тарифы ВБ'!$B$14,'Тарифы ВБ'!$B$14*'Тарифы ВБ'!B$16*'Тарифы ВБ'!$B$15)</f>
        <v>32</v>
      </c>
      <c r="AC54" s="287">
        <f t="shared" si="62"/>
        <v>131.84</v>
      </c>
      <c r="AD54" s="240" t="e">
        <f t="shared" si="63"/>
        <v>#DIV/0!</v>
      </c>
      <c r="AE54" s="241">
        <v>0.27500000000000002</v>
      </c>
      <c r="AF54" s="289">
        <f t="shared" si="64"/>
        <v>0</v>
      </c>
      <c r="AG54" s="364">
        <f t="shared" si="65"/>
        <v>0</v>
      </c>
      <c r="AH54" s="364">
        <f t="shared" si="66"/>
        <v>0</v>
      </c>
      <c r="AI54" s="149">
        <f t="shared" si="67"/>
        <v>153.84</v>
      </c>
      <c r="AJ54" s="447">
        <f t="shared" si="68"/>
        <v>0</v>
      </c>
      <c r="AK54" s="450">
        <f t="shared" si="69"/>
        <v>-153.84</v>
      </c>
      <c r="AL54" s="450">
        <f t="shared" si="70"/>
        <v>-153.84</v>
      </c>
      <c r="AM54" s="447" t="e">
        <f t="shared" si="71"/>
        <v>#DIV/0!</v>
      </c>
      <c r="AN54" s="458">
        <v>0</v>
      </c>
      <c r="AO54" s="459">
        <f t="shared" si="72"/>
        <v>-153.84</v>
      </c>
      <c r="AP54" s="459">
        <f t="shared" si="73"/>
        <v>-153.84</v>
      </c>
      <c r="AQ54" s="463" t="e">
        <f t="shared" si="74"/>
        <v>#DIV/0!</v>
      </c>
      <c r="AR54" s="464" t="e">
        <f t="shared" si="75"/>
        <v>#DIV/0!</v>
      </c>
      <c r="AS54" s="487">
        <f>IFERROR(_xlfn.XLOOKUP(A54,'[2]Рассчет акции'!$A:$A,'[2]Рассчет акции'!$BH:$BH),0)</f>
        <v>0</v>
      </c>
      <c r="AT54" s="487">
        <f>IFERROR(_xlfn.XLOOKUP($A54,'[2]Рассчет акции'!$A:$A,'[2]Рассчет акции'!$BC:$BC),0)</f>
        <v>0</v>
      </c>
      <c r="AU54" s="409">
        <f t="shared" si="76"/>
        <v>0</v>
      </c>
      <c r="AV54" s="407">
        <f t="shared" si="77"/>
        <v>-153.84</v>
      </c>
      <c r="AW54" s="407">
        <f t="shared" si="78"/>
        <v>-153.84</v>
      </c>
      <c r="AX54" s="409" t="e">
        <f t="shared" si="79"/>
        <v>#DIV/0!</v>
      </c>
      <c r="AY54" s="293" t="str">
        <f>IFERROR(_xlfn.XLOOKUP(E54,'[2]Рассчет акции'!$D:$D,'[2]Рассчет акции'!$BM:$BM),0)</f>
        <v/>
      </c>
      <c r="AZ54" s="203" t="str">
        <f>IFERROR(_xlfn.XLOOKUP(E54,'[2]Рассчет акции'!$D:$D,'[2]Рассчет акции'!$BN:$BN),0)</f>
        <v/>
      </c>
      <c r="BA54" s="294" t="e">
        <f t="shared" si="80"/>
        <v>#DIV/0!</v>
      </c>
      <c r="BB54" s="292"/>
      <c r="BC54" s="497" t="e">
        <f xml:space="preserve"> _xlfn.XLOOKUP(B54,#REF!,#REF!,0)</f>
        <v>#REF!</v>
      </c>
      <c r="BD54" s="500" t="e">
        <f t="shared" si="99"/>
        <v>#REF!</v>
      </c>
      <c r="BE54" s="501">
        <v>0.35</v>
      </c>
      <c r="BF54" s="191" t="e">
        <f t="shared" si="44"/>
        <v>#REF!</v>
      </c>
      <c r="BG54" s="192">
        <f t="shared" si="100"/>
        <v>0</v>
      </c>
      <c r="BH54" s="193">
        <v>0.37</v>
      </c>
      <c r="BI54" s="194" t="e">
        <f t="shared" si="101"/>
        <v>#REF!</v>
      </c>
      <c r="BJ54" s="195" t="e">
        <f t="shared" si="102"/>
        <v>#REF!</v>
      </c>
      <c r="BK54" s="422">
        <f t="shared" si="83"/>
        <v>0</v>
      </c>
      <c r="BL54" s="196">
        <f>(IF(K54&gt;$BL$3,('Тарифы ОЗОН'!$G$3+ROUNDUP(K54-$BL$3,0)*'Тарифы ОЗОН'!$G$4),'Тарифы ОЗОН'!$G$3))</f>
        <v>46.77</v>
      </c>
      <c r="BM54" s="196">
        <f t="shared" si="84"/>
        <v>35</v>
      </c>
      <c r="BN54" s="197">
        <f>_xlfn.XLOOKUP(BM54,'Тарифы ОЗОН'!$A:$A,'Тарифы ОЗОН'!$B:$B)</f>
        <v>1.32</v>
      </c>
      <c r="BO54" s="198">
        <f>_xlfn.XLOOKUP(BM54,'Тарифы ОЗОН'!$A:$A,'Тарифы ОЗОН'!C:C)</f>
        <v>1.6E-2</v>
      </c>
      <c r="BP54" s="199">
        <f t="shared" si="85"/>
        <v>25</v>
      </c>
      <c r="BQ54" s="199" t="e">
        <f t="shared" si="103"/>
        <v>#REF!</v>
      </c>
      <c r="BR54" s="359">
        <f t="shared" si="47"/>
        <v>0.85</v>
      </c>
      <c r="BS54" s="199" t="e">
        <f t="shared" si="104"/>
        <v>#REF!</v>
      </c>
      <c r="BT54" s="200">
        <f t="shared" si="105"/>
        <v>0</v>
      </c>
      <c r="BU54" s="262" t="e">
        <f t="shared" si="106"/>
        <v>#REF!</v>
      </c>
      <c r="BV54" s="149" t="e">
        <f t="shared" si="87"/>
        <v>#REF!</v>
      </c>
      <c r="BW54" s="291">
        <f t="shared" si="108"/>
        <v>0</v>
      </c>
      <c r="BX54" s="201">
        <f t="shared" si="109"/>
        <v>0</v>
      </c>
      <c r="BY54" s="201" t="e">
        <f t="shared" si="110"/>
        <v>#REF!</v>
      </c>
      <c r="BZ54" s="202">
        <f t="shared" si="111"/>
        <v>0</v>
      </c>
      <c r="CA54" s="425">
        <v>0</v>
      </c>
      <c r="CB54" s="426" t="e">
        <f t="shared" si="49"/>
        <v>#REF!</v>
      </c>
      <c r="CC54" s="427" t="e">
        <f t="shared" si="53"/>
        <v>#REF!</v>
      </c>
      <c r="CD54" s="429" t="e">
        <f t="shared" si="91"/>
        <v>#REF!</v>
      </c>
      <c r="CE54" s="429">
        <f t="shared" si="107"/>
        <v>0</v>
      </c>
      <c r="CF54" s="277">
        <f>_xlfn.XLOOKUP(B54,'[1]Рассчет акции'!$A:$A,'[1]Рассчет акции'!$R:$R,0)</f>
        <v>0</v>
      </c>
      <c r="CG54" s="360">
        <f>_xlfn.XLOOKUP(B54,'[1]Рассчет акции'!$A:$A,'[1]Рассчет акции'!$M:$M,0)</f>
        <v>0</v>
      </c>
      <c r="CH54" s="291">
        <f t="shared" si="92"/>
        <v>0</v>
      </c>
      <c r="CI54" s="290" t="e">
        <f t="shared" si="55"/>
        <v>#REF!</v>
      </c>
      <c r="CJ54" s="290" t="e">
        <f t="shared" si="56"/>
        <v>#REF!</v>
      </c>
      <c r="CK54" s="291" t="e">
        <f t="shared" si="93"/>
        <v>#REF!</v>
      </c>
      <c r="CL54" s="203">
        <f>_xlfn.XLOOKUP(B54,'[1]Рассчет акции'!$A:$A,'[1]Рассчет акции'!$W:$W,0)</f>
        <v>0</v>
      </c>
      <c r="CM54" s="424">
        <f>_xlfn.XLOOKUP(B54,'[1]Рассчет акции'!$A:$A,'[1]Рассчет акции'!$X:$X,0)</f>
        <v>0</v>
      </c>
      <c r="CN54" s="294" t="e">
        <f t="shared" si="94"/>
        <v>#REF!</v>
      </c>
      <c r="CO54" s="433">
        <f t="shared" si="51"/>
        <v>0</v>
      </c>
      <c r="CP54" s="507">
        <f>_xlfn.XLOOKUP(B54,'[1]Рассчет акции'!$A:$A,'[1]Рассчет акции'!$Z:$Z,0)</f>
        <v>0</v>
      </c>
    </row>
    <row r="55" spans="1:94" ht="25.5" customHeight="1" x14ac:dyDescent="0.25">
      <c r="A55" s="386">
        <v>550445280</v>
      </c>
      <c r="B55" s="387"/>
      <c r="C55" s="386" t="s">
        <v>980</v>
      </c>
      <c r="D55" s="387" t="s">
        <v>1057</v>
      </c>
      <c r="E55" s="387">
        <v>2046391283545</v>
      </c>
      <c r="F55" s="284">
        <f t="shared" si="95"/>
        <v>22</v>
      </c>
      <c r="G55" s="147">
        <f t="shared" si="96"/>
        <v>0</v>
      </c>
      <c r="H55" s="439"/>
      <c r="I55" s="268">
        <f>_xlfn.XLOOKUP(E55,[3]ТЗ_ФФ!$D:$D,[3]ТЗ_ФФ!$BG:$BG,0)</f>
        <v>14</v>
      </c>
      <c r="J55" s="269">
        <f t="shared" si="59"/>
        <v>8</v>
      </c>
      <c r="K55" s="273">
        <f t="shared" si="60"/>
        <v>0.34300000000000003</v>
      </c>
      <c r="L55" s="146">
        <v>7</v>
      </c>
      <c r="M55" s="146">
        <v>7</v>
      </c>
      <c r="N55" s="146">
        <v>7</v>
      </c>
      <c r="O55" s="150">
        <f>_xlfn.XLOOKUP($C55,'Юнит Карго'!$A:$A,'Юнит Карго'!$T:$T,0,0)</f>
        <v>0.04</v>
      </c>
      <c r="P55" s="127"/>
      <c r="Q55" s="146"/>
      <c r="R55" s="292"/>
      <c r="S55" s="285">
        <f t="shared" si="4"/>
        <v>0</v>
      </c>
      <c r="T55" s="407"/>
      <c r="U55" s="417">
        <f>_xlfn.XLOOKUP(E55,'[2]Рассчет акции'!$D:$D,'[2]Рассчет акции'!$F:$F,0)</f>
        <v>0.3</v>
      </c>
      <c r="V55" s="235">
        <f t="shared" si="97"/>
        <v>131.84</v>
      </c>
      <c r="W55" s="288">
        <f t="shared" si="98"/>
        <v>0</v>
      </c>
      <c r="X55" s="289">
        <f>IF(K55&gt;1,('Тарифы ВБ'!$B$9+(K55-1)*'Тарифы ВБ'!$B$10)*'Тарифы ВБ'!$B$15*'Тарифы ВБ'!$B$12+S55*'Тарифы ВБ'!$B$13,'Тарифы ВБ'!$B$8*'Тарифы ВБ'!$B$15*'Тарифы ВБ'!$B$12+S55*'Тарифы ВБ'!$B$13)</f>
        <v>67.84</v>
      </c>
      <c r="Y55" s="289">
        <f>IF(K55&gt;1,'Тарифы ВБ'!$B$9+(K55-1)*'Тарифы ВБ'!$B$10,'Тарифы ВБ'!$B$8)</f>
        <v>32</v>
      </c>
      <c r="Z55" s="289">
        <f t="shared" si="42"/>
        <v>99.84</v>
      </c>
      <c r="AA55" s="236">
        <f t="shared" si="43"/>
        <v>0</v>
      </c>
      <c r="AB55" s="237">
        <f>IF(K55&gt;1,'Тарифы ВБ'!$B$14*'Тарифы ВБ'!$B$16*'Тарифы ВБ'!$B$15+(K55-1)*'Тарифы ВБ'!$B$14,'Тарифы ВБ'!$B$14*'Тарифы ВБ'!B$16*'Тарифы ВБ'!$B$15)</f>
        <v>32</v>
      </c>
      <c r="AC55" s="287">
        <f t="shared" si="62"/>
        <v>131.84</v>
      </c>
      <c r="AD55" s="240" t="e">
        <f t="shared" si="63"/>
        <v>#DIV/0!</v>
      </c>
      <c r="AE55" s="241">
        <v>0.27500000000000002</v>
      </c>
      <c r="AF55" s="289">
        <f t="shared" si="64"/>
        <v>0</v>
      </c>
      <c r="AG55" s="364">
        <f t="shared" si="65"/>
        <v>0</v>
      </c>
      <c r="AH55" s="364">
        <f t="shared" si="66"/>
        <v>0</v>
      </c>
      <c r="AI55" s="149">
        <f t="shared" si="67"/>
        <v>153.84</v>
      </c>
      <c r="AJ55" s="447">
        <f t="shared" si="68"/>
        <v>0</v>
      </c>
      <c r="AK55" s="450">
        <f t="shared" si="69"/>
        <v>-153.84</v>
      </c>
      <c r="AL55" s="450">
        <f t="shared" si="70"/>
        <v>-153.84</v>
      </c>
      <c r="AM55" s="447" t="e">
        <f t="shared" si="71"/>
        <v>#DIV/0!</v>
      </c>
      <c r="AN55" s="458">
        <v>0</v>
      </c>
      <c r="AO55" s="459">
        <f t="shared" si="72"/>
        <v>-153.84</v>
      </c>
      <c r="AP55" s="459">
        <f t="shared" si="73"/>
        <v>-153.84</v>
      </c>
      <c r="AQ55" s="463" t="e">
        <f t="shared" si="74"/>
        <v>#DIV/0!</v>
      </c>
      <c r="AR55" s="464" t="e">
        <f t="shared" si="75"/>
        <v>#DIV/0!</v>
      </c>
      <c r="AS55" s="487">
        <f>IFERROR(_xlfn.XLOOKUP(A55,'[2]Рассчет акции'!$A:$A,'[2]Рассчет акции'!$BH:$BH),0)</f>
        <v>0</v>
      </c>
      <c r="AT55" s="487">
        <f>IFERROR(_xlfn.XLOOKUP($A55,'[2]Рассчет акции'!$A:$A,'[2]Рассчет акции'!$BC:$BC),0)</f>
        <v>0</v>
      </c>
      <c r="AU55" s="409">
        <f t="shared" si="76"/>
        <v>0</v>
      </c>
      <c r="AV55" s="407">
        <f t="shared" si="77"/>
        <v>-153.84</v>
      </c>
      <c r="AW55" s="407">
        <f t="shared" si="78"/>
        <v>-153.84</v>
      </c>
      <c r="AX55" s="409" t="e">
        <f t="shared" si="79"/>
        <v>#DIV/0!</v>
      </c>
      <c r="AY55" s="293" t="str">
        <f>IFERROR(_xlfn.XLOOKUP(E55,'[2]Рассчет акции'!$D:$D,'[2]Рассчет акции'!$BM:$BM),0)</f>
        <v/>
      </c>
      <c r="AZ55" s="203" t="str">
        <f>IFERROR(_xlfn.XLOOKUP(E55,'[2]Рассчет акции'!$D:$D,'[2]Рассчет акции'!$BN:$BN),0)</f>
        <v/>
      </c>
      <c r="BA55" s="294" t="e">
        <f t="shared" si="80"/>
        <v>#DIV/0!</v>
      </c>
      <c r="BB55" s="292"/>
      <c r="BC55" s="497" t="e">
        <f xml:space="preserve"> _xlfn.XLOOKUP(B55,#REF!,#REF!,0)</f>
        <v>#REF!</v>
      </c>
      <c r="BD55" s="500" t="e">
        <f t="shared" si="99"/>
        <v>#REF!</v>
      </c>
      <c r="BE55" s="501">
        <v>0.35</v>
      </c>
      <c r="BF55" s="191" t="e">
        <f t="shared" si="44"/>
        <v>#REF!</v>
      </c>
      <c r="BG55" s="192">
        <f t="shared" si="100"/>
        <v>0</v>
      </c>
      <c r="BH55" s="193">
        <v>0.37</v>
      </c>
      <c r="BI55" s="194" t="e">
        <f t="shared" si="101"/>
        <v>#REF!</v>
      </c>
      <c r="BJ55" s="195" t="e">
        <f t="shared" si="102"/>
        <v>#REF!</v>
      </c>
      <c r="BK55" s="422">
        <f t="shared" si="83"/>
        <v>0</v>
      </c>
      <c r="BL55" s="196">
        <f>(IF(K55&gt;$BL$3,('Тарифы ОЗОН'!$G$3+ROUNDUP(K55-$BL$3,0)*'Тарифы ОЗОН'!$G$4),'Тарифы ОЗОН'!$G$3))</f>
        <v>46.77</v>
      </c>
      <c r="BM55" s="196">
        <f t="shared" si="84"/>
        <v>35</v>
      </c>
      <c r="BN55" s="197">
        <f>_xlfn.XLOOKUP(BM55,'Тарифы ОЗОН'!$A:$A,'Тарифы ОЗОН'!$B:$B)</f>
        <v>1.32</v>
      </c>
      <c r="BO55" s="198">
        <f>_xlfn.XLOOKUP(BM55,'Тарифы ОЗОН'!$A:$A,'Тарифы ОЗОН'!C:C)</f>
        <v>1.6E-2</v>
      </c>
      <c r="BP55" s="199">
        <f t="shared" si="85"/>
        <v>25</v>
      </c>
      <c r="BQ55" s="199" t="e">
        <f t="shared" si="103"/>
        <v>#REF!</v>
      </c>
      <c r="BR55" s="359">
        <f t="shared" si="47"/>
        <v>0.85</v>
      </c>
      <c r="BS55" s="199" t="e">
        <f t="shared" si="104"/>
        <v>#REF!</v>
      </c>
      <c r="BT55" s="200">
        <f t="shared" si="105"/>
        <v>0</v>
      </c>
      <c r="BU55" s="262" t="e">
        <f t="shared" si="106"/>
        <v>#REF!</v>
      </c>
      <c r="BV55" s="149" t="e">
        <f t="shared" si="87"/>
        <v>#REF!</v>
      </c>
      <c r="BW55" s="291">
        <f t="shared" si="108"/>
        <v>0</v>
      </c>
      <c r="BX55" s="201">
        <f t="shared" si="109"/>
        <v>0</v>
      </c>
      <c r="BY55" s="201" t="e">
        <f t="shared" si="110"/>
        <v>#REF!</v>
      </c>
      <c r="BZ55" s="202">
        <f t="shared" si="111"/>
        <v>0</v>
      </c>
      <c r="CA55" s="425">
        <v>0</v>
      </c>
      <c r="CB55" s="426" t="e">
        <f t="shared" si="49"/>
        <v>#REF!</v>
      </c>
      <c r="CC55" s="427" t="e">
        <f t="shared" si="53"/>
        <v>#REF!</v>
      </c>
      <c r="CD55" s="429" t="e">
        <f t="shared" si="91"/>
        <v>#REF!</v>
      </c>
      <c r="CE55" s="429">
        <f t="shared" si="107"/>
        <v>0</v>
      </c>
      <c r="CF55" s="277">
        <f>_xlfn.XLOOKUP(B55,'[1]Рассчет акции'!$A:$A,'[1]Рассчет акции'!$R:$R,0)</f>
        <v>0</v>
      </c>
      <c r="CG55" s="360">
        <f>_xlfn.XLOOKUP(B55,'[1]Рассчет акции'!$A:$A,'[1]Рассчет акции'!$M:$M,0)</f>
        <v>0</v>
      </c>
      <c r="CH55" s="291">
        <f t="shared" si="92"/>
        <v>0</v>
      </c>
      <c r="CI55" s="290" t="e">
        <f t="shared" si="55"/>
        <v>#REF!</v>
      </c>
      <c r="CJ55" s="290" t="e">
        <f t="shared" si="56"/>
        <v>#REF!</v>
      </c>
      <c r="CK55" s="291" t="e">
        <f t="shared" si="93"/>
        <v>#REF!</v>
      </c>
      <c r="CL55" s="203">
        <f>_xlfn.XLOOKUP(B55,'[1]Рассчет акции'!$A:$A,'[1]Рассчет акции'!$W:$W,0)</f>
        <v>0</v>
      </c>
      <c r="CM55" s="424">
        <f>_xlfn.XLOOKUP(B55,'[1]Рассчет акции'!$A:$A,'[1]Рассчет акции'!$X:$X,0)</f>
        <v>0</v>
      </c>
      <c r="CN55" s="294" t="e">
        <f t="shared" si="94"/>
        <v>#REF!</v>
      </c>
      <c r="CO55" s="433">
        <f t="shared" si="51"/>
        <v>0</v>
      </c>
      <c r="CP55" s="507">
        <f>_xlfn.XLOOKUP(B55,'[1]Рассчет акции'!$A:$A,'[1]Рассчет акции'!$Z:$Z,0)</f>
        <v>0</v>
      </c>
    </row>
    <row r="56" spans="1:94" ht="25.5" customHeight="1" x14ac:dyDescent="0.25">
      <c r="A56" s="386">
        <v>550445281</v>
      </c>
      <c r="B56" s="387"/>
      <c r="C56" s="386" t="s">
        <v>984</v>
      </c>
      <c r="D56" s="387" t="s">
        <v>1058</v>
      </c>
      <c r="E56" s="387">
        <v>2046391283569</v>
      </c>
      <c r="F56" s="284">
        <f t="shared" si="95"/>
        <v>22</v>
      </c>
      <c r="G56" s="147">
        <f t="shared" si="96"/>
        <v>0</v>
      </c>
      <c r="H56" s="439"/>
      <c r="I56" s="268">
        <f>_xlfn.XLOOKUP(E56,[3]ТЗ_ФФ!$D:$D,[3]ТЗ_ФФ!$BG:$BG,0)</f>
        <v>14</v>
      </c>
      <c r="J56" s="269">
        <f t="shared" si="59"/>
        <v>8</v>
      </c>
      <c r="K56" s="273">
        <f t="shared" si="60"/>
        <v>0.34300000000000003</v>
      </c>
      <c r="L56" s="146">
        <v>7</v>
      </c>
      <c r="M56" s="146">
        <v>7</v>
      </c>
      <c r="N56" s="146">
        <v>7</v>
      </c>
      <c r="O56" s="150">
        <f>_xlfn.XLOOKUP($C56,'Юнит Карго'!$A:$A,'Юнит Карго'!$T:$T,0,0)</f>
        <v>0.04</v>
      </c>
      <c r="P56" s="127"/>
      <c r="Q56" s="146"/>
      <c r="R56" s="292"/>
      <c r="S56" s="285">
        <f t="shared" si="4"/>
        <v>0</v>
      </c>
      <c r="T56" s="407"/>
      <c r="U56" s="417">
        <f>_xlfn.XLOOKUP(E56,'[2]Рассчет акции'!$D:$D,'[2]Рассчет акции'!$F:$F,0)</f>
        <v>0.3</v>
      </c>
      <c r="V56" s="235">
        <f t="shared" si="97"/>
        <v>131.84</v>
      </c>
      <c r="W56" s="288">
        <f t="shared" si="98"/>
        <v>0</v>
      </c>
      <c r="X56" s="289">
        <f>IF(K56&gt;1,('Тарифы ВБ'!$B$9+(K56-1)*'Тарифы ВБ'!$B$10)*'Тарифы ВБ'!$B$15*'Тарифы ВБ'!$B$12+S56*'Тарифы ВБ'!$B$13,'Тарифы ВБ'!$B$8*'Тарифы ВБ'!$B$15*'Тарифы ВБ'!$B$12+S56*'Тарифы ВБ'!$B$13)</f>
        <v>67.84</v>
      </c>
      <c r="Y56" s="289">
        <f>IF(K56&gt;1,'Тарифы ВБ'!$B$9+(K56-1)*'Тарифы ВБ'!$B$10,'Тарифы ВБ'!$B$8)</f>
        <v>32</v>
      </c>
      <c r="Z56" s="289">
        <f t="shared" si="42"/>
        <v>99.84</v>
      </c>
      <c r="AA56" s="236">
        <f t="shared" si="43"/>
        <v>0</v>
      </c>
      <c r="AB56" s="237">
        <f>IF(K56&gt;1,'Тарифы ВБ'!$B$14*'Тарифы ВБ'!$B$16*'Тарифы ВБ'!$B$15+(K56-1)*'Тарифы ВБ'!$B$14,'Тарифы ВБ'!$B$14*'Тарифы ВБ'!B$16*'Тарифы ВБ'!$B$15)</f>
        <v>32</v>
      </c>
      <c r="AC56" s="287">
        <f t="shared" si="62"/>
        <v>131.84</v>
      </c>
      <c r="AD56" s="240" t="e">
        <f t="shared" si="63"/>
        <v>#DIV/0!</v>
      </c>
      <c r="AE56" s="241">
        <v>0.27500000000000002</v>
      </c>
      <c r="AF56" s="289">
        <f t="shared" si="64"/>
        <v>0</v>
      </c>
      <c r="AG56" s="364">
        <f t="shared" si="65"/>
        <v>0</v>
      </c>
      <c r="AH56" s="364">
        <f t="shared" si="66"/>
        <v>0</v>
      </c>
      <c r="AI56" s="149">
        <f t="shared" si="67"/>
        <v>153.84</v>
      </c>
      <c r="AJ56" s="447">
        <f t="shared" si="68"/>
        <v>0</v>
      </c>
      <c r="AK56" s="450">
        <f t="shared" si="69"/>
        <v>-153.84</v>
      </c>
      <c r="AL56" s="450">
        <f t="shared" si="70"/>
        <v>-153.84</v>
      </c>
      <c r="AM56" s="447" t="e">
        <f t="shared" si="71"/>
        <v>#DIV/0!</v>
      </c>
      <c r="AN56" s="458">
        <v>0</v>
      </c>
      <c r="AO56" s="459">
        <f t="shared" si="72"/>
        <v>-153.84</v>
      </c>
      <c r="AP56" s="459">
        <f t="shared" si="73"/>
        <v>-153.84</v>
      </c>
      <c r="AQ56" s="463" t="e">
        <f t="shared" si="74"/>
        <v>#DIV/0!</v>
      </c>
      <c r="AR56" s="464" t="e">
        <f t="shared" si="75"/>
        <v>#DIV/0!</v>
      </c>
      <c r="AS56" s="487">
        <f>IFERROR(_xlfn.XLOOKUP(A56,'[2]Рассчет акции'!$A:$A,'[2]Рассчет акции'!$BH:$BH),0)</f>
        <v>0</v>
      </c>
      <c r="AT56" s="487">
        <f>IFERROR(_xlfn.XLOOKUP($A56,'[2]Рассчет акции'!$A:$A,'[2]Рассчет акции'!$BC:$BC),0)</f>
        <v>0</v>
      </c>
      <c r="AU56" s="409">
        <f t="shared" si="76"/>
        <v>0</v>
      </c>
      <c r="AV56" s="407">
        <f t="shared" si="77"/>
        <v>-153.84</v>
      </c>
      <c r="AW56" s="407">
        <f t="shared" si="78"/>
        <v>-153.84</v>
      </c>
      <c r="AX56" s="409" t="e">
        <f t="shared" si="79"/>
        <v>#DIV/0!</v>
      </c>
      <c r="AY56" s="293" t="str">
        <f>IFERROR(_xlfn.XLOOKUP(E56,'[2]Рассчет акции'!$D:$D,'[2]Рассчет акции'!$BM:$BM),0)</f>
        <v/>
      </c>
      <c r="AZ56" s="203" t="str">
        <f>IFERROR(_xlfn.XLOOKUP(E56,'[2]Рассчет акции'!$D:$D,'[2]Рассчет акции'!$BN:$BN),0)</f>
        <v/>
      </c>
      <c r="BA56" s="294" t="e">
        <f t="shared" si="80"/>
        <v>#DIV/0!</v>
      </c>
      <c r="BB56" s="292"/>
      <c r="BC56" s="497" t="e">
        <f xml:space="preserve"> _xlfn.XLOOKUP(B56,#REF!,#REF!,0)</f>
        <v>#REF!</v>
      </c>
      <c r="BD56" s="500" t="e">
        <f t="shared" si="99"/>
        <v>#REF!</v>
      </c>
      <c r="BE56" s="501">
        <v>0.35</v>
      </c>
      <c r="BF56" s="191" t="e">
        <f t="shared" si="44"/>
        <v>#REF!</v>
      </c>
      <c r="BG56" s="192">
        <f t="shared" si="100"/>
        <v>0</v>
      </c>
      <c r="BH56" s="193">
        <v>0.37</v>
      </c>
      <c r="BI56" s="194" t="e">
        <f t="shared" si="101"/>
        <v>#REF!</v>
      </c>
      <c r="BJ56" s="195" t="e">
        <f t="shared" si="102"/>
        <v>#REF!</v>
      </c>
      <c r="BK56" s="422">
        <f t="shared" si="83"/>
        <v>0</v>
      </c>
      <c r="BL56" s="196">
        <f>(IF(K56&gt;$BL$3,('Тарифы ОЗОН'!$G$3+ROUNDUP(K56-$BL$3,0)*'Тарифы ОЗОН'!$G$4),'Тарифы ОЗОН'!$G$3))</f>
        <v>46.77</v>
      </c>
      <c r="BM56" s="196">
        <f t="shared" si="84"/>
        <v>35</v>
      </c>
      <c r="BN56" s="197">
        <f>_xlfn.XLOOKUP(BM56,'Тарифы ОЗОН'!$A:$A,'Тарифы ОЗОН'!$B:$B)</f>
        <v>1.32</v>
      </c>
      <c r="BO56" s="198">
        <f>_xlfn.XLOOKUP(BM56,'Тарифы ОЗОН'!$A:$A,'Тарифы ОЗОН'!C:C)</f>
        <v>1.6E-2</v>
      </c>
      <c r="BP56" s="199">
        <f t="shared" si="85"/>
        <v>25</v>
      </c>
      <c r="BQ56" s="199" t="e">
        <f t="shared" si="103"/>
        <v>#REF!</v>
      </c>
      <c r="BR56" s="359">
        <f t="shared" si="47"/>
        <v>0.85</v>
      </c>
      <c r="BS56" s="199" t="e">
        <f t="shared" si="104"/>
        <v>#REF!</v>
      </c>
      <c r="BT56" s="200">
        <f t="shared" si="105"/>
        <v>0</v>
      </c>
      <c r="BU56" s="262" t="e">
        <f t="shared" si="106"/>
        <v>#REF!</v>
      </c>
      <c r="BV56" s="149" t="e">
        <f t="shared" si="87"/>
        <v>#REF!</v>
      </c>
      <c r="BW56" s="291">
        <f t="shared" si="108"/>
        <v>0</v>
      </c>
      <c r="BX56" s="201">
        <f t="shared" si="109"/>
        <v>0</v>
      </c>
      <c r="BY56" s="201" t="e">
        <f t="shared" si="110"/>
        <v>#REF!</v>
      </c>
      <c r="BZ56" s="202">
        <f t="shared" si="111"/>
        <v>0</v>
      </c>
      <c r="CA56" s="425">
        <v>0</v>
      </c>
      <c r="CB56" s="426" t="e">
        <f t="shared" si="49"/>
        <v>#REF!</v>
      </c>
      <c r="CC56" s="427" t="e">
        <f t="shared" si="53"/>
        <v>#REF!</v>
      </c>
      <c r="CD56" s="429" t="e">
        <f t="shared" si="91"/>
        <v>#REF!</v>
      </c>
      <c r="CE56" s="429">
        <f t="shared" si="107"/>
        <v>0</v>
      </c>
      <c r="CF56" s="277">
        <f>_xlfn.XLOOKUP(B56,'[1]Рассчет акции'!$A:$A,'[1]Рассчет акции'!$R:$R,0)</f>
        <v>0</v>
      </c>
      <c r="CG56" s="360">
        <f>_xlfn.XLOOKUP(B56,'[1]Рассчет акции'!$A:$A,'[1]Рассчет акции'!$M:$M,0)</f>
        <v>0</v>
      </c>
      <c r="CH56" s="291">
        <f t="shared" si="92"/>
        <v>0</v>
      </c>
      <c r="CI56" s="290" t="e">
        <f t="shared" si="55"/>
        <v>#REF!</v>
      </c>
      <c r="CJ56" s="290" t="e">
        <f t="shared" si="56"/>
        <v>#REF!</v>
      </c>
      <c r="CK56" s="291" t="e">
        <f t="shared" si="93"/>
        <v>#REF!</v>
      </c>
      <c r="CL56" s="203">
        <f>_xlfn.XLOOKUP(B56,'[1]Рассчет акции'!$A:$A,'[1]Рассчет акции'!$W:$W,0)</f>
        <v>0</v>
      </c>
      <c r="CM56" s="424">
        <f>_xlfn.XLOOKUP(B56,'[1]Рассчет акции'!$A:$A,'[1]Рассчет акции'!$X:$X,0)</f>
        <v>0</v>
      </c>
      <c r="CN56" s="294" t="e">
        <f t="shared" si="94"/>
        <v>#REF!</v>
      </c>
      <c r="CO56" s="433">
        <f t="shared" si="51"/>
        <v>0</v>
      </c>
      <c r="CP56" s="507">
        <f>_xlfn.XLOOKUP(B56,'[1]Рассчет акции'!$A:$A,'[1]Рассчет акции'!$Z:$Z,0)</f>
        <v>0</v>
      </c>
    </row>
    <row r="57" spans="1:94" ht="25.5" customHeight="1" x14ac:dyDescent="0.25">
      <c r="A57" s="386">
        <v>550445283</v>
      </c>
      <c r="B57" s="387"/>
      <c r="C57" s="386" t="s">
        <v>985</v>
      </c>
      <c r="D57" s="387" t="s">
        <v>1059</v>
      </c>
      <c r="E57" s="387">
        <v>2046391283613</v>
      </c>
      <c r="F57" s="284">
        <f t="shared" si="95"/>
        <v>22</v>
      </c>
      <c r="G57" s="147">
        <f t="shared" si="96"/>
        <v>0</v>
      </c>
      <c r="H57" s="439"/>
      <c r="I57" s="268">
        <f>_xlfn.XLOOKUP(E57,[3]ТЗ_ФФ!$D:$D,[3]ТЗ_ФФ!$BG:$BG,0)</f>
        <v>14</v>
      </c>
      <c r="J57" s="269">
        <f t="shared" si="59"/>
        <v>8</v>
      </c>
      <c r="K57" s="273">
        <f t="shared" si="60"/>
        <v>0.34300000000000003</v>
      </c>
      <c r="L57" s="146">
        <v>7</v>
      </c>
      <c r="M57" s="146">
        <v>7</v>
      </c>
      <c r="N57" s="146">
        <v>7</v>
      </c>
      <c r="O57" s="150">
        <f>_xlfn.XLOOKUP($C57,'Юнит Карго'!$A:$A,'Юнит Карго'!$T:$T,0,0)</f>
        <v>0.04</v>
      </c>
      <c r="P57" s="127"/>
      <c r="Q57" s="146"/>
      <c r="R57" s="292"/>
      <c r="S57" s="285">
        <f t="shared" si="4"/>
        <v>0</v>
      </c>
      <c r="T57" s="407"/>
      <c r="U57" s="417">
        <f>_xlfn.XLOOKUP(E57,'[2]Рассчет акции'!$D:$D,'[2]Рассчет акции'!$F:$F,0)</f>
        <v>0.3</v>
      </c>
      <c r="V57" s="235">
        <f t="shared" si="97"/>
        <v>131.84</v>
      </c>
      <c r="W57" s="288">
        <f t="shared" si="98"/>
        <v>0</v>
      </c>
      <c r="X57" s="289">
        <f>IF(K57&gt;1,('Тарифы ВБ'!$B$9+(K57-1)*'Тарифы ВБ'!$B$10)*'Тарифы ВБ'!$B$15*'Тарифы ВБ'!$B$12+S57*'Тарифы ВБ'!$B$13,'Тарифы ВБ'!$B$8*'Тарифы ВБ'!$B$15*'Тарифы ВБ'!$B$12+S57*'Тарифы ВБ'!$B$13)</f>
        <v>67.84</v>
      </c>
      <c r="Y57" s="289">
        <f>IF(K57&gt;1,'Тарифы ВБ'!$B$9+(K57-1)*'Тарифы ВБ'!$B$10,'Тарифы ВБ'!$B$8)</f>
        <v>32</v>
      </c>
      <c r="Z57" s="289">
        <f t="shared" si="42"/>
        <v>99.84</v>
      </c>
      <c r="AA57" s="236">
        <f t="shared" si="43"/>
        <v>0</v>
      </c>
      <c r="AB57" s="237">
        <f>IF(K57&gt;1,'Тарифы ВБ'!$B$14*'Тарифы ВБ'!$B$16*'Тарифы ВБ'!$B$15+(K57-1)*'Тарифы ВБ'!$B$14,'Тарифы ВБ'!$B$14*'Тарифы ВБ'!B$16*'Тарифы ВБ'!$B$15)</f>
        <v>32</v>
      </c>
      <c r="AC57" s="287">
        <f t="shared" si="62"/>
        <v>131.84</v>
      </c>
      <c r="AD57" s="240" t="e">
        <f t="shared" si="63"/>
        <v>#DIV/0!</v>
      </c>
      <c r="AE57" s="241">
        <v>0.27500000000000002</v>
      </c>
      <c r="AF57" s="289">
        <f t="shared" si="64"/>
        <v>0</v>
      </c>
      <c r="AG57" s="364">
        <f t="shared" si="65"/>
        <v>0</v>
      </c>
      <c r="AH57" s="364">
        <f t="shared" si="66"/>
        <v>0</v>
      </c>
      <c r="AI57" s="149">
        <f t="shared" si="67"/>
        <v>153.84</v>
      </c>
      <c r="AJ57" s="447">
        <f t="shared" si="68"/>
        <v>0</v>
      </c>
      <c r="AK57" s="450">
        <f t="shared" si="69"/>
        <v>-153.84</v>
      </c>
      <c r="AL57" s="450">
        <f t="shared" si="70"/>
        <v>-153.84</v>
      </c>
      <c r="AM57" s="447" t="e">
        <f t="shared" si="71"/>
        <v>#DIV/0!</v>
      </c>
      <c r="AN57" s="458">
        <v>0</v>
      </c>
      <c r="AO57" s="459">
        <f t="shared" si="72"/>
        <v>-153.84</v>
      </c>
      <c r="AP57" s="459">
        <f t="shared" si="73"/>
        <v>-153.84</v>
      </c>
      <c r="AQ57" s="463" t="e">
        <f t="shared" si="74"/>
        <v>#DIV/0!</v>
      </c>
      <c r="AR57" s="464" t="e">
        <f t="shared" si="75"/>
        <v>#DIV/0!</v>
      </c>
      <c r="AS57" s="487">
        <f>IFERROR(_xlfn.XLOOKUP(A57,'[2]Рассчет акции'!$A:$A,'[2]Рассчет акции'!$BH:$BH),0)</f>
        <v>0</v>
      </c>
      <c r="AT57" s="487">
        <f>IFERROR(_xlfn.XLOOKUP($A57,'[2]Рассчет акции'!$A:$A,'[2]Рассчет акции'!$BC:$BC),0)</f>
        <v>0</v>
      </c>
      <c r="AU57" s="409">
        <f t="shared" si="76"/>
        <v>0</v>
      </c>
      <c r="AV57" s="407">
        <f t="shared" si="77"/>
        <v>-153.84</v>
      </c>
      <c r="AW57" s="407">
        <f t="shared" si="78"/>
        <v>-153.84</v>
      </c>
      <c r="AX57" s="409" t="e">
        <f t="shared" si="79"/>
        <v>#DIV/0!</v>
      </c>
      <c r="AY57" s="293" t="str">
        <f>IFERROR(_xlfn.XLOOKUP(E57,'[2]Рассчет акции'!$D:$D,'[2]Рассчет акции'!$BM:$BM),0)</f>
        <v/>
      </c>
      <c r="AZ57" s="203" t="str">
        <f>IFERROR(_xlfn.XLOOKUP(E57,'[2]Рассчет акции'!$D:$D,'[2]Рассчет акции'!$BN:$BN),0)</f>
        <v/>
      </c>
      <c r="BA57" s="294" t="e">
        <f t="shared" si="80"/>
        <v>#DIV/0!</v>
      </c>
      <c r="BB57" s="292"/>
      <c r="BC57" s="497" t="e">
        <f xml:space="preserve"> _xlfn.XLOOKUP(B57,#REF!,#REF!,0)</f>
        <v>#REF!</v>
      </c>
      <c r="BD57" s="500" t="e">
        <f t="shared" si="99"/>
        <v>#REF!</v>
      </c>
      <c r="BE57" s="501">
        <v>0.35</v>
      </c>
      <c r="BF57" s="191" t="e">
        <f t="shared" si="44"/>
        <v>#REF!</v>
      </c>
      <c r="BG57" s="192">
        <f t="shared" si="100"/>
        <v>0</v>
      </c>
      <c r="BH57" s="193">
        <v>0.37</v>
      </c>
      <c r="BI57" s="194" t="e">
        <f t="shared" si="101"/>
        <v>#REF!</v>
      </c>
      <c r="BJ57" s="195" t="e">
        <f t="shared" si="102"/>
        <v>#REF!</v>
      </c>
      <c r="BK57" s="422">
        <f t="shared" si="83"/>
        <v>0</v>
      </c>
      <c r="BL57" s="196">
        <f>(IF(K57&gt;$BL$3,('Тарифы ОЗОН'!$G$3+ROUNDUP(K57-$BL$3,0)*'Тарифы ОЗОН'!$G$4),'Тарифы ОЗОН'!$G$3))</f>
        <v>46.77</v>
      </c>
      <c r="BM57" s="196">
        <f t="shared" si="84"/>
        <v>35</v>
      </c>
      <c r="BN57" s="197">
        <f>_xlfn.XLOOKUP(BM57,'Тарифы ОЗОН'!$A:$A,'Тарифы ОЗОН'!$B:$B)</f>
        <v>1.32</v>
      </c>
      <c r="BO57" s="198">
        <f>_xlfn.XLOOKUP(BM57,'Тарифы ОЗОН'!$A:$A,'Тарифы ОЗОН'!C:C)</f>
        <v>1.6E-2</v>
      </c>
      <c r="BP57" s="199">
        <f t="shared" si="85"/>
        <v>25</v>
      </c>
      <c r="BQ57" s="199" t="e">
        <f t="shared" si="103"/>
        <v>#REF!</v>
      </c>
      <c r="BR57" s="359">
        <f t="shared" si="47"/>
        <v>0.85</v>
      </c>
      <c r="BS57" s="199" t="e">
        <f t="shared" si="104"/>
        <v>#REF!</v>
      </c>
      <c r="BT57" s="200">
        <f t="shared" si="105"/>
        <v>0</v>
      </c>
      <c r="BU57" s="262" t="e">
        <f t="shared" si="106"/>
        <v>#REF!</v>
      </c>
      <c r="BV57" s="149" t="e">
        <f t="shared" si="87"/>
        <v>#REF!</v>
      </c>
      <c r="BW57" s="291">
        <f t="shared" si="108"/>
        <v>0</v>
      </c>
      <c r="BX57" s="201">
        <f t="shared" si="109"/>
        <v>0</v>
      </c>
      <c r="BY57" s="201" t="e">
        <f t="shared" si="110"/>
        <v>#REF!</v>
      </c>
      <c r="BZ57" s="202">
        <f t="shared" si="111"/>
        <v>0</v>
      </c>
      <c r="CA57" s="425">
        <v>0</v>
      </c>
      <c r="CB57" s="426" t="e">
        <f t="shared" si="49"/>
        <v>#REF!</v>
      </c>
      <c r="CC57" s="427" t="e">
        <f t="shared" si="53"/>
        <v>#REF!</v>
      </c>
      <c r="CD57" s="429" t="e">
        <f t="shared" si="91"/>
        <v>#REF!</v>
      </c>
      <c r="CE57" s="429">
        <f t="shared" si="107"/>
        <v>0</v>
      </c>
      <c r="CF57" s="277">
        <f>_xlfn.XLOOKUP(B57,'[1]Рассчет акции'!$A:$A,'[1]Рассчет акции'!$R:$R,0)</f>
        <v>0</v>
      </c>
      <c r="CG57" s="360">
        <f>_xlfn.XLOOKUP(B57,'[1]Рассчет акции'!$A:$A,'[1]Рассчет акции'!$M:$M,0)</f>
        <v>0</v>
      </c>
      <c r="CH57" s="291">
        <f t="shared" si="92"/>
        <v>0</v>
      </c>
      <c r="CI57" s="290" t="e">
        <f t="shared" si="55"/>
        <v>#REF!</v>
      </c>
      <c r="CJ57" s="290" t="e">
        <f t="shared" si="56"/>
        <v>#REF!</v>
      </c>
      <c r="CK57" s="291" t="e">
        <f t="shared" si="93"/>
        <v>#REF!</v>
      </c>
      <c r="CL57" s="203">
        <f>_xlfn.XLOOKUP(B57,'[1]Рассчет акции'!$A:$A,'[1]Рассчет акции'!$W:$W,0)</f>
        <v>0</v>
      </c>
      <c r="CM57" s="424">
        <f>_xlfn.XLOOKUP(B57,'[1]Рассчет акции'!$A:$A,'[1]Рассчет акции'!$X:$X,0)</f>
        <v>0</v>
      </c>
      <c r="CN57" s="294" t="e">
        <f t="shared" si="94"/>
        <v>#REF!</v>
      </c>
      <c r="CO57" s="433">
        <f t="shared" si="51"/>
        <v>0</v>
      </c>
      <c r="CP57" s="507">
        <f>_xlfn.XLOOKUP(B57,'[1]Рассчет акции'!$A:$A,'[1]Рассчет акции'!$Z:$Z,0)</f>
        <v>0</v>
      </c>
    </row>
    <row r="58" spans="1:94" ht="24.95" customHeight="1" x14ac:dyDescent="0.25">
      <c r="A58" s="171">
        <v>186826338</v>
      </c>
      <c r="B58" s="173">
        <v>1980946313</v>
      </c>
      <c r="C58" s="171" t="s">
        <v>80</v>
      </c>
      <c r="D58" s="172" t="s">
        <v>437</v>
      </c>
      <c r="E58" s="173">
        <v>2038891723249</v>
      </c>
      <c r="F58" s="284">
        <f t="shared" si="57"/>
        <v>213.79980285196154</v>
      </c>
      <c r="G58" s="147">
        <f t="shared" si="58"/>
        <v>0.24625639582119507</v>
      </c>
      <c r="H58" s="439">
        <f>IF(_xlfn.XLOOKUP($C58,'Юнит Карго'!$A:$A,'Юнит Карго'!$G:$G)=0,_xlfn.XLOOKUP(E58,'Себес 1С текущ'!G:G,'Себес 1С текущ'!H:H),_xlfn.XLOOKUP($C58,'Юнит Карго'!$A:$A,'Юнит Карго'!$P:$P,0,0))</f>
        <v>181.79980285196154</v>
      </c>
      <c r="I58" s="268">
        <f>_xlfn.XLOOKUP(E58,[3]ТЗ_ФФ!$D:$D,[3]ТЗ_ФФ!$BG:$BG,0)</f>
        <v>24</v>
      </c>
      <c r="J58" s="269">
        <f t="shared" si="59"/>
        <v>8</v>
      </c>
      <c r="K58" s="273">
        <f t="shared" si="60"/>
        <v>0.96</v>
      </c>
      <c r="L58" s="146">
        <v>16</v>
      </c>
      <c r="M58" s="146">
        <v>12</v>
      </c>
      <c r="N58" s="146">
        <v>5</v>
      </c>
      <c r="O58" s="150">
        <f>_xlfn.XLOOKUP($C58,'Юнит Карго'!$A:$A,'Юнит Карго'!$T:$T,0,0)</f>
        <v>0.16</v>
      </c>
      <c r="P58" s="127" t="s">
        <v>112</v>
      </c>
      <c r="Q58" s="146">
        <v>70</v>
      </c>
      <c r="R58" s="292"/>
      <c r="S58" s="285">
        <f t="shared" si="4"/>
        <v>868.19999999999993</v>
      </c>
      <c r="T58" s="286" t="str">
        <f>_xlfn.XLOOKUP(E58,'[2]Рассчет акции'!$D:$D,'[2]Рассчет акции'!$G:$G,0)</f>
        <v>1447</v>
      </c>
      <c r="U58" s="417">
        <f>_xlfn.XLOOKUP(E58,'[2]Рассчет акции'!$D:$D,'[2]Рассчет акции'!$F:$F,0)</f>
        <v>0.4</v>
      </c>
      <c r="V58" s="235">
        <f t="shared" si="40"/>
        <v>403.41296</v>
      </c>
      <c r="W58" s="288">
        <f t="shared" si="61"/>
        <v>0.46465441142593877</v>
      </c>
      <c r="X58" s="289">
        <f>IF(K58&gt;1,('Тарифы ВБ'!$B$9+(K58-1)*'Тарифы ВБ'!$B$10)*'Тарифы ВБ'!$B$15*'Тарифы ВБ'!$B$12+S58*'Тарифы ВБ'!$B$13,'Тарифы ВБ'!$B$8*'Тарифы ВБ'!$B$15*'Тарифы ВБ'!$B$12+S58*'Тарифы ВБ'!$B$13)</f>
        <v>74.611959999999996</v>
      </c>
      <c r="Y58" s="289">
        <f>IF(K58&gt;1,'Тарифы ВБ'!$B$9+(K58-1)*'Тарифы ВБ'!$B$10,'Тарифы ВБ'!$B$8)</f>
        <v>32</v>
      </c>
      <c r="Z58" s="289">
        <f t="shared" si="42"/>
        <v>106.61196</v>
      </c>
      <c r="AA58" s="236">
        <f t="shared" si="43"/>
        <v>0.12279654457498272</v>
      </c>
      <c r="AB58" s="237">
        <f>IF(K58&gt;1,'Тарифы ВБ'!$B$14*'Тарифы ВБ'!$B$16*'Тарифы ВБ'!$B$15+(K58-1)*'Тарифы ВБ'!$B$14,'Тарифы ВБ'!$B$14*'Тарифы ВБ'!B$16*'Тарифы ВБ'!$B$15)</f>
        <v>32</v>
      </c>
      <c r="AC58" s="287">
        <f t="shared" si="62"/>
        <v>138.61196000000001</v>
      </c>
      <c r="AD58" s="240">
        <f t="shared" si="63"/>
        <v>0.15965441142593875</v>
      </c>
      <c r="AE58" s="241">
        <v>0.27500000000000002</v>
      </c>
      <c r="AF58" s="289">
        <f t="shared" si="64"/>
        <v>238.755</v>
      </c>
      <c r="AG58" s="364">
        <f t="shared" si="65"/>
        <v>0</v>
      </c>
      <c r="AH58" s="364">
        <f t="shared" si="66"/>
        <v>26.045999999999996</v>
      </c>
      <c r="AI58" s="149">
        <f t="shared" si="67"/>
        <v>617.21276285196154</v>
      </c>
      <c r="AJ58" s="447">
        <f t="shared" si="68"/>
        <v>0.21908919275286617</v>
      </c>
      <c r="AK58" s="450">
        <f t="shared" si="69"/>
        <v>250.98723714803839</v>
      </c>
      <c r="AL58" s="450">
        <f t="shared" si="70"/>
        <v>190.21323714803839</v>
      </c>
      <c r="AM58" s="447">
        <f t="shared" si="71"/>
        <v>1.0462785666655967</v>
      </c>
      <c r="AN58" s="458">
        <v>869</v>
      </c>
      <c r="AO58" s="459">
        <f t="shared" si="72"/>
        <v>251.78723714803846</v>
      </c>
      <c r="AP58" s="459">
        <f t="shared" si="73"/>
        <v>190.95723714803844</v>
      </c>
      <c r="AQ58" s="463">
        <f t="shared" si="74"/>
        <v>1.0503709803444272</v>
      </c>
      <c r="AR58" s="464">
        <f t="shared" si="75"/>
        <v>0.21974365609670707</v>
      </c>
      <c r="AS58" s="487" t="str">
        <f>IFERROR(_xlfn.XLOOKUP(A58,'[2]Рассчет акции'!$A:$A,'[2]Рассчет акции'!$BH:$BH),0)</f>
        <v>*</v>
      </c>
      <c r="AT58" s="487">
        <f>IFERROR(_xlfn.XLOOKUP($A58,'[2]Рассчет акции'!$A:$A,'[2]Рассчет акции'!$BC:$BC),0)</f>
        <v>868</v>
      </c>
      <c r="AU58" s="409">
        <f t="shared" si="76"/>
        <v>0.21892538841939915</v>
      </c>
      <c r="AV58" s="407">
        <f t="shared" si="77"/>
        <v>250.78723714803846</v>
      </c>
      <c r="AW58" s="407">
        <f t="shared" si="78"/>
        <v>190.02723714803847</v>
      </c>
      <c r="AX58" s="409">
        <f t="shared" si="79"/>
        <v>1.0452554632458897</v>
      </c>
      <c r="AY58" s="293">
        <f>IFERROR(_xlfn.XLOOKUP(E58,'[2]Рассчет акции'!$D:$D,'[2]Рассчет акции'!$BM:$BM),0)</f>
        <v>457</v>
      </c>
      <c r="AZ58" s="203">
        <f>IFERROR(_xlfn.XLOOKUP(E58,'[2]Рассчет акции'!$D:$D,'[2]Рассчет акции'!$BN:$BN),0)</f>
        <v>273</v>
      </c>
      <c r="BA58" s="294">
        <f t="shared" si="80"/>
        <v>4.7755827365058794</v>
      </c>
      <c r="BB58" s="292"/>
      <c r="BC58" s="497" t="e">
        <f xml:space="preserve"> _xlfn.XLOOKUP(B58,#REF!,#REF!,0)</f>
        <v>#REF!</v>
      </c>
      <c r="BD58" s="500" t="e">
        <f t="shared" si="52"/>
        <v>#REF!</v>
      </c>
      <c r="BE58" s="501">
        <f>_xlfn.XLOOKUP($B58,'[1]Рассчет акции'!$A:$A,'[1]Рассчет акции'!$J:$J)</f>
        <v>0.35007173601147779</v>
      </c>
      <c r="BF58" s="191" t="e">
        <f t="shared" si="44"/>
        <v>#REF!</v>
      </c>
      <c r="BG58" s="192">
        <f t="shared" si="81"/>
        <v>0</v>
      </c>
      <c r="BH58" s="193">
        <v>0.37</v>
      </c>
      <c r="BI58" s="194" t="e">
        <f t="shared" si="82"/>
        <v>#REF!</v>
      </c>
      <c r="BJ58" s="195" t="e">
        <f t="shared" si="45"/>
        <v>#REF!</v>
      </c>
      <c r="BK58" s="422">
        <f t="shared" si="83"/>
        <v>0</v>
      </c>
      <c r="BL58" s="196">
        <f>(IF(K58&gt;$BL$3,('Тарифы ОЗОН'!$G$3+ROUNDUP(K58-$BL$3,0)*'Тарифы ОЗОН'!$G$4),'Тарифы ОЗОН'!$G$3))</f>
        <v>46.77</v>
      </c>
      <c r="BM58" s="196">
        <f t="shared" si="84"/>
        <v>35</v>
      </c>
      <c r="BN58" s="197">
        <f>_xlfn.XLOOKUP(BM58,'Тарифы ОЗОН'!$A:$A,'Тарифы ОЗОН'!$B:$B)</f>
        <v>1.32</v>
      </c>
      <c r="BO58" s="198">
        <f>_xlfn.XLOOKUP(BM58,'Тарифы ОЗОН'!$A:$A,'Тарифы ОЗОН'!C:C)</f>
        <v>1.6E-2</v>
      </c>
      <c r="BP58" s="199">
        <f t="shared" si="85"/>
        <v>25</v>
      </c>
      <c r="BQ58" s="199" t="e">
        <f t="shared" si="46"/>
        <v>#REF!</v>
      </c>
      <c r="BR58" s="359">
        <f t="shared" si="47"/>
        <v>0.85</v>
      </c>
      <c r="BS58" s="199" t="e">
        <f t="shared" si="48"/>
        <v>#REF!</v>
      </c>
      <c r="BT58" s="200">
        <f t="shared" si="86"/>
        <v>0</v>
      </c>
      <c r="BU58" s="262" t="e">
        <f t="shared" si="30"/>
        <v>#REF!</v>
      </c>
      <c r="BV58" s="149" t="e">
        <f t="shared" si="87"/>
        <v>#REF!</v>
      </c>
      <c r="BW58" s="291">
        <f t="shared" si="88"/>
        <v>0</v>
      </c>
      <c r="BX58" s="201">
        <f t="shared" si="89"/>
        <v>0</v>
      </c>
      <c r="BY58" s="201" t="e">
        <f t="shared" si="90"/>
        <v>#REF!</v>
      </c>
      <c r="BZ58" s="202">
        <f t="shared" si="111"/>
        <v>0</v>
      </c>
      <c r="CA58" s="425">
        <v>1059</v>
      </c>
      <c r="CB58" s="426" t="e">
        <f t="shared" si="49"/>
        <v>#REF!</v>
      </c>
      <c r="CC58" s="427" t="e">
        <f t="shared" si="53"/>
        <v>#REF!</v>
      </c>
      <c r="CD58" s="429" t="e">
        <f t="shared" si="91"/>
        <v>#REF!</v>
      </c>
      <c r="CE58" s="429">
        <f t="shared" si="50"/>
        <v>0</v>
      </c>
      <c r="CF58" s="277">
        <f>_xlfn.XLOOKUP(B58,'[1]Рассчет акции'!$A:$A,'[1]Рассчет акции'!$R:$R,0)</f>
        <v>0</v>
      </c>
      <c r="CG58" s="360">
        <f>_xlfn.XLOOKUP(B58,'[1]Рассчет акции'!$A:$A,'[1]Рассчет акции'!$M:$M,0)</f>
        <v>956</v>
      </c>
      <c r="CH58" s="291">
        <f t="shared" si="92"/>
        <v>0</v>
      </c>
      <c r="CI58" s="290" t="e">
        <f t="shared" si="55"/>
        <v>#REF!</v>
      </c>
      <c r="CJ58" s="290" t="e">
        <f t="shared" si="56"/>
        <v>#REF!</v>
      </c>
      <c r="CK58" s="291" t="e">
        <f t="shared" si="93"/>
        <v>#REF!</v>
      </c>
      <c r="CL58" s="203">
        <f>_xlfn.XLOOKUP(B58,'[1]Рассчет акции'!$A:$A,'[1]Рассчет акции'!$W:$W,0)</f>
        <v>40</v>
      </c>
      <c r="CM58" s="424">
        <f>_xlfn.XLOOKUP(B58,'[1]Рассчет акции'!$A:$A,'[1]Рассчет акции'!$X:$X,0)</f>
        <v>35</v>
      </c>
      <c r="CN58" s="294" t="e">
        <f t="shared" si="94"/>
        <v>#REF!</v>
      </c>
      <c r="CO58" s="433">
        <f t="shared" si="51"/>
        <v>953.1</v>
      </c>
      <c r="CP58" s="507">
        <f>_xlfn.XLOOKUP(B58,'[1]Рассчет акции'!$A:$A,'[1]Рассчет акции'!$Z:$Z,0)</f>
        <v>0</v>
      </c>
    </row>
    <row r="59" spans="1:94" ht="24.95" customHeight="1" x14ac:dyDescent="0.25">
      <c r="A59" s="171">
        <v>419130077</v>
      </c>
      <c r="B59" s="173">
        <v>2168964833</v>
      </c>
      <c r="C59" s="171" t="s">
        <v>447</v>
      </c>
      <c r="D59" s="172" t="s">
        <v>551</v>
      </c>
      <c r="E59" s="173">
        <v>2044025155923</v>
      </c>
      <c r="F59" s="284">
        <f t="shared" si="57"/>
        <v>213.79980285196154</v>
      </c>
      <c r="G59" s="147">
        <f t="shared" si="58"/>
        <v>0.24883589717407073</v>
      </c>
      <c r="H59" s="439">
        <f>IF(_xlfn.XLOOKUP($C59,'Юнит Карго'!$A:$A,'Юнит Карго'!$G:$G)=0,_xlfn.XLOOKUP(E59,'Себес 1С текущ'!G:G,'Себес 1С текущ'!H:H),_xlfn.XLOOKUP($C59,'Юнит Карго'!$A:$A,'Юнит Карго'!$P:$P,0,0))</f>
        <v>181.79980285196154</v>
      </c>
      <c r="I59" s="268">
        <f>_xlfn.XLOOKUP(E59,[3]ТЗ_ФФ!$D:$D,[3]ТЗ_ФФ!$BG:$BG,0)</f>
        <v>24</v>
      </c>
      <c r="J59" s="269">
        <f t="shared" si="59"/>
        <v>8</v>
      </c>
      <c r="K59" s="273">
        <f t="shared" si="60"/>
        <v>0.96</v>
      </c>
      <c r="L59" s="146">
        <v>16</v>
      </c>
      <c r="M59" s="146">
        <v>12</v>
      </c>
      <c r="N59" s="146">
        <v>5</v>
      </c>
      <c r="O59" s="150">
        <f>_xlfn.XLOOKUP($C59,'Юнит Карго'!$A:$A,'Юнит Карго'!$T:$T,0,0)</f>
        <v>0.16</v>
      </c>
      <c r="P59" s="127" t="s">
        <v>112</v>
      </c>
      <c r="Q59" s="146">
        <v>70</v>
      </c>
      <c r="R59" s="292"/>
      <c r="S59" s="285">
        <f t="shared" si="4"/>
        <v>859.19999999999993</v>
      </c>
      <c r="T59" s="286" t="str">
        <f>_xlfn.XLOOKUP(E59,'[2]Рассчет акции'!$D:$D,'[2]Рассчет акции'!$G:$G,0)</f>
        <v>1432</v>
      </c>
      <c r="U59" s="417">
        <f>_xlfn.XLOOKUP(E59,'[2]Рассчет акции'!$D:$D,'[2]Рассчет акции'!$F:$F,0)</f>
        <v>0.4</v>
      </c>
      <c r="V59" s="235">
        <f t="shared" si="40"/>
        <v>400.59776000000005</v>
      </c>
      <c r="W59" s="288">
        <f t="shared" si="61"/>
        <v>0.46624506517690884</v>
      </c>
      <c r="X59" s="289">
        <f>IF(K59&gt;1,('Тарифы ВБ'!$B$9+(K59-1)*'Тарифы ВБ'!$B$10)*'Тарифы ВБ'!$B$15*'Тарифы ВБ'!$B$12+S59*'Тарифы ВБ'!$B$13,'Тарифы ВБ'!$B$8*'Тарифы ВБ'!$B$15*'Тарифы ВБ'!$B$12+S59*'Тарифы ВБ'!$B$13)</f>
        <v>74.541759999999996</v>
      </c>
      <c r="Y59" s="289">
        <f>IF(K59&gt;1,'Тарифы ВБ'!$B$9+(K59-1)*'Тарифы ВБ'!$B$10,'Тарифы ВБ'!$B$8)</f>
        <v>32</v>
      </c>
      <c r="Z59" s="289">
        <f t="shared" si="42"/>
        <v>106.54176</v>
      </c>
      <c r="AA59" s="236">
        <f t="shared" si="43"/>
        <v>0.12400111731843576</v>
      </c>
      <c r="AB59" s="237">
        <f>IF(K59&gt;1,'Тарифы ВБ'!$B$14*'Тарифы ВБ'!$B$16*'Тарифы ВБ'!$B$15+(K59-1)*'Тарифы ВБ'!$B$14,'Тарифы ВБ'!$B$14*'Тарифы ВБ'!B$16*'Тарифы ВБ'!$B$15)</f>
        <v>32</v>
      </c>
      <c r="AC59" s="287">
        <f t="shared" si="62"/>
        <v>138.54176000000001</v>
      </c>
      <c r="AD59" s="240">
        <f t="shared" si="63"/>
        <v>0.16124506517690879</v>
      </c>
      <c r="AE59" s="241">
        <v>0.27500000000000002</v>
      </c>
      <c r="AF59" s="289">
        <f t="shared" si="64"/>
        <v>236.28</v>
      </c>
      <c r="AG59" s="364">
        <f t="shared" si="65"/>
        <v>0</v>
      </c>
      <c r="AH59" s="364">
        <f t="shared" si="66"/>
        <v>25.775999999999996</v>
      </c>
      <c r="AI59" s="149">
        <f t="shared" si="67"/>
        <v>614.39756285196154</v>
      </c>
      <c r="AJ59" s="447">
        <f t="shared" si="68"/>
        <v>0.21491903764902048</v>
      </c>
      <c r="AK59" s="450">
        <f t="shared" si="69"/>
        <v>244.80243714803839</v>
      </c>
      <c r="AL59" s="450">
        <f t="shared" si="70"/>
        <v>184.65843714803839</v>
      </c>
      <c r="AM59" s="447">
        <f t="shared" si="71"/>
        <v>1.0157240780860726</v>
      </c>
      <c r="AN59" s="458">
        <v>869</v>
      </c>
      <c r="AO59" s="459">
        <f t="shared" si="72"/>
        <v>254.60243714803846</v>
      </c>
      <c r="AP59" s="459">
        <f t="shared" si="73"/>
        <v>193.77243714803845</v>
      </c>
      <c r="AQ59" s="463">
        <f t="shared" si="74"/>
        <v>1.0658561456517428</v>
      </c>
      <c r="AR59" s="464">
        <f t="shared" si="75"/>
        <v>0.22298324182743204</v>
      </c>
      <c r="AS59" s="487" t="str">
        <f>IFERROR(_xlfn.XLOOKUP(A59,'[2]Рассчет акции'!$A:$A,'[2]Рассчет акции'!$BH:$BH),0)</f>
        <v>*</v>
      </c>
      <c r="AT59" s="487">
        <f>IFERROR(_xlfn.XLOOKUP($A59,'[2]Рассчет акции'!$A:$A,'[2]Рассчет акции'!$BC:$BC),0)</f>
        <v>859</v>
      </c>
      <c r="AU59" s="409">
        <f t="shared" si="76"/>
        <v>0.21475254615604011</v>
      </c>
      <c r="AV59" s="407">
        <f t="shared" si="77"/>
        <v>244.60243714803846</v>
      </c>
      <c r="AW59" s="407">
        <f t="shared" si="78"/>
        <v>184.47243714803847</v>
      </c>
      <c r="AX59" s="409">
        <f t="shared" si="79"/>
        <v>1.0147009746663656</v>
      </c>
      <c r="AY59" s="293">
        <f>IFERROR(_xlfn.XLOOKUP(E59,'[2]Рассчет акции'!$D:$D,'[2]Рассчет акции'!$BM:$BM),0)</f>
        <v>266</v>
      </c>
      <c r="AZ59" s="203">
        <f>IFERROR(_xlfn.XLOOKUP(E59,'[2]Рассчет акции'!$D:$D,'[2]Рассчет акции'!$BN:$BN),0)</f>
        <v>999</v>
      </c>
      <c r="BA59" s="294">
        <f t="shared" si="80"/>
        <v>4.7260777323264822</v>
      </c>
      <c r="BB59" s="292"/>
      <c r="BC59" s="497" t="e">
        <f xml:space="preserve"> _xlfn.XLOOKUP(B59,#REF!,#REF!,0)</f>
        <v>#REF!</v>
      </c>
      <c r="BD59" s="500" t="e">
        <f t="shared" si="52"/>
        <v>#REF!</v>
      </c>
      <c r="BE59" s="501">
        <f>_xlfn.XLOOKUP($B59,'[1]Рассчет акции'!$A:$A,'[1]Рассчет акции'!$J:$J)</f>
        <v>0.35007173601147779</v>
      </c>
      <c r="BF59" s="191" t="e">
        <f t="shared" si="44"/>
        <v>#REF!</v>
      </c>
      <c r="BG59" s="192">
        <f t="shared" si="81"/>
        <v>0</v>
      </c>
      <c r="BH59" s="193">
        <v>0.37</v>
      </c>
      <c r="BI59" s="194" t="e">
        <f t="shared" si="82"/>
        <v>#REF!</v>
      </c>
      <c r="BJ59" s="195" t="e">
        <f t="shared" si="45"/>
        <v>#REF!</v>
      </c>
      <c r="BK59" s="422">
        <f t="shared" si="83"/>
        <v>0</v>
      </c>
      <c r="BL59" s="196">
        <f>(IF(K59&gt;$BL$3,('Тарифы ОЗОН'!$G$3+ROUNDUP(K59-$BL$3,0)*'Тарифы ОЗОН'!$G$4),'Тарифы ОЗОН'!$G$3))</f>
        <v>46.77</v>
      </c>
      <c r="BM59" s="196">
        <f t="shared" si="84"/>
        <v>35</v>
      </c>
      <c r="BN59" s="197">
        <f>_xlfn.XLOOKUP(BM59,'Тарифы ОЗОН'!$A:$A,'Тарифы ОЗОН'!$B:$B)</f>
        <v>1.32</v>
      </c>
      <c r="BO59" s="198">
        <f>_xlfn.XLOOKUP(BM59,'Тарифы ОЗОН'!$A:$A,'Тарифы ОЗОН'!C:C)</f>
        <v>1.6E-2</v>
      </c>
      <c r="BP59" s="199">
        <f t="shared" si="85"/>
        <v>25</v>
      </c>
      <c r="BQ59" s="199" t="e">
        <f t="shared" si="46"/>
        <v>#REF!</v>
      </c>
      <c r="BR59" s="359">
        <f t="shared" si="47"/>
        <v>0.85</v>
      </c>
      <c r="BS59" s="199" t="e">
        <f t="shared" si="48"/>
        <v>#REF!</v>
      </c>
      <c r="BT59" s="200">
        <f t="shared" si="86"/>
        <v>0</v>
      </c>
      <c r="BU59" s="262" t="e">
        <f t="shared" si="30"/>
        <v>#REF!</v>
      </c>
      <c r="BV59" s="149" t="e">
        <f t="shared" si="87"/>
        <v>#REF!</v>
      </c>
      <c r="BW59" s="291">
        <f t="shared" si="88"/>
        <v>0</v>
      </c>
      <c r="BX59" s="201">
        <f t="shared" si="89"/>
        <v>0</v>
      </c>
      <c r="BY59" s="201" t="e">
        <f t="shared" si="90"/>
        <v>#REF!</v>
      </c>
      <c r="BZ59" s="202">
        <f t="shared" si="111"/>
        <v>0</v>
      </c>
      <c r="CA59" s="425">
        <v>1059</v>
      </c>
      <c r="CB59" s="426" t="e">
        <f t="shared" si="49"/>
        <v>#REF!</v>
      </c>
      <c r="CC59" s="427" t="e">
        <f t="shared" si="53"/>
        <v>#REF!</v>
      </c>
      <c r="CD59" s="429" t="e">
        <f t="shared" si="91"/>
        <v>#REF!</v>
      </c>
      <c r="CE59" s="429">
        <f t="shared" si="50"/>
        <v>0</v>
      </c>
      <c r="CF59" s="277">
        <f>_xlfn.XLOOKUP(B59,'[1]Рассчет акции'!$A:$A,'[1]Рассчет акции'!$R:$R,0)</f>
        <v>0</v>
      </c>
      <c r="CG59" s="360">
        <f>_xlfn.XLOOKUP(B59,'[1]Рассчет акции'!$A:$A,'[1]Рассчет акции'!$M:$M,0)</f>
        <v>956</v>
      </c>
      <c r="CH59" s="291">
        <f t="shared" si="92"/>
        <v>0</v>
      </c>
      <c r="CI59" s="290" t="e">
        <f t="shared" si="55"/>
        <v>#REF!</v>
      </c>
      <c r="CJ59" s="290" t="e">
        <f t="shared" si="56"/>
        <v>#REF!</v>
      </c>
      <c r="CK59" s="291" t="e">
        <f t="shared" si="93"/>
        <v>#REF!</v>
      </c>
      <c r="CL59" s="203">
        <f>_xlfn.XLOOKUP(B59,'[1]Рассчет акции'!$A:$A,'[1]Рассчет акции'!$W:$W,0)</f>
        <v>36</v>
      </c>
      <c r="CM59" s="424">
        <f>_xlfn.XLOOKUP(B59,'[1]Рассчет акции'!$A:$A,'[1]Рассчет акции'!$X:$X,0)</f>
        <v>999</v>
      </c>
      <c r="CN59" s="294" t="e">
        <f t="shared" si="94"/>
        <v>#REF!</v>
      </c>
      <c r="CO59" s="433">
        <f t="shared" si="51"/>
        <v>953.1</v>
      </c>
      <c r="CP59" s="507">
        <f>_xlfn.XLOOKUP(B59,'[1]Рассчет акции'!$A:$A,'[1]Рассчет акции'!$Z:$Z,0)</f>
        <v>0</v>
      </c>
    </row>
    <row r="60" spans="1:94" ht="24.95" customHeight="1" x14ac:dyDescent="0.25">
      <c r="A60" s="171">
        <v>448248943</v>
      </c>
      <c r="B60" s="173">
        <v>2409846808</v>
      </c>
      <c r="C60" s="171" t="s">
        <v>554</v>
      </c>
      <c r="D60" s="172" t="s">
        <v>556</v>
      </c>
      <c r="E60" s="173">
        <v>2044516485386</v>
      </c>
      <c r="F60" s="284">
        <f t="shared" si="57"/>
        <v>213.79980285196154</v>
      </c>
      <c r="G60" s="147">
        <f t="shared" si="58"/>
        <v>0.24883589717407073</v>
      </c>
      <c r="H60" s="439">
        <f>IF(_xlfn.XLOOKUP($C60,'Юнит Карго'!$A:$A,'Юнит Карго'!$G:$G)=0,_xlfn.XLOOKUP(E60,'Себес 1С текущ'!G:G,'Себес 1С текущ'!H:H),_xlfn.XLOOKUP($C60,'Юнит Карго'!$A:$A,'Юнит Карго'!$P:$P,0,0))</f>
        <v>181.79980285196154</v>
      </c>
      <c r="I60" s="268">
        <f>_xlfn.XLOOKUP(E60,[3]ТЗ_ФФ!$D:$D,[3]ТЗ_ФФ!$BG:$BG,0)</f>
        <v>24</v>
      </c>
      <c r="J60" s="269">
        <f t="shared" si="59"/>
        <v>8</v>
      </c>
      <c r="K60" s="273">
        <f t="shared" si="60"/>
        <v>0.96</v>
      </c>
      <c r="L60" s="146">
        <v>16</v>
      </c>
      <c r="M60" s="146">
        <v>12</v>
      </c>
      <c r="N60" s="146">
        <v>5</v>
      </c>
      <c r="O60" s="150">
        <f>_xlfn.XLOOKUP($C60,'Юнит Карго'!$A:$A,'Юнит Карго'!$T:$T,0,0)</f>
        <v>0.16</v>
      </c>
      <c r="P60" s="127" t="s">
        <v>112</v>
      </c>
      <c r="Q60" s="146">
        <v>70</v>
      </c>
      <c r="R60" s="292"/>
      <c r="S60" s="285">
        <f t="shared" si="4"/>
        <v>859.19999999999993</v>
      </c>
      <c r="T60" s="286" t="str">
        <f>_xlfn.XLOOKUP(E60,'[2]Рассчет акции'!$D:$D,'[2]Рассчет акции'!$G:$G,0)</f>
        <v>1432</v>
      </c>
      <c r="U60" s="417">
        <f>_xlfn.XLOOKUP(E60,'[2]Рассчет акции'!$D:$D,'[2]Рассчет акции'!$F:$F,0)</f>
        <v>0.4</v>
      </c>
      <c r="V60" s="235">
        <f t="shared" si="40"/>
        <v>400.59776000000005</v>
      </c>
      <c r="W60" s="288">
        <f t="shared" si="61"/>
        <v>0.46624506517690884</v>
      </c>
      <c r="X60" s="289">
        <f>IF(K60&gt;1,('Тарифы ВБ'!$B$9+(K60-1)*'Тарифы ВБ'!$B$10)*'Тарифы ВБ'!$B$15*'Тарифы ВБ'!$B$12+S60*'Тарифы ВБ'!$B$13,'Тарифы ВБ'!$B$8*'Тарифы ВБ'!$B$15*'Тарифы ВБ'!$B$12+S60*'Тарифы ВБ'!$B$13)</f>
        <v>74.541759999999996</v>
      </c>
      <c r="Y60" s="289">
        <f>IF(K60&gt;1,'Тарифы ВБ'!$B$9+(K60-1)*'Тарифы ВБ'!$B$10,'Тарифы ВБ'!$B$8)</f>
        <v>32</v>
      </c>
      <c r="Z60" s="289">
        <f t="shared" si="42"/>
        <v>106.54176</v>
      </c>
      <c r="AA60" s="236">
        <f t="shared" si="43"/>
        <v>0.12400111731843576</v>
      </c>
      <c r="AB60" s="237">
        <f>IF(K60&gt;1,'Тарифы ВБ'!$B$14*'Тарифы ВБ'!$B$16*'Тарифы ВБ'!$B$15+(K60-1)*'Тарифы ВБ'!$B$14,'Тарифы ВБ'!$B$14*'Тарифы ВБ'!B$16*'Тарифы ВБ'!$B$15)</f>
        <v>32</v>
      </c>
      <c r="AC60" s="287">
        <f t="shared" si="62"/>
        <v>138.54176000000001</v>
      </c>
      <c r="AD60" s="240">
        <f t="shared" si="63"/>
        <v>0.16124506517690879</v>
      </c>
      <c r="AE60" s="241">
        <v>0.27500000000000002</v>
      </c>
      <c r="AF60" s="289">
        <f t="shared" si="64"/>
        <v>236.28</v>
      </c>
      <c r="AG60" s="364">
        <f t="shared" si="65"/>
        <v>0</v>
      </c>
      <c r="AH60" s="364">
        <f t="shared" si="66"/>
        <v>25.775999999999996</v>
      </c>
      <c r="AI60" s="149">
        <f t="shared" si="67"/>
        <v>614.39756285196154</v>
      </c>
      <c r="AJ60" s="447">
        <f t="shared" si="68"/>
        <v>0.21491903764902048</v>
      </c>
      <c r="AK60" s="450">
        <f t="shared" si="69"/>
        <v>244.80243714803839</v>
      </c>
      <c r="AL60" s="450">
        <f t="shared" si="70"/>
        <v>184.65843714803839</v>
      </c>
      <c r="AM60" s="447">
        <f t="shared" si="71"/>
        <v>1.0157240780860726</v>
      </c>
      <c r="AN60" s="458">
        <v>869</v>
      </c>
      <c r="AO60" s="459">
        <f t="shared" si="72"/>
        <v>254.60243714803846</v>
      </c>
      <c r="AP60" s="459">
        <f t="shared" si="73"/>
        <v>193.77243714803845</v>
      </c>
      <c r="AQ60" s="463">
        <f t="shared" si="74"/>
        <v>1.0658561456517428</v>
      </c>
      <c r="AR60" s="464">
        <f t="shared" si="75"/>
        <v>0.22298324182743204</v>
      </c>
      <c r="AS60" s="487" t="str">
        <f>IFERROR(_xlfn.XLOOKUP(A60,'[2]Рассчет акции'!$A:$A,'[2]Рассчет акции'!$BH:$BH),0)</f>
        <v>*</v>
      </c>
      <c r="AT60" s="487">
        <f>IFERROR(_xlfn.XLOOKUP($A60,'[2]Рассчет акции'!$A:$A,'[2]Рассчет акции'!$BC:$BC),0)</f>
        <v>859</v>
      </c>
      <c r="AU60" s="409">
        <f t="shared" si="76"/>
        <v>0.21475254615604011</v>
      </c>
      <c r="AV60" s="407">
        <f t="shared" si="77"/>
        <v>244.60243714803846</v>
      </c>
      <c r="AW60" s="407">
        <f t="shared" si="78"/>
        <v>184.47243714803847</v>
      </c>
      <c r="AX60" s="409">
        <f t="shared" si="79"/>
        <v>1.0147009746663656</v>
      </c>
      <c r="AY60" s="293">
        <f>IFERROR(_xlfn.XLOOKUP(E60,'[2]Рассчет акции'!$D:$D,'[2]Рассчет акции'!$BM:$BM),0)</f>
        <v>221</v>
      </c>
      <c r="AZ60" s="203">
        <f>IFERROR(_xlfn.XLOOKUP(E60,'[2]Рассчет акции'!$D:$D,'[2]Рассчет акции'!$BN:$BN),0)</f>
        <v>773</v>
      </c>
      <c r="BA60" s="294">
        <f t="shared" si="80"/>
        <v>4.7260777323264822</v>
      </c>
      <c r="BB60" s="292"/>
      <c r="BC60" s="497" t="e">
        <f xml:space="preserve"> _xlfn.XLOOKUP(B60,#REF!,#REF!,0)</f>
        <v>#REF!</v>
      </c>
      <c r="BD60" s="500" t="e">
        <f t="shared" si="52"/>
        <v>#REF!</v>
      </c>
      <c r="BE60" s="501">
        <f>_xlfn.XLOOKUP($B60,'[1]Рассчет акции'!$A:$A,'[1]Рассчет акции'!$J:$J)</f>
        <v>0.35007173601147779</v>
      </c>
      <c r="BF60" s="191" t="e">
        <f t="shared" si="44"/>
        <v>#REF!</v>
      </c>
      <c r="BG60" s="192">
        <f t="shared" si="81"/>
        <v>0</v>
      </c>
      <c r="BH60" s="193">
        <v>0.37</v>
      </c>
      <c r="BI60" s="194" t="e">
        <f t="shared" si="82"/>
        <v>#REF!</v>
      </c>
      <c r="BJ60" s="195" t="e">
        <f t="shared" si="45"/>
        <v>#REF!</v>
      </c>
      <c r="BK60" s="422">
        <f t="shared" si="83"/>
        <v>0</v>
      </c>
      <c r="BL60" s="196">
        <f>(IF(K60&gt;$BL$3,('Тарифы ОЗОН'!$G$3+ROUNDUP(K60-$BL$3,0)*'Тарифы ОЗОН'!$G$4),'Тарифы ОЗОН'!$G$3))</f>
        <v>46.77</v>
      </c>
      <c r="BM60" s="196">
        <f t="shared" si="84"/>
        <v>35</v>
      </c>
      <c r="BN60" s="197">
        <f>_xlfn.XLOOKUP(BM60,'Тарифы ОЗОН'!$A:$A,'Тарифы ОЗОН'!$B:$B)</f>
        <v>1.32</v>
      </c>
      <c r="BO60" s="198">
        <f>_xlfn.XLOOKUP(BM60,'Тарифы ОЗОН'!$A:$A,'Тарифы ОЗОН'!C:C)</f>
        <v>1.6E-2</v>
      </c>
      <c r="BP60" s="199">
        <f t="shared" si="85"/>
        <v>25</v>
      </c>
      <c r="BQ60" s="199" t="e">
        <f t="shared" si="46"/>
        <v>#REF!</v>
      </c>
      <c r="BR60" s="359">
        <f t="shared" si="47"/>
        <v>0.85</v>
      </c>
      <c r="BS60" s="199" t="e">
        <f t="shared" si="48"/>
        <v>#REF!</v>
      </c>
      <c r="BT60" s="200">
        <f t="shared" si="86"/>
        <v>0</v>
      </c>
      <c r="BU60" s="262" t="e">
        <f t="shared" si="30"/>
        <v>#REF!</v>
      </c>
      <c r="BV60" s="149" t="e">
        <f t="shared" si="87"/>
        <v>#REF!</v>
      </c>
      <c r="BW60" s="291">
        <f t="shared" si="88"/>
        <v>0</v>
      </c>
      <c r="BX60" s="201">
        <f t="shared" si="89"/>
        <v>0</v>
      </c>
      <c r="BY60" s="201" t="e">
        <f t="shared" si="90"/>
        <v>#REF!</v>
      </c>
      <c r="BZ60" s="202">
        <f t="shared" si="111"/>
        <v>0</v>
      </c>
      <c r="CA60" s="425">
        <v>1059</v>
      </c>
      <c r="CB60" s="426" t="e">
        <f t="shared" si="49"/>
        <v>#REF!</v>
      </c>
      <c r="CC60" s="427" t="e">
        <f t="shared" si="53"/>
        <v>#REF!</v>
      </c>
      <c r="CD60" s="429" t="e">
        <f t="shared" si="91"/>
        <v>#REF!</v>
      </c>
      <c r="CE60" s="429">
        <f t="shared" si="50"/>
        <v>0</v>
      </c>
      <c r="CF60" s="277">
        <f>_xlfn.XLOOKUP(B60,'[1]Рассчет акции'!$A:$A,'[1]Рассчет акции'!$R:$R,0)</f>
        <v>0</v>
      </c>
      <c r="CG60" s="360">
        <f>_xlfn.XLOOKUP(B60,'[1]Рассчет акции'!$A:$A,'[1]Рассчет акции'!$M:$M,0)</f>
        <v>929</v>
      </c>
      <c r="CH60" s="291">
        <f t="shared" si="92"/>
        <v>0</v>
      </c>
      <c r="CI60" s="290" t="e">
        <f t="shared" si="55"/>
        <v>#REF!</v>
      </c>
      <c r="CJ60" s="290" t="e">
        <f t="shared" si="56"/>
        <v>#REF!</v>
      </c>
      <c r="CK60" s="291" t="e">
        <f t="shared" si="93"/>
        <v>#REF!</v>
      </c>
      <c r="CL60" s="203">
        <f>_xlfn.XLOOKUP(B60,'[1]Рассчет акции'!$A:$A,'[1]Рассчет акции'!$W:$W,0)</f>
        <v>36</v>
      </c>
      <c r="CM60" s="424">
        <f>_xlfn.XLOOKUP(B60,'[1]Рассчет акции'!$A:$A,'[1]Рассчет акции'!$X:$X,0)</f>
        <v>999</v>
      </c>
      <c r="CN60" s="294" t="e">
        <f t="shared" si="94"/>
        <v>#REF!</v>
      </c>
      <c r="CO60" s="433">
        <f t="shared" si="51"/>
        <v>953.1</v>
      </c>
      <c r="CP60" s="507">
        <f>_xlfn.XLOOKUP(B60,'[1]Рассчет акции'!$A:$A,'[1]Рассчет акции'!$Z:$Z,0)</f>
        <v>0</v>
      </c>
    </row>
    <row r="61" spans="1:94" ht="24.95" customHeight="1" x14ac:dyDescent="0.25">
      <c r="A61" s="171">
        <v>448254852</v>
      </c>
      <c r="B61" s="173">
        <v>2409845343</v>
      </c>
      <c r="C61" s="171" t="s">
        <v>555</v>
      </c>
      <c r="D61" s="172" t="s">
        <v>557</v>
      </c>
      <c r="E61" s="173">
        <v>2044516498812</v>
      </c>
      <c r="F61" s="284">
        <f t="shared" si="57"/>
        <v>213.79980285196154</v>
      </c>
      <c r="G61" s="147">
        <f t="shared" si="58"/>
        <v>0.24883589717407073</v>
      </c>
      <c r="H61" s="439">
        <f>IF(_xlfn.XLOOKUP($C61,'Юнит Карго'!$A:$A,'Юнит Карго'!$G:$G)=0,_xlfn.XLOOKUP(E61,'Себес 1С текущ'!G:G,'Себес 1С текущ'!H:H),_xlfn.XLOOKUP($C61,'Юнит Карго'!$A:$A,'Юнит Карго'!$P:$P,0,0))</f>
        <v>181.79980285196154</v>
      </c>
      <c r="I61" s="268">
        <f>_xlfn.XLOOKUP(E61,[3]ТЗ_ФФ!$D:$D,[3]ТЗ_ФФ!$BG:$BG,0)</f>
        <v>24</v>
      </c>
      <c r="J61" s="269">
        <f t="shared" si="59"/>
        <v>8</v>
      </c>
      <c r="K61" s="273">
        <f t="shared" si="60"/>
        <v>0.96</v>
      </c>
      <c r="L61" s="146">
        <v>16</v>
      </c>
      <c r="M61" s="146">
        <v>12</v>
      </c>
      <c r="N61" s="146">
        <v>5</v>
      </c>
      <c r="O61" s="150">
        <f>_xlfn.XLOOKUP($C61,'Юнит Карго'!$A:$A,'Юнит Карго'!$T:$T,0,0)</f>
        <v>0.16</v>
      </c>
      <c r="P61" s="127" t="s">
        <v>112</v>
      </c>
      <c r="Q61" s="146">
        <v>70</v>
      </c>
      <c r="R61" s="292"/>
      <c r="S61" s="285">
        <f t="shared" si="4"/>
        <v>859.19999999999993</v>
      </c>
      <c r="T61" s="286" t="str">
        <f>_xlfn.XLOOKUP(E61,'[2]Рассчет акции'!$D:$D,'[2]Рассчет акции'!$G:$G,0)</f>
        <v>1432</v>
      </c>
      <c r="U61" s="417">
        <f>_xlfn.XLOOKUP(E61,'[2]Рассчет акции'!$D:$D,'[2]Рассчет акции'!$F:$F,0)</f>
        <v>0.4</v>
      </c>
      <c r="V61" s="235">
        <f t="shared" si="40"/>
        <v>400.59776000000005</v>
      </c>
      <c r="W61" s="288">
        <f t="shared" si="61"/>
        <v>0.46624506517690884</v>
      </c>
      <c r="X61" s="289">
        <f>IF(K61&gt;1,('Тарифы ВБ'!$B$9+(K61-1)*'Тарифы ВБ'!$B$10)*'Тарифы ВБ'!$B$15*'Тарифы ВБ'!$B$12+S61*'Тарифы ВБ'!$B$13,'Тарифы ВБ'!$B$8*'Тарифы ВБ'!$B$15*'Тарифы ВБ'!$B$12+S61*'Тарифы ВБ'!$B$13)</f>
        <v>74.541759999999996</v>
      </c>
      <c r="Y61" s="289">
        <f>IF(K61&gt;1,'Тарифы ВБ'!$B$9+(K61-1)*'Тарифы ВБ'!$B$10,'Тарифы ВБ'!$B$8)</f>
        <v>32</v>
      </c>
      <c r="Z61" s="289">
        <f t="shared" si="42"/>
        <v>106.54176</v>
      </c>
      <c r="AA61" s="236">
        <f t="shared" si="43"/>
        <v>0.12400111731843576</v>
      </c>
      <c r="AB61" s="237">
        <f>IF(K61&gt;1,'Тарифы ВБ'!$B$14*'Тарифы ВБ'!$B$16*'Тарифы ВБ'!$B$15+(K61-1)*'Тарифы ВБ'!$B$14,'Тарифы ВБ'!$B$14*'Тарифы ВБ'!B$16*'Тарифы ВБ'!$B$15)</f>
        <v>32</v>
      </c>
      <c r="AC61" s="287">
        <f t="shared" si="62"/>
        <v>138.54176000000001</v>
      </c>
      <c r="AD61" s="240">
        <f t="shared" si="63"/>
        <v>0.16124506517690879</v>
      </c>
      <c r="AE61" s="241">
        <v>0.27500000000000002</v>
      </c>
      <c r="AF61" s="289">
        <f t="shared" si="64"/>
        <v>236.28</v>
      </c>
      <c r="AG61" s="364">
        <f t="shared" si="65"/>
        <v>0</v>
      </c>
      <c r="AH61" s="364">
        <f t="shared" si="66"/>
        <v>25.775999999999996</v>
      </c>
      <c r="AI61" s="149">
        <f t="shared" si="67"/>
        <v>614.39756285196154</v>
      </c>
      <c r="AJ61" s="447">
        <f t="shared" si="68"/>
        <v>0.21491903764902048</v>
      </c>
      <c r="AK61" s="450">
        <f t="shared" si="69"/>
        <v>244.80243714803839</v>
      </c>
      <c r="AL61" s="450">
        <f t="shared" si="70"/>
        <v>184.65843714803839</v>
      </c>
      <c r="AM61" s="447">
        <f t="shared" si="71"/>
        <v>1.0157240780860726</v>
      </c>
      <c r="AN61" s="458">
        <v>869</v>
      </c>
      <c r="AO61" s="459">
        <f t="shared" si="72"/>
        <v>254.60243714803846</v>
      </c>
      <c r="AP61" s="459">
        <f t="shared" si="73"/>
        <v>193.77243714803845</v>
      </c>
      <c r="AQ61" s="463">
        <f t="shared" si="74"/>
        <v>1.0658561456517428</v>
      </c>
      <c r="AR61" s="464">
        <f t="shared" si="75"/>
        <v>0.22298324182743204</v>
      </c>
      <c r="AS61" s="487" t="str">
        <f>IFERROR(_xlfn.XLOOKUP(A61,'[2]Рассчет акции'!$A:$A,'[2]Рассчет акции'!$BH:$BH),0)</f>
        <v>*</v>
      </c>
      <c r="AT61" s="487">
        <f>IFERROR(_xlfn.XLOOKUP($A61,'[2]Рассчет акции'!$A:$A,'[2]Рассчет акции'!$BC:$BC),0)</f>
        <v>859</v>
      </c>
      <c r="AU61" s="409">
        <f t="shared" si="76"/>
        <v>0.21475254615604011</v>
      </c>
      <c r="AV61" s="407">
        <f t="shared" si="77"/>
        <v>244.60243714803846</v>
      </c>
      <c r="AW61" s="407">
        <f t="shared" si="78"/>
        <v>184.47243714803847</v>
      </c>
      <c r="AX61" s="409">
        <f t="shared" si="79"/>
        <v>1.0147009746663656</v>
      </c>
      <c r="AY61" s="293">
        <f>IFERROR(_xlfn.XLOOKUP(E61,'[2]Рассчет акции'!$D:$D,'[2]Рассчет акции'!$BM:$BM),0)</f>
        <v>208</v>
      </c>
      <c r="AZ61" s="203">
        <f>IFERROR(_xlfn.XLOOKUP(E61,'[2]Рассчет акции'!$D:$D,'[2]Рассчет акции'!$BN:$BN),0)</f>
        <v>627</v>
      </c>
      <c r="BA61" s="294">
        <f t="shared" si="80"/>
        <v>4.7260777323264822</v>
      </c>
      <c r="BB61" s="292"/>
      <c r="BC61" s="497" t="e">
        <f xml:space="preserve"> _xlfn.XLOOKUP(B61,#REF!,#REF!,0)</f>
        <v>#REF!</v>
      </c>
      <c r="BD61" s="500" t="e">
        <f t="shared" si="52"/>
        <v>#REF!</v>
      </c>
      <c r="BE61" s="501">
        <f>_xlfn.XLOOKUP($B61,'[1]Рассчет акции'!$A:$A,'[1]Рассчет акции'!$J:$J)</f>
        <v>0.35007173601147779</v>
      </c>
      <c r="BF61" s="191" t="e">
        <f t="shared" si="44"/>
        <v>#REF!</v>
      </c>
      <c r="BG61" s="192">
        <f t="shared" si="81"/>
        <v>0</v>
      </c>
      <c r="BH61" s="193">
        <v>0.37</v>
      </c>
      <c r="BI61" s="194" t="e">
        <f t="shared" si="82"/>
        <v>#REF!</v>
      </c>
      <c r="BJ61" s="195" t="e">
        <f t="shared" si="45"/>
        <v>#REF!</v>
      </c>
      <c r="BK61" s="422">
        <f t="shared" si="83"/>
        <v>0</v>
      </c>
      <c r="BL61" s="196">
        <f>(IF(K61&gt;$BL$3,('Тарифы ОЗОН'!$G$3+ROUNDUP(K61-$BL$3,0)*'Тарифы ОЗОН'!$G$4),'Тарифы ОЗОН'!$G$3))</f>
        <v>46.77</v>
      </c>
      <c r="BM61" s="196">
        <f t="shared" si="84"/>
        <v>35</v>
      </c>
      <c r="BN61" s="197">
        <f>_xlfn.XLOOKUP(BM61,'Тарифы ОЗОН'!$A:$A,'Тарифы ОЗОН'!$B:$B)</f>
        <v>1.32</v>
      </c>
      <c r="BO61" s="198">
        <f>_xlfn.XLOOKUP(BM61,'Тарифы ОЗОН'!$A:$A,'Тарифы ОЗОН'!C:C)</f>
        <v>1.6E-2</v>
      </c>
      <c r="BP61" s="199">
        <f t="shared" si="85"/>
        <v>25</v>
      </c>
      <c r="BQ61" s="199" t="e">
        <f t="shared" si="46"/>
        <v>#REF!</v>
      </c>
      <c r="BR61" s="359">
        <f t="shared" si="47"/>
        <v>0.85</v>
      </c>
      <c r="BS61" s="199" t="e">
        <f t="shared" si="48"/>
        <v>#REF!</v>
      </c>
      <c r="BT61" s="200">
        <f t="shared" si="86"/>
        <v>0</v>
      </c>
      <c r="BU61" s="262" t="e">
        <f t="shared" si="30"/>
        <v>#REF!</v>
      </c>
      <c r="BV61" s="149" t="e">
        <f t="shared" si="87"/>
        <v>#REF!</v>
      </c>
      <c r="BW61" s="291">
        <f t="shared" si="88"/>
        <v>0</v>
      </c>
      <c r="BX61" s="201">
        <f t="shared" si="89"/>
        <v>0</v>
      </c>
      <c r="BY61" s="201" t="e">
        <f t="shared" si="90"/>
        <v>#REF!</v>
      </c>
      <c r="BZ61" s="202">
        <f t="shared" si="111"/>
        <v>0</v>
      </c>
      <c r="CA61" s="425">
        <v>1059</v>
      </c>
      <c r="CB61" s="426" t="e">
        <f t="shared" si="49"/>
        <v>#REF!</v>
      </c>
      <c r="CC61" s="427" t="e">
        <f t="shared" si="53"/>
        <v>#REF!</v>
      </c>
      <c r="CD61" s="429" t="e">
        <f t="shared" si="91"/>
        <v>#REF!</v>
      </c>
      <c r="CE61" s="429">
        <f t="shared" si="50"/>
        <v>0</v>
      </c>
      <c r="CF61" s="277">
        <f>_xlfn.XLOOKUP(B61,'[1]Рассчет акции'!$A:$A,'[1]Рассчет акции'!$R:$R,0)</f>
        <v>0</v>
      </c>
      <c r="CG61" s="360">
        <f>_xlfn.XLOOKUP(B61,'[1]Рассчет акции'!$A:$A,'[1]Рассчет акции'!$M:$M,0)</f>
        <v>929</v>
      </c>
      <c r="CH61" s="291">
        <f t="shared" si="92"/>
        <v>0</v>
      </c>
      <c r="CI61" s="290" t="e">
        <f t="shared" si="55"/>
        <v>#REF!</v>
      </c>
      <c r="CJ61" s="290" t="e">
        <f t="shared" si="56"/>
        <v>#REF!</v>
      </c>
      <c r="CK61" s="291" t="e">
        <f t="shared" si="93"/>
        <v>#REF!</v>
      </c>
      <c r="CL61" s="203">
        <f>_xlfn.XLOOKUP(B61,'[1]Рассчет акции'!$A:$A,'[1]Рассчет акции'!$W:$W,0)</f>
        <v>61</v>
      </c>
      <c r="CM61" s="424">
        <f>_xlfn.XLOOKUP(B61,'[1]Рассчет акции'!$A:$A,'[1]Рассчет акции'!$X:$X,0)</f>
        <v>999</v>
      </c>
      <c r="CN61" s="294" t="e">
        <f t="shared" si="94"/>
        <v>#REF!</v>
      </c>
      <c r="CO61" s="433">
        <f t="shared" si="51"/>
        <v>953.1</v>
      </c>
      <c r="CP61" s="507">
        <f>_xlfn.XLOOKUP(B61,'[1]Рассчет акции'!$A:$A,'[1]Рассчет акции'!$Z:$Z,0)</f>
        <v>0</v>
      </c>
    </row>
    <row r="62" spans="1:94" ht="24.95" customHeight="1" x14ac:dyDescent="0.25">
      <c r="A62" s="171">
        <v>186800214</v>
      </c>
      <c r="B62" s="173">
        <v>2087001323</v>
      </c>
      <c r="C62" s="171" t="s">
        <v>79</v>
      </c>
      <c r="D62" s="172" t="s">
        <v>438</v>
      </c>
      <c r="E62" s="173">
        <v>2038890789598</v>
      </c>
      <c r="F62" s="284">
        <f t="shared" si="57"/>
        <v>285</v>
      </c>
      <c r="G62" s="147">
        <f t="shared" si="58"/>
        <v>0.3447024673439768</v>
      </c>
      <c r="H62" s="439">
        <f>IF(_xlfn.XLOOKUP($C62,'Юнит Карго'!$A:$A,'Юнит Карго'!$G:$G)=0,_xlfn.XLOOKUP(E62,'Себес 1С текущ'!G:G,'Себес 1С текущ'!H:H),_xlfn.XLOOKUP($C62,'Юнит Карго'!$A:$A,'Юнит Карго'!$P:$P,0,0))</f>
        <v>253</v>
      </c>
      <c r="I62" s="268">
        <f>_xlfn.XLOOKUP(E62,[3]ТЗ_ФФ!$D:$D,[3]ТЗ_ФФ!$BG:$BG,0)</f>
        <v>24</v>
      </c>
      <c r="J62" s="269">
        <f t="shared" si="59"/>
        <v>8</v>
      </c>
      <c r="K62" s="273">
        <f t="shared" si="60"/>
        <v>1.4279999999999999</v>
      </c>
      <c r="L62" s="146">
        <v>17</v>
      </c>
      <c r="M62" s="146">
        <v>12</v>
      </c>
      <c r="N62" s="146">
        <v>7</v>
      </c>
      <c r="O62" s="150">
        <f>_xlfn.XLOOKUP($C62,'Юнит Карго'!$A:$A,'Юнит Карго'!$T:$T,0,0)</f>
        <v>0.16500000000000001</v>
      </c>
      <c r="P62" s="127" t="s">
        <v>111</v>
      </c>
      <c r="Q62" s="146">
        <v>60</v>
      </c>
      <c r="R62" s="292"/>
      <c r="S62" s="285">
        <f t="shared" si="4"/>
        <v>826.8</v>
      </c>
      <c r="T62" s="286" t="str">
        <f>_xlfn.XLOOKUP(E62,'[2]Рассчет акции'!$D:$D,'[2]Рассчет акции'!$G:$G,0)</f>
        <v>1378</v>
      </c>
      <c r="U62" s="417">
        <f>_xlfn.XLOOKUP(E62,'[2]Рассчет акции'!$D:$D,'[2]Рассчет акции'!$F:$F,0)</f>
        <v>0.4</v>
      </c>
      <c r="V62" s="235">
        <f t="shared" si="40"/>
        <v>452.87231999999995</v>
      </c>
      <c r="W62" s="288">
        <f t="shared" si="61"/>
        <v>0.54774107402031924</v>
      </c>
      <c r="X62" s="289">
        <f>IF(K62&gt;1,('Тарифы ВБ'!$B$9+(K62-1)*'Тарифы ВБ'!$B$10)*'Тарифы ВБ'!$B$15*'Тарифы ВБ'!$B$12+S62*'Тарифы ВБ'!$B$13,'Тарифы ВБ'!$B$8*'Тарифы ВБ'!$B$15*'Тарифы ВБ'!$B$12+S62*'Тарифы ВБ'!$B$13)</f>
        <v>116.67207999999999</v>
      </c>
      <c r="Y62" s="289">
        <f>IF(K62&gt;1,'Тарифы ВБ'!$B$9+(K62-1)*'Тарифы ВБ'!$B$10,'Тарифы ВБ'!$B$8)</f>
        <v>51.991999999999997</v>
      </c>
      <c r="Z62" s="289">
        <f t="shared" si="42"/>
        <v>168.66407999999998</v>
      </c>
      <c r="AA62" s="236">
        <f t="shared" si="43"/>
        <v>0.20399622641509432</v>
      </c>
      <c r="AB62" s="237">
        <f>IF(K62&gt;1,'Тарифы ВБ'!$B$14*'Тарифы ВБ'!$B$16*'Тарифы ВБ'!$B$15+(K62-1)*'Тарифы ВБ'!$B$14,'Тарифы ВБ'!$B$14*'Тарифы ВБ'!B$16*'Тарифы ВБ'!$B$15)</f>
        <v>32.034239999999997</v>
      </c>
      <c r="AC62" s="287">
        <f t="shared" si="62"/>
        <v>200.69832</v>
      </c>
      <c r="AD62" s="240">
        <f t="shared" si="63"/>
        <v>0.2427410740203193</v>
      </c>
      <c r="AE62" s="241">
        <v>0.27500000000000002</v>
      </c>
      <c r="AF62" s="289">
        <f t="shared" si="64"/>
        <v>227.37</v>
      </c>
      <c r="AG62" s="364">
        <f t="shared" si="65"/>
        <v>0</v>
      </c>
      <c r="AH62" s="364">
        <f t="shared" si="66"/>
        <v>24.803999999999998</v>
      </c>
      <c r="AI62" s="149">
        <f t="shared" si="67"/>
        <v>737.87231999999995</v>
      </c>
      <c r="AJ62" s="447">
        <f t="shared" si="68"/>
        <v>3.7556458635703928E-2</v>
      </c>
      <c r="AK62" s="450">
        <f t="shared" si="69"/>
        <v>88.927680000000009</v>
      </c>
      <c r="AL62" s="450">
        <f t="shared" si="70"/>
        <v>31.051680000000005</v>
      </c>
      <c r="AM62" s="447">
        <f t="shared" si="71"/>
        <v>0.12273391304347828</v>
      </c>
      <c r="AN62" s="458">
        <v>1299</v>
      </c>
      <c r="AO62" s="459">
        <f t="shared" si="72"/>
        <v>561.12768000000005</v>
      </c>
      <c r="AP62" s="459">
        <f t="shared" si="73"/>
        <v>470.19768000000005</v>
      </c>
      <c r="AQ62" s="463">
        <f t="shared" si="74"/>
        <v>1.8584888537549409</v>
      </c>
      <c r="AR62" s="464">
        <f t="shared" si="75"/>
        <v>0.36196896073903007</v>
      </c>
      <c r="AS62" s="487" t="str">
        <f>IFERROR(_xlfn.XLOOKUP(A62,'[2]Рассчет акции'!$A:$A,'[2]Рассчет акции'!$BH:$BH),0)</f>
        <v>*</v>
      </c>
      <c r="AT62" s="487">
        <f>IFERROR(_xlfn.XLOOKUP($A62,'[2]Рассчет акции'!$A:$A,'[2]Рассчет акции'!$BC:$BC),0)</f>
        <v>827</v>
      </c>
      <c r="AU62" s="409">
        <f t="shared" si="76"/>
        <v>3.7772285368802956E-2</v>
      </c>
      <c r="AV62" s="407">
        <f t="shared" si="77"/>
        <v>89.127680000000055</v>
      </c>
      <c r="AW62" s="407">
        <f t="shared" si="78"/>
        <v>31.237680000000047</v>
      </c>
      <c r="AX62" s="409">
        <f t="shared" si="79"/>
        <v>0.1234690909090911</v>
      </c>
      <c r="AY62" s="293">
        <f>IFERROR(_xlfn.XLOOKUP(E62,'[2]Рассчет акции'!$D:$D,'[2]Рассчет акции'!$BM:$BM),0)</f>
        <v>180</v>
      </c>
      <c r="AZ62" s="203">
        <f>IFERROR(_xlfn.XLOOKUP(E62,'[2]Рассчет акции'!$D:$D,'[2]Рассчет акции'!$BN:$BN),0)</f>
        <v>168</v>
      </c>
      <c r="BA62" s="294">
        <f t="shared" si="80"/>
        <v>3.2679841897233199</v>
      </c>
      <c r="BB62" s="292"/>
      <c r="BC62" s="497" t="e">
        <f xml:space="preserve"> _xlfn.XLOOKUP(B62,#REF!,#REF!,0)</f>
        <v>#REF!</v>
      </c>
      <c r="BD62" s="500" t="e">
        <f t="shared" si="52"/>
        <v>#REF!</v>
      </c>
      <c r="BE62" s="501">
        <f>_xlfn.XLOOKUP($B62,'[1]Рассчет акции'!$A:$A,'[1]Рассчет акции'!$J:$J)</f>
        <v>0.34996304508499632</v>
      </c>
      <c r="BF62" s="191" t="e">
        <f t="shared" si="44"/>
        <v>#REF!</v>
      </c>
      <c r="BG62" s="192">
        <f t="shared" si="81"/>
        <v>0</v>
      </c>
      <c r="BH62" s="193">
        <v>0.37</v>
      </c>
      <c r="BI62" s="194" t="e">
        <f t="shared" si="82"/>
        <v>#REF!</v>
      </c>
      <c r="BJ62" s="195" t="e">
        <f t="shared" si="45"/>
        <v>#REF!</v>
      </c>
      <c r="BK62" s="422">
        <f t="shared" si="83"/>
        <v>0</v>
      </c>
      <c r="BL62" s="196">
        <f>(IF(K62&gt;$BL$3,('Тарифы ОЗОН'!$G$3+ROUNDUP(K62-$BL$3,0)*'Тарифы ОЗОН'!$G$4),'Тарифы ОЗОН'!$G$3))</f>
        <v>56.940000000000005</v>
      </c>
      <c r="BM62" s="196">
        <f t="shared" si="84"/>
        <v>35</v>
      </c>
      <c r="BN62" s="197">
        <f>_xlfn.XLOOKUP(BM62,'Тарифы ОЗОН'!$A:$A,'Тарифы ОЗОН'!$B:$B)</f>
        <v>1.32</v>
      </c>
      <c r="BO62" s="198">
        <f>_xlfn.XLOOKUP(BM62,'Тарифы ОЗОН'!$A:$A,'Тарифы ОЗОН'!C:C)</f>
        <v>1.6E-2</v>
      </c>
      <c r="BP62" s="199">
        <f t="shared" si="85"/>
        <v>25</v>
      </c>
      <c r="BQ62" s="199" t="e">
        <f t="shared" si="46"/>
        <v>#REF!</v>
      </c>
      <c r="BR62" s="359">
        <f t="shared" si="47"/>
        <v>0.85</v>
      </c>
      <c r="BS62" s="199" t="e">
        <f t="shared" si="48"/>
        <v>#REF!</v>
      </c>
      <c r="BT62" s="200">
        <f t="shared" si="86"/>
        <v>0</v>
      </c>
      <c r="BU62" s="262" t="e">
        <f t="shared" si="30"/>
        <v>#REF!</v>
      </c>
      <c r="BV62" s="149" t="e">
        <f t="shared" si="87"/>
        <v>#REF!</v>
      </c>
      <c r="BW62" s="291">
        <f t="shared" si="88"/>
        <v>0</v>
      </c>
      <c r="BX62" s="201">
        <f t="shared" si="89"/>
        <v>0</v>
      </c>
      <c r="BY62" s="201" t="e">
        <f t="shared" si="90"/>
        <v>#REF!</v>
      </c>
      <c r="BZ62" s="202">
        <f t="shared" si="111"/>
        <v>0</v>
      </c>
      <c r="CA62" s="425">
        <v>1759</v>
      </c>
      <c r="CB62" s="426" t="e">
        <f t="shared" si="49"/>
        <v>#REF!</v>
      </c>
      <c r="CC62" s="427" t="e">
        <f t="shared" si="53"/>
        <v>#REF!</v>
      </c>
      <c r="CD62" s="429" t="e">
        <f t="shared" si="91"/>
        <v>#REF!</v>
      </c>
      <c r="CE62" s="429">
        <f t="shared" si="50"/>
        <v>0</v>
      </c>
      <c r="CF62" s="277">
        <f>_xlfn.XLOOKUP(B62,'[1]Рассчет акции'!$A:$A,'[1]Рассчет акции'!$R:$R,0)</f>
        <v>0</v>
      </c>
      <c r="CG62" s="360">
        <f>_xlfn.XLOOKUP(B62,'[1]Рассчет акции'!$A:$A,'[1]Рассчет акции'!$M:$M,0)</f>
        <v>0</v>
      </c>
      <c r="CH62" s="291">
        <f t="shared" si="92"/>
        <v>0</v>
      </c>
      <c r="CI62" s="290" t="e">
        <f t="shared" si="55"/>
        <v>#REF!</v>
      </c>
      <c r="CJ62" s="290" t="e">
        <f t="shared" si="56"/>
        <v>#REF!</v>
      </c>
      <c r="CK62" s="291" t="e">
        <f t="shared" si="93"/>
        <v>#REF!</v>
      </c>
      <c r="CL62" s="203">
        <f>_xlfn.XLOOKUP(B62,'[1]Рассчет акции'!$A:$A,'[1]Рассчет акции'!$W:$W,0)</f>
        <v>0</v>
      </c>
      <c r="CM62" s="424">
        <f>_xlfn.XLOOKUP(B62,'[1]Рассчет акции'!$A:$A,'[1]Рассчет акции'!$X:$X,0)</f>
        <v>0</v>
      </c>
      <c r="CN62" s="294" t="e">
        <f t="shared" si="94"/>
        <v>#REF!</v>
      </c>
      <c r="CO62" s="433">
        <f t="shared" si="51"/>
        <v>1583.1</v>
      </c>
      <c r="CP62" s="507">
        <f>_xlfn.XLOOKUP(B62,'[1]Рассчет акции'!$A:$A,'[1]Рассчет акции'!$Z:$Z,0)</f>
        <v>0</v>
      </c>
    </row>
    <row r="63" spans="1:94" ht="24.95" customHeight="1" x14ac:dyDescent="0.25">
      <c r="A63" s="171">
        <v>298193176</v>
      </c>
      <c r="B63" s="173">
        <v>2087000633</v>
      </c>
      <c r="C63" s="171" t="s">
        <v>162</v>
      </c>
      <c r="D63" s="172" t="s">
        <v>280</v>
      </c>
      <c r="E63" s="173">
        <v>2042160422832</v>
      </c>
      <c r="F63" s="284">
        <f t="shared" si="57"/>
        <v>285</v>
      </c>
      <c r="G63" s="147">
        <f t="shared" si="58"/>
        <v>0.36039453717754177</v>
      </c>
      <c r="H63" s="439">
        <f>IF(_xlfn.XLOOKUP($C63,'Юнит Карго'!$A:$A,'Юнит Карго'!$G:$G)=0,_xlfn.XLOOKUP(E63,'Себес 1С текущ'!G:G,'Себес 1С текущ'!H:H),_xlfn.XLOOKUP($C63,'Юнит Карго'!$A:$A,'Юнит Карго'!$P:$P,0,0))</f>
        <v>253</v>
      </c>
      <c r="I63" s="268">
        <f>_xlfn.XLOOKUP(E63,[3]ТЗ_ФФ!$D:$D,[3]ТЗ_ФФ!$BG:$BG,0)</f>
        <v>24</v>
      </c>
      <c r="J63" s="269">
        <f t="shared" si="59"/>
        <v>8</v>
      </c>
      <c r="K63" s="273">
        <f t="shared" si="60"/>
        <v>1.4279999999999999</v>
      </c>
      <c r="L63" s="146">
        <v>17</v>
      </c>
      <c r="M63" s="146">
        <v>12</v>
      </c>
      <c r="N63" s="146">
        <v>7</v>
      </c>
      <c r="O63" s="150">
        <f>_xlfn.XLOOKUP($C63,'Юнит Карго'!$A:$A,'Юнит Карго'!$T:$T,0,0)</f>
        <v>0.16500000000000001</v>
      </c>
      <c r="P63" s="127"/>
      <c r="Q63" s="146">
        <v>60</v>
      </c>
      <c r="R63" s="292"/>
      <c r="S63" s="285">
        <f t="shared" si="4"/>
        <v>790.8</v>
      </c>
      <c r="T63" s="286" t="str">
        <f>_xlfn.XLOOKUP(E63,'[2]Рассчет акции'!$D:$D,'[2]Рассчет акции'!$G:$G,0)</f>
        <v>1318</v>
      </c>
      <c r="U63" s="417">
        <f>_xlfn.XLOOKUP(E63,'[2]Рассчет акции'!$D:$D,'[2]Рассчет акции'!$F:$F,0)</f>
        <v>0.4</v>
      </c>
      <c r="V63" s="235">
        <f t="shared" si="40"/>
        <v>441.61151999999998</v>
      </c>
      <c r="W63" s="288">
        <f t="shared" si="61"/>
        <v>0.5584364188163885</v>
      </c>
      <c r="X63" s="289">
        <f>IF(K63&gt;1,('Тарифы ВБ'!$B$9+(K63-1)*'Тарифы ВБ'!$B$10)*'Тарифы ВБ'!$B$15*'Тарифы ВБ'!$B$12+S63*'Тарифы ВБ'!$B$13,'Тарифы ВБ'!$B$8*'Тарифы ВБ'!$B$15*'Тарифы ВБ'!$B$12+S63*'Тарифы ВБ'!$B$13)</f>
        <v>116.39127999999999</v>
      </c>
      <c r="Y63" s="289">
        <f>IF(K63&gt;1,'Тарифы ВБ'!$B$9+(K63-1)*'Тарифы ВБ'!$B$10,'Тарифы ВБ'!$B$8)</f>
        <v>51.991999999999997</v>
      </c>
      <c r="Z63" s="289">
        <f t="shared" si="42"/>
        <v>168.38327999999998</v>
      </c>
      <c r="AA63" s="236">
        <f t="shared" si="43"/>
        <v>0.21292776934749619</v>
      </c>
      <c r="AB63" s="237">
        <f>IF(K63&gt;1,'Тарифы ВБ'!$B$14*'Тарифы ВБ'!$B$16*'Тарифы ВБ'!$B$15+(K63-1)*'Тарифы ВБ'!$B$14,'Тарифы ВБ'!$B$14*'Тарифы ВБ'!B$16*'Тарифы ВБ'!$B$15)</f>
        <v>32.034239999999997</v>
      </c>
      <c r="AC63" s="287">
        <f t="shared" si="62"/>
        <v>200.41752</v>
      </c>
      <c r="AD63" s="240">
        <f t="shared" si="63"/>
        <v>0.25343641881638845</v>
      </c>
      <c r="AE63" s="241">
        <v>0.27500000000000002</v>
      </c>
      <c r="AF63" s="289">
        <f t="shared" si="64"/>
        <v>217.47</v>
      </c>
      <c r="AG63" s="364">
        <f t="shared" si="65"/>
        <v>0</v>
      </c>
      <c r="AH63" s="364">
        <f t="shared" si="66"/>
        <v>23.723999999999997</v>
      </c>
      <c r="AI63" s="149">
        <f t="shared" si="67"/>
        <v>726.61151999999993</v>
      </c>
      <c r="AJ63" s="447">
        <f t="shared" si="68"/>
        <v>1.1169044006069835E-2</v>
      </c>
      <c r="AK63" s="450">
        <f t="shared" si="69"/>
        <v>64.188480000000027</v>
      </c>
      <c r="AL63" s="450">
        <f t="shared" si="70"/>
        <v>8.8324800000000252</v>
      </c>
      <c r="AM63" s="447">
        <f t="shared" si="71"/>
        <v>3.4910988142292591E-2</v>
      </c>
      <c r="AN63" s="458">
        <v>1299</v>
      </c>
      <c r="AO63" s="459">
        <f t="shared" si="72"/>
        <v>572.38848000000007</v>
      </c>
      <c r="AP63" s="459">
        <f t="shared" si="73"/>
        <v>481.45848000000007</v>
      </c>
      <c r="AQ63" s="463">
        <f t="shared" si="74"/>
        <v>1.9029979446640319</v>
      </c>
      <c r="AR63" s="464">
        <f t="shared" si="75"/>
        <v>0.37063778290993077</v>
      </c>
      <c r="AS63" s="487" t="str">
        <f>IFERROR(_xlfn.XLOOKUP(A63,'[2]Рассчет акции'!$A:$A,'[2]Рассчет акции'!$BH:$BH),0)</f>
        <v>*</v>
      </c>
      <c r="AT63" s="487">
        <f>IFERROR(_xlfn.XLOOKUP($A63,'[2]Рассчет акции'!$A:$A,'[2]Рассчет акции'!$BC:$BC),0)</f>
        <v>791</v>
      </c>
      <c r="AU63" s="409">
        <f t="shared" si="76"/>
        <v>1.1401365360303499E-2</v>
      </c>
      <c r="AV63" s="407">
        <f t="shared" si="77"/>
        <v>64.388480000000072</v>
      </c>
      <c r="AW63" s="407">
        <f t="shared" si="78"/>
        <v>9.0184800000000678</v>
      </c>
      <c r="AX63" s="409">
        <f t="shared" si="79"/>
        <v>3.5646166007905405E-2</v>
      </c>
      <c r="AY63" s="293">
        <f>IFERROR(_xlfn.XLOOKUP(E63,'[2]Рассчет акции'!$D:$D,'[2]Рассчет акции'!$BM:$BM),0)</f>
        <v>157</v>
      </c>
      <c r="AZ63" s="203">
        <f>IFERROR(_xlfn.XLOOKUP(E63,'[2]Рассчет акции'!$D:$D,'[2]Рассчет акции'!$BN:$BN),0)</f>
        <v>259</v>
      </c>
      <c r="BA63" s="294">
        <f t="shared" si="80"/>
        <v>3.1256916996047428</v>
      </c>
      <c r="BB63" s="292"/>
      <c r="BC63" s="497" t="e">
        <f xml:space="preserve"> _xlfn.XLOOKUP(B63,#REF!,#REF!,0)</f>
        <v>#REF!</v>
      </c>
      <c r="BD63" s="500" t="e">
        <f t="shared" si="52"/>
        <v>#REF!</v>
      </c>
      <c r="BE63" s="501">
        <f>_xlfn.XLOOKUP($B63,'[1]Рассчет акции'!$A:$A,'[1]Рассчет акции'!$J:$J)</f>
        <v>0.34996304508499632</v>
      </c>
      <c r="BF63" s="191" t="e">
        <f t="shared" si="44"/>
        <v>#REF!</v>
      </c>
      <c r="BG63" s="192">
        <f t="shared" si="81"/>
        <v>0</v>
      </c>
      <c r="BH63" s="193">
        <v>0.37</v>
      </c>
      <c r="BI63" s="194" t="e">
        <f t="shared" si="82"/>
        <v>#REF!</v>
      </c>
      <c r="BJ63" s="195" t="e">
        <f t="shared" si="45"/>
        <v>#REF!</v>
      </c>
      <c r="BK63" s="422">
        <f t="shared" si="83"/>
        <v>0</v>
      </c>
      <c r="BL63" s="196">
        <f>(IF(K63&gt;$BL$3,('Тарифы ОЗОН'!$G$3+ROUNDUP(K63-$BL$3,0)*'Тарифы ОЗОН'!$G$4),'Тарифы ОЗОН'!$G$3))</f>
        <v>56.940000000000005</v>
      </c>
      <c r="BM63" s="196">
        <f t="shared" si="84"/>
        <v>35</v>
      </c>
      <c r="BN63" s="197">
        <f>_xlfn.XLOOKUP(BM63,'Тарифы ОЗОН'!$A:$A,'Тарифы ОЗОН'!$B:$B)</f>
        <v>1.32</v>
      </c>
      <c r="BO63" s="198">
        <f>_xlfn.XLOOKUP(BM63,'Тарифы ОЗОН'!$A:$A,'Тарифы ОЗОН'!C:C)</f>
        <v>1.6E-2</v>
      </c>
      <c r="BP63" s="199">
        <f t="shared" si="85"/>
        <v>25</v>
      </c>
      <c r="BQ63" s="199" t="e">
        <f t="shared" si="46"/>
        <v>#REF!</v>
      </c>
      <c r="BR63" s="359">
        <f t="shared" si="47"/>
        <v>0.85</v>
      </c>
      <c r="BS63" s="199" t="e">
        <f t="shared" si="48"/>
        <v>#REF!</v>
      </c>
      <c r="BT63" s="200">
        <f t="shared" si="86"/>
        <v>0</v>
      </c>
      <c r="BU63" s="262" t="e">
        <f t="shared" si="30"/>
        <v>#REF!</v>
      </c>
      <c r="BV63" s="149" t="e">
        <f t="shared" si="87"/>
        <v>#REF!</v>
      </c>
      <c r="BW63" s="291">
        <f t="shared" si="88"/>
        <v>0</v>
      </c>
      <c r="BX63" s="201">
        <f t="shared" si="89"/>
        <v>0</v>
      </c>
      <c r="BY63" s="201" t="e">
        <f t="shared" si="90"/>
        <v>#REF!</v>
      </c>
      <c r="BZ63" s="202">
        <f t="shared" si="111"/>
        <v>0</v>
      </c>
      <c r="CA63" s="425">
        <v>1759</v>
      </c>
      <c r="CB63" s="426" t="e">
        <f t="shared" si="49"/>
        <v>#REF!</v>
      </c>
      <c r="CC63" s="427" t="e">
        <f t="shared" si="53"/>
        <v>#REF!</v>
      </c>
      <c r="CD63" s="429" t="e">
        <f t="shared" si="91"/>
        <v>#REF!</v>
      </c>
      <c r="CE63" s="429">
        <f t="shared" si="50"/>
        <v>0</v>
      </c>
      <c r="CF63" s="277">
        <f>_xlfn.XLOOKUP(B63,'[1]Рассчет акции'!$A:$A,'[1]Рассчет акции'!$R:$R,0)</f>
        <v>0</v>
      </c>
      <c r="CG63" s="360">
        <f>_xlfn.XLOOKUP(B63,'[1]Рассчет акции'!$A:$A,'[1]Рассчет акции'!$M:$M,0)</f>
        <v>0</v>
      </c>
      <c r="CH63" s="291">
        <f t="shared" si="92"/>
        <v>0</v>
      </c>
      <c r="CI63" s="290" t="e">
        <f t="shared" si="55"/>
        <v>#REF!</v>
      </c>
      <c r="CJ63" s="290" t="e">
        <f t="shared" si="56"/>
        <v>#REF!</v>
      </c>
      <c r="CK63" s="291" t="e">
        <f t="shared" si="93"/>
        <v>#REF!</v>
      </c>
      <c r="CL63" s="203">
        <f>_xlfn.XLOOKUP(B63,'[1]Рассчет акции'!$A:$A,'[1]Рассчет акции'!$W:$W,0)</f>
        <v>0</v>
      </c>
      <c r="CM63" s="424">
        <f>_xlfn.XLOOKUP(B63,'[1]Рассчет акции'!$A:$A,'[1]Рассчет акции'!$X:$X,0)</f>
        <v>0</v>
      </c>
      <c r="CN63" s="294" t="e">
        <f t="shared" si="94"/>
        <v>#REF!</v>
      </c>
      <c r="CO63" s="433">
        <f t="shared" si="51"/>
        <v>1583.1</v>
      </c>
      <c r="CP63" s="507">
        <f>_xlfn.XLOOKUP(B63,'[1]Рассчет акции'!$A:$A,'[1]Рассчет акции'!$Z:$Z,0)</f>
        <v>0</v>
      </c>
    </row>
    <row r="64" spans="1:94" ht="24.95" customHeight="1" x14ac:dyDescent="0.25">
      <c r="A64" s="171">
        <v>278515093</v>
      </c>
      <c r="B64" s="173">
        <v>2082252055</v>
      </c>
      <c r="C64" s="171" t="s">
        <v>421</v>
      </c>
      <c r="D64" s="172" t="s">
        <v>439</v>
      </c>
      <c r="E64" s="173">
        <v>2041680530447</v>
      </c>
      <c r="F64" s="284">
        <f>SUM(H64:J64)</f>
        <v>166.06169017371394</v>
      </c>
      <c r="G64" s="147">
        <f t="shared" si="58"/>
        <v>0.1902195763730973</v>
      </c>
      <c r="H64" s="439">
        <f>IF(_xlfn.XLOOKUP($C64,'Юнит Карго'!$A:$A,'Юнит Карго'!$G:$G)=0,_xlfn.XLOOKUP(E64,'Себес 1С текущ'!G:G,'Себес 1С текущ'!H:H),_xlfn.XLOOKUP($C64,'Юнит Карго'!$A:$A,'Юнит Карго'!$P:$P,0,0))</f>
        <v>134.06169017371394</v>
      </c>
      <c r="I64" s="268">
        <f>_xlfn.XLOOKUP(E64,[3]ТЗ_ФФ!$D:$D,[3]ТЗ_ФФ!$BG:$BG,0)</f>
        <v>24</v>
      </c>
      <c r="J64" s="269">
        <f t="shared" si="59"/>
        <v>8</v>
      </c>
      <c r="K64" s="273">
        <f t="shared" si="60"/>
        <v>1.4279999999999999</v>
      </c>
      <c r="L64" s="146">
        <v>17</v>
      </c>
      <c r="M64" s="146">
        <v>12</v>
      </c>
      <c r="N64" s="146">
        <v>7</v>
      </c>
      <c r="O64" s="150">
        <f>_xlfn.XLOOKUP($C64,'Юнит Карго'!$A:$A,'Юнит Карго'!$T:$T,0,0)</f>
        <v>0.15</v>
      </c>
      <c r="P64" s="127" t="s">
        <v>188</v>
      </c>
      <c r="Q64" s="146">
        <v>60</v>
      </c>
      <c r="R64" s="292"/>
      <c r="S64" s="285">
        <f t="shared" si="4"/>
        <v>873</v>
      </c>
      <c r="T64" s="286" t="str">
        <f>_xlfn.XLOOKUP(E64,'[2]Рассчет акции'!$D:$D,'[2]Рассчет акции'!$G:$G,0)</f>
        <v>1455</v>
      </c>
      <c r="U64" s="417">
        <f>_xlfn.XLOOKUP(E64,'[2]Рассчет акции'!$D:$D,'[2]Рассчет акции'!$F:$F,0)</f>
        <v>0.4</v>
      </c>
      <c r="V64" s="235">
        <f t="shared" si="40"/>
        <v>467.32368000000002</v>
      </c>
      <c r="W64" s="288">
        <f t="shared" si="61"/>
        <v>0.53530776632302413</v>
      </c>
      <c r="X64" s="289">
        <f>IF(K64&gt;1,('Тарифы ВБ'!$B$9+(K64-1)*'Тарифы ВБ'!$B$10)*'Тарифы ВБ'!$B$15*'Тарифы ВБ'!$B$12+S64*'Тарифы ВБ'!$B$13,'Тарифы ВБ'!$B$8*'Тарифы ВБ'!$B$15*'Тарифы ВБ'!$B$12+S64*'Тарифы ВБ'!$B$13)</f>
        <v>117.03243999999999</v>
      </c>
      <c r="Y64" s="289">
        <f>IF(K64&gt;1,'Тарифы ВБ'!$B$9+(K64-1)*'Тарифы ВБ'!$B$10,'Тарифы ВБ'!$B$8)</f>
        <v>51.991999999999997</v>
      </c>
      <c r="Z64" s="289">
        <f t="shared" si="42"/>
        <v>169.02444</v>
      </c>
      <c r="AA64" s="236">
        <f t="shared" si="43"/>
        <v>0.19361333333333333</v>
      </c>
      <c r="AB64" s="237">
        <f>IF(K64&gt;1,'Тарифы ВБ'!$B$14*'Тарифы ВБ'!$B$16*'Тарифы ВБ'!$B$15+(K64-1)*'Тарифы ВБ'!$B$14,'Тарифы ВБ'!$B$14*'Тарифы ВБ'!B$16*'Тарифы ВБ'!$B$15)</f>
        <v>32.034239999999997</v>
      </c>
      <c r="AC64" s="287">
        <f t="shared" si="62"/>
        <v>201.05867999999998</v>
      </c>
      <c r="AD64" s="240">
        <f t="shared" si="63"/>
        <v>0.23030776632302402</v>
      </c>
      <c r="AE64" s="241">
        <v>0.27500000000000002</v>
      </c>
      <c r="AF64" s="289">
        <f t="shared" si="64"/>
        <v>240.07500000000002</v>
      </c>
      <c r="AG64" s="364">
        <f t="shared" si="65"/>
        <v>0</v>
      </c>
      <c r="AH64" s="364">
        <f t="shared" si="66"/>
        <v>26.189999999999998</v>
      </c>
      <c r="AI64" s="149">
        <f t="shared" si="67"/>
        <v>633.38537017371391</v>
      </c>
      <c r="AJ64" s="447">
        <f t="shared" si="68"/>
        <v>0.20447265730387867</v>
      </c>
      <c r="AK64" s="450">
        <f t="shared" si="69"/>
        <v>239.61462982628609</v>
      </c>
      <c r="AL64" s="450">
        <f t="shared" si="70"/>
        <v>178.50462982628608</v>
      </c>
      <c r="AM64" s="447">
        <f t="shared" si="71"/>
        <v>1.3315111095122256</v>
      </c>
      <c r="AN64" s="458">
        <v>979</v>
      </c>
      <c r="AO64" s="459">
        <f t="shared" si="72"/>
        <v>345.61462982628609</v>
      </c>
      <c r="AP64" s="459">
        <f t="shared" si="73"/>
        <v>277.08462982628612</v>
      </c>
      <c r="AQ64" s="463">
        <f t="shared" si="74"/>
        <v>2.0668442227398929</v>
      </c>
      <c r="AR64" s="464">
        <f t="shared" si="75"/>
        <v>0.28302822249876008</v>
      </c>
      <c r="AS64" s="487" t="str">
        <f>IFERROR(_xlfn.XLOOKUP(A64,'[2]Рассчет акции'!$A:$A,'[2]Рассчет акции'!$BH:$BH),0)</f>
        <v>*</v>
      </c>
      <c r="AT64" s="487">
        <f>IFERROR(_xlfn.XLOOKUP($A64,'[2]Рассчет акции'!$A:$A,'[2]Рассчет акции'!$BC:$BC),0)</f>
        <v>873</v>
      </c>
      <c r="AU64" s="409">
        <f t="shared" si="76"/>
        <v>0.20447265730387867</v>
      </c>
      <c r="AV64" s="407">
        <f t="shared" si="77"/>
        <v>239.61462982628609</v>
      </c>
      <c r="AW64" s="407">
        <f t="shared" si="78"/>
        <v>178.50462982628608</v>
      </c>
      <c r="AX64" s="409">
        <f t="shared" si="79"/>
        <v>1.3315111095122256</v>
      </c>
      <c r="AY64" s="293">
        <f>IFERROR(_xlfn.XLOOKUP(E64,'[2]Рассчет акции'!$D:$D,'[2]Рассчет акции'!$BM:$BM),0)</f>
        <v>337</v>
      </c>
      <c r="AZ64" s="203">
        <f>IFERROR(_xlfn.XLOOKUP(E64,'[2]Рассчет акции'!$D:$D,'[2]Рассчет акции'!$BN:$BN),0)</f>
        <v>999</v>
      </c>
      <c r="BA64" s="294">
        <f t="shared" si="80"/>
        <v>6.5119274482425773</v>
      </c>
      <c r="BB64" s="292"/>
      <c r="BC64" s="497" t="e">
        <f xml:space="preserve"> _xlfn.XLOOKUP(B64,#REF!,#REF!,0)</f>
        <v>#REF!</v>
      </c>
      <c r="BD64" s="500" t="e">
        <f t="shared" si="52"/>
        <v>#REF!</v>
      </c>
      <c r="BE64" s="501">
        <f>_xlfn.XLOOKUP($B64,'[1]Рассчет акции'!$A:$A,'[1]Рассчет акции'!$J:$J)</f>
        <v>0.3498498498498499</v>
      </c>
      <c r="BF64" s="191" t="e">
        <f t="shared" si="44"/>
        <v>#REF!</v>
      </c>
      <c r="BG64" s="192">
        <f t="shared" si="81"/>
        <v>0</v>
      </c>
      <c r="BH64" s="193">
        <v>0.37</v>
      </c>
      <c r="BI64" s="194" t="e">
        <f t="shared" si="82"/>
        <v>#REF!</v>
      </c>
      <c r="BJ64" s="195" t="e">
        <f t="shared" si="45"/>
        <v>#REF!</v>
      </c>
      <c r="BK64" s="422">
        <f t="shared" si="83"/>
        <v>0</v>
      </c>
      <c r="BL64" s="196">
        <f>(IF(K64&gt;$BL$3,('Тарифы ОЗОН'!$G$3+ROUNDUP(K64-$BL$3,0)*'Тарифы ОЗОН'!$G$4),'Тарифы ОЗОН'!$G$3))</f>
        <v>56.940000000000005</v>
      </c>
      <c r="BM64" s="196">
        <f t="shared" si="84"/>
        <v>35</v>
      </c>
      <c r="BN64" s="197">
        <f>_xlfn.XLOOKUP(BM64,'Тарифы ОЗОН'!$A:$A,'Тарифы ОЗОН'!$B:$B)</f>
        <v>1.32</v>
      </c>
      <c r="BO64" s="198">
        <f>_xlfn.XLOOKUP(BM64,'Тарифы ОЗОН'!$A:$A,'Тарифы ОЗОН'!C:C)</f>
        <v>1.6E-2</v>
      </c>
      <c r="BP64" s="199">
        <f t="shared" si="85"/>
        <v>25</v>
      </c>
      <c r="BQ64" s="199" t="e">
        <f t="shared" si="46"/>
        <v>#REF!</v>
      </c>
      <c r="BR64" s="359">
        <f t="shared" si="47"/>
        <v>0.85</v>
      </c>
      <c r="BS64" s="199" t="e">
        <f t="shared" si="48"/>
        <v>#REF!</v>
      </c>
      <c r="BT64" s="200">
        <f t="shared" si="86"/>
        <v>0</v>
      </c>
      <c r="BU64" s="262" t="e">
        <f t="shared" si="30"/>
        <v>#REF!</v>
      </c>
      <c r="BV64" s="149" t="e">
        <f t="shared" si="87"/>
        <v>#REF!</v>
      </c>
      <c r="BW64" s="291">
        <f t="shared" si="88"/>
        <v>0</v>
      </c>
      <c r="BX64" s="201">
        <f t="shared" si="89"/>
        <v>0</v>
      </c>
      <c r="BY64" s="201" t="e">
        <f t="shared" si="90"/>
        <v>#REF!</v>
      </c>
      <c r="BZ64" s="202">
        <f t="shared" si="111"/>
        <v>0</v>
      </c>
      <c r="CA64" s="425">
        <v>1019</v>
      </c>
      <c r="CB64" s="426" t="e">
        <f t="shared" si="49"/>
        <v>#REF!</v>
      </c>
      <c r="CC64" s="427" t="e">
        <f t="shared" si="53"/>
        <v>#REF!</v>
      </c>
      <c r="CD64" s="429" t="e">
        <f t="shared" si="91"/>
        <v>#REF!</v>
      </c>
      <c r="CE64" s="429">
        <f t="shared" si="50"/>
        <v>0</v>
      </c>
      <c r="CF64" s="277">
        <f>_xlfn.XLOOKUP(B64,'[1]Рассчет акции'!$A:$A,'[1]Рассчет акции'!$R:$R,0)</f>
        <v>0</v>
      </c>
      <c r="CG64" s="360">
        <f>_xlfn.XLOOKUP(B64,'[1]Рассчет акции'!$A:$A,'[1]Рассчет акции'!$M:$M,0)</f>
        <v>929</v>
      </c>
      <c r="CH64" s="291">
        <f t="shared" si="92"/>
        <v>0</v>
      </c>
      <c r="CI64" s="290" t="e">
        <f t="shared" si="55"/>
        <v>#REF!</v>
      </c>
      <c r="CJ64" s="290" t="e">
        <f t="shared" si="56"/>
        <v>#REF!</v>
      </c>
      <c r="CK64" s="291" t="e">
        <f t="shared" si="93"/>
        <v>#REF!</v>
      </c>
      <c r="CL64" s="203">
        <f>_xlfn.XLOOKUP(B64,'[1]Рассчет акции'!$A:$A,'[1]Рассчет акции'!$W:$W,0)</f>
        <v>89</v>
      </c>
      <c r="CM64" s="424">
        <f>_xlfn.XLOOKUP(B64,'[1]Рассчет акции'!$A:$A,'[1]Рассчет акции'!$X:$X,0)</f>
        <v>623</v>
      </c>
      <c r="CN64" s="294" t="e">
        <f t="shared" si="94"/>
        <v>#REF!</v>
      </c>
      <c r="CO64" s="433">
        <f t="shared" si="51"/>
        <v>917.1</v>
      </c>
      <c r="CP64" s="507">
        <f>_xlfn.XLOOKUP(B64,'[1]Рассчет акции'!$A:$A,'[1]Рассчет акции'!$Z:$Z,0)</f>
        <v>0</v>
      </c>
    </row>
    <row r="65" spans="1:94" ht="24.95" customHeight="1" x14ac:dyDescent="0.25">
      <c r="A65" s="171">
        <v>345168494</v>
      </c>
      <c r="B65" s="173">
        <v>2082255799</v>
      </c>
      <c r="C65" s="171" t="s">
        <v>419</v>
      </c>
      <c r="D65" s="172" t="s">
        <v>310</v>
      </c>
      <c r="E65" s="173">
        <v>2043048226719</v>
      </c>
      <c r="F65" s="284">
        <f t="shared" si="57"/>
        <v>166.06169017371394</v>
      </c>
      <c r="G65" s="147">
        <f t="shared" si="58"/>
        <v>0.17137429326492667</v>
      </c>
      <c r="H65" s="439">
        <f>IF(_xlfn.XLOOKUP($C65,'Юнит Карго'!$A:$A,'Юнит Карго'!$G:$G)=0,_xlfn.XLOOKUP(E65,'Себес 1С текущ'!G:G,'Себес 1С текущ'!H:H),_xlfn.XLOOKUP($C65,'Юнит Карго'!$A:$A,'Юнит Карго'!$P:$P,0,0))</f>
        <v>134.06169017371394</v>
      </c>
      <c r="I65" s="268">
        <f>_xlfn.XLOOKUP(E65,[3]ТЗ_ФФ!$D:$D,[3]ТЗ_ФФ!$BG:$BG,0)</f>
        <v>24</v>
      </c>
      <c r="J65" s="269">
        <f t="shared" si="59"/>
        <v>8</v>
      </c>
      <c r="K65" s="273">
        <f t="shared" si="60"/>
        <v>1.4279999999999999</v>
      </c>
      <c r="L65" s="146">
        <v>17</v>
      </c>
      <c r="M65" s="146">
        <v>12</v>
      </c>
      <c r="N65" s="146">
        <v>7</v>
      </c>
      <c r="O65" s="150">
        <f>_xlfn.XLOOKUP($C65,'Юнит Карго'!$A:$A,'Юнит Карго'!$T:$T,0,0)</f>
        <v>0.15</v>
      </c>
      <c r="P65" s="127"/>
      <c r="Q65" s="146">
        <v>60</v>
      </c>
      <c r="R65" s="292"/>
      <c r="S65" s="285">
        <f t="shared" si="4"/>
        <v>969</v>
      </c>
      <c r="T65" s="286" t="str">
        <f>_xlfn.XLOOKUP(E65,'[2]Рассчет акции'!$D:$D,'[2]Рассчет акции'!$G:$G,0)</f>
        <v>1615</v>
      </c>
      <c r="U65" s="417">
        <f>_xlfn.XLOOKUP(E65,'[2]Рассчет акции'!$D:$D,'[2]Рассчет акции'!$F:$F,0)</f>
        <v>0.4</v>
      </c>
      <c r="V65" s="235">
        <f t="shared" si="40"/>
        <v>497.35247999999996</v>
      </c>
      <c r="W65" s="288">
        <f t="shared" si="61"/>
        <v>0.51326365325077394</v>
      </c>
      <c r="X65" s="289">
        <f>IF(K65&gt;1,('Тарифы ВБ'!$B$9+(K65-1)*'Тарифы ВБ'!$B$10)*'Тарифы ВБ'!$B$15*'Тарифы ВБ'!$B$12+S65*'Тарифы ВБ'!$B$13,'Тарифы ВБ'!$B$8*'Тарифы ВБ'!$B$15*'Тарифы ВБ'!$B$12+S65*'Тарифы ВБ'!$B$13)</f>
        <v>117.78124</v>
      </c>
      <c r="Y65" s="289">
        <f>IF(K65&gt;1,'Тарифы ВБ'!$B$9+(K65-1)*'Тарифы ВБ'!$B$10,'Тарифы ВБ'!$B$8)</f>
        <v>51.991999999999997</v>
      </c>
      <c r="Z65" s="289">
        <f t="shared" si="42"/>
        <v>169.77323999999999</v>
      </c>
      <c r="AA65" s="236">
        <f t="shared" si="43"/>
        <v>0.17520458204334363</v>
      </c>
      <c r="AB65" s="237">
        <f>IF(K65&gt;1,'Тарифы ВБ'!$B$14*'Тарифы ВБ'!$B$16*'Тарифы ВБ'!$B$15+(K65-1)*'Тарифы ВБ'!$B$14,'Тарифы ВБ'!$B$14*'Тарифы ВБ'!B$16*'Тарифы ВБ'!$B$15)</f>
        <v>32.034239999999997</v>
      </c>
      <c r="AC65" s="287">
        <f t="shared" si="62"/>
        <v>201.80747999999997</v>
      </c>
      <c r="AD65" s="240">
        <f t="shared" si="63"/>
        <v>0.20826365325077395</v>
      </c>
      <c r="AE65" s="241">
        <v>0.27500000000000002</v>
      </c>
      <c r="AF65" s="289">
        <f t="shared" si="64"/>
        <v>266.47500000000002</v>
      </c>
      <c r="AG65" s="364">
        <f t="shared" si="65"/>
        <v>0</v>
      </c>
      <c r="AH65" s="364">
        <f t="shared" si="66"/>
        <v>29.07</v>
      </c>
      <c r="AI65" s="149">
        <f t="shared" si="67"/>
        <v>663.41417017371396</v>
      </c>
      <c r="AJ65" s="447">
        <f t="shared" si="68"/>
        <v>0.24536205348429932</v>
      </c>
      <c r="AK65" s="450">
        <f t="shared" si="69"/>
        <v>305.58582982628604</v>
      </c>
      <c r="AL65" s="450">
        <f t="shared" si="70"/>
        <v>237.75582982628603</v>
      </c>
      <c r="AM65" s="447">
        <f t="shared" si="71"/>
        <v>1.7734807723086863</v>
      </c>
      <c r="AN65" s="458">
        <v>979</v>
      </c>
      <c r="AO65" s="459">
        <f t="shared" si="72"/>
        <v>315.58582982628604</v>
      </c>
      <c r="AP65" s="459">
        <f t="shared" si="73"/>
        <v>247.05582982628604</v>
      </c>
      <c r="AQ65" s="463">
        <f t="shared" si="74"/>
        <v>1.8428518207263909</v>
      </c>
      <c r="AR65" s="464">
        <f t="shared" si="75"/>
        <v>0.25235529093594078</v>
      </c>
      <c r="AS65" s="487" t="str">
        <f>IFERROR(_xlfn.XLOOKUP(A65,'[2]Рассчет акции'!$A:$A,'[2]Рассчет акции'!$BH:$BH),0)</f>
        <v>*</v>
      </c>
      <c r="AT65" s="487">
        <f>IFERROR(_xlfn.XLOOKUP($A65,'[2]Рассчет акции'!$A:$A,'[2]Рассчет акции'!$BC:$BC),0)</f>
        <v>969</v>
      </c>
      <c r="AU65" s="409">
        <f t="shared" si="76"/>
        <v>0.24536205348429932</v>
      </c>
      <c r="AV65" s="407">
        <f t="shared" si="77"/>
        <v>305.58582982628604</v>
      </c>
      <c r="AW65" s="407">
        <f t="shared" si="78"/>
        <v>237.75582982628603</v>
      </c>
      <c r="AX65" s="409">
        <f t="shared" si="79"/>
        <v>1.7734807723086863</v>
      </c>
      <c r="AY65" s="293">
        <f>IFERROR(_xlfn.XLOOKUP(E65,'[2]Рассчет акции'!$D:$D,'[2]Рассчет акции'!$BM:$BM),0)</f>
        <v>196</v>
      </c>
      <c r="AZ65" s="203">
        <f>IFERROR(_xlfn.XLOOKUP(E65,'[2]Рассчет акции'!$D:$D,'[2]Рассчет акции'!$BN:$BN),0)</f>
        <v>587</v>
      </c>
      <c r="BA65" s="294">
        <f t="shared" si="80"/>
        <v>7.22801568997372</v>
      </c>
      <c r="BB65" s="292"/>
      <c r="BC65" s="497" t="e">
        <f xml:space="preserve"> _xlfn.XLOOKUP(B65,#REF!,#REF!,0)</f>
        <v>#REF!</v>
      </c>
      <c r="BD65" s="500" t="e">
        <f t="shared" si="52"/>
        <v>#REF!</v>
      </c>
      <c r="BE65" s="501">
        <f>_xlfn.XLOOKUP($B65,'[1]Рассчет акции'!$A:$A,'[1]Рассчет акции'!$J:$J)</f>
        <v>0.3498498498498499</v>
      </c>
      <c r="BF65" s="191" t="e">
        <f t="shared" si="44"/>
        <v>#REF!</v>
      </c>
      <c r="BG65" s="192">
        <f t="shared" si="81"/>
        <v>0</v>
      </c>
      <c r="BH65" s="193">
        <v>0.37</v>
      </c>
      <c r="BI65" s="194" t="e">
        <f t="shared" si="82"/>
        <v>#REF!</v>
      </c>
      <c r="BJ65" s="195" t="e">
        <f t="shared" si="45"/>
        <v>#REF!</v>
      </c>
      <c r="BK65" s="422">
        <f t="shared" si="83"/>
        <v>0</v>
      </c>
      <c r="BL65" s="196">
        <f>(IF(K65&gt;$BL$3,('Тарифы ОЗОН'!$G$3+ROUNDUP(K65-$BL$3,0)*'Тарифы ОЗОН'!$G$4),'Тарифы ОЗОН'!$G$3))</f>
        <v>56.940000000000005</v>
      </c>
      <c r="BM65" s="196">
        <f t="shared" si="84"/>
        <v>35</v>
      </c>
      <c r="BN65" s="197">
        <f>_xlfn.XLOOKUP(BM65,'Тарифы ОЗОН'!$A:$A,'Тарифы ОЗОН'!$B:$B)</f>
        <v>1.32</v>
      </c>
      <c r="BO65" s="198">
        <f>_xlfn.XLOOKUP(BM65,'Тарифы ОЗОН'!$A:$A,'Тарифы ОЗОН'!C:C)</f>
        <v>1.6E-2</v>
      </c>
      <c r="BP65" s="199">
        <f t="shared" si="85"/>
        <v>25</v>
      </c>
      <c r="BQ65" s="199" t="e">
        <f t="shared" si="46"/>
        <v>#REF!</v>
      </c>
      <c r="BR65" s="359">
        <f t="shared" si="47"/>
        <v>0.85</v>
      </c>
      <c r="BS65" s="199" t="e">
        <f t="shared" si="48"/>
        <v>#REF!</v>
      </c>
      <c r="BT65" s="200">
        <f t="shared" si="86"/>
        <v>0</v>
      </c>
      <c r="BU65" s="262" t="e">
        <f t="shared" si="30"/>
        <v>#REF!</v>
      </c>
      <c r="BV65" s="149" t="e">
        <f t="shared" si="87"/>
        <v>#REF!</v>
      </c>
      <c r="BW65" s="291">
        <f t="shared" si="88"/>
        <v>0</v>
      </c>
      <c r="BX65" s="201">
        <f t="shared" si="89"/>
        <v>0</v>
      </c>
      <c r="BY65" s="201" t="e">
        <f t="shared" si="90"/>
        <v>#REF!</v>
      </c>
      <c r="BZ65" s="202">
        <f t="shared" si="111"/>
        <v>0</v>
      </c>
      <c r="CA65" s="425">
        <v>1019</v>
      </c>
      <c r="CB65" s="426" t="e">
        <f t="shared" si="49"/>
        <v>#REF!</v>
      </c>
      <c r="CC65" s="427" t="e">
        <f t="shared" si="53"/>
        <v>#REF!</v>
      </c>
      <c r="CD65" s="429" t="e">
        <f t="shared" si="91"/>
        <v>#REF!</v>
      </c>
      <c r="CE65" s="429">
        <f t="shared" si="50"/>
        <v>0</v>
      </c>
      <c r="CF65" s="277">
        <f>_xlfn.XLOOKUP(B65,'[1]Рассчет акции'!$A:$A,'[1]Рассчет акции'!$R:$R,0)</f>
        <v>0</v>
      </c>
      <c r="CG65" s="360">
        <f>_xlfn.XLOOKUP(B65,'[1]Рассчет акции'!$A:$A,'[1]Рассчет акции'!$M:$M,0)</f>
        <v>929</v>
      </c>
      <c r="CH65" s="291">
        <f t="shared" si="92"/>
        <v>0</v>
      </c>
      <c r="CI65" s="290" t="e">
        <f t="shared" si="55"/>
        <v>#REF!</v>
      </c>
      <c r="CJ65" s="290" t="e">
        <f t="shared" si="56"/>
        <v>#REF!</v>
      </c>
      <c r="CK65" s="291" t="e">
        <f t="shared" si="93"/>
        <v>#REF!</v>
      </c>
      <c r="CL65" s="203">
        <f>_xlfn.XLOOKUP(B65,'[1]Рассчет акции'!$A:$A,'[1]Рассчет акции'!$W:$W,0)</f>
        <v>54</v>
      </c>
      <c r="CM65" s="424">
        <f>_xlfn.XLOOKUP(B65,'[1]Рассчет акции'!$A:$A,'[1]Рассчет акции'!$X:$X,0)</f>
        <v>999</v>
      </c>
      <c r="CN65" s="294" t="e">
        <f t="shared" si="94"/>
        <v>#REF!</v>
      </c>
      <c r="CO65" s="433">
        <f t="shared" si="51"/>
        <v>917.1</v>
      </c>
      <c r="CP65" s="507">
        <f>_xlfn.XLOOKUP(B65,'[1]Рассчет акции'!$A:$A,'[1]Рассчет акции'!$Z:$Z,0)</f>
        <v>0</v>
      </c>
    </row>
    <row r="66" spans="1:94" ht="24.95" customHeight="1" x14ac:dyDescent="0.25">
      <c r="A66" s="171">
        <v>273516556</v>
      </c>
      <c r="B66" s="173">
        <v>2138705583</v>
      </c>
      <c r="C66" s="171" t="s">
        <v>420</v>
      </c>
      <c r="D66" s="172" t="s">
        <v>445</v>
      </c>
      <c r="E66" s="173">
        <v>2041532808502</v>
      </c>
      <c r="F66" s="284">
        <f t="shared" si="57"/>
        <v>166.06169017371394</v>
      </c>
      <c r="G66" s="147">
        <f t="shared" si="58"/>
        <v>0.17137429326492667</v>
      </c>
      <c r="H66" s="439">
        <f>IF(_xlfn.XLOOKUP($C66,'Юнит Карго'!$A:$A,'Юнит Карго'!$G:$G)=0,_xlfn.XLOOKUP(E66,'Себес 1С текущ'!G:G,'Себес 1С текущ'!H:H),_xlfn.XLOOKUP($C66,'Юнит Карго'!$A:$A,'Юнит Карго'!$P:$P,0,0))</f>
        <v>134.06169017371394</v>
      </c>
      <c r="I66" s="268">
        <f>_xlfn.XLOOKUP(E66,[3]ТЗ_ФФ!$D:$D,[3]ТЗ_ФФ!$BG:$BG,0)</f>
        <v>24</v>
      </c>
      <c r="J66" s="269">
        <f t="shared" si="59"/>
        <v>8</v>
      </c>
      <c r="K66" s="273">
        <f t="shared" si="60"/>
        <v>1.4279999999999999</v>
      </c>
      <c r="L66" s="146">
        <v>17</v>
      </c>
      <c r="M66" s="146">
        <v>12</v>
      </c>
      <c r="N66" s="146">
        <v>7</v>
      </c>
      <c r="O66" s="150">
        <f>_xlfn.XLOOKUP($C66,'Юнит Карго'!$A:$A,'Юнит Карго'!$T:$T,0,0)</f>
        <v>0.15</v>
      </c>
      <c r="P66" s="127" t="s">
        <v>170</v>
      </c>
      <c r="Q66" s="146">
        <v>60</v>
      </c>
      <c r="R66" s="292"/>
      <c r="S66" s="285">
        <f t="shared" si="4"/>
        <v>969</v>
      </c>
      <c r="T66" s="286" t="str">
        <f>_xlfn.XLOOKUP(E66,'[2]Рассчет акции'!$D:$D,'[2]Рассчет акции'!$G:$G,0)</f>
        <v>1615</v>
      </c>
      <c r="U66" s="417">
        <f>_xlfn.XLOOKUP(E66,'[2]Рассчет акции'!$D:$D,'[2]Рассчет акции'!$F:$F,0)</f>
        <v>0.4</v>
      </c>
      <c r="V66" s="235">
        <f t="shared" si="40"/>
        <v>497.35247999999996</v>
      </c>
      <c r="W66" s="288">
        <f t="shared" si="61"/>
        <v>0.51326365325077394</v>
      </c>
      <c r="X66" s="289">
        <f>IF(K66&gt;1,('Тарифы ВБ'!$B$9+(K66-1)*'Тарифы ВБ'!$B$10)*'Тарифы ВБ'!$B$15*'Тарифы ВБ'!$B$12+S66*'Тарифы ВБ'!$B$13,'Тарифы ВБ'!$B$8*'Тарифы ВБ'!$B$15*'Тарифы ВБ'!$B$12+S66*'Тарифы ВБ'!$B$13)</f>
        <v>117.78124</v>
      </c>
      <c r="Y66" s="289">
        <f>IF(K66&gt;1,'Тарифы ВБ'!$B$9+(K66-1)*'Тарифы ВБ'!$B$10,'Тарифы ВБ'!$B$8)</f>
        <v>51.991999999999997</v>
      </c>
      <c r="Z66" s="289">
        <f t="shared" si="42"/>
        <v>169.77323999999999</v>
      </c>
      <c r="AA66" s="236">
        <f t="shared" si="43"/>
        <v>0.17520458204334363</v>
      </c>
      <c r="AB66" s="237">
        <f>IF(K66&gt;1,'Тарифы ВБ'!$B$14*'Тарифы ВБ'!$B$16*'Тарифы ВБ'!$B$15+(K66-1)*'Тарифы ВБ'!$B$14,'Тарифы ВБ'!$B$14*'Тарифы ВБ'!B$16*'Тарифы ВБ'!$B$15)</f>
        <v>32.034239999999997</v>
      </c>
      <c r="AC66" s="287">
        <f t="shared" si="62"/>
        <v>201.80747999999997</v>
      </c>
      <c r="AD66" s="240">
        <f t="shared" si="63"/>
        <v>0.20826365325077395</v>
      </c>
      <c r="AE66" s="241">
        <v>0.27500000000000002</v>
      </c>
      <c r="AF66" s="289">
        <f t="shared" si="64"/>
        <v>266.47500000000002</v>
      </c>
      <c r="AG66" s="364">
        <f t="shared" si="65"/>
        <v>0</v>
      </c>
      <c r="AH66" s="364">
        <f t="shared" si="66"/>
        <v>29.07</v>
      </c>
      <c r="AI66" s="149">
        <f t="shared" si="67"/>
        <v>663.41417017371396</v>
      </c>
      <c r="AJ66" s="447">
        <f t="shared" si="68"/>
        <v>0.24536205348429932</v>
      </c>
      <c r="AK66" s="450">
        <f t="shared" si="69"/>
        <v>305.58582982628604</v>
      </c>
      <c r="AL66" s="450">
        <f t="shared" si="70"/>
        <v>237.75582982628603</v>
      </c>
      <c r="AM66" s="447">
        <f t="shared" si="71"/>
        <v>1.7734807723086863</v>
      </c>
      <c r="AN66" s="458">
        <v>979</v>
      </c>
      <c r="AO66" s="459">
        <f t="shared" si="72"/>
        <v>315.58582982628604</v>
      </c>
      <c r="AP66" s="459">
        <f t="shared" si="73"/>
        <v>247.05582982628604</v>
      </c>
      <c r="AQ66" s="463">
        <f t="shared" si="74"/>
        <v>1.8428518207263909</v>
      </c>
      <c r="AR66" s="464">
        <f t="shared" si="75"/>
        <v>0.25235529093594078</v>
      </c>
      <c r="AS66" s="487" t="str">
        <f>IFERROR(_xlfn.XLOOKUP(A66,'[2]Рассчет акции'!$A:$A,'[2]Рассчет акции'!$BH:$BH),0)</f>
        <v>*</v>
      </c>
      <c r="AT66" s="487">
        <f>IFERROR(_xlfn.XLOOKUP($A66,'[2]Рассчет акции'!$A:$A,'[2]Рассчет акции'!$BC:$BC),0)</f>
        <v>969</v>
      </c>
      <c r="AU66" s="409">
        <f t="shared" si="76"/>
        <v>0.24536205348429932</v>
      </c>
      <c r="AV66" s="407">
        <f t="shared" si="77"/>
        <v>305.58582982628604</v>
      </c>
      <c r="AW66" s="407">
        <f t="shared" si="78"/>
        <v>237.75582982628603</v>
      </c>
      <c r="AX66" s="409">
        <f t="shared" si="79"/>
        <v>1.7734807723086863</v>
      </c>
      <c r="AY66" s="293">
        <f>IFERROR(_xlfn.XLOOKUP(E66,'[2]Рассчет акции'!$D:$D,'[2]Рассчет акции'!$BM:$BM),0)</f>
        <v>112</v>
      </c>
      <c r="AZ66" s="203">
        <f>IFERROR(_xlfn.XLOOKUP(E66,'[2]Рассчет акции'!$D:$D,'[2]Рассчет акции'!$BN:$BN),0)</f>
        <v>338</v>
      </c>
      <c r="BA66" s="294">
        <f t="shared" si="80"/>
        <v>7.22801568997372</v>
      </c>
      <c r="BB66" s="292"/>
      <c r="BC66" s="497" t="e">
        <f xml:space="preserve"> _xlfn.XLOOKUP(B66,#REF!,#REF!,0)</f>
        <v>#REF!</v>
      </c>
      <c r="BD66" s="500" t="e">
        <f t="shared" si="52"/>
        <v>#REF!</v>
      </c>
      <c r="BE66" s="501">
        <f>_xlfn.XLOOKUP($B66,'[1]Рассчет акции'!$A:$A,'[1]Рассчет акции'!$J:$J)</f>
        <v>0.3498498498498499</v>
      </c>
      <c r="BF66" s="191" t="e">
        <f t="shared" si="44"/>
        <v>#REF!</v>
      </c>
      <c r="BG66" s="192">
        <f t="shared" si="81"/>
        <v>0</v>
      </c>
      <c r="BH66" s="193">
        <v>0.37</v>
      </c>
      <c r="BI66" s="194" t="e">
        <f t="shared" si="82"/>
        <v>#REF!</v>
      </c>
      <c r="BJ66" s="195" t="e">
        <f t="shared" si="45"/>
        <v>#REF!</v>
      </c>
      <c r="BK66" s="422">
        <f t="shared" si="83"/>
        <v>0</v>
      </c>
      <c r="BL66" s="196">
        <f>(IF(K66&gt;$BL$3,('Тарифы ОЗОН'!$G$3+ROUNDUP(K66-$BL$3,0)*'Тарифы ОЗОН'!$G$4),'Тарифы ОЗОН'!$G$3))</f>
        <v>56.940000000000005</v>
      </c>
      <c r="BM66" s="196">
        <f t="shared" si="84"/>
        <v>35</v>
      </c>
      <c r="BN66" s="197">
        <f>_xlfn.XLOOKUP(BM66,'Тарифы ОЗОН'!$A:$A,'Тарифы ОЗОН'!$B:$B)</f>
        <v>1.32</v>
      </c>
      <c r="BO66" s="198">
        <f>_xlfn.XLOOKUP(BM66,'Тарифы ОЗОН'!$A:$A,'Тарифы ОЗОН'!C:C)</f>
        <v>1.6E-2</v>
      </c>
      <c r="BP66" s="199">
        <f t="shared" si="85"/>
        <v>25</v>
      </c>
      <c r="BQ66" s="199" t="e">
        <f t="shared" si="46"/>
        <v>#REF!</v>
      </c>
      <c r="BR66" s="359">
        <f t="shared" si="47"/>
        <v>0.85</v>
      </c>
      <c r="BS66" s="199" t="e">
        <f t="shared" si="48"/>
        <v>#REF!</v>
      </c>
      <c r="BT66" s="200">
        <f t="shared" si="86"/>
        <v>0</v>
      </c>
      <c r="BU66" s="262" t="e">
        <f t="shared" si="30"/>
        <v>#REF!</v>
      </c>
      <c r="BV66" s="149" t="e">
        <f t="shared" si="87"/>
        <v>#REF!</v>
      </c>
      <c r="BW66" s="291">
        <f t="shared" si="88"/>
        <v>0</v>
      </c>
      <c r="BX66" s="201">
        <f t="shared" si="89"/>
        <v>0</v>
      </c>
      <c r="BY66" s="201" t="e">
        <f t="shared" si="90"/>
        <v>#REF!</v>
      </c>
      <c r="BZ66" s="202">
        <f t="shared" si="111"/>
        <v>0</v>
      </c>
      <c r="CA66" s="425">
        <v>1019</v>
      </c>
      <c r="CB66" s="426" t="e">
        <f t="shared" si="49"/>
        <v>#REF!</v>
      </c>
      <c r="CC66" s="427" t="e">
        <f t="shared" si="53"/>
        <v>#REF!</v>
      </c>
      <c r="CD66" s="429" t="e">
        <f t="shared" si="91"/>
        <v>#REF!</v>
      </c>
      <c r="CE66" s="429">
        <f t="shared" si="50"/>
        <v>0</v>
      </c>
      <c r="CF66" s="277">
        <f>_xlfn.XLOOKUP(B66,'[1]Рассчет акции'!$A:$A,'[1]Рассчет акции'!$R:$R,0)</f>
        <v>0</v>
      </c>
      <c r="CG66" s="360">
        <f>_xlfn.XLOOKUP(B66,'[1]Рассчет акции'!$A:$A,'[1]Рассчет акции'!$M:$M,0)</f>
        <v>903</v>
      </c>
      <c r="CH66" s="291">
        <f t="shared" si="92"/>
        <v>0</v>
      </c>
      <c r="CI66" s="290" t="e">
        <f t="shared" si="55"/>
        <v>#REF!</v>
      </c>
      <c r="CJ66" s="290" t="e">
        <f t="shared" si="56"/>
        <v>#REF!</v>
      </c>
      <c r="CK66" s="291" t="e">
        <f t="shared" si="93"/>
        <v>#REF!</v>
      </c>
      <c r="CL66" s="203">
        <f>_xlfn.XLOOKUP(B66,'[1]Рассчет акции'!$A:$A,'[1]Рассчет акции'!$W:$W,0)</f>
        <v>52</v>
      </c>
      <c r="CM66" s="424">
        <f>_xlfn.XLOOKUP(B66,'[1]Рассчет акции'!$A:$A,'[1]Рассчет акции'!$X:$X,0)</f>
        <v>364</v>
      </c>
      <c r="CN66" s="294" t="e">
        <f t="shared" si="94"/>
        <v>#REF!</v>
      </c>
      <c r="CO66" s="433">
        <f t="shared" si="51"/>
        <v>917.1</v>
      </c>
      <c r="CP66" s="507">
        <f>_xlfn.XLOOKUP(B66,'[1]Рассчет акции'!$A:$A,'[1]Рассчет акции'!$Z:$Z,0)</f>
        <v>0</v>
      </c>
    </row>
    <row r="67" spans="1:94" ht="24" customHeight="1" x14ac:dyDescent="0.25">
      <c r="A67" s="171">
        <v>321907864</v>
      </c>
      <c r="B67" s="173">
        <v>2415742998</v>
      </c>
      <c r="C67" s="295" t="s">
        <v>446</v>
      </c>
      <c r="D67" s="172" t="s">
        <v>440</v>
      </c>
      <c r="E67" s="173">
        <v>2042676873814</v>
      </c>
      <c r="F67" s="284">
        <f t="shared" ref="F67:F84" si="112">SUM(H67:J67)</f>
        <v>360</v>
      </c>
      <c r="G67" s="147">
        <f t="shared" si="58"/>
        <v>0.2402081804230333</v>
      </c>
      <c r="H67" s="439">
        <f>IF(_xlfn.XLOOKUP($C67,'Юнит Карго'!$A:$A,'Юнит Карго'!$G:$G)=0,_xlfn.XLOOKUP(E67,'Себес 1С текущ'!G:G,'Себес 1С текущ'!H:H),_xlfn.XLOOKUP($C67,'Юнит Карго'!$A:$A,'Юнит Карго'!$P:$P,0,0))</f>
        <v>328</v>
      </c>
      <c r="I67" s="268">
        <v>24</v>
      </c>
      <c r="J67" s="269">
        <f t="shared" si="59"/>
        <v>8</v>
      </c>
      <c r="K67" s="273">
        <f t="shared" si="60"/>
        <v>2.25</v>
      </c>
      <c r="L67" s="146">
        <v>15</v>
      </c>
      <c r="M67" s="146">
        <v>25</v>
      </c>
      <c r="N67" s="146">
        <v>6</v>
      </c>
      <c r="O67" s="150">
        <f>_xlfn.XLOOKUP($C67,'Юнит Карго'!$A:$A,'Юнит Карго'!$T:$T,0,0)</f>
        <v>0</v>
      </c>
      <c r="P67" s="127" t="s">
        <v>113</v>
      </c>
      <c r="Q67" s="146">
        <v>30</v>
      </c>
      <c r="R67" s="292"/>
      <c r="S67" s="285">
        <f t="shared" si="4"/>
        <v>1498.7</v>
      </c>
      <c r="T67" s="286" t="str">
        <f>_xlfn.XLOOKUP(E67,'[2]Рассчет акции'!$D:$D,'[2]Рассчет акции'!$G:$G,0)</f>
        <v>2141</v>
      </c>
      <c r="U67" s="417">
        <f>_xlfn.XLOOKUP(E67,'[2]Рассчет акции'!$D:$D,'[2]Рассчет акции'!$F:$F,0)</f>
        <v>0.3</v>
      </c>
      <c r="V67" s="235">
        <f t="shared" si="40"/>
        <v>699.01336000000003</v>
      </c>
      <c r="W67" s="288">
        <f t="shared" si="61"/>
        <v>0.46641313138052981</v>
      </c>
      <c r="X67" s="289">
        <f>IF(K67&gt;1,('Тарифы ВБ'!$B$9+(K67-1)*'Тарифы ВБ'!$B$10)*'Тарифы ВБ'!$B$15*'Тарифы ВБ'!$B$12+S67*'Тарифы ВБ'!$B$13,'Тарифы ВБ'!$B$8*'Тарифы ВБ'!$B$15*'Тарифы ВБ'!$B$12+S67*'Тарифы ВБ'!$B$13)</f>
        <v>146.30986000000001</v>
      </c>
      <c r="Y67" s="289">
        <f>IF(K67&gt;1,'Тарифы ВБ'!$B$9+(K67-1)*'Тарифы ВБ'!$B$10,'Тарифы ВБ'!$B$8)</f>
        <v>63.5</v>
      </c>
      <c r="Z67" s="289">
        <f t="shared" si="42"/>
        <v>209.80986000000001</v>
      </c>
      <c r="AA67" s="236">
        <f t="shared" si="43"/>
        <v>0.13999456862614265</v>
      </c>
      <c r="AB67" s="237">
        <f>IF(K67&gt;1,'Тарифы ВБ'!$B$14*'Тарифы ВБ'!$B$16*'Тарифы ВБ'!$B$15+(K67-1)*'Тарифы ВБ'!$B$14,'Тарифы ВБ'!$B$14*'Тарифы ВБ'!B$16*'Тарифы ВБ'!$B$15)</f>
        <v>32.1</v>
      </c>
      <c r="AC67" s="287">
        <f t="shared" si="62"/>
        <v>241.90986000000001</v>
      </c>
      <c r="AD67" s="240">
        <f t="shared" si="63"/>
        <v>0.16141313138052979</v>
      </c>
      <c r="AE67" s="241">
        <v>0.27500000000000002</v>
      </c>
      <c r="AF67" s="289">
        <f t="shared" si="64"/>
        <v>412.14250000000004</v>
      </c>
      <c r="AG67" s="364">
        <f t="shared" si="65"/>
        <v>0</v>
      </c>
      <c r="AH67" s="364">
        <f t="shared" si="66"/>
        <v>44.960999999999999</v>
      </c>
      <c r="AI67" s="149">
        <f t="shared" si="67"/>
        <v>1059.0133599999999</v>
      </c>
      <c r="AJ67" s="447">
        <f t="shared" si="68"/>
        <v>0.223378688196437</v>
      </c>
      <c r="AK67" s="450">
        <f t="shared" si="69"/>
        <v>439.68664000000012</v>
      </c>
      <c r="AL67" s="450">
        <f t="shared" si="70"/>
        <v>334.77764000000013</v>
      </c>
      <c r="AM67" s="447">
        <f t="shared" si="71"/>
        <v>1.0206635365853662</v>
      </c>
      <c r="AN67" s="458">
        <v>0</v>
      </c>
      <c r="AO67" s="459">
        <f t="shared" si="72"/>
        <v>-1059.0133599999999</v>
      </c>
      <c r="AP67" s="459">
        <f t="shared" si="73"/>
        <v>-1059.0133599999999</v>
      </c>
      <c r="AQ67" s="463">
        <f t="shared" si="74"/>
        <v>-3.2286992682926825</v>
      </c>
      <c r="AR67" s="464" t="e">
        <f t="shared" si="75"/>
        <v>#DIV/0!</v>
      </c>
      <c r="AS67" s="487">
        <f>IFERROR(_xlfn.XLOOKUP(A67,'[2]Рассчет акции'!$A:$A,'[2]Рассчет акции'!$BH:$BH),0)</f>
        <v>0</v>
      </c>
      <c r="AT67" s="487">
        <f>IFERROR(_xlfn.XLOOKUP($A67,'[2]Рассчет акции'!$A:$A,'[2]Рассчет акции'!$BC:$BC),0)</f>
        <v>0</v>
      </c>
      <c r="AU67" s="409">
        <f t="shared" si="76"/>
        <v>0</v>
      </c>
      <c r="AV67" s="407">
        <f t="shared" si="77"/>
        <v>-1059.0133599999999</v>
      </c>
      <c r="AW67" s="407">
        <f t="shared" si="78"/>
        <v>-1059.0133599999999</v>
      </c>
      <c r="AX67" s="409">
        <f t="shared" si="79"/>
        <v>-3.2286992682926825</v>
      </c>
      <c r="AY67" s="293">
        <f>IFERROR(_xlfn.XLOOKUP(E67,'[2]Рассчет акции'!$D:$D,'[2]Рассчет акции'!$BM:$BM),0)</f>
        <v>0</v>
      </c>
      <c r="AZ67" s="203">
        <f>IFERROR(_xlfn.XLOOKUP(E67,'[2]Рассчет акции'!$D:$D,'[2]Рассчет акции'!$BN:$BN),0)</f>
        <v>1</v>
      </c>
      <c r="BA67" s="294">
        <f t="shared" si="80"/>
        <v>4.5692073170731708</v>
      </c>
      <c r="BB67" s="292"/>
      <c r="BC67" s="497" t="e">
        <f xml:space="preserve"> _xlfn.XLOOKUP(B67,#REF!,#REF!,0)</f>
        <v>#REF!</v>
      </c>
      <c r="BD67" s="500" t="e">
        <f t="shared" si="52"/>
        <v>#REF!</v>
      </c>
      <c r="BE67" s="501">
        <f>_xlfn.XLOOKUP($B67,'[1]Рассчет акции'!$A:$A,'[1]Рассчет акции'!$J:$J)</f>
        <v>0.34996780424983898</v>
      </c>
      <c r="BF67" s="191" t="e">
        <f t="shared" si="44"/>
        <v>#REF!</v>
      </c>
      <c r="BG67" s="192">
        <f t="shared" si="81"/>
        <v>0</v>
      </c>
      <c r="BH67" s="193">
        <v>0.37</v>
      </c>
      <c r="BI67" s="194" t="e">
        <f t="shared" si="82"/>
        <v>#REF!</v>
      </c>
      <c r="BJ67" s="195" t="e">
        <f t="shared" si="45"/>
        <v>#REF!</v>
      </c>
      <c r="BK67" s="422">
        <f t="shared" si="83"/>
        <v>0</v>
      </c>
      <c r="BL67" s="196">
        <f>(IF(K67&gt;$BL$3,('Тарифы ОЗОН'!$G$3+ROUNDUP(K67-$BL$3,0)*'Тарифы ОЗОН'!$G$4),'Тарифы ОЗОН'!$G$3))</f>
        <v>67.11</v>
      </c>
      <c r="BM67" s="196">
        <f t="shared" si="84"/>
        <v>35</v>
      </c>
      <c r="BN67" s="197">
        <f>_xlfn.XLOOKUP(BM67,'Тарифы ОЗОН'!$A:$A,'Тарифы ОЗОН'!$B:$B)</f>
        <v>1.32</v>
      </c>
      <c r="BO67" s="198">
        <f>_xlfn.XLOOKUP(BM67,'Тарифы ОЗОН'!$A:$A,'Тарифы ОЗОН'!C:C)</f>
        <v>1.6E-2</v>
      </c>
      <c r="BP67" s="199">
        <f t="shared" si="85"/>
        <v>25</v>
      </c>
      <c r="BQ67" s="199" t="e">
        <f t="shared" si="46"/>
        <v>#REF!</v>
      </c>
      <c r="BR67" s="359">
        <f t="shared" si="47"/>
        <v>0.85</v>
      </c>
      <c r="BS67" s="199" t="e">
        <f t="shared" si="48"/>
        <v>#REF!</v>
      </c>
      <c r="BT67" s="200">
        <f t="shared" si="86"/>
        <v>0</v>
      </c>
      <c r="BU67" s="262" t="e">
        <f t="shared" si="30"/>
        <v>#REF!</v>
      </c>
      <c r="BV67" s="149" t="e">
        <f t="shared" si="87"/>
        <v>#REF!</v>
      </c>
      <c r="BW67" s="291">
        <f t="shared" si="88"/>
        <v>0</v>
      </c>
      <c r="BX67" s="201">
        <f t="shared" si="89"/>
        <v>0</v>
      </c>
      <c r="BY67" s="201" t="e">
        <f t="shared" si="90"/>
        <v>#REF!</v>
      </c>
      <c r="BZ67" s="202">
        <f t="shared" si="111"/>
        <v>0</v>
      </c>
      <c r="CA67" s="425"/>
      <c r="CB67" s="426" t="e">
        <f t="shared" si="49"/>
        <v>#REF!</v>
      </c>
      <c r="CC67" s="427" t="e">
        <f t="shared" si="53"/>
        <v>#REF!</v>
      </c>
      <c r="CD67" s="429" t="e">
        <f t="shared" si="91"/>
        <v>#REF!</v>
      </c>
      <c r="CE67" s="429">
        <f t="shared" si="50"/>
        <v>0</v>
      </c>
      <c r="CF67" s="277">
        <f>_xlfn.XLOOKUP(B67,'[1]Рассчет акции'!$A:$A,'[1]Рассчет акции'!$R:$R,0)</f>
        <v>0</v>
      </c>
      <c r="CG67" s="360">
        <f>_xlfn.XLOOKUP(B67,'[1]Рассчет акции'!$A:$A,'[1]Рассчет акции'!$M:$M,0)</f>
        <v>0</v>
      </c>
      <c r="CH67" s="291">
        <f t="shared" si="92"/>
        <v>0</v>
      </c>
      <c r="CI67" s="290" t="e">
        <f t="shared" si="55"/>
        <v>#REF!</v>
      </c>
      <c r="CJ67" s="290" t="e">
        <f t="shared" si="56"/>
        <v>#REF!</v>
      </c>
      <c r="CK67" s="291" t="e">
        <f t="shared" si="93"/>
        <v>#REF!</v>
      </c>
      <c r="CL67" s="203">
        <f>_xlfn.XLOOKUP(B67,'[1]Рассчет акции'!$A:$A,'[1]Рассчет акции'!$W:$W,0)</f>
        <v>0</v>
      </c>
      <c r="CM67" s="424">
        <f>_xlfn.XLOOKUP(B67,'[1]Рассчет акции'!$A:$A,'[1]Рассчет акции'!$X:$X,0)</f>
        <v>0</v>
      </c>
      <c r="CN67" s="294" t="e">
        <f t="shared" si="94"/>
        <v>#REF!</v>
      </c>
      <c r="CO67" s="433">
        <f t="shared" si="51"/>
        <v>0</v>
      </c>
      <c r="CP67" s="507">
        <f>_xlfn.XLOOKUP(B67,'[1]Рассчет акции'!$A:$A,'[1]Рассчет акции'!$Z:$Z,0)</f>
        <v>0</v>
      </c>
    </row>
    <row r="68" spans="1:94" ht="25.5" customHeight="1" x14ac:dyDescent="0.25">
      <c r="A68" s="177">
        <v>271441230</v>
      </c>
      <c r="B68" s="179"/>
      <c r="C68" s="177" t="s">
        <v>169</v>
      </c>
      <c r="D68" s="178" t="s">
        <v>441</v>
      </c>
      <c r="E68" s="179">
        <v>2041473042966</v>
      </c>
      <c r="F68" s="284">
        <f t="shared" si="112"/>
        <v>293</v>
      </c>
      <c r="G68" s="147">
        <f t="shared" si="58"/>
        <v>0.23266894306360672</v>
      </c>
      <c r="H68" s="439">
        <f>IF(_xlfn.XLOOKUP($C68,'Юнит Карго'!$A:$A,'Юнит Карго'!$G:$G)=0,_xlfn.XLOOKUP(E68,'Себес 1С текущ'!G:G,'Себес 1С текущ'!H:H),_xlfn.XLOOKUP($C68,'Юнит Карго'!$A:$A,'Юнит Карго'!$P:$P,0,0))</f>
        <v>261</v>
      </c>
      <c r="I68" s="268">
        <v>24</v>
      </c>
      <c r="J68" s="269">
        <f t="shared" si="59"/>
        <v>8</v>
      </c>
      <c r="K68" s="273">
        <f t="shared" si="60"/>
        <v>1.8240000000000001</v>
      </c>
      <c r="L68" s="146">
        <v>19</v>
      </c>
      <c r="M68" s="146">
        <v>12</v>
      </c>
      <c r="N68" s="146">
        <v>8</v>
      </c>
      <c r="O68" s="150">
        <f>_xlfn.XLOOKUP($C68,'Юнит Карго'!$A:$A,'Юнит Карго'!$T:$T,0,0)</f>
        <v>0</v>
      </c>
      <c r="P68" s="127" t="s">
        <v>190</v>
      </c>
      <c r="Q68" s="146"/>
      <c r="R68" s="292"/>
      <c r="S68" s="285">
        <f t="shared" si="4"/>
        <v>1259.3000000000002</v>
      </c>
      <c r="T68" s="286" t="str">
        <f>_xlfn.XLOOKUP(E68,'[2]Рассчет акции'!$D:$D,'[2]Рассчет акции'!$G:$G,0)</f>
        <v>1799</v>
      </c>
      <c r="U68" s="417">
        <f>_xlfn.XLOOKUP(E68,'[2]Рассчет акции'!$D:$D,'[2]Рассчет акции'!$F:$F,0)</f>
        <v>0.3</v>
      </c>
      <c r="V68" s="235">
        <f t="shared" si="40"/>
        <v>605.48728000000006</v>
      </c>
      <c r="W68" s="288">
        <f t="shared" si="61"/>
        <v>0.48081257841658059</v>
      </c>
      <c r="X68" s="289">
        <f>IF(K68&gt;1,('Тарифы ВБ'!$B$9+(K68-1)*'Тарифы ВБ'!$B$10)*'Тарифы ВБ'!$B$15*'Тарифы ВБ'!$B$12+S68*'Тарифы ВБ'!$B$13,'Тарифы ВБ'!$B$8*'Тарифы ВБ'!$B$15*'Тарифы ВБ'!$B$12+S68*'Тарифы ВБ'!$B$13)</f>
        <v>131.79886000000002</v>
      </c>
      <c r="Y68" s="289">
        <f>IF(K68&gt;1,'Тарифы ВБ'!$B$9+(K68-1)*'Тарифы ВБ'!$B$10,'Тарифы ВБ'!$B$8)</f>
        <v>57.536000000000001</v>
      </c>
      <c r="Z68" s="289">
        <f t="shared" si="42"/>
        <v>189.33486000000002</v>
      </c>
      <c r="AA68" s="236">
        <f t="shared" si="43"/>
        <v>0.1503492892876995</v>
      </c>
      <c r="AB68" s="237">
        <f>IF(K68&gt;1,'Тарифы ВБ'!$B$14*'Тарифы ВБ'!$B$16*'Тарифы ВБ'!$B$15+(K68-1)*'Тарифы ВБ'!$B$14,'Тарифы ВБ'!$B$14*'Тарифы ВБ'!B$16*'Тарифы ВБ'!$B$15)</f>
        <v>32.065919999999998</v>
      </c>
      <c r="AC68" s="287">
        <f t="shared" si="62"/>
        <v>221.40078000000003</v>
      </c>
      <c r="AD68" s="240">
        <f t="shared" si="63"/>
        <v>0.17581257841658063</v>
      </c>
      <c r="AE68" s="241">
        <v>0.27500000000000002</v>
      </c>
      <c r="AF68" s="289">
        <f t="shared" si="64"/>
        <v>346.30750000000006</v>
      </c>
      <c r="AG68" s="364">
        <f t="shared" si="65"/>
        <v>0</v>
      </c>
      <c r="AH68" s="364">
        <f t="shared" si="66"/>
        <v>37.779000000000003</v>
      </c>
      <c r="AI68" s="149">
        <f t="shared" si="67"/>
        <v>898.48728000000006</v>
      </c>
      <c r="AJ68" s="447">
        <f t="shared" si="68"/>
        <v>0.21651847851981265</v>
      </c>
      <c r="AK68" s="450">
        <f t="shared" si="69"/>
        <v>360.81272000000013</v>
      </c>
      <c r="AL68" s="450">
        <f t="shared" si="70"/>
        <v>272.66172000000012</v>
      </c>
      <c r="AM68" s="447">
        <f t="shared" si="71"/>
        <v>1.0446809195402302</v>
      </c>
      <c r="AN68" s="458">
        <v>0</v>
      </c>
      <c r="AO68" s="459">
        <f t="shared" si="72"/>
        <v>-898.48728000000006</v>
      </c>
      <c r="AP68" s="459">
        <f t="shared" si="73"/>
        <v>-898.48728000000006</v>
      </c>
      <c r="AQ68" s="463">
        <f t="shared" si="74"/>
        <v>-3.4424800000000002</v>
      </c>
      <c r="AR68" s="464" t="e">
        <f t="shared" si="75"/>
        <v>#DIV/0!</v>
      </c>
      <c r="AS68" s="487">
        <f>IFERROR(_xlfn.XLOOKUP(A68,'[2]Рассчет акции'!$A:$A,'[2]Рассчет акции'!$BH:$BH),0)</f>
        <v>0</v>
      </c>
      <c r="AT68" s="487">
        <f>IFERROR(_xlfn.XLOOKUP($A68,'[2]Рассчет акции'!$A:$A,'[2]Рассчет акции'!$BC:$BC),0)</f>
        <v>0</v>
      </c>
      <c r="AU68" s="409">
        <f t="shared" si="76"/>
        <v>0</v>
      </c>
      <c r="AV68" s="407">
        <f t="shared" si="77"/>
        <v>-898.48728000000006</v>
      </c>
      <c r="AW68" s="407">
        <f t="shared" si="78"/>
        <v>-898.48728000000006</v>
      </c>
      <c r="AX68" s="409">
        <f t="shared" si="79"/>
        <v>-3.4424800000000002</v>
      </c>
      <c r="AY68" s="293">
        <f>IFERROR(_xlfn.XLOOKUP(E68,'[2]Рассчет акции'!$D:$D,'[2]Рассчет акции'!$BM:$BM),0)</f>
        <v>0</v>
      </c>
      <c r="AZ68" s="203">
        <f>IFERROR(_xlfn.XLOOKUP(E68,'[2]Рассчет акции'!$D:$D,'[2]Рассчет акции'!$BN:$BN),0)</f>
        <v>1</v>
      </c>
      <c r="BA68" s="294">
        <f t="shared" si="80"/>
        <v>4.8249042145593872</v>
      </c>
      <c r="BB68" s="292"/>
      <c r="BC68" s="497" t="e">
        <f xml:space="preserve"> _xlfn.XLOOKUP(B68,#REF!,#REF!,0)</f>
        <v>#REF!</v>
      </c>
      <c r="BD68" s="500" t="e">
        <f t="shared" si="52"/>
        <v>#REF!</v>
      </c>
      <c r="BE68" s="501">
        <f>_xlfn.XLOOKUP($B68,'[1]Рассчет акции'!$A:$A,'[1]Рассчет акции'!$J:$J)</f>
        <v>0</v>
      </c>
      <c r="BF68" s="191" t="e">
        <f t="shared" si="44"/>
        <v>#REF!</v>
      </c>
      <c r="BG68" s="192">
        <f t="shared" si="81"/>
        <v>0</v>
      </c>
      <c r="BH68" s="193">
        <v>0.37</v>
      </c>
      <c r="BI68" s="194" t="e">
        <f t="shared" si="82"/>
        <v>#REF!</v>
      </c>
      <c r="BJ68" s="195" t="e">
        <f t="shared" si="45"/>
        <v>#REF!</v>
      </c>
      <c r="BK68" s="422">
        <f t="shared" si="83"/>
        <v>0</v>
      </c>
      <c r="BL68" s="196">
        <f>(IF(K68&gt;$BL$3,('Тарифы ОЗОН'!$G$3+ROUNDUP(K68-$BL$3,0)*'Тарифы ОЗОН'!$G$4),'Тарифы ОЗОН'!$G$3))</f>
        <v>56.940000000000005</v>
      </c>
      <c r="BM68" s="196">
        <f t="shared" si="84"/>
        <v>35</v>
      </c>
      <c r="BN68" s="197">
        <f>_xlfn.XLOOKUP(BM68,'Тарифы ОЗОН'!$A:$A,'Тарифы ОЗОН'!$B:$B)</f>
        <v>1.32</v>
      </c>
      <c r="BO68" s="198">
        <f>_xlfn.XLOOKUP(BM68,'Тарифы ОЗОН'!$A:$A,'Тарифы ОЗОН'!C:C)</f>
        <v>1.6E-2</v>
      </c>
      <c r="BP68" s="199">
        <f t="shared" si="85"/>
        <v>25</v>
      </c>
      <c r="BQ68" s="199" t="e">
        <f t="shared" si="46"/>
        <v>#REF!</v>
      </c>
      <c r="BR68" s="359">
        <f t="shared" si="47"/>
        <v>0.85</v>
      </c>
      <c r="BS68" s="199" t="e">
        <f t="shared" si="48"/>
        <v>#REF!</v>
      </c>
      <c r="BT68" s="200">
        <f t="shared" si="86"/>
        <v>0</v>
      </c>
      <c r="BU68" s="262" t="e">
        <f t="shared" si="30"/>
        <v>#REF!</v>
      </c>
      <c r="BV68" s="149" t="e">
        <f t="shared" si="87"/>
        <v>#REF!</v>
      </c>
      <c r="BW68" s="291">
        <f t="shared" si="88"/>
        <v>0</v>
      </c>
      <c r="BX68" s="201">
        <f t="shared" si="89"/>
        <v>0</v>
      </c>
      <c r="BY68" s="201" t="e">
        <f t="shared" si="90"/>
        <v>#REF!</v>
      </c>
      <c r="BZ68" s="202">
        <f t="shared" si="111"/>
        <v>0</v>
      </c>
      <c r="CA68" s="425">
        <v>0</v>
      </c>
      <c r="CB68" s="426" t="e">
        <f t="shared" si="49"/>
        <v>#REF!</v>
      </c>
      <c r="CC68" s="427" t="e">
        <f t="shared" si="53"/>
        <v>#REF!</v>
      </c>
      <c r="CD68" s="429" t="e">
        <f t="shared" si="91"/>
        <v>#REF!</v>
      </c>
      <c r="CE68" s="429">
        <f t="shared" si="50"/>
        <v>0</v>
      </c>
      <c r="CF68" s="277">
        <f>_xlfn.XLOOKUP(B68,'[1]Рассчет акции'!$A:$A,'[1]Рассчет акции'!$R:$R,0)</f>
        <v>0</v>
      </c>
      <c r="CG68" s="360">
        <f>_xlfn.XLOOKUP(B68,'[1]Рассчет акции'!$A:$A,'[1]Рассчет акции'!$M:$M,0)</f>
        <v>0</v>
      </c>
      <c r="CH68" s="291">
        <f t="shared" si="92"/>
        <v>0</v>
      </c>
      <c r="CI68" s="290" t="e">
        <f t="shared" si="55"/>
        <v>#REF!</v>
      </c>
      <c r="CJ68" s="290" t="e">
        <f t="shared" si="56"/>
        <v>#REF!</v>
      </c>
      <c r="CK68" s="291" t="e">
        <f t="shared" si="93"/>
        <v>#REF!</v>
      </c>
      <c r="CL68" s="203">
        <f>_xlfn.XLOOKUP(B68,'[1]Рассчет акции'!$A:$A,'[1]Рассчет акции'!$W:$W,0)</f>
        <v>0</v>
      </c>
      <c r="CM68" s="424">
        <f>_xlfn.XLOOKUP(B68,'[1]Рассчет акции'!$A:$A,'[1]Рассчет акции'!$X:$X,0)</f>
        <v>0</v>
      </c>
      <c r="CN68" s="294" t="e">
        <f t="shared" si="94"/>
        <v>#REF!</v>
      </c>
      <c r="CO68" s="433">
        <f t="shared" si="51"/>
        <v>0</v>
      </c>
      <c r="CP68" s="507">
        <f>_xlfn.XLOOKUP(B68,'[1]Рассчет акции'!$A:$A,'[1]Рассчет акции'!$Z:$Z,0)</f>
        <v>0</v>
      </c>
    </row>
    <row r="69" spans="1:94" ht="25.5" customHeight="1" x14ac:dyDescent="0.25">
      <c r="A69" s="165">
        <v>251537223</v>
      </c>
      <c r="B69" s="167">
        <v>2415742463</v>
      </c>
      <c r="C69" s="165" t="s">
        <v>143</v>
      </c>
      <c r="D69" s="166" t="s">
        <v>135</v>
      </c>
      <c r="E69" s="167">
        <v>2040903539366</v>
      </c>
      <c r="F69" s="284">
        <f t="shared" si="112"/>
        <v>115.92490142598076</v>
      </c>
      <c r="G69" s="147">
        <f t="shared" si="58"/>
        <v>0.18941977357186399</v>
      </c>
      <c r="H69" s="439">
        <f>IF(_xlfn.XLOOKUP($C69,'Юнит Карго'!$A:$A,'Юнит Карго'!$G:$G)=0,_xlfn.XLOOKUP(E69,'Себес 1С текущ'!G:G,'Себес 1С текущ'!H:H),_xlfn.XLOOKUP($C69,'Юнит Карго'!$A:$A,'Юнит Карго'!$P:$P,0,0))</f>
        <v>93.924901425980764</v>
      </c>
      <c r="I69" s="268">
        <f>_xlfn.XLOOKUP(E69,[3]ТЗ_ФФ!$D:$D,[3]ТЗ_ФФ!$BG:$BG,0)</f>
        <v>14</v>
      </c>
      <c r="J69" s="269">
        <f t="shared" si="59"/>
        <v>8</v>
      </c>
      <c r="K69" s="273">
        <f t="shared" si="60"/>
        <v>0.52800000000000002</v>
      </c>
      <c r="L69" s="146">
        <v>11</v>
      </c>
      <c r="M69" s="146">
        <v>8</v>
      </c>
      <c r="N69" s="146">
        <v>6</v>
      </c>
      <c r="O69" s="150">
        <f>_xlfn.XLOOKUP($C69,'Юнит Карго'!$A:$A,'Юнит Карго'!$T:$T,0,0)</f>
        <v>0.08</v>
      </c>
      <c r="P69" s="127"/>
      <c r="Q69" s="146"/>
      <c r="R69" s="292"/>
      <c r="S69" s="285">
        <f t="shared" si="4"/>
        <v>612</v>
      </c>
      <c r="T69" s="286" t="str">
        <f>_xlfn.XLOOKUP(E69,'[2]Рассчет акции'!$D:$D,'[2]Рассчет акции'!$G:$G,0)</f>
        <v>1020</v>
      </c>
      <c r="U69" s="417">
        <f>_xlfn.XLOOKUP(E69,'[2]Рассчет акции'!$D:$D,'[2]Рассчет акции'!$F:$F,0)</f>
        <v>0.4</v>
      </c>
      <c r="V69" s="235">
        <f t="shared" si="40"/>
        <v>286.55360000000002</v>
      </c>
      <c r="W69" s="288">
        <f t="shared" si="61"/>
        <v>0.4682248366013072</v>
      </c>
      <c r="X69" s="289">
        <f>IF(K69&gt;1,('Тарифы ВБ'!$B$9+(K69-1)*'Тарифы ВБ'!$B$10)*'Тарифы ВБ'!$B$15*'Тарифы ВБ'!$B$12+S69*'Тарифы ВБ'!$B$13,'Тарифы ВБ'!$B$8*'Тарифы ВБ'!$B$15*'Тарифы ВБ'!$B$12+S69*'Тарифы ВБ'!$B$13)</f>
        <v>72.613600000000005</v>
      </c>
      <c r="Y69" s="289">
        <f>IF(K69&gt;1,'Тарифы ВБ'!$B$9+(K69-1)*'Тарифы ВБ'!$B$10,'Тарифы ВБ'!$B$8)</f>
        <v>32</v>
      </c>
      <c r="Z69" s="289">
        <f t="shared" si="42"/>
        <v>104.61360000000001</v>
      </c>
      <c r="AA69" s="236">
        <f t="shared" si="43"/>
        <v>0.17093725490196079</v>
      </c>
      <c r="AB69" s="237">
        <f>IF(K69&gt;1,'Тарифы ВБ'!$B$14*'Тарифы ВБ'!$B$16*'Тарифы ВБ'!$B$15+(K69-1)*'Тарифы ВБ'!$B$14,'Тарифы ВБ'!$B$14*'Тарифы ВБ'!B$16*'Тарифы ВБ'!$B$15)</f>
        <v>32</v>
      </c>
      <c r="AC69" s="287">
        <f t="shared" ref="AC69:AC84" si="113">+X69+AB69+Y69</f>
        <v>136.61360000000002</v>
      </c>
      <c r="AD69" s="240">
        <f t="shared" ref="AD69:AD84" si="114">AC69/S69*100%</f>
        <v>0.22322483660130721</v>
      </c>
      <c r="AE69" s="241">
        <v>0.215</v>
      </c>
      <c r="AF69" s="289">
        <f t="shared" ref="AF69:AF84" si="115">S69*AE69</f>
        <v>131.57999999999998</v>
      </c>
      <c r="AG69" s="364">
        <f t="shared" ref="AG69:AG84" si="116">1.1*S69*$AG$3</f>
        <v>0</v>
      </c>
      <c r="AH69" s="364">
        <f t="shared" ref="AH69:AH84" si="117">S69*$AH$3</f>
        <v>18.36</v>
      </c>
      <c r="AI69" s="149">
        <f t="shared" ref="AI69:AI84" si="118">F69+V69</f>
        <v>402.47850142598077</v>
      </c>
      <c r="AJ69" s="447">
        <f t="shared" ref="AJ69:AJ84" si="119">IFERROR(AL69/S69,0)</f>
        <v>0.27235538982682883</v>
      </c>
      <c r="AK69" s="450">
        <f t="shared" ref="AK69:AK84" si="120">S69-AI69</f>
        <v>209.52149857401923</v>
      </c>
      <c r="AL69" s="450">
        <f t="shared" ref="AL69:AL84" si="121">AK69-S69*7%</f>
        <v>166.68149857401923</v>
      </c>
      <c r="AM69" s="447">
        <f t="shared" ref="AM69:AM84" si="122">AL69/H69</f>
        <v>1.7746252169918499</v>
      </c>
      <c r="AN69" s="458">
        <v>619</v>
      </c>
      <c r="AO69" s="459">
        <f t="shared" si="72"/>
        <v>216.52149857401923</v>
      </c>
      <c r="AP69" s="459">
        <f t="shared" si="73"/>
        <v>173.19149857401922</v>
      </c>
      <c r="AQ69" s="463">
        <f t="shared" ref="AQ69:AQ84" si="123">$AP69/$H69*100%</f>
        <v>1.8439359099088961</v>
      </c>
      <c r="AR69" s="464">
        <f t="shared" si="75"/>
        <v>0.27979240480455447</v>
      </c>
      <c r="AS69" s="487" t="str">
        <f>IFERROR(_xlfn.XLOOKUP(A69,'[2]Рассчет акции'!$A:$A,'[2]Рассчет акции'!$BH:$BH),0)</f>
        <v>*</v>
      </c>
      <c r="AT69" s="487">
        <f>IFERROR(_xlfn.XLOOKUP($A69,'[2]Рассчет акции'!$A:$A,'[2]Рассчет акции'!$BC:$BC),0)</f>
        <v>612</v>
      </c>
      <c r="AU69" s="409">
        <f t="shared" si="76"/>
        <v>0.27235538982682883</v>
      </c>
      <c r="AV69" s="407">
        <f t="shared" si="77"/>
        <v>209.52149857401923</v>
      </c>
      <c r="AW69" s="407">
        <f t="shared" si="78"/>
        <v>166.68149857401923</v>
      </c>
      <c r="AX69" s="409">
        <f t="shared" ref="AX69:AX84" si="124">$AW69/$H69*100%</f>
        <v>1.7746252169918499</v>
      </c>
      <c r="AY69" s="293">
        <f>IFERROR(_xlfn.XLOOKUP(E69,'[2]Рассчет акции'!$D:$D,'[2]Рассчет акции'!$BM:$BM),0)</f>
        <v>152</v>
      </c>
      <c r="AZ69" s="203">
        <f>IFERROR(_xlfn.XLOOKUP(E69,'[2]Рассчет акции'!$D:$D,'[2]Рассчет акции'!$BN:$BN),0)</f>
        <v>286</v>
      </c>
      <c r="BA69" s="294">
        <f t="shared" ref="BA69:BA84" si="125">S69/H69</f>
        <v>6.5158439424320056</v>
      </c>
      <c r="BB69" s="292"/>
      <c r="BC69" s="497" t="e">
        <f xml:space="preserve"> _xlfn.XLOOKUP(B69,#REF!,#REF!,0)</f>
        <v>#REF!</v>
      </c>
      <c r="BD69" s="500" t="e">
        <f t="shared" si="52"/>
        <v>#REF!</v>
      </c>
      <c r="BE69" s="501">
        <f>_xlfn.XLOOKUP($B69,'[1]Рассчет акции'!$A:$A,'[1]Рассчет акции'!$J:$J)</f>
        <v>0.34989503149055279</v>
      </c>
      <c r="BF69" s="191" t="e">
        <f t="shared" si="44"/>
        <v>#REF!</v>
      </c>
      <c r="BG69" s="192">
        <f t="shared" si="81"/>
        <v>0</v>
      </c>
      <c r="BH69" s="193">
        <v>0.34</v>
      </c>
      <c r="BI69" s="194" t="e">
        <f t="shared" si="82"/>
        <v>#REF!</v>
      </c>
      <c r="BJ69" s="195" t="e">
        <f t="shared" si="45"/>
        <v>#REF!</v>
      </c>
      <c r="BK69" s="422">
        <f t="shared" ref="BK69:BK84" si="126">K69*$BK$3*30</f>
        <v>0</v>
      </c>
      <c r="BL69" s="196">
        <f>(IF(K69&gt;$BL$3,('Тарифы ОЗОН'!$G$3+ROUNDUP(K69-$BL$3,0)*'Тарифы ОЗОН'!$G$4),'Тарифы ОЗОН'!$G$3))</f>
        <v>46.77</v>
      </c>
      <c r="BM69" s="196">
        <f t="shared" si="84"/>
        <v>35</v>
      </c>
      <c r="BN69" s="197">
        <f>_xlfn.XLOOKUP(BM69,'Тарифы ОЗОН'!$A:$A,'Тарифы ОЗОН'!$B:$B)</f>
        <v>1.32</v>
      </c>
      <c r="BO69" s="198">
        <f>_xlfn.XLOOKUP(BM69,'Тарифы ОЗОН'!$A:$A,'Тарифы ОЗОН'!C:C)</f>
        <v>1.6E-2</v>
      </c>
      <c r="BP69" s="199">
        <f t="shared" si="85"/>
        <v>25</v>
      </c>
      <c r="BQ69" s="199" t="e">
        <f t="shared" si="46"/>
        <v>#REF!</v>
      </c>
      <c r="BR69" s="359">
        <f t="shared" si="47"/>
        <v>0.85</v>
      </c>
      <c r="BS69" s="199" t="e">
        <f t="shared" si="48"/>
        <v>#REF!</v>
      </c>
      <c r="BT69" s="200">
        <f t="shared" si="86"/>
        <v>0</v>
      </c>
      <c r="BU69" s="262" t="e">
        <f t="shared" si="30"/>
        <v>#REF!</v>
      </c>
      <c r="BV69" s="149" t="e">
        <f t="shared" ref="BV69:BV84" si="127">BF69+F69</f>
        <v>#REF!</v>
      </c>
      <c r="BW69" s="291">
        <f t="shared" si="88"/>
        <v>0</v>
      </c>
      <c r="BX69" s="201">
        <f t="shared" si="89"/>
        <v>0</v>
      </c>
      <c r="BY69" s="201" t="e">
        <f t="shared" si="90"/>
        <v>#REF!</v>
      </c>
      <c r="BZ69" s="202">
        <f t="shared" si="111"/>
        <v>0</v>
      </c>
      <c r="CA69" s="425">
        <v>749</v>
      </c>
      <c r="CB69" s="426" t="e">
        <f t="shared" si="49"/>
        <v>#REF!</v>
      </c>
      <c r="CC69" s="427" t="e">
        <f t="shared" si="53"/>
        <v>#REF!</v>
      </c>
      <c r="CD69" s="429" t="e">
        <f t="shared" ref="CD69:CD84" si="128">CC69/H69*100%</f>
        <v>#REF!</v>
      </c>
      <c r="CE69" s="429">
        <f t="shared" si="50"/>
        <v>0</v>
      </c>
      <c r="CF69" s="277">
        <f>_xlfn.XLOOKUP(B69,'[1]Рассчет акции'!$A:$A,'[1]Рассчет акции'!$R:$R,0)</f>
        <v>0</v>
      </c>
      <c r="CG69" s="360">
        <f>_xlfn.XLOOKUP(B69,'[1]Рассчет акции'!$A:$A,'[1]Рассчет акции'!$M:$M,0)</f>
        <v>647</v>
      </c>
      <c r="CH69" s="291">
        <f t="shared" si="92"/>
        <v>0</v>
      </c>
      <c r="CI69" s="290" t="e">
        <f t="shared" si="55"/>
        <v>#REF!</v>
      </c>
      <c r="CJ69" s="290" t="e">
        <f t="shared" si="56"/>
        <v>#REF!</v>
      </c>
      <c r="CK69" s="291" t="e">
        <f t="shared" ref="CK69:CK84" si="129">$CJ69/$H69*100%</f>
        <v>#REF!</v>
      </c>
      <c r="CL69" s="203">
        <f>_xlfn.XLOOKUP(B69,'[1]Рассчет акции'!$A:$A,'[1]Рассчет акции'!$W:$W,0)</f>
        <v>13</v>
      </c>
      <c r="CM69" s="424">
        <f>_xlfn.XLOOKUP(B69,'[1]Рассчет акции'!$A:$A,'[1]Рассчет акции'!$X:$X,0)</f>
        <v>91</v>
      </c>
      <c r="CN69" s="294" t="e">
        <f t="shared" ref="CN69:CN84" si="130">BC69/H69</f>
        <v>#REF!</v>
      </c>
      <c r="CO69" s="433">
        <f t="shared" si="51"/>
        <v>674.1</v>
      </c>
      <c r="CP69" s="507">
        <f>_xlfn.XLOOKUP(B69,'[1]Рассчет акции'!$A:$A,'[1]Рассчет акции'!$Z:$Z,0)</f>
        <v>0</v>
      </c>
    </row>
    <row r="70" spans="1:94" ht="24.95" customHeight="1" x14ac:dyDescent="0.25">
      <c r="A70" s="165">
        <v>251537413</v>
      </c>
      <c r="B70" s="167">
        <v>2415743157</v>
      </c>
      <c r="C70" s="165" t="s">
        <v>142</v>
      </c>
      <c r="D70" s="166" t="s">
        <v>134</v>
      </c>
      <c r="E70" s="167">
        <v>2040903547941</v>
      </c>
      <c r="F70" s="284">
        <f t="shared" si="112"/>
        <v>115.92490142598076</v>
      </c>
      <c r="G70" s="147">
        <f t="shared" si="58"/>
        <v>0.20775071940139922</v>
      </c>
      <c r="H70" s="439">
        <f>IF(_xlfn.XLOOKUP($C70,'Юнит Карго'!$A:$A,'Юнит Карго'!$G:$G)=0,_xlfn.XLOOKUP(E70,'Себес 1С текущ'!G:G,'Себес 1С текущ'!H:H),_xlfn.XLOOKUP($C70,'Юнит Карго'!$A:$A,'Юнит Карго'!$P:$P,0,0))</f>
        <v>93.924901425980764</v>
      </c>
      <c r="I70" s="268">
        <f>_xlfn.XLOOKUP(E70,[3]ТЗ_ФФ!$D:$D,[3]ТЗ_ФФ!$BG:$BG,0)</f>
        <v>14</v>
      </c>
      <c r="J70" s="269">
        <f t="shared" si="59"/>
        <v>8</v>
      </c>
      <c r="K70" s="273">
        <f t="shared" si="60"/>
        <v>0.52800000000000002</v>
      </c>
      <c r="L70" s="146">
        <v>11</v>
      </c>
      <c r="M70" s="146">
        <v>8</v>
      </c>
      <c r="N70" s="146">
        <v>6</v>
      </c>
      <c r="O70" s="150">
        <f>_xlfn.XLOOKUP($C70,'Юнит Карго'!$A:$A,'Юнит Карго'!$T:$T,0,0)</f>
        <v>0.08</v>
      </c>
      <c r="P70" s="127"/>
      <c r="Q70" s="146"/>
      <c r="R70" s="292"/>
      <c r="S70" s="285">
        <f t="shared" si="4"/>
        <v>558</v>
      </c>
      <c r="T70" s="286" t="str">
        <f>_xlfn.XLOOKUP(E70,'[2]Рассчет акции'!$D:$D,'[2]Рассчет акции'!$G:$G,0)</f>
        <v>930</v>
      </c>
      <c r="U70" s="417">
        <f>_xlfn.XLOOKUP(E70,'[2]Рассчет акции'!$D:$D,'[2]Рассчет акции'!$F:$F,0)</f>
        <v>0.4</v>
      </c>
      <c r="V70" s="235">
        <f t="shared" si="40"/>
        <v>272.90240000000006</v>
      </c>
      <c r="W70" s="288">
        <f t="shared" si="61"/>
        <v>0.48907240143369185</v>
      </c>
      <c r="X70" s="289">
        <f>IF(K70&gt;1,('Тарифы ВБ'!$B$9+(K70-1)*'Тарифы ВБ'!$B$10)*'Тарифы ВБ'!$B$15*'Тарифы ВБ'!$B$12+S70*'Тарифы ВБ'!$B$13,'Тарифы ВБ'!$B$8*'Тарифы ВБ'!$B$15*'Тарифы ВБ'!$B$12+S70*'Тарифы ВБ'!$B$13)</f>
        <v>72.192400000000006</v>
      </c>
      <c r="Y70" s="289">
        <f>IF(K70&gt;1,'Тарифы ВБ'!$B$9+(K70-1)*'Тарифы ВБ'!$B$10,'Тарифы ВБ'!$B$8)</f>
        <v>32</v>
      </c>
      <c r="Z70" s="289">
        <f t="shared" ref="Z70:Z84" si="131">SUM(X70:Y70)</f>
        <v>104.19240000000001</v>
      </c>
      <c r="AA70" s="236">
        <f t="shared" ref="AA70:AA84" si="132">IFERROR(Z70/S70,0)</f>
        <v>0.1867247311827957</v>
      </c>
      <c r="AB70" s="237">
        <f>IF(K70&gt;1,'Тарифы ВБ'!$B$14*'Тарифы ВБ'!$B$16*'Тарифы ВБ'!$B$15+(K70-1)*'Тарифы ВБ'!$B$14,'Тарифы ВБ'!$B$14*'Тарифы ВБ'!B$16*'Тарифы ВБ'!$B$15)</f>
        <v>32</v>
      </c>
      <c r="AC70" s="287">
        <f t="shared" si="113"/>
        <v>136.19240000000002</v>
      </c>
      <c r="AD70" s="240">
        <f t="shared" si="114"/>
        <v>0.2440724014336918</v>
      </c>
      <c r="AE70" s="241">
        <v>0.215</v>
      </c>
      <c r="AF70" s="289">
        <f t="shared" si="115"/>
        <v>119.97</v>
      </c>
      <c r="AG70" s="364">
        <f t="shared" si="116"/>
        <v>0</v>
      </c>
      <c r="AH70" s="364">
        <f t="shared" si="117"/>
        <v>16.739999999999998</v>
      </c>
      <c r="AI70" s="149">
        <f t="shared" si="118"/>
        <v>388.82730142598081</v>
      </c>
      <c r="AJ70" s="447">
        <f t="shared" si="119"/>
        <v>0.23317687916490895</v>
      </c>
      <c r="AK70" s="450">
        <f t="shared" si="120"/>
        <v>169.17269857401919</v>
      </c>
      <c r="AL70" s="450">
        <f t="shared" si="121"/>
        <v>130.11269857401919</v>
      </c>
      <c r="AM70" s="447">
        <f t="shared" si="122"/>
        <v>1.3852843771846477</v>
      </c>
      <c r="AN70" s="458">
        <v>619</v>
      </c>
      <c r="AO70" s="459">
        <f t="shared" si="72"/>
        <v>230.17269857401919</v>
      </c>
      <c r="AP70" s="459">
        <f t="shared" si="73"/>
        <v>186.84269857401918</v>
      </c>
      <c r="AQ70" s="463">
        <f t="shared" si="123"/>
        <v>1.9892775583189084</v>
      </c>
      <c r="AR70" s="464">
        <f t="shared" si="75"/>
        <v>0.30184603969954632</v>
      </c>
      <c r="AS70" s="487" t="str">
        <f>IFERROR(_xlfn.XLOOKUP(A70,'[2]Рассчет акции'!$A:$A,'[2]Рассчет акции'!$BH:$BH),0)</f>
        <v>*</v>
      </c>
      <c r="AT70" s="487">
        <f>IFERROR(_xlfn.XLOOKUP($A70,'[2]Рассчет акции'!$A:$A,'[2]Рассчет акции'!$BC:$BC),0)</f>
        <v>558</v>
      </c>
      <c r="AU70" s="409">
        <f t="shared" si="76"/>
        <v>0.23317687916490895</v>
      </c>
      <c r="AV70" s="407">
        <f t="shared" si="77"/>
        <v>169.17269857401919</v>
      </c>
      <c r="AW70" s="407">
        <f t="shared" si="78"/>
        <v>130.11269857401919</v>
      </c>
      <c r="AX70" s="409">
        <f t="shared" si="124"/>
        <v>1.3852843771846477</v>
      </c>
      <c r="AY70" s="293">
        <f>IFERROR(_xlfn.XLOOKUP(E70,'[2]Рассчет акции'!$D:$D,'[2]Рассчет акции'!$BM:$BM),0)</f>
        <v>188</v>
      </c>
      <c r="AZ70" s="203">
        <f>IFERROR(_xlfn.XLOOKUP(E70,'[2]Рассчет акции'!$D:$D,'[2]Рассчет акции'!$BN:$BN),0)</f>
        <v>877</v>
      </c>
      <c r="BA70" s="294">
        <f t="shared" si="125"/>
        <v>5.9409165357468288</v>
      </c>
      <c r="BB70" s="292"/>
      <c r="BC70" s="497" t="e">
        <f xml:space="preserve"> _xlfn.XLOOKUP(B70,#REF!,#REF!,0)</f>
        <v>#REF!</v>
      </c>
      <c r="BD70" s="500" t="e">
        <f t="shared" si="52"/>
        <v>#REF!</v>
      </c>
      <c r="BE70" s="501">
        <f>_xlfn.XLOOKUP($B70,'[1]Рассчет акции'!$A:$A,'[1]Рассчет акции'!$J:$J)</f>
        <v>0.34989503149055279</v>
      </c>
      <c r="BF70" s="191" t="e">
        <f t="shared" ref="BF70:BF84" si="133">BS70+BI70+BJ70+BU70+BK70</f>
        <v>#REF!</v>
      </c>
      <c r="BG70" s="192">
        <f t="shared" si="81"/>
        <v>0</v>
      </c>
      <c r="BH70" s="193">
        <v>0.34</v>
      </c>
      <c r="BI70" s="194" t="e">
        <f t="shared" si="82"/>
        <v>#REF!</v>
      </c>
      <c r="BJ70" s="195" t="e">
        <f t="shared" si="45"/>
        <v>#REF!</v>
      </c>
      <c r="BK70" s="422">
        <f t="shared" si="126"/>
        <v>0</v>
      </c>
      <c r="BL70" s="196">
        <f>(IF(K70&gt;$BL$3,('Тарифы ОЗОН'!$G$3+ROUNDUP(K70-$BL$3,0)*'Тарифы ОЗОН'!$G$4),'Тарифы ОЗОН'!$G$3))</f>
        <v>46.77</v>
      </c>
      <c r="BM70" s="196">
        <f t="shared" si="84"/>
        <v>35</v>
      </c>
      <c r="BN70" s="197">
        <f>_xlfn.XLOOKUP(BM70,'Тарифы ОЗОН'!$A:$A,'Тарифы ОЗОН'!$B:$B)</f>
        <v>1.32</v>
      </c>
      <c r="BO70" s="198">
        <f>_xlfn.XLOOKUP(BM70,'Тарифы ОЗОН'!$A:$A,'Тарифы ОЗОН'!C:C)</f>
        <v>1.6E-2</v>
      </c>
      <c r="BP70" s="199">
        <f t="shared" si="85"/>
        <v>25</v>
      </c>
      <c r="BQ70" s="199" t="e">
        <f t="shared" si="46"/>
        <v>#REF!</v>
      </c>
      <c r="BR70" s="359">
        <f t="shared" si="47"/>
        <v>0.85</v>
      </c>
      <c r="BS70" s="199" t="e">
        <f t="shared" si="48"/>
        <v>#REF!</v>
      </c>
      <c r="BT70" s="200">
        <f t="shared" si="86"/>
        <v>0</v>
      </c>
      <c r="BU70" s="262" t="e">
        <f t="shared" si="30"/>
        <v>#REF!</v>
      </c>
      <c r="BV70" s="149" t="e">
        <f t="shared" si="127"/>
        <v>#REF!</v>
      </c>
      <c r="BW70" s="291">
        <f t="shared" si="88"/>
        <v>0</v>
      </c>
      <c r="BX70" s="201">
        <f t="shared" si="89"/>
        <v>0</v>
      </c>
      <c r="BY70" s="201" t="e">
        <f t="shared" si="90"/>
        <v>#REF!</v>
      </c>
      <c r="BZ70" s="202">
        <f t="shared" si="111"/>
        <v>0</v>
      </c>
      <c r="CA70" s="425">
        <v>749</v>
      </c>
      <c r="CB70" s="426" t="e">
        <f t="shared" ref="CB70:CB84" si="134">IF(BC70=0,0,CA70-BV70)</f>
        <v>#REF!</v>
      </c>
      <c r="CC70" s="427" t="e">
        <f t="shared" si="53"/>
        <v>#REF!</v>
      </c>
      <c r="CD70" s="429" t="e">
        <f t="shared" si="128"/>
        <v>#REF!</v>
      </c>
      <c r="CE70" s="429">
        <f t="shared" si="50"/>
        <v>0</v>
      </c>
      <c r="CF70" s="277">
        <f>_xlfn.XLOOKUP(B70,'[1]Рассчет акции'!$A:$A,'[1]Рассчет акции'!$R:$R,0)</f>
        <v>0</v>
      </c>
      <c r="CG70" s="360">
        <f>_xlfn.XLOOKUP(B70,'[1]Рассчет акции'!$A:$A,'[1]Рассчет акции'!$M:$M,0)</f>
        <v>647</v>
      </c>
      <c r="CH70" s="291">
        <f t="shared" si="92"/>
        <v>0</v>
      </c>
      <c r="CI70" s="290" t="e">
        <f t="shared" si="55"/>
        <v>#REF!</v>
      </c>
      <c r="CJ70" s="290" t="e">
        <f t="shared" si="56"/>
        <v>#REF!</v>
      </c>
      <c r="CK70" s="291" t="e">
        <f t="shared" si="129"/>
        <v>#REF!</v>
      </c>
      <c r="CL70" s="203">
        <f>_xlfn.XLOOKUP(B70,'[1]Рассчет акции'!$A:$A,'[1]Рассчет акции'!$W:$W,0)</f>
        <v>14</v>
      </c>
      <c r="CM70" s="424">
        <f>_xlfn.XLOOKUP(B70,'[1]Рассчет акции'!$A:$A,'[1]Рассчет акции'!$X:$X,0)</f>
        <v>999</v>
      </c>
      <c r="CN70" s="294" t="e">
        <f t="shared" si="130"/>
        <v>#REF!</v>
      </c>
      <c r="CO70" s="433">
        <f t="shared" ref="CO70:CO84" si="135">CA70-10%*CA70</f>
        <v>674.1</v>
      </c>
      <c r="CP70" s="507">
        <f>_xlfn.XLOOKUP(B70,'[1]Рассчет акции'!$A:$A,'[1]Рассчет акции'!$Z:$Z,0)</f>
        <v>0</v>
      </c>
    </row>
    <row r="71" spans="1:94" ht="24.95" customHeight="1" x14ac:dyDescent="0.25">
      <c r="A71" s="165">
        <v>251516159</v>
      </c>
      <c r="B71" s="167">
        <v>1980956952</v>
      </c>
      <c r="C71" s="165" t="s">
        <v>145</v>
      </c>
      <c r="D71" s="166" t="s">
        <v>137</v>
      </c>
      <c r="E71" s="167">
        <v>2040902555480</v>
      </c>
      <c r="F71" s="284">
        <f t="shared" si="112"/>
        <v>150.67357749546633</v>
      </c>
      <c r="G71" s="147">
        <f t="shared" si="58"/>
        <v>0.23575900093172639</v>
      </c>
      <c r="H71" s="439">
        <f>IF(_xlfn.XLOOKUP($C71,'Юнит Карго'!$A:$A,'Юнит Карго'!$G:$G)=0,_xlfn.XLOOKUP(E71,'Себес 1С текущ'!G:G,'Себес 1С текущ'!H:H),_xlfn.XLOOKUP($C71,'Юнит Карго'!$A:$A,'Юнит Карго'!$P:$P,0,0))</f>
        <v>128.67357749546633</v>
      </c>
      <c r="I71" s="268">
        <f>_xlfn.XLOOKUP(E71,[3]ТЗ_ФФ!$D:$D,[3]ТЗ_ФФ!$BG:$BG,0)</f>
        <v>14</v>
      </c>
      <c r="J71" s="269">
        <f t="shared" si="59"/>
        <v>8</v>
      </c>
      <c r="K71" s="273">
        <f t="shared" si="60"/>
        <v>0.75600000000000001</v>
      </c>
      <c r="L71" s="146">
        <v>12</v>
      </c>
      <c r="M71" s="146">
        <v>9</v>
      </c>
      <c r="N71" s="146">
        <v>7</v>
      </c>
      <c r="O71" s="150">
        <f>_xlfn.XLOOKUP($C71,'Юнит Карго'!$A:$A,'Юнит Карго'!$T:$T,0,0)</f>
        <v>0.14000000000000001</v>
      </c>
      <c r="P71" s="127"/>
      <c r="Q71" s="146"/>
      <c r="R71" s="292"/>
      <c r="S71" s="285">
        <f t="shared" ref="S71:S83" si="136">T71-(T71*U71)</f>
        <v>639.1</v>
      </c>
      <c r="T71" s="286" t="str">
        <f>_xlfn.XLOOKUP(E71,'[2]Рассчет акции'!$D:$D,'[2]Рассчет акции'!$G:$G,0)</f>
        <v>913</v>
      </c>
      <c r="U71" s="417">
        <f>_xlfn.XLOOKUP(E71,'[2]Рассчет акции'!$D:$D,'[2]Рассчет акции'!$F:$F,0)</f>
        <v>0.3</v>
      </c>
      <c r="V71" s="235">
        <f t="shared" si="40"/>
        <v>293.40448000000004</v>
      </c>
      <c r="W71" s="288">
        <f t="shared" si="61"/>
        <v>0.45909009544672197</v>
      </c>
      <c r="X71" s="289">
        <f>IF(K71&gt;1,('Тарифы ВБ'!$B$9+(K71-1)*'Тарифы ВБ'!$B$10)*'Тарифы ВБ'!$B$15*'Тарифы ВБ'!$B$12+S71*'Тарифы ВБ'!$B$13,'Тарифы ВБ'!$B$8*'Тарифы ВБ'!$B$15*'Тарифы ВБ'!$B$12+S71*'Тарифы ВБ'!$B$13)</f>
        <v>72.824980000000011</v>
      </c>
      <c r="Y71" s="289">
        <f>IF(K71&gt;1,'Тарифы ВБ'!$B$9+(K71-1)*'Тарифы ВБ'!$B$10,'Тарифы ВБ'!$B$8)</f>
        <v>32</v>
      </c>
      <c r="Z71" s="289">
        <f t="shared" si="131"/>
        <v>104.82498000000001</v>
      </c>
      <c r="AA71" s="236">
        <f t="shared" si="132"/>
        <v>0.16401968393052732</v>
      </c>
      <c r="AB71" s="237">
        <f>IF(K71&gt;1,'Тарифы ВБ'!$B$14*'Тарифы ВБ'!$B$16*'Тарифы ВБ'!$B$15+(K71-1)*'Тарифы ВБ'!$B$14,'Тарифы ВБ'!$B$14*'Тарифы ВБ'!B$16*'Тарифы ВБ'!$B$15)</f>
        <v>32</v>
      </c>
      <c r="AC71" s="287">
        <f t="shared" si="113"/>
        <v>136.82498000000001</v>
      </c>
      <c r="AD71" s="240">
        <f t="shared" si="114"/>
        <v>0.21409009544672197</v>
      </c>
      <c r="AE71" s="241">
        <v>0.215</v>
      </c>
      <c r="AF71" s="289">
        <f t="shared" si="115"/>
        <v>137.40649999999999</v>
      </c>
      <c r="AG71" s="364">
        <f t="shared" si="116"/>
        <v>0</v>
      </c>
      <c r="AH71" s="364">
        <f t="shared" si="117"/>
        <v>19.172999999999998</v>
      </c>
      <c r="AI71" s="149">
        <f t="shared" si="118"/>
        <v>444.0780574954664</v>
      </c>
      <c r="AJ71" s="447">
        <f t="shared" si="119"/>
        <v>0.23515090362155155</v>
      </c>
      <c r="AK71" s="450">
        <f t="shared" si="120"/>
        <v>195.02194250453363</v>
      </c>
      <c r="AL71" s="450">
        <f t="shared" si="121"/>
        <v>150.2849425045336</v>
      </c>
      <c r="AM71" s="447">
        <f t="shared" si="122"/>
        <v>1.1679549557082045</v>
      </c>
      <c r="AN71" s="458">
        <v>639</v>
      </c>
      <c r="AO71" s="459">
        <f t="shared" si="72"/>
        <v>194.9219425045336</v>
      </c>
      <c r="AP71" s="459">
        <f t="shared" si="73"/>
        <v>150.19194250453359</v>
      </c>
      <c r="AQ71" s="463">
        <f t="shared" si="123"/>
        <v>1.1672321966009334</v>
      </c>
      <c r="AR71" s="464">
        <f t="shared" si="75"/>
        <v>0.23504216354387103</v>
      </c>
      <c r="AS71" s="487">
        <f>IFERROR(_xlfn.XLOOKUP(A71,'[2]Рассчет акции'!$A:$A,'[2]Рассчет акции'!$BH:$BH),0)</f>
        <v>0</v>
      </c>
      <c r="AT71" s="487">
        <f>IFERROR(_xlfn.XLOOKUP($A71,'[2]Рассчет акции'!$A:$A,'[2]Рассчет акции'!$BC:$BC),0)</f>
        <v>0</v>
      </c>
      <c r="AU71" s="409">
        <f t="shared" si="76"/>
        <v>0</v>
      </c>
      <c r="AV71" s="407">
        <f t="shared" si="77"/>
        <v>-444.0780574954664</v>
      </c>
      <c r="AW71" s="407">
        <f t="shared" si="78"/>
        <v>-444.0780574954664</v>
      </c>
      <c r="AX71" s="409">
        <f t="shared" si="124"/>
        <v>-3.4511984988612987</v>
      </c>
      <c r="AY71" s="293">
        <f>IFERROR(_xlfn.XLOOKUP(E71,'[2]Рассчет акции'!$D:$D,'[2]Рассчет акции'!$BM:$BM),0)</f>
        <v>137</v>
      </c>
      <c r="AZ71" s="203">
        <f>IFERROR(_xlfn.XLOOKUP(E71,'[2]Рассчет акции'!$D:$D,'[2]Рассчет акции'!$BN:$BN),0)</f>
        <v>210</v>
      </c>
      <c r="BA71" s="294">
        <f t="shared" si="125"/>
        <v>4.9668316715801115</v>
      </c>
      <c r="BB71" s="292"/>
      <c r="BC71" s="497" t="e">
        <f xml:space="preserve"> _xlfn.XLOOKUP(B71,#REF!,#REF!,0)</f>
        <v>#REF!</v>
      </c>
      <c r="BD71" s="500" t="e">
        <f t="shared" si="52"/>
        <v>#REF!</v>
      </c>
      <c r="BE71" s="501">
        <f>_xlfn.XLOOKUP($B71,'[1]Рассчет акции'!$A:$A,'[1]Рассчет акции'!$J:$J)</f>
        <v>0.35012755102040816</v>
      </c>
      <c r="BF71" s="191" t="e">
        <f t="shared" si="133"/>
        <v>#REF!</v>
      </c>
      <c r="BG71" s="192">
        <f t="shared" si="81"/>
        <v>0</v>
      </c>
      <c r="BH71" s="193">
        <v>0.34</v>
      </c>
      <c r="BI71" s="194" t="e">
        <f t="shared" si="82"/>
        <v>#REF!</v>
      </c>
      <c r="BJ71" s="195" t="e">
        <f t="shared" si="45"/>
        <v>#REF!</v>
      </c>
      <c r="BK71" s="422">
        <f t="shared" si="126"/>
        <v>0</v>
      </c>
      <c r="BL71" s="196">
        <f>(IF(K71&gt;$BL$3,('Тарифы ОЗОН'!$G$3+ROUNDUP(K71-$BL$3,0)*'Тарифы ОЗОН'!$G$4),'Тарифы ОЗОН'!$G$3))</f>
        <v>46.77</v>
      </c>
      <c r="BM71" s="196">
        <f t="shared" si="84"/>
        <v>35</v>
      </c>
      <c r="BN71" s="197">
        <f>_xlfn.XLOOKUP(BM71,'Тарифы ОЗОН'!$A:$A,'Тарифы ОЗОН'!$B:$B)</f>
        <v>1.32</v>
      </c>
      <c r="BO71" s="198">
        <f>_xlfn.XLOOKUP(BM71,'Тарифы ОЗОН'!$A:$A,'Тарифы ОЗОН'!C:C)</f>
        <v>1.6E-2</v>
      </c>
      <c r="BP71" s="199">
        <f t="shared" si="85"/>
        <v>25</v>
      </c>
      <c r="BQ71" s="199" t="e">
        <f t="shared" si="46"/>
        <v>#REF!</v>
      </c>
      <c r="BR71" s="359">
        <f t="shared" si="47"/>
        <v>0.85</v>
      </c>
      <c r="BS71" s="199" t="e">
        <f t="shared" si="48"/>
        <v>#REF!</v>
      </c>
      <c r="BT71" s="200">
        <f t="shared" si="86"/>
        <v>0</v>
      </c>
      <c r="BU71" s="262" t="e">
        <f t="shared" si="30"/>
        <v>#REF!</v>
      </c>
      <c r="BV71" s="149" t="e">
        <f t="shared" si="127"/>
        <v>#REF!</v>
      </c>
      <c r="BW71" s="291">
        <f t="shared" si="88"/>
        <v>0</v>
      </c>
      <c r="BX71" s="201">
        <f t="shared" si="89"/>
        <v>0</v>
      </c>
      <c r="BY71" s="201" t="e">
        <f t="shared" si="90"/>
        <v>#REF!</v>
      </c>
      <c r="BZ71" s="202">
        <f t="shared" si="111"/>
        <v>0</v>
      </c>
      <c r="CA71" s="425">
        <v>855</v>
      </c>
      <c r="CB71" s="426" t="e">
        <f t="shared" si="134"/>
        <v>#REF!</v>
      </c>
      <c r="CC71" s="427" t="e">
        <f t="shared" ref="CC71:CC84" si="137">IF(CB71=0,0,CB71-CA71*7%)</f>
        <v>#REF!</v>
      </c>
      <c r="CD71" s="429" t="e">
        <f t="shared" si="128"/>
        <v>#REF!</v>
      </c>
      <c r="CE71" s="429">
        <f t="shared" si="50"/>
        <v>0</v>
      </c>
      <c r="CF71" s="277">
        <f>_xlfn.XLOOKUP(B71,'[1]Рассчет акции'!$A:$A,'[1]Рассчет акции'!$R:$R,0)</f>
        <v>0</v>
      </c>
      <c r="CG71" s="360">
        <f>_xlfn.XLOOKUP(B71,'[1]Рассчет акции'!$A:$A,'[1]Рассчет акции'!$M:$M,0)</f>
        <v>757</v>
      </c>
      <c r="CH71" s="291">
        <f t="shared" si="92"/>
        <v>0</v>
      </c>
      <c r="CI71" s="290" t="e">
        <f t="shared" ref="CI71:CI84" si="138">IF(BC71&gt;0,CG71-BV71,0)</f>
        <v>#REF!</v>
      </c>
      <c r="CJ71" s="290" t="e">
        <f t="shared" ref="CJ71:CJ84" si="139">IF(CI71&gt;0,$CI71-$CG71*7%,0)</f>
        <v>#REF!</v>
      </c>
      <c r="CK71" s="291" t="e">
        <f t="shared" si="129"/>
        <v>#REF!</v>
      </c>
      <c r="CL71" s="203">
        <f>_xlfn.XLOOKUP(B71,'[1]Рассчет акции'!$A:$A,'[1]Рассчет акции'!$W:$W,0)</f>
        <v>11</v>
      </c>
      <c r="CM71" s="424">
        <f>_xlfn.XLOOKUP(B71,'[1]Рассчет акции'!$A:$A,'[1]Рассчет акции'!$X:$X,0)</f>
        <v>25.666666666666668</v>
      </c>
      <c r="CN71" s="294" t="e">
        <f t="shared" si="130"/>
        <v>#REF!</v>
      </c>
      <c r="CO71" s="433">
        <f t="shared" si="135"/>
        <v>769.5</v>
      </c>
      <c r="CP71" s="507">
        <f>_xlfn.XLOOKUP(B71,'[1]Рассчет акции'!$A:$A,'[1]Рассчет акции'!$Z:$Z,0)</f>
        <v>0</v>
      </c>
    </row>
    <row r="72" spans="1:94" ht="24.95" customHeight="1" x14ac:dyDescent="0.25">
      <c r="A72" s="165">
        <v>251407392</v>
      </c>
      <c r="B72" s="167">
        <v>1980958902</v>
      </c>
      <c r="C72" s="165" t="s">
        <v>144</v>
      </c>
      <c r="D72" s="166" t="s">
        <v>136</v>
      </c>
      <c r="E72" s="167">
        <v>2040900511679</v>
      </c>
      <c r="F72" s="284">
        <f t="shared" si="112"/>
        <v>150.67357749546633</v>
      </c>
      <c r="G72" s="147">
        <f t="shared" si="58"/>
        <v>0.2033381612624377</v>
      </c>
      <c r="H72" s="439">
        <f>IF(_xlfn.XLOOKUP($C72,'Юнит Карго'!$A:$A,'Юнит Карго'!$G:$G)=0,_xlfn.XLOOKUP(E72,'Себес 1С текущ'!G:G,'Себес 1С текущ'!H:H),_xlfn.XLOOKUP($C72,'Юнит Карго'!$A:$A,'Юнит Карго'!$P:$P,0,0))</f>
        <v>128.67357749546633</v>
      </c>
      <c r="I72" s="268">
        <f>_xlfn.XLOOKUP(E72,[3]ТЗ_ФФ!$D:$D,[3]ТЗ_ФФ!$BG:$BG,0)</f>
        <v>14</v>
      </c>
      <c r="J72" s="269">
        <f t="shared" si="59"/>
        <v>8</v>
      </c>
      <c r="K72" s="273">
        <f t="shared" si="60"/>
        <v>0.75600000000000001</v>
      </c>
      <c r="L72" s="146">
        <v>12</v>
      </c>
      <c r="M72" s="146">
        <v>9</v>
      </c>
      <c r="N72" s="146">
        <v>7</v>
      </c>
      <c r="O72" s="150">
        <f>_xlfn.XLOOKUP($C72,'Юнит Карго'!$A:$A,'Юнит Карго'!$T:$T,0,0)</f>
        <v>0.14000000000000001</v>
      </c>
      <c r="P72" s="127"/>
      <c r="Q72" s="146"/>
      <c r="R72" s="292"/>
      <c r="S72" s="285">
        <f t="shared" si="136"/>
        <v>741</v>
      </c>
      <c r="T72" s="286" t="str">
        <f>_xlfn.XLOOKUP(E72,'[2]Рассчет акции'!$D:$D,'[2]Рассчет акции'!$G:$G,0)</f>
        <v>1235</v>
      </c>
      <c r="U72" s="417">
        <f>_xlfn.XLOOKUP(E72,'[2]Рассчет акции'!$D:$D,'[2]Рассчет акции'!$F:$F,0)</f>
        <v>0.4</v>
      </c>
      <c r="V72" s="235">
        <f t="shared" si="40"/>
        <v>319.16480000000001</v>
      </c>
      <c r="W72" s="288">
        <f t="shared" si="61"/>
        <v>0.43072172739541165</v>
      </c>
      <c r="X72" s="289">
        <f>IF(K72&gt;1,('Тарифы ВБ'!$B$9+(K72-1)*'Тарифы ВБ'!$B$10)*'Тарифы ВБ'!$B$15*'Тарифы ВБ'!$B$12+S72*'Тарифы ВБ'!$B$13,'Тарифы ВБ'!$B$8*'Тарифы ВБ'!$B$15*'Тарифы ВБ'!$B$12+S72*'Тарифы ВБ'!$B$13)</f>
        <v>73.619799999999998</v>
      </c>
      <c r="Y72" s="289">
        <f>IF(K72&gt;1,'Тарифы ВБ'!$B$9+(K72-1)*'Тарифы ВБ'!$B$10,'Тарифы ВБ'!$B$8)</f>
        <v>32</v>
      </c>
      <c r="Z72" s="289">
        <f t="shared" si="131"/>
        <v>105.6198</v>
      </c>
      <c r="AA72" s="236">
        <f t="shared" si="132"/>
        <v>0.14253684210526316</v>
      </c>
      <c r="AB72" s="237">
        <f>IF(K72&gt;1,'Тарифы ВБ'!$B$14*'Тарифы ВБ'!$B$16*'Тарифы ВБ'!$B$15+(K72-1)*'Тарифы ВБ'!$B$14,'Тарифы ВБ'!$B$14*'Тарифы ВБ'!B$16*'Тарифы ВБ'!$B$15)</f>
        <v>32</v>
      </c>
      <c r="AC72" s="287">
        <f t="shared" si="113"/>
        <v>137.6198</v>
      </c>
      <c r="AD72" s="240">
        <f t="shared" si="114"/>
        <v>0.1857217273954116</v>
      </c>
      <c r="AE72" s="241">
        <v>0.215</v>
      </c>
      <c r="AF72" s="289">
        <f t="shared" si="115"/>
        <v>159.315</v>
      </c>
      <c r="AG72" s="364">
        <f t="shared" si="116"/>
        <v>0</v>
      </c>
      <c r="AH72" s="364">
        <f t="shared" si="117"/>
        <v>22.23</v>
      </c>
      <c r="AI72" s="149">
        <f t="shared" si="118"/>
        <v>469.83837749546637</v>
      </c>
      <c r="AJ72" s="447">
        <f t="shared" si="119"/>
        <v>0.29594011134215065</v>
      </c>
      <c r="AK72" s="450">
        <f t="shared" si="120"/>
        <v>271.16162250453363</v>
      </c>
      <c r="AL72" s="450">
        <f t="shared" si="121"/>
        <v>219.29162250453362</v>
      </c>
      <c r="AM72" s="447">
        <f t="shared" si="122"/>
        <v>1.7042474979935964</v>
      </c>
      <c r="AN72" s="458">
        <v>639</v>
      </c>
      <c r="AO72" s="459">
        <f t="shared" si="72"/>
        <v>169.16162250453363</v>
      </c>
      <c r="AP72" s="459">
        <f t="shared" si="73"/>
        <v>124.43162250453362</v>
      </c>
      <c r="AQ72" s="463">
        <f t="shared" si="123"/>
        <v>0.96703320857708974</v>
      </c>
      <c r="AR72" s="464">
        <f t="shared" si="75"/>
        <v>0.19472867371601504</v>
      </c>
      <c r="AS72" s="487" t="str">
        <f>IFERROR(_xlfn.XLOOKUP(A72,'[2]Рассчет акции'!$A:$A,'[2]Рассчет акции'!$BH:$BH),0)</f>
        <v>*</v>
      </c>
      <c r="AT72" s="487">
        <f>IFERROR(_xlfn.XLOOKUP($A72,'[2]Рассчет акции'!$A:$A,'[2]Рассчет акции'!$BC:$BC),0)</f>
        <v>741</v>
      </c>
      <c r="AU72" s="409">
        <f t="shared" si="76"/>
        <v>0.29594011134215065</v>
      </c>
      <c r="AV72" s="407">
        <f t="shared" si="77"/>
        <v>271.16162250453363</v>
      </c>
      <c r="AW72" s="407">
        <f t="shared" si="78"/>
        <v>219.29162250453362</v>
      </c>
      <c r="AX72" s="409">
        <f t="shared" si="124"/>
        <v>1.7042474979935964</v>
      </c>
      <c r="AY72" s="293">
        <f>IFERROR(_xlfn.XLOOKUP(E72,'[2]Рассчет акции'!$D:$D,'[2]Рассчет акции'!$BM:$BM),0)</f>
        <v>192</v>
      </c>
      <c r="AZ72" s="203">
        <f>IFERROR(_xlfn.XLOOKUP(E72,'[2]Рассчет акции'!$D:$D,'[2]Рассчет акции'!$BN:$BN),0)</f>
        <v>643</v>
      </c>
      <c r="BA72" s="294">
        <f t="shared" si="125"/>
        <v>5.7587580482567082</v>
      </c>
      <c r="BB72" s="292"/>
      <c r="BC72" s="497" t="e">
        <f xml:space="preserve"> _xlfn.XLOOKUP(B72,#REF!,#REF!,0)</f>
        <v>#REF!</v>
      </c>
      <c r="BD72" s="500" t="e">
        <f t="shared" si="52"/>
        <v>#REF!</v>
      </c>
      <c r="BE72" s="501">
        <f>_xlfn.XLOOKUP($B72,'[1]Рассчет акции'!$A:$A,'[1]Рассчет акции'!$J:$J)</f>
        <v>0.35012755102040816</v>
      </c>
      <c r="BF72" s="191" t="e">
        <f t="shared" si="133"/>
        <v>#REF!</v>
      </c>
      <c r="BG72" s="192">
        <f t="shared" si="81"/>
        <v>0</v>
      </c>
      <c r="BH72" s="193">
        <v>0.34</v>
      </c>
      <c r="BI72" s="194" t="e">
        <f t="shared" si="82"/>
        <v>#REF!</v>
      </c>
      <c r="BJ72" s="195" t="e">
        <f t="shared" si="45"/>
        <v>#REF!</v>
      </c>
      <c r="BK72" s="422">
        <f t="shared" si="126"/>
        <v>0</v>
      </c>
      <c r="BL72" s="196">
        <f>(IF(K72&gt;$BL$3,('Тарифы ОЗОН'!$G$3+ROUNDUP(K72-$BL$3,0)*'Тарифы ОЗОН'!$G$4),'Тарифы ОЗОН'!$G$3))</f>
        <v>46.77</v>
      </c>
      <c r="BM72" s="196">
        <f t="shared" si="84"/>
        <v>35</v>
      </c>
      <c r="BN72" s="197">
        <f>_xlfn.XLOOKUP(BM72,'Тарифы ОЗОН'!$A:$A,'Тарифы ОЗОН'!$B:$B)</f>
        <v>1.32</v>
      </c>
      <c r="BO72" s="198">
        <f>_xlfn.XLOOKUP(BM72,'Тарифы ОЗОН'!$A:$A,'Тарифы ОЗОН'!C:C)</f>
        <v>1.6E-2</v>
      </c>
      <c r="BP72" s="199">
        <f t="shared" si="85"/>
        <v>25</v>
      </c>
      <c r="BQ72" s="199" t="e">
        <f t="shared" si="46"/>
        <v>#REF!</v>
      </c>
      <c r="BR72" s="359">
        <f t="shared" si="47"/>
        <v>0.85</v>
      </c>
      <c r="BS72" s="199" t="e">
        <f t="shared" si="48"/>
        <v>#REF!</v>
      </c>
      <c r="BT72" s="200">
        <f t="shared" si="86"/>
        <v>0</v>
      </c>
      <c r="BU72" s="262" t="e">
        <f t="shared" si="30"/>
        <v>#REF!</v>
      </c>
      <c r="BV72" s="149" t="e">
        <f t="shared" si="127"/>
        <v>#REF!</v>
      </c>
      <c r="BW72" s="291">
        <f t="shared" si="88"/>
        <v>0</v>
      </c>
      <c r="BX72" s="201">
        <f t="shared" si="89"/>
        <v>0</v>
      </c>
      <c r="BY72" s="201" t="e">
        <f t="shared" si="90"/>
        <v>#REF!</v>
      </c>
      <c r="BZ72" s="202">
        <f t="shared" si="111"/>
        <v>0</v>
      </c>
      <c r="CA72" s="425">
        <v>855</v>
      </c>
      <c r="CB72" s="426" t="e">
        <f t="shared" si="134"/>
        <v>#REF!</v>
      </c>
      <c r="CC72" s="427" t="e">
        <f t="shared" si="137"/>
        <v>#REF!</v>
      </c>
      <c r="CD72" s="429" t="e">
        <f t="shared" si="128"/>
        <v>#REF!</v>
      </c>
      <c r="CE72" s="429">
        <f t="shared" si="50"/>
        <v>0</v>
      </c>
      <c r="CF72" s="277">
        <f>_xlfn.XLOOKUP(B72,'[1]Рассчет акции'!$A:$A,'[1]Рассчет акции'!$R:$R,0)</f>
        <v>0</v>
      </c>
      <c r="CG72" s="360">
        <f>_xlfn.XLOOKUP(B72,'[1]Рассчет акции'!$A:$A,'[1]Рассчет акции'!$M:$M,0)</f>
        <v>746</v>
      </c>
      <c r="CH72" s="291">
        <f t="shared" si="92"/>
        <v>0</v>
      </c>
      <c r="CI72" s="290" t="e">
        <f t="shared" si="138"/>
        <v>#REF!</v>
      </c>
      <c r="CJ72" s="290" t="e">
        <f t="shared" si="139"/>
        <v>#REF!</v>
      </c>
      <c r="CK72" s="291" t="e">
        <f t="shared" si="129"/>
        <v>#REF!</v>
      </c>
      <c r="CL72" s="203">
        <f>_xlfn.XLOOKUP(B72,'[1]Рассчет акции'!$A:$A,'[1]Рассчет акции'!$W:$W,0)</f>
        <v>0</v>
      </c>
      <c r="CM72" s="424">
        <f>_xlfn.XLOOKUP(B72,'[1]Рассчет акции'!$A:$A,'[1]Рассчет акции'!$X:$X,0)</f>
        <v>0</v>
      </c>
      <c r="CN72" s="294" t="e">
        <f t="shared" si="130"/>
        <v>#REF!</v>
      </c>
      <c r="CO72" s="433">
        <f t="shared" si="135"/>
        <v>769.5</v>
      </c>
      <c r="CP72" s="507">
        <f>_xlfn.XLOOKUP(B72,'[1]Рассчет акции'!$A:$A,'[1]Рассчет акции'!$Z:$Z,0)</f>
        <v>0</v>
      </c>
    </row>
    <row r="73" spans="1:94" ht="25.5" customHeight="1" x14ac:dyDescent="0.25">
      <c r="A73" s="165">
        <v>302564795</v>
      </c>
      <c r="B73" s="167"/>
      <c r="C73" s="165" t="s">
        <v>202</v>
      </c>
      <c r="D73" s="166" t="s">
        <v>442</v>
      </c>
      <c r="E73" s="167">
        <v>2042253544953</v>
      </c>
      <c r="F73" s="284">
        <f t="shared" si="112"/>
        <v>17.5</v>
      </c>
      <c r="G73" s="147">
        <f t="shared" si="58"/>
        <v>2.3062730627306273E-2</v>
      </c>
      <c r="H73" s="439"/>
      <c r="I73" s="268">
        <v>14</v>
      </c>
      <c r="J73" s="269">
        <v>3.5</v>
      </c>
      <c r="K73" s="273">
        <f t="shared" si="60"/>
        <v>0.72799999999999998</v>
      </c>
      <c r="L73" s="146">
        <v>26</v>
      </c>
      <c r="M73" s="146">
        <v>7</v>
      </c>
      <c r="N73" s="146">
        <v>4</v>
      </c>
      <c r="O73" s="150">
        <f>_xlfn.XLOOKUP($C73,'Юнит Карго'!$A:$A,'Юнит Карго'!$T:$T,0,0)</f>
        <v>0</v>
      </c>
      <c r="P73" s="127"/>
      <c r="Q73" s="146"/>
      <c r="R73" s="292"/>
      <c r="S73" s="285">
        <f t="shared" si="136"/>
        <v>758.8</v>
      </c>
      <c r="T73" s="286" t="str">
        <f>_xlfn.XLOOKUP(E73,'[2]Рассчет акции'!$D:$D,'[2]Рассчет акции'!$G:$G,0)</f>
        <v>1084</v>
      </c>
      <c r="U73" s="417">
        <f>_xlfn.XLOOKUP(E73,'[2]Рассчет акции'!$D:$D,'[2]Рассчет акции'!$F:$F,0)</f>
        <v>0.3</v>
      </c>
      <c r="V73" s="235"/>
      <c r="W73" s="288">
        <f t="shared" si="61"/>
        <v>0</v>
      </c>
      <c r="X73" s="289">
        <f>IF(K73&gt;1,('Тарифы ВБ'!$B$9+(K73-1)*'Тарифы ВБ'!$B$10)*'Тарифы ВБ'!$B$15*'Тарифы ВБ'!$B$12+S73*'Тарифы ВБ'!$B$13,'Тарифы ВБ'!$B$8*'Тарифы ВБ'!$B$15*'Тарифы ВБ'!$B$12+S73*'Тарифы ВБ'!$B$13)</f>
        <v>73.75864</v>
      </c>
      <c r="Y73" s="289">
        <f>IF(K73&gt;1,'Тарифы ВБ'!$B$9+(K73-1)*'Тарифы ВБ'!$B$10,'Тарифы ВБ'!$B$8)</f>
        <v>32</v>
      </c>
      <c r="Z73" s="289">
        <f t="shared" si="131"/>
        <v>105.75864</v>
      </c>
      <c r="AA73" s="236">
        <f t="shared" si="132"/>
        <v>0.1393761729045862</v>
      </c>
      <c r="AB73" s="237">
        <f>IF(K73&gt;1,'Тарифы ВБ'!$B$14*'Тарифы ВБ'!$B$16*'Тарифы ВБ'!$B$15+(K73-1)*'Тарифы ВБ'!$B$14,'Тарифы ВБ'!$B$14*'Тарифы ВБ'!B$16*'Тарифы ВБ'!$B$15)</f>
        <v>32</v>
      </c>
      <c r="AC73" s="287">
        <f t="shared" si="113"/>
        <v>137.75864000000001</v>
      </c>
      <c r="AD73" s="240">
        <f t="shared" si="114"/>
        <v>0.18154802319451768</v>
      </c>
      <c r="AE73" s="241">
        <v>0.215</v>
      </c>
      <c r="AF73" s="289">
        <f t="shared" si="115"/>
        <v>163.142</v>
      </c>
      <c r="AG73" s="364">
        <f t="shared" si="116"/>
        <v>0</v>
      </c>
      <c r="AH73" s="364">
        <f t="shared" si="117"/>
        <v>22.763999999999999</v>
      </c>
      <c r="AI73" s="149">
        <f t="shared" si="118"/>
        <v>17.5</v>
      </c>
      <c r="AJ73" s="447">
        <f t="shared" si="119"/>
        <v>0.9069372693726937</v>
      </c>
      <c r="AK73" s="450">
        <f t="shared" si="120"/>
        <v>741.3</v>
      </c>
      <c r="AL73" s="450">
        <f t="shared" si="121"/>
        <v>688.18399999999997</v>
      </c>
      <c r="AM73" s="447" t="e">
        <f t="shared" si="122"/>
        <v>#DIV/0!</v>
      </c>
      <c r="AN73" s="458">
        <v>0</v>
      </c>
      <c r="AO73" s="459">
        <f t="shared" si="72"/>
        <v>-17.5</v>
      </c>
      <c r="AP73" s="459">
        <f t="shared" si="73"/>
        <v>-17.5</v>
      </c>
      <c r="AQ73" s="463" t="e">
        <f t="shared" si="123"/>
        <v>#DIV/0!</v>
      </c>
      <c r="AR73" s="464" t="e">
        <f t="shared" si="75"/>
        <v>#DIV/0!</v>
      </c>
      <c r="AS73" s="487">
        <f>IFERROR(_xlfn.XLOOKUP(A73,'[2]Рассчет акции'!$A:$A,'[2]Рассчет акции'!$BH:$BH),0)</f>
        <v>0</v>
      </c>
      <c r="AT73" s="487">
        <f>IFERROR(_xlfn.XLOOKUP($A73,'[2]Рассчет акции'!$A:$A,'[2]Рассчет акции'!$BC:$BC),0)</f>
        <v>0</v>
      </c>
      <c r="AU73" s="409">
        <f t="shared" si="76"/>
        <v>0</v>
      </c>
      <c r="AV73" s="407">
        <f t="shared" si="77"/>
        <v>-17.5</v>
      </c>
      <c r="AW73" s="407">
        <f t="shared" si="78"/>
        <v>-17.5</v>
      </c>
      <c r="AX73" s="409" t="e">
        <f t="shared" si="124"/>
        <v>#DIV/0!</v>
      </c>
      <c r="AY73" s="293">
        <f>IFERROR(_xlfn.XLOOKUP(E73,'[2]Рассчет акции'!$D:$D,'[2]Рассчет акции'!$BM:$BM),0)</f>
        <v>0</v>
      </c>
      <c r="AZ73" s="203">
        <f>IFERROR(_xlfn.XLOOKUP(E73,'[2]Рассчет акции'!$D:$D,'[2]Рассчет акции'!$BN:$BN),0)</f>
        <v>1</v>
      </c>
      <c r="BA73" s="294" t="e">
        <f t="shared" si="125"/>
        <v>#DIV/0!</v>
      </c>
      <c r="BB73" s="292"/>
      <c r="BC73" s="497" t="e">
        <f xml:space="preserve"> _xlfn.XLOOKUP(B73,#REF!,#REF!,0)</f>
        <v>#REF!</v>
      </c>
      <c r="BD73" s="500" t="e">
        <f t="shared" si="52"/>
        <v>#REF!</v>
      </c>
      <c r="BE73" s="501">
        <f>_xlfn.XLOOKUP($B73,'[1]Рассчет акции'!$A:$A,'[1]Рассчет акции'!$J:$J)</f>
        <v>0</v>
      </c>
      <c r="BF73" s="191" t="e">
        <f t="shared" si="133"/>
        <v>#REF!</v>
      </c>
      <c r="BG73" s="192">
        <f t="shared" si="81"/>
        <v>0</v>
      </c>
      <c r="BH73" s="193">
        <v>0.34</v>
      </c>
      <c r="BI73" s="194" t="e">
        <f t="shared" si="82"/>
        <v>#REF!</v>
      </c>
      <c r="BJ73" s="195" t="e">
        <f t="shared" si="45"/>
        <v>#REF!</v>
      </c>
      <c r="BK73" s="422">
        <f t="shared" si="126"/>
        <v>0</v>
      </c>
      <c r="BL73" s="196">
        <f>(IF(K73&gt;$BL$3,('Тарифы ОЗОН'!$G$3+ROUNDUP(K73-$BL$3,0)*'Тарифы ОЗОН'!$G$4),'Тарифы ОЗОН'!$G$3))</f>
        <v>46.77</v>
      </c>
      <c r="BM73" s="196">
        <f t="shared" si="84"/>
        <v>35</v>
      </c>
      <c r="BN73" s="197">
        <f>_xlfn.XLOOKUP(BM73,'Тарифы ОЗОН'!$A:$A,'Тарифы ОЗОН'!$B:$B)</f>
        <v>1.32</v>
      </c>
      <c r="BO73" s="198">
        <f>_xlfn.XLOOKUP(BM73,'Тарифы ОЗОН'!$A:$A,'Тарифы ОЗОН'!C:C)</f>
        <v>1.6E-2</v>
      </c>
      <c r="BP73" s="199">
        <f t="shared" si="85"/>
        <v>25</v>
      </c>
      <c r="BQ73" s="199" t="e">
        <f t="shared" si="46"/>
        <v>#REF!</v>
      </c>
      <c r="BR73" s="359">
        <f t="shared" si="47"/>
        <v>0.85</v>
      </c>
      <c r="BS73" s="199" t="e">
        <f t="shared" si="48"/>
        <v>#REF!</v>
      </c>
      <c r="BT73" s="200">
        <f t="shared" si="86"/>
        <v>0</v>
      </c>
      <c r="BU73" s="262" t="e">
        <f t="shared" si="30"/>
        <v>#REF!</v>
      </c>
      <c r="BV73" s="149" t="e">
        <f t="shared" si="127"/>
        <v>#REF!</v>
      </c>
      <c r="BW73" s="291">
        <f t="shared" si="88"/>
        <v>0</v>
      </c>
      <c r="BX73" s="201">
        <f t="shared" si="89"/>
        <v>0</v>
      </c>
      <c r="BY73" s="201" t="e">
        <f t="shared" si="90"/>
        <v>#REF!</v>
      </c>
      <c r="BZ73" s="202">
        <f t="shared" si="111"/>
        <v>0</v>
      </c>
      <c r="CA73" s="425">
        <v>0</v>
      </c>
      <c r="CB73" s="426" t="e">
        <f t="shared" si="134"/>
        <v>#REF!</v>
      </c>
      <c r="CC73" s="427" t="e">
        <f t="shared" si="137"/>
        <v>#REF!</v>
      </c>
      <c r="CD73" s="429" t="e">
        <f t="shared" si="128"/>
        <v>#REF!</v>
      </c>
      <c r="CE73" s="429">
        <f t="shared" si="50"/>
        <v>0</v>
      </c>
      <c r="CF73" s="277">
        <f>_xlfn.XLOOKUP(B73,'[1]Рассчет акции'!$A:$A,'[1]Рассчет акции'!$R:$R,0)</f>
        <v>0</v>
      </c>
      <c r="CG73" s="360">
        <f>_xlfn.XLOOKUP(B73,'[1]Рассчет акции'!$A:$A,'[1]Рассчет акции'!$M:$M,0)</f>
        <v>0</v>
      </c>
      <c r="CH73" s="291">
        <f t="shared" si="92"/>
        <v>0</v>
      </c>
      <c r="CI73" s="290" t="e">
        <f t="shared" si="138"/>
        <v>#REF!</v>
      </c>
      <c r="CJ73" s="290" t="e">
        <f t="shared" si="139"/>
        <v>#REF!</v>
      </c>
      <c r="CK73" s="291" t="e">
        <f t="shared" si="129"/>
        <v>#REF!</v>
      </c>
      <c r="CL73" s="203">
        <f>_xlfn.XLOOKUP(B73,'[1]Рассчет акции'!$A:$A,'[1]Рассчет акции'!$W:$W,0)</f>
        <v>0</v>
      </c>
      <c r="CM73" s="424">
        <f>_xlfn.XLOOKUP(B73,'[1]Рассчет акции'!$A:$A,'[1]Рассчет акции'!$X:$X,0)</f>
        <v>0</v>
      </c>
      <c r="CN73" s="294" t="e">
        <f t="shared" si="130"/>
        <v>#REF!</v>
      </c>
      <c r="CO73" s="433">
        <f t="shared" si="135"/>
        <v>0</v>
      </c>
      <c r="CP73" s="507">
        <f>_xlfn.XLOOKUP(B73,'[1]Рассчет акции'!$A:$A,'[1]Рассчет акции'!$Z:$Z,0)</f>
        <v>0</v>
      </c>
    </row>
    <row r="74" spans="1:94" ht="25.5" customHeight="1" x14ac:dyDescent="0.25">
      <c r="A74" s="165">
        <v>273588520</v>
      </c>
      <c r="B74" s="167"/>
      <c r="C74" s="165" t="s">
        <v>164</v>
      </c>
      <c r="D74" s="166" t="s">
        <v>192</v>
      </c>
      <c r="E74" s="167">
        <v>2041534216404</v>
      </c>
      <c r="F74" s="284">
        <f t="shared" si="112"/>
        <v>493</v>
      </c>
      <c r="G74" s="147">
        <f t="shared" si="58"/>
        <v>0.50814265099979394</v>
      </c>
      <c r="H74" s="439">
        <f>IF(_xlfn.XLOOKUP($C74,'Юнит Карго'!$A:$A,'Юнит Карго'!$G:$G)=0,_xlfn.XLOOKUP(E74,'Себес 1С текущ'!G:G,'Себес 1С текущ'!H:H),_xlfn.XLOOKUP($C74,'Юнит Карго'!$A:$A,'Юнит Карго'!$P:$P,0,0))</f>
        <v>471</v>
      </c>
      <c r="I74" s="268">
        <v>14</v>
      </c>
      <c r="J74" s="269">
        <f t="shared" ref="J74:J84" si="140">$J$3</f>
        <v>8</v>
      </c>
      <c r="K74" s="273">
        <f t="shared" si="60"/>
        <v>2.8879999999999999</v>
      </c>
      <c r="L74" s="146">
        <v>19</v>
      </c>
      <c r="M74" s="146">
        <v>19</v>
      </c>
      <c r="N74" s="146">
        <v>8</v>
      </c>
      <c r="O74" s="150">
        <f>_xlfn.XLOOKUP($C74,'Юнит Карго'!$A:$A,'Юнит Карго'!$T:$T,0,0)</f>
        <v>0</v>
      </c>
      <c r="P74" s="127"/>
      <c r="Q74" s="146"/>
      <c r="R74" s="292"/>
      <c r="S74" s="285">
        <f t="shared" si="136"/>
        <v>970.19999999999993</v>
      </c>
      <c r="T74" s="286" t="str">
        <f>_xlfn.XLOOKUP(E74,'[2]Рассчет акции'!$D:$D,'[2]Рассчет акции'!$G:$G,0)</f>
        <v>1617</v>
      </c>
      <c r="U74" s="417">
        <f>_xlfn.XLOOKUP(E74,'[2]Рассчет акции'!$D:$D,'[2]Рассчет акции'!$F:$F,0)</f>
        <v>0.4</v>
      </c>
      <c r="V74" s="235">
        <f t="shared" si="40"/>
        <v>503.40544</v>
      </c>
      <c r="W74" s="288">
        <f t="shared" si="61"/>
        <v>0.51886769738198313</v>
      </c>
      <c r="X74" s="289">
        <f>IF(K74&gt;1,('Тарифы ВБ'!$B$9+(K74-1)*'Тарифы ВБ'!$B$10)*'Тарифы ВБ'!$B$15*'Тарифы ВБ'!$B$12+S74*'Тарифы ВБ'!$B$13,'Тарифы ВБ'!$B$8*'Тарифы ВБ'!$B$15*'Тарифы ВБ'!$B$12+S74*'Тарифы ВБ'!$B$13)</f>
        <v>161.1234</v>
      </c>
      <c r="Y74" s="289">
        <f>IF(K74&gt;1,'Тарифы ВБ'!$B$9+(K74-1)*'Тарифы ВБ'!$B$10,'Тарифы ВБ'!$B$8)</f>
        <v>72.432000000000002</v>
      </c>
      <c r="Z74" s="289">
        <f t="shared" si="131"/>
        <v>233.55540000000002</v>
      </c>
      <c r="AA74" s="236">
        <f t="shared" si="132"/>
        <v>0.24072912801484234</v>
      </c>
      <c r="AB74" s="237">
        <f>IF(K74&gt;1,'Тарифы ВБ'!$B$14*'Тарифы ВБ'!$B$16*'Тарифы ВБ'!$B$15+(K74-1)*'Тарифы ВБ'!$B$14,'Тарифы ВБ'!$B$14*'Тарифы ВБ'!B$16*'Тарифы ВБ'!$B$15)</f>
        <v>32.151040000000002</v>
      </c>
      <c r="AC74" s="287">
        <f t="shared" si="113"/>
        <v>265.70643999999999</v>
      </c>
      <c r="AD74" s="240">
        <f t="shared" si="114"/>
        <v>0.27386769738198308</v>
      </c>
      <c r="AE74" s="241">
        <v>0.215</v>
      </c>
      <c r="AF74" s="289">
        <f t="shared" si="115"/>
        <v>208.59299999999999</v>
      </c>
      <c r="AG74" s="364">
        <f t="shared" si="116"/>
        <v>0</v>
      </c>
      <c r="AH74" s="364">
        <f t="shared" si="117"/>
        <v>29.105999999999998</v>
      </c>
      <c r="AI74" s="149">
        <f t="shared" si="118"/>
        <v>996.40544</v>
      </c>
      <c r="AJ74" s="447">
        <f t="shared" si="119"/>
        <v>-9.7010348381777037E-2</v>
      </c>
      <c r="AK74" s="450">
        <f t="shared" si="120"/>
        <v>-26.205440000000067</v>
      </c>
      <c r="AL74" s="450">
        <f t="shared" si="121"/>
        <v>-94.119440000000068</v>
      </c>
      <c r="AM74" s="447">
        <f t="shared" si="122"/>
        <v>-0.19982895966029737</v>
      </c>
      <c r="AN74" s="458">
        <v>1459</v>
      </c>
      <c r="AO74" s="459">
        <f t="shared" si="72"/>
        <v>462.59456</v>
      </c>
      <c r="AP74" s="459">
        <f t="shared" si="73"/>
        <v>360.46456000000001</v>
      </c>
      <c r="AQ74" s="463">
        <f t="shared" si="123"/>
        <v>0.7653175371549894</v>
      </c>
      <c r="AR74" s="464">
        <f t="shared" si="75"/>
        <v>0.24706275531185745</v>
      </c>
      <c r="AS74" s="487" t="str">
        <f>IFERROR(_xlfn.XLOOKUP(A74,'[2]Рассчет акции'!$A:$A,'[2]Рассчет акции'!$BH:$BH),0)</f>
        <v>*</v>
      </c>
      <c r="AT74" s="487">
        <f>IFERROR(_xlfn.XLOOKUP($A74,'[2]Рассчет акции'!$A:$A,'[2]Рассчет акции'!$BC:$BC),0)</f>
        <v>970</v>
      </c>
      <c r="AU74" s="409">
        <f t="shared" si="76"/>
        <v>-9.7222103092783507E-2</v>
      </c>
      <c r="AV74" s="407">
        <f t="shared" si="77"/>
        <v>-26.405439999999999</v>
      </c>
      <c r="AW74" s="407">
        <f t="shared" si="78"/>
        <v>-94.305440000000004</v>
      </c>
      <c r="AX74" s="409">
        <f t="shared" si="124"/>
        <v>-0.20022386411889598</v>
      </c>
      <c r="AY74" s="293">
        <f>IFERROR(_xlfn.XLOOKUP(E74,'[2]Рассчет акции'!$D:$D,'[2]Рассчет акции'!$BM:$BM),0)</f>
        <v>6</v>
      </c>
      <c r="AZ74" s="203">
        <f>IFERROR(_xlfn.XLOOKUP(E74,'[2]Рассчет акции'!$D:$D,'[2]Рассчет акции'!$BN:$BN),0)</f>
        <v>203</v>
      </c>
      <c r="BA74" s="294">
        <f t="shared" si="125"/>
        <v>2.0598726114649679</v>
      </c>
      <c r="BB74" s="292"/>
      <c r="BC74" s="497" t="e">
        <f xml:space="preserve"> _xlfn.XLOOKUP(B74,#REF!,#REF!,0)</f>
        <v>#REF!</v>
      </c>
      <c r="BD74" s="500" t="e">
        <f t="shared" si="52"/>
        <v>#REF!</v>
      </c>
      <c r="BE74" s="501">
        <f>_xlfn.XLOOKUP($B74,'[1]Рассчет акции'!$A:$A,'[1]Рассчет акции'!$J:$J)</f>
        <v>0</v>
      </c>
      <c r="BF74" s="191" t="e">
        <f t="shared" si="133"/>
        <v>#REF!</v>
      </c>
      <c r="BG74" s="192">
        <f t="shared" si="81"/>
        <v>0</v>
      </c>
      <c r="BH74" s="193">
        <v>0.34</v>
      </c>
      <c r="BI74" s="194" t="e">
        <f t="shared" si="82"/>
        <v>#REF!</v>
      </c>
      <c r="BJ74" s="195" t="e">
        <f t="shared" si="45"/>
        <v>#REF!</v>
      </c>
      <c r="BK74" s="422">
        <f t="shared" si="126"/>
        <v>0</v>
      </c>
      <c r="BL74" s="196">
        <f>(IF(K74&gt;$BL$3,('Тарифы ОЗОН'!$G$3+ROUNDUP(K74-$BL$3,0)*'Тарифы ОЗОН'!$G$4),'Тарифы ОЗОН'!$G$3))</f>
        <v>67.11</v>
      </c>
      <c r="BM74" s="196">
        <f t="shared" si="84"/>
        <v>35</v>
      </c>
      <c r="BN74" s="197">
        <f>_xlfn.XLOOKUP(BM74,'Тарифы ОЗОН'!$A:$A,'Тарифы ОЗОН'!$B:$B)</f>
        <v>1.32</v>
      </c>
      <c r="BO74" s="198">
        <f>_xlfn.XLOOKUP(BM74,'Тарифы ОЗОН'!$A:$A,'Тарифы ОЗОН'!C:C)</f>
        <v>1.6E-2</v>
      </c>
      <c r="BP74" s="199">
        <f t="shared" si="85"/>
        <v>25</v>
      </c>
      <c r="BQ74" s="199" t="e">
        <f t="shared" si="46"/>
        <v>#REF!</v>
      </c>
      <c r="BR74" s="359">
        <f t="shared" si="47"/>
        <v>0.85</v>
      </c>
      <c r="BS74" s="199" t="e">
        <f t="shared" si="48"/>
        <v>#REF!</v>
      </c>
      <c r="BT74" s="200">
        <f t="shared" si="86"/>
        <v>0</v>
      </c>
      <c r="BU74" s="262" t="e">
        <f t="shared" si="30"/>
        <v>#REF!</v>
      </c>
      <c r="BV74" s="149" t="e">
        <f t="shared" si="127"/>
        <v>#REF!</v>
      </c>
      <c r="BW74" s="291">
        <f t="shared" si="88"/>
        <v>0</v>
      </c>
      <c r="BX74" s="201">
        <f t="shared" si="89"/>
        <v>0</v>
      </c>
      <c r="BY74" s="201" t="e">
        <f t="shared" si="90"/>
        <v>#REF!</v>
      </c>
      <c r="BZ74" s="202">
        <f t="shared" si="111"/>
        <v>0</v>
      </c>
      <c r="CA74" s="425">
        <v>0</v>
      </c>
      <c r="CB74" s="426" t="e">
        <f t="shared" si="134"/>
        <v>#REF!</v>
      </c>
      <c r="CC74" s="427" t="e">
        <f t="shared" si="137"/>
        <v>#REF!</v>
      </c>
      <c r="CD74" s="429" t="e">
        <f t="shared" si="128"/>
        <v>#REF!</v>
      </c>
      <c r="CE74" s="429">
        <f t="shared" si="50"/>
        <v>0</v>
      </c>
      <c r="CF74" s="277">
        <f>_xlfn.XLOOKUP(B74,'[1]Рассчет акции'!$A:$A,'[1]Рассчет акции'!$R:$R,0)</f>
        <v>0</v>
      </c>
      <c r="CG74" s="360">
        <f>_xlfn.XLOOKUP(B74,'[1]Рассчет акции'!$A:$A,'[1]Рассчет акции'!$M:$M,0)</f>
        <v>0</v>
      </c>
      <c r="CH74" s="291">
        <f t="shared" si="92"/>
        <v>0</v>
      </c>
      <c r="CI74" s="290" t="e">
        <f t="shared" si="138"/>
        <v>#REF!</v>
      </c>
      <c r="CJ74" s="290" t="e">
        <f t="shared" si="139"/>
        <v>#REF!</v>
      </c>
      <c r="CK74" s="291" t="e">
        <f t="shared" si="129"/>
        <v>#REF!</v>
      </c>
      <c r="CL74" s="203">
        <f>_xlfn.XLOOKUP(B74,'[1]Рассчет акции'!$A:$A,'[1]Рассчет акции'!$W:$W,0)</f>
        <v>0</v>
      </c>
      <c r="CM74" s="424">
        <f>_xlfn.XLOOKUP(B74,'[1]Рассчет акции'!$A:$A,'[1]Рассчет акции'!$X:$X,0)</f>
        <v>0</v>
      </c>
      <c r="CN74" s="294" t="e">
        <f t="shared" si="130"/>
        <v>#REF!</v>
      </c>
      <c r="CO74" s="433">
        <f t="shared" si="135"/>
        <v>0</v>
      </c>
      <c r="CP74" s="507">
        <f>_xlfn.XLOOKUP(B74,'[1]Рассчет акции'!$A:$A,'[1]Рассчет акции'!$Z:$Z,0)</f>
        <v>0</v>
      </c>
    </row>
    <row r="75" spans="1:94" ht="25.5" customHeight="1" x14ac:dyDescent="0.25">
      <c r="A75" s="165">
        <v>273589771</v>
      </c>
      <c r="B75" s="167"/>
      <c r="C75" s="165" t="s">
        <v>165</v>
      </c>
      <c r="D75" s="166" t="s">
        <v>193</v>
      </c>
      <c r="E75" s="167">
        <v>2041534288661</v>
      </c>
      <c r="F75" s="284">
        <f t="shared" si="112"/>
        <v>341</v>
      </c>
      <c r="G75" s="147">
        <f t="shared" si="58"/>
        <v>0.32851637764932562</v>
      </c>
      <c r="H75" s="439">
        <f>IF(_xlfn.XLOOKUP($C75,'Юнит Карго'!$A:$A,'Юнит Карго'!$G:$G)=0,_xlfn.XLOOKUP(E75,'Себес 1С текущ'!G:G,'Себес 1С текущ'!H:H),_xlfn.XLOOKUP($C75,'Юнит Карго'!$A:$A,'Юнит Карго'!$P:$P,0,0))</f>
        <v>319</v>
      </c>
      <c r="I75" s="268">
        <v>14</v>
      </c>
      <c r="J75" s="269">
        <f t="shared" si="140"/>
        <v>8</v>
      </c>
      <c r="K75" s="273">
        <f t="shared" si="60"/>
        <v>1.89</v>
      </c>
      <c r="L75" s="146">
        <v>21</v>
      </c>
      <c r="M75" s="146">
        <v>15</v>
      </c>
      <c r="N75" s="146">
        <v>6</v>
      </c>
      <c r="O75" s="150">
        <f>_xlfn.XLOOKUP($C75,'Юнит Карго'!$A:$A,'Юнит Карго'!$T:$T,0,0)</f>
        <v>0</v>
      </c>
      <c r="P75" s="127"/>
      <c r="Q75" s="146"/>
      <c r="R75" s="292"/>
      <c r="S75" s="285">
        <f t="shared" si="136"/>
        <v>1038</v>
      </c>
      <c r="T75" s="286" t="str">
        <f>_xlfn.XLOOKUP(E75,'[2]Рассчет акции'!$D:$D,'[2]Рассчет акции'!$G:$G,0)</f>
        <v>1730</v>
      </c>
      <c r="U75" s="417">
        <f>_xlfn.XLOOKUP(E75,'[2]Рассчет акции'!$D:$D,'[2]Рассчет акции'!$F:$F,0)</f>
        <v>0.4</v>
      </c>
      <c r="V75" s="235">
        <f t="shared" si="40"/>
        <v>476.87279999999998</v>
      </c>
      <c r="W75" s="288">
        <f t="shared" si="61"/>
        <v>0.45941502890173408</v>
      </c>
      <c r="X75" s="289">
        <f>IF(K75&gt;1,('Тарифы ВБ'!$B$9+(K75-1)*'Тарифы ВБ'!$B$10)*'Тарифы ВБ'!$B$15*'Тарифы ВБ'!$B$12+S75*'Тарифы ВБ'!$B$13,'Тарифы ВБ'!$B$8*'Тарифы ВБ'!$B$15*'Тарифы ВБ'!$B$12+S75*'Тарифы ВБ'!$B$13)</f>
        <v>132.0316</v>
      </c>
      <c r="Y75" s="289">
        <f>IF(K75&gt;1,'Тарифы ВБ'!$B$9+(K75-1)*'Тарифы ВБ'!$B$10,'Тарифы ВБ'!$B$8)</f>
        <v>58.46</v>
      </c>
      <c r="Z75" s="289">
        <f t="shared" si="131"/>
        <v>190.49160000000001</v>
      </c>
      <c r="AA75" s="236">
        <f t="shared" si="132"/>
        <v>0.1835179190751445</v>
      </c>
      <c r="AB75" s="237">
        <f>IF(K75&gt;1,'Тарифы ВБ'!$B$14*'Тарифы ВБ'!$B$16*'Тарифы ВБ'!$B$15+(K75-1)*'Тарифы ВБ'!$B$14,'Тарифы ВБ'!$B$14*'Тарифы ВБ'!B$16*'Тарифы ВБ'!$B$15)</f>
        <v>32.071199999999997</v>
      </c>
      <c r="AC75" s="287">
        <f t="shared" si="113"/>
        <v>222.56280000000001</v>
      </c>
      <c r="AD75" s="240">
        <f t="shared" si="114"/>
        <v>0.21441502890173411</v>
      </c>
      <c r="AE75" s="241">
        <v>0.215</v>
      </c>
      <c r="AF75" s="289">
        <f t="shared" si="115"/>
        <v>223.17</v>
      </c>
      <c r="AG75" s="364">
        <f t="shared" si="116"/>
        <v>0</v>
      </c>
      <c r="AH75" s="364">
        <f t="shared" si="117"/>
        <v>31.14</v>
      </c>
      <c r="AI75" s="149">
        <f t="shared" si="118"/>
        <v>817.87279999999998</v>
      </c>
      <c r="AJ75" s="447">
        <f t="shared" si="119"/>
        <v>0.14206859344894027</v>
      </c>
      <c r="AK75" s="450">
        <f t="shared" si="120"/>
        <v>220.12720000000002</v>
      </c>
      <c r="AL75" s="450">
        <f t="shared" si="121"/>
        <v>147.46719999999999</v>
      </c>
      <c r="AM75" s="447">
        <f t="shared" si="122"/>
        <v>0.46227962382445137</v>
      </c>
      <c r="AN75" s="458">
        <v>1059</v>
      </c>
      <c r="AO75" s="459">
        <f t="shared" si="72"/>
        <v>241.12720000000002</v>
      </c>
      <c r="AP75" s="459">
        <f t="shared" si="73"/>
        <v>166.99720000000002</v>
      </c>
      <c r="AQ75" s="463">
        <f t="shared" si="123"/>
        <v>0.52350219435736689</v>
      </c>
      <c r="AR75" s="464">
        <f t="shared" si="75"/>
        <v>0.15769329556185083</v>
      </c>
      <c r="AS75" s="487" t="str">
        <f>IFERROR(_xlfn.XLOOKUP(A75,'[2]Рассчет акции'!$A:$A,'[2]Рассчет акции'!$BH:$BH),0)</f>
        <v>*</v>
      </c>
      <c r="AT75" s="487">
        <f>IFERROR(_xlfn.XLOOKUP($A75,'[2]Рассчет акции'!$A:$A,'[2]Рассчет акции'!$BC:$BC),0)</f>
        <v>1038</v>
      </c>
      <c r="AU75" s="409">
        <f t="shared" si="76"/>
        <v>0.14206859344894027</v>
      </c>
      <c r="AV75" s="407">
        <f t="shared" si="77"/>
        <v>220.12720000000002</v>
      </c>
      <c r="AW75" s="407">
        <f t="shared" si="78"/>
        <v>147.46719999999999</v>
      </c>
      <c r="AX75" s="409">
        <f t="shared" si="124"/>
        <v>0.46227962382445137</v>
      </c>
      <c r="AY75" s="293">
        <f>IFERROR(_xlfn.XLOOKUP(E75,'[2]Рассчет акции'!$D:$D,'[2]Рассчет акции'!$BM:$BM),0)</f>
        <v>10</v>
      </c>
      <c r="AZ75" s="203">
        <f>IFERROR(_xlfn.XLOOKUP(E75,'[2]Рассчет акции'!$D:$D,'[2]Рассчет акции'!$BN:$BN),0)</f>
        <v>94</v>
      </c>
      <c r="BA75" s="294">
        <f t="shared" si="125"/>
        <v>3.2539184952978055</v>
      </c>
      <c r="BB75" s="292"/>
      <c r="BC75" s="497" t="e">
        <f xml:space="preserve"> _xlfn.XLOOKUP(B75,#REF!,#REF!,0)</f>
        <v>#REF!</v>
      </c>
      <c r="BD75" s="500" t="e">
        <f t="shared" si="52"/>
        <v>#REF!</v>
      </c>
      <c r="BE75" s="501">
        <f>_xlfn.XLOOKUP($B75,'[1]Рассчет акции'!$A:$A,'[1]Рассчет акции'!$J:$J)</f>
        <v>0</v>
      </c>
      <c r="BF75" s="191" t="e">
        <f t="shared" si="133"/>
        <v>#REF!</v>
      </c>
      <c r="BG75" s="192">
        <f t="shared" si="81"/>
        <v>0</v>
      </c>
      <c r="BH75" s="193">
        <v>0.34</v>
      </c>
      <c r="BI75" s="194" t="e">
        <f t="shared" si="82"/>
        <v>#REF!</v>
      </c>
      <c r="BJ75" s="195" t="e">
        <f t="shared" si="45"/>
        <v>#REF!</v>
      </c>
      <c r="BK75" s="422">
        <f t="shared" si="126"/>
        <v>0</v>
      </c>
      <c r="BL75" s="196">
        <f>(IF(K75&gt;$BL$3,('Тарифы ОЗОН'!$G$3+ROUNDUP(K75-$BL$3,0)*'Тарифы ОЗОН'!$G$4),'Тарифы ОЗОН'!$G$3))</f>
        <v>56.940000000000005</v>
      </c>
      <c r="BM75" s="196">
        <f t="shared" si="84"/>
        <v>35</v>
      </c>
      <c r="BN75" s="197">
        <f>_xlfn.XLOOKUP(BM75,'Тарифы ОЗОН'!$A:$A,'Тарифы ОЗОН'!$B:$B)</f>
        <v>1.32</v>
      </c>
      <c r="BO75" s="198">
        <f>_xlfn.XLOOKUP(BM75,'Тарифы ОЗОН'!$A:$A,'Тарифы ОЗОН'!C:C)</f>
        <v>1.6E-2</v>
      </c>
      <c r="BP75" s="199">
        <f t="shared" si="85"/>
        <v>25</v>
      </c>
      <c r="BQ75" s="199" t="e">
        <f t="shared" si="46"/>
        <v>#REF!</v>
      </c>
      <c r="BR75" s="359">
        <f t="shared" si="47"/>
        <v>0.85</v>
      </c>
      <c r="BS75" s="199" t="e">
        <f t="shared" si="48"/>
        <v>#REF!</v>
      </c>
      <c r="BT75" s="200">
        <f t="shared" si="86"/>
        <v>0</v>
      </c>
      <c r="BU75" s="262" t="e">
        <f t="shared" si="30"/>
        <v>#REF!</v>
      </c>
      <c r="BV75" s="149" t="e">
        <f t="shared" si="127"/>
        <v>#REF!</v>
      </c>
      <c r="BW75" s="291">
        <f t="shared" si="88"/>
        <v>0</v>
      </c>
      <c r="BX75" s="201">
        <f t="shared" si="89"/>
        <v>0</v>
      </c>
      <c r="BY75" s="201" t="e">
        <f t="shared" si="90"/>
        <v>#REF!</v>
      </c>
      <c r="BZ75" s="202">
        <f t="shared" si="111"/>
        <v>0</v>
      </c>
      <c r="CA75" s="425">
        <v>0</v>
      </c>
      <c r="CB75" s="426" t="e">
        <f t="shared" si="134"/>
        <v>#REF!</v>
      </c>
      <c r="CC75" s="427" t="e">
        <f t="shared" si="137"/>
        <v>#REF!</v>
      </c>
      <c r="CD75" s="429" t="e">
        <f t="shared" si="128"/>
        <v>#REF!</v>
      </c>
      <c r="CE75" s="429">
        <f t="shared" si="50"/>
        <v>0</v>
      </c>
      <c r="CF75" s="277">
        <f>_xlfn.XLOOKUP(B75,'[1]Рассчет акции'!$A:$A,'[1]Рассчет акции'!$R:$R,0)</f>
        <v>0</v>
      </c>
      <c r="CG75" s="360">
        <f>_xlfn.XLOOKUP(B75,'[1]Рассчет акции'!$A:$A,'[1]Рассчет акции'!$M:$M,0)</f>
        <v>0</v>
      </c>
      <c r="CH75" s="291">
        <f t="shared" si="92"/>
        <v>0</v>
      </c>
      <c r="CI75" s="290" t="e">
        <f t="shared" si="138"/>
        <v>#REF!</v>
      </c>
      <c r="CJ75" s="290" t="e">
        <f t="shared" si="139"/>
        <v>#REF!</v>
      </c>
      <c r="CK75" s="291" t="e">
        <f t="shared" si="129"/>
        <v>#REF!</v>
      </c>
      <c r="CL75" s="203">
        <f>_xlfn.XLOOKUP(B75,'[1]Рассчет акции'!$A:$A,'[1]Рассчет акции'!$W:$W,0)</f>
        <v>0</v>
      </c>
      <c r="CM75" s="424">
        <f>_xlfn.XLOOKUP(B75,'[1]Рассчет акции'!$A:$A,'[1]Рассчет акции'!$X:$X,0)</f>
        <v>0</v>
      </c>
      <c r="CN75" s="294" t="e">
        <f t="shared" si="130"/>
        <v>#REF!</v>
      </c>
      <c r="CO75" s="433">
        <f t="shared" si="135"/>
        <v>0</v>
      </c>
      <c r="CP75" s="507">
        <f>_xlfn.XLOOKUP(B75,'[1]Рассчет акции'!$A:$A,'[1]Рассчет акции'!$Z:$Z,0)</f>
        <v>0</v>
      </c>
    </row>
    <row r="76" spans="1:94" ht="24.95" customHeight="1" x14ac:dyDescent="0.25">
      <c r="A76" s="168">
        <v>273556717</v>
      </c>
      <c r="B76" s="170">
        <v>2415742645</v>
      </c>
      <c r="C76" s="168" t="s">
        <v>172</v>
      </c>
      <c r="D76" s="169" t="s">
        <v>316</v>
      </c>
      <c r="E76" s="170">
        <v>2041533648312</v>
      </c>
      <c r="F76" s="284">
        <f t="shared" si="112"/>
        <v>119.12056339123797</v>
      </c>
      <c r="G76" s="147">
        <f t="shared" si="58"/>
        <v>0.22872612018286861</v>
      </c>
      <c r="H76" s="439">
        <f>IF(_xlfn.XLOOKUP($C76,'Юнит Карго'!$A:$A,'Юнит Карго'!$G:$G)=0,_xlfn.XLOOKUP(E76,'Себес 1С текущ'!G:G,'Себес 1С текущ'!H:H),_xlfn.XLOOKUP($C76,'Юнит Карго'!$A:$A,'Юнит Карго'!$P:$P,0,0))</f>
        <v>97.120563391237965</v>
      </c>
      <c r="I76" s="268">
        <f>_xlfn.XLOOKUP(E76,[3]ТЗ_ФФ!$D:$D,[3]ТЗ_ФФ!$BG:$BG,0)</f>
        <v>14</v>
      </c>
      <c r="J76" s="269">
        <f t="shared" si="140"/>
        <v>8</v>
      </c>
      <c r="K76" s="273">
        <f t="shared" si="60"/>
        <v>0.29399999999999998</v>
      </c>
      <c r="L76" s="146">
        <v>7</v>
      </c>
      <c r="M76" s="146">
        <v>7</v>
      </c>
      <c r="N76" s="146">
        <v>6</v>
      </c>
      <c r="O76" s="150">
        <f>_xlfn.XLOOKUP($C76,'Юнит Карго'!$A:$A,'Юнит Карго'!$T:$T,0,0)</f>
        <v>0.05</v>
      </c>
      <c r="P76" s="127"/>
      <c r="Q76" s="146"/>
      <c r="R76" s="292"/>
      <c r="S76" s="285">
        <f t="shared" si="136"/>
        <v>520.79999999999995</v>
      </c>
      <c r="T76" s="286" t="str">
        <f>_xlfn.XLOOKUP(E76,'[2]Рассчет акции'!$D:$D,'[2]Рассчет акции'!$G:$G,0)</f>
        <v>868</v>
      </c>
      <c r="U76" s="417">
        <f>_xlfn.XLOOKUP(E76,'[2]Рассчет акции'!$D:$D,'[2]Рассчет акции'!$F:$F,0)</f>
        <v>0.4</v>
      </c>
      <c r="V76" s="235">
        <f t="shared" si="40"/>
        <v>305.16224</v>
      </c>
      <c r="W76" s="288">
        <f t="shared" si="61"/>
        <v>0.5859490015360983</v>
      </c>
      <c r="X76" s="289">
        <f>IF(K76&gt;1,('Тарифы ВБ'!$B$9+(K76-1)*'Тарифы ВБ'!$B$10)*'Тарифы ВБ'!$B$15*'Тарифы ВБ'!$B$12+S76*'Тарифы ВБ'!$B$13,'Тарифы ВБ'!$B$8*'Тарифы ВБ'!$B$15*'Тарифы ВБ'!$B$12+S76*'Тарифы ВБ'!$B$13)</f>
        <v>71.902240000000006</v>
      </c>
      <c r="Y76" s="289">
        <f>IF(K76&gt;1,'Тарифы ВБ'!$B$9+(K76-1)*'Тарифы ВБ'!$B$10,'Тарифы ВБ'!$B$8)</f>
        <v>32</v>
      </c>
      <c r="Z76" s="289">
        <f t="shared" si="131"/>
        <v>103.90224000000001</v>
      </c>
      <c r="AA76" s="236">
        <f t="shared" si="132"/>
        <v>0.19950506912442401</v>
      </c>
      <c r="AB76" s="237">
        <f>IF(K76&gt;1,'Тарифы ВБ'!$B$14*'Тарифы ВБ'!$B$16*'Тарифы ВБ'!$B$15+(K76-1)*'Тарифы ВБ'!$B$14,'Тарифы ВБ'!$B$14*'Тарифы ВБ'!B$16*'Тарифы ВБ'!$B$15)</f>
        <v>32</v>
      </c>
      <c r="AC76" s="287">
        <f t="shared" si="113"/>
        <v>135.90224000000001</v>
      </c>
      <c r="AD76" s="240">
        <f t="shared" si="114"/>
        <v>0.26094900153609835</v>
      </c>
      <c r="AE76" s="241">
        <v>0.29499999999999998</v>
      </c>
      <c r="AF76" s="289">
        <f t="shared" si="115"/>
        <v>153.63599999999997</v>
      </c>
      <c r="AG76" s="364">
        <f t="shared" si="116"/>
        <v>0</v>
      </c>
      <c r="AH76" s="364">
        <f t="shared" si="117"/>
        <v>15.623999999999999</v>
      </c>
      <c r="AI76" s="149">
        <f t="shared" si="118"/>
        <v>424.28280339123796</v>
      </c>
      <c r="AJ76" s="447">
        <f t="shared" si="119"/>
        <v>0.11532487828103302</v>
      </c>
      <c r="AK76" s="450">
        <f t="shared" si="120"/>
        <v>96.517196608761992</v>
      </c>
      <c r="AL76" s="450">
        <f t="shared" si="121"/>
        <v>60.061196608761989</v>
      </c>
      <c r="AM76" s="447">
        <f t="shared" si="122"/>
        <v>0.61841894766212402</v>
      </c>
      <c r="AN76" s="458">
        <v>699</v>
      </c>
      <c r="AO76" s="459">
        <f t="shared" si="72"/>
        <v>274.71719660876204</v>
      </c>
      <c r="AP76" s="459">
        <f t="shared" si="73"/>
        <v>225.78719660876203</v>
      </c>
      <c r="AQ76" s="463">
        <f t="shared" si="123"/>
        <v>2.3248134970058474</v>
      </c>
      <c r="AR76" s="464">
        <f t="shared" si="75"/>
        <v>0.32301458742312167</v>
      </c>
      <c r="AS76" s="487" t="str">
        <f>IFERROR(_xlfn.XLOOKUP(A76,'[2]Рассчет акции'!$A:$A,'[2]Рассчет акции'!$BH:$BH),0)</f>
        <v>*</v>
      </c>
      <c r="AT76" s="487">
        <f>IFERROR(_xlfn.XLOOKUP($A76,'[2]Рассчет акции'!$A:$A,'[2]Рассчет акции'!$BC:$BC),0)</f>
        <v>521</v>
      </c>
      <c r="AU76" s="409">
        <f t="shared" si="76"/>
        <v>0.1156376134525183</v>
      </c>
      <c r="AV76" s="407">
        <f t="shared" si="77"/>
        <v>96.717196608762038</v>
      </c>
      <c r="AW76" s="407">
        <f t="shared" si="78"/>
        <v>60.247196608762032</v>
      </c>
      <c r="AX76" s="409">
        <f t="shared" si="124"/>
        <v>0.62033409305981657</v>
      </c>
      <c r="AY76" s="293">
        <f>IFERROR(_xlfn.XLOOKUP(E76,'[2]Рассчет акции'!$D:$D,'[2]Рассчет акции'!$BM:$BM),0)</f>
        <v>134</v>
      </c>
      <c r="AZ76" s="203">
        <f>IFERROR(_xlfn.XLOOKUP(E76,'[2]Рассчет акции'!$D:$D,'[2]Рассчет акции'!$BN:$BN),0)</f>
        <v>193</v>
      </c>
      <c r="BA76" s="294">
        <f t="shared" si="125"/>
        <v>5.3624071135380742</v>
      </c>
      <c r="BB76" s="292"/>
      <c r="BC76" s="497" t="e">
        <f xml:space="preserve"> _xlfn.XLOOKUP(B76,#REF!,#REF!,0)</f>
        <v>#REF!</v>
      </c>
      <c r="BD76" s="500" t="e">
        <f t="shared" si="52"/>
        <v>#REF!</v>
      </c>
      <c r="BE76" s="501">
        <f>_xlfn.XLOOKUP($B76,'[1]Рассчет акции'!$A:$A,'[1]Рассчет акции'!$J:$J)</f>
        <v>0.35017421602787457</v>
      </c>
      <c r="BF76" s="191" t="e">
        <f t="shared" si="133"/>
        <v>#REF!</v>
      </c>
      <c r="BG76" s="192">
        <f t="shared" si="81"/>
        <v>0</v>
      </c>
      <c r="BH76" s="193">
        <v>0.4</v>
      </c>
      <c r="BI76" s="194" t="e">
        <f t="shared" si="82"/>
        <v>#REF!</v>
      </c>
      <c r="BJ76" s="195" t="e">
        <f t="shared" si="45"/>
        <v>#REF!</v>
      </c>
      <c r="BK76" s="422">
        <f t="shared" si="126"/>
        <v>0</v>
      </c>
      <c r="BL76" s="196">
        <f>(IF(K76&gt;$BL$3,('Тарифы ОЗОН'!$G$3+ROUNDUP(K76-$BL$3,0)*'Тарифы ОЗОН'!$G$4),'Тарифы ОЗОН'!$G$3))</f>
        <v>46.77</v>
      </c>
      <c r="BM76" s="196">
        <f t="shared" si="84"/>
        <v>35</v>
      </c>
      <c r="BN76" s="197">
        <f>_xlfn.XLOOKUP(BM76,'Тарифы ОЗОН'!$A:$A,'Тарифы ОЗОН'!$B:$B)</f>
        <v>1.32</v>
      </c>
      <c r="BO76" s="198">
        <f>_xlfn.XLOOKUP(BM76,'Тарифы ОЗОН'!$A:$A,'Тарифы ОЗОН'!C:C)</f>
        <v>1.6E-2</v>
      </c>
      <c r="BP76" s="199">
        <f t="shared" si="85"/>
        <v>25</v>
      </c>
      <c r="BQ76" s="199" t="e">
        <f t="shared" si="46"/>
        <v>#REF!</v>
      </c>
      <c r="BR76" s="359">
        <f t="shared" si="47"/>
        <v>0.85</v>
      </c>
      <c r="BS76" s="199" t="e">
        <f t="shared" si="48"/>
        <v>#REF!</v>
      </c>
      <c r="BT76" s="200">
        <f t="shared" si="86"/>
        <v>0</v>
      </c>
      <c r="BU76" s="262" t="e">
        <f t="shared" si="30"/>
        <v>#REF!</v>
      </c>
      <c r="BV76" s="149" t="e">
        <f t="shared" si="127"/>
        <v>#REF!</v>
      </c>
      <c r="BW76" s="291">
        <f t="shared" si="88"/>
        <v>0</v>
      </c>
      <c r="BX76" s="201">
        <f t="shared" si="89"/>
        <v>0</v>
      </c>
      <c r="BY76" s="201" t="e">
        <f t="shared" si="90"/>
        <v>#REF!</v>
      </c>
      <c r="BZ76" s="202">
        <f t="shared" si="111"/>
        <v>0</v>
      </c>
      <c r="CA76" s="425">
        <v>669</v>
      </c>
      <c r="CB76" s="426" t="e">
        <f t="shared" si="134"/>
        <v>#REF!</v>
      </c>
      <c r="CC76" s="427" t="e">
        <f t="shared" si="137"/>
        <v>#REF!</v>
      </c>
      <c r="CD76" s="429" t="e">
        <f t="shared" si="128"/>
        <v>#REF!</v>
      </c>
      <c r="CE76" s="429">
        <f t="shared" si="50"/>
        <v>0</v>
      </c>
      <c r="CF76" s="277">
        <f>_xlfn.XLOOKUP(B76,'[1]Рассчет акции'!$A:$A,'[1]Рассчет акции'!$R:$R,0)</f>
        <v>0</v>
      </c>
      <c r="CG76" s="360">
        <f>_xlfn.XLOOKUP(B76,'[1]Рассчет акции'!$A:$A,'[1]Рассчет акции'!$M:$M,0)</f>
        <v>871</v>
      </c>
      <c r="CH76" s="291">
        <f t="shared" si="92"/>
        <v>0</v>
      </c>
      <c r="CI76" s="290" t="e">
        <f t="shared" si="138"/>
        <v>#REF!</v>
      </c>
      <c r="CJ76" s="290" t="e">
        <f t="shared" si="139"/>
        <v>#REF!</v>
      </c>
      <c r="CK76" s="291" t="e">
        <f t="shared" si="129"/>
        <v>#REF!</v>
      </c>
      <c r="CL76" s="203">
        <f>_xlfn.XLOOKUP(B76,'[1]Рассчет акции'!$A:$A,'[1]Рассчет акции'!$W:$W,0)</f>
        <v>19</v>
      </c>
      <c r="CM76" s="424">
        <f>_xlfn.XLOOKUP(B76,'[1]Рассчет акции'!$A:$A,'[1]Рассчет акции'!$X:$X,0)</f>
        <v>133</v>
      </c>
      <c r="CN76" s="294" t="e">
        <f t="shared" si="130"/>
        <v>#REF!</v>
      </c>
      <c r="CO76" s="433">
        <f t="shared" si="135"/>
        <v>602.1</v>
      </c>
      <c r="CP76" s="507">
        <f>_xlfn.XLOOKUP(B76,'[1]Рассчет акции'!$A:$A,'[1]Рассчет акции'!$Z:$Z,0)</f>
        <v>0</v>
      </c>
    </row>
    <row r="77" spans="1:94" ht="24.95" customHeight="1" x14ac:dyDescent="0.25">
      <c r="A77" s="168">
        <v>370594147</v>
      </c>
      <c r="B77" s="170">
        <v>2415742703</v>
      </c>
      <c r="C77" s="168" t="s">
        <v>318</v>
      </c>
      <c r="D77" s="169" t="s">
        <v>317</v>
      </c>
      <c r="E77" s="170">
        <v>2043369755509</v>
      </c>
      <c r="F77" s="284">
        <f t="shared" si="112"/>
        <v>119.12056339123797</v>
      </c>
      <c r="G77" s="147">
        <f t="shared" si="58"/>
        <v>0.1721893081688898</v>
      </c>
      <c r="H77" s="439">
        <f>IF(_xlfn.XLOOKUP($C77,'Юнит Карго'!$A:$A,'Юнит Карго'!$G:$G)=0,_xlfn.XLOOKUP(E77,'Себес 1С текущ'!G:G,'Себес 1С текущ'!H:H),_xlfn.XLOOKUP($C77,'Юнит Карго'!$A:$A,'Юнит Карго'!$P:$P,0,0))</f>
        <v>97.120563391237965</v>
      </c>
      <c r="I77" s="268">
        <f>_xlfn.XLOOKUP(E77,[3]ТЗ_ФФ!$D:$D,[3]ТЗ_ФФ!$BG:$BG,0)</f>
        <v>14</v>
      </c>
      <c r="J77" s="269">
        <f t="shared" si="140"/>
        <v>8</v>
      </c>
      <c r="K77" s="273">
        <f t="shared" si="60"/>
        <v>0.29399999999999998</v>
      </c>
      <c r="L77" s="146">
        <v>7</v>
      </c>
      <c r="M77" s="146">
        <v>7</v>
      </c>
      <c r="N77" s="146">
        <v>6</v>
      </c>
      <c r="O77" s="150">
        <f>_xlfn.XLOOKUP($C77,'Юнит Карго'!$A:$A,'Юнит Карго'!$T:$T,0,0)</f>
        <v>0.05</v>
      </c>
      <c r="P77" s="127"/>
      <c r="Q77" s="146"/>
      <c r="R77" s="292"/>
      <c r="S77" s="285">
        <f t="shared" si="136"/>
        <v>691.8</v>
      </c>
      <c r="T77" s="286" t="str">
        <f>_xlfn.XLOOKUP(E77,'[2]Рассчет акции'!$D:$D,'[2]Рассчет акции'!$G:$G,0)</f>
        <v>1153</v>
      </c>
      <c r="U77" s="417">
        <f>_xlfn.XLOOKUP(E77,'[2]Рассчет акции'!$D:$D,'[2]Рассчет акции'!$F:$F,0)</f>
        <v>0.4</v>
      </c>
      <c r="V77" s="235">
        <f t="shared" si="40"/>
        <v>362.07104000000004</v>
      </c>
      <c r="W77" s="288">
        <f t="shared" si="61"/>
        <v>0.52337531078346355</v>
      </c>
      <c r="X77" s="289">
        <f>IF(K77&gt;1,('Тарифы ВБ'!$B$9+(K77-1)*'Тарифы ВБ'!$B$10)*'Тарифы ВБ'!$B$15*'Тарифы ВБ'!$B$12+S77*'Тарифы ВБ'!$B$13,'Тарифы ВБ'!$B$8*'Тарифы ВБ'!$B$15*'Тарифы ВБ'!$B$12+S77*'Тарифы ВБ'!$B$13)</f>
        <v>73.236040000000003</v>
      </c>
      <c r="Y77" s="289">
        <f>IF(K77&gt;1,'Тарифы ВБ'!$B$9+(K77-1)*'Тарифы ВБ'!$B$10,'Тарифы ВБ'!$B$8)</f>
        <v>32</v>
      </c>
      <c r="Z77" s="289">
        <f t="shared" si="131"/>
        <v>105.23604</v>
      </c>
      <c r="AA77" s="236">
        <f t="shared" si="132"/>
        <v>0.15211916738941891</v>
      </c>
      <c r="AB77" s="237">
        <f>IF(K77&gt;1,'Тарифы ВБ'!$B$14*'Тарифы ВБ'!$B$16*'Тарифы ВБ'!$B$15+(K77-1)*'Тарифы ВБ'!$B$14,'Тарифы ВБ'!$B$14*'Тарифы ВБ'!B$16*'Тарифы ВБ'!$B$15)</f>
        <v>32</v>
      </c>
      <c r="AC77" s="287">
        <f t="shared" si="113"/>
        <v>137.23604</v>
      </c>
      <c r="AD77" s="240">
        <f t="shared" si="114"/>
        <v>0.19837531078346343</v>
      </c>
      <c r="AE77" s="241">
        <v>0.29499999999999998</v>
      </c>
      <c r="AF77" s="289">
        <f t="shared" si="115"/>
        <v>204.08099999999999</v>
      </c>
      <c r="AG77" s="364">
        <f t="shared" si="116"/>
        <v>0</v>
      </c>
      <c r="AH77" s="364">
        <f t="shared" si="117"/>
        <v>20.753999999999998</v>
      </c>
      <c r="AI77" s="149">
        <f t="shared" si="118"/>
        <v>481.191603391238</v>
      </c>
      <c r="AJ77" s="447">
        <f t="shared" si="119"/>
        <v>0.23443538104764669</v>
      </c>
      <c r="AK77" s="450">
        <f t="shared" si="120"/>
        <v>210.60839660876195</v>
      </c>
      <c r="AL77" s="450">
        <f t="shared" si="121"/>
        <v>162.18239660876196</v>
      </c>
      <c r="AM77" s="447">
        <f t="shared" si="122"/>
        <v>1.6699079056556807</v>
      </c>
      <c r="AN77" s="458">
        <v>699</v>
      </c>
      <c r="AO77" s="459">
        <f t="shared" si="72"/>
        <v>217.808396608762</v>
      </c>
      <c r="AP77" s="459">
        <f t="shared" si="73"/>
        <v>168.87839660876199</v>
      </c>
      <c r="AQ77" s="463">
        <f t="shared" si="123"/>
        <v>1.738853139972599</v>
      </c>
      <c r="AR77" s="464">
        <f t="shared" si="75"/>
        <v>0.24159999514844346</v>
      </c>
      <c r="AS77" s="487" t="str">
        <f>IFERROR(_xlfn.XLOOKUP(A77,'[2]Рассчет акции'!$A:$A,'[2]Рассчет акции'!$BH:$BH),0)</f>
        <v>*</v>
      </c>
      <c r="AT77" s="487">
        <f>IFERROR(_xlfn.XLOOKUP($A77,'[2]Рассчет акции'!$A:$A,'[2]Рассчет акции'!$BC:$BC),0)</f>
        <v>692</v>
      </c>
      <c r="AU77" s="409">
        <f t="shared" si="76"/>
        <v>0.23463641128433815</v>
      </c>
      <c r="AV77" s="407">
        <f t="shared" si="77"/>
        <v>210.808396608762</v>
      </c>
      <c r="AW77" s="407">
        <f t="shared" si="78"/>
        <v>162.368396608762</v>
      </c>
      <c r="AX77" s="409">
        <f t="shared" si="124"/>
        <v>1.6718230510533731</v>
      </c>
      <c r="AY77" s="293">
        <f>IFERROR(_xlfn.XLOOKUP(E77,'[2]Рассчет акции'!$D:$D,'[2]Рассчет акции'!$BM:$BM),0)</f>
        <v>106</v>
      </c>
      <c r="AZ77" s="203">
        <f>IFERROR(_xlfn.XLOOKUP(E77,'[2]Рассчет акции'!$D:$D,'[2]Рассчет акции'!$BN:$BN),0)</f>
        <v>244</v>
      </c>
      <c r="BA77" s="294">
        <f t="shared" si="125"/>
        <v>7.1231053017389403</v>
      </c>
      <c r="BB77" s="292"/>
      <c r="BC77" s="497" t="e">
        <f xml:space="preserve"> _xlfn.XLOOKUP(B77,#REF!,#REF!,0)</f>
        <v>#REF!</v>
      </c>
      <c r="BD77" s="500" t="e">
        <f t="shared" si="52"/>
        <v>#REF!</v>
      </c>
      <c r="BE77" s="501">
        <f>_xlfn.XLOOKUP($B77,'[1]Рассчет акции'!$A:$A,'[1]Рассчет акции'!$J:$J)</f>
        <v>0.35017421602787457</v>
      </c>
      <c r="BF77" s="191" t="e">
        <f t="shared" si="133"/>
        <v>#REF!</v>
      </c>
      <c r="BG77" s="192">
        <f t="shared" si="81"/>
        <v>0</v>
      </c>
      <c r="BH77" s="193">
        <v>0.4</v>
      </c>
      <c r="BI77" s="194" t="e">
        <f t="shared" si="82"/>
        <v>#REF!</v>
      </c>
      <c r="BJ77" s="195" t="e">
        <f t="shared" si="45"/>
        <v>#REF!</v>
      </c>
      <c r="BK77" s="422">
        <f t="shared" si="126"/>
        <v>0</v>
      </c>
      <c r="BL77" s="196">
        <f>(IF(K77&gt;$BL$3,('Тарифы ОЗОН'!$G$3+ROUNDUP(K77-$BL$3,0)*'Тарифы ОЗОН'!$G$4),'Тарифы ОЗОН'!$G$3))</f>
        <v>46.77</v>
      </c>
      <c r="BM77" s="196">
        <f t="shared" si="84"/>
        <v>35</v>
      </c>
      <c r="BN77" s="197">
        <f>_xlfn.XLOOKUP(BM77,'Тарифы ОЗОН'!$A:$A,'Тарифы ОЗОН'!$B:$B)</f>
        <v>1.32</v>
      </c>
      <c r="BO77" s="198">
        <f>_xlfn.XLOOKUP(BM77,'Тарифы ОЗОН'!$A:$A,'Тарифы ОЗОН'!C:C)</f>
        <v>1.6E-2</v>
      </c>
      <c r="BP77" s="199">
        <f t="shared" si="85"/>
        <v>25</v>
      </c>
      <c r="BQ77" s="199" t="e">
        <f t="shared" si="46"/>
        <v>#REF!</v>
      </c>
      <c r="BR77" s="359">
        <f t="shared" si="47"/>
        <v>0.85</v>
      </c>
      <c r="BS77" s="199" t="e">
        <f t="shared" si="48"/>
        <v>#REF!</v>
      </c>
      <c r="BT77" s="200">
        <f t="shared" si="86"/>
        <v>0</v>
      </c>
      <c r="BU77" s="262" t="e">
        <f t="shared" si="30"/>
        <v>#REF!</v>
      </c>
      <c r="BV77" s="149" t="e">
        <f t="shared" si="127"/>
        <v>#REF!</v>
      </c>
      <c r="BW77" s="291">
        <f t="shared" si="88"/>
        <v>0</v>
      </c>
      <c r="BX77" s="201">
        <f t="shared" si="89"/>
        <v>0</v>
      </c>
      <c r="BY77" s="201" t="e">
        <f t="shared" si="90"/>
        <v>#REF!</v>
      </c>
      <c r="BZ77" s="202">
        <f t="shared" si="111"/>
        <v>0</v>
      </c>
      <c r="CA77" s="425">
        <v>669</v>
      </c>
      <c r="CB77" s="426" t="e">
        <f t="shared" si="134"/>
        <v>#REF!</v>
      </c>
      <c r="CC77" s="427" t="e">
        <f t="shared" si="137"/>
        <v>#REF!</v>
      </c>
      <c r="CD77" s="429" t="e">
        <f t="shared" si="128"/>
        <v>#REF!</v>
      </c>
      <c r="CE77" s="429">
        <f t="shared" si="50"/>
        <v>0</v>
      </c>
      <c r="CF77" s="277">
        <f>_xlfn.XLOOKUP(B77,'[1]Рассчет акции'!$A:$A,'[1]Рассчет акции'!$R:$R,0)</f>
        <v>0</v>
      </c>
      <c r="CG77" s="360">
        <f>_xlfn.XLOOKUP(B77,'[1]Рассчет акции'!$A:$A,'[1]Рассчет акции'!$M:$M,0)</f>
        <v>823</v>
      </c>
      <c r="CH77" s="291">
        <f t="shared" si="92"/>
        <v>0</v>
      </c>
      <c r="CI77" s="290" t="e">
        <f t="shared" si="138"/>
        <v>#REF!</v>
      </c>
      <c r="CJ77" s="290" t="e">
        <f t="shared" si="139"/>
        <v>#REF!</v>
      </c>
      <c r="CK77" s="291" t="e">
        <f t="shared" si="129"/>
        <v>#REF!</v>
      </c>
      <c r="CL77" s="203">
        <f>_xlfn.XLOOKUP(B77,'[1]Рассчет акции'!$A:$A,'[1]Рассчет акции'!$W:$W,0)</f>
        <v>36</v>
      </c>
      <c r="CM77" s="424">
        <f>_xlfn.XLOOKUP(B77,'[1]Рассчет акции'!$A:$A,'[1]Рассчет акции'!$X:$X,0)</f>
        <v>999</v>
      </c>
      <c r="CN77" s="294" t="e">
        <f t="shared" si="130"/>
        <v>#REF!</v>
      </c>
      <c r="CO77" s="433">
        <f t="shared" si="135"/>
        <v>602.1</v>
      </c>
      <c r="CP77" s="507">
        <f>_xlfn.XLOOKUP(B77,'[1]Рассчет акции'!$A:$A,'[1]Рассчет акции'!$Z:$Z,0)</f>
        <v>0</v>
      </c>
    </row>
    <row r="78" spans="1:94" ht="24.95" customHeight="1" x14ac:dyDescent="0.25">
      <c r="A78" s="168">
        <v>321959186</v>
      </c>
      <c r="B78" s="170">
        <v>2415742927</v>
      </c>
      <c r="C78" s="168" t="s">
        <v>284</v>
      </c>
      <c r="D78" s="169" t="s">
        <v>185</v>
      </c>
      <c r="E78" s="170">
        <v>2042678197468</v>
      </c>
      <c r="F78" s="284">
        <f t="shared" si="112"/>
        <v>130</v>
      </c>
      <c r="G78" s="147">
        <f t="shared" si="58"/>
        <v>0.21841397849462363</v>
      </c>
      <c r="H78" s="439">
        <f>IF(_xlfn.XLOOKUP($C78,'Юнит Карго'!$A:$A,'Юнит Карго'!$G:$G)=0,_xlfn.XLOOKUP(E78,'Себес 1С текущ'!G:G,'Себес 1С текущ'!H:H),_xlfn.XLOOKUP($C78,'Юнит Карго'!$A:$A,'Юнит Карго'!$P:$P,0,0))</f>
        <v>114</v>
      </c>
      <c r="I78" s="268">
        <f>_xlfn.XLOOKUP(E78,[3]ТЗ_ФФ!$D:$D,[3]ТЗ_ФФ!$BG:$BG,0)</f>
        <v>8</v>
      </c>
      <c r="J78" s="269">
        <f t="shared" si="140"/>
        <v>8</v>
      </c>
      <c r="K78" s="273">
        <f t="shared" si="60"/>
        <v>0.57599999999999996</v>
      </c>
      <c r="L78" s="146">
        <v>16</v>
      </c>
      <c r="M78" s="146">
        <v>12</v>
      </c>
      <c r="N78" s="146">
        <v>3</v>
      </c>
      <c r="O78" s="150">
        <f>_xlfn.XLOOKUP($C78,'Юнит Карго'!$A:$A,'Юнит Карго'!$T:$T,0,0)</f>
        <v>0</v>
      </c>
      <c r="P78" s="127"/>
      <c r="Q78" s="146"/>
      <c r="R78" s="292"/>
      <c r="S78" s="285">
        <f t="shared" si="136"/>
        <v>595.20000000000005</v>
      </c>
      <c r="T78" s="286" t="str">
        <f>_xlfn.XLOOKUP(E78,'[2]Рассчет акции'!$D:$D,'[2]Рассчет акции'!$G:$G,0)</f>
        <v>992</v>
      </c>
      <c r="U78" s="417">
        <f>_xlfn.XLOOKUP(E78,'[2]Рассчет акции'!$D:$D,'[2]Рассчет акции'!$F:$F,0)</f>
        <v>0.4</v>
      </c>
      <c r="V78" s="235">
        <f t="shared" si="40"/>
        <v>329.92255999999998</v>
      </c>
      <c r="W78" s="288">
        <f t="shared" si="61"/>
        <v>0.55430537634408594</v>
      </c>
      <c r="X78" s="289">
        <f>IF(K78&gt;1,('Тарифы ВБ'!$B$9+(K78-1)*'Тарифы ВБ'!$B$10)*'Тарифы ВБ'!$B$15*'Тарифы ВБ'!$B$12+S78*'Тарифы ВБ'!$B$13,'Тарифы ВБ'!$B$8*'Тарифы ВБ'!$B$15*'Тарифы ВБ'!$B$12+S78*'Тарифы ВБ'!$B$13)</f>
        <v>72.482560000000007</v>
      </c>
      <c r="Y78" s="289">
        <f>IF(K78&gt;1,'Тарифы ВБ'!$B$9+(K78-1)*'Тарифы ВБ'!$B$10,'Тарифы ВБ'!$B$8)</f>
        <v>32</v>
      </c>
      <c r="Z78" s="289">
        <f t="shared" si="131"/>
        <v>104.48256000000001</v>
      </c>
      <c r="AA78" s="236">
        <f t="shared" si="132"/>
        <v>0.17554193548387095</v>
      </c>
      <c r="AB78" s="237">
        <f>IF(K78&gt;1,'Тарифы ВБ'!$B$14*'Тарифы ВБ'!$B$16*'Тарифы ВБ'!$B$15+(K78-1)*'Тарифы ВБ'!$B$14,'Тарифы ВБ'!$B$14*'Тарифы ВБ'!B$16*'Тарифы ВБ'!$B$15)</f>
        <v>32</v>
      </c>
      <c r="AC78" s="287">
        <f t="shared" si="113"/>
        <v>136.48256000000001</v>
      </c>
      <c r="AD78" s="240">
        <f t="shared" si="114"/>
        <v>0.22930537634408601</v>
      </c>
      <c r="AE78" s="241">
        <v>0.29499999999999998</v>
      </c>
      <c r="AF78" s="289">
        <f t="shared" si="115"/>
        <v>175.584</v>
      </c>
      <c r="AG78" s="364">
        <f t="shared" si="116"/>
        <v>0</v>
      </c>
      <c r="AH78" s="364">
        <f t="shared" si="117"/>
        <v>17.856000000000002</v>
      </c>
      <c r="AI78" s="149">
        <f t="shared" si="118"/>
        <v>459.92255999999998</v>
      </c>
      <c r="AJ78" s="447">
        <f t="shared" si="119"/>
        <v>0.15728064516129039</v>
      </c>
      <c r="AK78" s="450">
        <f t="shared" si="120"/>
        <v>135.27744000000007</v>
      </c>
      <c r="AL78" s="450">
        <f t="shared" si="121"/>
        <v>93.613440000000054</v>
      </c>
      <c r="AM78" s="447">
        <f t="shared" si="122"/>
        <v>0.82117052631578991</v>
      </c>
      <c r="AN78" s="458">
        <v>699</v>
      </c>
      <c r="AO78" s="459">
        <f t="shared" si="72"/>
        <v>239.07744000000002</v>
      </c>
      <c r="AP78" s="459">
        <f t="shared" si="73"/>
        <v>190.14744000000002</v>
      </c>
      <c r="AQ78" s="463">
        <f t="shared" si="123"/>
        <v>1.6679600000000001</v>
      </c>
      <c r="AR78" s="464">
        <f t="shared" si="75"/>
        <v>0.27202781115879832</v>
      </c>
      <c r="AS78" s="487" t="str">
        <f>IFERROR(_xlfn.XLOOKUP(A78,'[2]Рассчет акции'!$A:$A,'[2]Рассчет акции'!$BH:$BH),0)</f>
        <v>*</v>
      </c>
      <c r="AT78" s="487">
        <f>IFERROR(_xlfn.XLOOKUP($A78,'[2]Рассчет акции'!$A:$A,'[2]Рассчет акции'!$BC:$BC),0)</f>
        <v>595</v>
      </c>
      <c r="AU78" s="409">
        <f t="shared" si="76"/>
        <v>0.15702090756302525</v>
      </c>
      <c r="AV78" s="407">
        <f t="shared" si="77"/>
        <v>135.07744000000002</v>
      </c>
      <c r="AW78" s="407">
        <f t="shared" si="78"/>
        <v>93.427440000000018</v>
      </c>
      <c r="AX78" s="409">
        <f t="shared" si="124"/>
        <v>0.81953894736842126</v>
      </c>
      <c r="AY78" s="293">
        <f>IFERROR(_xlfn.XLOOKUP(E78,'[2]Рассчет акции'!$D:$D,'[2]Рассчет акции'!$BM:$BM),0)</f>
        <v>31</v>
      </c>
      <c r="AZ78" s="203">
        <f>IFERROR(_xlfn.XLOOKUP(E78,'[2]Рассчет акции'!$D:$D,'[2]Рассчет акции'!$BN:$BN),0)</f>
        <v>246</v>
      </c>
      <c r="BA78" s="294">
        <f t="shared" si="125"/>
        <v>5.2210526315789476</v>
      </c>
      <c r="BB78" s="292"/>
      <c r="BC78" s="497" t="e">
        <f xml:space="preserve"> _xlfn.XLOOKUP(B78,#REF!,#REF!,0)</f>
        <v>#REF!</v>
      </c>
      <c r="BD78" s="500" t="e">
        <f t="shared" si="52"/>
        <v>#REF!</v>
      </c>
      <c r="BE78" s="501">
        <f>_xlfn.XLOOKUP($B78,'[1]Рассчет акции'!$A:$A,'[1]Рассчет акции'!$J:$J)</f>
        <v>0.35017421602787457</v>
      </c>
      <c r="BF78" s="191" t="e">
        <f t="shared" si="133"/>
        <v>#REF!</v>
      </c>
      <c r="BG78" s="192">
        <f t="shared" si="81"/>
        <v>0</v>
      </c>
      <c r="BH78" s="193">
        <v>0.4</v>
      </c>
      <c r="BI78" s="194" t="e">
        <f t="shared" si="82"/>
        <v>#REF!</v>
      </c>
      <c r="BJ78" s="195" t="e">
        <f t="shared" si="45"/>
        <v>#REF!</v>
      </c>
      <c r="BK78" s="422">
        <f t="shared" si="126"/>
        <v>0</v>
      </c>
      <c r="BL78" s="196">
        <f>(IF(K78&gt;$BL$3,('Тарифы ОЗОН'!$G$3+ROUNDUP(K78-$BL$3,0)*'Тарифы ОЗОН'!$G$4),'Тарифы ОЗОН'!$G$3))</f>
        <v>46.77</v>
      </c>
      <c r="BM78" s="196">
        <f t="shared" si="84"/>
        <v>35</v>
      </c>
      <c r="BN78" s="197">
        <f>_xlfn.XLOOKUP(BM78,'Тарифы ОЗОН'!$A:$A,'Тарифы ОЗОН'!$B:$B)</f>
        <v>1.32</v>
      </c>
      <c r="BO78" s="198">
        <f>_xlfn.XLOOKUP(BM78,'Тарифы ОЗОН'!$A:$A,'Тарифы ОЗОН'!C:C)</f>
        <v>1.6E-2</v>
      </c>
      <c r="BP78" s="199">
        <f t="shared" si="85"/>
        <v>25</v>
      </c>
      <c r="BQ78" s="199" t="e">
        <f t="shared" si="46"/>
        <v>#REF!</v>
      </c>
      <c r="BR78" s="359">
        <f t="shared" si="47"/>
        <v>0.85</v>
      </c>
      <c r="BS78" s="199" t="e">
        <f t="shared" si="48"/>
        <v>#REF!</v>
      </c>
      <c r="BT78" s="200">
        <f t="shared" si="86"/>
        <v>0</v>
      </c>
      <c r="BU78" s="262" t="e">
        <f t="shared" si="30"/>
        <v>#REF!</v>
      </c>
      <c r="BV78" s="149" t="e">
        <f t="shared" si="127"/>
        <v>#REF!</v>
      </c>
      <c r="BW78" s="291">
        <f t="shared" si="88"/>
        <v>0</v>
      </c>
      <c r="BX78" s="201">
        <f t="shared" si="89"/>
        <v>0</v>
      </c>
      <c r="BY78" s="201" t="e">
        <f t="shared" si="90"/>
        <v>#REF!</v>
      </c>
      <c r="BZ78" s="202">
        <f t="shared" si="111"/>
        <v>0</v>
      </c>
      <c r="CA78" s="425"/>
      <c r="CB78" s="426" t="e">
        <f t="shared" si="134"/>
        <v>#REF!</v>
      </c>
      <c r="CC78" s="427" t="e">
        <f t="shared" si="137"/>
        <v>#REF!</v>
      </c>
      <c r="CD78" s="429" t="e">
        <f t="shared" si="128"/>
        <v>#REF!</v>
      </c>
      <c r="CE78" s="429">
        <f t="shared" si="50"/>
        <v>0</v>
      </c>
      <c r="CF78" s="277">
        <f>_xlfn.XLOOKUP(B78,'[1]Рассчет акции'!$A:$A,'[1]Рассчет акции'!$R:$R,0)</f>
        <v>0</v>
      </c>
      <c r="CG78" s="360">
        <f>_xlfn.XLOOKUP(B78,'[1]Рассчет акции'!$A:$A,'[1]Рассчет акции'!$M:$M,0)</f>
        <v>0</v>
      </c>
      <c r="CH78" s="291">
        <f t="shared" si="92"/>
        <v>0</v>
      </c>
      <c r="CI78" s="290" t="e">
        <f t="shared" si="138"/>
        <v>#REF!</v>
      </c>
      <c r="CJ78" s="290" t="e">
        <f t="shared" si="139"/>
        <v>#REF!</v>
      </c>
      <c r="CK78" s="291" t="e">
        <f t="shared" si="129"/>
        <v>#REF!</v>
      </c>
      <c r="CL78" s="203">
        <f>_xlfn.XLOOKUP(B78,'[1]Рассчет акции'!$A:$A,'[1]Рассчет акции'!$W:$W,0)</f>
        <v>0</v>
      </c>
      <c r="CM78" s="424">
        <f>_xlfn.XLOOKUP(B78,'[1]Рассчет акции'!$A:$A,'[1]Рассчет акции'!$X:$X,0)</f>
        <v>0</v>
      </c>
      <c r="CN78" s="294" t="e">
        <f t="shared" si="130"/>
        <v>#REF!</v>
      </c>
      <c r="CO78" s="433">
        <f t="shared" si="135"/>
        <v>0</v>
      </c>
      <c r="CP78" s="507">
        <f>_xlfn.XLOOKUP(B78,'[1]Рассчет акции'!$A:$A,'[1]Рассчет акции'!$Z:$Z,0)</f>
        <v>0</v>
      </c>
    </row>
    <row r="79" spans="1:94" ht="24.95" customHeight="1" x14ac:dyDescent="0.25">
      <c r="A79" s="168">
        <v>273546535</v>
      </c>
      <c r="B79" s="170">
        <v>2086999506</v>
      </c>
      <c r="C79" s="168" t="s">
        <v>173</v>
      </c>
      <c r="D79" s="169" t="s">
        <v>444</v>
      </c>
      <c r="E79" s="170">
        <v>2041533399818</v>
      </c>
      <c r="F79" s="284">
        <f t="shared" si="112"/>
        <v>192</v>
      </c>
      <c r="G79" s="147">
        <f t="shared" si="58"/>
        <v>0.17927170868347339</v>
      </c>
      <c r="H79" s="439">
        <f>IF(_xlfn.XLOOKUP($C79,'Юнит Карго'!$A:$A,'Юнит Карго'!$G:$G)=0,_xlfn.XLOOKUP(E79,'Себес 1С текущ'!G:G,'Себес 1С текущ'!H:H),_xlfn.XLOOKUP($C79,'Юнит Карго'!$A:$A,'Юнит Карго'!$P:$P,0,0))</f>
        <v>170</v>
      </c>
      <c r="I79" s="268">
        <f>_xlfn.XLOOKUP(E79,[3]ТЗ_ФФ!$D:$D,[3]ТЗ_ФФ!$BG:$BG,0)</f>
        <v>14</v>
      </c>
      <c r="J79" s="269">
        <f t="shared" si="140"/>
        <v>8</v>
      </c>
      <c r="K79" s="273">
        <f t="shared" si="60"/>
        <v>0.57599999999999996</v>
      </c>
      <c r="L79" s="146">
        <v>16</v>
      </c>
      <c r="M79" s="146">
        <v>12</v>
      </c>
      <c r="N79" s="146">
        <v>3</v>
      </c>
      <c r="O79" s="150">
        <f>_xlfn.XLOOKUP($C79,'Юнит Карго'!$A:$A,'Юнит Карго'!$T:$T,0,0)</f>
        <v>0.2</v>
      </c>
      <c r="P79" s="127"/>
      <c r="Q79" s="146"/>
      <c r="R79" s="292"/>
      <c r="S79" s="285">
        <f t="shared" si="136"/>
        <v>1071</v>
      </c>
      <c r="T79" s="286" t="str">
        <f>_xlfn.XLOOKUP(E79,'[2]Рассчет акции'!$D:$D,'[2]Рассчет акции'!$G:$G,0)</f>
        <v>1785</v>
      </c>
      <c r="U79" s="417">
        <f>_xlfn.XLOOKUP(E79,'[2]Рассчет акции'!$D:$D,'[2]Рассчет акции'!$F:$F,0)</f>
        <v>0.4</v>
      </c>
      <c r="V79" s="235">
        <f t="shared" si="40"/>
        <v>488.2688</v>
      </c>
      <c r="W79" s="288">
        <f t="shared" si="61"/>
        <v>0.4558999066293184</v>
      </c>
      <c r="X79" s="289">
        <f>IF(K79&gt;1,('Тарифы ВБ'!$B$9+(K79-1)*'Тарифы ВБ'!$B$10)*'Тарифы ВБ'!$B$15*'Тарифы ВБ'!$B$12+S79*'Тарифы ВБ'!$B$13,'Тарифы ВБ'!$B$8*'Тарифы ВБ'!$B$15*'Тарифы ВБ'!$B$12+S79*'Тарифы ВБ'!$B$13)</f>
        <v>76.19380000000001</v>
      </c>
      <c r="Y79" s="289">
        <f>IF(K79&gt;1,'Тарифы ВБ'!$B$9+(K79-1)*'Тарифы ВБ'!$B$10,'Тарифы ВБ'!$B$8)</f>
        <v>32</v>
      </c>
      <c r="Z79" s="289">
        <f t="shared" si="131"/>
        <v>108.19380000000001</v>
      </c>
      <c r="AA79" s="236">
        <f t="shared" si="132"/>
        <v>0.10102128851540618</v>
      </c>
      <c r="AB79" s="237">
        <f>IF(K79&gt;1,'Тарифы ВБ'!$B$14*'Тарифы ВБ'!$B$16*'Тарифы ВБ'!$B$15+(K79-1)*'Тарифы ВБ'!$B$14,'Тарифы ВБ'!$B$14*'Тарифы ВБ'!B$16*'Тарифы ВБ'!$B$15)</f>
        <v>32</v>
      </c>
      <c r="AC79" s="287">
        <f t="shared" si="113"/>
        <v>140.19380000000001</v>
      </c>
      <c r="AD79" s="240">
        <f t="shared" si="114"/>
        <v>0.13089990662931841</v>
      </c>
      <c r="AE79" s="241">
        <v>0.29499999999999998</v>
      </c>
      <c r="AF79" s="289">
        <f t="shared" si="115"/>
        <v>315.94499999999999</v>
      </c>
      <c r="AG79" s="364">
        <f t="shared" si="116"/>
        <v>0</v>
      </c>
      <c r="AH79" s="364">
        <f t="shared" si="117"/>
        <v>32.129999999999995</v>
      </c>
      <c r="AI79" s="149">
        <f t="shared" si="118"/>
        <v>680.26880000000006</v>
      </c>
      <c r="AJ79" s="447">
        <f t="shared" si="119"/>
        <v>0.29482838468720812</v>
      </c>
      <c r="AK79" s="450">
        <f t="shared" si="120"/>
        <v>390.73119999999994</v>
      </c>
      <c r="AL79" s="450">
        <f t="shared" si="121"/>
        <v>315.76119999999992</v>
      </c>
      <c r="AM79" s="447">
        <f t="shared" si="122"/>
        <v>1.8574188235294113</v>
      </c>
      <c r="AN79" s="458">
        <v>919</v>
      </c>
      <c r="AO79" s="459">
        <f t="shared" si="72"/>
        <v>238.73119999999994</v>
      </c>
      <c r="AP79" s="459">
        <f t="shared" si="73"/>
        <v>174.40119999999993</v>
      </c>
      <c r="AQ79" s="463">
        <f t="shared" si="123"/>
        <v>1.0258894117647055</v>
      </c>
      <c r="AR79" s="464">
        <f t="shared" si="75"/>
        <v>0.18977279651795423</v>
      </c>
      <c r="AS79" s="487" t="str">
        <f>IFERROR(_xlfn.XLOOKUP(A79,'[2]Рассчет акции'!$A:$A,'[2]Рассчет акции'!$BH:$BH),0)</f>
        <v>*</v>
      </c>
      <c r="AT79" s="487">
        <f>IFERROR(_xlfn.XLOOKUP($A79,'[2]Рассчет акции'!$A:$A,'[2]Рассчет акции'!$BC:$BC),0)</f>
        <v>1071</v>
      </c>
      <c r="AU79" s="409">
        <f t="shared" si="76"/>
        <v>0.29482838468720812</v>
      </c>
      <c r="AV79" s="407">
        <f t="shared" si="77"/>
        <v>390.73119999999994</v>
      </c>
      <c r="AW79" s="407">
        <f t="shared" si="78"/>
        <v>315.76119999999992</v>
      </c>
      <c r="AX79" s="409">
        <f t="shared" si="124"/>
        <v>1.8574188235294113</v>
      </c>
      <c r="AY79" s="293">
        <f>IFERROR(_xlfn.XLOOKUP(E79,'[2]Рассчет акции'!$D:$D,'[2]Рассчет акции'!$BM:$BM),0)</f>
        <v>78</v>
      </c>
      <c r="AZ79" s="203">
        <f>IFERROR(_xlfn.XLOOKUP(E79,'[2]Рассчет акции'!$D:$D,'[2]Рассчет акции'!$BN:$BN),0)</f>
        <v>999</v>
      </c>
      <c r="BA79" s="294">
        <f t="shared" si="125"/>
        <v>6.3</v>
      </c>
      <c r="BB79" s="292"/>
      <c r="BC79" s="497" t="e">
        <f xml:space="preserve"> _xlfn.XLOOKUP(B79,#REF!,#REF!,0)</f>
        <v>#REF!</v>
      </c>
      <c r="BD79" s="500" t="e">
        <f t="shared" si="52"/>
        <v>#REF!</v>
      </c>
      <c r="BE79" s="501">
        <f>_xlfn.XLOOKUP($B79,'[1]Рассчет акции'!$A:$A,'[1]Рассчет акции'!$J:$J)</f>
        <v>0.34995663486556805</v>
      </c>
      <c r="BF79" s="191" t="e">
        <f t="shared" si="133"/>
        <v>#REF!</v>
      </c>
      <c r="BG79" s="192">
        <f t="shared" si="81"/>
        <v>0</v>
      </c>
      <c r="BH79" s="193">
        <v>0.4</v>
      </c>
      <c r="BI79" s="194" t="e">
        <f t="shared" si="82"/>
        <v>#REF!</v>
      </c>
      <c r="BJ79" s="195" t="e">
        <f t="shared" si="45"/>
        <v>#REF!</v>
      </c>
      <c r="BK79" s="422">
        <f t="shared" si="126"/>
        <v>0</v>
      </c>
      <c r="BL79" s="196">
        <f>(IF(K79&gt;$BL$3,('Тарифы ОЗОН'!$G$3+ROUNDUP(K79-$BL$3,0)*'Тарифы ОЗОН'!$G$4),'Тарифы ОЗОН'!$G$3))</f>
        <v>46.77</v>
      </c>
      <c r="BM79" s="196">
        <f t="shared" si="84"/>
        <v>35</v>
      </c>
      <c r="BN79" s="197">
        <f>_xlfn.XLOOKUP(BM79,'Тарифы ОЗОН'!$A:$A,'Тарифы ОЗОН'!$B:$B)</f>
        <v>1.32</v>
      </c>
      <c r="BO79" s="198">
        <f>_xlfn.XLOOKUP(BM79,'Тарифы ОЗОН'!$A:$A,'Тарифы ОЗОН'!C:C)</f>
        <v>1.6E-2</v>
      </c>
      <c r="BP79" s="199">
        <f t="shared" si="85"/>
        <v>25</v>
      </c>
      <c r="BQ79" s="199" t="e">
        <f t="shared" si="46"/>
        <v>#REF!</v>
      </c>
      <c r="BR79" s="359">
        <f t="shared" si="47"/>
        <v>0.85</v>
      </c>
      <c r="BS79" s="199" t="e">
        <f t="shared" si="48"/>
        <v>#REF!</v>
      </c>
      <c r="BT79" s="200">
        <f t="shared" si="86"/>
        <v>0</v>
      </c>
      <c r="BU79" s="262" t="e">
        <f t="shared" si="30"/>
        <v>#REF!</v>
      </c>
      <c r="BV79" s="149" t="e">
        <f t="shared" si="127"/>
        <v>#REF!</v>
      </c>
      <c r="BW79" s="291">
        <f t="shared" si="88"/>
        <v>0</v>
      </c>
      <c r="BX79" s="201">
        <f t="shared" si="89"/>
        <v>0</v>
      </c>
      <c r="BY79" s="201" t="e">
        <f t="shared" si="90"/>
        <v>#REF!</v>
      </c>
      <c r="BZ79" s="202">
        <f t="shared" si="111"/>
        <v>0</v>
      </c>
      <c r="CA79" s="425">
        <v>859</v>
      </c>
      <c r="CB79" s="426" t="e">
        <f t="shared" si="134"/>
        <v>#REF!</v>
      </c>
      <c r="CC79" s="427" t="e">
        <f t="shared" si="137"/>
        <v>#REF!</v>
      </c>
      <c r="CD79" s="429" t="e">
        <f t="shared" si="128"/>
        <v>#REF!</v>
      </c>
      <c r="CE79" s="429">
        <f t="shared" si="50"/>
        <v>0</v>
      </c>
      <c r="CF79" s="277">
        <f>_xlfn.XLOOKUP(B79,'[1]Рассчет акции'!$A:$A,'[1]Рассчет акции'!$R:$R,0)</f>
        <v>0</v>
      </c>
      <c r="CG79" s="360">
        <f>_xlfn.XLOOKUP(B79,'[1]Рассчет акции'!$A:$A,'[1]Рассчет акции'!$M:$M,0)</f>
        <v>1019</v>
      </c>
      <c r="CH79" s="291">
        <f t="shared" si="92"/>
        <v>0</v>
      </c>
      <c r="CI79" s="290" t="e">
        <f t="shared" si="138"/>
        <v>#REF!</v>
      </c>
      <c r="CJ79" s="290" t="e">
        <f t="shared" si="139"/>
        <v>#REF!</v>
      </c>
      <c r="CK79" s="291" t="e">
        <f t="shared" si="129"/>
        <v>#REF!</v>
      </c>
      <c r="CL79" s="203">
        <f>_xlfn.XLOOKUP(B79,'[1]Рассчет акции'!$A:$A,'[1]Рассчет акции'!$W:$W,0)</f>
        <v>27</v>
      </c>
      <c r="CM79" s="424">
        <f>_xlfn.XLOOKUP(B79,'[1]Рассчет акции'!$A:$A,'[1]Рассчет акции'!$X:$X,0)</f>
        <v>189</v>
      </c>
      <c r="CN79" s="294" t="e">
        <f t="shared" si="130"/>
        <v>#REF!</v>
      </c>
      <c r="CO79" s="433">
        <f t="shared" si="135"/>
        <v>773.1</v>
      </c>
      <c r="CP79" s="507">
        <f>_xlfn.XLOOKUP(B79,'[1]Рассчет акции'!$A:$A,'[1]Рассчет акции'!$Z:$Z,0)</f>
        <v>0</v>
      </c>
    </row>
    <row r="80" spans="1:94" ht="24.95" customHeight="1" x14ac:dyDescent="0.25">
      <c r="A80" s="168">
        <v>273551028</v>
      </c>
      <c r="B80" s="170"/>
      <c r="C80" s="168" t="s">
        <v>174</v>
      </c>
      <c r="D80" s="169" t="s">
        <v>184</v>
      </c>
      <c r="E80" s="170">
        <v>2041533587000</v>
      </c>
      <c r="F80" s="284">
        <f t="shared" si="112"/>
        <v>257</v>
      </c>
      <c r="G80" s="147">
        <f t="shared" si="58"/>
        <v>0.2992199324717662</v>
      </c>
      <c r="H80" s="439">
        <f>IF(_xlfn.XLOOKUP($C80,'Юнит Карго'!$A:$A,'Юнит Карго'!$G:$G)=0,_xlfn.XLOOKUP(E80,'Себес 1С текущ'!G:G,'Себес 1С текущ'!H:H),_xlfn.XLOOKUP($C80,'Юнит Карго'!$A:$A,'Юнит Карго'!$P:$P,0,0))</f>
        <v>235</v>
      </c>
      <c r="I80" s="268">
        <v>14</v>
      </c>
      <c r="J80" s="269">
        <f t="shared" si="140"/>
        <v>8</v>
      </c>
      <c r="K80" s="273">
        <f t="shared" si="60"/>
        <v>0.57599999999999996</v>
      </c>
      <c r="L80" s="146">
        <v>16</v>
      </c>
      <c r="M80" s="146">
        <v>12</v>
      </c>
      <c r="N80" s="146">
        <v>3</v>
      </c>
      <c r="O80" s="150">
        <f>_xlfn.XLOOKUP($C80,'Юнит Карго'!$A:$A,'Юнит Карго'!$T:$T,0,0)</f>
        <v>0.2</v>
      </c>
      <c r="P80" s="127"/>
      <c r="Q80" s="146"/>
      <c r="R80" s="292"/>
      <c r="S80" s="285">
        <f t="shared" si="136"/>
        <v>858.90000000000009</v>
      </c>
      <c r="T80" s="286" t="str">
        <f>_xlfn.XLOOKUP(E80,'[2]Рассчет акции'!$D:$D,'[2]Рассчет акции'!$G:$G,0)</f>
        <v>1227</v>
      </c>
      <c r="U80" s="417">
        <f>_xlfn.XLOOKUP(E80,'[2]Рассчет акции'!$D:$D,'[2]Рассчет акции'!$F:$F,0)</f>
        <v>0.3</v>
      </c>
      <c r="V80" s="235">
        <f t="shared" si="40"/>
        <v>417.68192000000005</v>
      </c>
      <c r="W80" s="288">
        <f t="shared" si="61"/>
        <v>0.4862986610781232</v>
      </c>
      <c r="X80" s="289">
        <f>IF(K80&gt;1,('Тарифы ВБ'!$B$9+(K80-1)*'Тарифы ВБ'!$B$10)*'Тарифы ВБ'!$B$15*'Тарифы ВБ'!$B$12+S80*'Тарифы ВБ'!$B$13,'Тарифы ВБ'!$B$8*'Тарифы ВБ'!$B$15*'Тарифы ВБ'!$B$12+S80*'Тарифы ВБ'!$B$13)</f>
        <v>74.539420000000007</v>
      </c>
      <c r="Y80" s="289">
        <f>IF(K80&gt;1,'Тарифы ВБ'!$B$9+(K80-1)*'Тарифы ВБ'!$B$10,'Тарифы ВБ'!$B$8)</f>
        <v>32</v>
      </c>
      <c r="Z80" s="289">
        <f t="shared" si="131"/>
        <v>106.53942000000001</v>
      </c>
      <c r="AA80" s="236">
        <f t="shared" si="132"/>
        <v>0.12404170450576318</v>
      </c>
      <c r="AB80" s="237">
        <f>IF(K80&gt;1,'Тарифы ВБ'!$B$14*'Тарифы ВБ'!$B$16*'Тарифы ВБ'!$B$15+(K80-1)*'Тарифы ВБ'!$B$14,'Тарифы ВБ'!$B$14*'Тарифы ВБ'!B$16*'Тарифы ВБ'!$B$15)</f>
        <v>32</v>
      </c>
      <c r="AC80" s="287">
        <f t="shared" si="113"/>
        <v>138.53942000000001</v>
      </c>
      <c r="AD80" s="240">
        <f t="shared" si="114"/>
        <v>0.16129866107812318</v>
      </c>
      <c r="AE80" s="241">
        <v>0.29499999999999998</v>
      </c>
      <c r="AF80" s="289">
        <f t="shared" si="115"/>
        <v>253.37550000000002</v>
      </c>
      <c r="AG80" s="364">
        <f t="shared" si="116"/>
        <v>0</v>
      </c>
      <c r="AH80" s="364">
        <f t="shared" si="117"/>
        <v>25.767000000000003</v>
      </c>
      <c r="AI80" s="149">
        <f t="shared" si="118"/>
        <v>674.68191999999999</v>
      </c>
      <c r="AJ80" s="447">
        <f t="shared" si="119"/>
        <v>0.14448140645011068</v>
      </c>
      <c r="AK80" s="450">
        <f t="shared" si="120"/>
        <v>184.2180800000001</v>
      </c>
      <c r="AL80" s="450">
        <f t="shared" si="121"/>
        <v>124.09508000000008</v>
      </c>
      <c r="AM80" s="447">
        <f t="shared" si="122"/>
        <v>0.5280641702127663</v>
      </c>
      <c r="AN80" s="458">
        <v>0</v>
      </c>
      <c r="AO80" s="459">
        <f t="shared" si="72"/>
        <v>-674.68191999999999</v>
      </c>
      <c r="AP80" s="459">
        <f t="shared" si="73"/>
        <v>-674.68191999999999</v>
      </c>
      <c r="AQ80" s="463">
        <f t="shared" si="123"/>
        <v>-2.8709868936170211</v>
      </c>
      <c r="AR80" s="464" t="e">
        <f t="shared" si="75"/>
        <v>#DIV/0!</v>
      </c>
      <c r="AS80" s="487">
        <f>IFERROR(_xlfn.XLOOKUP(A80,'[2]Рассчет акции'!$A:$A,'[2]Рассчет акции'!$BH:$BH),0)</f>
        <v>0</v>
      </c>
      <c r="AT80" s="487">
        <f>IFERROR(_xlfn.XLOOKUP($A80,'[2]Рассчет акции'!$A:$A,'[2]Рассчет акции'!$BC:$BC),0)</f>
        <v>0</v>
      </c>
      <c r="AU80" s="409">
        <f t="shared" si="76"/>
        <v>0</v>
      </c>
      <c r="AV80" s="407">
        <f t="shared" si="77"/>
        <v>-674.68191999999999</v>
      </c>
      <c r="AW80" s="407">
        <f t="shared" si="78"/>
        <v>-674.68191999999999</v>
      </c>
      <c r="AX80" s="409">
        <f t="shared" si="124"/>
        <v>-2.8709868936170211</v>
      </c>
      <c r="AY80" s="293">
        <f>IFERROR(_xlfn.XLOOKUP(E80,'[2]Рассчет акции'!$D:$D,'[2]Рассчет акции'!$BM:$BM),0)</f>
        <v>0</v>
      </c>
      <c r="AZ80" s="203">
        <f>IFERROR(_xlfn.XLOOKUP(E80,'[2]Рассчет акции'!$D:$D,'[2]Рассчет акции'!$BN:$BN),0)</f>
        <v>1</v>
      </c>
      <c r="BA80" s="294">
        <f t="shared" si="125"/>
        <v>3.6548936170212771</v>
      </c>
      <c r="BB80" s="292"/>
      <c r="BC80" s="497" t="e">
        <f xml:space="preserve"> _xlfn.XLOOKUP(B80,#REF!,#REF!,0)</f>
        <v>#REF!</v>
      </c>
      <c r="BD80" s="500" t="e">
        <f t="shared" si="52"/>
        <v>#REF!</v>
      </c>
      <c r="BE80" s="501">
        <f>_xlfn.XLOOKUP($B80,'[1]Рассчет акции'!$A:$A,'[1]Рассчет акции'!$J:$J)</f>
        <v>0</v>
      </c>
      <c r="BF80" s="191" t="e">
        <f t="shared" si="133"/>
        <v>#REF!</v>
      </c>
      <c r="BG80" s="192">
        <f t="shared" si="81"/>
        <v>0</v>
      </c>
      <c r="BH80" s="193">
        <v>0.4</v>
      </c>
      <c r="BI80" s="194" t="e">
        <f t="shared" si="82"/>
        <v>#REF!</v>
      </c>
      <c r="BJ80" s="195" t="e">
        <f t="shared" si="45"/>
        <v>#REF!</v>
      </c>
      <c r="BK80" s="422">
        <f t="shared" si="126"/>
        <v>0</v>
      </c>
      <c r="BL80" s="196">
        <f>(IF(K80&gt;$BL$3,('Тарифы ОЗОН'!$G$3+ROUNDUP(K80-$BL$3,0)*'Тарифы ОЗОН'!$G$4),'Тарифы ОЗОН'!$G$3))</f>
        <v>46.77</v>
      </c>
      <c r="BM80" s="196">
        <f t="shared" si="84"/>
        <v>35</v>
      </c>
      <c r="BN80" s="197">
        <f>_xlfn.XLOOKUP(BM80,'Тарифы ОЗОН'!$A:$A,'Тарифы ОЗОН'!$B:$B)</f>
        <v>1.32</v>
      </c>
      <c r="BO80" s="198">
        <f>_xlfn.XLOOKUP(BM80,'Тарифы ОЗОН'!$A:$A,'Тарифы ОЗОН'!C:C)</f>
        <v>1.6E-2</v>
      </c>
      <c r="BP80" s="199">
        <f t="shared" si="85"/>
        <v>25</v>
      </c>
      <c r="BQ80" s="199" t="e">
        <f t="shared" si="46"/>
        <v>#REF!</v>
      </c>
      <c r="BR80" s="359">
        <f t="shared" si="47"/>
        <v>0.85</v>
      </c>
      <c r="BS80" s="199" t="e">
        <f t="shared" si="48"/>
        <v>#REF!</v>
      </c>
      <c r="BT80" s="200">
        <f t="shared" si="86"/>
        <v>0</v>
      </c>
      <c r="BU80" s="262" t="e">
        <f t="shared" si="30"/>
        <v>#REF!</v>
      </c>
      <c r="BV80" s="149" t="e">
        <f t="shared" si="127"/>
        <v>#REF!</v>
      </c>
      <c r="BW80" s="291">
        <f t="shared" si="88"/>
        <v>0</v>
      </c>
      <c r="BX80" s="201">
        <f t="shared" si="89"/>
        <v>0</v>
      </c>
      <c r="BY80" s="201" t="e">
        <f t="shared" si="90"/>
        <v>#REF!</v>
      </c>
      <c r="BZ80" s="202">
        <f t="shared" si="111"/>
        <v>0</v>
      </c>
      <c r="CA80" s="425">
        <v>0</v>
      </c>
      <c r="CB80" s="426" t="e">
        <f t="shared" si="134"/>
        <v>#REF!</v>
      </c>
      <c r="CC80" s="427" t="e">
        <f t="shared" si="137"/>
        <v>#REF!</v>
      </c>
      <c r="CD80" s="429" t="e">
        <f t="shared" si="128"/>
        <v>#REF!</v>
      </c>
      <c r="CE80" s="429">
        <f t="shared" si="50"/>
        <v>0</v>
      </c>
      <c r="CF80" s="277">
        <f>_xlfn.XLOOKUP(B80,'[1]Рассчет акции'!$A:$A,'[1]Рассчет акции'!$R:$R,0)</f>
        <v>0</v>
      </c>
      <c r="CG80" s="360">
        <f>_xlfn.XLOOKUP(B80,'[1]Рассчет акции'!$A:$A,'[1]Рассчет акции'!$M:$M,0)</f>
        <v>0</v>
      </c>
      <c r="CH80" s="291">
        <f t="shared" si="92"/>
        <v>0</v>
      </c>
      <c r="CI80" s="290" t="e">
        <f t="shared" si="138"/>
        <v>#REF!</v>
      </c>
      <c r="CJ80" s="290" t="e">
        <f t="shared" si="139"/>
        <v>#REF!</v>
      </c>
      <c r="CK80" s="291" t="e">
        <f t="shared" si="129"/>
        <v>#REF!</v>
      </c>
      <c r="CL80" s="203">
        <f>_xlfn.XLOOKUP(B80,'[1]Рассчет акции'!$A:$A,'[1]Рассчет акции'!$W:$W,0)</f>
        <v>0</v>
      </c>
      <c r="CM80" s="424">
        <f>_xlfn.XLOOKUP(B80,'[1]Рассчет акции'!$A:$A,'[1]Рассчет акции'!$X:$X,0)</f>
        <v>0</v>
      </c>
      <c r="CN80" s="294" t="e">
        <f t="shared" si="130"/>
        <v>#REF!</v>
      </c>
      <c r="CO80" s="433">
        <f t="shared" si="135"/>
        <v>0</v>
      </c>
      <c r="CP80" s="507">
        <f>_xlfn.XLOOKUP(B80,'[1]Рассчет акции'!$A:$A,'[1]Рассчет акции'!$Z:$Z,0)</f>
        <v>0</v>
      </c>
    </row>
    <row r="81" spans="1:94" ht="24.95" customHeight="1" x14ac:dyDescent="0.25">
      <c r="A81" s="168">
        <v>273527791</v>
      </c>
      <c r="B81" s="170">
        <v>2092093001</v>
      </c>
      <c r="C81" s="168" t="s">
        <v>175</v>
      </c>
      <c r="D81" s="169" t="s">
        <v>443</v>
      </c>
      <c r="E81" s="170">
        <v>2041533038113</v>
      </c>
      <c r="F81" s="284">
        <f t="shared" si="112"/>
        <v>149</v>
      </c>
      <c r="G81" s="147">
        <f t="shared" ref="G81:G84" si="141">IFERROR(F81/S81*100%,0)</f>
        <v>0.19058582757738554</v>
      </c>
      <c r="H81" s="439">
        <f>IF(_xlfn.XLOOKUP($C81,'Юнит Карго'!$A:$A,'Юнит Карго'!$G:$G)=0,_xlfn.XLOOKUP(E81,'Себес 1С текущ'!G:G,'Себес 1С текущ'!H:H),_xlfn.XLOOKUP($C81,'Юнит Карго'!$A:$A,'Юнит Карго'!$P:$P,0,0))</f>
        <v>127</v>
      </c>
      <c r="I81" s="268">
        <f>_xlfn.XLOOKUP(E81,[3]ТЗ_ФФ!$D:$D,[3]ТЗ_ФФ!$BG:$BG,0)</f>
        <v>14</v>
      </c>
      <c r="J81" s="269">
        <f t="shared" si="140"/>
        <v>8</v>
      </c>
      <c r="K81" s="273">
        <f t="shared" ref="K81:K84" si="142">(L81*M81*N81)/1000</f>
        <v>0.624</v>
      </c>
      <c r="L81" s="146">
        <v>16</v>
      </c>
      <c r="M81" s="146">
        <v>13</v>
      </c>
      <c r="N81" s="146">
        <v>3</v>
      </c>
      <c r="O81" s="150">
        <f>_xlfn.XLOOKUP($C81,'Юнит Карго'!$A:$A,'Юнит Карго'!$T:$T,0,0)</f>
        <v>0.17</v>
      </c>
      <c r="P81" s="127"/>
      <c r="Q81" s="146"/>
      <c r="R81" s="292"/>
      <c r="S81" s="285">
        <f t="shared" si="136"/>
        <v>781.8</v>
      </c>
      <c r="T81" s="286" t="str">
        <f>_xlfn.XLOOKUP(E81,'[2]Рассчет акции'!$D:$D,'[2]Рассчет акции'!$G:$G,0)</f>
        <v>1303</v>
      </c>
      <c r="U81" s="417">
        <f>_xlfn.XLOOKUP(E81,'[2]Рассчет акции'!$D:$D,'[2]Рассчет акции'!$F:$F,0)</f>
        <v>0.4</v>
      </c>
      <c r="V81" s="235">
        <f t="shared" si="40"/>
        <v>392.02303999999998</v>
      </c>
      <c r="W81" s="288">
        <f t="shared" ref="W81:W84" si="143">IFERROR(V81/S81,0)</f>
        <v>0.50143647991813767</v>
      </c>
      <c r="X81" s="289">
        <f>IF(K81&gt;1,('Тарифы ВБ'!$B$9+(K81-1)*'Тарифы ВБ'!$B$10)*'Тарифы ВБ'!$B$15*'Тарифы ВБ'!$B$12+S81*'Тарифы ВБ'!$B$13,'Тарифы ВБ'!$B$8*'Тарифы ВБ'!$B$15*'Тарифы ВБ'!$B$12+S81*'Тарифы ВБ'!$B$13)</f>
        <v>73.938040000000001</v>
      </c>
      <c r="Y81" s="289">
        <f>IF(K81&gt;1,'Тарифы ВБ'!$B$9+(K81-1)*'Тарифы ВБ'!$B$10,'Тарифы ВБ'!$B$8)</f>
        <v>32</v>
      </c>
      <c r="Z81" s="289">
        <f t="shared" si="131"/>
        <v>105.93804</v>
      </c>
      <c r="AA81" s="236">
        <f t="shared" si="132"/>
        <v>0.13550529547198772</v>
      </c>
      <c r="AB81" s="237">
        <f>IF(K81&gt;1,'Тарифы ВБ'!$B$14*'Тарифы ВБ'!$B$16*'Тарифы ВБ'!$B$15+(K81-1)*'Тарифы ВБ'!$B$14,'Тарифы ВБ'!$B$14*'Тарифы ВБ'!B$16*'Тарифы ВБ'!$B$15)</f>
        <v>32</v>
      </c>
      <c r="AC81" s="287">
        <f t="shared" si="113"/>
        <v>137.93804</v>
      </c>
      <c r="AD81" s="240">
        <f t="shared" si="114"/>
        <v>0.17643647991813763</v>
      </c>
      <c r="AE81" s="241">
        <v>0.29499999999999998</v>
      </c>
      <c r="AF81" s="289">
        <f t="shared" si="115"/>
        <v>230.63099999999997</v>
      </c>
      <c r="AG81" s="364">
        <f t="shared" si="116"/>
        <v>0</v>
      </c>
      <c r="AH81" s="364">
        <f t="shared" si="117"/>
        <v>23.453999999999997</v>
      </c>
      <c r="AI81" s="149">
        <f t="shared" si="118"/>
        <v>541.02304000000004</v>
      </c>
      <c r="AJ81" s="447">
        <f t="shared" si="119"/>
        <v>0.23797769250447676</v>
      </c>
      <c r="AK81" s="450">
        <f t="shared" si="120"/>
        <v>240.77695999999992</v>
      </c>
      <c r="AL81" s="450">
        <f t="shared" si="121"/>
        <v>186.05095999999992</v>
      </c>
      <c r="AM81" s="447">
        <f t="shared" si="122"/>
        <v>1.4649681889763773</v>
      </c>
      <c r="AN81" s="458">
        <v>799</v>
      </c>
      <c r="AO81" s="459">
        <f t="shared" si="72"/>
        <v>257.97695999999996</v>
      </c>
      <c r="AP81" s="459">
        <f t="shared" si="73"/>
        <v>202.04695999999996</v>
      </c>
      <c r="AQ81" s="463">
        <f t="shared" si="123"/>
        <v>1.5909209448818895</v>
      </c>
      <c r="AR81" s="464">
        <f t="shared" si="75"/>
        <v>0.25287479349186476</v>
      </c>
      <c r="AS81" s="487" t="str">
        <f>IFERROR(_xlfn.XLOOKUP(A81,'[2]Рассчет акции'!$A:$A,'[2]Рассчет акции'!$BH:$BH),0)</f>
        <v>*</v>
      </c>
      <c r="AT81" s="487">
        <f>IFERROR(_xlfn.XLOOKUP($A81,'[2]Рассчет акции'!$A:$A,'[2]Рассчет акции'!$BC:$BC),0)</f>
        <v>782</v>
      </c>
      <c r="AU81" s="409">
        <f t="shared" si="76"/>
        <v>0.23815468030690531</v>
      </c>
      <c r="AV81" s="407">
        <f t="shared" si="77"/>
        <v>240.97695999999996</v>
      </c>
      <c r="AW81" s="407">
        <f t="shared" si="78"/>
        <v>186.23695999999995</v>
      </c>
      <c r="AX81" s="409">
        <f t="shared" si="124"/>
        <v>1.4664327559055115</v>
      </c>
      <c r="AY81" s="293">
        <f>IFERROR(_xlfn.XLOOKUP(E81,'[2]Рассчет акции'!$D:$D,'[2]Рассчет акции'!$BM:$BM),0)</f>
        <v>122</v>
      </c>
      <c r="AZ81" s="203">
        <f>IFERROR(_xlfn.XLOOKUP(E81,'[2]Рассчет акции'!$D:$D,'[2]Рассчет акции'!$BN:$BN),0)</f>
        <v>999</v>
      </c>
      <c r="BA81" s="294">
        <f t="shared" si="125"/>
        <v>6.1559055118110235</v>
      </c>
      <c r="BB81" s="292"/>
      <c r="BC81" s="497" t="e">
        <f xml:space="preserve"> _xlfn.XLOOKUP(B81,#REF!,#REF!,0)</f>
        <v>#REF!</v>
      </c>
      <c r="BD81" s="500" t="e">
        <f t="shared" si="52"/>
        <v>#REF!</v>
      </c>
      <c r="BE81" s="501">
        <f>_xlfn.XLOOKUP($B81,'[1]Рассчет акции'!$A:$A,'[1]Рассчет акции'!$J:$J)</f>
        <v>0.3498498498498499</v>
      </c>
      <c r="BF81" s="191" t="e">
        <f t="shared" si="133"/>
        <v>#REF!</v>
      </c>
      <c r="BG81" s="192">
        <f t="shared" ref="BG81:BG84" si="144">IFERROR(BF81/BC81,0)</f>
        <v>0</v>
      </c>
      <c r="BH81" s="193">
        <v>0.4</v>
      </c>
      <c r="BI81" s="194" t="e">
        <f t="shared" ref="BI81:BI84" si="145">BC81*BH81</f>
        <v>#REF!</v>
      </c>
      <c r="BJ81" s="195" t="e">
        <f t="shared" si="45"/>
        <v>#REF!</v>
      </c>
      <c r="BK81" s="422">
        <f t="shared" si="126"/>
        <v>0</v>
      </c>
      <c r="BL81" s="196">
        <f>(IF(K81&gt;$BL$3,('Тарифы ОЗОН'!$G$3+ROUNDUP(K81-$BL$3,0)*'Тарифы ОЗОН'!$G$4),'Тарифы ОЗОН'!$G$3))</f>
        <v>46.77</v>
      </c>
      <c r="BM81" s="196">
        <f t="shared" si="84"/>
        <v>35</v>
      </c>
      <c r="BN81" s="197">
        <f>_xlfn.XLOOKUP(BM81,'Тарифы ОЗОН'!$A:$A,'Тарифы ОЗОН'!$B:$B)</f>
        <v>1.32</v>
      </c>
      <c r="BO81" s="198">
        <f>_xlfn.XLOOKUP(BM81,'Тарифы ОЗОН'!$A:$A,'Тарифы ОЗОН'!C:C)</f>
        <v>1.6E-2</v>
      </c>
      <c r="BP81" s="199">
        <f t="shared" si="85"/>
        <v>25</v>
      </c>
      <c r="BQ81" s="199" t="e">
        <f t="shared" ref="BQ81:BQ84" si="146">BL81*BN81+BC81*BO81+BP81</f>
        <v>#REF!</v>
      </c>
      <c r="BR81" s="359">
        <f t="shared" si="47"/>
        <v>0.85</v>
      </c>
      <c r="BS81" s="199" t="e">
        <f t="shared" si="48"/>
        <v>#REF!</v>
      </c>
      <c r="BT81" s="200">
        <f t="shared" ref="BT81:BT84" si="147">IFERROR(BS81/BC81*100%,0)</f>
        <v>0</v>
      </c>
      <c r="BU81" s="262" t="e">
        <f t="shared" si="30"/>
        <v>#REF!</v>
      </c>
      <c r="BV81" s="149" t="e">
        <f t="shared" si="127"/>
        <v>#REF!</v>
      </c>
      <c r="BW81" s="291">
        <f t="shared" si="88"/>
        <v>0</v>
      </c>
      <c r="BX81" s="201">
        <f t="shared" si="89"/>
        <v>0</v>
      </c>
      <c r="BY81" s="201" t="e">
        <f t="shared" ref="BY81:BY84" si="148">BX81-BC81*7%</f>
        <v>#REF!</v>
      </c>
      <c r="BZ81" s="202">
        <f t="shared" si="111"/>
        <v>0</v>
      </c>
      <c r="CA81" s="425">
        <v>749</v>
      </c>
      <c r="CB81" s="426" t="e">
        <f t="shared" si="134"/>
        <v>#REF!</v>
      </c>
      <c r="CC81" s="427" t="e">
        <f t="shared" si="137"/>
        <v>#REF!</v>
      </c>
      <c r="CD81" s="429" t="e">
        <f t="shared" si="128"/>
        <v>#REF!</v>
      </c>
      <c r="CE81" s="429">
        <f t="shared" si="50"/>
        <v>0</v>
      </c>
      <c r="CF81" s="277">
        <f>_xlfn.XLOOKUP(B81,'[1]Рассчет акции'!$A:$A,'[1]Рассчет акции'!$R:$R,0)</f>
        <v>0</v>
      </c>
      <c r="CG81" s="360">
        <f>_xlfn.XLOOKUP(B81,'[1]Рассчет акции'!$A:$A,'[1]Рассчет акции'!$M:$M,0)</f>
        <v>882</v>
      </c>
      <c r="CH81" s="291">
        <f t="shared" si="92"/>
        <v>0</v>
      </c>
      <c r="CI81" s="290" t="e">
        <f t="shared" si="138"/>
        <v>#REF!</v>
      </c>
      <c r="CJ81" s="290" t="e">
        <f t="shared" si="139"/>
        <v>#REF!</v>
      </c>
      <c r="CK81" s="291" t="e">
        <f t="shared" si="129"/>
        <v>#REF!</v>
      </c>
      <c r="CL81" s="203">
        <f>_xlfn.XLOOKUP(B81,'[1]Рассчет акции'!$A:$A,'[1]Рассчет акции'!$W:$W,0)</f>
        <v>30</v>
      </c>
      <c r="CM81" s="424">
        <f>_xlfn.XLOOKUP(B81,'[1]Рассчет акции'!$A:$A,'[1]Рассчет акции'!$X:$X,0)</f>
        <v>999</v>
      </c>
      <c r="CN81" s="294" t="e">
        <f t="shared" si="130"/>
        <v>#REF!</v>
      </c>
      <c r="CO81" s="433">
        <f t="shared" si="135"/>
        <v>674.1</v>
      </c>
      <c r="CP81" s="507">
        <f>_xlfn.XLOOKUP(B81,'[1]Рассчет акции'!$A:$A,'[1]Рассчет акции'!$Z:$Z,0)</f>
        <v>0</v>
      </c>
    </row>
    <row r="82" spans="1:94" ht="24.95" customHeight="1" x14ac:dyDescent="0.25">
      <c r="A82" s="168">
        <v>327442631</v>
      </c>
      <c r="B82" s="170">
        <v>2087000111</v>
      </c>
      <c r="C82" s="168" t="s">
        <v>286</v>
      </c>
      <c r="D82" s="169" t="s">
        <v>285</v>
      </c>
      <c r="E82" s="170">
        <v>2042777181566</v>
      </c>
      <c r="F82" s="284">
        <f t="shared" si="112"/>
        <v>149</v>
      </c>
      <c r="G82" s="147">
        <f t="shared" si="141"/>
        <v>0.19446619681545288</v>
      </c>
      <c r="H82" s="439">
        <f>IF(_xlfn.XLOOKUP($C82,'Юнит Карго'!$A:$A,'Юнит Карго'!$G:$G)=0,_xlfn.XLOOKUP(E82,'Себес 1С текущ'!G:G,'Себес 1С текущ'!H:H),_xlfn.XLOOKUP($C82,'Юнит Карго'!$A:$A,'Юнит Карго'!$P:$P,0,0))</f>
        <v>127</v>
      </c>
      <c r="I82" s="268">
        <f>_xlfn.XLOOKUP(E82,[3]ТЗ_ФФ!$D:$D,[3]ТЗ_ФФ!$BG:$BG,0)</f>
        <v>14</v>
      </c>
      <c r="J82" s="269">
        <f t="shared" si="140"/>
        <v>8</v>
      </c>
      <c r="K82" s="273">
        <f t="shared" si="142"/>
        <v>0.624</v>
      </c>
      <c r="L82" s="146">
        <v>16</v>
      </c>
      <c r="M82" s="146">
        <v>13</v>
      </c>
      <c r="N82" s="146">
        <v>3</v>
      </c>
      <c r="O82" s="150">
        <v>0.17</v>
      </c>
      <c r="P82" s="127"/>
      <c r="Q82" s="146"/>
      <c r="R82" s="292"/>
      <c r="S82" s="285">
        <f t="shared" si="136"/>
        <v>766.2</v>
      </c>
      <c r="T82" s="286" t="str">
        <f>_xlfn.XLOOKUP(E82,'[2]Рассчет акции'!$D:$D,'[2]Рассчет акции'!$G:$G,0)</f>
        <v>1277</v>
      </c>
      <c r="U82" s="417">
        <f>_xlfn.XLOOKUP(E82,'[2]Рассчет акции'!$D:$D,'[2]Рассчет акции'!$F:$F,0)</f>
        <v>0.4</v>
      </c>
      <c r="V82" s="235">
        <f t="shared" ref="V82:V84" si="149">AC82+AF82+AH82+AG82</f>
        <v>386.83136000000002</v>
      </c>
      <c r="W82" s="288">
        <f t="shared" si="143"/>
        <v>0.50486995562516312</v>
      </c>
      <c r="X82" s="289">
        <f>IF(K82&gt;1,('Тарифы ВБ'!$B$9+(K82-1)*'Тарифы ВБ'!$B$10)*'Тарифы ВБ'!$B$15*'Тарифы ВБ'!$B$12+S82*'Тарифы ВБ'!$B$13,'Тарифы ВБ'!$B$8*'Тарифы ВБ'!$B$15*'Тарифы ВБ'!$B$12+S82*'Тарифы ВБ'!$B$13)</f>
        <v>73.816360000000003</v>
      </c>
      <c r="Y82" s="289">
        <f>IF(K82&gt;1,'Тарифы ВБ'!$B$9+(K82-1)*'Тарифы ВБ'!$B$10,'Тарифы ВБ'!$B$8)</f>
        <v>32</v>
      </c>
      <c r="Z82" s="289">
        <f t="shared" si="131"/>
        <v>105.81636</v>
      </c>
      <c r="AA82" s="236">
        <f t="shared" si="132"/>
        <v>0.13810540328895848</v>
      </c>
      <c r="AB82" s="237">
        <f>IF(K82&gt;1,'Тарифы ВБ'!$B$14*'Тарифы ВБ'!$B$16*'Тарифы ВБ'!$B$15+(K82-1)*'Тарифы ВБ'!$B$14,'Тарифы ВБ'!$B$14*'Тарифы ВБ'!B$16*'Тарифы ВБ'!$B$15)</f>
        <v>32</v>
      </c>
      <c r="AC82" s="287">
        <f t="shared" si="113"/>
        <v>137.81636</v>
      </c>
      <c r="AD82" s="240">
        <f t="shared" si="114"/>
        <v>0.17986995562516314</v>
      </c>
      <c r="AE82" s="241">
        <v>0.29499999999999998</v>
      </c>
      <c r="AF82" s="289">
        <f t="shared" si="115"/>
        <v>226.029</v>
      </c>
      <c r="AG82" s="364">
        <f t="shared" si="116"/>
        <v>0</v>
      </c>
      <c r="AH82" s="364">
        <f t="shared" si="117"/>
        <v>22.986000000000001</v>
      </c>
      <c r="AI82" s="149">
        <f t="shared" si="118"/>
        <v>535.83136000000002</v>
      </c>
      <c r="AJ82" s="447">
        <f t="shared" si="119"/>
        <v>0.23066384755938399</v>
      </c>
      <c r="AK82" s="450">
        <f t="shared" si="120"/>
        <v>230.36864000000003</v>
      </c>
      <c r="AL82" s="450">
        <f t="shared" si="121"/>
        <v>176.73464000000001</v>
      </c>
      <c r="AM82" s="447">
        <f t="shared" si="122"/>
        <v>1.3916113385826772</v>
      </c>
      <c r="AN82" s="458">
        <v>799</v>
      </c>
      <c r="AO82" s="459">
        <f t="shared" si="72"/>
        <v>263.16863999999998</v>
      </c>
      <c r="AP82" s="459">
        <f t="shared" si="73"/>
        <v>207.23863999999998</v>
      </c>
      <c r="AQ82" s="463">
        <f t="shared" si="123"/>
        <v>1.6318003149606297</v>
      </c>
      <c r="AR82" s="464">
        <f t="shared" si="75"/>
        <v>0.25937251564455566</v>
      </c>
      <c r="AS82" s="487" t="str">
        <f>IFERROR(_xlfn.XLOOKUP(A82,'[2]Рассчет акции'!$A:$A,'[2]Рассчет акции'!$BH:$BH),0)</f>
        <v>*</v>
      </c>
      <c r="AT82" s="487">
        <f>IFERROR(_xlfn.XLOOKUP($A82,'[2]Рассчет акции'!$A:$A,'[2]Рассчет акции'!$BC:$BC),0)</f>
        <v>766</v>
      </c>
      <c r="AU82" s="409">
        <f t="shared" si="76"/>
        <v>0.23048125326370755</v>
      </c>
      <c r="AV82" s="407">
        <f t="shared" si="77"/>
        <v>230.16863999999998</v>
      </c>
      <c r="AW82" s="407">
        <f t="shared" si="78"/>
        <v>176.54863999999998</v>
      </c>
      <c r="AX82" s="409">
        <f t="shared" si="124"/>
        <v>1.3901467716535432</v>
      </c>
      <c r="AY82" s="293">
        <f>IFERROR(_xlfn.XLOOKUP(E82,'[2]Рассчет акции'!$D:$D,'[2]Рассчет акции'!$BM:$BM),0)</f>
        <v>82</v>
      </c>
      <c r="AZ82" s="203">
        <f>IFERROR(_xlfn.XLOOKUP(E82,'[2]Рассчет акции'!$D:$D,'[2]Рассчет акции'!$BN:$BN),0)</f>
        <v>999</v>
      </c>
      <c r="BA82" s="294">
        <f t="shared" si="125"/>
        <v>6.0330708661417329</v>
      </c>
      <c r="BB82" s="292"/>
      <c r="BC82" s="497" t="e">
        <f xml:space="preserve"> _xlfn.XLOOKUP(B82,#REF!,#REF!,0)</f>
        <v>#REF!</v>
      </c>
      <c r="BD82" s="500" t="e">
        <f t="shared" ref="BD82:BD84" si="150">BC82/(100%-BE82)</f>
        <v>#REF!</v>
      </c>
      <c r="BE82" s="501">
        <f>_xlfn.XLOOKUP($B82,'[1]Рассчет акции'!$A:$A,'[1]Рассчет акции'!$J:$J)</f>
        <v>0.3498498498498499</v>
      </c>
      <c r="BF82" s="191" t="e">
        <f t="shared" si="133"/>
        <v>#REF!</v>
      </c>
      <c r="BG82" s="192">
        <f t="shared" si="144"/>
        <v>0</v>
      </c>
      <c r="BH82" s="193">
        <v>0.4</v>
      </c>
      <c r="BI82" s="194" t="e">
        <f t="shared" si="145"/>
        <v>#REF!</v>
      </c>
      <c r="BJ82" s="195" t="e">
        <f t="shared" ref="BJ82:BJ84" si="151">BC82*$BJ$3</f>
        <v>#REF!</v>
      </c>
      <c r="BK82" s="422">
        <f t="shared" si="126"/>
        <v>0</v>
      </c>
      <c r="BL82" s="196">
        <f>(IF(K82&gt;$BL$3,('Тарифы ОЗОН'!$G$3+ROUNDUP(K82-$BL$3,0)*'Тарифы ОЗОН'!$G$4),'Тарифы ОЗОН'!$G$3))</f>
        <v>46.77</v>
      </c>
      <c r="BM82" s="196">
        <f t="shared" ref="BM82:BM84" si="152">$BN$3</f>
        <v>35</v>
      </c>
      <c r="BN82" s="197">
        <f>_xlfn.XLOOKUP(BM82,'Тарифы ОЗОН'!$A:$A,'Тарифы ОЗОН'!$B:$B)</f>
        <v>1.32</v>
      </c>
      <c r="BO82" s="198">
        <f>_xlfn.XLOOKUP(BM82,'Тарифы ОЗОН'!$A:$A,'Тарифы ОЗОН'!C:C)</f>
        <v>1.6E-2</v>
      </c>
      <c r="BP82" s="199">
        <f t="shared" ref="BP82:BP84" si="153">$BP$3</f>
        <v>25</v>
      </c>
      <c r="BQ82" s="199" t="e">
        <f t="shared" si="146"/>
        <v>#REF!</v>
      </c>
      <c r="BR82" s="359">
        <f t="shared" ref="BR82:BR84" si="154">$BR$3</f>
        <v>0.85</v>
      </c>
      <c r="BS82" s="199" t="e">
        <f t="shared" ref="BS82:BS84" si="155">(100%/BR82)*BQ82+(100%/BR82-1)*BL82</f>
        <v>#REF!</v>
      </c>
      <c r="BT82" s="200">
        <f t="shared" si="147"/>
        <v>0</v>
      </c>
      <c r="BU82" s="262" t="e">
        <f t="shared" ref="BU82:BU84" si="156">BC82*$BU$3</f>
        <v>#REF!</v>
      </c>
      <c r="BV82" s="149" t="e">
        <f t="shared" si="127"/>
        <v>#REF!</v>
      </c>
      <c r="BW82" s="291">
        <f t="shared" si="88"/>
        <v>0</v>
      </c>
      <c r="BX82" s="201">
        <f t="shared" si="89"/>
        <v>0</v>
      </c>
      <c r="BY82" s="201" t="e">
        <f t="shared" si="148"/>
        <v>#REF!</v>
      </c>
      <c r="BZ82" s="202">
        <f t="shared" si="111"/>
        <v>0</v>
      </c>
      <c r="CA82" s="425">
        <v>749</v>
      </c>
      <c r="CB82" s="426" t="e">
        <f t="shared" si="134"/>
        <v>#REF!</v>
      </c>
      <c r="CC82" s="427" t="e">
        <f t="shared" si="137"/>
        <v>#REF!</v>
      </c>
      <c r="CD82" s="429" t="e">
        <f t="shared" si="128"/>
        <v>#REF!</v>
      </c>
      <c r="CE82" s="429">
        <f t="shared" ref="CE82:CE84" si="157">IFERROR(CC82/CA82,0)</f>
        <v>0</v>
      </c>
      <c r="CF82" s="277">
        <f>_xlfn.XLOOKUP(B82,'[1]Рассчет акции'!$A:$A,'[1]Рассчет акции'!$R:$R,0)</f>
        <v>0</v>
      </c>
      <c r="CG82" s="360">
        <f>_xlfn.XLOOKUP(B82,'[1]Рассчет акции'!$A:$A,'[1]Рассчет акции'!$M:$M,0)</f>
        <v>882</v>
      </c>
      <c r="CH82" s="291">
        <f t="shared" si="92"/>
        <v>0</v>
      </c>
      <c r="CI82" s="290" t="e">
        <f t="shared" si="138"/>
        <v>#REF!</v>
      </c>
      <c r="CJ82" s="290" t="e">
        <f t="shared" si="139"/>
        <v>#REF!</v>
      </c>
      <c r="CK82" s="291" t="e">
        <f t="shared" si="129"/>
        <v>#REF!</v>
      </c>
      <c r="CL82" s="203">
        <f>_xlfn.XLOOKUP(B82,'[1]Рассчет акции'!$A:$A,'[1]Рассчет акции'!$W:$W,0)</f>
        <v>17</v>
      </c>
      <c r="CM82" s="424">
        <f>_xlfn.XLOOKUP(B82,'[1]Рассчет акции'!$A:$A,'[1]Рассчет акции'!$X:$X,0)</f>
        <v>999</v>
      </c>
      <c r="CN82" s="294" t="e">
        <f t="shared" si="130"/>
        <v>#REF!</v>
      </c>
      <c r="CO82" s="433">
        <f t="shared" si="135"/>
        <v>674.1</v>
      </c>
      <c r="CP82" s="507">
        <f>_xlfn.XLOOKUP(B82,'[1]Рассчет акции'!$A:$A,'[1]Рассчет акции'!$Z:$Z,0)</f>
        <v>0</v>
      </c>
    </row>
    <row r="83" spans="1:94" ht="24.95" customHeight="1" x14ac:dyDescent="0.25">
      <c r="A83" s="168">
        <v>340948906</v>
      </c>
      <c r="B83" s="170"/>
      <c r="C83" s="168" t="s">
        <v>307</v>
      </c>
      <c r="D83" s="169" t="s">
        <v>301</v>
      </c>
      <c r="E83" s="170">
        <v>2042988749289</v>
      </c>
      <c r="F83" s="284">
        <f t="shared" si="112"/>
        <v>269</v>
      </c>
      <c r="G83" s="147">
        <f t="shared" si="141"/>
        <v>0.22072700418478705</v>
      </c>
      <c r="H83" s="439">
        <f>IF(_xlfn.XLOOKUP($C83,'Юнит Карго'!$A:$A,'Юнит Карго'!$G:$G)=0,_xlfn.XLOOKUP(E83,'Себес 1С текущ'!G:G,'Себес 1С текущ'!H:H),_xlfn.XLOOKUP($C83,'Юнит Карго'!$A:$A,'Юнит Карго'!$P:$P,0,0))</f>
        <v>247</v>
      </c>
      <c r="I83" s="268">
        <v>14</v>
      </c>
      <c r="J83" s="269">
        <f t="shared" si="140"/>
        <v>8</v>
      </c>
      <c r="K83" s="273">
        <f t="shared" si="142"/>
        <v>0.63</v>
      </c>
      <c r="L83" s="146">
        <v>21</v>
      </c>
      <c r="M83" s="146">
        <v>6</v>
      </c>
      <c r="N83" s="146">
        <v>5</v>
      </c>
      <c r="O83" s="150">
        <f>_xlfn.XLOOKUP($C83,'Юнит Карго'!$A:$A,'Юнит Карго'!$T:$T,0,0)</f>
        <v>0</v>
      </c>
      <c r="P83" s="127"/>
      <c r="Q83" s="146"/>
      <c r="R83" s="292"/>
      <c r="S83" s="285">
        <f t="shared" si="136"/>
        <v>1218.7</v>
      </c>
      <c r="T83" s="286" t="str">
        <f>_xlfn.XLOOKUP(E83,'[2]Рассчет акции'!$D:$D,'[2]Рассчет акции'!$G:$G,0)</f>
        <v>1741</v>
      </c>
      <c r="U83" s="417">
        <f>_xlfn.XLOOKUP(E83,'[2]Рассчет акции'!$D:$D,'[2]Рассчет акции'!$F:$F,0)</f>
        <v>0.3</v>
      </c>
      <c r="V83" s="235">
        <f t="shared" si="149"/>
        <v>537.42336</v>
      </c>
      <c r="W83" s="288">
        <f t="shared" si="143"/>
        <v>0.44098084844506441</v>
      </c>
      <c r="X83" s="289">
        <f>IF(K83&gt;1,('Тарифы ВБ'!$B$9+(K83-1)*'Тарифы ВБ'!$B$10)*'Тарифы ВБ'!$B$15*'Тарифы ВБ'!$B$12+S83*'Тарифы ВБ'!$B$13,'Тарифы ВБ'!$B$8*'Тарифы ВБ'!$B$15*'Тарифы ВБ'!$B$12+S83*'Тарифы ВБ'!$B$13)</f>
        <v>77.345860000000002</v>
      </c>
      <c r="Y83" s="289">
        <f>IF(K83&gt;1,'Тарифы ВБ'!$B$9+(K83-1)*'Тарифы ВБ'!$B$10,'Тарифы ВБ'!$B$8)</f>
        <v>32</v>
      </c>
      <c r="Z83" s="289">
        <f t="shared" si="131"/>
        <v>109.34586</v>
      </c>
      <c r="AA83" s="236">
        <f t="shared" si="132"/>
        <v>8.9723360958398293E-2</v>
      </c>
      <c r="AB83" s="237">
        <f>IF(K83&gt;1,'Тарифы ВБ'!$B$14*'Тарифы ВБ'!$B$16*'Тарифы ВБ'!$B$15+(K83-1)*'Тарифы ВБ'!$B$14,'Тарифы ВБ'!$B$14*'Тарифы ВБ'!B$16*'Тарифы ВБ'!$B$15)</f>
        <v>32</v>
      </c>
      <c r="AC83" s="287">
        <f t="shared" si="113"/>
        <v>141.34586000000002</v>
      </c>
      <c r="AD83" s="240">
        <f t="shared" si="114"/>
        <v>0.11598084844506443</v>
      </c>
      <c r="AE83" s="241">
        <v>0.29499999999999998</v>
      </c>
      <c r="AF83" s="289">
        <f t="shared" si="115"/>
        <v>359.51650000000001</v>
      </c>
      <c r="AG83" s="364">
        <f t="shared" si="116"/>
        <v>0</v>
      </c>
      <c r="AH83" s="364">
        <f t="shared" si="117"/>
        <v>36.561</v>
      </c>
      <c r="AI83" s="149">
        <f t="shared" si="118"/>
        <v>806.42336</v>
      </c>
      <c r="AJ83" s="447">
        <f t="shared" si="119"/>
        <v>0.2682921473701485</v>
      </c>
      <c r="AK83" s="450">
        <f t="shared" si="120"/>
        <v>412.27664000000004</v>
      </c>
      <c r="AL83" s="450">
        <f t="shared" si="121"/>
        <v>326.96764000000002</v>
      </c>
      <c r="AM83" s="447">
        <f t="shared" si="122"/>
        <v>1.3237556275303644</v>
      </c>
      <c r="AN83" s="458">
        <v>1219</v>
      </c>
      <c r="AO83" s="459">
        <f t="shared" si="72"/>
        <v>412.57664</v>
      </c>
      <c r="AP83" s="459">
        <f t="shared" si="73"/>
        <v>327.24663999999996</v>
      </c>
      <c r="AQ83" s="463">
        <f t="shared" si="123"/>
        <v>1.3248851821862346</v>
      </c>
      <c r="AR83" s="464">
        <f t="shared" si="75"/>
        <v>0.26845499589827726</v>
      </c>
      <c r="AS83" s="487">
        <f>IFERROR(_xlfn.XLOOKUP(A83,'[2]Рассчет акции'!$A:$A,'[2]Рассчет акции'!$BH:$BH),0)</f>
        <v>0</v>
      </c>
      <c r="AT83" s="487">
        <f>IFERROR(_xlfn.XLOOKUP($A83,'[2]Рассчет акции'!$A:$A,'[2]Рассчет акции'!$BC:$BC),0)</f>
        <v>0</v>
      </c>
      <c r="AU83" s="409">
        <f t="shared" si="76"/>
        <v>0</v>
      </c>
      <c r="AV83" s="407">
        <f t="shared" si="77"/>
        <v>-806.42336</v>
      </c>
      <c r="AW83" s="407">
        <f t="shared" si="78"/>
        <v>-806.42336</v>
      </c>
      <c r="AX83" s="409">
        <f t="shared" si="124"/>
        <v>-3.2648719028340083</v>
      </c>
      <c r="AY83" s="293">
        <f>IFERROR(_xlfn.XLOOKUP(E83,'[2]Рассчет акции'!$D:$D,'[2]Рассчет акции'!$BM:$BM),0)</f>
        <v>0</v>
      </c>
      <c r="AZ83" s="203">
        <f>IFERROR(_xlfn.XLOOKUP(E83,'[2]Рассчет акции'!$D:$D,'[2]Рассчет акции'!$BN:$BN),0)</f>
        <v>1</v>
      </c>
      <c r="BA83" s="294">
        <f t="shared" si="125"/>
        <v>4.9340080971659921</v>
      </c>
      <c r="BB83" s="292"/>
      <c r="BC83" s="497" t="e">
        <f xml:space="preserve"> _xlfn.XLOOKUP(B83,#REF!,#REF!,0)</f>
        <v>#REF!</v>
      </c>
      <c r="BD83" s="500" t="e">
        <f t="shared" si="150"/>
        <v>#REF!</v>
      </c>
      <c r="BE83" s="501">
        <f>_xlfn.XLOOKUP($B83,'[1]Рассчет акции'!$A:$A,'[1]Рассчет акции'!$J:$J)</f>
        <v>0</v>
      </c>
      <c r="BF83" s="191" t="e">
        <f t="shared" si="133"/>
        <v>#REF!</v>
      </c>
      <c r="BG83" s="192">
        <f t="shared" si="144"/>
        <v>0</v>
      </c>
      <c r="BH83" s="193">
        <v>0.4</v>
      </c>
      <c r="BI83" s="194" t="e">
        <f t="shared" si="145"/>
        <v>#REF!</v>
      </c>
      <c r="BJ83" s="195" t="e">
        <f t="shared" si="151"/>
        <v>#REF!</v>
      </c>
      <c r="BK83" s="422">
        <f t="shared" si="126"/>
        <v>0</v>
      </c>
      <c r="BL83" s="196">
        <f>(IF(K83&gt;$BL$3,('Тарифы ОЗОН'!$G$3+ROUNDUP(K83-$BL$3,0)*'Тарифы ОЗОН'!$G$4),'Тарифы ОЗОН'!$G$3))</f>
        <v>46.77</v>
      </c>
      <c r="BM83" s="196">
        <f t="shared" si="152"/>
        <v>35</v>
      </c>
      <c r="BN83" s="197">
        <f>_xlfn.XLOOKUP(BM83,'Тарифы ОЗОН'!$A:$A,'Тарифы ОЗОН'!$B:$B)</f>
        <v>1.32</v>
      </c>
      <c r="BO83" s="198">
        <f>_xlfn.XLOOKUP(BM83,'Тарифы ОЗОН'!$A:$A,'Тарифы ОЗОН'!C:C)</f>
        <v>1.6E-2</v>
      </c>
      <c r="BP83" s="199">
        <f t="shared" si="153"/>
        <v>25</v>
      </c>
      <c r="BQ83" s="199" t="e">
        <f t="shared" si="146"/>
        <v>#REF!</v>
      </c>
      <c r="BR83" s="359">
        <f t="shared" si="154"/>
        <v>0.85</v>
      </c>
      <c r="BS83" s="199" t="e">
        <f t="shared" si="155"/>
        <v>#REF!</v>
      </c>
      <c r="BT83" s="200">
        <f t="shared" si="147"/>
        <v>0</v>
      </c>
      <c r="BU83" s="262" t="e">
        <f t="shared" si="156"/>
        <v>#REF!</v>
      </c>
      <c r="BV83" s="149" t="e">
        <f t="shared" si="127"/>
        <v>#REF!</v>
      </c>
      <c r="BW83" s="291">
        <f t="shared" si="88"/>
        <v>0</v>
      </c>
      <c r="BX83" s="201">
        <f t="shared" si="89"/>
        <v>0</v>
      </c>
      <c r="BY83" s="201" t="e">
        <f t="shared" si="148"/>
        <v>#REF!</v>
      </c>
      <c r="BZ83" s="202">
        <f t="shared" si="111"/>
        <v>0</v>
      </c>
      <c r="CA83" s="425">
        <v>0</v>
      </c>
      <c r="CB83" s="426" t="e">
        <f t="shared" si="134"/>
        <v>#REF!</v>
      </c>
      <c r="CC83" s="427" t="e">
        <f t="shared" si="137"/>
        <v>#REF!</v>
      </c>
      <c r="CD83" s="429" t="e">
        <f t="shared" si="128"/>
        <v>#REF!</v>
      </c>
      <c r="CE83" s="429">
        <f t="shared" si="157"/>
        <v>0</v>
      </c>
      <c r="CF83" s="277">
        <f>_xlfn.XLOOKUP(B83,'[1]Рассчет акции'!$A:$A,'[1]Рассчет акции'!$R:$R,0)</f>
        <v>0</v>
      </c>
      <c r="CG83" s="360">
        <f>_xlfn.XLOOKUP(B83,'[1]Рассчет акции'!$A:$A,'[1]Рассчет акции'!$M:$M,0)</f>
        <v>0</v>
      </c>
      <c r="CH83" s="291">
        <f t="shared" si="92"/>
        <v>0</v>
      </c>
      <c r="CI83" s="290" t="e">
        <f t="shared" si="138"/>
        <v>#REF!</v>
      </c>
      <c r="CJ83" s="290" t="e">
        <f t="shared" si="139"/>
        <v>#REF!</v>
      </c>
      <c r="CK83" s="291" t="e">
        <f t="shared" si="129"/>
        <v>#REF!</v>
      </c>
      <c r="CL83" s="203">
        <f>_xlfn.XLOOKUP(B83,'[1]Рассчет акции'!$A:$A,'[1]Рассчет акции'!$W:$W,0)</f>
        <v>0</v>
      </c>
      <c r="CM83" s="424">
        <f>_xlfn.XLOOKUP(B83,'[1]Рассчет акции'!$A:$A,'[1]Рассчет акции'!$X:$X,0)</f>
        <v>0</v>
      </c>
      <c r="CN83" s="294" t="e">
        <f t="shared" si="130"/>
        <v>#REF!</v>
      </c>
      <c r="CO83" s="433">
        <f t="shared" si="135"/>
        <v>0</v>
      </c>
      <c r="CP83" s="507">
        <f>_xlfn.XLOOKUP(B83,'[1]Рассчет акции'!$A:$A,'[1]Рассчет акции'!$Z:$Z,0)</f>
        <v>0</v>
      </c>
    </row>
    <row r="84" spans="1:94" ht="24.95" customHeight="1" x14ac:dyDescent="0.25">
      <c r="A84" s="243">
        <v>340802685</v>
      </c>
      <c r="B84" s="244"/>
      <c r="C84" s="243" t="s">
        <v>306</v>
      </c>
      <c r="D84" s="245" t="s">
        <v>300</v>
      </c>
      <c r="E84" s="244">
        <v>2042987041841</v>
      </c>
      <c r="F84" s="125">
        <f t="shared" si="112"/>
        <v>250</v>
      </c>
      <c r="G84" s="246">
        <f t="shared" si="141"/>
        <v>0.24323798404358826</v>
      </c>
      <c r="H84" s="440">
        <f>IF(_xlfn.XLOOKUP($C84,'Юнит Карго'!$A:$A,'Юнит Карго'!$G:$G)=0,_xlfn.XLOOKUP(E84,'Себес 1С текущ'!G:G,'Себес 1С текущ'!H:H),_xlfn.XLOOKUP($C84,'Юнит Карго'!$A:$A,'Юнит Карго'!$P:$P,0,0))</f>
        <v>228</v>
      </c>
      <c r="I84" s="268">
        <v>14</v>
      </c>
      <c r="J84" s="270">
        <f t="shared" si="140"/>
        <v>8</v>
      </c>
      <c r="K84" s="274">
        <f t="shared" si="142"/>
        <v>0.378</v>
      </c>
      <c r="L84" s="249">
        <v>21</v>
      </c>
      <c r="M84" s="249">
        <v>6</v>
      </c>
      <c r="N84" s="249">
        <v>3</v>
      </c>
      <c r="O84" s="247">
        <f>_xlfn.XLOOKUP($C84,'Юнит Карго'!$A:$A,'Юнит Карго'!$T:$T,0,0)</f>
        <v>0</v>
      </c>
      <c r="P84" s="248"/>
      <c r="Q84" s="249"/>
      <c r="R84" s="299"/>
      <c r="S84" s="285">
        <f t="shared" ref="S84" si="158">T84-(T84*U84)</f>
        <v>1027.8</v>
      </c>
      <c r="T84" s="286" t="str">
        <f>_xlfn.XLOOKUP(E84,'[2]Рассчет акции'!$D:$D,'[2]Рассчет акции'!$G:$G,0)</f>
        <v>1713</v>
      </c>
      <c r="U84" s="417">
        <f>_xlfn.XLOOKUP(E84,'[2]Рассчет акции'!$D:$D,'[2]Рассчет акции'!$F:$F,0)</f>
        <v>0.4</v>
      </c>
      <c r="V84" s="235">
        <f t="shared" si="149"/>
        <v>473.89183999999995</v>
      </c>
      <c r="W84" s="297">
        <f t="shared" si="143"/>
        <v>0.46107398326522664</v>
      </c>
      <c r="X84" s="289">
        <f>IF(K84&gt;1,('Тарифы ВБ'!$B$9+(K84-1)*'Тарифы ВБ'!$B$10)*'Тарифы ВБ'!$B$15*'Тарифы ВБ'!$B$12+S84*'Тарифы ВБ'!$B$13,'Тарифы ВБ'!$B$8*'Тарифы ВБ'!$B$15*'Тарифы ВБ'!$B$12+S84*'Тарифы ВБ'!$B$13)</f>
        <v>75.856840000000005</v>
      </c>
      <c r="Y84" s="289">
        <f>IF(K84&gt;1,'Тарифы ВБ'!$B$9+(K84-1)*'Тарифы ВБ'!$B$10,'Тарифы ВБ'!$B$8)</f>
        <v>32</v>
      </c>
      <c r="Z84" s="289">
        <f t="shared" si="131"/>
        <v>107.85684000000001</v>
      </c>
      <c r="AA84" s="236">
        <f t="shared" si="132"/>
        <v>0.10493952130764742</v>
      </c>
      <c r="AB84" s="237">
        <f>IF(K84&gt;1,'Тарифы ВБ'!$B$14*'Тарифы ВБ'!$B$16*'Тарифы ВБ'!$B$15+(K84-1)*'Тарифы ВБ'!$B$14,'Тарифы ВБ'!$B$14*'Тарифы ВБ'!B$16*'Тарифы ВБ'!$B$15)</f>
        <v>32</v>
      </c>
      <c r="AC84" s="296">
        <f t="shared" si="113"/>
        <v>139.85684000000001</v>
      </c>
      <c r="AD84" s="250">
        <f t="shared" si="114"/>
        <v>0.13607398326522671</v>
      </c>
      <c r="AE84" s="241">
        <v>0.29499999999999998</v>
      </c>
      <c r="AF84" s="298">
        <f t="shared" si="115"/>
        <v>303.20099999999996</v>
      </c>
      <c r="AG84" s="364">
        <f t="shared" si="116"/>
        <v>0</v>
      </c>
      <c r="AH84" s="364">
        <f t="shared" si="117"/>
        <v>30.833999999999996</v>
      </c>
      <c r="AI84" s="251">
        <f t="shared" si="118"/>
        <v>723.89184</v>
      </c>
      <c r="AJ84" s="447">
        <f t="shared" si="119"/>
        <v>0.22568803269118501</v>
      </c>
      <c r="AK84" s="451">
        <f t="shared" si="120"/>
        <v>303.90815999999995</v>
      </c>
      <c r="AL84" s="451">
        <f t="shared" si="121"/>
        <v>231.96215999999995</v>
      </c>
      <c r="AM84" s="452">
        <f t="shared" si="122"/>
        <v>1.0173778947368419</v>
      </c>
      <c r="AN84" s="458">
        <v>1049</v>
      </c>
      <c r="AO84" s="465">
        <f t="shared" si="72"/>
        <v>325.10816</v>
      </c>
      <c r="AP84" s="465">
        <f t="shared" si="73"/>
        <v>251.67815999999999</v>
      </c>
      <c r="AQ84" s="466">
        <f t="shared" si="123"/>
        <v>1.1038515789473684</v>
      </c>
      <c r="AR84" s="467">
        <f t="shared" si="75"/>
        <v>0.23992198284080074</v>
      </c>
      <c r="AS84" s="487" t="str">
        <f>IFERROR(_xlfn.XLOOKUP(A84,'[2]Рассчет акции'!$A:$A,'[2]Рассчет акции'!$BH:$BH),0)</f>
        <v>*</v>
      </c>
      <c r="AT84" s="487">
        <f>IFERROR(_xlfn.XLOOKUP($A84,'[2]Рассчет акции'!$A:$A,'[2]Рассчет акции'!$BC:$BC),0)</f>
        <v>1028</v>
      </c>
      <c r="AU84" s="409">
        <f t="shared" si="76"/>
        <v>0.22582505836575875</v>
      </c>
      <c r="AV84" s="488">
        <f t="shared" si="77"/>
        <v>304.10816</v>
      </c>
      <c r="AW84" s="488">
        <f t="shared" si="78"/>
        <v>232.14815999999999</v>
      </c>
      <c r="AX84" s="489">
        <f t="shared" si="124"/>
        <v>1.0181936842105264</v>
      </c>
      <c r="AY84" s="293">
        <f>IFERROR(_xlfn.XLOOKUP(E84,'[2]Рассчет акции'!$D:$D,'[2]Рассчет акции'!$BM:$BM),0)</f>
        <v>19</v>
      </c>
      <c r="AZ84" s="203">
        <f>IFERROR(_xlfn.XLOOKUP(E84,'[2]Рассчет акции'!$D:$D,'[2]Рассчет акции'!$BN:$BN),0)</f>
        <v>999</v>
      </c>
      <c r="BA84" s="300">
        <f t="shared" si="125"/>
        <v>4.507894736842105</v>
      </c>
      <c r="BB84" s="299"/>
      <c r="BC84" s="497" t="e">
        <f xml:space="preserve"> _xlfn.XLOOKUP(B84,#REF!,#REF!,0)</f>
        <v>#REF!</v>
      </c>
      <c r="BD84" s="497" t="e">
        <f t="shared" si="150"/>
        <v>#REF!</v>
      </c>
      <c r="BE84" s="502">
        <f>_xlfn.XLOOKUP($B84,'[1]Рассчет акции'!$A:$A,'[1]Рассчет акции'!$J:$J)</f>
        <v>0</v>
      </c>
      <c r="BF84" s="191" t="e">
        <f t="shared" si="133"/>
        <v>#REF!</v>
      </c>
      <c r="BG84" s="252">
        <f t="shared" si="144"/>
        <v>0</v>
      </c>
      <c r="BH84" s="193">
        <v>0.4</v>
      </c>
      <c r="BI84" s="253" t="e">
        <f t="shared" si="145"/>
        <v>#REF!</v>
      </c>
      <c r="BJ84" s="254" t="e">
        <f t="shared" si="151"/>
        <v>#REF!</v>
      </c>
      <c r="BK84" s="422">
        <f t="shared" si="126"/>
        <v>0</v>
      </c>
      <c r="BL84" s="255">
        <f>(IF(K84&gt;$BL$3,('Тарифы ОЗОН'!$G$3+ROUNDUP(K84-$BL$3,0)*'Тарифы ОЗОН'!$G$4),'Тарифы ОЗОН'!$G$3))</f>
        <v>46.77</v>
      </c>
      <c r="BM84" s="255">
        <f t="shared" si="152"/>
        <v>35</v>
      </c>
      <c r="BN84" s="256">
        <f>_xlfn.XLOOKUP(BM84,'Тарифы ОЗОН'!$A:$A,'Тарифы ОЗОН'!$B:$B)</f>
        <v>1.32</v>
      </c>
      <c r="BO84" s="257">
        <f>_xlfn.XLOOKUP(BM84,'Тарифы ОЗОН'!$A:$A,'Тарифы ОЗОН'!C:C)</f>
        <v>1.6E-2</v>
      </c>
      <c r="BP84" s="258">
        <f t="shared" si="153"/>
        <v>25</v>
      </c>
      <c r="BQ84" s="258" t="e">
        <f t="shared" si="146"/>
        <v>#REF!</v>
      </c>
      <c r="BR84" s="361">
        <f t="shared" si="154"/>
        <v>0.85</v>
      </c>
      <c r="BS84" s="258" t="e">
        <f t="shared" si="155"/>
        <v>#REF!</v>
      </c>
      <c r="BT84" s="259">
        <f t="shared" si="147"/>
        <v>0</v>
      </c>
      <c r="BU84" s="262" t="e">
        <f t="shared" si="156"/>
        <v>#REF!</v>
      </c>
      <c r="BV84" s="251" t="e">
        <f t="shared" si="127"/>
        <v>#REF!</v>
      </c>
      <c r="BW84" s="291">
        <f t="shared" si="88"/>
        <v>0</v>
      </c>
      <c r="BX84" s="260">
        <f t="shared" si="89"/>
        <v>0</v>
      </c>
      <c r="BY84" s="260" t="e">
        <f t="shared" si="148"/>
        <v>#REF!</v>
      </c>
      <c r="BZ84" s="261">
        <f t="shared" si="111"/>
        <v>0</v>
      </c>
      <c r="CA84" s="425">
        <v>0</v>
      </c>
      <c r="CB84" s="426" t="e">
        <f t="shared" si="134"/>
        <v>#REF!</v>
      </c>
      <c r="CC84" s="427" t="e">
        <f t="shared" si="137"/>
        <v>#REF!</v>
      </c>
      <c r="CD84" s="430" t="e">
        <f t="shared" si="128"/>
        <v>#REF!</v>
      </c>
      <c r="CE84" s="429">
        <f t="shared" si="157"/>
        <v>0</v>
      </c>
      <c r="CF84" s="277">
        <f>_xlfn.XLOOKUP(B84,'[1]Рассчет акции'!$A:$A,'[1]Рассчет акции'!$R:$R,0)</f>
        <v>0</v>
      </c>
      <c r="CG84" s="360">
        <f>_xlfn.XLOOKUP(B84,'[1]Рассчет акции'!$A:$A,'[1]Рассчет акции'!$M:$M,0)</f>
        <v>0</v>
      </c>
      <c r="CH84" s="291">
        <f t="shared" si="92"/>
        <v>0</v>
      </c>
      <c r="CI84" s="290" t="e">
        <f t="shared" si="138"/>
        <v>#REF!</v>
      </c>
      <c r="CJ84" s="290" t="e">
        <f t="shared" si="139"/>
        <v>#REF!</v>
      </c>
      <c r="CK84" s="291" t="e">
        <f t="shared" si="129"/>
        <v>#REF!</v>
      </c>
      <c r="CL84" s="203">
        <f>_xlfn.XLOOKUP(B84,'[1]Рассчет акции'!$A:$A,'[1]Рассчет акции'!$W:$W,0)</f>
        <v>0</v>
      </c>
      <c r="CM84" s="424">
        <f>_xlfn.XLOOKUP(B84,'[1]Рассчет акции'!$A:$A,'[1]Рассчет акции'!$X:$X,0)</f>
        <v>0</v>
      </c>
      <c r="CN84" s="300" t="e">
        <f t="shared" si="130"/>
        <v>#REF!</v>
      </c>
      <c r="CO84" s="433">
        <f t="shared" si="135"/>
        <v>0</v>
      </c>
      <c r="CP84" s="507">
        <f>_xlfn.XLOOKUP(B84,'[1]Рассчет акции'!$A:$A,'[1]Рассчет акции'!$Z:$Z,0)</f>
        <v>0</v>
      </c>
    </row>
    <row r="85" spans="1:94" x14ac:dyDescent="0.25">
      <c r="I85" s="268"/>
    </row>
  </sheetData>
  <autoFilter ref="A4:AZ84" xr:uid="{32AC592C-0CCB-4477-93CD-EFD584152C01}"/>
  <dataConsolidate/>
  <mergeCells count="47">
    <mergeCell ref="Z1:AA2"/>
    <mergeCell ref="AY1:AY3"/>
    <mergeCell ref="AC1:AC2"/>
    <mergeCell ref="AN1:AN3"/>
    <mergeCell ref="AR1:AR3"/>
    <mergeCell ref="AE1:AF2"/>
    <mergeCell ref="AS1:AS3"/>
    <mergeCell ref="AT1:AT3"/>
    <mergeCell ref="AI1:AI3"/>
    <mergeCell ref="AJ1:AJ3"/>
    <mergeCell ref="AD1:AD2"/>
    <mergeCell ref="AH1:AH2"/>
    <mergeCell ref="AG1:AG2"/>
    <mergeCell ref="F1:F3"/>
    <mergeCell ref="H1:H3"/>
    <mergeCell ref="I1:I3"/>
    <mergeCell ref="L1:Q1"/>
    <mergeCell ref="G1:G3"/>
    <mergeCell ref="K1:K2"/>
    <mergeCell ref="CP1:CP3"/>
    <mergeCell ref="CO1:CO3"/>
    <mergeCell ref="CN1:CN3"/>
    <mergeCell ref="BW1:BW3"/>
    <mergeCell ref="BV1:BV3"/>
    <mergeCell ref="CL1:CL3"/>
    <mergeCell ref="CA1:CA3"/>
    <mergeCell ref="CB1:CD2"/>
    <mergeCell ref="CE1:CE3"/>
    <mergeCell ref="CF1:CF3"/>
    <mergeCell ref="CG1:CG3"/>
    <mergeCell ref="CH1:CH3"/>
    <mergeCell ref="BH2:BI2"/>
    <mergeCell ref="BL2:BQ2"/>
    <mergeCell ref="CM1:CM3"/>
    <mergeCell ref="V1:V3"/>
    <mergeCell ref="J1:J2"/>
    <mergeCell ref="W1:W3"/>
    <mergeCell ref="BG1:BG3"/>
    <mergeCell ref="S1:S3"/>
    <mergeCell ref="BA1:BA3"/>
    <mergeCell ref="BC1:BC3"/>
    <mergeCell ref="BF1:BF3"/>
    <mergeCell ref="AU1:AU3"/>
    <mergeCell ref="AZ1:AZ3"/>
    <mergeCell ref="AB1:AB3"/>
    <mergeCell ref="Y1:Y3"/>
    <mergeCell ref="X1:X3"/>
  </mergeCells>
  <phoneticPr fontId="1" type="noConversion"/>
  <conditionalFormatting sqref="F1:T1 V1:Z1 AB1:AK1 AN1:AO1 AR1:AV1 AY1:BD1 BF1:BX1 CA1:CI1 CL1:CP1 AC2:AJ2 AN2 AR2:AU2 AY2 BH2:BW2 CA2:CH2 CL2 F2:W3 BA2:BF3 CN2:CP3 AC3:AY3 BH3:CL3 F4:CP1048576">
    <cfRule type="cellIs" dxfId="20" priority="2" operator="equal">
      <formula>0</formula>
    </cfRule>
  </conditionalFormatting>
  <conditionalFormatting sqref="S5:S84">
    <cfRule type="expression" dxfId="19" priority="257">
      <formula>#REF!="*"</formula>
    </cfRule>
  </conditionalFormatting>
  <conditionalFormatting sqref="AJ1:AJ3 BW5:BW84 AJ5:AJ1048576">
    <cfRule type="cellIs" dxfId="18" priority="193" operator="between">
      <formula>0.001</formula>
      <formula>0.1</formula>
    </cfRule>
    <cfRule type="cellIs" dxfId="17" priority="194" operator="lessThan">
      <formula>0</formula>
    </cfRule>
  </conditionalFormatting>
  <conditionalFormatting sqref="AJ5:AJ84 BW5:BW84">
    <cfRule type="cellIs" dxfId="16" priority="195" operator="greaterThan">
      <formula>0.2001</formula>
    </cfRule>
    <cfRule type="cellIs" dxfId="15" priority="196" operator="between">
      <formula>0.1001</formula>
      <formula>0.2</formula>
    </cfRule>
  </conditionalFormatting>
  <conditionalFormatting sqref="AR5:AR84">
    <cfRule type="cellIs" dxfId="14" priority="89" operator="lessThan">
      <formula>0.1</formula>
    </cfRule>
    <cfRule type="cellIs" dxfId="13" priority="99" operator="greaterThan">
      <formula>0.2</formula>
    </cfRule>
  </conditionalFormatting>
  <conditionalFormatting sqref="AS5:AU84">
    <cfRule type="expression" dxfId="12" priority="187">
      <formula>$AS5="*"</formula>
    </cfRule>
  </conditionalFormatting>
  <conditionalFormatting sqref="AZ5:AZ84 CM5:CM84">
    <cfRule type="cellIs" dxfId="11" priority="7" operator="between">
      <formula>0.1</formula>
      <formula>30</formula>
    </cfRule>
  </conditionalFormatting>
  <conditionalFormatting sqref="AZ5:AZ84">
    <cfRule type="cellIs" dxfId="10" priority="4" operator="between">
      <formula>30.1</formula>
      <formula>60</formula>
    </cfRule>
    <cfRule type="cellIs" dxfId="9" priority="5" operator="between">
      <formula>60.1</formula>
      <formula>120</formula>
    </cfRule>
    <cfRule type="cellIs" dxfId="8" priority="6" operator="greaterThan">
      <formula>120.1</formula>
    </cfRule>
  </conditionalFormatting>
  <conditionalFormatting sqref="CF5:CF84">
    <cfRule type="expression" dxfId="7" priority="19">
      <formula>$CF5="*"</formula>
    </cfRule>
  </conditionalFormatting>
  <conditionalFormatting sqref="CM5:CM84">
    <cfRule type="cellIs" dxfId="6" priority="8" operator="between">
      <formula>30.1</formula>
      <formula>60</formula>
    </cfRule>
    <cfRule type="cellIs" dxfId="5" priority="9" operator="between">
      <formula>60</formula>
      <formula>120</formula>
    </cfRule>
    <cfRule type="cellIs" dxfId="4" priority="10" operator="greaterThan">
      <formula>120</formula>
    </cfRule>
  </conditionalFormatting>
  <hyperlinks>
    <hyperlink ref="BH1" r:id="rId1" location="%D0%B8%D0%B7-%D1%87%D0%B5%D0%B3%D0%BE-%D1%81%D0%BA%D0%BB%D0%B0%D0%B4%D1%8B%D0%B2%D0%B0%D0%B5%D1%82%D1%81%D1%8F-%D0%BF%D0%BB%D0%B0%D1%82%D0%B0-%D0%B7%D0%B0-%D0%BF%D1%80%D0%BE%D0%B4%D0%B0%D0%B6%D1%83-%D1%82%D0%BE%D0%B2%D0%B0%D1%80%D0%BE%D0%B2" xr:uid="{F41A29D1-00E4-487B-9BC4-1F75A9640729}"/>
    <hyperlink ref="BS1" r:id="rId2" xr:uid="{50DAD31C-D5F5-4FA5-8A0C-C5C09F0F2EA0}"/>
    <hyperlink ref="BM1" r:id="rId3" xr:uid="{9FE0C42A-38F0-4664-9E1C-6618BB1AA741}"/>
    <hyperlink ref="BR1" r:id="rId4" xr:uid="{EBCE114A-06E7-4941-B9DB-DCE1F121560A}"/>
    <hyperlink ref="BQ1" r:id="rId5" xr:uid="{ABC95BCE-CC51-4EEA-B09B-E72F9FEDDEAD}"/>
    <hyperlink ref="BL1" r:id="rId6" location="fbo" xr:uid="{D2F0F86A-87E6-4346-84EA-B17482C7F075}"/>
  </hyperlinks>
  <pageMargins left="0" right="0" top="0" bottom="0" header="0" footer="0"/>
  <pageSetup paperSize="9" scale="44" fitToHeight="0" orientation="portrait" verticalDpi="300"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8286-1F66-4CCC-8D17-451AC77F962F}">
  <sheetPr codeName="Лист2" filterMode="1">
    <tabColor rgb="FFFFCC99"/>
    <pageSetUpPr fitToPage="1"/>
  </sheetPr>
  <dimension ref="A1:U127"/>
  <sheetViews>
    <sheetView showZeros="0" zoomScaleNormal="100" workbookViewId="0">
      <pane xSplit="6" ySplit="3" topLeftCell="G81" activePane="bottomRight" state="frozen"/>
      <selection pane="topRight" activeCell="B1" sqref="B1"/>
      <selection pane="bottomLeft" activeCell="A2" sqref="A2"/>
      <selection pane="bottomRight" activeCell="V67" sqref="V67"/>
    </sheetView>
  </sheetViews>
  <sheetFormatPr defaultColWidth="8.85546875" defaultRowHeight="12.75" x14ac:dyDescent="0.25"/>
  <cols>
    <col min="1" max="1" width="18.28515625" style="63" customWidth="1"/>
    <col min="2" max="2" width="11.42578125" style="87" customWidth="1"/>
    <col min="3" max="3" width="11.42578125" style="88" customWidth="1"/>
    <col min="4" max="4" width="11.42578125" style="87" customWidth="1"/>
    <col min="5" max="5" width="22.5703125" style="63" customWidth="1"/>
    <col min="6" max="6" width="11.7109375" style="63" customWidth="1"/>
    <col min="7" max="7" width="8.7109375" style="63" customWidth="1"/>
    <col min="8" max="8" width="8.7109375" style="69" customWidth="1"/>
    <col min="9" max="10" width="8.7109375" style="70" customWidth="1"/>
    <col min="11" max="11" width="10.42578125" style="69" bestFit="1" customWidth="1"/>
    <col min="12" max="12" width="10.5703125" style="70" bestFit="1" customWidth="1"/>
    <col min="13" max="15" width="8.7109375" style="70" customWidth="1"/>
    <col min="16" max="16" width="12.140625" style="71" customWidth="1"/>
    <col min="17" max="17" width="8.7109375" style="72" customWidth="1"/>
    <col min="18" max="18" width="8.7109375" style="63" customWidth="1"/>
    <col min="19" max="19" width="8.7109375" style="131" customWidth="1"/>
    <col min="20" max="20" width="8.7109375" style="63" customWidth="1"/>
    <col min="21" max="21" width="8.7109375" style="73" customWidth="1"/>
    <col min="22" max="16384" width="8.85546875" style="63"/>
  </cols>
  <sheetData>
    <row r="1" spans="1:21" ht="54" customHeight="1" x14ac:dyDescent="0.25">
      <c r="A1" s="186"/>
      <c r="B1" s="187" t="s">
        <v>208</v>
      </c>
      <c r="C1" s="121"/>
      <c r="D1" s="365"/>
      <c r="F1" s="90">
        <v>22</v>
      </c>
    </row>
    <row r="2" spans="1:21" s="60" customFormat="1" ht="41.25" customHeight="1" x14ac:dyDescent="0.25">
      <c r="A2" s="108" t="s">
        <v>186</v>
      </c>
      <c r="B2" s="113" t="s">
        <v>311</v>
      </c>
      <c r="C2" s="366" t="s">
        <v>200</v>
      </c>
      <c r="D2" s="113" t="s">
        <v>448</v>
      </c>
      <c r="E2" s="108" t="s">
        <v>0</v>
      </c>
      <c r="F2" s="108" t="s">
        <v>6</v>
      </c>
      <c r="G2" s="122" t="s">
        <v>12</v>
      </c>
      <c r="H2" s="123"/>
      <c r="I2" s="124" t="s">
        <v>11</v>
      </c>
      <c r="J2" s="390"/>
      <c r="K2" s="394"/>
      <c r="L2" s="395" t="s">
        <v>981</v>
      </c>
      <c r="M2" s="396"/>
      <c r="N2" s="391" t="s">
        <v>13</v>
      </c>
      <c r="O2" s="108" t="s">
        <v>982</v>
      </c>
      <c r="P2" s="109" t="s">
        <v>983</v>
      </c>
      <c r="Q2" s="123"/>
      <c r="R2" s="134"/>
      <c r="S2" s="133" t="s">
        <v>123</v>
      </c>
      <c r="T2" s="134"/>
      <c r="U2" s="135"/>
    </row>
    <row r="3" spans="1:21" s="60" customFormat="1" ht="43.5" customHeight="1" x14ac:dyDescent="0.25">
      <c r="A3" s="106"/>
      <c r="B3" s="107"/>
      <c r="C3" s="188" t="s">
        <v>553</v>
      </c>
      <c r="D3" s="107"/>
      <c r="E3" s="108"/>
      <c r="F3" s="108"/>
      <c r="G3" s="109"/>
      <c r="H3" s="110" t="s">
        <v>8</v>
      </c>
      <c r="I3" s="111" t="s">
        <v>9</v>
      </c>
      <c r="J3" s="111" t="s">
        <v>10</v>
      </c>
      <c r="K3" s="392" t="s">
        <v>8</v>
      </c>
      <c r="L3" s="393" t="s">
        <v>9</v>
      </c>
      <c r="M3" s="393" t="s">
        <v>10</v>
      </c>
      <c r="N3" s="111" t="s">
        <v>9</v>
      </c>
      <c r="O3" s="111" t="s">
        <v>9</v>
      </c>
      <c r="P3" s="112"/>
      <c r="Q3" s="113" t="s">
        <v>102</v>
      </c>
      <c r="R3" s="110" t="s">
        <v>3</v>
      </c>
      <c r="S3" s="132" t="s">
        <v>1</v>
      </c>
      <c r="T3" s="110" t="s">
        <v>279</v>
      </c>
      <c r="U3" s="114" t="s">
        <v>2</v>
      </c>
    </row>
    <row r="4" spans="1:21" ht="35.25" hidden="1" customHeight="1" x14ac:dyDescent="0.25">
      <c r="A4" s="66" t="str">
        <f>_xlfn.XLOOKUP('Юнит Карго'!C4,Юнит!A:A,Юнит!C:C)</f>
        <v>ACRF1BN101PN</v>
      </c>
      <c r="B4" s="99">
        <f>IF(A4=0,"нет в продаже",_xlfn.XLOOKUP($A4,Юнит!$C:$C,Юнит!$A:$A,0,0))</f>
        <v>169112569</v>
      </c>
      <c r="C4" s="151">
        <v>169112569</v>
      </c>
      <c r="D4" s="92">
        <f>_xlfn.XLOOKUP(A4,Юнит!C:C,Юнит!B:B)</f>
        <v>0</v>
      </c>
      <c r="E4" s="104" t="str">
        <f>_xlfn.XLOOKUP(A4,Юнит!C:C,Юнит!D:D)</f>
        <v>Бандаж для лица розовый</v>
      </c>
      <c r="F4" s="61"/>
      <c r="G4" s="96">
        <f>_xlfn.XLOOKUP($B4,'[4] Расчет стоимости и веса'!$J:$J,'[4] Расчет стоимости и веса'!$D:$D,0,0)</f>
        <v>0</v>
      </c>
      <c r="H4" s="83">
        <f>_xlfn.XLOOKUP($B4,'[4] Расчет стоимости и веса'!$J:$J,'[4] Расчет стоимости и веса'!$E:$E,0,0)</f>
        <v>5.5</v>
      </c>
      <c r="I4" s="84">
        <f>H4*'Расчет Карго'!$H$5</f>
        <v>66.55</v>
      </c>
      <c r="J4" s="84">
        <f>I4/'Расчет Карго'!$H$3</f>
        <v>0.83187499999999992</v>
      </c>
      <c r="K4" s="83">
        <f>G4*H4</f>
        <v>0</v>
      </c>
      <c r="L4" s="84">
        <f t="shared" ref="L4" si="0">G4*I4</f>
        <v>0</v>
      </c>
      <c r="M4" s="84">
        <f t="shared" ref="M4" si="1">J4*G4</f>
        <v>0</v>
      </c>
      <c r="N4" s="84">
        <f>S4*'Расчет Карго'!$M$4</f>
        <v>16.712450712990382</v>
      </c>
      <c r="O4" s="84">
        <f>I4+N4</f>
        <v>83.262450712990386</v>
      </c>
      <c r="P4" s="85">
        <f>IF(O4=0,_xlfn.XLOOKUP($A4,'Себес 1С текущ'!$B:$B,'Себес 1С текущ'!$E:$E,0,0),O4)</f>
        <v>83.262450712990386</v>
      </c>
      <c r="Q4" s="66">
        <f>_xlfn.XLOOKUP($B4,'[4] Расчет стоимости и веса'!$I:$I,'[4] Расчет стоимости и веса'!$O:$O,0,0)</f>
        <v>500</v>
      </c>
      <c r="R4" s="62" t="s">
        <v>4</v>
      </c>
      <c r="S4" s="83">
        <f>_xlfn.XLOOKUP($B4,'[4] Расчет стоимости и веса'!$J:$J,'[4] Расчет стоимости и веса'!$M:$M,0,0)</f>
        <v>0.04</v>
      </c>
      <c r="T4" s="83">
        <f t="shared" ref="T4:T9" si="2">S4</f>
        <v>0.04</v>
      </c>
      <c r="U4" s="86">
        <f t="shared" ref="U4:U9" si="3">G4*T4</f>
        <v>0</v>
      </c>
    </row>
    <row r="5" spans="1:21" ht="39.950000000000003" customHeight="1" x14ac:dyDescent="0.25">
      <c r="A5" s="66" t="str">
        <f>_xlfn.XLOOKUP('Юнит Карго'!C5,Юнит!A:A,Юнит!C:C)</f>
        <v>ACRF1BN101BC</v>
      </c>
      <c r="B5" s="99">
        <f>IF(A5=0,"нет в продаже",_xlfn.XLOOKUP($A5,Юнит!$C:$C,Юнит!$A:$A,0,0))</f>
        <v>169153168</v>
      </c>
      <c r="C5" s="151">
        <v>169153168</v>
      </c>
      <c r="D5" s="92">
        <f>_xlfn.XLOOKUP(A5,Юнит!C:C,Юнит!B:B)</f>
        <v>2453533282</v>
      </c>
      <c r="E5" s="104" t="str">
        <f>_xlfn.XLOOKUP(A5,Юнит!C:C,Юнит!D:D)</f>
        <v>Бандаж для лица черный</v>
      </c>
      <c r="F5" s="61"/>
      <c r="G5" s="96">
        <f>_xlfn.XLOOKUP($B5,'[4] Расчет стоимости и веса'!$J:$J,'[4] Расчет стоимости и веса'!$D:$D,0,0)</f>
        <v>40</v>
      </c>
      <c r="H5" s="83">
        <f>_xlfn.XLOOKUP($B5,'[4] Расчет стоимости и веса'!$J:$J,'[4] Расчет стоимости и веса'!$E:$E,0,0)</f>
        <v>5.5</v>
      </c>
      <c r="I5" s="84">
        <f>H5*'Расчет Карго'!$H$5</f>
        <v>66.55</v>
      </c>
      <c r="J5" s="84">
        <f>I5/'Расчет Карго'!$H$3</f>
        <v>0.83187499999999992</v>
      </c>
      <c r="K5" s="83">
        <f t="shared" ref="K5:K33" si="4">G5*H5</f>
        <v>220</v>
      </c>
      <c r="L5" s="84">
        <f t="shared" ref="L5:L33" si="5">G5*I5</f>
        <v>2662</v>
      </c>
      <c r="M5" s="84">
        <f t="shared" ref="M5:M33" si="6">J5*G5</f>
        <v>33.274999999999999</v>
      </c>
      <c r="N5" s="84">
        <f>S5*'Расчет Карго'!$M$4</f>
        <v>16.712450712990382</v>
      </c>
      <c r="O5" s="84">
        <f t="shared" ref="O5:O33" si="7">I5+N5</f>
        <v>83.262450712990386</v>
      </c>
      <c r="P5" s="85">
        <f>IF(O5=0,_xlfn.XLOOKUP($A5,'Себес 1С текущ'!$B:$B,'Себес 1С текущ'!$E:$E,0,0),O5)</f>
        <v>83.262450712990386</v>
      </c>
      <c r="Q5" s="66">
        <f>_xlfn.XLOOKUP($B5,'[4] Расчет стоимости и веса'!$I:$I,'[4] Расчет стоимости и веса'!$O:$O,0,0)</f>
        <v>500</v>
      </c>
      <c r="R5" s="62" t="s">
        <v>4</v>
      </c>
      <c r="S5" s="83">
        <f>_xlfn.XLOOKUP($B5,'[4] Расчет стоимости и веса'!$J:$J,'[4] Расчет стоимости и веса'!$M:$M,0,0)</f>
        <v>0.04</v>
      </c>
      <c r="T5" s="83">
        <f t="shared" si="2"/>
        <v>0.04</v>
      </c>
      <c r="U5" s="86">
        <f t="shared" si="3"/>
        <v>1.6</v>
      </c>
    </row>
    <row r="6" spans="1:21" ht="39.950000000000003" customHeight="1" x14ac:dyDescent="0.25">
      <c r="A6" s="66" t="str">
        <f>_xlfn.XLOOKUP('Юнит Карго'!C6,Юнит!A:A,Юнит!C:C)</f>
        <v>ACRF1BN201GR</v>
      </c>
      <c r="B6" s="99">
        <f>IF(A6=0,"нет в продаже",_xlfn.XLOOKUP($A6,Юнит!$C:$C,Юнит!$A:$A,0,0))</f>
        <v>169395410</v>
      </c>
      <c r="C6" s="151">
        <v>169395410</v>
      </c>
      <c r="D6" s="92">
        <f>_xlfn.XLOOKUP(A6,Юнит!C:C,Юнит!B:B)</f>
        <v>2419349210</v>
      </c>
      <c r="E6" s="104" t="str">
        <f>_xlfn.XLOOKUP(A6,Юнит!C:C,Юнит!D:D)</f>
        <v>Бандаж для лица серый</v>
      </c>
      <c r="F6" s="61"/>
      <c r="G6" s="96">
        <f>_xlfn.XLOOKUP($B6,'[4] Расчет стоимости и веса'!$J:$J,'[4] Расчет стоимости и веса'!$D:$D,0,0)</f>
        <v>40</v>
      </c>
      <c r="H6" s="83">
        <f>_xlfn.XLOOKUP($B6,'[4] Расчет стоимости и веса'!$J:$J,'[4] Расчет стоимости и веса'!$E:$E,0,0)</f>
        <v>13.5</v>
      </c>
      <c r="I6" s="84">
        <f>H6*'Расчет Карго'!$H$5</f>
        <v>163.35</v>
      </c>
      <c r="J6" s="84">
        <f>I6/'Расчет Карго'!$H$3</f>
        <v>2.0418750000000001</v>
      </c>
      <c r="K6" s="83">
        <f t="shared" si="4"/>
        <v>540</v>
      </c>
      <c r="L6" s="84">
        <f t="shared" si="5"/>
        <v>6534</v>
      </c>
      <c r="M6" s="84">
        <f t="shared" si="6"/>
        <v>81.675000000000011</v>
      </c>
      <c r="N6" s="84">
        <f>S6*'Расчет Карго'!$M$4</f>
        <v>37.603014104228357</v>
      </c>
      <c r="O6" s="84">
        <f t="shared" si="7"/>
        <v>200.95301410422834</v>
      </c>
      <c r="P6" s="85">
        <f>IF(O6=0,_xlfn.XLOOKUP($A6,'Себес 1С текущ'!$B:$B,'Себес 1С текущ'!$E:$E,0,0),O6)</f>
        <v>200.95301410422834</v>
      </c>
      <c r="Q6" s="66">
        <f>_xlfn.XLOOKUP($B6,'[4] Расчет стоимости и веса'!$I:$I,'[4] Расчет стоимости и веса'!$O:$O,0,0)</f>
        <v>100</v>
      </c>
      <c r="R6" s="62" t="s">
        <v>5</v>
      </c>
      <c r="S6" s="83">
        <f>_xlfn.XLOOKUP($B6,'[4] Расчет стоимости и веса'!$J:$J,'[4] Расчет стоимости и веса'!$M:$M,0,0)</f>
        <v>0.09</v>
      </c>
      <c r="T6" s="83">
        <f t="shared" si="2"/>
        <v>0.09</v>
      </c>
      <c r="U6" s="86">
        <f t="shared" si="3"/>
        <v>3.5999999999999996</v>
      </c>
    </row>
    <row r="7" spans="1:21" ht="39.950000000000003" hidden="1" customHeight="1" x14ac:dyDescent="0.25">
      <c r="A7" s="66" t="str">
        <f>_xlfn.XLOOKUP('Юнит Карго'!C7,Юнит!A:A,Юнит!C:C)</f>
        <v>ACRH1MS101RJ</v>
      </c>
      <c r="B7" s="99">
        <f>IF(A7=0,"нет в продаже",_xlfn.XLOOKUP($A7,Юнит!$C:$C,Юнит!$A:$A,0,0))</f>
        <v>173605843</v>
      </c>
      <c r="C7" s="151">
        <v>173605843</v>
      </c>
      <c r="D7" s="92">
        <f>_xlfn.XLOOKUP(A7,Юнит!C:C,Юнит!B:B)</f>
        <v>1597441701</v>
      </c>
      <c r="E7" s="104" t="str">
        <f>_xlfn.XLOOKUP(A7,Юнит!C:C,Юнит!D:D)</f>
        <v>Массажер для пальцев</v>
      </c>
      <c r="F7" s="66"/>
      <c r="G7" s="96">
        <f>_xlfn.XLOOKUP($B7,'[4] Расчет стоимости и веса'!$J:$J,'[4] Расчет стоимости и веса'!$D:$D,0,0)</f>
        <v>0</v>
      </c>
      <c r="H7" s="83">
        <f>_xlfn.XLOOKUP($B7,'[4] Расчет стоимости и веса'!$J:$J,'[4] Расчет стоимости и веса'!$E:$E,0,0)</f>
        <v>1.8</v>
      </c>
      <c r="I7" s="84">
        <f>H7*'Расчет Карго'!$H$5</f>
        <v>21.78</v>
      </c>
      <c r="J7" s="84">
        <f>I7/'Расчет Карго'!$H$3</f>
        <v>0.27224999999999999</v>
      </c>
      <c r="K7" s="83">
        <f t="shared" si="4"/>
        <v>0</v>
      </c>
      <c r="L7" s="84">
        <f t="shared" si="5"/>
        <v>0</v>
      </c>
      <c r="M7" s="84">
        <f t="shared" si="6"/>
        <v>0</v>
      </c>
      <c r="N7" s="84">
        <f>S7*'Расчет Карго'!$M$4</f>
        <v>16.712450712990382</v>
      </c>
      <c r="O7" s="84">
        <f t="shared" si="7"/>
        <v>38.492450712990383</v>
      </c>
      <c r="P7" s="85">
        <f>IF(O7=0,_xlfn.XLOOKUP($A7,'Себес 1С текущ'!$B:$B,'Себес 1С текущ'!$E:$E,0,0),O7)</f>
        <v>38.492450712990383</v>
      </c>
      <c r="Q7" s="66">
        <f>_xlfn.XLOOKUP($B7,'[4] Расчет стоимости и веса'!$I:$I,'[4] Расчет стоимости и веса'!$O:$O,0,0)</f>
        <v>400</v>
      </c>
      <c r="R7" s="83" t="s">
        <v>158</v>
      </c>
      <c r="S7" s="83">
        <f>_xlfn.XLOOKUP($B7,'[4] Расчет стоимости и веса'!$J:$J,'[4] Расчет стоимости и веса'!$M:$M,0,0)</f>
        <v>0.04</v>
      </c>
      <c r="T7" s="83">
        <f t="shared" si="2"/>
        <v>0.04</v>
      </c>
      <c r="U7" s="86">
        <f t="shared" si="3"/>
        <v>0</v>
      </c>
    </row>
    <row r="8" spans="1:21" ht="39.950000000000003" customHeight="1" x14ac:dyDescent="0.25">
      <c r="A8" s="66" t="str">
        <f>_xlfn.XLOOKUP('Юнит Карго'!C8,Юнит!A:A,Юнит!C:C)</f>
        <v>ACRB1MS101RJ</v>
      </c>
      <c r="B8" s="99">
        <f>IF(A8=0,"нет в продаже",_xlfn.XLOOKUP($A8,Юнит!$C:$C,Юнит!$A:$A,0,0))</f>
        <v>223420736</v>
      </c>
      <c r="C8" s="151">
        <v>223420736</v>
      </c>
      <c r="D8" s="92">
        <f>_xlfn.XLOOKUP(A8,Юнит!C:C,Юнит!B:B)</f>
        <v>2415742732</v>
      </c>
      <c r="E8" s="104" t="str">
        <f>_xlfn.XLOOKUP(A8,Юнит!C:C,Юнит!D:D)</f>
        <v>Массажер для тела оранжевый</v>
      </c>
      <c r="F8" s="96"/>
      <c r="G8" s="96">
        <f>_xlfn.XLOOKUP($B8,'[4] Расчет стоимости и веса'!$J:$J,'[4] Расчет стоимости и веса'!$D:$D,0,0)</f>
        <v>50</v>
      </c>
      <c r="H8" s="83">
        <f>_xlfn.XLOOKUP($B8,'[4] Расчет стоимости и веса'!$J:$J,'[4] Расчет стоимости и веса'!$E:$E,0,0)</f>
        <v>6.3</v>
      </c>
      <c r="I8" s="84">
        <f>H8*'Расчет Карго'!$H$5</f>
        <v>76.22999999999999</v>
      </c>
      <c r="J8" s="84">
        <f>I8/'Расчет Карго'!$H$3</f>
        <v>0.95287499999999992</v>
      </c>
      <c r="K8" s="83">
        <f t="shared" si="4"/>
        <v>315</v>
      </c>
      <c r="L8" s="84">
        <f t="shared" si="5"/>
        <v>3811.4999999999995</v>
      </c>
      <c r="M8" s="84">
        <f t="shared" si="6"/>
        <v>47.643749999999997</v>
      </c>
      <c r="N8" s="84">
        <f>S8*'Расчет Карго'!$M$4</f>
        <v>66.849802851961527</v>
      </c>
      <c r="O8" s="84">
        <f t="shared" si="7"/>
        <v>143.07980285196152</v>
      </c>
      <c r="P8" s="85">
        <f>IF(O8=0,_xlfn.XLOOKUP($A8,'Себес 1С текущ'!$B:$B,'Себес 1С текущ'!$E:$E,0,0),O8)</f>
        <v>143.07980285196152</v>
      </c>
      <c r="Q8" s="66">
        <f>_xlfn.XLOOKUP($B8,'[4] Расчет стоимости и веса'!$I:$I,'[4] Расчет стоимости и веса'!$O:$O,0,0)</f>
        <v>100</v>
      </c>
      <c r="R8" s="98"/>
      <c r="S8" s="83">
        <f>_xlfn.XLOOKUP($B8,'[4] Расчет стоимости и веса'!$J:$J,'[4] Расчет стоимости и веса'!$M:$M,0,0)</f>
        <v>0.16</v>
      </c>
      <c r="T8" s="83">
        <f t="shared" si="2"/>
        <v>0.16</v>
      </c>
      <c r="U8" s="86">
        <f t="shared" si="3"/>
        <v>8</v>
      </c>
    </row>
    <row r="9" spans="1:21" ht="39.950000000000003" customHeight="1" x14ac:dyDescent="0.25">
      <c r="A9" s="66" t="str">
        <f>_xlfn.XLOOKUP('Юнит Карго'!C9,Юнит!A:A,Юнит!C:C)</f>
        <v>ACRB1MS101PN</v>
      </c>
      <c r="B9" s="99">
        <f>IF(A9=0,"нет в продаже",_xlfn.XLOOKUP($A9,Юнит!$C:$C,Юнит!$A:$A,0,0))</f>
        <v>275208801</v>
      </c>
      <c r="C9" s="151">
        <v>275208801</v>
      </c>
      <c r="D9" s="92">
        <f>_xlfn.XLOOKUP(A9,Юнит!C:C,Юнит!B:B)</f>
        <v>2415742511</v>
      </c>
      <c r="E9" s="104" t="str">
        <f>_xlfn.XLOOKUP(A9,Юнит!C:C,Юнит!D:D)</f>
        <v>Массажер для тела розовый</v>
      </c>
      <c r="F9" s="61"/>
      <c r="G9" s="96">
        <f>_xlfn.XLOOKUP($B9,'[4] Расчет стоимости и веса'!$J:$J,'[4] Расчет стоимости и веса'!$D:$D,0,0)</f>
        <v>10</v>
      </c>
      <c r="H9" s="83">
        <f>_xlfn.XLOOKUP($B9,'[4] Расчет стоимости и веса'!$J:$J,'[4] Расчет стоимости и веса'!$E:$E,0,0)</f>
        <v>6.3</v>
      </c>
      <c r="I9" s="84">
        <f>H9*'Расчет Карго'!$H$5</f>
        <v>76.22999999999999</v>
      </c>
      <c r="J9" s="84">
        <f>I9/'Расчет Карго'!$H$3</f>
        <v>0.95287499999999992</v>
      </c>
      <c r="K9" s="83">
        <f t="shared" si="4"/>
        <v>63</v>
      </c>
      <c r="L9" s="84">
        <f t="shared" si="5"/>
        <v>762.3</v>
      </c>
      <c r="M9" s="84">
        <f t="shared" si="6"/>
        <v>9.5287499999999987</v>
      </c>
      <c r="N9" s="84">
        <f>S9*'Расчет Карго'!$M$4</f>
        <v>66.849802851961527</v>
      </c>
      <c r="O9" s="84">
        <f t="shared" si="7"/>
        <v>143.07980285196152</v>
      </c>
      <c r="P9" s="85">
        <f>IF(O9=0,_xlfn.XLOOKUP($A9,'Себес 1С текущ'!$B:$B,'Себес 1С текущ'!$E:$E,0,0),O9)</f>
        <v>143.07980285196152</v>
      </c>
      <c r="Q9" s="66">
        <f>_xlfn.XLOOKUP($B9,'[4] Расчет стоимости и веса'!$I:$I,'[4] Расчет стоимости и веса'!$O:$O,0,0)</f>
        <v>100</v>
      </c>
      <c r="R9" s="62"/>
      <c r="S9" s="83">
        <f>_xlfn.XLOOKUP($B9,'[4] Расчет стоимости и веса'!$J:$J,'[4] Расчет стоимости и веса'!$M:$M,0,0)</f>
        <v>0.16</v>
      </c>
      <c r="T9" s="83">
        <f t="shared" si="2"/>
        <v>0.16</v>
      </c>
      <c r="U9" s="86">
        <f t="shared" si="3"/>
        <v>1.6</v>
      </c>
    </row>
    <row r="10" spans="1:21" ht="39.950000000000003" customHeight="1" x14ac:dyDescent="0.25">
      <c r="A10" s="66" t="str">
        <f>_xlfn.XLOOKUP('Юнит Карго'!C10,Юнит!A:A,Юнит!C:C)</f>
        <v>ACRB1MS101BL</v>
      </c>
      <c r="B10" s="99">
        <f>IF(A10=0,"нет в продаже",_xlfn.XLOOKUP($A10,Юнит!$C:$C,Юнит!$A:$A,0,0))</f>
        <v>275208802</v>
      </c>
      <c r="C10" s="151">
        <v>275208802</v>
      </c>
      <c r="D10" s="92">
        <f>_xlfn.XLOOKUP(A10,Юнит!C:C,Юнит!B:B)</f>
        <v>2415742636</v>
      </c>
      <c r="E10" s="104" t="str">
        <f>_xlfn.XLOOKUP(A10,Юнит!C:C,Юнит!D:D)</f>
        <v>Массажер для тела голубой</v>
      </c>
      <c r="F10" s="61"/>
      <c r="G10" s="96">
        <f>_xlfn.XLOOKUP($B10,'[4] Расчет стоимости и веса'!$J:$J,'[4] Расчет стоимости и веса'!$D:$D,0,0)</f>
        <v>60</v>
      </c>
      <c r="H10" s="83">
        <f>_xlfn.XLOOKUP($B10,'[4] Расчет стоимости и веса'!$J:$J,'[4] Расчет стоимости и веса'!$E:$E,0,0)</f>
        <v>6.3</v>
      </c>
      <c r="I10" s="84">
        <f>H10*'Расчет Карго'!$H$5</f>
        <v>76.22999999999999</v>
      </c>
      <c r="J10" s="84">
        <f>I10/'Расчет Карго'!$H$3</f>
        <v>0.95287499999999992</v>
      </c>
      <c r="K10" s="83">
        <f t="shared" si="4"/>
        <v>378</v>
      </c>
      <c r="L10" s="84">
        <f t="shared" si="5"/>
        <v>4573.7999999999993</v>
      </c>
      <c r="M10" s="84">
        <f t="shared" si="6"/>
        <v>57.172499999999992</v>
      </c>
      <c r="N10" s="84">
        <f>S10*'Расчет Карго'!$M$4</f>
        <v>66.849802851961527</v>
      </c>
      <c r="O10" s="84">
        <f t="shared" si="7"/>
        <v>143.07980285196152</v>
      </c>
      <c r="P10" s="85">
        <f>IF(O10=0,_xlfn.XLOOKUP($A10,'Себес 1С текущ'!$B:$B,'Себес 1С текущ'!$E:$E,0,0),O10)</f>
        <v>143.07980285196152</v>
      </c>
      <c r="Q10" s="66">
        <f>_xlfn.XLOOKUP($B10,'[4] Расчет стоимости и веса'!$I:$I,'[4] Расчет стоимости и веса'!$O:$O,0,0)</f>
        <v>100</v>
      </c>
      <c r="R10" s="62"/>
      <c r="S10" s="83">
        <f>_xlfn.XLOOKUP($B10,'[4] Расчет стоимости и веса'!$J:$J,'[4] Расчет стоимости и веса'!$M:$M,0,0)</f>
        <v>0.16</v>
      </c>
      <c r="T10" s="83">
        <f t="shared" ref="T10:T89" si="8">S10</f>
        <v>0.16</v>
      </c>
      <c r="U10" s="86">
        <f t="shared" ref="U10:U89" si="9">G10*T10</f>
        <v>9.6</v>
      </c>
    </row>
    <row r="11" spans="1:21" ht="39.950000000000003" customHeight="1" x14ac:dyDescent="0.25">
      <c r="A11" s="66" t="str">
        <f>_xlfn.XLOOKUP('Юнит Карго'!C11,Юнит!A:A,Юнит!C:C)</f>
        <v>ACRB1MS106WH</v>
      </c>
      <c r="B11" s="99">
        <f>IF(A11=0,"нет в продаже",_xlfn.XLOOKUP($A11,Юнит!$C:$C,Юнит!$A:$A,0,0))</f>
        <v>236072835</v>
      </c>
      <c r="C11" s="151">
        <v>236072835</v>
      </c>
      <c r="D11" s="92">
        <f>_xlfn.XLOOKUP(A11,Юнит!C:C,Юнит!B:B)</f>
        <v>1980924906</v>
      </c>
      <c r="E11" s="104" t="str">
        <f>_xlfn.XLOOKUP(A11,Юнит!C:C,Юнит!D:D)</f>
        <v>Мяч с шипами белый 6 см</v>
      </c>
      <c r="F11" s="61"/>
      <c r="G11" s="96">
        <f>_xlfn.XLOOKUP($B11,'[4] Расчет стоимости и веса'!$J:$J,'[4] Расчет стоимости и веса'!$D:$D,0,0)</f>
        <v>125</v>
      </c>
      <c r="H11" s="83">
        <f>_xlfn.XLOOKUP($B11,'[4] Расчет стоимости и веса'!$J:$J,'[4] Расчет стоимости и веса'!$E:$E,0,0)</f>
        <v>2.9</v>
      </c>
      <c r="I11" s="84">
        <f>H11*'Расчет Карго'!$H$5</f>
        <v>35.089999999999996</v>
      </c>
      <c r="J11" s="84">
        <f>I11/'Расчет Карго'!$H$3</f>
        <v>0.43862499999999993</v>
      </c>
      <c r="K11" s="83">
        <f t="shared" si="4"/>
        <v>362.5</v>
      </c>
      <c r="L11" s="84">
        <f t="shared" si="5"/>
        <v>4386.2499999999991</v>
      </c>
      <c r="M11" s="84">
        <f t="shared" si="6"/>
        <v>54.828124999999993</v>
      </c>
      <c r="N11" s="84">
        <f>S11*'Расчет Карго'!$M$4</f>
        <v>16.712450712990382</v>
      </c>
      <c r="O11" s="84">
        <f t="shared" si="7"/>
        <v>51.802450712990378</v>
      </c>
      <c r="P11" s="85">
        <f>IF(O11=0,_xlfn.XLOOKUP($A11,'Себес 1С текущ'!$B:$B,'Себес 1С текущ'!$E:$E,0,0),O11)</f>
        <v>51.802450712990378</v>
      </c>
      <c r="Q11" s="66">
        <f>_xlfn.XLOOKUP($B11,'[4] Расчет стоимости и веса'!$I:$I,'[4] Расчет стоимости и веса'!$O:$O,0,0)</f>
        <v>400</v>
      </c>
      <c r="R11" s="62"/>
      <c r="S11" s="83">
        <f>_xlfn.XLOOKUP($B11,'[4] Расчет стоимости и веса'!$J:$J,'[4] Расчет стоимости и веса'!$M:$M,0,0)</f>
        <v>0.04</v>
      </c>
      <c r="T11" s="83">
        <f>S11</f>
        <v>0.04</v>
      </c>
      <c r="U11" s="86">
        <f>G11*T11</f>
        <v>5</v>
      </c>
    </row>
    <row r="12" spans="1:21" ht="39.950000000000003" customHeight="1" x14ac:dyDescent="0.25">
      <c r="A12" s="66" t="str">
        <f>_xlfn.XLOOKUP('Юнит Карго'!C12,Юнит!A:A,Юнит!C:C)</f>
        <v>ACRB1MS106PN</v>
      </c>
      <c r="B12" s="99">
        <f>IF(A12=0,"нет в продаже",_xlfn.XLOOKUP($A12,Юнит!$C:$C,Юнит!$A:$A,0,0))</f>
        <v>236072836</v>
      </c>
      <c r="C12" s="151">
        <v>236072836</v>
      </c>
      <c r="D12" s="92">
        <f>_xlfn.XLOOKUP(A12,Юнит!C:C,Юнит!B:B)</f>
        <v>1980925084</v>
      </c>
      <c r="E12" s="104" t="str">
        <f>_xlfn.XLOOKUP(A12,Юнит!C:C,Юнит!D:D)</f>
        <v>Мяч с шипами розовый 6 см</v>
      </c>
      <c r="F12" s="61"/>
      <c r="G12" s="96">
        <f>_xlfn.XLOOKUP($B12,'[4] Расчет стоимости и веса'!$J:$J,'[4] Расчет стоимости и веса'!$D:$D,0,0)</f>
        <v>300</v>
      </c>
      <c r="H12" s="83">
        <f>_xlfn.XLOOKUP($B12,'[4] Расчет стоимости и веса'!$J:$J,'[4] Расчет стоимости и веса'!$E:$E,0,0)</f>
        <v>2.9</v>
      </c>
      <c r="I12" s="84">
        <f>H12*'Расчет Карго'!$H$5</f>
        <v>35.089999999999996</v>
      </c>
      <c r="J12" s="84">
        <f>I12/'Расчет Карго'!$H$3</f>
        <v>0.43862499999999993</v>
      </c>
      <c r="K12" s="83">
        <f t="shared" si="4"/>
        <v>870</v>
      </c>
      <c r="L12" s="84">
        <f t="shared" si="5"/>
        <v>10526.999999999998</v>
      </c>
      <c r="M12" s="84">
        <f t="shared" si="6"/>
        <v>131.58749999999998</v>
      </c>
      <c r="N12" s="84">
        <f>S12*'Расчет Карго'!$M$4</f>
        <v>16.712450712990382</v>
      </c>
      <c r="O12" s="84">
        <f t="shared" si="7"/>
        <v>51.802450712990378</v>
      </c>
      <c r="P12" s="85">
        <f>IF(O12=0,_xlfn.XLOOKUP($A12,'Себес 1С текущ'!$B:$B,'Себес 1С текущ'!$E:$E,0,0),O12)</f>
        <v>51.802450712990378</v>
      </c>
      <c r="Q12" s="66">
        <f>_xlfn.XLOOKUP($B12,'[4] Расчет стоимости и веса'!$I:$I,'[4] Расчет стоимости и веса'!$O:$O,0,0)</f>
        <v>400</v>
      </c>
      <c r="R12" s="62"/>
      <c r="S12" s="83">
        <f>_xlfn.XLOOKUP($B12,'[4] Расчет стоимости и веса'!$J:$J,'[4] Расчет стоимости и веса'!$M:$M,0,0)</f>
        <v>0.04</v>
      </c>
      <c r="T12" s="83">
        <f>S12</f>
        <v>0.04</v>
      </c>
      <c r="U12" s="86">
        <f>G12*T12</f>
        <v>12</v>
      </c>
    </row>
    <row r="13" spans="1:21" ht="39.950000000000003" customHeight="1" x14ac:dyDescent="0.25">
      <c r="A13" s="66" t="str">
        <f>_xlfn.XLOOKUP('Юнит Карго'!C13,Юнит!A:A,Юнит!C:C)</f>
        <v>ACRB1MS106BL</v>
      </c>
      <c r="B13" s="99">
        <f>IF(A13=0,"нет в продаже",_xlfn.XLOOKUP($A13,Юнит!$C:$C,Юнит!$A:$A,0,0))</f>
        <v>236072834</v>
      </c>
      <c r="C13" s="151">
        <v>236072834</v>
      </c>
      <c r="D13" s="92">
        <f>_xlfn.XLOOKUP(A13,Юнит!C:C,Юнит!B:B)</f>
        <v>1980924909</v>
      </c>
      <c r="E13" s="104" t="str">
        <f>_xlfn.XLOOKUP(A13,Юнит!C:C,Юнит!D:D)</f>
        <v>Мяч с шипами голубой 6 см</v>
      </c>
      <c r="F13" s="61"/>
      <c r="G13" s="96">
        <f>_xlfn.XLOOKUP($B13,'[4] Расчет стоимости и веса'!$J:$J,'[4] Расчет стоимости и веса'!$D:$D,0,0)</f>
        <v>120</v>
      </c>
      <c r="H13" s="83">
        <f>_xlfn.XLOOKUP($B13,'[4] Расчет стоимости и веса'!$J:$J,'[4] Расчет стоимости и веса'!$E:$E,0,0)</f>
        <v>2.9</v>
      </c>
      <c r="I13" s="84">
        <f>H13*'Расчет Карго'!$H$5</f>
        <v>35.089999999999996</v>
      </c>
      <c r="J13" s="84">
        <f>I13/'Расчет Карго'!$H$3</f>
        <v>0.43862499999999993</v>
      </c>
      <c r="K13" s="83">
        <f t="shared" si="4"/>
        <v>348</v>
      </c>
      <c r="L13" s="84">
        <f t="shared" si="5"/>
        <v>4210.7999999999993</v>
      </c>
      <c r="M13" s="84">
        <f t="shared" si="6"/>
        <v>52.634999999999991</v>
      </c>
      <c r="N13" s="84">
        <f>S13*'Расчет Карго'!$M$4</f>
        <v>16.712450712990382</v>
      </c>
      <c r="O13" s="84">
        <f t="shared" si="7"/>
        <v>51.802450712990378</v>
      </c>
      <c r="P13" s="85">
        <f>IF(O13=0,_xlfn.XLOOKUP($A13,'Себес 1С текущ'!$B:$B,'Себес 1С текущ'!$E:$E,0,0),O13)</f>
        <v>51.802450712990378</v>
      </c>
      <c r="Q13" s="66">
        <f>_xlfn.XLOOKUP($B13,'[4] Расчет стоимости и веса'!$I:$I,'[4] Расчет стоимости и веса'!$O:$O,0,0)</f>
        <v>400</v>
      </c>
      <c r="R13" s="62"/>
      <c r="S13" s="83">
        <f>_xlfn.XLOOKUP($B13,'[4] Расчет стоимости и веса'!$J:$J,'[4] Расчет стоимости и веса'!$M:$M,0,0)</f>
        <v>0.04</v>
      </c>
      <c r="T13" s="83">
        <f t="shared" si="8"/>
        <v>0.04</v>
      </c>
      <c r="U13" s="86">
        <f t="shared" si="9"/>
        <v>4.8</v>
      </c>
    </row>
    <row r="14" spans="1:21" ht="39.950000000000003" customHeight="1" x14ac:dyDescent="0.25">
      <c r="A14" s="66" t="str">
        <f>_xlfn.XLOOKUP('Юнит Карго'!C14,Юнит!A:A,Юнит!C:C)</f>
        <v>ACRB1MS106RJ</v>
      </c>
      <c r="B14" s="99">
        <f>IF(A14=0,"нет в продаже",_xlfn.XLOOKUP($A14,Юнит!$C:$C,Юнит!$A:$A,0,0))</f>
        <v>223671295</v>
      </c>
      <c r="C14" s="151">
        <v>223671295</v>
      </c>
      <c r="D14" s="92">
        <f>_xlfn.XLOOKUP(A14,Юнит!C:C,Юнит!B:B)</f>
        <v>1980924947</v>
      </c>
      <c r="E14" s="104" t="str">
        <f>_xlfn.XLOOKUP(A14,Юнит!C:C,Юнит!D:D)</f>
        <v>Мяч с шипами оранжевый 6 см</v>
      </c>
      <c r="F14" s="61"/>
      <c r="G14" s="96">
        <f>_xlfn.XLOOKUP($B14,'[4] Расчет стоимости и веса'!$J:$J,'[4] Расчет стоимости и веса'!$D:$D,0,0)</f>
        <v>20</v>
      </c>
      <c r="H14" s="83">
        <f>_xlfn.XLOOKUP($B14,'[4] Расчет стоимости и веса'!$J:$J,'[4] Расчет стоимости и веса'!$E:$E,0,0)</f>
        <v>2.9</v>
      </c>
      <c r="I14" s="84">
        <f>H14*'Расчет Карго'!$H$5</f>
        <v>35.089999999999996</v>
      </c>
      <c r="J14" s="84">
        <f>I14/'Расчет Карго'!$H$3</f>
        <v>0.43862499999999993</v>
      </c>
      <c r="K14" s="83">
        <f t="shared" si="4"/>
        <v>58</v>
      </c>
      <c r="L14" s="84">
        <f t="shared" si="5"/>
        <v>701.8</v>
      </c>
      <c r="M14" s="84">
        <f t="shared" si="6"/>
        <v>8.7724999999999991</v>
      </c>
      <c r="N14" s="84">
        <f>S14*'Расчет Карго'!$M$4</f>
        <v>16.712450712990382</v>
      </c>
      <c r="O14" s="84">
        <f t="shared" si="7"/>
        <v>51.802450712990378</v>
      </c>
      <c r="P14" s="85">
        <f>IF(O14=0,_xlfn.XLOOKUP($A14,'Себес 1С текущ'!$B:$B,'Себес 1С текущ'!$E:$E,0,0),O14)</f>
        <v>51.802450712990378</v>
      </c>
      <c r="Q14" s="66">
        <f>_xlfn.XLOOKUP($B14,'[4] Расчет стоимости и веса'!$I:$I,'[4] Расчет стоимости и веса'!$O:$O,0,0)</f>
        <v>400</v>
      </c>
      <c r="R14" s="62"/>
      <c r="S14" s="83">
        <f>_xlfn.XLOOKUP($B14,'[4] Расчет стоимости и веса'!$J:$J,'[4] Расчет стоимости и веса'!$M:$M,0,0)</f>
        <v>0.04</v>
      </c>
      <c r="T14" s="83">
        <f>S14</f>
        <v>0.04</v>
      </c>
      <c r="U14" s="86">
        <f>G14*T14</f>
        <v>0.8</v>
      </c>
    </row>
    <row r="15" spans="1:21" ht="39.950000000000003" customHeight="1" x14ac:dyDescent="0.25">
      <c r="A15" s="66" t="str">
        <f>_xlfn.XLOOKUP('Юнит Карго'!C15,Юнит!A:A,Юнит!C:C)</f>
        <v>ACRB1MS106BС</v>
      </c>
      <c r="B15" s="99">
        <f>IF(A15=0,"нет в продаже",_xlfn.XLOOKUP($A15,Юнит!$C:$C,Юнит!$A:$A,0,0))</f>
        <v>370591238</v>
      </c>
      <c r="C15" s="151">
        <v>370591238</v>
      </c>
      <c r="D15" s="92">
        <f>_xlfn.XLOOKUP(A15,Юнит!C:C,Юнит!B:B)</f>
        <v>1980924996</v>
      </c>
      <c r="E15" s="104" t="str">
        <f>_xlfn.XLOOKUP(A15,Юнит!C:C,Юнит!D:D)</f>
        <v>Мяч с шипами черный 6 см</v>
      </c>
      <c r="F15" s="61"/>
      <c r="G15" s="96">
        <f>_xlfn.XLOOKUP($B15,'[4] Расчет стоимости и веса'!$J:$J,'[4] Расчет стоимости и веса'!$D:$D,0,0)</f>
        <v>250</v>
      </c>
      <c r="H15" s="83">
        <f>_xlfn.XLOOKUP($B15,'[4] Расчет стоимости и веса'!$J:$J,'[4] Расчет стоимости и веса'!$E:$E,0,0)</f>
        <v>1.9</v>
      </c>
      <c r="I15" s="84">
        <f>H15*'Расчет Карго'!$H$5</f>
        <v>22.99</v>
      </c>
      <c r="J15" s="84">
        <f>I15/'Расчет Карго'!$H$3</f>
        <v>0.28737499999999999</v>
      </c>
      <c r="K15" s="83">
        <f>G15*H15</f>
        <v>475</v>
      </c>
      <c r="L15" s="84">
        <f t="shared" si="5"/>
        <v>5747.5</v>
      </c>
      <c r="M15" s="84">
        <f t="shared" si="6"/>
        <v>71.84375</v>
      </c>
      <c r="N15" s="84">
        <f>S15*'Расчет Карго'!$M$4</f>
        <v>16.712450712990382</v>
      </c>
      <c r="O15" s="84">
        <f t="shared" si="7"/>
        <v>39.702450712990384</v>
      </c>
      <c r="P15" s="85">
        <f>IF(O15=0,_xlfn.XLOOKUP($A15,'Себес 1С текущ'!$B:$B,'Себес 1С текущ'!$E:$E,0,0),O15)</f>
        <v>39.702450712990384</v>
      </c>
      <c r="Q15" s="66">
        <f>_xlfn.XLOOKUP($B15,'[4] Расчет стоимости и веса'!$I:$I,'[4] Расчет стоимости и веса'!$O:$O,0,0)</f>
        <v>450</v>
      </c>
      <c r="R15" s="62"/>
      <c r="S15" s="83">
        <f>_xlfn.XLOOKUP($B15,'[4] Расчет стоимости и веса'!$J:$J,'[4] Расчет стоимости и веса'!$M:$M,0,0)</f>
        <v>0.04</v>
      </c>
      <c r="T15" s="83">
        <f t="shared" si="8"/>
        <v>0.04</v>
      </c>
      <c r="U15" s="86">
        <f t="shared" si="9"/>
        <v>10</v>
      </c>
    </row>
    <row r="16" spans="1:21" ht="39.950000000000003" customHeight="1" x14ac:dyDescent="0.25">
      <c r="A16" s="66" t="str">
        <f>_xlfn.XLOOKUP('Юнит Карго'!C16,Юнит!A:A,Юнит!C:C)</f>
        <v>ACRB1MS107WH</v>
      </c>
      <c r="B16" s="99">
        <f>IF(A16=0,"нет в продаже",_xlfn.XLOOKUP($A16,Юнит!$C:$C,Юнит!$A:$A,0,0))</f>
        <v>419145391</v>
      </c>
      <c r="C16" s="367">
        <v>419145391</v>
      </c>
      <c r="D16" s="92">
        <f>_xlfn.XLOOKUP(A16,Юнит!C:C,Юнит!B:B)</f>
        <v>2415742768</v>
      </c>
      <c r="E16" s="104" t="str">
        <f>_xlfn.XLOOKUP(A16,Юнит!C:C,Юнит!D:D)</f>
        <v>Мяч с шипами белый 7 см</v>
      </c>
      <c r="F16" s="104"/>
      <c r="G16" s="96">
        <f>_xlfn.XLOOKUP($B16,'[4] Расчет стоимости и веса'!$J:$J,'[4] Расчет стоимости и веса'!$D:$D,0,0)</f>
        <v>300</v>
      </c>
      <c r="H16" s="83">
        <f>_xlfn.XLOOKUP($B16,'[4] Расчет стоимости и веса'!$J:$J,'[4] Расчет стоимости и веса'!$E:$E,0,0)</f>
        <v>2.1</v>
      </c>
      <c r="I16" s="84">
        <f>H16*'Расчет Карго'!$H$5</f>
        <v>25.41</v>
      </c>
      <c r="J16" s="84">
        <f>I16/'Расчет Карго'!$H$3</f>
        <v>0.31762499999999999</v>
      </c>
      <c r="K16" s="83">
        <f t="shared" si="4"/>
        <v>630</v>
      </c>
      <c r="L16" s="84">
        <f t="shared" si="5"/>
        <v>7623</v>
      </c>
      <c r="M16" s="84">
        <f t="shared" si="6"/>
        <v>95.287499999999994</v>
      </c>
      <c r="N16" s="84">
        <f>S16*'Расчет Карго'!$M$4</f>
        <v>25.068676069485573</v>
      </c>
      <c r="O16" s="84">
        <f t="shared" si="7"/>
        <v>50.478676069485573</v>
      </c>
      <c r="P16" s="85">
        <f>IF(O16=0,_xlfn.XLOOKUP($A16,'Себес 1С текущ'!$B:$B,'Себес 1С текущ'!$E:$E,0,0),O16)</f>
        <v>50.478676069485573</v>
      </c>
      <c r="Q16" s="66">
        <f>_xlfn.XLOOKUP($B16,'[4] Расчет стоимости и веса'!$I:$I,'[4] Расчет стоимости и веса'!$O:$O,0,0)</f>
        <v>0</v>
      </c>
      <c r="R16" s="62"/>
      <c r="S16" s="83">
        <f>_xlfn.XLOOKUP($B16,'[4] Расчет стоимости и веса'!$J:$J,'[4] Расчет стоимости и веса'!$M:$M,0,0)</f>
        <v>0.06</v>
      </c>
      <c r="T16" s="83">
        <f t="shared" si="8"/>
        <v>0.06</v>
      </c>
      <c r="U16" s="86">
        <f t="shared" si="9"/>
        <v>18</v>
      </c>
    </row>
    <row r="17" spans="1:21" ht="39.950000000000003" customHeight="1" x14ac:dyDescent="0.25">
      <c r="A17" s="66" t="str">
        <f>_xlfn.XLOOKUP('Юнит Карго'!C17,Юнит!A:A,Юнит!C:C)</f>
        <v>ACRB1MS107PN</v>
      </c>
      <c r="B17" s="99">
        <f>IF(A17=0,"нет в продаже",_xlfn.XLOOKUP($A17,Юнит!$C:$C,Юнит!$A:$A,0,0))</f>
        <v>419145389</v>
      </c>
      <c r="C17" s="367">
        <v>419145389</v>
      </c>
      <c r="D17" s="92">
        <f>_xlfn.XLOOKUP(A17,Юнит!C:C,Юнит!B:B)</f>
        <v>2415742912</v>
      </c>
      <c r="E17" s="104" t="str">
        <f>_xlfn.XLOOKUP(A17,Юнит!C:C,Юнит!D:D)</f>
        <v>Мяч с шипами розовый 7 см</v>
      </c>
      <c r="F17" s="104"/>
      <c r="G17" s="96">
        <f>_xlfn.XLOOKUP($B17,'[4] Расчет стоимости и веса'!$J:$J,'[4] Расчет стоимости и веса'!$D:$D,0,0)</f>
        <v>60</v>
      </c>
      <c r="H17" s="83">
        <f>_xlfn.XLOOKUP($B17,'[4] Расчет стоимости и веса'!$J:$J,'[4] Расчет стоимости и веса'!$E:$E,0,0)</f>
        <v>2.1</v>
      </c>
      <c r="I17" s="84">
        <f>H17*'Расчет Карго'!$H$5</f>
        <v>25.41</v>
      </c>
      <c r="J17" s="84">
        <f>I17/'Расчет Карго'!$H$3</f>
        <v>0.31762499999999999</v>
      </c>
      <c r="K17" s="83">
        <f t="shared" si="4"/>
        <v>126</v>
      </c>
      <c r="L17" s="84">
        <f t="shared" si="5"/>
        <v>1524.6</v>
      </c>
      <c r="M17" s="84">
        <f t="shared" si="6"/>
        <v>19.057500000000001</v>
      </c>
      <c r="N17" s="84">
        <f>S17*'Расчет Карго'!$M$4</f>
        <v>25.068676069485573</v>
      </c>
      <c r="O17" s="84">
        <f t="shared" si="7"/>
        <v>50.478676069485573</v>
      </c>
      <c r="P17" s="85">
        <f>IF(O17=0,_xlfn.XLOOKUP($A17,'Себес 1С текущ'!$B:$B,'Себес 1С текущ'!$E:$E,0,0),O17)</f>
        <v>50.478676069485573</v>
      </c>
      <c r="Q17" s="66">
        <f>_xlfn.XLOOKUP($B17,'[4] Расчет стоимости и веса'!$I:$I,'[4] Расчет стоимости и веса'!$O:$O,0,0)</f>
        <v>0</v>
      </c>
      <c r="R17" s="62"/>
      <c r="S17" s="83">
        <f>_xlfn.XLOOKUP($B17,'[4] Расчет стоимости и веса'!$J:$J,'[4] Расчет стоимости и веса'!$M:$M,0,0)</f>
        <v>0.06</v>
      </c>
      <c r="T17" s="83">
        <f t="shared" si="8"/>
        <v>0.06</v>
      </c>
      <c r="U17" s="86">
        <f t="shared" si="9"/>
        <v>3.5999999999999996</v>
      </c>
    </row>
    <row r="18" spans="1:21" ht="39.950000000000003" customHeight="1" x14ac:dyDescent="0.25">
      <c r="A18" s="66" t="str">
        <f>_xlfn.XLOOKUP('Юнит Карго'!C18,Юнит!A:A,Юнит!C:C)</f>
        <v>ACRB1MS107BL</v>
      </c>
      <c r="B18" s="99">
        <f>IF(A18=0,"нет в продаже",_xlfn.XLOOKUP($A18,Юнит!$C:$C,Юнит!$A:$A,0,0))</f>
        <v>419145748</v>
      </c>
      <c r="C18" s="367">
        <v>419145748</v>
      </c>
      <c r="D18" s="92">
        <f>_xlfn.XLOOKUP(A18,Юнит!C:C,Юнит!B:B)</f>
        <v>2415742611</v>
      </c>
      <c r="E18" s="104" t="str">
        <f>_xlfn.XLOOKUP(A18,Юнит!C:C,Юнит!D:D)</f>
        <v>Мяч с шипами голубой 7 см</v>
      </c>
      <c r="F18" s="104"/>
      <c r="G18" s="96">
        <f>_xlfn.XLOOKUP($B18,'[4] Расчет стоимости и веса'!$J:$J,'[4] Расчет стоимости и веса'!$D:$D,0,0)</f>
        <v>40</v>
      </c>
      <c r="H18" s="83">
        <f>_xlfn.XLOOKUP($B18,'[4] Расчет стоимости и веса'!$J:$J,'[4] Расчет стоимости и веса'!$E:$E,0,0)</f>
        <v>2.1</v>
      </c>
      <c r="I18" s="84">
        <f>H18*'Расчет Карго'!$H$5</f>
        <v>25.41</v>
      </c>
      <c r="J18" s="84">
        <f>I18/'Расчет Карго'!$H$3</f>
        <v>0.31762499999999999</v>
      </c>
      <c r="K18" s="83">
        <f t="shared" si="4"/>
        <v>84</v>
      </c>
      <c r="L18" s="84">
        <f t="shared" si="5"/>
        <v>1016.4</v>
      </c>
      <c r="M18" s="84">
        <f t="shared" si="6"/>
        <v>12.705</v>
      </c>
      <c r="N18" s="84">
        <f>S18*'Расчет Карго'!$M$4</f>
        <v>25.068676069485573</v>
      </c>
      <c r="O18" s="84">
        <f t="shared" si="7"/>
        <v>50.478676069485573</v>
      </c>
      <c r="P18" s="85">
        <f>IF(O18=0,_xlfn.XLOOKUP($A18,'Себес 1С текущ'!$B:$B,'Себес 1С текущ'!$E:$E,0,0),O18)</f>
        <v>50.478676069485573</v>
      </c>
      <c r="Q18" s="66">
        <f>_xlfn.XLOOKUP($B18,'[4] Расчет стоимости и веса'!$I:$I,'[4] Расчет стоимости и веса'!$O:$O,0,0)</f>
        <v>0</v>
      </c>
      <c r="R18" s="62"/>
      <c r="S18" s="83">
        <f>_xlfn.XLOOKUP($B18,'[4] Расчет стоимости и веса'!$J:$J,'[4] Расчет стоимости и веса'!$M:$M,0,0)</f>
        <v>0.06</v>
      </c>
      <c r="T18" s="83">
        <f t="shared" si="8"/>
        <v>0.06</v>
      </c>
      <c r="U18" s="86">
        <f t="shared" si="9"/>
        <v>2.4</v>
      </c>
    </row>
    <row r="19" spans="1:21" ht="39.950000000000003" customHeight="1" x14ac:dyDescent="0.25">
      <c r="A19" s="66" t="str">
        <f>_xlfn.XLOOKUP('Юнит Карго'!C19,Юнит!A:A,Юнит!C:C)</f>
        <v>ACRB1MS107RJ</v>
      </c>
      <c r="B19" s="99">
        <f>IF(A19=0,"нет в продаже",_xlfn.XLOOKUP($A19,Юнит!$C:$C,Юнит!$A:$A,0,0))</f>
        <v>419141548</v>
      </c>
      <c r="C19" s="367">
        <v>419141548</v>
      </c>
      <c r="D19" s="92">
        <f>_xlfn.XLOOKUP(A19,Юнит!C:C,Юнит!B:B)</f>
        <v>2415742942</v>
      </c>
      <c r="E19" s="104" t="str">
        <f>_xlfn.XLOOKUP(A19,Юнит!C:C,Юнит!D:D)</f>
        <v>Мяч с шипами оранжевый 7 см</v>
      </c>
      <c r="F19" s="104"/>
      <c r="G19" s="96">
        <f>_xlfn.XLOOKUP($B19,'[4] Расчет стоимости и веса'!$J:$J,'[4] Расчет стоимости и веса'!$D:$D,0,0)</f>
        <v>30</v>
      </c>
      <c r="H19" s="83">
        <f>_xlfn.XLOOKUP($B19,'[4] Расчет стоимости и веса'!$J:$J,'[4] Расчет стоимости и веса'!$E:$E,0,0)</f>
        <v>2.1</v>
      </c>
      <c r="I19" s="84">
        <f>H19*'Расчет Карго'!$H$5</f>
        <v>25.41</v>
      </c>
      <c r="J19" s="84">
        <f>I19/'Расчет Карго'!$H$3</f>
        <v>0.31762499999999999</v>
      </c>
      <c r="K19" s="83">
        <f t="shared" si="4"/>
        <v>63</v>
      </c>
      <c r="L19" s="84">
        <f t="shared" si="5"/>
        <v>762.3</v>
      </c>
      <c r="M19" s="84">
        <f t="shared" si="6"/>
        <v>9.5287500000000005</v>
      </c>
      <c r="N19" s="84">
        <f>S19*'Расчет Карго'!$M$4</f>
        <v>25.068676069485573</v>
      </c>
      <c r="O19" s="84">
        <f t="shared" si="7"/>
        <v>50.478676069485573</v>
      </c>
      <c r="P19" s="85">
        <f>IF(O19=0,_xlfn.XLOOKUP($A19,'Себес 1С текущ'!$B:$B,'Себес 1С текущ'!$E:$E,0,0),O19)</f>
        <v>50.478676069485573</v>
      </c>
      <c r="Q19" s="66">
        <f>_xlfn.XLOOKUP($B19,'[4] Расчет стоимости и веса'!$I:$I,'[4] Расчет стоимости и веса'!$O:$O,0,0)</f>
        <v>0</v>
      </c>
      <c r="R19" s="62"/>
      <c r="S19" s="83">
        <f>_xlfn.XLOOKUP($B19,'[4] Расчет стоимости и веса'!$J:$J,'[4] Расчет стоимости и веса'!$M:$M,0,0)</f>
        <v>0.06</v>
      </c>
      <c r="T19" s="83">
        <f t="shared" si="8"/>
        <v>0.06</v>
      </c>
      <c r="U19" s="86">
        <f t="shared" si="9"/>
        <v>1.7999999999999998</v>
      </c>
    </row>
    <row r="20" spans="1:21" ht="39.950000000000003" customHeight="1" x14ac:dyDescent="0.25">
      <c r="A20" s="66" t="str">
        <f>_xlfn.XLOOKUP('Юнит Карго'!C20,Юнит!A:A,Юнит!C:C)</f>
        <v>ACRB1MS107BС</v>
      </c>
      <c r="B20" s="99">
        <f>IF(A20=0,"нет в продаже",_xlfn.XLOOKUP($A20,Юнит!$C:$C,Юнит!$A:$A,0,0))</f>
        <v>419145985</v>
      </c>
      <c r="C20" s="367">
        <v>419145985</v>
      </c>
      <c r="D20" s="92">
        <f>_xlfn.XLOOKUP(A20,Юнит!C:C,Юнит!B:B)</f>
        <v>2415742795</v>
      </c>
      <c r="E20" s="104" t="str">
        <f>_xlfn.XLOOKUP(A20,Юнит!C:C,Юнит!D:D)</f>
        <v>Мяч с шипами черный 7 см</v>
      </c>
      <c r="F20" s="104"/>
      <c r="G20" s="96">
        <f>_xlfn.XLOOKUP($B20,'[4] Расчет стоимости и веса'!$J:$J,'[4] Расчет стоимости и веса'!$D:$D,0,0)</f>
        <v>30</v>
      </c>
      <c r="H20" s="83">
        <f>_xlfn.XLOOKUP($B20,'[4] Расчет стоимости и веса'!$J:$J,'[4] Расчет стоимости и веса'!$E:$E,0,0)</f>
        <v>2.1</v>
      </c>
      <c r="I20" s="84">
        <f>H20*'Расчет Карго'!$H$5</f>
        <v>25.41</v>
      </c>
      <c r="J20" s="84">
        <f>I20/'Расчет Карго'!$H$3</f>
        <v>0.31762499999999999</v>
      </c>
      <c r="K20" s="83">
        <f t="shared" si="4"/>
        <v>63</v>
      </c>
      <c r="L20" s="84">
        <f t="shared" si="5"/>
        <v>762.3</v>
      </c>
      <c r="M20" s="84">
        <f t="shared" si="6"/>
        <v>9.5287500000000005</v>
      </c>
      <c r="N20" s="84">
        <f>S20*'Расчет Карго'!$M$4</f>
        <v>25.068676069485573</v>
      </c>
      <c r="O20" s="84">
        <f t="shared" si="7"/>
        <v>50.478676069485573</v>
      </c>
      <c r="P20" s="85">
        <f>IF(O20=0,_xlfn.XLOOKUP($A20,'Себес 1С текущ'!$B:$B,'Себес 1С текущ'!$E:$E,0,0),O20)</f>
        <v>50.478676069485573</v>
      </c>
      <c r="Q20" s="66">
        <f>_xlfn.XLOOKUP($B20,'[4] Расчет стоимости и веса'!$I:$I,'[4] Расчет стоимости и веса'!$O:$O,0,0)</f>
        <v>0</v>
      </c>
      <c r="R20" s="62"/>
      <c r="S20" s="83">
        <f>_xlfn.XLOOKUP($B20,'[4] Расчет стоимости и веса'!$J:$J,'[4] Расчет стоимости и веса'!$M:$M,0,0)</f>
        <v>0.06</v>
      </c>
      <c r="T20" s="83">
        <f t="shared" si="8"/>
        <v>0.06</v>
      </c>
      <c r="U20" s="86">
        <f t="shared" si="9"/>
        <v>1.7999999999999998</v>
      </c>
    </row>
    <row r="21" spans="1:21" ht="39.950000000000003" customHeight="1" x14ac:dyDescent="0.25">
      <c r="A21" s="66" t="str">
        <f>_xlfn.XLOOKUP('Юнит Карго'!C21,Юнит!A:A,Юнит!C:C)</f>
        <v>ACRB1MS109PN</v>
      </c>
      <c r="B21" s="99">
        <f>IF(A21=0,"нет в продаже",_xlfn.XLOOKUP($A21,Юнит!$C:$C,Юнит!$A:$A,0,0))</f>
        <v>419145390</v>
      </c>
      <c r="C21" s="367">
        <v>419145390</v>
      </c>
      <c r="D21" s="92">
        <f>_xlfn.XLOOKUP(A21,Юнит!C:C,Юнит!B:B)</f>
        <v>2415742470</v>
      </c>
      <c r="E21" s="104" t="str">
        <f>_xlfn.XLOOKUP(A21,Юнит!C:C,Юнит!D:D)</f>
        <v>Мяч с шипами розовый 9 см</v>
      </c>
      <c r="F21" s="104"/>
      <c r="G21" s="96">
        <f>_xlfn.XLOOKUP($B21,'[4] Расчет стоимости и веса'!$J:$J,'[4] Расчет стоимости и веса'!$D:$D,0,0)</f>
        <v>150</v>
      </c>
      <c r="H21" s="83">
        <f>_xlfn.XLOOKUP($B21,'[4] Расчет стоимости и веса'!$J:$J,'[4] Расчет стоимости и веса'!$E:$E,0,0)</f>
        <v>3.1</v>
      </c>
      <c r="I21" s="84">
        <f>H21*'Расчет Карго'!$H$5</f>
        <v>37.51</v>
      </c>
      <c r="J21" s="84">
        <f>I21/'Расчет Карго'!$H$3</f>
        <v>0.46887499999999999</v>
      </c>
      <c r="K21" s="83">
        <f t="shared" si="4"/>
        <v>465</v>
      </c>
      <c r="L21" s="84">
        <f t="shared" si="5"/>
        <v>5626.5</v>
      </c>
      <c r="M21" s="84">
        <f t="shared" si="6"/>
        <v>70.331249999999997</v>
      </c>
      <c r="N21" s="84">
        <f>S21*'Расчет Карго'!$M$4</f>
        <v>41.781126782475958</v>
      </c>
      <c r="O21" s="84">
        <f t="shared" si="7"/>
        <v>79.291126782475956</v>
      </c>
      <c r="P21" s="85">
        <f>IF(O21=0,_xlfn.XLOOKUP($A21,'Себес 1С текущ'!$B:$B,'Себес 1С текущ'!$E:$E,0,0),O21)</f>
        <v>79.291126782475956</v>
      </c>
      <c r="Q21" s="66">
        <f>_xlfn.XLOOKUP($B21,'[4] Расчет стоимости и веса'!$I:$I,'[4] Расчет стоимости и веса'!$O:$O,0,0)</f>
        <v>0</v>
      </c>
      <c r="R21" s="62"/>
      <c r="S21" s="83">
        <f>_xlfn.XLOOKUP($B21,'[4] Расчет стоимости и веса'!$J:$J,'[4] Расчет стоимости и веса'!$M:$M,0,0)</f>
        <v>0.1</v>
      </c>
      <c r="T21" s="83">
        <f t="shared" si="8"/>
        <v>0.1</v>
      </c>
      <c r="U21" s="86">
        <f t="shared" si="9"/>
        <v>15</v>
      </c>
    </row>
    <row r="22" spans="1:21" ht="39.950000000000003" customHeight="1" x14ac:dyDescent="0.25">
      <c r="A22" s="66" t="str">
        <f>_xlfn.XLOOKUP('Юнит Карго'!C22,Юнит!A:A,Юнит!C:C)</f>
        <v>ACRB1MS109BL</v>
      </c>
      <c r="B22" s="99">
        <f>IF(A22=0,"нет в продаже",_xlfn.XLOOKUP($A22,Юнит!$C:$C,Юнит!$A:$A,0,0))</f>
        <v>419145749</v>
      </c>
      <c r="C22" s="367">
        <v>419145749</v>
      </c>
      <c r="D22" s="92">
        <f>_xlfn.XLOOKUP(A22,Юнит!C:C,Юнит!B:B)</f>
        <v>2415742615</v>
      </c>
      <c r="E22" s="104" t="str">
        <f>_xlfn.XLOOKUP(A22,Юнит!C:C,Юнит!D:D)</f>
        <v>Мяч с шипами голубой 9 см</v>
      </c>
      <c r="F22" s="104"/>
      <c r="G22" s="96">
        <f>_xlfn.XLOOKUP($B22,'[4] Расчет стоимости и веса'!$J:$J,'[4] Расчет стоимости и веса'!$D:$D,0,0)</f>
        <v>40</v>
      </c>
      <c r="H22" s="83">
        <f>_xlfn.XLOOKUP($B22,'[4] Расчет стоимости и веса'!$J:$J,'[4] Расчет стоимости и веса'!$E:$E,0,0)</f>
        <v>3.1</v>
      </c>
      <c r="I22" s="84">
        <f>H22*'Расчет Карго'!$H$5</f>
        <v>37.51</v>
      </c>
      <c r="J22" s="84">
        <f>I22/'Расчет Карго'!$H$3</f>
        <v>0.46887499999999999</v>
      </c>
      <c r="K22" s="83">
        <f t="shared" si="4"/>
        <v>124</v>
      </c>
      <c r="L22" s="84">
        <f t="shared" si="5"/>
        <v>1500.3999999999999</v>
      </c>
      <c r="M22" s="84">
        <f t="shared" si="6"/>
        <v>18.754999999999999</v>
      </c>
      <c r="N22" s="84">
        <f>S22*'Расчет Карго'!$M$4</f>
        <v>41.781126782475958</v>
      </c>
      <c r="O22" s="84">
        <f t="shared" si="7"/>
        <v>79.291126782475956</v>
      </c>
      <c r="P22" s="85">
        <f>IF(O22=0,_xlfn.XLOOKUP($A22,'Себес 1С текущ'!$B:$B,'Себес 1С текущ'!$E:$E,0,0),O22)</f>
        <v>79.291126782475956</v>
      </c>
      <c r="Q22" s="66">
        <f>_xlfn.XLOOKUP($B22,'[4] Расчет стоимости и веса'!$I:$I,'[4] Расчет стоимости и веса'!$O:$O,0,0)</f>
        <v>0</v>
      </c>
      <c r="R22" s="62"/>
      <c r="S22" s="83">
        <f>_xlfn.XLOOKUP($B22,'[4] Расчет стоимости и веса'!$J:$J,'[4] Расчет стоимости и веса'!$M:$M,0,0)</f>
        <v>0.1</v>
      </c>
      <c r="T22" s="83">
        <f t="shared" si="8"/>
        <v>0.1</v>
      </c>
      <c r="U22" s="86">
        <f t="shared" si="9"/>
        <v>4</v>
      </c>
    </row>
    <row r="23" spans="1:21" ht="39.950000000000003" customHeight="1" x14ac:dyDescent="0.25">
      <c r="A23" s="66" t="str">
        <f>_xlfn.XLOOKUP('Юнит Карго'!C23,Юнит!A:A,Юнит!C:C)</f>
        <v>ACRB1MS109RJ</v>
      </c>
      <c r="B23" s="99">
        <f>IF(A23=0,"нет в продаже",_xlfn.XLOOKUP($A23,Юнит!$C:$C,Юнит!$A:$A,0,0))</f>
        <v>419141549</v>
      </c>
      <c r="C23" s="367">
        <v>419141549</v>
      </c>
      <c r="D23" s="92">
        <f>_xlfn.XLOOKUP(A23,Юнит!C:C,Юнит!B:B)</f>
        <v>2415742943</v>
      </c>
      <c r="E23" s="104" t="str">
        <f>_xlfn.XLOOKUP(A23,Юнит!C:C,Юнит!D:D)</f>
        <v>Мяч с шипами оранжевый 9 см</v>
      </c>
      <c r="F23" s="104"/>
      <c r="G23" s="96">
        <f>_xlfn.XLOOKUP($B23,'[4] Расчет стоимости и веса'!$J:$J,'[4] Расчет стоимости и веса'!$D:$D,0,0)</f>
        <v>100</v>
      </c>
      <c r="H23" s="83">
        <f>_xlfn.XLOOKUP($B23,'[4] Расчет стоимости и веса'!$J:$J,'[4] Расчет стоимости и веса'!$E:$E,0,0)</f>
        <v>3.1</v>
      </c>
      <c r="I23" s="84">
        <f>H23*'Расчет Карго'!$H$5</f>
        <v>37.51</v>
      </c>
      <c r="J23" s="84">
        <f>I23/'Расчет Карго'!$H$3</f>
        <v>0.46887499999999999</v>
      </c>
      <c r="K23" s="83">
        <f t="shared" si="4"/>
        <v>310</v>
      </c>
      <c r="L23" s="84">
        <f t="shared" si="5"/>
        <v>3751</v>
      </c>
      <c r="M23" s="84">
        <f t="shared" si="6"/>
        <v>46.887499999999996</v>
      </c>
      <c r="N23" s="84">
        <f>S23*'Расчет Карго'!$M$4</f>
        <v>41.781126782475958</v>
      </c>
      <c r="O23" s="84">
        <f t="shared" si="7"/>
        <v>79.291126782475956</v>
      </c>
      <c r="P23" s="85">
        <f>IF(O23=0,_xlfn.XLOOKUP($A23,'Себес 1С текущ'!$B:$B,'Себес 1С текущ'!$E:$E,0,0),O23)</f>
        <v>79.291126782475956</v>
      </c>
      <c r="Q23" s="66">
        <f>_xlfn.XLOOKUP($B23,'[4] Расчет стоимости и веса'!$I:$I,'[4] Расчет стоимости и веса'!$O:$O,0,0)</f>
        <v>0</v>
      </c>
      <c r="R23" s="62"/>
      <c r="S23" s="83">
        <f>_xlfn.XLOOKUP($B23,'[4] Расчет стоимости и веса'!$J:$J,'[4] Расчет стоимости и веса'!$M:$M,0,0)</f>
        <v>0.1</v>
      </c>
      <c r="T23" s="83">
        <f t="shared" si="8"/>
        <v>0.1</v>
      </c>
      <c r="U23" s="86">
        <f t="shared" si="9"/>
        <v>10</v>
      </c>
    </row>
    <row r="24" spans="1:21" ht="39.950000000000003" customHeight="1" x14ac:dyDescent="0.25">
      <c r="A24" s="66" t="str">
        <f>_xlfn.XLOOKUP('Юнит Карго'!C24,Юнит!A:A,Юнит!C:C)</f>
        <v>ACRB1MS109BС</v>
      </c>
      <c r="B24" s="99">
        <f>IF(A24=0,"нет в продаже",_xlfn.XLOOKUP($A24,Юнит!$C:$C,Юнит!$A:$A,0,0))</f>
        <v>419145986</v>
      </c>
      <c r="C24" s="367">
        <v>419145986</v>
      </c>
      <c r="D24" s="92">
        <f>_xlfn.XLOOKUP(A24,Юнит!C:C,Юнит!B:B)</f>
        <v>2415742693</v>
      </c>
      <c r="E24" s="104" t="str">
        <f>_xlfn.XLOOKUP(A24,Юнит!C:C,Юнит!D:D)</f>
        <v>Мяч с шипами черный 9 см</v>
      </c>
      <c r="F24" s="104"/>
      <c r="G24" s="96">
        <f>_xlfn.XLOOKUP($B24,'[4] Расчет стоимости и веса'!$J:$J,'[4] Расчет стоимости и веса'!$D:$D,0,0)</f>
        <v>30</v>
      </c>
      <c r="H24" s="83">
        <f>_xlfn.XLOOKUP($B24,'[4] Расчет стоимости и веса'!$J:$J,'[4] Расчет стоимости и веса'!$E:$E,0,0)</f>
        <v>3.1</v>
      </c>
      <c r="I24" s="84">
        <f>H24*'Расчет Карго'!$H$5</f>
        <v>37.51</v>
      </c>
      <c r="J24" s="84">
        <f>I24/'Расчет Карго'!$H$3</f>
        <v>0.46887499999999999</v>
      </c>
      <c r="K24" s="83">
        <f t="shared" si="4"/>
        <v>93</v>
      </c>
      <c r="L24" s="84">
        <f t="shared" si="5"/>
        <v>1125.3</v>
      </c>
      <c r="M24" s="84">
        <f t="shared" si="6"/>
        <v>14.06625</v>
      </c>
      <c r="N24" s="84">
        <f>S24*'Расчет Карго'!$M$4</f>
        <v>41.781126782475958</v>
      </c>
      <c r="O24" s="84">
        <f t="shared" si="7"/>
        <v>79.291126782475956</v>
      </c>
      <c r="P24" s="85">
        <f>IF(O24=0,_xlfn.XLOOKUP($A24,'Себес 1С текущ'!$B:$B,'Себес 1С текущ'!$E:$E,0,0),O24)</f>
        <v>79.291126782475956</v>
      </c>
      <c r="Q24" s="66">
        <f>_xlfn.XLOOKUP($B24,'[4] Расчет стоимости и веса'!$I:$I,'[4] Расчет стоимости и веса'!$O:$O,0,0)</f>
        <v>0</v>
      </c>
      <c r="R24" s="62"/>
      <c r="S24" s="83">
        <f>_xlfn.XLOOKUP($B24,'[4] Расчет стоимости и веса'!$J:$J,'[4] Расчет стоимости и веса'!$M:$M,0,0)</f>
        <v>0.1</v>
      </c>
      <c r="T24" s="83">
        <f t="shared" si="8"/>
        <v>0.1</v>
      </c>
      <c r="U24" s="86">
        <f t="shared" si="9"/>
        <v>3</v>
      </c>
    </row>
    <row r="25" spans="1:21" ht="39.950000000000003" customHeight="1" x14ac:dyDescent="0.25">
      <c r="A25" s="66" t="str">
        <f>_xlfn.XLOOKUP('Юнит Карго'!C25,Юнит!A:A,Юнит!C:C)</f>
        <v>ACRB1MS109LI</v>
      </c>
      <c r="B25" s="99">
        <f>IF(A25=0,"нет в продаже",_xlfn.XLOOKUP($A25,Юнит!$C:$C,Юнит!$A:$A,0,0))</f>
        <v>419146579</v>
      </c>
      <c r="C25" s="367">
        <v>419146579</v>
      </c>
      <c r="D25" s="92">
        <f>_xlfn.XLOOKUP(A25,Юнит!C:C,Юнит!B:B)</f>
        <v>2415742565</v>
      </c>
      <c r="E25" s="104" t="str">
        <f>_xlfn.XLOOKUP(A25,Юнит!C:C,Юнит!D:D)</f>
        <v>Мяч с шипами фиолетовый 9 см</v>
      </c>
      <c r="G25" s="96">
        <f>_xlfn.XLOOKUP($B25,'[4] Расчет стоимости и веса'!$J:$J,'[4] Расчет стоимости и веса'!$D:$D,0,0)</f>
        <v>80</v>
      </c>
      <c r="H25" s="83">
        <f>_xlfn.XLOOKUP($B25,'[4] Расчет стоимости и веса'!$J:$J,'[4] Расчет стоимости и веса'!$E:$E,0,0)</f>
        <v>3.1</v>
      </c>
      <c r="I25" s="84">
        <f>H25*'Расчет Карго'!$H$5</f>
        <v>37.51</v>
      </c>
      <c r="J25" s="84">
        <f>I25/'Расчет Карго'!$H$3</f>
        <v>0.46887499999999999</v>
      </c>
      <c r="K25" s="83">
        <f t="shared" si="4"/>
        <v>248</v>
      </c>
      <c r="L25" s="84">
        <f t="shared" si="5"/>
        <v>3000.7999999999997</v>
      </c>
      <c r="M25" s="84">
        <f t="shared" si="6"/>
        <v>37.51</v>
      </c>
      <c r="N25" s="84">
        <f>S25*'Расчет Карго'!$M$4</f>
        <v>41.781126782475958</v>
      </c>
      <c r="O25" s="84">
        <f t="shared" si="7"/>
        <v>79.291126782475956</v>
      </c>
      <c r="P25" s="85">
        <f>IF(O25=0,_xlfn.XLOOKUP($A25,'Себес 1С текущ'!$B:$B,'Себес 1С текущ'!$E:$E,0,0),O25)</f>
        <v>79.291126782475956</v>
      </c>
      <c r="Q25" s="66">
        <f>_xlfn.XLOOKUP($B25,'[4] Расчет стоимости и веса'!$I:$I,'[4] Расчет стоимости и веса'!$O:$O,0,0)</f>
        <v>0</v>
      </c>
      <c r="R25" s="62"/>
      <c r="S25" s="83">
        <f>_xlfn.XLOOKUP($B25,'[4] Расчет стоимости и веса'!$J:$J,'[4] Расчет стоимости и веса'!$M:$M,0,0)</f>
        <v>0.1</v>
      </c>
      <c r="T25" s="83">
        <f t="shared" si="8"/>
        <v>0.1</v>
      </c>
      <c r="U25" s="86">
        <f t="shared" si="9"/>
        <v>8</v>
      </c>
    </row>
    <row r="26" spans="1:21" ht="39.950000000000003" hidden="1" customHeight="1" x14ac:dyDescent="0.25">
      <c r="A26" s="66" t="str">
        <f>_xlfn.XLOOKUP('Юнит Карго'!C26,Юнит!A:A,Юнит!C:C)</f>
        <v>ACRB1MS103PN</v>
      </c>
      <c r="B26" s="99">
        <f>IF(A26=0,"нет в продаже",_xlfn.XLOOKUP($A26,Юнит!$C:$C,Юнит!$A:$A,0,0))</f>
        <v>340734340</v>
      </c>
      <c r="C26" s="151">
        <v>340734340</v>
      </c>
      <c r="D26" s="92">
        <f>_xlfn.XLOOKUP(A26,Юнит!C:C,Юнит!B:B)</f>
        <v>2415742594</v>
      </c>
      <c r="E26" s="104" t="str">
        <f>_xlfn.XLOOKUP(A26,Юнит!C:C,Юнит!D:D)</f>
        <v>Мяч гладкий розовый</v>
      </c>
      <c r="F26" s="61"/>
      <c r="G26" s="96">
        <f>_xlfn.XLOOKUP($B26,'[4] Расчет стоимости и веса'!$J:$J,'[4] Расчет стоимости и веса'!$D:$D,0,0)</f>
        <v>0</v>
      </c>
      <c r="H26" s="83">
        <f>_xlfn.XLOOKUP($B26,'[4] Расчет стоимости и веса'!$J:$J,'[4] Расчет стоимости и веса'!$E:$E,0,0)</f>
        <v>0</v>
      </c>
      <c r="I26" s="84">
        <f>H26*'Расчет Карго'!$H$5</f>
        <v>0</v>
      </c>
      <c r="J26" s="84">
        <f>I26/'Расчет Карго'!$H$3</f>
        <v>0</v>
      </c>
      <c r="K26" s="83">
        <f t="shared" si="4"/>
        <v>0</v>
      </c>
      <c r="L26" s="84">
        <f t="shared" si="5"/>
        <v>0</v>
      </c>
      <c r="M26" s="84">
        <f t="shared" si="6"/>
        <v>0</v>
      </c>
      <c r="N26" s="84">
        <f>S26*'Расчет Карго'!$M$4</f>
        <v>0</v>
      </c>
      <c r="O26" s="84">
        <f t="shared" si="7"/>
        <v>0</v>
      </c>
      <c r="P26" s="85">
        <f>IF(O26=0,_xlfn.XLOOKUP($A26,'Себес 1С текущ'!$B:$B,'Себес 1С текущ'!$E:$E,0,0),O26)</f>
        <v>0</v>
      </c>
      <c r="Q26" s="66">
        <f>_xlfn.XLOOKUP($B26,'[4] Расчет стоимости и веса'!$I:$I,'[4] Расчет стоимости и веса'!$O:$O,0,0)</f>
        <v>0</v>
      </c>
      <c r="R26" s="62"/>
      <c r="S26" s="83">
        <f>_xlfn.XLOOKUP($B26,'[4] Расчет стоимости и веса'!$J:$J,'[4] Расчет стоимости и веса'!$M:$M,0,0)</f>
        <v>0</v>
      </c>
      <c r="T26" s="83">
        <f t="shared" si="8"/>
        <v>0</v>
      </c>
      <c r="U26" s="86">
        <f t="shared" si="9"/>
        <v>0</v>
      </c>
    </row>
    <row r="27" spans="1:21" ht="39.950000000000003" hidden="1" customHeight="1" x14ac:dyDescent="0.25">
      <c r="A27" s="66" t="str">
        <f>_xlfn.XLOOKUP('Юнит Карго'!C27,Юнит!A:A,Юнит!C:C)</f>
        <v>ACRB1MS103BL</v>
      </c>
      <c r="B27" s="99">
        <f>IF(A27=0,"нет в продаже",_xlfn.XLOOKUP($A27,Юнит!$C:$C,Юнит!$A:$A,0,0))</f>
        <v>340741532</v>
      </c>
      <c r="C27" s="151">
        <v>340741532</v>
      </c>
      <c r="D27" s="92">
        <f>_xlfn.XLOOKUP(A27,Юнит!C:C,Юнит!B:B)</f>
        <v>2415743200</v>
      </c>
      <c r="E27" s="104" t="str">
        <f>_xlfn.XLOOKUP(A27,Юнит!C:C,Юнит!D:D)</f>
        <v>Мяч гладкий голубой</v>
      </c>
      <c r="F27" s="61"/>
      <c r="G27" s="96">
        <f>_xlfn.XLOOKUP($B27,'[4] Расчет стоимости и веса'!$J:$J,'[4] Расчет стоимости и веса'!$D:$D,0,0)</f>
        <v>0</v>
      </c>
      <c r="H27" s="83">
        <f>_xlfn.XLOOKUP($B27,'[4] Расчет стоимости и веса'!$J:$J,'[4] Расчет стоимости и веса'!$E:$E,0,0)</f>
        <v>0</v>
      </c>
      <c r="I27" s="84">
        <f>H27*'Расчет Карго'!$H$5</f>
        <v>0</v>
      </c>
      <c r="J27" s="84">
        <f>I27/'Расчет Карго'!$H$3</f>
        <v>0</v>
      </c>
      <c r="K27" s="83">
        <f t="shared" si="4"/>
        <v>0</v>
      </c>
      <c r="L27" s="84">
        <f t="shared" si="5"/>
        <v>0</v>
      </c>
      <c r="M27" s="84">
        <f t="shared" si="6"/>
        <v>0</v>
      </c>
      <c r="N27" s="84">
        <f>S27*'Расчет Карго'!$M$4</f>
        <v>0</v>
      </c>
      <c r="O27" s="84">
        <f t="shared" si="7"/>
        <v>0</v>
      </c>
      <c r="P27" s="85">
        <f>IF(O27=0,_xlfn.XLOOKUP($A27,'Себес 1С текущ'!$B:$B,'Себес 1С текущ'!$E:$E,0,0),O27)</f>
        <v>0</v>
      </c>
      <c r="Q27" s="66">
        <f>_xlfn.XLOOKUP($B27,'[4] Расчет стоимости и веса'!$I:$I,'[4] Расчет стоимости и веса'!$O:$O,0,0)</f>
        <v>0</v>
      </c>
      <c r="R27" s="62"/>
      <c r="S27" s="83">
        <f>_xlfn.XLOOKUP($B27,'[4] Расчет стоимости и веса'!$J:$J,'[4] Расчет стоимости и веса'!$M:$M,0,0)</f>
        <v>0</v>
      </c>
      <c r="T27" s="83">
        <f t="shared" si="8"/>
        <v>0</v>
      </c>
      <c r="U27" s="86">
        <f t="shared" si="9"/>
        <v>0</v>
      </c>
    </row>
    <row r="28" spans="1:21" ht="39.950000000000003" hidden="1" customHeight="1" x14ac:dyDescent="0.25">
      <c r="A28" s="66" t="str">
        <f>_xlfn.XLOOKUP('Юнит Карго'!C28,Юнит!A:A,Юнит!C:C)</f>
        <v>ACRB1MS103LI</v>
      </c>
      <c r="B28" s="99">
        <f>IF(A28=0,"нет в продаже",_xlfn.XLOOKUP($A28,Юнит!$C:$C,Юнит!$A:$A,0,0))</f>
        <v>340743352</v>
      </c>
      <c r="C28" s="151">
        <v>340743352</v>
      </c>
      <c r="D28" s="92">
        <f>_xlfn.XLOOKUP(A28,Юнит!C:C,Юнит!B:B)</f>
        <v>2415742578</v>
      </c>
      <c r="E28" s="104" t="str">
        <f>_xlfn.XLOOKUP(A28,Юнит!C:C,Юнит!D:D)</f>
        <v>Мяч гладкий сиреневый</v>
      </c>
      <c r="F28" s="61"/>
      <c r="G28" s="96">
        <f>_xlfn.XLOOKUP($B28,'[4] Расчет стоимости и веса'!$J:$J,'[4] Расчет стоимости и веса'!$D:$D,0,0)</f>
        <v>0</v>
      </c>
      <c r="H28" s="83">
        <f>_xlfn.XLOOKUP($B28,'[4] Расчет стоимости и веса'!$J:$J,'[4] Расчет стоимости и веса'!$E:$E,0,0)</f>
        <v>0</v>
      </c>
      <c r="I28" s="84">
        <f>H28*'Расчет Карго'!$H$5</f>
        <v>0</v>
      </c>
      <c r="J28" s="84">
        <f>I28/'Расчет Карго'!$H$3</f>
        <v>0</v>
      </c>
      <c r="K28" s="83">
        <f t="shared" si="4"/>
        <v>0</v>
      </c>
      <c r="L28" s="84">
        <f t="shared" si="5"/>
        <v>0</v>
      </c>
      <c r="M28" s="84">
        <f t="shared" si="6"/>
        <v>0</v>
      </c>
      <c r="N28" s="84">
        <f>S28*'Расчет Карго'!$M$4</f>
        <v>0</v>
      </c>
      <c r="O28" s="84">
        <f t="shared" si="7"/>
        <v>0</v>
      </c>
      <c r="P28" s="85">
        <f>IF(O28=0,_xlfn.XLOOKUP($A28,'Себес 1С текущ'!$B:$B,'Себес 1С текущ'!$E:$E,0,0),O28)</f>
        <v>0</v>
      </c>
      <c r="Q28" s="66">
        <f>_xlfn.XLOOKUP($B28,'[4] Расчет стоимости и веса'!$I:$I,'[4] Расчет стоимости и веса'!$O:$O,0,0)</f>
        <v>0</v>
      </c>
      <c r="R28" s="62"/>
      <c r="S28" s="83">
        <f>_xlfn.XLOOKUP($B28,'[4] Расчет стоимости и веса'!$J:$J,'[4] Расчет стоимости и веса'!$M:$M,0,0)</f>
        <v>0</v>
      </c>
      <c r="T28" s="83">
        <f t="shared" si="8"/>
        <v>0</v>
      </c>
      <c r="U28" s="86">
        <f t="shared" si="9"/>
        <v>0</v>
      </c>
    </row>
    <row r="29" spans="1:21" ht="39.950000000000003" hidden="1" customHeight="1" x14ac:dyDescent="0.25">
      <c r="A29" s="66" t="str">
        <f>_xlfn.XLOOKUP('Юнит Карго'!C29,Юнит!A:A,Юнит!C:C)</f>
        <v>ACRB1MS103RJ</v>
      </c>
      <c r="B29" s="99">
        <f>IF(A29=0,"нет в продаже",_xlfn.XLOOKUP($A29,Юнит!$C:$C,Юнит!$A:$A,0,0))</f>
        <v>340743911</v>
      </c>
      <c r="C29" s="151">
        <v>340743911</v>
      </c>
      <c r="D29" s="92">
        <f>_xlfn.XLOOKUP(A29,Юнит!C:C,Юнит!B:B)</f>
        <v>2415742537</v>
      </c>
      <c r="E29" s="104" t="str">
        <f>_xlfn.XLOOKUP(A29,Юнит!C:C,Юнит!D:D)</f>
        <v>Мяч гладкий оранжевый</v>
      </c>
      <c r="F29" s="61"/>
      <c r="G29" s="96">
        <f>_xlfn.XLOOKUP($B29,'[4] Расчет стоимости и веса'!$J:$J,'[4] Расчет стоимости и веса'!$D:$D,0,0)</f>
        <v>0</v>
      </c>
      <c r="H29" s="83">
        <f>_xlfn.XLOOKUP($B29,'[4] Расчет стоимости и веса'!$J:$J,'[4] Расчет стоимости и веса'!$E:$E,0,0)</f>
        <v>0</v>
      </c>
      <c r="I29" s="84">
        <f>H29*'Расчет Карго'!$H$5</f>
        <v>0</v>
      </c>
      <c r="J29" s="84">
        <f>I29/'Расчет Карго'!$H$3</f>
        <v>0</v>
      </c>
      <c r="K29" s="83">
        <f t="shared" si="4"/>
        <v>0</v>
      </c>
      <c r="L29" s="84">
        <f t="shared" si="5"/>
        <v>0</v>
      </c>
      <c r="M29" s="84">
        <f t="shared" si="6"/>
        <v>0</v>
      </c>
      <c r="N29" s="84">
        <f>S29*'Расчет Карго'!$M$4</f>
        <v>0</v>
      </c>
      <c r="O29" s="84">
        <f t="shared" si="7"/>
        <v>0</v>
      </c>
      <c r="P29" s="85">
        <f>IF(O29=0,_xlfn.XLOOKUP($A29,'Себес 1С текущ'!$B:$B,'Себес 1С текущ'!$E:$E,0,0),O29)</f>
        <v>0</v>
      </c>
      <c r="Q29" s="66">
        <f>_xlfn.XLOOKUP($B29,'[4] Расчет стоимости и веса'!$I:$I,'[4] Расчет стоимости и веса'!$O:$O,0,0)</f>
        <v>0</v>
      </c>
      <c r="R29" s="62"/>
      <c r="S29" s="83">
        <f>_xlfn.XLOOKUP($B29,'[4] Расчет стоимости и веса'!$J:$J,'[4] Расчет стоимости и веса'!$M:$M,0,0)</f>
        <v>0</v>
      </c>
      <c r="T29" s="83">
        <f t="shared" si="8"/>
        <v>0</v>
      </c>
      <c r="U29" s="86">
        <f t="shared" si="9"/>
        <v>0</v>
      </c>
    </row>
    <row r="30" spans="1:21" ht="39.950000000000003" hidden="1" customHeight="1" x14ac:dyDescent="0.25">
      <c r="A30" s="66" t="str">
        <f>_xlfn.XLOOKUP('Юнит Карго'!C30,Юнит!A:A,Юнит!C:C)</f>
        <v>ACRB1SK101BC</v>
      </c>
      <c r="B30" s="99">
        <f>IF(A30=0,"нет в продаже",_xlfn.XLOOKUP($A30,Юнит!$C:$C,Юнит!$A:$A,0,0))</f>
        <v>271440668</v>
      </c>
      <c r="C30" s="151">
        <v>271440668</v>
      </c>
      <c r="D30" s="92">
        <f>_xlfn.XLOOKUP(A30,Юнит!C:C,Юнит!B:B)</f>
        <v>2415742680</v>
      </c>
      <c r="E30" s="104" t="str">
        <f>_xlfn.XLOOKUP(A30,Юнит!C:C,Юнит!D:D)</f>
        <v>Скакалка черная</v>
      </c>
      <c r="F30" s="61"/>
      <c r="G30" s="96">
        <f>_xlfn.XLOOKUP($B30,'[4] Расчет стоимости и веса'!$J:$J,'[4] Расчет стоимости и веса'!$D:$D,0,0)</f>
        <v>0</v>
      </c>
      <c r="H30" s="83">
        <f>_xlfn.XLOOKUP($B30,'[4] Расчет стоимости и веса'!$J:$J,'[4] Расчет стоимости и веса'!$E:$E,0,0)</f>
        <v>17</v>
      </c>
      <c r="I30" s="84">
        <f>H30*'Расчет Карго'!$H$5</f>
        <v>205.7</v>
      </c>
      <c r="J30" s="84">
        <f>I30/'Расчет Карго'!$H$3</f>
        <v>2.57125</v>
      </c>
      <c r="K30" s="83">
        <f t="shared" si="4"/>
        <v>0</v>
      </c>
      <c r="L30" s="84">
        <f t="shared" si="5"/>
        <v>0</v>
      </c>
      <c r="M30" s="84">
        <f t="shared" si="6"/>
        <v>0</v>
      </c>
      <c r="N30" s="84">
        <f>S30*'Расчет Карго'!$M$4</f>
        <v>71.027915530209128</v>
      </c>
      <c r="O30" s="84">
        <f t="shared" si="7"/>
        <v>276.72791553020909</v>
      </c>
      <c r="P30" s="85">
        <f>IF(O30=0,_xlfn.XLOOKUP($A30,'Себес 1С текущ'!$B:$B,'Себес 1С текущ'!$E:$E,0,0),O30)</f>
        <v>276.72791553020909</v>
      </c>
      <c r="Q30" s="66">
        <f>_xlfn.XLOOKUP($B30,'[4] Расчет стоимости и веса'!$I:$I,'[4] Расчет стоимости и веса'!$O:$O,0,0)</f>
        <v>200</v>
      </c>
      <c r="R30" s="62"/>
      <c r="S30" s="83">
        <f>_xlfn.XLOOKUP($B30,'[4] Расчет стоимости и веса'!$J:$J,'[4] Расчет стоимости и веса'!$M:$M,0,0)</f>
        <v>0.17</v>
      </c>
      <c r="T30" s="83">
        <f t="shared" si="8"/>
        <v>0.17</v>
      </c>
      <c r="U30" s="86">
        <f t="shared" si="9"/>
        <v>0</v>
      </c>
    </row>
    <row r="31" spans="1:21" ht="39.950000000000003" hidden="1" customHeight="1" x14ac:dyDescent="0.25">
      <c r="A31" s="66" t="str">
        <f>_xlfn.XLOOKUP('Юнит Карго'!C31,Юнит!A:A,Юнит!C:C)</f>
        <v>ACRB1SK101RD</v>
      </c>
      <c r="B31" s="99">
        <f>IF(A31=0,"нет в продаже",_xlfn.XLOOKUP($A31,Юнит!$C:$C,Юнит!$A:$A,0,0))</f>
        <v>271440669</v>
      </c>
      <c r="C31" s="151">
        <v>271440669</v>
      </c>
      <c r="D31" s="92">
        <f>_xlfn.XLOOKUP(A31,Юнит!C:C,Юнит!B:B)</f>
        <v>2415742649</v>
      </c>
      <c r="E31" s="104" t="str">
        <f>_xlfn.XLOOKUP(A31,Юнит!C:C,Юнит!D:D)</f>
        <v>Скакалка красная</v>
      </c>
      <c r="F31" s="61"/>
      <c r="G31" s="96">
        <f>_xlfn.XLOOKUP($B31,'[4] Расчет стоимости и веса'!$J:$J,'[4] Расчет стоимости и веса'!$D:$D,0,0)</f>
        <v>0</v>
      </c>
      <c r="H31" s="83">
        <f>_xlfn.XLOOKUP($B31,'[4] Расчет стоимости и веса'!$J:$J,'[4] Расчет стоимости и веса'!$E:$E,0,0)</f>
        <v>17</v>
      </c>
      <c r="I31" s="84">
        <f>H31*'Расчет Карго'!$H$5</f>
        <v>205.7</v>
      </c>
      <c r="J31" s="84">
        <f>I31/'Расчет Карго'!$H$3</f>
        <v>2.57125</v>
      </c>
      <c r="K31" s="83">
        <f t="shared" si="4"/>
        <v>0</v>
      </c>
      <c r="L31" s="84">
        <f t="shared" si="5"/>
        <v>0</v>
      </c>
      <c r="M31" s="84">
        <f t="shared" si="6"/>
        <v>0</v>
      </c>
      <c r="N31" s="84">
        <f>S31*'Расчет Карго'!$M$4</f>
        <v>71.027915530209128</v>
      </c>
      <c r="O31" s="84">
        <f t="shared" si="7"/>
        <v>276.72791553020909</v>
      </c>
      <c r="P31" s="85">
        <f>IF(O31=0,_xlfn.XLOOKUP($A31,'Себес 1С текущ'!$B:$B,'Себес 1С текущ'!$E:$E,0,0),O31)</f>
        <v>276.72791553020909</v>
      </c>
      <c r="Q31" s="66">
        <f>_xlfn.XLOOKUP($B31,'[4] Расчет стоимости и веса'!$I:$I,'[4] Расчет стоимости и веса'!$O:$O,0,0)</f>
        <v>200</v>
      </c>
      <c r="R31" s="62"/>
      <c r="S31" s="83">
        <f>_xlfn.XLOOKUP($B31,'[4] Расчет стоимости и веса'!$J:$J,'[4] Расчет стоимости и веса'!$M:$M,0,0)</f>
        <v>0.17</v>
      </c>
      <c r="T31" s="83">
        <f t="shared" si="8"/>
        <v>0.17</v>
      </c>
      <c r="U31" s="86">
        <f t="shared" si="9"/>
        <v>0</v>
      </c>
    </row>
    <row r="32" spans="1:21" ht="39.950000000000003" hidden="1" customHeight="1" x14ac:dyDescent="0.25">
      <c r="A32" s="66" t="str">
        <f>_xlfn.XLOOKUP('Юнит Карго'!C32,Юнит!A:A,Юнит!C:C)</f>
        <v>ACRB1SK101BL</v>
      </c>
      <c r="B32" s="99">
        <f>IF(A32=0,"нет в продаже",_xlfn.XLOOKUP($A32,Юнит!$C:$C,Юнит!$A:$A,0,0))</f>
        <v>271440670</v>
      </c>
      <c r="C32" s="151">
        <v>271440670</v>
      </c>
      <c r="D32" s="92">
        <f>_xlfn.XLOOKUP(A32,Юнит!C:C,Юнит!B:B)</f>
        <v>2415743140</v>
      </c>
      <c r="E32" s="104" t="str">
        <f>_xlfn.XLOOKUP(A32,Юнит!C:C,Юнит!D:D)</f>
        <v>Скакалка синяя</v>
      </c>
      <c r="F32" s="61"/>
      <c r="G32" s="96">
        <f>_xlfn.XLOOKUP($B32,'[4] Расчет стоимости и веса'!$J:$J,'[4] Расчет стоимости и веса'!$D:$D,0,0)</f>
        <v>0</v>
      </c>
      <c r="H32" s="83">
        <f>_xlfn.XLOOKUP($B32,'[4] Расчет стоимости и веса'!$J:$J,'[4] Расчет стоимости и веса'!$E:$E,0,0)</f>
        <v>17</v>
      </c>
      <c r="I32" s="84">
        <f>H32*'Расчет Карго'!$H$5</f>
        <v>205.7</v>
      </c>
      <c r="J32" s="84">
        <f>I32/'Расчет Карго'!$H$3</f>
        <v>2.57125</v>
      </c>
      <c r="K32" s="83">
        <f t="shared" si="4"/>
        <v>0</v>
      </c>
      <c r="L32" s="84">
        <f t="shared" si="5"/>
        <v>0</v>
      </c>
      <c r="M32" s="84">
        <f t="shared" si="6"/>
        <v>0</v>
      </c>
      <c r="N32" s="84">
        <f>S32*'Расчет Карго'!$M$4</f>
        <v>71.027915530209128</v>
      </c>
      <c r="O32" s="84">
        <f t="shared" si="7"/>
        <v>276.72791553020909</v>
      </c>
      <c r="P32" s="85">
        <f>IF(O32=0,_xlfn.XLOOKUP($A32,'Себес 1С текущ'!$B:$B,'Себес 1С текущ'!$E:$E,0,0),O32)</f>
        <v>276.72791553020909</v>
      </c>
      <c r="Q32" s="66">
        <f>_xlfn.XLOOKUP($B32,'[4] Расчет стоимости и веса'!$I:$I,'[4] Расчет стоимости и веса'!$O:$O,0,0)</f>
        <v>200</v>
      </c>
      <c r="R32" s="62"/>
      <c r="S32" s="83">
        <f>_xlfn.XLOOKUP($B32,'[4] Расчет стоимости и веса'!$J:$J,'[4] Расчет стоимости и веса'!$M:$M,0,0)</f>
        <v>0.17</v>
      </c>
      <c r="T32" s="83">
        <f t="shared" si="8"/>
        <v>0.17</v>
      </c>
      <c r="U32" s="86">
        <f t="shared" si="9"/>
        <v>0</v>
      </c>
    </row>
    <row r="33" spans="1:21" ht="39.950000000000003" hidden="1" customHeight="1" x14ac:dyDescent="0.25">
      <c r="A33" s="66" t="str">
        <f>_xlfn.XLOOKUP('Юнит Карго'!C33,Юнит!A:A,Юнит!C:C)</f>
        <v>ACRB1SK201BC</v>
      </c>
      <c r="B33" s="99">
        <f>IF(A33=0,"нет в продаже",_xlfn.XLOOKUP($A33,Юнит!$C:$C,Юнит!$A:$A,0,0))</f>
        <v>271441230</v>
      </c>
      <c r="C33" s="151">
        <v>271441230</v>
      </c>
      <c r="D33" s="92">
        <f>_xlfn.XLOOKUP(A33,Юнит!C:C,Юнит!B:B)</f>
        <v>0</v>
      </c>
      <c r="E33" s="104" t="str">
        <f>_xlfn.XLOOKUP(A33,Юнит!C:C,Юнит!D:D)</f>
        <v>Скакалка со счетчиком</v>
      </c>
      <c r="F33" s="61"/>
      <c r="G33" s="96">
        <f>_xlfn.XLOOKUP($B33,'[4] Расчет стоимости и веса'!$J:$J,'[4] Расчет стоимости и веса'!$D:$D,0,0)</f>
        <v>0</v>
      </c>
      <c r="H33" s="83">
        <f>_xlfn.XLOOKUP($B33,'[4] Расчет стоимости и веса'!$J:$J,'[4] Расчет стоимости и веса'!$E:$E,0,0)</f>
        <v>0</v>
      </c>
      <c r="I33" s="84">
        <f>H33*'Расчет Карго'!$H$5</f>
        <v>0</v>
      </c>
      <c r="J33" s="84">
        <f>I33/'Расчет Карго'!$H$3</f>
        <v>0</v>
      </c>
      <c r="K33" s="83">
        <f t="shared" si="4"/>
        <v>0</v>
      </c>
      <c r="L33" s="84">
        <f t="shared" si="5"/>
        <v>0</v>
      </c>
      <c r="M33" s="84">
        <f t="shared" si="6"/>
        <v>0</v>
      </c>
      <c r="N33" s="84">
        <f>S33*'Расчет Карго'!$M$4</f>
        <v>0</v>
      </c>
      <c r="O33" s="84">
        <f t="shared" si="7"/>
        <v>0</v>
      </c>
      <c r="P33" s="85">
        <f>IF(O33=0,_xlfn.XLOOKUP($A33,'Себес 1С текущ'!$B:$B,'Себес 1С текущ'!$E:$E,0,0),O33)</f>
        <v>0</v>
      </c>
      <c r="Q33" s="66">
        <f>_xlfn.XLOOKUP($B33,'[4] Расчет стоимости и веса'!$I:$I,'[4] Расчет стоимости и веса'!$O:$O,0,0)</f>
        <v>0</v>
      </c>
      <c r="R33" s="62"/>
      <c r="S33" s="83">
        <f>_xlfn.XLOOKUP($B33,'[4] Расчет стоимости и веса'!$J:$J,'[4] Расчет стоимости и веса'!$M:$M,0,0)</f>
        <v>0</v>
      </c>
      <c r="T33" s="83">
        <f t="shared" si="8"/>
        <v>0</v>
      </c>
      <c r="U33" s="86">
        <f t="shared" si="9"/>
        <v>0</v>
      </c>
    </row>
    <row r="34" spans="1:21" ht="39.950000000000003" customHeight="1" x14ac:dyDescent="0.25">
      <c r="A34" s="66" t="str">
        <f>_xlfn.XLOOKUP('Юнит Карго'!C34,Юнит!A:A,Юнит!C:C)</f>
        <v>ACRB3FR101CL</v>
      </c>
      <c r="B34" s="99">
        <f>IF(A34=0,"нет в продаже",_xlfn.XLOOKUP($A34,Юнит!$C:$C,Юнит!$A:$A,0,0))</f>
        <v>820643010</v>
      </c>
      <c r="C34" s="367">
        <v>820643010</v>
      </c>
      <c r="D34" s="92">
        <f>_xlfn.XLOOKUP(A34,Юнит!C:C,Юнит!B:B)</f>
        <v>0</v>
      </c>
      <c r="E34" s="104" t="str">
        <f>_xlfn.XLOOKUP(A34,Юнит!C:C,Юнит!D:D)</f>
        <v>Набор эластичных лент 3 шт. в мешке</v>
      </c>
      <c r="F34" s="61"/>
      <c r="G34" s="96">
        <f>_xlfn.XLOOKUP($B34,'[4] Расчет стоимости и веса'!$J:$J,'[4] Расчет стоимости и веса'!$D:$D,0,0)</f>
        <v>60</v>
      </c>
      <c r="H34" s="83">
        <f>_xlfn.XLOOKUP($B34,'[4] Расчет стоимости и веса'!$J:$J,'[4] Расчет стоимости и веса'!$E:$E,0,0)</f>
        <v>21</v>
      </c>
      <c r="I34" s="84">
        <f>H34*'Расчет Карго'!$H$5</f>
        <v>254.1</v>
      </c>
      <c r="J34" s="84">
        <f>I34/'Расчет Карго'!$H$3</f>
        <v>3.17625</v>
      </c>
      <c r="K34" s="83">
        <f t="shared" ref="K34:K35" si="10">G34*H34</f>
        <v>1260</v>
      </c>
      <c r="L34" s="84">
        <f t="shared" ref="L34:L35" si="11">G34*I34</f>
        <v>15246</v>
      </c>
      <c r="M34" s="84">
        <f t="shared" ref="M34:M35" si="12">J34*G34</f>
        <v>190.57499999999999</v>
      </c>
      <c r="N34" s="84">
        <f>S34*'Расчет Карго'!$M$4</f>
        <v>154.59016909516103</v>
      </c>
      <c r="O34" s="84">
        <f t="shared" ref="O34:O35" si="13">I34+N34</f>
        <v>408.69016909516102</v>
      </c>
      <c r="P34" s="85">
        <f>IF(O34=0,_xlfn.XLOOKUP($A34,'Себес 1С текущ'!$B:$B,'Себес 1С текущ'!$E:$E,0,0),O34)</f>
        <v>408.69016909516102</v>
      </c>
      <c r="Q34" s="66">
        <f>_xlfn.XLOOKUP($B34,'[4] Расчет стоимости и веса'!$I:$I,'[4] Расчет стоимости и веса'!$O:$O,0,0)</f>
        <v>0</v>
      </c>
      <c r="R34" s="62"/>
      <c r="S34" s="83">
        <v>0.37</v>
      </c>
      <c r="T34" s="83">
        <f t="shared" ref="T34:T50" si="14">S34</f>
        <v>0.37</v>
      </c>
      <c r="U34" s="86">
        <f t="shared" ref="U34:U50" si="15">G34*T34</f>
        <v>22.2</v>
      </c>
    </row>
    <row r="35" spans="1:21" ht="39.950000000000003" customHeight="1" x14ac:dyDescent="0.25">
      <c r="A35" s="66" t="str">
        <f>_xlfn.XLOOKUP('Юнит Карго'!C35,Юнит!A:A,Юнит!C:C)</f>
        <v>ACRB5FR200CL</v>
      </c>
      <c r="B35" s="99">
        <f>IF(A35=0,"нет в продаже",_xlfn.XLOOKUP($A35,Юнит!$C:$C,Юнит!$A:$A,0,0))</f>
        <v>550539998</v>
      </c>
      <c r="C35" s="367">
        <v>550539998</v>
      </c>
      <c r="D35" s="92">
        <f>_xlfn.XLOOKUP(A35,Юнит!C:C,Юнит!B:B)</f>
        <v>0</v>
      </c>
      <c r="E35" s="104" t="str">
        <f>_xlfn.XLOOKUP(A35,Юнит!C:C,Юнит!D:D)</f>
        <v>Набор эластичных лент 5 шт. в мешке</v>
      </c>
      <c r="F35" s="61"/>
      <c r="G35" s="96">
        <f>_xlfn.XLOOKUP($B35,'[4] Расчет стоимости и веса'!$J:$J,'[4] Расчет стоимости и веса'!$D:$D,0,0)</f>
        <v>30</v>
      </c>
      <c r="H35" s="83">
        <f>_xlfn.XLOOKUP($B35,'[4] Расчет стоимости и веса'!$J:$J,'[4] Расчет стоимости и веса'!$E:$E,0,0)</f>
        <v>29</v>
      </c>
      <c r="I35" s="84">
        <f>H35*'Расчет Карго'!$H$5</f>
        <v>350.9</v>
      </c>
      <c r="J35" s="84">
        <f>I35/'Расчет Карго'!$H$3</f>
        <v>4.3862499999999995</v>
      </c>
      <c r="K35" s="83">
        <f t="shared" si="10"/>
        <v>870</v>
      </c>
      <c r="L35" s="84">
        <f t="shared" si="11"/>
        <v>10527</v>
      </c>
      <c r="M35" s="84">
        <f t="shared" si="12"/>
        <v>131.58749999999998</v>
      </c>
      <c r="N35" s="84">
        <f>S35*'Расчет Карго'!$M$4</f>
        <v>100.27470427794229</v>
      </c>
      <c r="O35" s="84">
        <f t="shared" si="13"/>
        <v>451.17470427794228</v>
      </c>
      <c r="P35" s="85">
        <f>IF(O35=0,_xlfn.XLOOKUP($A35,'Себес 1С текущ'!$B:$B,'Себес 1С текущ'!$E:$E,0,0),O35)</f>
        <v>451.17470427794228</v>
      </c>
      <c r="Q35" s="66">
        <f>_xlfn.XLOOKUP($B35,'[4] Расчет стоимости и веса'!$I:$I,'[4] Расчет стоимости и веса'!$O:$O,0,0)</f>
        <v>0</v>
      </c>
      <c r="R35" s="62"/>
      <c r="S35" s="83">
        <v>0.24</v>
      </c>
      <c r="T35" s="83">
        <f t="shared" si="14"/>
        <v>0.24</v>
      </c>
      <c r="U35" s="86">
        <f t="shared" si="15"/>
        <v>7.1999999999999993</v>
      </c>
    </row>
    <row r="36" spans="1:21" ht="39.950000000000003" hidden="1" customHeight="1" x14ac:dyDescent="0.25">
      <c r="A36" s="66" t="str">
        <f>_xlfn.XLOOKUP('Юнит Карго'!C36,Юнит!A:A,Юнит!C:C)</f>
        <v>ACRB4FR300CL</v>
      </c>
      <c r="B36" s="410">
        <v>550539999</v>
      </c>
      <c r="C36" s="367">
        <v>550539999</v>
      </c>
      <c r="D36" s="92">
        <f>_xlfn.XLOOKUP(A36,Юнит!C:C,Юнит!B:B)</f>
        <v>0</v>
      </c>
      <c r="E36" s="104" t="str">
        <f>_xlfn.XLOOKUP(A36,Юнит!C:C,Юнит!D:D)</f>
        <v>Набор эластичных лент 4 шт.</v>
      </c>
      <c r="F36" s="61"/>
      <c r="G36" s="96">
        <f>_xlfn.XLOOKUP($B36,'[4] Расчет стоимости и веса'!$J:$J,'[4] Расчет стоимости и веса'!$D:$D,0,0)</f>
        <v>0</v>
      </c>
      <c r="H36" s="83">
        <f>_xlfn.XLOOKUP($B36,'[4] Расчет стоимости и веса'!$J:$J,'[4] Расчет стоимости и веса'!$E:$E,0,0)</f>
        <v>15.2</v>
      </c>
      <c r="I36" s="84">
        <f>H36*'Расчет Карго'!$H$5</f>
        <v>183.92</v>
      </c>
      <c r="J36" s="84">
        <f>I36/'Расчет Карго'!$H$3</f>
        <v>2.2989999999999999</v>
      </c>
      <c r="K36" s="83">
        <f>G36*H36</f>
        <v>0</v>
      </c>
      <c r="L36" s="84">
        <f>G36*I36</f>
        <v>0</v>
      </c>
      <c r="M36" s="84">
        <f>J36*G36</f>
        <v>0</v>
      </c>
      <c r="N36" s="84">
        <f>S36*'Расчет Карго'!$M$4</f>
        <v>104.45281695618989</v>
      </c>
      <c r="O36" s="84">
        <f>I36+N36</f>
        <v>288.37281695618987</v>
      </c>
      <c r="P36" s="85">
        <f>IF(O36=0,_xlfn.XLOOKUP($A36,'Себес 1С текущ'!$B:$B,'Себес 1С текущ'!$E:$E,0,0),O36)</f>
        <v>288.37281695618987</v>
      </c>
      <c r="Q36" s="66">
        <f>_xlfn.XLOOKUP($B36,'[4] Расчет стоимости и веса'!$I:$I,'[4] Расчет стоимости и веса'!$O:$O,0,0)</f>
        <v>0</v>
      </c>
      <c r="R36" s="62"/>
      <c r="S36" s="83">
        <v>0.25</v>
      </c>
      <c r="T36" s="83">
        <f>S36</f>
        <v>0.25</v>
      </c>
      <c r="U36" s="86">
        <f>G36*T36</f>
        <v>0</v>
      </c>
    </row>
    <row r="37" spans="1:21" ht="39.950000000000003" hidden="1" customHeight="1" x14ac:dyDescent="0.25">
      <c r="A37" s="66" t="str">
        <f>_xlfn.XLOOKUP('Юнит Карго'!C37,Юнит!A:A,Юнит!C:C)</f>
        <v>ACRB5FR400CL</v>
      </c>
      <c r="B37" s="410" t="s">
        <v>1049</v>
      </c>
      <c r="C37" s="367">
        <v>550540000</v>
      </c>
      <c r="D37" s="92">
        <f>_xlfn.XLOOKUP(A37,Юнит!C:C,Юнит!B:B)</f>
        <v>0</v>
      </c>
      <c r="E37" s="104" t="str">
        <f>_xlfn.XLOOKUP(A37,Юнит!C:C,Юнит!D:D)</f>
        <v>Набор эластичных лент 5 шт.</v>
      </c>
      <c r="F37" s="434"/>
      <c r="G37" s="96">
        <f>_xlfn.XLOOKUP($B37,'[4] Расчет стоимости и веса'!$J:$J,'[4] Расчет стоимости и веса'!$D:$D,0,0)</f>
        <v>0</v>
      </c>
      <c r="H37" s="83">
        <f>_xlfn.XLOOKUP($B37,'[4] Расчет стоимости и веса'!$J:$J,'[4] Расчет стоимости и веса'!$E:$E,0,0)</f>
        <v>0.82</v>
      </c>
      <c r="I37" s="84">
        <f>H37*'Расчет Карго'!$H$5</f>
        <v>9.9219999999999988</v>
      </c>
      <c r="J37" s="84">
        <f>I37/'Расчет Карго'!$H$3</f>
        <v>0.12402499999999998</v>
      </c>
      <c r="K37" s="83">
        <f>G37*H37</f>
        <v>0</v>
      </c>
      <c r="L37" s="84">
        <f>G37*I37</f>
        <v>0</v>
      </c>
      <c r="M37" s="84">
        <f>J37*G37</f>
        <v>0</v>
      </c>
      <c r="N37" s="84">
        <f>S37*'Расчет Карго'!$M$4</f>
        <v>5.849357749546634</v>
      </c>
      <c r="O37" s="84">
        <f>I37+N37</f>
        <v>15.771357749546633</v>
      </c>
      <c r="P37" s="85">
        <f>SUM(O37:O41)</f>
        <v>124.82640847809492</v>
      </c>
      <c r="Q37" s="66">
        <f>_xlfn.XLOOKUP($B37,'[4] Расчет стоимости и веса'!$I:$I,'[4] Расчет стоимости и веса'!$O:$O,0,0)</f>
        <v>0</v>
      </c>
      <c r="R37" s="62"/>
      <c r="S37" s="83">
        <v>1.4E-2</v>
      </c>
      <c r="T37" s="83">
        <f>S37</f>
        <v>1.4E-2</v>
      </c>
      <c r="U37" s="86">
        <f>G37*T37</f>
        <v>0</v>
      </c>
    </row>
    <row r="38" spans="1:21" ht="39.950000000000003" hidden="1" customHeight="1" x14ac:dyDescent="0.25">
      <c r="A38" s="66"/>
      <c r="B38" s="410" t="s">
        <v>1050</v>
      </c>
      <c r="C38" s="367"/>
      <c r="D38" s="92">
        <f>_xlfn.XLOOKUP(A38,Юнит!C:C,Юнит!B:B)</f>
        <v>0</v>
      </c>
      <c r="E38" s="104">
        <f>_xlfn.XLOOKUP(A38,Юнит!C:C,Юнит!D:D)</f>
        <v>0</v>
      </c>
      <c r="F38" s="434"/>
      <c r="G38" s="96">
        <f>_xlfn.XLOOKUP($B38,'[4] Расчет стоимости и веса'!$J:$J,'[4] Расчет стоимости и веса'!$D:$D,0,0)</f>
        <v>0</v>
      </c>
      <c r="H38" s="83">
        <f>_xlfn.XLOOKUP($B38,'[4] Расчет стоимости и веса'!$J:$J,'[4] Расчет стоимости и веса'!$E:$E,0,0)</f>
        <v>1</v>
      </c>
      <c r="I38" s="84">
        <f>H38*'Расчет Карго'!$H$5</f>
        <v>12.1</v>
      </c>
      <c r="J38" s="84">
        <f>I38/'Расчет Карго'!$H$3</f>
        <v>0.15125</v>
      </c>
      <c r="K38" s="83">
        <f t="shared" ref="K38:K41" si="16">G38*H38</f>
        <v>0</v>
      </c>
      <c r="L38" s="84">
        <f t="shared" ref="L38:L41" si="17">G38*I38</f>
        <v>0</v>
      </c>
      <c r="M38" s="84">
        <f t="shared" ref="M38:M41" si="18">J38*G38</f>
        <v>0</v>
      </c>
      <c r="N38" s="84">
        <f>S38*'Расчет Карго'!$M$4</f>
        <v>8.774036624319951</v>
      </c>
      <c r="O38" s="84">
        <f t="shared" ref="O38:O41" si="19">I38+N38</f>
        <v>20.874036624319949</v>
      </c>
      <c r="P38" s="85"/>
      <c r="Q38" s="66"/>
      <c r="R38" s="62"/>
      <c r="S38" s="83">
        <v>2.1000000000000001E-2</v>
      </c>
      <c r="T38" s="83">
        <f t="shared" ref="T38:T41" si="20">S38</f>
        <v>2.1000000000000001E-2</v>
      </c>
      <c r="U38" s="86">
        <f t="shared" ref="U38:U41" si="21">G38*T38</f>
        <v>0</v>
      </c>
    </row>
    <row r="39" spans="1:21" ht="39.950000000000003" hidden="1" customHeight="1" x14ac:dyDescent="0.25">
      <c r="A39" s="66"/>
      <c r="B39" s="410" t="s">
        <v>1051</v>
      </c>
      <c r="C39" s="367"/>
      <c r="D39" s="92">
        <f>_xlfn.XLOOKUP(A39,Юнит!C:C,Юнит!B:B)</f>
        <v>0</v>
      </c>
      <c r="E39" s="104">
        <f>_xlfn.XLOOKUP(A39,Юнит!C:C,Юнит!D:D)</f>
        <v>0</v>
      </c>
      <c r="F39" s="434"/>
      <c r="G39" s="96">
        <f>_xlfn.XLOOKUP($B39,'[4] Расчет стоимости и веса'!$J:$J,'[4] Расчет стоимости и веса'!$D:$D,0,0)</f>
        <v>0</v>
      </c>
      <c r="H39" s="83">
        <f>_xlfn.XLOOKUP($B39,'[4] Расчет стоимости и веса'!$J:$J,'[4] Расчет стоимости и веса'!$E:$E,0,0)</f>
        <v>1.23</v>
      </c>
      <c r="I39" s="84">
        <f>H39*'Расчет Карго'!$H$5</f>
        <v>14.882999999999999</v>
      </c>
      <c r="J39" s="84">
        <f>I39/'Расчет Карго'!$H$3</f>
        <v>0.18603749999999999</v>
      </c>
      <c r="K39" s="83">
        <f t="shared" si="16"/>
        <v>0</v>
      </c>
      <c r="L39" s="84">
        <f t="shared" si="17"/>
        <v>0</v>
      </c>
      <c r="M39" s="84">
        <f t="shared" si="18"/>
        <v>0</v>
      </c>
      <c r="N39" s="84">
        <f>S39*'Расчет Карго'!$M$4</f>
        <v>10.863092963443748</v>
      </c>
      <c r="O39" s="84">
        <f t="shared" si="19"/>
        <v>25.746092963443747</v>
      </c>
      <c r="P39" s="85"/>
      <c r="Q39" s="66"/>
      <c r="R39" s="62"/>
      <c r="S39" s="83">
        <v>2.5999999999999999E-2</v>
      </c>
      <c r="T39" s="83">
        <f t="shared" si="20"/>
        <v>2.5999999999999999E-2</v>
      </c>
      <c r="U39" s="86">
        <f t="shared" si="21"/>
        <v>0</v>
      </c>
    </row>
    <row r="40" spans="1:21" ht="39.950000000000003" hidden="1" customHeight="1" x14ac:dyDescent="0.25">
      <c r="A40" s="66"/>
      <c r="B40" s="410" t="s">
        <v>1052</v>
      </c>
      <c r="C40" s="367"/>
      <c r="D40" s="92">
        <f>_xlfn.XLOOKUP(A40,Юнит!C:C,Юнит!B:B)</f>
        <v>0</v>
      </c>
      <c r="E40" s="104">
        <f>_xlfn.XLOOKUP(A40,Юнит!C:C,Юнит!D:D)</f>
        <v>0</v>
      </c>
      <c r="F40" s="434"/>
      <c r="G40" s="96">
        <f>_xlfn.XLOOKUP($B40,'[4] Расчет стоимости и веса'!$J:$J,'[4] Расчет стоимости и веса'!$D:$D,0,0)</f>
        <v>0</v>
      </c>
      <c r="H40" s="83">
        <f>_xlfn.XLOOKUP($B40,'[4] Расчет стоимости и веса'!$J:$J,'[4] Расчет стоимости и веса'!$E:$E,0,0)</f>
        <v>1.3</v>
      </c>
      <c r="I40" s="84">
        <f>H40*'Расчет Карго'!$H$5</f>
        <v>15.73</v>
      </c>
      <c r="J40" s="84">
        <f>I40/'Расчет Карго'!$H$3</f>
        <v>0.19662499999999999</v>
      </c>
      <c r="K40" s="83">
        <f t="shared" si="16"/>
        <v>0</v>
      </c>
      <c r="L40" s="84">
        <f t="shared" si="17"/>
        <v>0</v>
      </c>
      <c r="M40" s="84">
        <f t="shared" si="18"/>
        <v>0</v>
      </c>
      <c r="N40" s="84">
        <f>S40*'Расчет Карго'!$M$4</f>
        <v>12.952149302567546</v>
      </c>
      <c r="O40" s="84">
        <f t="shared" si="19"/>
        <v>28.682149302567545</v>
      </c>
      <c r="P40" s="85"/>
      <c r="Q40" s="66"/>
      <c r="R40" s="62"/>
      <c r="S40" s="83">
        <v>3.1E-2</v>
      </c>
      <c r="T40" s="83">
        <f t="shared" si="20"/>
        <v>3.1E-2</v>
      </c>
      <c r="U40" s="86">
        <f t="shared" si="21"/>
        <v>0</v>
      </c>
    </row>
    <row r="41" spans="1:21" ht="39.950000000000003" hidden="1" customHeight="1" x14ac:dyDescent="0.25">
      <c r="A41" s="66"/>
      <c r="B41" s="410" t="s">
        <v>1053</v>
      </c>
      <c r="C41" s="367"/>
      <c r="D41" s="92">
        <f>_xlfn.XLOOKUP(A41,Юнит!C:C,Юнит!B:B)</f>
        <v>0</v>
      </c>
      <c r="E41" s="104">
        <f>_xlfn.XLOOKUP(A41,Юнит!C:C,Юнит!D:D)</f>
        <v>0</v>
      </c>
      <c r="F41" s="434"/>
      <c r="G41" s="96">
        <f>_xlfn.XLOOKUP($B41,'[4] Расчет стоимости и веса'!$J:$J,'[4] Расчет стоимости и веса'!$D:$D,0,0)</f>
        <v>0</v>
      </c>
      <c r="H41" s="83">
        <f>_xlfn.XLOOKUP($B41,'[4] Расчет стоимости и веса'!$J:$J,'[4] Расчет стоимости и веса'!$E:$E,0,0)</f>
        <v>1.65</v>
      </c>
      <c r="I41" s="84">
        <f>H41*'Расчет Карго'!$H$5</f>
        <v>19.965</v>
      </c>
      <c r="J41" s="84">
        <f>I41/'Расчет Карго'!$H$3</f>
        <v>0.24956249999999999</v>
      </c>
      <c r="K41" s="83">
        <f t="shared" si="16"/>
        <v>0</v>
      </c>
      <c r="L41" s="84">
        <f t="shared" si="17"/>
        <v>0</v>
      </c>
      <c r="M41" s="84">
        <f t="shared" si="18"/>
        <v>0</v>
      </c>
      <c r="N41" s="84">
        <f>S41*'Расчет Карго'!$M$4</f>
        <v>13.787771838217067</v>
      </c>
      <c r="O41" s="84">
        <f t="shared" si="19"/>
        <v>33.752771838217065</v>
      </c>
      <c r="P41" s="85"/>
      <c r="Q41" s="66"/>
      <c r="R41" s="62"/>
      <c r="S41" s="83">
        <v>3.3000000000000002E-2</v>
      </c>
      <c r="T41" s="83">
        <f t="shared" si="20"/>
        <v>3.3000000000000002E-2</v>
      </c>
      <c r="U41" s="86">
        <f t="shared" si="21"/>
        <v>0</v>
      </c>
    </row>
    <row r="42" spans="1:21" hidden="1" x14ac:dyDescent="0.25">
      <c r="D42" s="92">
        <f>_xlfn.XLOOKUP(A42,Юнит!C:C,Юнит!B:B)</f>
        <v>0</v>
      </c>
      <c r="E42" s="104">
        <f>_xlfn.XLOOKUP(A42,Юнит!C:C,Юнит!D:D)</f>
        <v>0</v>
      </c>
      <c r="G42" s="96">
        <f>_xlfn.XLOOKUP($B42,'[4] Расчет стоимости и веса'!$J:$J,'[4] Расчет стоимости и веса'!$D:$D,0,0)</f>
        <v>0</v>
      </c>
      <c r="H42" s="83"/>
      <c r="I42" s="84"/>
      <c r="J42" s="84"/>
      <c r="K42" s="83"/>
      <c r="L42" s="84"/>
      <c r="M42" s="84"/>
      <c r="N42" s="84"/>
      <c r="O42" s="84"/>
    </row>
    <row r="43" spans="1:21" ht="39.950000000000003" hidden="1" customHeight="1" x14ac:dyDescent="0.25">
      <c r="A43" s="66" t="str">
        <f>_xlfn.XLOOKUP('Юнит Карго'!C43,Юнит!A:A,Юнит!C:C)</f>
        <v>ACRF1KP101BC</v>
      </c>
      <c r="B43" s="99">
        <f>IF(A43=0,"нет в продаже",_xlfn.XLOOKUP($A43,Юнит!$C:$C,Юнит!$A:$A,0,0))</f>
        <v>550445272</v>
      </c>
      <c r="C43" s="151">
        <v>550445272</v>
      </c>
      <c r="D43" s="92">
        <f>_xlfn.XLOOKUP(A43,Юнит!C:C,Юнит!B:B)</f>
        <v>0</v>
      </c>
      <c r="E43" s="104" t="str">
        <f>_xlfn.XLOOKUP(A43,Юнит!C:C,Юнит!D:D)</f>
        <v>Капа черный/красный - черная коробка</v>
      </c>
      <c r="F43" s="61"/>
      <c r="G43" s="96">
        <f>_xlfn.XLOOKUP($B43,'[4] Расчет стоимости и веса'!$J:$J,'[4] Расчет стоимости и веса'!$D:$D,0,0)</f>
        <v>0</v>
      </c>
      <c r="H43" s="83">
        <v>4.5</v>
      </c>
      <c r="I43" s="84">
        <f>H43*'Расчет Карго'!$H$5</f>
        <v>54.449999999999996</v>
      </c>
      <c r="J43" s="84">
        <f>I43/'Расчет Карго'!$H$3</f>
        <v>0.68062499999999992</v>
      </c>
      <c r="K43" s="83">
        <f t="shared" ref="K43:K50" si="22">G43*H43</f>
        <v>0</v>
      </c>
      <c r="L43" s="84">
        <f t="shared" ref="L43:L50" si="23">G43*I43</f>
        <v>0</v>
      </c>
      <c r="M43" s="84">
        <f t="shared" ref="M43:M50" si="24">J43*G43</f>
        <v>0</v>
      </c>
      <c r="N43" s="84">
        <f>S43*'Расчет Карго'!$M$4</f>
        <v>16.712450712990382</v>
      </c>
      <c r="O43" s="84">
        <f t="shared" ref="O43:O50" si="25">I43+N43</f>
        <v>71.162450712990378</v>
      </c>
      <c r="P43" s="85">
        <f>IF(O43=0,_xlfn.XLOOKUP($A43,'Себес 1С текущ'!$B:$B,'Себес 1С текущ'!$E:$E,0,0),O43)</f>
        <v>71.162450712990378</v>
      </c>
      <c r="Q43" s="66">
        <f>_xlfn.XLOOKUP($B43,'[4] Расчет стоимости и веса'!$I:$I,'[4] Расчет стоимости и веса'!$O:$O,0,0)</f>
        <v>300</v>
      </c>
      <c r="R43" s="62"/>
      <c r="S43" s="83">
        <v>0.04</v>
      </c>
      <c r="T43" s="83">
        <f t="shared" si="14"/>
        <v>0.04</v>
      </c>
      <c r="U43" s="86">
        <f t="shared" si="15"/>
        <v>0</v>
      </c>
    </row>
    <row r="44" spans="1:21" ht="39.950000000000003" hidden="1" customHeight="1" x14ac:dyDescent="0.25">
      <c r="A44" s="66" t="str">
        <f>_xlfn.XLOOKUP('Юнит Карго'!C44,Юнит!A:A,Юнит!C:C)</f>
        <v>ACRF1KP102BC</v>
      </c>
      <c r="B44" s="99">
        <f>IF(A44=0,"нет в продаже",_xlfn.XLOOKUP($A44,Юнит!$C:$C,Юнит!$A:$A,0,0))</f>
        <v>550445274</v>
      </c>
      <c r="C44" s="151">
        <v>550445274</v>
      </c>
      <c r="D44" s="92">
        <f>_xlfn.XLOOKUP(A44,Юнит!C:C,Юнит!B:B)</f>
        <v>0</v>
      </c>
      <c r="E44" s="104" t="str">
        <f>_xlfn.XLOOKUP(A44,Юнит!C:C,Юнит!D:D)</f>
        <v>Капа черный/белый-черная коробка</v>
      </c>
      <c r="F44" s="61"/>
      <c r="G44" s="96">
        <f>_xlfn.XLOOKUP($B44,'[4] Расчет стоимости и веса'!$J:$J,'[4] Расчет стоимости и веса'!$D:$D,0,0)</f>
        <v>0</v>
      </c>
      <c r="H44" s="83">
        <v>4.5</v>
      </c>
      <c r="I44" s="84">
        <f>H44*'Расчет Карго'!$H$5</f>
        <v>54.449999999999996</v>
      </c>
      <c r="J44" s="84">
        <f>I44/'Расчет Карго'!$H$3</f>
        <v>0.68062499999999992</v>
      </c>
      <c r="K44" s="83">
        <f t="shared" si="22"/>
        <v>0</v>
      </c>
      <c r="L44" s="84">
        <f t="shared" si="23"/>
        <v>0</v>
      </c>
      <c r="M44" s="84">
        <f t="shared" si="24"/>
        <v>0</v>
      </c>
      <c r="N44" s="84">
        <f>S44*'Расчет Карго'!$M$4</f>
        <v>16.712450712990382</v>
      </c>
      <c r="O44" s="84">
        <f t="shared" si="25"/>
        <v>71.162450712990378</v>
      </c>
      <c r="P44" s="85">
        <f>IF(O44=0,_xlfn.XLOOKUP($A44,'Себес 1С текущ'!$B:$B,'Себес 1С текущ'!$E:$E,0,0),O44)</f>
        <v>71.162450712990378</v>
      </c>
      <c r="Q44" s="66">
        <f>_xlfn.XLOOKUP($B44,'[4] Расчет стоимости и веса'!$I:$I,'[4] Расчет стоимости и веса'!$O:$O,0,0)</f>
        <v>300</v>
      </c>
      <c r="R44" s="62"/>
      <c r="S44" s="83">
        <v>0.04</v>
      </c>
      <c r="T44" s="83">
        <f t="shared" si="14"/>
        <v>0.04</v>
      </c>
      <c r="U44" s="86">
        <f t="shared" si="15"/>
        <v>0</v>
      </c>
    </row>
    <row r="45" spans="1:21" ht="39.950000000000003" hidden="1" customHeight="1" x14ac:dyDescent="0.25">
      <c r="A45" s="66" t="str">
        <f>_xlfn.XLOOKUP('Юнит Карго'!C45,Юнит!A:A,Юнит!C:C)</f>
        <v>ACRF1KP103BC</v>
      </c>
      <c r="B45" s="99">
        <f>IF(A45=0,"нет в продаже",_xlfn.XLOOKUP($A45,Юнит!$C:$C,Юнит!$A:$A,0,0))</f>
        <v>550445275</v>
      </c>
      <c r="C45" s="151">
        <v>550445275</v>
      </c>
      <c r="D45" s="92">
        <f>_xlfn.XLOOKUP(A45,Юнит!C:C,Юнит!B:B)</f>
        <v>0</v>
      </c>
      <c r="E45" s="104" t="str">
        <f>_xlfn.XLOOKUP(A45,Юнит!C:C,Юнит!D:D)</f>
        <v>Капа белый/черный</v>
      </c>
      <c r="F45" s="61"/>
      <c r="G45" s="96">
        <f>_xlfn.XLOOKUP($B45,'[4] Расчет стоимости и веса'!$J:$J,'[4] Расчет стоимости и веса'!$D:$D,0,0)</f>
        <v>0</v>
      </c>
      <c r="H45" s="83">
        <v>4.5</v>
      </c>
      <c r="I45" s="84">
        <f>H45*'Расчет Карго'!$H$5</f>
        <v>54.449999999999996</v>
      </c>
      <c r="J45" s="84">
        <f>I45/'Расчет Карго'!$H$3</f>
        <v>0.68062499999999992</v>
      </c>
      <c r="K45" s="83">
        <f t="shared" si="22"/>
        <v>0</v>
      </c>
      <c r="L45" s="84">
        <f t="shared" si="23"/>
        <v>0</v>
      </c>
      <c r="M45" s="84">
        <f t="shared" si="24"/>
        <v>0</v>
      </c>
      <c r="N45" s="84">
        <f>S45*'Расчет Карго'!$M$4</f>
        <v>16.712450712990382</v>
      </c>
      <c r="O45" s="84">
        <f t="shared" si="25"/>
        <v>71.162450712990378</v>
      </c>
      <c r="P45" s="85">
        <f>IF(O45=0,_xlfn.XLOOKUP($A45,'Себес 1С текущ'!$B:$B,'Себес 1С текущ'!$E:$E,0,0),O45)</f>
        <v>71.162450712990378</v>
      </c>
      <c r="Q45" s="66">
        <f>_xlfn.XLOOKUP($B45,'[4] Расчет стоимости и веса'!$I:$I,'[4] Расчет стоимости и веса'!$O:$O,0,0)</f>
        <v>300</v>
      </c>
      <c r="R45" s="62"/>
      <c r="S45" s="83">
        <v>0.04</v>
      </c>
      <c r="T45" s="83">
        <f t="shared" si="14"/>
        <v>0.04</v>
      </c>
      <c r="U45" s="86">
        <f t="shared" si="15"/>
        <v>0</v>
      </c>
    </row>
    <row r="46" spans="1:21" ht="39.950000000000003" hidden="1" customHeight="1" x14ac:dyDescent="0.25">
      <c r="A46" s="66" t="str">
        <f>_xlfn.XLOOKUP('Юнит Карго'!C46,Юнит!A:A,Юнит!C:C)</f>
        <v>ACRF1KP101RD</v>
      </c>
      <c r="B46" s="99">
        <f>IF(A46=0,"нет в продаже",_xlfn.XLOOKUP($A46,Юнит!$C:$C,Юнит!$A:$A,0,0))</f>
        <v>550445277</v>
      </c>
      <c r="C46" s="151">
        <v>550445277</v>
      </c>
      <c r="D46" s="92">
        <f>_xlfn.XLOOKUP(A46,Юнит!C:C,Юнит!B:B)</f>
        <v>0</v>
      </c>
      <c r="E46" s="104" t="str">
        <f>_xlfn.XLOOKUP(A46,Юнит!C:C,Юнит!D:D)</f>
        <v>Капа белый/красный</v>
      </c>
      <c r="F46" s="61"/>
      <c r="G46" s="96">
        <f>_xlfn.XLOOKUP($B46,'[4] Расчет стоимости и веса'!$J:$J,'[4] Расчет стоимости и веса'!$D:$D,0,0)</f>
        <v>0</v>
      </c>
      <c r="H46" s="83">
        <v>4.5</v>
      </c>
      <c r="I46" s="84">
        <f>H46*'Расчет Карго'!$H$5</f>
        <v>54.449999999999996</v>
      </c>
      <c r="J46" s="84">
        <f>I46/'Расчет Карго'!$H$3</f>
        <v>0.68062499999999992</v>
      </c>
      <c r="K46" s="83">
        <f t="shared" si="22"/>
        <v>0</v>
      </c>
      <c r="L46" s="84">
        <f t="shared" si="23"/>
        <v>0</v>
      </c>
      <c r="M46" s="84">
        <f t="shared" si="24"/>
        <v>0</v>
      </c>
      <c r="N46" s="84">
        <f>S46*'Расчет Карго'!$M$4</f>
        <v>16.712450712990382</v>
      </c>
      <c r="O46" s="84">
        <f t="shared" si="25"/>
        <v>71.162450712990378</v>
      </c>
      <c r="P46" s="85">
        <f>IF(O46=0,_xlfn.XLOOKUP($A46,'Себес 1С текущ'!$B:$B,'Себес 1С текущ'!$E:$E,0,0),O46)</f>
        <v>71.162450712990378</v>
      </c>
      <c r="Q46" s="66">
        <f>_xlfn.XLOOKUP($B46,'[4] Расчет стоимости и веса'!$I:$I,'[4] Расчет стоимости и веса'!$O:$O,0,0)</f>
        <v>300</v>
      </c>
      <c r="R46" s="62"/>
      <c r="S46" s="83">
        <v>0.04</v>
      </c>
      <c r="T46" s="83">
        <f t="shared" si="14"/>
        <v>0.04</v>
      </c>
      <c r="U46" s="86">
        <f t="shared" si="15"/>
        <v>0</v>
      </c>
    </row>
    <row r="47" spans="1:21" ht="39.950000000000003" hidden="1" customHeight="1" x14ac:dyDescent="0.25">
      <c r="A47" s="66" t="str">
        <f>_xlfn.XLOOKUP('Юнит Карго'!C47,Юнит!A:A,Юнит!C:C)</f>
        <v>ACRF1KP102RD</v>
      </c>
      <c r="B47" s="99">
        <f>IF(A47=0,"нет в продаже",_xlfn.XLOOKUP($A47,Юнит!$C:$C,Юнит!$A:$A,0,0))</f>
        <v>550445279</v>
      </c>
      <c r="C47" s="151">
        <v>550445279</v>
      </c>
      <c r="D47" s="92">
        <f>_xlfn.XLOOKUP(A47,Юнит!C:C,Юнит!B:B)</f>
        <v>0</v>
      </c>
      <c r="E47" s="104" t="str">
        <f>_xlfn.XLOOKUP(A47,Юнит!C:C,Юнит!D:D)</f>
        <v>Капа красный/белый</v>
      </c>
      <c r="F47" s="61"/>
      <c r="G47" s="96">
        <f>_xlfn.XLOOKUP($B47,'[4] Расчет стоимости и веса'!$J:$J,'[4] Расчет стоимости и веса'!$D:$D,0,0)</f>
        <v>0</v>
      </c>
      <c r="H47" s="83">
        <v>4.5</v>
      </c>
      <c r="I47" s="84">
        <f>H47*'Расчет Карго'!$H$5</f>
        <v>54.449999999999996</v>
      </c>
      <c r="J47" s="84">
        <f>I47/'Расчет Карго'!$H$3</f>
        <v>0.68062499999999992</v>
      </c>
      <c r="K47" s="83">
        <f t="shared" si="22"/>
        <v>0</v>
      </c>
      <c r="L47" s="84">
        <f t="shared" si="23"/>
        <v>0</v>
      </c>
      <c r="M47" s="84">
        <f t="shared" si="24"/>
        <v>0</v>
      </c>
      <c r="N47" s="84">
        <f>S47*'Расчет Карго'!$M$4</f>
        <v>16.712450712990382</v>
      </c>
      <c r="O47" s="84">
        <f t="shared" si="25"/>
        <v>71.162450712990378</v>
      </c>
      <c r="P47" s="85">
        <f>IF(O47=0,_xlfn.XLOOKUP($A47,'Себес 1С текущ'!$B:$B,'Себес 1С текущ'!$E:$E,0,0),O47)</f>
        <v>71.162450712990378</v>
      </c>
      <c r="Q47" s="66">
        <f>_xlfn.XLOOKUP($B47,'[4] Расчет стоимости и веса'!$I:$I,'[4] Расчет стоимости и веса'!$O:$O,0,0)</f>
        <v>300</v>
      </c>
      <c r="R47" s="62"/>
      <c r="S47" s="83">
        <v>0.04</v>
      </c>
      <c r="T47" s="83">
        <f t="shared" si="14"/>
        <v>0.04</v>
      </c>
      <c r="U47" s="86">
        <f t="shared" si="15"/>
        <v>0</v>
      </c>
    </row>
    <row r="48" spans="1:21" ht="39.950000000000003" hidden="1" customHeight="1" x14ac:dyDescent="0.25">
      <c r="A48" s="66" t="str">
        <f>_xlfn.XLOOKUP('Юнит Карго'!C48,Юнит!A:A,Юнит!C:C)</f>
        <v>ACRF1KP101BL</v>
      </c>
      <c r="B48" s="99">
        <f>IF(A48=0,"нет в продаже",_xlfn.XLOOKUP($A48,Юнит!$C:$C,Юнит!$A:$A,0,0))</f>
        <v>550445280</v>
      </c>
      <c r="C48" s="151">
        <v>550445280</v>
      </c>
      <c r="D48" s="92">
        <f>_xlfn.XLOOKUP(A48,Юнит!C:C,Юнит!B:B)</f>
        <v>0</v>
      </c>
      <c r="E48" s="104" t="str">
        <f>_xlfn.XLOOKUP(A48,Юнит!C:C,Юнит!D:D)</f>
        <v>Капа синий/белый</v>
      </c>
      <c r="F48" s="61"/>
      <c r="G48" s="96">
        <f>_xlfn.XLOOKUP($B48,'[4] Расчет стоимости и веса'!$J:$J,'[4] Расчет стоимости и веса'!$D:$D,0,0)</f>
        <v>0</v>
      </c>
      <c r="H48" s="83">
        <v>4.5</v>
      </c>
      <c r="I48" s="84">
        <f>H48*'Расчет Карго'!$H$5</f>
        <v>54.449999999999996</v>
      </c>
      <c r="J48" s="84">
        <f>I48/'Расчет Карго'!$H$3</f>
        <v>0.68062499999999992</v>
      </c>
      <c r="K48" s="83">
        <f t="shared" si="22"/>
        <v>0</v>
      </c>
      <c r="L48" s="84">
        <f t="shared" si="23"/>
        <v>0</v>
      </c>
      <c r="M48" s="84">
        <f t="shared" si="24"/>
        <v>0</v>
      </c>
      <c r="N48" s="84">
        <f>S48*'Расчет Карго'!$M$4</f>
        <v>16.712450712990382</v>
      </c>
      <c r="O48" s="84">
        <f t="shared" si="25"/>
        <v>71.162450712990378</v>
      </c>
      <c r="P48" s="85">
        <f>IF(O48=0,_xlfn.XLOOKUP($A48,'Себес 1С текущ'!$B:$B,'Себес 1С текущ'!$E:$E,0,0),O48)</f>
        <v>71.162450712990378</v>
      </c>
      <c r="Q48" s="66">
        <f>_xlfn.XLOOKUP($B48,'[4] Расчет стоимости и веса'!$I:$I,'[4] Расчет стоимости и веса'!$O:$O,0,0)</f>
        <v>0</v>
      </c>
      <c r="R48" s="62"/>
      <c r="S48" s="83">
        <v>0.04</v>
      </c>
      <c r="T48" s="83">
        <f t="shared" si="14"/>
        <v>0.04</v>
      </c>
      <c r="U48" s="86">
        <f t="shared" si="15"/>
        <v>0</v>
      </c>
    </row>
    <row r="49" spans="1:21" ht="39.950000000000003" hidden="1" customHeight="1" x14ac:dyDescent="0.25">
      <c r="A49" s="66" t="str">
        <f>_xlfn.XLOOKUP('Юнит Карго'!C49,Юнит!A:A,Юнит!C:C)</f>
        <v>ACRF1KP101GN</v>
      </c>
      <c r="B49" s="99">
        <f>IF(A49=0,"нет в продаже",_xlfn.XLOOKUP($A49,Юнит!$C:$C,Юнит!$A:$A,0,0))</f>
        <v>550445281</v>
      </c>
      <c r="C49" s="151">
        <v>550445281</v>
      </c>
      <c r="D49" s="92">
        <f>_xlfn.XLOOKUP(A49,Юнит!C:C,Юнит!B:B)</f>
        <v>0</v>
      </c>
      <c r="E49" s="104" t="str">
        <f>_xlfn.XLOOKUP(A49,Юнит!C:C,Юнит!D:D)</f>
        <v>Капа зеленый/белый</v>
      </c>
      <c r="F49" s="61"/>
      <c r="G49" s="96">
        <f>_xlfn.XLOOKUP($B49,'[4] Расчет стоимости и веса'!$J:$J,'[4] Расчет стоимости и веса'!$D:$D,0,0)</f>
        <v>0</v>
      </c>
      <c r="H49" s="83">
        <v>4.5</v>
      </c>
      <c r="I49" s="84">
        <f>H49*'Расчет Карго'!$H$5</f>
        <v>54.449999999999996</v>
      </c>
      <c r="J49" s="84">
        <f>I49/'Расчет Карго'!$H$3</f>
        <v>0.68062499999999992</v>
      </c>
      <c r="K49" s="83">
        <f t="shared" si="22"/>
        <v>0</v>
      </c>
      <c r="L49" s="84">
        <f t="shared" si="23"/>
        <v>0</v>
      </c>
      <c r="M49" s="84">
        <f t="shared" si="24"/>
        <v>0</v>
      </c>
      <c r="N49" s="84">
        <f>S49*'Расчет Карго'!$M$4</f>
        <v>16.712450712990382</v>
      </c>
      <c r="O49" s="84">
        <f t="shared" si="25"/>
        <v>71.162450712990378</v>
      </c>
      <c r="P49" s="85">
        <f>IF(O49=0,_xlfn.XLOOKUP($A49,'Себес 1С текущ'!$B:$B,'Себес 1С текущ'!$E:$E,0,0),O49)</f>
        <v>71.162450712990378</v>
      </c>
      <c r="Q49" s="66">
        <f>_xlfn.XLOOKUP($B49,'[4] Расчет стоимости и веса'!$I:$I,'[4] Расчет стоимости и веса'!$O:$O,0,0)</f>
        <v>0</v>
      </c>
      <c r="R49" s="62"/>
      <c r="S49" s="83">
        <v>0.04</v>
      </c>
      <c r="T49" s="83">
        <f t="shared" si="14"/>
        <v>0.04</v>
      </c>
      <c r="U49" s="86">
        <f t="shared" si="15"/>
        <v>0</v>
      </c>
    </row>
    <row r="50" spans="1:21" ht="39.950000000000003" hidden="1" customHeight="1" x14ac:dyDescent="0.25">
      <c r="A50" s="66" t="str">
        <f>_xlfn.XLOOKUP('Юнит Карго'!C50,Юнит!A:A,Юнит!C:C)</f>
        <v>ACRF1KP102GN</v>
      </c>
      <c r="B50" s="99">
        <f>IF(A50=0,"нет в продаже",_xlfn.XLOOKUP($A50,Юнит!$C:$C,Юнит!$A:$A,0,0))</f>
        <v>550445283</v>
      </c>
      <c r="C50" s="151">
        <v>550445283</v>
      </c>
      <c r="D50" s="92">
        <f>_xlfn.XLOOKUP(A50,Юнит!C:C,Юнит!B:B)</f>
        <v>0</v>
      </c>
      <c r="E50" s="104" t="str">
        <f>_xlfn.XLOOKUP(A50,Юнит!C:C,Юнит!D:D)</f>
        <v>Капа зеленый/черный</v>
      </c>
      <c r="F50" s="61"/>
      <c r="G50" s="96">
        <f>_xlfn.XLOOKUP($B50,'[4] Расчет стоимости и веса'!$J:$J,'[4] Расчет стоимости и веса'!$D:$D,0,0)</f>
        <v>0</v>
      </c>
      <c r="H50" s="83">
        <v>4.5</v>
      </c>
      <c r="I50" s="84">
        <f>H50*'Расчет Карго'!$H$5</f>
        <v>54.449999999999996</v>
      </c>
      <c r="J50" s="84">
        <f>I50/'Расчет Карго'!$H$3</f>
        <v>0.68062499999999992</v>
      </c>
      <c r="K50" s="83">
        <f t="shared" si="22"/>
        <v>0</v>
      </c>
      <c r="L50" s="84">
        <f t="shared" si="23"/>
        <v>0</v>
      </c>
      <c r="M50" s="84">
        <f t="shared" si="24"/>
        <v>0</v>
      </c>
      <c r="N50" s="84">
        <f>S50*'Расчет Карго'!$M$4</f>
        <v>16.712450712990382</v>
      </c>
      <c r="O50" s="84">
        <f t="shared" si="25"/>
        <v>71.162450712990378</v>
      </c>
      <c r="P50" s="85">
        <f>IF(O50=0,_xlfn.XLOOKUP($A50,'Себес 1С текущ'!$B:$B,'Себес 1С текущ'!$E:$E,0,0),O50)</f>
        <v>71.162450712990378</v>
      </c>
      <c r="Q50" s="66">
        <f>_xlfn.XLOOKUP($B50,'[4] Расчет стоимости и веса'!$I:$I,'[4] Расчет стоимости и веса'!$O:$O,0,0)</f>
        <v>0</v>
      </c>
      <c r="R50" s="62"/>
      <c r="S50" s="83">
        <v>0.04</v>
      </c>
      <c r="T50" s="83">
        <f t="shared" si="14"/>
        <v>0.04</v>
      </c>
      <c r="U50" s="86">
        <f t="shared" si="15"/>
        <v>0</v>
      </c>
    </row>
    <row r="51" spans="1:21" ht="39.950000000000003" customHeight="1" x14ac:dyDescent="0.25">
      <c r="A51" s="66" t="str">
        <f>_xlfn.XLOOKUP('Юнит Карго'!C51,Юнит!A:A,Юнит!C:C)</f>
        <v>ACRA7TB201BC</v>
      </c>
      <c r="B51" s="99">
        <f>IF(A51=0,"нет в продаже",_xlfn.XLOOKUP($A51,Юнит!$C:$C,Юнит!$A:$A,0,0))</f>
        <v>186826338</v>
      </c>
      <c r="C51" s="151">
        <v>186826338</v>
      </c>
      <c r="D51" s="92">
        <f>_xlfn.XLOOKUP(A51,Юнит!C:C,Юнит!B:B)</f>
        <v>1980946313</v>
      </c>
      <c r="E51" s="104" t="str">
        <f>_xlfn.XLOOKUP(A51,Юнит!C:C,Юнит!D:D)</f>
        <v>Таблетница прям 7*2 черн</v>
      </c>
      <c r="F51" s="102"/>
      <c r="G51" s="96">
        <f>_xlfn.XLOOKUP($B51,'[4] Расчет стоимости и веса'!$J:$J,'[4] Расчет стоимости и веса'!$D:$D,0,0)</f>
        <v>72</v>
      </c>
      <c r="H51" s="83">
        <f>_xlfn.XLOOKUP($B51,'[4] Расчет стоимости и веса'!$J:$J,'[4] Расчет стоимости и веса'!$E:$E,0,0)</f>
        <v>9.5</v>
      </c>
      <c r="I51" s="84">
        <f>H51*'Расчет Карго'!$H$5</f>
        <v>114.95</v>
      </c>
      <c r="J51" s="84">
        <f>I51/'Расчет Карго'!$H$3</f>
        <v>1.4368750000000001</v>
      </c>
      <c r="K51" s="83">
        <f>G51*H51</f>
        <v>684</v>
      </c>
      <c r="L51" s="84">
        <f>G51*I51</f>
        <v>8276.4</v>
      </c>
      <c r="M51" s="84">
        <f>J51*G51</f>
        <v>103.45500000000001</v>
      </c>
      <c r="N51" s="84">
        <f>S51*'Расчет Карго'!$M$4</f>
        <v>66.849802851961527</v>
      </c>
      <c r="O51" s="84">
        <f>I51+N51</f>
        <v>181.79980285196154</v>
      </c>
      <c r="P51" s="85">
        <f>IF(O51=0,_xlfn.XLOOKUP($A51,'Себес 1С текущ'!$B:$B,'Себес 1С текущ'!$E:$E,0,0),O51)</f>
        <v>181.79980285196154</v>
      </c>
      <c r="Q51" s="66">
        <f>_xlfn.XLOOKUP($B51,'[4] Расчет стоимости и веса'!$I:$I,'[4] Расчет стоимости и веса'!$O:$O,0,0)</f>
        <v>72</v>
      </c>
      <c r="R51" s="103" t="s">
        <v>159</v>
      </c>
      <c r="S51" s="83">
        <f>_xlfn.XLOOKUP($B51,'[4] Расчет стоимости и веса'!$J:$J,'[4] Расчет стоимости и веса'!$M:$M,0,0)</f>
        <v>0.16</v>
      </c>
      <c r="T51" s="83">
        <f>S51</f>
        <v>0.16</v>
      </c>
      <c r="U51" s="86">
        <f>G51*T51</f>
        <v>11.52</v>
      </c>
    </row>
    <row r="52" spans="1:21" ht="39.950000000000003" customHeight="1" x14ac:dyDescent="0.25">
      <c r="A52" s="66" t="str">
        <f>_xlfn.XLOOKUP('Юнит Карго'!C52,Юнит!A:A,Юнит!C:C)</f>
        <v>ACRA7TB201CL</v>
      </c>
      <c r="B52" s="99">
        <f>IF(A52=0,"нет в продаже",_xlfn.XLOOKUP($A52,Юнит!$C:$C,Юнит!$A:$A,0,0))</f>
        <v>419130077</v>
      </c>
      <c r="C52" s="151">
        <v>419130077</v>
      </c>
      <c r="D52" s="92">
        <f>_xlfn.XLOOKUP(A52,Юнит!C:C,Юнит!B:B)</f>
        <v>2168964833</v>
      </c>
      <c r="E52" s="104" t="str">
        <f>_xlfn.XLOOKUP(A52,Юнит!C:C,Юнит!D:D)</f>
        <v>Таблетница прям 7*2 черн/цветн</v>
      </c>
      <c r="F52" s="102"/>
      <c r="G52" s="96">
        <f>_xlfn.XLOOKUP($B52,'[4] Расчет стоимости и веса'!$J:$J,'[4] Расчет стоимости и веса'!$D:$D,0,0)</f>
        <v>72</v>
      </c>
      <c r="H52" s="83">
        <f>_xlfn.XLOOKUP($B52,'[4] Расчет стоимости и веса'!$J:$J,'[4] Расчет стоимости и веса'!$E:$E,0,0)</f>
        <v>9.5</v>
      </c>
      <c r="I52" s="84">
        <f>H52*'Расчет Карго'!$H$5</f>
        <v>114.95</v>
      </c>
      <c r="J52" s="84">
        <f>I52/'Расчет Карго'!$H$3</f>
        <v>1.4368750000000001</v>
      </c>
      <c r="K52" s="83">
        <f>G52*H52</f>
        <v>684</v>
      </c>
      <c r="L52" s="84">
        <f>G52*I52</f>
        <v>8276.4</v>
      </c>
      <c r="M52" s="84">
        <f>J52*G52</f>
        <v>103.45500000000001</v>
      </c>
      <c r="N52" s="84">
        <f>S52*'Расчет Карго'!$M$4</f>
        <v>66.849802851961527</v>
      </c>
      <c r="O52" s="84">
        <f>I52+N52</f>
        <v>181.79980285196154</v>
      </c>
      <c r="P52" s="85">
        <f>IF(O52=0,_xlfn.XLOOKUP($A52,'Себес 1С текущ'!$B:$B,'Себес 1С текущ'!$E:$E,0,0),O52)</f>
        <v>181.79980285196154</v>
      </c>
      <c r="Q52" s="66">
        <f>_xlfn.XLOOKUP($B52,'[4] Расчет стоимости и веса'!$I:$I,'[4] Расчет стоимости и веса'!$O:$O,0,0)</f>
        <v>72</v>
      </c>
      <c r="R52" s="103" t="s">
        <v>159</v>
      </c>
      <c r="S52" s="83">
        <f>_xlfn.XLOOKUP($B52,'[4] Расчет стоимости и веса'!$J:$J,'[4] Расчет стоимости и веса'!$M:$M,0,0)</f>
        <v>0.16</v>
      </c>
      <c r="T52" s="83">
        <f t="shared" ref="T52:T54" si="26">S52</f>
        <v>0.16</v>
      </c>
      <c r="U52" s="86">
        <f t="shared" ref="U52:U54" si="27">G52*T52</f>
        <v>11.52</v>
      </c>
    </row>
    <row r="53" spans="1:21" ht="39.950000000000003" customHeight="1" x14ac:dyDescent="0.25">
      <c r="A53" s="66" t="str">
        <f>_xlfn.XLOOKUP('Юнит Карго'!C53,Юнит!A:A,Юнит!C:C)</f>
        <v>ACRA7TB201WH</v>
      </c>
      <c r="B53" s="99">
        <f>IF(A53=0,"нет в продаже",_xlfn.XLOOKUP($A53,Юнит!$C:$C,Юнит!$A:$A,0,0))</f>
        <v>448248943</v>
      </c>
      <c r="C53" s="367">
        <v>448248943</v>
      </c>
      <c r="D53" s="92">
        <f>_xlfn.XLOOKUP(A53,Юнит!C:C,Юнит!B:B)</f>
        <v>2409846808</v>
      </c>
      <c r="E53" s="104" t="str">
        <f>_xlfn.XLOOKUP(A53,Юнит!C:C,Юнит!D:D)</f>
        <v>Таблетница прям 7*2 бел/цветн</v>
      </c>
      <c r="F53" s="65"/>
      <c r="G53" s="96">
        <f>_xlfn.XLOOKUP($B53,'[4] Расчет стоимости и веса'!$J:$J,'[4] Расчет стоимости и веса'!$D:$D,0,0)</f>
        <v>72</v>
      </c>
      <c r="H53" s="83">
        <f>_xlfn.XLOOKUP($B53,'[4] Расчет стоимости и веса'!$J:$J,'[4] Расчет стоимости и веса'!$E:$E,0,0)</f>
        <v>9.5</v>
      </c>
      <c r="I53" s="84">
        <f>H53*'Расчет Карго'!$H$5</f>
        <v>114.95</v>
      </c>
      <c r="J53" s="84">
        <f>I53/'Расчет Карго'!$H$3</f>
        <v>1.4368750000000001</v>
      </c>
      <c r="K53" s="83">
        <f t="shared" ref="K53:K54" si="28">G53*H53</f>
        <v>684</v>
      </c>
      <c r="L53" s="84">
        <f t="shared" ref="L53:L54" si="29">G53*I53</f>
        <v>8276.4</v>
      </c>
      <c r="M53" s="84">
        <f t="shared" ref="M53:M54" si="30">J53*G53</f>
        <v>103.45500000000001</v>
      </c>
      <c r="N53" s="84">
        <f>S53*'Расчет Карго'!$M$4</f>
        <v>66.849802851961527</v>
      </c>
      <c r="O53" s="84">
        <f t="shared" ref="O53:O54" si="31">I53+N53</f>
        <v>181.79980285196154</v>
      </c>
      <c r="P53" s="85">
        <f>IF(O53=0,_xlfn.XLOOKUP($A53,'Себес 1С текущ'!$B:$B,'Себес 1С текущ'!$E:$E,0,0),O53)</f>
        <v>181.79980285196154</v>
      </c>
      <c r="Q53" s="66">
        <f>_xlfn.XLOOKUP($B53,'[4] Расчет стоимости и веса'!$I:$I,'[4] Расчет стоимости и веса'!$O:$O,0,0)</f>
        <v>72</v>
      </c>
      <c r="R53" s="103" t="s">
        <v>159</v>
      </c>
      <c r="S53" s="83">
        <f>_xlfn.XLOOKUP($B53,'[4] Расчет стоимости и веса'!$J:$J,'[4] Расчет стоимости и веса'!$M:$M,0,0)</f>
        <v>0.16</v>
      </c>
      <c r="T53" s="83">
        <f t="shared" si="26"/>
        <v>0.16</v>
      </c>
      <c r="U53" s="86">
        <f t="shared" si="27"/>
        <v>11.52</v>
      </c>
    </row>
    <row r="54" spans="1:21" ht="39.950000000000003" customHeight="1" x14ac:dyDescent="0.25">
      <c r="A54" s="66" t="str">
        <f>_xlfn.XLOOKUP('Юнит Карго'!C54,Юнит!A:A,Юнит!C:C)</f>
        <v>ACRA7TB201LI</v>
      </c>
      <c r="B54" s="99">
        <f>IF(A54=0,"нет в продаже",_xlfn.XLOOKUP($A54,Юнит!$C:$C,Юнит!$A:$A,0,0))</f>
        <v>448254852</v>
      </c>
      <c r="C54" s="367">
        <v>448254852</v>
      </c>
      <c r="D54" s="92">
        <f>_xlfn.XLOOKUP(A54,Юнит!C:C,Юнит!B:B)</f>
        <v>2409845343</v>
      </c>
      <c r="E54" s="104" t="str">
        <f>_xlfn.XLOOKUP(A54,Юнит!C:C,Юнит!D:D)</f>
        <v>Таблетница прям 7*2 сирен/цветн</v>
      </c>
      <c r="F54" s="65"/>
      <c r="G54" s="96">
        <f>_xlfn.XLOOKUP($B54,'[4] Расчет стоимости и веса'!$J:$J,'[4] Расчет стоимости и веса'!$D:$D,0,0)</f>
        <v>36</v>
      </c>
      <c r="H54" s="83">
        <f>_xlfn.XLOOKUP($B54,'[4] Расчет стоимости и веса'!$J:$J,'[4] Расчет стоимости и веса'!$E:$E,0,0)</f>
        <v>9.5</v>
      </c>
      <c r="I54" s="84">
        <f>H54*'Расчет Карго'!$H$5</f>
        <v>114.95</v>
      </c>
      <c r="J54" s="84">
        <f>I54/'Расчет Карго'!$H$3</f>
        <v>1.4368750000000001</v>
      </c>
      <c r="K54" s="83">
        <f t="shared" si="28"/>
        <v>342</v>
      </c>
      <c r="L54" s="84">
        <f t="shared" si="29"/>
        <v>4138.2</v>
      </c>
      <c r="M54" s="84">
        <f t="shared" si="30"/>
        <v>51.727500000000006</v>
      </c>
      <c r="N54" s="84">
        <f>S54*'Расчет Карго'!$M$4</f>
        <v>66.849802851961527</v>
      </c>
      <c r="O54" s="84">
        <f t="shared" si="31"/>
        <v>181.79980285196154</v>
      </c>
      <c r="P54" s="85">
        <f>IF(O54=0,_xlfn.XLOOKUP($A54,'Себес 1С текущ'!$B:$B,'Себес 1С текущ'!$E:$E,0,0),O54)</f>
        <v>181.79980285196154</v>
      </c>
      <c r="Q54" s="66">
        <f>_xlfn.XLOOKUP($B54,'[4] Расчет стоимости и веса'!$I:$I,'[4] Расчет стоимости и веса'!$O:$O,0,0)</f>
        <v>72</v>
      </c>
      <c r="R54" s="103" t="s">
        <v>159</v>
      </c>
      <c r="S54" s="83">
        <f>_xlfn.XLOOKUP($B54,'[4] Расчет стоимости и веса'!$J:$J,'[4] Расчет стоимости и веса'!$M:$M,0,0)</f>
        <v>0.16</v>
      </c>
      <c r="T54" s="83">
        <f t="shared" si="26"/>
        <v>0.16</v>
      </c>
      <c r="U54" s="86">
        <f t="shared" si="27"/>
        <v>5.76</v>
      </c>
    </row>
    <row r="55" spans="1:21" ht="39.950000000000003" hidden="1" customHeight="1" x14ac:dyDescent="0.25">
      <c r="A55" s="66" t="str">
        <f>_xlfn.XLOOKUP('Юнит Карго'!C55,Юнит!A:A,Юнит!C:C)</f>
        <v>ACRA7TB101BC</v>
      </c>
      <c r="B55" s="99">
        <f>IF(A55=0,"нет в продаже",_xlfn.XLOOKUP($A55,Юнит!$C:$C,Юнит!$A:$A,0,0))</f>
        <v>186800214</v>
      </c>
      <c r="C55" s="151">
        <v>186800214</v>
      </c>
      <c r="D55" s="92">
        <f>_xlfn.XLOOKUP(A55,Юнит!C:C,Юнит!B:B)</f>
        <v>2087001323</v>
      </c>
      <c r="E55" s="104" t="str">
        <f>_xlfn.XLOOKUP(A55,Юнит!C:C,Юнит!D:D)</f>
        <v>Таблетница круглая 7*2 черн</v>
      </c>
      <c r="F55" s="61"/>
      <c r="G55" s="96">
        <f>_xlfn.XLOOKUP($B55,'[4] Расчет стоимости и веса'!$J:$J,'[4] Расчет стоимости и веса'!$D:$D,0,0)</f>
        <v>0</v>
      </c>
      <c r="H55" s="83">
        <f>_xlfn.XLOOKUP($B55,'[4] Расчет стоимости и веса'!$J:$J,'[4] Расчет стоимости и веса'!$E:$E,0,0)</f>
        <v>14.5</v>
      </c>
      <c r="I55" s="84">
        <f>H55*'Расчет Карго'!$H$5</f>
        <v>175.45</v>
      </c>
      <c r="J55" s="84">
        <f>I55/'Расчет Карго'!$H$3</f>
        <v>2.1931249999999998</v>
      </c>
      <c r="K55" s="83">
        <f t="shared" ref="K55:K60" si="32">G55*H55</f>
        <v>0</v>
      </c>
      <c r="L55" s="84">
        <f t="shared" ref="L55:L60" si="33">G55*I55</f>
        <v>0</v>
      </c>
      <c r="M55" s="84">
        <f t="shared" ref="M55:M60" si="34">J55*G55</f>
        <v>0</v>
      </c>
      <c r="N55" s="84">
        <f>S55*'Расчет Карго'!$M$4</f>
        <v>68.938859191085328</v>
      </c>
      <c r="O55" s="84">
        <f t="shared" ref="O55:O60" si="35">I55+N55</f>
        <v>244.38885919108532</v>
      </c>
      <c r="P55" s="85">
        <f>IF(O55=0,_xlfn.XLOOKUP($A55,'Себес 1С текущ'!$B:$B,'Себес 1С текущ'!$E:$E,0,0),O55)</f>
        <v>244.38885919108532</v>
      </c>
      <c r="Q55" s="66">
        <f>_xlfn.XLOOKUP($B55,'[4] Расчет стоимости и веса'!$I:$I,'[4] Расчет стоимости и веса'!$O:$O,0,0)</f>
        <v>60</v>
      </c>
      <c r="R55" s="62" t="s">
        <v>85</v>
      </c>
      <c r="S55" s="83">
        <f>_xlfn.XLOOKUP($B55,'[4] Расчет стоимости и веса'!$J:$J,'[4] Расчет стоимости и веса'!$M:$M,0,0)</f>
        <v>0.16500000000000001</v>
      </c>
      <c r="T55" s="83">
        <f t="shared" ref="T55:T60" si="36">S55</f>
        <v>0.16500000000000001</v>
      </c>
      <c r="U55" s="86">
        <f t="shared" ref="U55:U60" si="37">G55*T55</f>
        <v>0</v>
      </c>
    </row>
    <row r="56" spans="1:21" ht="39.950000000000003" hidden="1" customHeight="1" x14ac:dyDescent="0.25">
      <c r="A56" s="66" t="str">
        <f>_xlfn.XLOOKUP('Юнит Карго'!C56,Юнит!A:A,Юнит!C:C)</f>
        <v>ACRA7TB101CL</v>
      </c>
      <c r="B56" s="99">
        <f>IF(A56=0,"нет в продаже",_xlfn.XLOOKUP($A56,Юнит!$C:$C,Юнит!$A:$A,0,0))</f>
        <v>298193176</v>
      </c>
      <c r="C56" s="151">
        <v>298193176</v>
      </c>
      <c r="D56" s="92">
        <f>_xlfn.XLOOKUP(A56,Юнит!C:C,Юнит!B:B)</f>
        <v>2087000633</v>
      </c>
      <c r="E56" s="104" t="str">
        <f>_xlfn.XLOOKUP(A56,Юнит!C:C,Юнит!D:D)</f>
        <v>Таблетница круглая 7*2 черн/цвет</v>
      </c>
      <c r="F56" s="61"/>
      <c r="G56" s="96">
        <f>_xlfn.XLOOKUP($B56,'[4] Расчет стоимости и веса'!$J:$J,'[4] Расчет стоимости и веса'!$D:$D,0,0)</f>
        <v>0</v>
      </c>
      <c r="H56" s="83">
        <f>_xlfn.XLOOKUP($B56,'[4] Расчет стоимости и веса'!$J:$J,'[4] Расчет стоимости и веса'!$E:$E,0,0)</f>
        <v>14.5</v>
      </c>
      <c r="I56" s="84">
        <f>H56*'Расчет Карго'!$H$5</f>
        <v>175.45</v>
      </c>
      <c r="J56" s="84">
        <f>I56/'Расчет Карго'!$H$3</f>
        <v>2.1931249999999998</v>
      </c>
      <c r="K56" s="83">
        <f t="shared" si="32"/>
        <v>0</v>
      </c>
      <c r="L56" s="84">
        <f t="shared" si="33"/>
        <v>0</v>
      </c>
      <c r="M56" s="84">
        <f t="shared" si="34"/>
        <v>0</v>
      </c>
      <c r="N56" s="84">
        <f>S56*'Расчет Карго'!$M$4</f>
        <v>68.938859191085328</v>
      </c>
      <c r="O56" s="84">
        <f t="shared" si="35"/>
        <v>244.38885919108532</v>
      </c>
      <c r="P56" s="85">
        <f>IF(O56=0,_xlfn.XLOOKUP($A56,'Себес 1С текущ'!$B:$B,'Себес 1С текущ'!$E:$E,0,0),O56)</f>
        <v>244.38885919108532</v>
      </c>
      <c r="Q56" s="66">
        <f>_xlfn.XLOOKUP($B56,'[4] Расчет стоимости и веса'!$I:$I,'[4] Расчет стоимости и веса'!$O:$O,0,0)</f>
        <v>60</v>
      </c>
      <c r="R56" s="62" t="s">
        <v>309</v>
      </c>
      <c r="S56" s="83">
        <f>_xlfn.XLOOKUP($B56,'[4] Расчет стоимости и веса'!$J:$J,'[4] Расчет стоимости и веса'!$M:$M,0,0)</f>
        <v>0.16500000000000001</v>
      </c>
      <c r="T56" s="83">
        <f t="shared" si="36"/>
        <v>0.16500000000000001</v>
      </c>
      <c r="U56" s="86">
        <f t="shared" si="37"/>
        <v>0</v>
      </c>
    </row>
    <row r="57" spans="1:21" ht="39.950000000000003" customHeight="1" x14ac:dyDescent="0.25">
      <c r="A57" s="66" t="str">
        <f>_xlfn.XLOOKUP('Юнит Карго'!C57,Юнит!A:A,Юнит!C:C)</f>
        <v>ACRA7TB301GR</v>
      </c>
      <c r="B57" s="99">
        <f>IF(A57=0,"нет в продаже",_xlfn.XLOOKUP($A57,Юнит!$C:$C,Юнит!$A:$A,0,0))</f>
        <v>278515093</v>
      </c>
      <c r="C57" s="151">
        <v>278515093</v>
      </c>
      <c r="D57" s="92">
        <f>_xlfn.XLOOKUP(A57,Юнит!C:C,Юнит!B:B)</f>
        <v>2082252055</v>
      </c>
      <c r="E57" s="104" t="str">
        <f>_xlfn.XLOOKUP(A57,Юнит!C:C,Юнит!D:D)</f>
        <v>Таблетница круглая 7*2 сер</v>
      </c>
      <c r="F57" s="66"/>
      <c r="G57" s="96">
        <f>_xlfn.XLOOKUP($B57,'[4] Расчет стоимости и веса'!$J:$J,'[4] Расчет стоимости и веса'!$D:$D,0,0)</f>
        <v>320</v>
      </c>
      <c r="H57" s="83">
        <f>_xlfn.XLOOKUP($B57,'[4] Расчет стоимости и веса'!$J:$J,'[4] Расчет стоимости и веса'!$E:$E,0,0)</f>
        <v>5.9</v>
      </c>
      <c r="I57" s="84">
        <f>H57*'Расчет Карго'!$H$5</f>
        <v>71.39</v>
      </c>
      <c r="J57" s="84">
        <f>I57/'Расчет Карго'!$H$3</f>
        <v>0.89237500000000003</v>
      </c>
      <c r="K57" s="83">
        <f t="shared" si="32"/>
        <v>1888</v>
      </c>
      <c r="L57" s="84">
        <f t="shared" si="33"/>
        <v>22844.799999999999</v>
      </c>
      <c r="M57" s="84">
        <f t="shared" si="34"/>
        <v>285.56</v>
      </c>
      <c r="N57" s="84">
        <f>S57*'Расчет Карго'!$M$4</f>
        <v>62.671690173713934</v>
      </c>
      <c r="O57" s="84">
        <f t="shared" si="35"/>
        <v>134.06169017371394</v>
      </c>
      <c r="P57" s="85">
        <f>IF(O57=0,_xlfn.XLOOKUP($A57,'Себес 1С текущ'!$B:$B,'Себес 1С текущ'!$E:$E,0,0),O57)</f>
        <v>134.06169017371394</v>
      </c>
      <c r="Q57" s="66">
        <f>_xlfn.XLOOKUP($B57,'[4] Расчет стоимости и веса'!$I:$I,'[4] Расчет стоимости и веса'!$O:$O,0,0)</f>
        <v>80</v>
      </c>
      <c r="R57" s="83" t="s">
        <v>85</v>
      </c>
      <c r="S57" s="83">
        <f>_xlfn.XLOOKUP($B57,'[4] Расчет стоимости и веса'!$J:$J,'[4] Расчет стоимости и веса'!$M:$M,0,0)</f>
        <v>0.15</v>
      </c>
      <c r="T57" s="83">
        <f t="shared" si="36"/>
        <v>0.15</v>
      </c>
      <c r="U57" s="86">
        <f t="shared" si="37"/>
        <v>48</v>
      </c>
    </row>
    <row r="58" spans="1:21" ht="39.950000000000003" customHeight="1" x14ac:dyDescent="0.25">
      <c r="A58" s="66" t="str">
        <f>_xlfn.XLOOKUP('Юнит Карго'!C58,Юнит!A:A,Юнит!C:C)</f>
        <v>ACRA7TB301CL</v>
      </c>
      <c r="B58" s="99">
        <f>IF(A58=0,"нет в продаже",_xlfn.XLOOKUP($A58,Юнит!$C:$C,Юнит!$A:$A,0,0))</f>
        <v>345168494</v>
      </c>
      <c r="C58" s="367">
        <v>345168494</v>
      </c>
      <c r="D58" s="92">
        <f>_xlfn.XLOOKUP(A58,Юнит!C:C,Юнит!B:B)</f>
        <v>2082255799</v>
      </c>
      <c r="E58" s="104" t="str">
        <f>_xlfn.XLOOKUP(A58,Юнит!C:C,Юнит!D:D)</f>
        <v>Таблетница круглая 7*2 сер /цвет</v>
      </c>
      <c r="F58" s="65"/>
      <c r="G58" s="96">
        <f>_xlfn.XLOOKUP($B58,'[4] Расчет стоимости и веса'!$J:$J,'[4] Расчет стоимости и веса'!$D:$D,0,0)</f>
        <v>40</v>
      </c>
      <c r="H58" s="83">
        <f>_xlfn.XLOOKUP($B58,'[4] Расчет стоимости и веса'!$J:$J,'[4] Расчет стоимости и веса'!$E:$E,0,0)</f>
        <v>5.9</v>
      </c>
      <c r="I58" s="84">
        <f>H58*'Расчет Карго'!$H$5</f>
        <v>71.39</v>
      </c>
      <c r="J58" s="84">
        <f>I58/'Расчет Карго'!$H$3</f>
        <v>0.89237500000000003</v>
      </c>
      <c r="K58" s="83">
        <f t="shared" si="32"/>
        <v>236</v>
      </c>
      <c r="L58" s="84">
        <f t="shared" si="33"/>
        <v>2855.6</v>
      </c>
      <c r="M58" s="84">
        <f t="shared" si="34"/>
        <v>35.695</v>
      </c>
      <c r="N58" s="84">
        <f>S58*'Расчет Карго'!$M$4</f>
        <v>62.671690173713934</v>
      </c>
      <c r="O58" s="84">
        <f t="shared" si="35"/>
        <v>134.06169017371394</v>
      </c>
      <c r="P58" s="85">
        <f>IF(O58=0,_xlfn.XLOOKUP($A58,'Себес 1С текущ'!$B:$B,'Себес 1С текущ'!$E:$E,0,0),O58)</f>
        <v>134.06169017371394</v>
      </c>
      <c r="Q58" s="66">
        <f>_xlfn.XLOOKUP($B58,'[4] Расчет стоимости и веса'!$I:$I,'[4] Расчет стоимости и веса'!$O:$O,0,0)</f>
        <v>80</v>
      </c>
      <c r="R58" s="103" t="s">
        <v>201</v>
      </c>
      <c r="S58" s="83">
        <f>_xlfn.XLOOKUP($B58,'[4] Расчет стоимости и веса'!$J:$J,'[4] Расчет стоимости и веса'!$M:$M,0,0)</f>
        <v>0.15</v>
      </c>
      <c r="T58" s="83">
        <f t="shared" si="36"/>
        <v>0.15</v>
      </c>
      <c r="U58" s="86">
        <f t="shared" si="37"/>
        <v>6</v>
      </c>
    </row>
    <row r="59" spans="1:21" ht="39.950000000000003" customHeight="1" x14ac:dyDescent="0.25">
      <c r="A59" s="66" t="str">
        <f>_xlfn.XLOOKUP('Юнит Карго'!C59,Юнит!A:A,Юнит!C:C)</f>
        <v>ACRA7TB301WH</v>
      </c>
      <c r="B59" s="99">
        <f>IF(A59=0,"нет в продаже",_xlfn.XLOOKUP($A59,Юнит!$C:$C,Юнит!$A:$A,0,0))</f>
        <v>273516556</v>
      </c>
      <c r="C59" s="367">
        <v>273516556</v>
      </c>
      <c r="D59" s="92">
        <f>_xlfn.XLOOKUP(A59,Юнит!C:C,Юнит!B:B)</f>
        <v>2138705583</v>
      </c>
      <c r="E59" s="104" t="str">
        <f>_xlfn.XLOOKUP(A59,Юнит!C:C,Юнит!D:D)</f>
        <v>Таблетница круглая 7*2 бел</v>
      </c>
      <c r="F59" s="65"/>
      <c r="G59" s="96">
        <f>_xlfn.XLOOKUP($B59,'[4] Расчет стоимости и веса'!$J:$J,'[4] Расчет стоимости и веса'!$D:$D,0,0)</f>
        <v>40</v>
      </c>
      <c r="H59" s="83">
        <f>_xlfn.XLOOKUP($B59,'[4] Расчет стоимости и веса'!$J:$J,'[4] Расчет стоимости и веса'!$E:$E,0,0)</f>
        <v>5.9</v>
      </c>
      <c r="I59" s="84">
        <f>H59*'Расчет Карго'!$H$5</f>
        <v>71.39</v>
      </c>
      <c r="J59" s="84">
        <f>I59/'Расчет Карго'!$H$3</f>
        <v>0.89237500000000003</v>
      </c>
      <c r="K59" s="83">
        <f t="shared" si="32"/>
        <v>236</v>
      </c>
      <c r="L59" s="84">
        <f t="shared" si="33"/>
        <v>2855.6</v>
      </c>
      <c r="M59" s="84">
        <f t="shared" si="34"/>
        <v>35.695</v>
      </c>
      <c r="N59" s="84">
        <f>S59*'Расчет Карго'!$M$4</f>
        <v>62.671690173713934</v>
      </c>
      <c r="O59" s="84">
        <f t="shared" si="35"/>
        <v>134.06169017371394</v>
      </c>
      <c r="P59" s="85">
        <f>IF(O59=0,_xlfn.XLOOKUP($A59,'Себес 1С текущ'!$B:$B,'Себес 1С текущ'!$E:$E,0,0),O59)</f>
        <v>134.06169017371394</v>
      </c>
      <c r="Q59" s="66">
        <f>_xlfn.XLOOKUP($B59,'[4] Расчет стоимости и веса'!$I:$I,'[4] Расчет стоимости и веса'!$O:$O,0,0)</f>
        <v>90</v>
      </c>
      <c r="R59" s="103"/>
      <c r="S59" s="83">
        <f>_xlfn.XLOOKUP($B59,'[4] Расчет стоимости и веса'!$J:$J,'[4] Расчет стоимости и веса'!$M:$M,0,0)</f>
        <v>0.15</v>
      </c>
      <c r="T59" s="83">
        <f t="shared" si="36"/>
        <v>0.15</v>
      </c>
      <c r="U59" s="86">
        <f t="shared" si="37"/>
        <v>6</v>
      </c>
    </row>
    <row r="60" spans="1:21" ht="39.950000000000003" hidden="1" customHeight="1" x14ac:dyDescent="0.25">
      <c r="A60" s="66" t="str">
        <f>_xlfn.XLOOKUP('Юнит Карго'!C60,Юнит!A:A,Юнит!C:C)</f>
        <v>ACRA7TB401BC</v>
      </c>
      <c r="B60" s="99">
        <f>IF(A60=0,"нет в продаже",_xlfn.XLOOKUP($A60,Юнит!$C:$C,Юнит!$A:$A,0,0))</f>
        <v>321907864</v>
      </c>
      <c r="C60" s="367">
        <v>321907864</v>
      </c>
      <c r="D60" s="92">
        <f>_xlfn.XLOOKUP(A60,Юнит!C:C,Юнит!B:B)</f>
        <v>2415742998</v>
      </c>
      <c r="E60" s="104" t="str">
        <f>_xlfn.XLOOKUP(A60,Юнит!C:C,Юнит!D:D)</f>
        <v>Таблетница автомат 7*2 черн</v>
      </c>
      <c r="F60" s="65"/>
      <c r="G60" s="96">
        <f>_xlfn.XLOOKUP($B60,'[4] Расчет стоимости и веса'!$J:$J,'[4] Расчет стоимости и веса'!$D:$D,0,0)</f>
        <v>0</v>
      </c>
      <c r="H60" s="83">
        <f>_xlfn.XLOOKUP($B60,'[4] Расчет стоимости и веса'!$J:$J,'[4] Расчет стоимости и веса'!$E:$E,0,0)</f>
        <v>0</v>
      </c>
      <c r="I60" s="84">
        <f>H60*'Расчет Карго'!$H$5</f>
        <v>0</v>
      </c>
      <c r="J60" s="84">
        <f>I60/'Расчет Карго'!$H$3</f>
        <v>0</v>
      </c>
      <c r="K60" s="83">
        <f t="shared" si="32"/>
        <v>0</v>
      </c>
      <c r="L60" s="84">
        <f t="shared" si="33"/>
        <v>0</v>
      </c>
      <c r="M60" s="84">
        <f t="shared" si="34"/>
        <v>0</v>
      </c>
      <c r="N60" s="84">
        <f>S60*'Расчет Карго'!$M$4</f>
        <v>0</v>
      </c>
      <c r="O60" s="84">
        <f t="shared" si="35"/>
        <v>0</v>
      </c>
      <c r="P60" s="85">
        <f>IF(O60=0,_xlfn.XLOOKUP($A60,'Себес 1С текущ'!$B:$B,'Себес 1С текущ'!$E:$E,0,0),O60)</f>
        <v>0</v>
      </c>
      <c r="Q60" s="66">
        <f>_xlfn.XLOOKUP($B60,'[4] Расчет стоимости и веса'!$I:$I,'[4] Расчет стоимости и веса'!$O:$O,0,0)</f>
        <v>0</v>
      </c>
      <c r="R60" s="103"/>
      <c r="S60" s="83">
        <f>_xlfn.XLOOKUP($B60,'[4] Расчет стоимости и веса'!$J:$J,'[4] Расчет стоимости и веса'!$M:$M,0,0)</f>
        <v>0</v>
      </c>
      <c r="T60" s="83">
        <f t="shared" si="36"/>
        <v>0</v>
      </c>
      <c r="U60" s="86">
        <f t="shared" si="37"/>
        <v>0</v>
      </c>
    </row>
    <row r="61" spans="1:21" ht="39.950000000000003" customHeight="1" x14ac:dyDescent="0.25">
      <c r="A61" s="66" t="str">
        <f>_xlfn.XLOOKUP('Юнит Карго'!C61,Юнит!A:A,Юнит!C:C)</f>
        <v>AHMA7BW101BG</v>
      </c>
      <c r="B61" s="99">
        <f>IF(A61=0,"нет в продаже",_xlfn.XLOOKUP($A61,Юнит!$C:$C,Юнит!$A:$A,0,0))</f>
        <v>172832355</v>
      </c>
      <c r="C61" s="151">
        <v>172832355</v>
      </c>
      <c r="D61" s="92">
        <f>_xlfn.XLOOKUP(A61,Юнит!C:C,Юнит!B:B)</f>
        <v>2419349460</v>
      </c>
      <c r="E61" s="104" t="str">
        <f>_xlfn.XLOOKUP(A61,Юнит!C:C,Юнит!D:D)</f>
        <v>Мешки 7 шт.</v>
      </c>
      <c r="F61" s="96"/>
      <c r="G61" s="96">
        <f>_xlfn.XLOOKUP($B61,'[4] Расчет стоимости и веса'!$J:$J,'[4] Расчет стоимости и веса'!$D:$D,0,0)</f>
        <v>20</v>
      </c>
      <c r="H61" s="83">
        <f>_xlfn.XLOOKUP($B61,'[4] Расчет стоимости и веса'!$J:$J,'[4] Расчет стоимости и веса'!$E:$E,0,0)</f>
        <v>19.600000000000001</v>
      </c>
      <c r="I61" s="84">
        <f>H61*'Расчет Карго'!$H$5</f>
        <v>237.16</v>
      </c>
      <c r="J61" s="84">
        <f>I61/'Расчет Карго'!$H$3</f>
        <v>2.9645000000000001</v>
      </c>
      <c r="K61" s="83">
        <f t="shared" ref="K61:K86" si="38">G61*H61</f>
        <v>392</v>
      </c>
      <c r="L61" s="84">
        <f t="shared" ref="L61:L86" si="39">G61*I61</f>
        <v>4743.2</v>
      </c>
      <c r="M61" s="84">
        <f t="shared" ref="M61:M86" si="40">J61*G61</f>
        <v>59.290000000000006</v>
      </c>
      <c r="N61" s="84">
        <f>S61*'Расчет Карго'!$M$4</f>
        <v>131.61054936479925</v>
      </c>
      <c r="O61" s="84">
        <f t="shared" ref="O61:O86" si="41">I61+N61</f>
        <v>368.77054936479925</v>
      </c>
      <c r="P61" s="85">
        <f>IF(O61=0,_xlfn.XLOOKUP($A61,'Себес 1С текущ'!$B:$B,'Себес 1С текущ'!$E:$E,0,0),O61)</f>
        <v>368.77054936479925</v>
      </c>
      <c r="Q61" s="66">
        <f>_xlfn.XLOOKUP($B61,'[4] Расчет стоимости и веса'!$I:$I,'[4] Расчет стоимости и веса'!$O:$O,0,0)</f>
        <v>0</v>
      </c>
      <c r="R61" s="98"/>
      <c r="S61" s="83">
        <f>_xlfn.XLOOKUP($B61,'[4] Расчет стоимости и веса'!$J:$J,'[4] Расчет стоимости и веса'!$M:$M,0,0)</f>
        <v>0.315</v>
      </c>
      <c r="T61" s="83">
        <f>S61</f>
        <v>0.315</v>
      </c>
      <c r="U61" s="86">
        <f t="shared" ref="U61:U86" si="42">G61*T61</f>
        <v>6.3</v>
      </c>
    </row>
    <row r="62" spans="1:21" ht="39.950000000000003" customHeight="1" x14ac:dyDescent="0.25">
      <c r="A62" s="66" t="str">
        <f>_xlfn.XLOOKUP('Юнит Карго'!C62,Юнит!A:A,Юнит!C:C)</f>
        <v>AHMA1BW101BG</v>
      </c>
      <c r="B62" s="99">
        <f>IF(A62=0,"нет в продаже",_xlfn.XLOOKUP($A62,Юнит!$C:$C,Юнит!$A:$A,0,0))</f>
        <v>176500218</v>
      </c>
      <c r="C62" s="151">
        <v>176500218</v>
      </c>
      <c r="D62" s="92">
        <f>_xlfn.XLOOKUP(A62,Юнит!C:C,Юнит!B:B)</f>
        <v>2138709303</v>
      </c>
      <c r="E62" s="104" t="str">
        <f>_xlfn.XLOOKUP(A62,Юнит!C:C,Юнит!D:D)</f>
        <v>Мешок для бюстгалтеров</v>
      </c>
      <c r="F62" s="61"/>
      <c r="G62" s="96">
        <f>_xlfn.XLOOKUP($B62,'[4] Расчет стоимости и веса'!$J:$J,'[4] Расчет стоимости и веса'!$D:$D,0,0)</f>
        <v>20</v>
      </c>
      <c r="H62" s="83">
        <f>_xlfn.XLOOKUP($B62,'[4] Расчет стоимости и веса'!$J:$J,'[4] Расчет стоимости и веса'!$E:$E,0,0)</f>
        <v>3.2</v>
      </c>
      <c r="I62" s="84">
        <f>H62*'Расчет Карго'!$H$5</f>
        <v>38.72</v>
      </c>
      <c r="J62" s="84">
        <f>I62/'Расчет Карго'!$H$3</f>
        <v>0.48399999999999999</v>
      </c>
      <c r="K62" s="83">
        <f t="shared" si="38"/>
        <v>64</v>
      </c>
      <c r="L62" s="84">
        <f t="shared" si="39"/>
        <v>774.4</v>
      </c>
      <c r="M62" s="84">
        <f t="shared" si="40"/>
        <v>9.68</v>
      </c>
      <c r="N62" s="84">
        <f>S62*'Расчет Карго'!$M$4</f>
        <v>25.068676069485573</v>
      </c>
      <c r="O62" s="84">
        <f t="shared" si="41"/>
        <v>63.788676069485575</v>
      </c>
      <c r="P62" s="85">
        <f>IF(O62=0,_xlfn.XLOOKUP($A62,'Себес 1С текущ'!$B:$B,'Себес 1С текущ'!$E:$E,0,0),O62)</f>
        <v>63.788676069485575</v>
      </c>
      <c r="Q62" s="66">
        <f>_xlfn.XLOOKUP($B62,'[4] Расчет стоимости и веса'!$I:$I,'[4] Расчет стоимости и веса'!$O:$O,0,0)</f>
        <v>0</v>
      </c>
      <c r="R62" s="62"/>
      <c r="S62" s="83">
        <f>_xlfn.XLOOKUP($B62,'[4] Расчет стоимости и веса'!$J:$J,'[4] Расчет стоимости и веса'!$M:$M,0,0)</f>
        <v>0.06</v>
      </c>
      <c r="T62" s="83">
        <f>S62</f>
        <v>0.06</v>
      </c>
      <c r="U62" s="86">
        <f t="shared" si="42"/>
        <v>1.2</v>
      </c>
    </row>
    <row r="63" spans="1:21" ht="39.950000000000003" hidden="1" customHeight="1" x14ac:dyDescent="0.25">
      <c r="A63" s="66" t="str">
        <f>_xlfn.XLOOKUP('Юнит Карго'!C63,Юнит!A:A,Юнит!C:C)</f>
        <v>AHMA3BW101BG</v>
      </c>
      <c r="B63" s="92" t="s">
        <v>242</v>
      </c>
      <c r="C63" s="151">
        <v>177404837</v>
      </c>
      <c r="D63" s="92">
        <f>_xlfn.XLOOKUP(A63,Юнит!C:C,Юнит!B:B)</f>
        <v>2419349262</v>
      </c>
      <c r="E63" s="104" t="str">
        <f>_xlfn.XLOOKUP(A63,Юнит!C:C,Юнит!D:D)</f>
        <v>Мешки 3 шт.</v>
      </c>
      <c r="F63" s="61"/>
      <c r="G63" s="96">
        <f>_xlfn.XLOOKUP($B63,'[4] Расчет стоимости и веса'!$J:$J,'[4] Расчет стоимости и веса'!$D:$D,0,0)</f>
        <v>0</v>
      </c>
      <c r="H63" s="83">
        <f>_xlfn.XLOOKUP($B63,'[4] Расчет стоимости и веса'!$J:$J,'[4] Расчет стоимости и веса'!$E:$E,0,0)</f>
        <v>1.6</v>
      </c>
      <c r="I63" s="84">
        <f>H63*'Расчет Карго'!$H$5</f>
        <v>19.36</v>
      </c>
      <c r="J63" s="84">
        <f>I63/'Расчет Карго'!$H$3</f>
        <v>0.24199999999999999</v>
      </c>
      <c r="K63" s="83">
        <f t="shared" si="38"/>
        <v>0</v>
      </c>
      <c r="L63" s="84">
        <f t="shared" si="39"/>
        <v>0</v>
      </c>
      <c r="M63" s="84">
        <f t="shared" si="40"/>
        <v>0</v>
      </c>
      <c r="N63" s="84">
        <f>S63*'Расчет Карго'!$M$4</f>
        <v>8.3562253564951909</v>
      </c>
      <c r="O63" s="84">
        <f t="shared" si="41"/>
        <v>27.71622535649519</v>
      </c>
      <c r="P63" s="85">
        <f>SUM(O63:O65)</f>
        <v>158.43957749546632</v>
      </c>
      <c r="Q63" s="66">
        <f>_xlfn.XLOOKUP($B63,'[4] Расчет стоимости и веса'!$I:$I,'[4] Расчет стоимости и веса'!$O:$O,0,0)</f>
        <v>0</v>
      </c>
      <c r="R63" s="62"/>
      <c r="S63" s="83">
        <f>_xlfn.XLOOKUP($B63,'[4] Расчет стоимости и веса'!$J:$J,'[4] Расчет стоимости и веса'!$M:$M,0,0)</f>
        <v>0.02</v>
      </c>
      <c r="T63" s="83">
        <f>SUM(S63:S65)</f>
        <v>0.14000000000000001</v>
      </c>
      <c r="U63" s="86">
        <f t="shared" si="42"/>
        <v>0</v>
      </c>
    </row>
    <row r="64" spans="1:21" ht="39.950000000000003" hidden="1" customHeight="1" x14ac:dyDescent="0.25">
      <c r="A64" s="66">
        <f>_xlfn.XLOOKUP('Юнит Карго'!C64,Юнит!A:A,Юнит!C:C)</f>
        <v>0</v>
      </c>
      <c r="B64" s="99" t="s">
        <v>243</v>
      </c>
      <c r="C64" s="151"/>
      <c r="D64" s="92" t="e">
        <f>_xlfn.XLOOKUP(A64,Юнит!C:C,Юнит!B:B)</f>
        <v>#N/A</v>
      </c>
      <c r="E64" s="104" t="e">
        <f>_xlfn.XLOOKUP(A64,Юнит!C:C,Юнит!D:D)</f>
        <v>#N/A</v>
      </c>
      <c r="F64" s="61"/>
      <c r="G64" s="96">
        <f>_xlfn.XLOOKUP($B64,'[4] Расчет стоимости и веса'!$J:$J,'[4] Расчет стоимости и веса'!$D:$D,0,0)</f>
        <v>0</v>
      </c>
      <c r="H64" s="83">
        <f>_xlfn.XLOOKUP($B64,'[4] Расчет стоимости и веса'!$J:$J,'[4] Расчет стоимости и веса'!$E:$E,0,0)</f>
        <v>2.86</v>
      </c>
      <c r="I64" s="84">
        <f>H64*'Расчет Карго'!$H$5</f>
        <v>34.605999999999995</v>
      </c>
      <c r="J64" s="84">
        <f>I64/'Расчет Карго'!$H$3</f>
        <v>0.43257499999999993</v>
      </c>
      <c r="K64" s="83">
        <f t="shared" si="38"/>
        <v>0</v>
      </c>
      <c r="L64" s="84">
        <f t="shared" si="39"/>
        <v>0</v>
      </c>
      <c r="M64" s="84">
        <f t="shared" si="40"/>
        <v>0</v>
      </c>
      <c r="N64" s="84">
        <f>S64*'Расчет Карго'!$M$4</f>
        <v>20.890563391237979</v>
      </c>
      <c r="O64" s="84">
        <f t="shared" si="41"/>
        <v>55.49656339123797</v>
      </c>
      <c r="P64" s="85"/>
      <c r="Q64" s="66">
        <f>_xlfn.XLOOKUP($B64,'[4] Расчет стоимости и веса'!$I:$I,'[4] Расчет стоимости и веса'!$O:$O,0,0)</f>
        <v>0</v>
      </c>
      <c r="R64" s="62"/>
      <c r="S64" s="83">
        <f>_xlfn.XLOOKUP($B64,'[4] Расчет стоимости и веса'!$J:$J,'[4] Расчет стоимости и веса'!$M:$M,0,0)</f>
        <v>0.05</v>
      </c>
      <c r="T64" s="83"/>
      <c r="U64" s="86">
        <f t="shared" si="42"/>
        <v>0</v>
      </c>
    </row>
    <row r="65" spans="1:21" ht="39.950000000000003" hidden="1" customHeight="1" x14ac:dyDescent="0.25">
      <c r="A65" s="66">
        <f>_xlfn.XLOOKUP('Юнит Карго'!C65,Юнит!A:A,Юнит!C:C)</f>
        <v>0</v>
      </c>
      <c r="B65" s="99" t="s">
        <v>244</v>
      </c>
      <c r="C65" s="151"/>
      <c r="D65" s="92" t="e">
        <f>_xlfn.XLOOKUP(A65,Юнит!C:C,Юнит!B:B)</f>
        <v>#N/A</v>
      </c>
      <c r="E65" s="104" t="e">
        <f>_xlfn.XLOOKUP(A65,Юнит!C:C,Юнит!D:D)</f>
        <v>#N/A</v>
      </c>
      <c r="F65" s="61"/>
      <c r="G65" s="96">
        <f>_xlfn.XLOOKUP($B65,'[4] Расчет стоимости и веса'!$J:$J,'[4] Расчет стоимости и веса'!$D:$D,0,0)</f>
        <v>0</v>
      </c>
      <c r="H65" s="83">
        <f>_xlfn.XLOOKUP($B65,'[4] Расчет стоимости и веса'!$J:$J,'[4] Расчет стоимости и веса'!$E:$E,0,0)</f>
        <v>3.8</v>
      </c>
      <c r="I65" s="84">
        <f>H65*'Расчет Карго'!$H$5</f>
        <v>45.98</v>
      </c>
      <c r="J65" s="84">
        <f>I65/'Расчет Карго'!$H$3</f>
        <v>0.57474999999999998</v>
      </c>
      <c r="K65" s="83">
        <f t="shared" si="38"/>
        <v>0</v>
      </c>
      <c r="L65" s="84">
        <f t="shared" si="39"/>
        <v>0</v>
      </c>
      <c r="M65" s="84">
        <f t="shared" si="40"/>
        <v>0</v>
      </c>
      <c r="N65" s="84">
        <f>S65*'Расчет Карго'!$M$4</f>
        <v>29.246788747733174</v>
      </c>
      <c r="O65" s="84">
        <f t="shared" si="41"/>
        <v>75.226788747733167</v>
      </c>
      <c r="P65" s="85"/>
      <c r="Q65" s="66">
        <f>_xlfn.XLOOKUP($B65,'[4] Расчет стоимости и веса'!$I:$I,'[4] Расчет стоимости и веса'!$O:$O,0,0)</f>
        <v>0</v>
      </c>
      <c r="R65" s="62"/>
      <c r="S65" s="83">
        <f>_xlfn.XLOOKUP($B65,'[4] Расчет стоимости и веса'!$J:$J,'[4] Расчет стоимости и веса'!$M:$M,0,0)</f>
        <v>7.0000000000000007E-2</v>
      </c>
      <c r="T65" s="83"/>
      <c r="U65" s="86">
        <f t="shared" si="42"/>
        <v>0</v>
      </c>
    </row>
    <row r="66" spans="1:21" ht="39.950000000000003" customHeight="1" x14ac:dyDescent="0.25">
      <c r="A66" s="66" t="str">
        <f>_xlfn.XLOOKUP('Юнит Карго'!C66,Юнит!A:A,Юнит!C:C)</f>
        <v>AHMA3BW102BG</v>
      </c>
      <c r="B66" s="92" t="s">
        <v>245</v>
      </c>
      <c r="C66" s="151">
        <v>177405495</v>
      </c>
      <c r="D66" s="92">
        <f>_xlfn.XLOOKUP(A66,Юнит!C:C,Юнит!B:B)</f>
        <v>2576041357</v>
      </c>
      <c r="E66" s="104" t="str">
        <f>_xlfn.XLOOKUP(A66,Юнит!C:C,Юнит!D:D)</f>
        <v>Мешки/деликат 3 шт.</v>
      </c>
      <c r="F66" s="61"/>
      <c r="G66" s="96">
        <f>_xlfn.XLOOKUP($B66,'[4] Расчет стоимости и веса'!$J:$J,'[4] Расчет стоимости и веса'!$D:$D,0,0)</f>
        <v>40</v>
      </c>
      <c r="H66" s="83">
        <f>_xlfn.XLOOKUP($B66,'[4] Расчет стоимости и веса'!$J:$J,'[4] Расчет стоимости и веса'!$E:$E,0,0)</f>
        <v>3.2</v>
      </c>
      <c r="I66" s="84">
        <f>H66*'Расчет Карго'!$H$5</f>
        <v>38.72</v>
      </c>
      <c r="J66" s="84">
        <f>I66/'Расчет Карго'!$H$3</f>
        <v>0.48399999999999999</v>
      </c>
      <c r="K66" s="83">
        <f t="shared" si="38"/>
        <v>128</v>
      </c>
      <c r="L66" s="84">
        <f t="shared" si="39"/>
        <v>1548.8</v>
      </c>
      <c r="M66" s="84">
        <f t="shared" si="40"/>
        <v>19.36</v>
      </c>
      <c r="N66" s="84">
        <f>S66*'Расчет Карго'!$M$4</f>
        <v>25.068676069485573</v>
      </c>
      <c r="O66" s="84">
        <f t="shared" si="41"/>
        <v>63.788676069485575</v>
      </c>
      <c r="P66" s="85">
        <f>SUM(O66:O68)</f>
        <v>149.35735213897115</v>
      </c>
      <c r="Q66" s="66">
        <f>_xlfn.XLOOKUP($B66,'[4] Расчет стоимости и веса'!$I:$I,'[4] Расчет стоимости и веса'!$O:$O,0,0)</f>
        <v>0</v>
      </c>
      <c r="R66" s="62"/>
      <c r="S66" s="83">
        <f>_xlfn.XLOOKUP($B66,'[4] Расчет стоимости и веса'!$J:$J,'[4] Расчет стоимости и веса'!$M:$M,0,0)</f>
        <v>0.06</v>
      </c>
      <c r="T66" s="83">
        <f>SUM(S66:S68)</f>
        <v>0.12</v>
      </c>
      <c r="U66" s="86">
        <f t="shared" si="42"/>
        <v>4.8</v>
      </c>
    </row>
    <row r="67" spans="1:21" ht="39.950000000000003" customHeight="1" x14ac:dyDescent="0.25">
      <c r="A67" s="66">
        <f>_xlfn.XLOOKUP('Юнит Карго'!C67,Юнит!A:A,Юнит!C:C)</f>
        <v>0</v>
      </c>
      <c r="B67" s="92" t="s">
        <v>246</v>
      </c>
      <c r="C67" s="151"/>
      <c r="D67" s="92" t="e">
        <f>_xlfn.XLOOKUP(A67,Юнит!C:C,Юнит!B:B)</f>
        <v>#N/A</v>
      </c>
      <c r="E67" s="104" t="e">
        <f>_xlfn.XLOOKUP(A67,Юнит!C:C,Юнит!D:D)</f>
        <v>#N/A</v>
      </c>
      <c r="F67" s="61"/>
      <c r="G67" s="96">
        <f>_xlfn.XLOOKUP($B67,'[4] Расчет стоимости и веса'!$J:$J,'[4] Расчет стоимости и веса'!$D:$D,0,0)</f>
        <v>40</v>
      </c>
      <c r="H67" s="83">
        <f>_xlfn.XLOOKUP($B67,'[4] Расчет стоимости и веса'!$J:$J,'[4] Расчет стоимости и веса'!$E:$E,0,0)</f>
        <v>2.5</v>
      </c>
      <c r="I67" s="84">
        <f>H67*'Расчет Карго'!$H$5</f>
        <v>30.25</v>
      </c>
      <c r="J67" s="84">
        <f>I67/'Расчет Карго'!$H$3</f>
        <v>0.37812499999999999</v>
      </c>
      <c r="K67" s="83">
        <f t="shared" si="38"/>
        <v>100</v>
      </c>
      <c r="L67" s="84">
        <f t="shared" si="39"/>
        <v>1210</v>
      </c>
      <c r="M67" s="84">
        <f t="shared" si="40"/>
        <v>15.125</v>
      </c>
      <c r="N67" s="84">
        <f>S67*'Расчет Карго'!$M$4</f>
        <v>12.534338034742786</v>
      </c>
      <c r="O67" s="84">
        <f t="shared" si="41"/>
        <v>42.784338034742788</v>
      </c>
      <c r="P67" s="85"/>
      <c r="Q67" s="66">
        <f>_xlfn.XLOOKUP($B67,'[4] Расчет стоимости и веса'!$I:$I,'[4] Расчет стоимости и веса'!$O:$O,0,0)</f>
        <v>0</v>
      </c>
      <c r="R67" s="62"/>
      <c r="S67" s="83">
        <f>_xlfn.XLOOKUP($B67,'[4] Расчет стоимости и веса'!$J:$J,'[4] Расчет стоимости и веса'!$M:$M,0,0)</f>
        <v>0.03</v>
      </c>
      <c r="T67" s="83"/>
      <c r="U67" s="86">
        <f t="shared" si="42"/>
        <v>0</v>
      </c>
    </row>
    <row r="68" spans="1:21" ht="39.950000000000003" customHeight="1" x14ac:dyDescent="0.25">
      <c r="A68" s="66">
        <f>_xlfn.XLOOKUP('Юнит Карго'!C68,Юнит!A:A,Юнит!C:C)</f>
        <v>0</v>
      </c>
      <c r="B68" s="92" t="s">
        <v>247</v>
      </c>
      <c r="C68" s="151"/>
      <c r="D68" s="92" t="e">
        <f>_xlfn.XLOOKUP(A68,Юнит!C:C,Юнит!B:B)</f>
        <v>#N/A</v>
      </c>
      <c r="E68" s="104" t="e">
        <f>_xlfn.XLOOKUP(A68,Юнит!C:C,Юнит!D:D)</f>
        <v>#N/A</v>
      </c>
      <c r="F68" s="100"/>
      <c r="G68" s="96">
        <f>_xlfn.XLOOKUP($B68,'[4] Расчет стоимости и веса'!$J:$J,'[4] Расчет стоимости и веса'!$D:$D,0,0)</f>
        <v>40</v>
      </c>
      <c r="H68" s="83">
        <f>_xlfn.XLOOKUP($B68,'[4] Расчет стоимости и веса'!$J:$J,'[4] Расчет стоимости и веса'!$E:$E,0,0)</f>
        <v>2.5</v>
      </c>
      <c r="I68" s="84">
        <f>H68*'Расчет Карго'!$H$5</f>
        <v>30.25</v>
      </c>
      <c r="J68" s="84">
        <f>I68/'Расчет Карго'!$H$3</f>
        <v>0.37812499999999999</v>
      </c>
      <c r="K68" s="83">
        <f t="shared" si="38"/>
        <v>100</v>
      </c>
      <c r="L68" s="84">
        <f t="shared" si="39"/>
        <v>1210</v>
      </c>
      <c r="M68" s="84">
        <f t="shared" si="40"/>
        <v>15.125</v>
      </c>
      <c r="N68" s="84">
        <f>S68*'Расчет Карго'!$M$4</f>
        <v>12.534338034742786</v>
      </c>
      <c r="O68" s="84">
        <f t="shared" si="41"/>
        <v>42.784338034742788</v>
      </c>
      <c r="P68" s="85"/>
      <c r="Q68" s="66">
        <f>_xlfn.XLOOKUP($B68,'[4] Расчет стоимости и веса'!$I:$I,'[4] Расчет стоимости и веса'!$O:$O,0,0)</f>
        <v>0</v>
      </c>
      <c r="R68" s="101"/>
      <c r="S68" s="83">
        <f>_xlfn.XLOOKUP($B68,'[4] Расчет стоимости и веса'!$J:$J,'[4] Расчет стоимости и веса'!$M:$M,0,0)</f>
        <v>0.03</v>
      </c>
      <c r="T68" s="83"/>
      <c r="U68" s="86">
        <f t="shared" si="42"/>
        <v>0</v>
      </c>
    </row>
    <row r="69" spans="1:21" ht="45" customHeight="1" x14ac:dyDescent="0.25">
      <c r="A69" s="66" t="str">
        <f>_xlfn.XLOOKUP('Юнит Карго'!C69,Юнит!A:A,Юнит!C:C)</f>
        <v>AHMA2BW201WH</v>
      </c>
      <c r="B69" s="92" t="s">
        <v>248</v>
      </c>
      <c r="C69" s="151">
        <v>204615141</v>
      </c>
      <c r="D69" s="92">
        <f>_xlfn.XLOOKUP(A69,Юнит!C:C,Юнит!B:B)</f>
        <v>2419349453</v>
      </c>
      <c r="E69" s="104" t="str">
        <f>_xlfn.XLOOKUP(A69,Юнит!C:C,Юнит!D:D)</f>
        <v>Мешки 2 шт. серый</v>
      </c>
      <c r="F69" s="96"/>
      <c r="G69" s="96">
        <f>_xlfn.XLOOKUP($B69,'[4] Расчет стоимости и веса'!$J:$J,'[4] Расчет стоимости и веса'!$D:$D,0,0)</f>
        <v>40</v>
      </c>
      <c r="H69" s="83">
        <f>_xlfn.XLOOKUP($B69,'[4] Расчет стоимости и веса'!$J:$J,'[4] Расчет стоимости и веса'!$E:$E,0,0)</f>
        <v>2.75</v>
      </c>
      <c r="I69" s="84">
        <f>H69*'Расчет Карго'!$H$5</f>
        <v>33.274999999999999</v>
      </c>
      <c r="J69" s="84">
        <f>I69/'Расчет Карго'!$H$3</f>
        <v>0.41593749999999996</v>
      </c>
      <c r="K69" s="83">
        <f t="shared" si="38"/>
        <v>110</v>
      </c>
      <c r="L69" s="84">
        <f t="shared" si="39"/>
        <v>1331</v>
      </c>
      <c r="M69" s="84">
        <f t="shared" si="40"/>
        <v>16.637499999999999</v>
      </c>
      <c r="N69" s="84">
        <f>S69*'Расчет Карго'!$M$4</f>
        <v>12.534338034742786</v>
      </c>
      <c r="O69" s="84">
        <f t="shared" si="41"/>
        <v>45.809338034742787</v>
      </c>
      <c r="P69" s="85">
        <f>SUM(O69:O70)</f>
        <v>84.963676069485572</v>
      </c>
      <c r="Q69" s="66">
        <f>_xlfn.XLOOKUP($B69,'[4] Расчет стоимости и веса'!$I:$I,'[4] Расчет стоимости и веса'!$O:$O,0,0)</f>
        <v>0</v>
      </c>
      <c r="R69" s="98"/>
      <c r="S69" s="83">
        <f>_xlfn.XLOOKUP($B69,'[4] Расчет стоимости и веса'!$J:$J,'[4] Расчет стоимости и веса'!$M:$M,0,0)</f>
        <v>0.03</v>
      </c>
      <c r="T69" s="83">
        <f>SUM(S69:S70)</f>
        <v>0.06</v>
      </c>
      <c r="U69" s="86">
        <f t="shared" si="42"/>
        <v>2.4</v>
      </c>
    </row>
    <row r="70" spans="1:21" ht="45" customHeight="1" x14ac:dyDescent="0.25">
      <c r="A70" s="66">
        <f>_xlfn.XLOOKUP('Юнит Карго'!C70,Юнит!A:A,Юнит!C:C)</f>
        <v>0</v>
      </c>
      <c r="B70" s="92" t="s">
        <v>249</v>
      </c>
      <c r="C70" s="151"/>
      <c r="D70" s="92" t="e">
        <f>_xlfn.XLOOKUP(A70,Юнит!C:C,Юнит!B:B)</f>
        <v>#N/A</v>
      </c>
      <c r="E70" s="104" t="e">
        <f>_xlfn.XLOOKUP(A70,Юнит!C:C,Юнит!D:D)</f>
        <v>#N/A</v>
      </c>
      <c r="F70" s="61"/>
      <c r="G70" s="96">
        <f>_xlfn.XLOOKUP($B70,'[4] Расчет стоимости и веса'!$J:$J,'[4] Расчет стоимости и веса'!$D:$D,0,0)</f>
        <v>40</v>
      </c>
      <c r="H70" s="83">
        <f>_xlfn.XLOOKUP($B70,'[4] Расчет стоимости и веса'!$J:$J,'[4] Расчет стоимости и веса'!$E:$E,0,0)</f>
        <v>2.2000000000000002</v>
      </c>
      <c r="I70" s="84">
        <f>H70*'Расчет Карго'!$H$5</f>
        <v>26.62</v>
      </c>
      <c r="J70" s="84">
        <f>I70/'Расчет Карго'!$H$3</f>
        <v>0.33274999999999999</v>
      </c>
      <c r="K70" s="83">
        <f t="shared" si="38"/>
        <v>88</v>
      </c>
      <c r="L70" s="84">
        <f t="shared" si="39"/>
        <v>1064.8</v>
      </c>
      <c r="M70" s="84">
        <f t="shared" si="40"/>
        <v>13.309999999999999</v>
      </c>
      <c r="N70" s="84">
        <f>S70*'Расчет Карго'!$M$4</f>
        <v>12.534338034742786</v>
      </c>
      <c r="O70" s="84">
        <f t="shared" si="41"/>
        <v>39.154338034742786</v>
      </c>
      <c r="P70" s="85"/>
      <c r="Q70" s="66">
        <f>_xlfn.XLOOKUP($B70,'[4] Расчет стоимости и веса'!$I:$I,'[4] Расчет стоимости и веса'!$O:$O,0,0)</f>
        <v>0</v>
      </c>
      <c r="R70" s="62"/>
      <c r="S70" s="83">
        <f>_xlfn.XLOOKUP($B70,'[4] Расчет стоимости и веса'!$J:$J,'[4] Расчет стоимости и веса'!$M:$M,0,0)</f>
        <v>0.03</v>
      </c>
      <c r="T70" s="83"/>
      <c r="U70" s="86">
        <f t="shared" si="42"/>
        <v>0</v>
      </c>
    </row>
    <row r="71" spans="1:21" ht="45" hidden="1" customHeight="1" collapsed="1" x14ac:dyDescent="0.25">
      <c r="A71" s="66" t="str">
        <f>_xlfn.XLOOKUP('Юнит Карго'!C71,Юнит!A:A,Юнит!C:C)</f>
        <v>AHMA2BW202WH</v>
      </c>
      <c r="B71" s="92" t="s">
        <v>250</v>
      </c>
      <c r="C71" s="151">
        <v>236074677</v>
      </c>
      <c r="D71" s="92">
        <f>_xlfn.XLOOKUP(A71,Юнит!C:C,Юнит!B:B)</f>
        <v>0</v>
      </c>
      <c r="E71" s="104" t="str">
        <f>_xlfn.XLOOKUP(A71,Юнит!C:C,Юнит!D:D)</f>
        <v>Мешки 2 шт. розовый</v>
      </c>
      <c r="F71" s="61"/>
      <c r="G71" s="96">
        <f>_xlfn.XLOOKUP($B71,'[4] Расчет стоимости и веса'!$J:$J,'[4] Расчет стоимости и веса'!$D:$D,0,0)</f>
        <v>0</v>
      </c>
      <c r="H71" s="83">
        <f>_xlfn.XLOOKUP($B71,'[4] Расчет стоимости и веса'!$J:$J,'[4] Расчет стоимости и веса'!$E:$E,0,0)</f>
        <v>2.2000000000000002</v>
      </c>
      <c r="I71" s="84">
        <f>H71*'Расчет Карго'!$H$5</f>
        <v>26.62</v>
      </c>
      <c r="J71" s="84">
        <f>I71/'Расчет Карго'!$H$3</f>
        <v>0.33274999999999999</v>
      </c>
      <c r="K71" s="83">
        <f t="shared" si="38"/>
        <v>0</v>
      </c>
      <c r="L71" s="84">
        <f t="shared" si="39"/>
        <v>0</v>
      </c>
      <c r="M71" s="84">
        <f t="shared" si="40"/>
        <v>0</v>
      </c>
      <c r="N71" s="84">
        <f>S71*'Расчет Карго'!$M$4</f>
        <v>14.623394373866587</v>
      </c>
      <c r="O71" s="84">
        <f t="shared" si="41"/>
        <v>41.243394373866586</v>
      </c>
      <c r="P71" s="85">
        <f>SUM(O71:O72)</f>
        <v>99.587070443352161</v>
      </c>
      <c r="Q71" s="66">
        <f>_xlfn.XLOOKUP($B71,'[4] Расчет стоимости и веса'!$I:$I,'[4] Расчет стоимости и веса'!$O:$O,0,0)</f>
        <v>0</v>
      </c>
      <c r="R71" s="62"/>
      <c r="S71" s="83">
        <f>_xlfn.XLOOKUP($B71,'[4] Расчет стоимости и веса'!$J:$J,'[4] Расчет стоимости и веса'!$M:$M,0,0)</f>
        <v>3.5000000000000003E-2</v>
      </c>
      <c r="T71" s="83">
        <f>SUM(S71:S72)</f>
        <v>9.5000000000000001E-2</v>
      </c>
      <c r="U71" s="86">
        <f t="shared" si="42"/>
        <v>0</v>
      </c>
    </row>
    <row r="72" spans="1:21" ht="45" hidden="1" customHeight="1" collapsed="1" x14ac:dyDescent="0.25">
      <c r="A72" s="66">
        <f>_xlfn.XLOOKUP('Юнит Карго'!C72,Юнит!A:A,Юнит!C:C)</f>
        <v>0</v>
      </c>
      <c r="B72" s="92" t="s">
        <v>251</v>
      </c>
      <c r="C72" s="151"/>
      <c r="D72" s="92" t="e">
        <f>_xlfn.XLOOKUP(A72,Юнит!C:C,Юнит!B:B)</f>
        <v>#N/A</v>
      </c>
      <c r="E72" s="104" t="e">
        <f>_xlfn.XLOOKUP(A72,Юнит!C:C,Юнит!D:D)</f>
        <v>#N/A</v>
      </c>
      <c r="F72" s="61"/>
      <c r="G72" s="96">
        <f>_xlfn.XLOOKUP($B72,'[4] Расчет стоимости и веса'!$J:$J,'[4] Расчет стоимости и веса'!$D:$D,0,0)</f>
        <v>0</v>
      </c>
      <c r="H72" s="83">
        <f>_xlfn.XLOOKUP($B72,'[4] Расчет стоимости и веса'!$J:$J,'[4] Расчет стоимости и веса'!$E:$E,0,0)</f>
        <v>2.75</v>
      </c>
      <c r="I72" s="84">
        <f>H72*'Расчет Карго'!$H$5</f>
        <v>33.274999999999999</v>
      </c>
      <c r="J72" s="84">
        <f>I72/'Расчет Карго'!$H$3</f>
        <v>0.41593749999999996</v>
      </c>
      <c r="K72" s="83">
        <f t="shared" si="38"/>
        <v>0</v>
      </c>
      <c r="L72" s="84">
        <f t="shared" si="39"/>
        <v>0</v>
      </c>
      <c r="M72" s="84">
        <f t="shared" si="40"/>
        <v>0</v>
      </c>
      <c r="N72" s="84">
        <f>S72*'Расчет Карго'!$M$4</f>
        <v>25.068676069485573</v>
      </c>
      <c r="O72" s="84">
        <f t="shared" si="41"/>
        <v>58.343676069485568</v>
      </c>
      <c r="P72" s="85"/>
      <c r="Q72" s="66">
        <f>_xlfn.XLOOKUP($B72,'[4] Расчет стоимости и веса'!$I:$I,'[4] Расчет стоимости и веса'!$O:$O,0,0)</f>
        <v>0</v>
      </c>
      <c r="R72" s="62"/>
      <c r="S72" s="83">
        <f>_xlfn.XLOOKUP($B72,'[4] Расчет стоимости и веса'!$J:$J,'[4] Расчет стоимости и веса'!$M:$M,0,0)</f>
        <v>0.06</v>
      </c>
      <c r="T72" s="83"/>
      <c r="U72" s="86">
        <f t="shared" si="42"/>
        <v>0</v>
      </c>
    </row>
    <row r="73" spans="1:21" ht="45" hidden="1" customHeight="1" collapsed="1" x14ac:dyDescent="0.25">
      <c r="A73" s="66" t="str">
        <f>_xlfn.XLOOKUP('Юнит Карго'!C73,Юнит!A:A,Юнит!C:C)</f>
        <v>AHMA1BW301WH</v>
      </c>
      <c r="B73" s="99">
        <f>IF(A73=0,"нет в продаже",_xlfn.XLOOKUP($A73,Юнит!$C:$C,Юнит!$A:$A,0,0))</f>
        <v>239235150</v>
      </c>
      <c r="C73" s="151">
        <v>239235150</v>
      </c>
      <c r="D73" s="92">
        <f>_xlfn.XLOOKUP(A73,Юнит!C:C,Юнит!B:B)</f>
        <v>0</v>
      </c>
      <c r="E73" s="104" t="str">
        <f>_xlfn.XLOOKUP(A73,Юнит!C:C,Юнит!D:D)</f>
        <v>Мешок для обуви L - 30 см</v>
      </c>
      <c r="F73" s="61"/>
      <c r="G73" s="96">
        <f>_xlfn.XLOOKUP($B73,'[4] Расчет стоимости и веса'!$J:$J,'[4] Расчет стоимости и веса'!$D:$D,0,0)</f>
        <v>0</v>
      </c>
      <c r="H73" s="83">
        <f>_xlfn.XLOOKUP($B73,'[4] Расчет стоимости и веса'!$J:$J,'[4] Расчет стоимости и веса'!$E:$E,0,0)</f>
        <v>0</v>
      </c>
      <c r="I73" s="84">
        <f>H73*'Расчет Карго'!$H$5</f>
        <v>0</v>
      </c>
      <c r="J73" s="84">
        <f>I73/'Расчет Карго'!$H$3</f>
        <v>0</v>
      </c>
      <c r="K73" s="83">
        <f t="shared" si="38"/>
        <v>0</v>
      </c>
      <c r="L73" s="84">
        <f t="shared" si="39"/>
        <v>0</v>
      </c>
      <c r="M73" s="84">
        <f t="shared" si="40"/>
        <v>0</v>
      </c>
      <c r="N73" s="84">
        <f>S73*'Расчет Карго'!$M$4</f>
        <v>0</v>
      </c>
      <c r="O73" s="84">
        <f t="shared" si="41"/>
        <v>0</v>
      </c>
      <c r="P73" s="85">
        <f>IF(O73=0,_xlfn.XLOOKUP($A73,'Себес 1С текущ'!$B:$B,'Себес 1С текущ'!$E:$E,0,0),O73)</f>
        <v>0</v>
      </c>
      <c r="Q73" s="66">
        <f>_xlfn.XLOOKUP($B73,'[4] Расчет стоимости и веса'!$I:$I,'[4] Расчет стоимости и веса'!$O:$O,0,0)</f>
        <v>0</v>
      </c>
      <c r="R73" s="62"/>
      <c r="S73" s="83">
        <f>_xlfn.XLOOKUP($B73,'[4] Расчет стоимости и веса'!$J:$J,'[4] Расчет стоимости и веса'!$M:$M,0,0)</f>
        <v>0</v>
      </c>
      <c r="T73" s="83">
        <f>S73</f>
        <v>0</v>
      </c>
      <c r="U73" s="86">
        <f t="shared" si="42"/>
        <v>0</v>
      </c>
    </row>
    <row r="74" spans="1:21" ht="45" hidden="1" customHeight="1" collapsed="1" x14ac:dyDescent="0.25">
      <c r="A74" s="66" t="str">
        <f>_xlfn.XLOOKUP('Юнит Карго'!C74,Юнит!A:A,Юнит!C:C)</f>
        <v>AHMA1BW302WH</v>
      </c>
      <c r="B74" s="99">
        <f>IF(A74=0,"нет в продаже",_xlfn.XLOOKUP($A74,Юнит!$C:$C,Юнит!$A:$A,0,0))</f>
        <v>239233529</v>
      </c>
      <c r="C74" s="151">
        <v>239233529</v>
      </c>
      <c r="D74" s="92">
        <f>_xlfn.XLOOKUP(A74,Юнит!C:C,Юнит!B:B)</f>
        <v>0</v>
      </c>
      <c r="E74" s="104" t="str">
        <f>_xlfn.XLOOKUP(A74,Юнит!C:C,Юнит!D:D)</f>
        <v>Мешок для обуви XL - 35 см</v>
      </c>
      <c r="F74" s="61"/>
      <c r="G74" s="96">
        <f>_xlfn.XLOOKUP($B74,'[4] Расчет стоимости и веса'!$J:$J,'[4] Расчет стоимости и веса'!$D:$D,0,0)</f>
        <v>0</v>
      </c>
      <c r="H74" s="83">
        <f>_xlfn.XLOOKUP($B74,'[4] Расчет стоимости и веса'!$J:$J,'[4] Расчет стоимости и веса'!$E:$E,0,0)</f>
        <v>0</v>
      </c>
      <c r="I74" s="84">
        <f>H74*'Расчет Карго'!$H$5</f>
        <v>0</v>
      </c>
      <c r="J74" s="84">
        <f>I74/'Расчет Карго'!$H$3</f>
        <v>0</v>
      </c>
      <c r="K74" s="83">
        <f t="shared" si="38"/>
        <v>0</v>
      </c>
      <c r="L74" s="84">
        <f t="shared" si="39"/>
        <v>0</v>
      </c>
      <c r="M74" s="84">
        <f t="shared" si="40"/>
        <v>0</v>
      </c>
      <c r="N74" s="84">
        <f>S74*'Расчет Карго'!$M$4</f>
        <v>0</v>
      </c>
      <c r="O74" s="84">
        <f t="shared" si="41"/>
        <v>0</v>
      </c>
      <c r="P74" s="85">
        <f>IF(O74=0,_xlfn.XLOOKUP($A74,'Себес 1С текущ'!$B:$B,'Себес 1С текущ'!$E:$E,0,0),O74)</f>
        <v>0</v>
      </c>
      <c r="Q74" s="66">
        <f>_xlfn.XLOOKUP($B74,'[4] Расчет стоимости и веса'!$I:$I,'[4] Расчет стоимости и веса'!$O:$O,0,0)</f>
        <v>0</v>
      </c>
      <c r="R74" s="62"/>
      <c r="S74" s="83">
        <f>_xlfn.XLOOKUP($B74,'[4] Расчет стоимости и веса'!$J:$J,'[4] Расчет стоимости и веса'!$M:$M,0,0)</f>
        <v>0</v>
      </c>
      <c r="T74" s="83">
        <f>S74</f>
        <v>0</v>
      </c>
      <c r="U74" s="86">
        <f t="shared" si="42"/>
        <v>0</v>
      </c>
    </row>
    <row r="75" spans="1:21" ht="45" customHeight="1" collapsed="1" x14ac:dyDescent="0.25">
      <c r="A75" s="66" t="str">
        <f>_xlfn.XLOOKUP('Юнит Карго'!C75,Юнит!A:A,Юнит!C:C)</f>
        <v>AHMA3BW201WH</v>
      </c>
      <c r="B75" s="92" t="s">
        <v>252</v>
      </c>
      <c r="C75" s="151">
        <v>176721350</v>
      </c>
      <c r="D75" s="92">
        <f>_xlfn.XLOOKUP(A75,Юнит!C:C,Юнит!B:B)</f>
        <v>2419349585</v>
      </c>
      <c r="E75" s="104" t="str">
        <f>_xlfn.XLOOKUP(A75,Юнит!C:C,Юнит!D:D)</f>
        <v>Мешки/шнурок мелк 3 шт.</v>
      </c>
      <c r="F75" s="61"/>
      <c r="G75" s="96">
        <f>_xlfn.XLOOKUP($B75,'[4] Расчет стоимости и веса'!$J:$J,'[4] Расчет стоимости и веса'!$D:$D,0,0)</f>
        <v>40</v>
      </c>
      <c r="H75" s="83">
        <f>_xlfn.XLOOKUP($B75,'[4] Расчет стоимости и веса'!$J:$J,'[4] Расчет стоимости и веса'!$E:$E,0,0)</f>
        <v>1.76</v>
      </c>
      <c r="I75" s="84">
        <f>H75*'Расчет Карго'!$H$5</f>
        <v>21.295999999999999</v>
      </c>
      <c r="J75" s="84">
        <f>I75/'Расчет Карго'!$H$3</f>
        <v>0.26619999999999999</v>
      </c>
      <c r="K75" s="83">
        <f t="shared" si="38"/>
        <v>70.400000000000006</v>
      </c>
      <c r="L75" s="84">
        <f t="shared" si="39"/>
        <v>851.83999999999992</v>
      </c>
      <c r="M75" s="84">
        <f t="shared" si="40"/>
        <v>10.648</v>
      </c>
      <c r="N75" s="84">
        <f>S75*'Расчет Карго'!$M$4</f>
        <v>12.534338034742786</v>
      </c>
      <c r="O75" s="84">
        <f t="shared" si="41"/>
        <v>33.830338034742788</v>
      </c>
      <c r="P75" s="85">
        <f>SUM(O75:O77)</f>
        <v>137.44246481721873</v>
      </c>
      <c r="Q75" s="66">
        <f>_xlfn.XLOOKUP($B75,'[4] Расчет стоимости и веса'!$I:$I,'[4] Расчет стоимости и веса'!$O:$O,0,0)</f>
        <v>0</v>
      </c>
      <c r="R75" s="62"/>
      <c r="S75" s="83">
        <f>_xlfn.XLOOKUP($B75,'[4] Расчет стоимости и веса'!$J:$J,'[4] Расчет стоимости и веса'!$M:$M,0,0)</f>
        <v>0.03</v>
      </c>
      <c r="T75" s="83">
        <f>SUM(S75:S77)</f>
        <v>0.13</v>
      </c>
      <c r="U75" s="86">
        <f t="shared" si="42"/>
        <v>5.2</v>
      </c>
    </row>
    <row r="76" spans="1:21" ht="45" customHeight="1" collapsed="1" x14ac:dyDescent="0.25">
      <c r="A76" s="66">
        <f>_xlfn.XLOOKUP('Юнит Карго'!C76,Юнит!A:A,Юнит!C:C)</f>
        <v>0</v>
      </c>
      <c r="B76" s="92" t="s">
        <v>253</v>
      </c>
      <c r="C76" s="151"/>
      <c r="D76" s="92" t="e">
        <f>_xlfn.XLOOKUP(A76,Юнит!C:C,Юнит!B:B)</f>
        <v>#N/A</v>
      </c>
      <c r="E76" s="104" t="e">
        <f>_xlfn.XLOOKUP(A76,Юнит!C:C,Юнит!D:D)</f>
        <v>#N/A</v>
      </c>
      <c r="F76" s="61"/>
      <c r="G76" s="96">
        <f>_xlfn.XLOOKUP($B76,'[4] Расчет стоимости и веса'!$J:$J,'[4] Расчет стоимости и веса'!$D:$D,0,0)</f>
        <v>40</v>
      </c>
      <c r="H76" s="83">
        <f>_xlfn.XLOOKUP($B76,'[4] Расчет стоимости и веса'!$J:$J,'[4] Расчет стоимости и веса'!$E:$E,0,0)</f>
        <v>2.35</v>
      </c>
      <c r="I76" s="84">
        <f>H76*'Расчет Карго'!$H$5</f>
        <v>28.434999999999999</v>
      </c>
      <c r="J76" s="84">
        <f>I76/'Расчет Карго'!$H$3</f>
        <v>0.35543749999999996</v>
      </c>
      <c r="K76" s="83">
        <f t="shared" si="38"/>
        <v>94</v>
      </c>
      <c r="L76" s="84">
        <f t="shared" si="39"/>
        <v>1137.3999999999999</v>
      </c>
      <c r="M76" s="84">
        <f t="shared" si="40"/>
        <v>14.217499999999998</v>
      </c>
      <c r="N76" s="84">
        <f>S76*'Расчет Карго'!$M$4</f>
        <v>16.712450712990382</v>
      </c>
      <c r="O76" s="84">
        <f t="shared" si="41"/>
        <v>45.147450712990377</v>
      </c>
      <c r="P76" s="85"/>
      <c r="Q76" s="66">
        <f>_xlfn.XLOOKUP($B76,'[4] Расчет стоимости и веса'!$I:$I,'[4] Расчет стоимости и веса'!$O:$O,0,0)</f>
        <v>0</v>
      </c>
      <c r="R76" s="62"/>
      <c r="S76" s="83">
        <f>_xlfn.XLOOKUP($B76,'[4] Расчет стоимости и веса'!$J:$J,'[4] Расчет стоимости и веса'!$M:$M,0,0)</f>
        <v>0.04</v>
      </c>
      <c r="T76" s="83"/>
      <c r="U76" s="86">
        <f t="shared" si="42"/>
        <v>0</v>
      </c>
    </row>
    <row r="77" spans="1:21" ht="45" customHeight="1" collapsed="1" x14ac:dyDescent="0.25">
      <c r="A77" s="66">
        <f>_xlfn.XLOOKUP('Юнит Карго'!C77,Юнит!A:A,Юнит!C:C)</f>
        <v>0</v>
      </c>
      <c r="B77" s="92" t="s">
        <v>254</v>
      </c>
      <c r="C77" s="151"/>
      <c r="D77" s="92" t="e">
        <f>_xlfn.XLOOKUP(A77,Юнит!C:C,Юнит!B:B)</f>
        <v>#N/A</v>
      </c>
      <c r="E77" s="104" t="e">
        <f>_xlfn.XLOOKUP(A77,Юнит!C:C,Юнит!D:D)</f>
        <v>#N/A</v>
      </c>
      <c r="F77" s="61"/>
      <c r="G77" s="96">
        <f>_xlfn.XLOOKUP($B77,'[4] Расчет стоимости и веса'!$J:$J,'[4] Расчет стоимости и веса'!$D:$D,0,0)</f>
        <v>40</v>
      </c>
      <c r="H77" s="83">
        <f>_xlfn.XLOOKUP($B77,'[4] Расчет стоимости и веса'!$J:$J,'[4] Расчет стоимости и веса'!$E:$E,0,0)</f>
        <v>2.76</v>
      </c>
      <c r="I77" s="84">
        <f>H77*'Расчет Карго'!$H$5</f>
        <v>33.395999999999994</v>
      </c>
      <c r="J77" s="84">
        <f>I77/'Расчет Карго'!$H$3</f>
        <v>0.41744999999999993</v>
      </c>
      <c r="K77" s="83">
        <f t="shared" si="38"/>
        <v>110.39999999999999</v>
      </c>
      <c r="L77" s="84">
        <f t="shared" si="39"/>
        <v>1335.8399999999997</v>
      </c>
      <c r="M77" s="84">
        <f t="shared" si="40"/>
        <v>16.697999999999997</v>
      </c>
      <c r="N77" s="84">
        <f>S77*'Расчет Карго'!$M$4</f>
        <v>25.068676069485573</v>
      </c>
      <c r="O77" s="84">
        <f t="shared" si="41"/>
        <v>58.464676069485563</v>
      </c>
      <c r="P77" s="85"/>
      <c r="Q77" s="66">
        <f>_xlfn.XLOOKUP($B77,'[4] Расчет стоимости и веса'!$I:$I,'[4] Расчет стоимости и веса'!$O:$O,0,0)</f>
        <v>0</v>
      </c>
      <c r="R77" s="62"/>
      <c r="S77" s="83">
        <f>_xlfn.XLOOKUP($B77,'[4] Расчет стоимости и веса'!$J:$J,'[4] Расчет стоимости и веса'!$M:$M,0,0)</f>
        <v>0.06</v>
      </c>
      <c r="T77" s="83"/>
      <c r="U77" s="86">
        <f t="shared" si="42"/>
        <v>0</v>
      </c>
    </row>
    <row r="78" spans="1:21" ht="45" customHeight="1" x14ac:dyDescent="0.25">
      <c r="A78" s="66" t="str">
        <f>_xlfn.XLOOKUP('Юнит Карго'!C78,Юнит!A:A,Юнит!C:C)</f>
        <v>AHMA1BW111WH</v>
      </c>
      <c r="B78" s="99">
        <f>IF(A78=0,"нет в продаже",_xlfn.XLOOKUP($A78,Юнит!$C:$C,Юнит!$A:$A,0,0))</f>
        <v>236929188</v>
      </c>
      <c r="C78" s="151">
        <v>236929188</v>
      </c>
      <c r="D78" s="92">
        <f>_xlfn.XLOOKUP(A78,Юнит!C:C,Юнит!B:B)</f>
        <v>2419349422</v>
      </c>
      <c r="E78" s="104" t="str">
        <f>_xlfn.XLOOKUP(A78,Юнит!C:C,Юнит!D:D)</f>
        <v>Мешок 60*80 мелк</v>
      </c>
      <c r="F78" s="61"/>
      <c r="G78" s="96">
        <f>_xlfn.XLOOKUP($B78,'[4] Расчет стоимости и веса'!$J:$J,'[4] Расчет стоимости и веса'!$D:$D,0,0)</f>
        <v>130</v>
      </c>
      <c r="H78" s="83">
        <f>_xlfn.XLOOKUP($B78,'[4] Расчет стоимости и веса'!$J:$J,'[4] Расчет стоимости и веса'!$E:$E,0,0)</f>
        <v>3.6</v>
      </c>
      <c r="I78" s="84">
        <f>H78*'Расчет Карго'!$H$5</f>
        <v>43.56</v>
      </c>
      <c r="J78" s="84">
        <f>I78/'Расчет Карго'!$H$3</f>
        <v>0.54449999999999998</v>
      </c>
      <c r="K78" s="83">
        <f t="shared" si="38"/>
        <v>468</v>
      </c>
      <c r="L78" s="84">
        <f t="shared" si="39"/>
        <v>5662.8</v>
      </c>
      <c r="M78" s="84">
        <f t="shared" si="40"/>
        <v>70.784999999999997</v>
      </c>
      <c r="N78" s="84">
        <f>S78*'Расчет Карго'!$M$4</f>
        <v>41.781126782475958</v>
      </c>
      <c r="O78" s="84">
        <f t="shared" si="41"/>
        <v>85.341126782475953</v>
      </c>
      <c r="P78" s="85">
        <f>IF(O78=0,_xlfn.XLOOKUP($A78,'Себес 1С текущ'!$B:$B,'Себес 1С текущ'!$E:$E,0,0),O78)</f>
        <v>85.341126782475953</v>
      </c>
      <c r="Q78" s="66">
        <f>_xlfn.XLOOKUP($B78,'[4] Расчет стоимости и веса'!$I:$I,'[4] Расчет стоимости и веса'!$O:$O,0,0)</f>
        <v>0</v>
      </c>
      <c r="R78" s="62"/>
      <c r="S78" s="83">
        <f>_xlfn.XLOOKUP($B78,'[4] Расчет стоимости и веса'!$J:$J,'[4] Расчет стоимости и веса'!$M:$M,0,0)</f>
        <v>0.1</v>
      </c>
      <c r="T78" s="83">
        <f>S78</f>
        <v>0.1</v>
      </c>
      <c r="U78" s="86">
        <f t="shared" si="42"/>
        <v>13</v>
      </c>
    </row>
    <row r="79" spans="1:21" ht="45" customHeight="1" collapsed="1" x14ac:dyDescent="0.25">
      <c r="A79" s="66" t="str">
        <f>_xlfn.XLOOKUP('Юнит Карго'!C79,Юнит!A:A,Юнит!C:C)</f>
        <v>AHMA3BW202WH</v>
      </c>
      <c r="B79" s="92" t="s">
        <v>255</v>
      </c>
      <c r="C79" s="151">
        <v>176723275</v>
      </c>
      <c r="D79" s="92">
        <f>_xlfn.XLOOKUP(A79,Юнит!C:C,Юнит!B:B)</f>
        <v>2419349501</v>
      </c>
      <c r="E79" s="104" t="str">
        <f>_xlfn.XLOOKUP(A79,Юнит!C:C,Юнит!D:D)</f>
        <v>Мешки/шнурок крупн 3 шт.</v>
      </c>
      <c r="F79" s="61"/>
      <c r="G79" s="96">
        <f>_xlfn.XLOOKUP($B79,'[4] Расчет стоимости и веса'!$J:$J,'[4] Расчет стоимости и веса'!$D:$D,0,0)</f>
        <v>80</v>
      </c>
      <c r="H79" s="83">
        <f>_xlfn.XLOOKUP($B79,'[4] Расчет стоимости и веса'!$J:$J,'[4] Расчет стоимости и веса'!$E:$E,0,0)</f>
        <v>1.76</v>
      </c>
      <c r="I79" s="84">
        <f>H79*'Расчет Карго'!$H$5</f>
        <v>21.295999999999999</v>
      </c>
      <c r="J79" s="84">
        <f>I79/'Расчет Карго'!$H$3</f>
        <v>0.26619999999999999</v>
      </c>
      <c r="K79" s="83">
        <f t="shared" si="38"/>
        <v>140.80000000000001</v>
      </c>
      <c r="L79" s="84">
        <f t="shared" si="39"/>
        <v>1703.6799999999998</v>
      </c>
      <c r="M79" s="84">
        <f t="shared" si="40"/>
        <v>21.295999999999999</v>
      </c>
      <c r="N79" s="84">
        <f>S79*'Расчет Карго'!$M$4</f>
        <v>12.534338034742786</v>
      </c>
      <c r="O79" s="84">
        <f t="shared" si="41"/>
        <v>33.830338034742788</v>
      </c>
      <c r="P79" s="85">
        <f>SUM(O79:O81)</f>
        <v>137.44246481721873</v>
      </c>
      <c r="Q79" s="66">
        <f>_xlfn.XLOOKUP($B79,'[4] Расчет стоимости и веса'!$I:$I,'[4] Расчет стоимости и веса'!$O:$O,0,0)</f>
        <v>0</v>
      </c>
      <c r="R79" s="62"/>
      <c r="S79" s="83">
        <f>_xlfn.XLOOKUP($B79,'[4] Расчет стоимости и веса'!$J:$J,'[4] Расчет стоимости и веса'!$M:$M,0,0)</f>
        <v>0.03</v>
      </c>
      <c r="T79" s="83">
        <f>SUM(S79:S81)</f>
        <v>0.13</v>
      </c>
      <c r="U79" s="86">
        <f t="shared" si="42"/>
        <v>10.4</v>
      </c>
    </row>
    <row r="80" spans="1:21" ht="45" customHeight="1" collapsed="1" x14ac:dyDescent="0.25">
      <c r="A80" s="66">
        <f>_xlfn.XLOOKUP('Юнит Карго'!C80,Юнит!A:A,Юнит!C:C)</f>
        <v>0</v>
      </c>
      <c r="B80" s="92" t="s">
        <v>256</v>
      </c>
      <c r="C80" s="151"/>
      <c r="D80" s="92" t="e">
        <f>_xlfn.XLOOKUP(A80,Юнит!C:C,Юнит!B:B)</f>
        <v>#N/A</v>
      </c>
      <c r="E80" s="104" t="e">
        <f>_xlfn.XLOOKUP(A80,Юнит!C:C,Юнит!D:D)</f>
        <v>#N/A</v>
      </c>
      <c r="F80" s="61"/>
      <c r="G80" s="96">
        <f>_xlfn.XLOOKUP($B80,'[4] Расчет стоимости и веса'!$J:$J,'[4] Расчет стоимости и веса'!$D:$D,0,0)</f>
        <v>80</v>
      </c>
      <c r="H80" s="83">
        <f>_xlfn.XLOOKUP($B80,'[4] Расчет стоимости и веса'!$J:$J,'[4] Расчет стоимости и веса'!$E:$E,0,0)</f>
        <v>2.35</v>
      </c>
      <c r="I80" s="84">
        <f>H80*'Расчет Карго'!$H$5</f>
        <v>28.434999999999999</v>
      </c>
      <c r="J80" s="84">
        <f>I80/'Расчет Карго'!$H$3</f>
        <v>0.35543749999999996</v>
      </c>
      <c r="K80" s="83">
        <f t="shared" si="38"/>
        <v>188</v>
      </c>
      <c r="L80" s="84">
        <f t="shared" si="39"/>
        <v>2274.7999999999997</v>
      </c>
      <c r="M80" s="84">
        <f t="shared" si="40"/>
        <v>28.434999999999995</v>
      </c>
      <c r="N80" s="84">
        <f>S80*'Расчет Карго'!$M$4</f>
        <v>16.712450712990382</v>
      </c>
      <c r="O80" s="84">
        <f t="shared" si="41"/>
        <v>45.147450712990377</v>
      </c>
      <c r="P80" s="85"/>
      <c r="Q80" s="66">
        <f>_xlfn.XLOOKUP($B80,'[4] Расчет стоимости и веса'!$I:$I,'[4] Расчет стоимости и веса'!$O:$O,0,0)</f>
        <v>0</v>
      </c>
      <c r="R80" s="62"/>
      <c r="S80" s="83">
        <f>_xlfn.XLOOKUP($B80,'[4] Расчет стоимости и веса'!$J:$J,'[4] Расчет стоимости и веса'!$M:$M,0,0)</f>
        <v>0.04</v>
      </c>
      <c r="T80" s="83"/>
      <c r="U80" s="86">
        <f t="shared" si="42"/>
        <v>0</v>
      </c>
    </row>
    <row r="81" spans="1:21" ht="45" customHeight="1" collapsed="1" x14ac:dyDescent="0.25">
      <c r="A81" s="66">
        <f>_xlfn.XLOOKUP('Юнит Карго'!C81,Юнит!A:A,Юнит!C:C)</f>
        <v>0</v>
      </c>
      <c r="B81" s="92" t="s">
        <v>257</v>
      </c>
      <c r="C81" s="151"/>
      <c r="D81" s="92" t="e">
        <f>_xlfn.XLOOKUP(A81,Юнит!C:C,Юнит!B:B)</f>
        <v>#N/A</v>
      </c>
      <c r="E81" s="104" t="e">
        <f>_xlfn.XLOOKUP(A81,Юнит!C:C,Юнит!D:D)</f>
        <v>#N/A</v>
      </c>
      <c r="F81" s="61"/>
      <c r="G81" s="96">
        <f>_xlfn.XLOOKUP($B81,'[4] Расчет стоимости и веса'!$J:$J,'[4] Расчет стоимости и веса'!$D:$D,0,0)</f>
        <v>80</v>
      </c>
      <c r="H81" s="83">
        <f>_xlfn.XLOOKUP($B81,'[4] Расчет стоимости и веса'!$J:$J,'[4] Расчет стоимости и веса'!$E:$E,0,0)</f>
        <v>2.76</v>
      </c>
      <c r="I81" s="84">
        <f>H81*'Расчет Карго'!$H$5</f>
        <v>33.395999999999994</v>
      </c>
      <c r="J81" s="84">
        <f>I81/'Расчет Карго'!$H$3</f>
        <v>0.41744999999999993</v>
      </c>
      <c r="K81" s="83">
        <f t="shared" si="38"/>
        <v>220.79999999999998</v>
      </c>
      <c r="L81" s="84">
        <f t="shared" si="39"/>
        <v>2671.6799999999994</v>
      </c>
      <c r="M81" s="84">
        <f t="shared" si="40"/>
        <v>33.395999999999994</v>
      </c>
      <c r="N81" s="84">
        <f>S81*'Расчет Карго'!$M$4</f>
        <v>25.068676069485573</v>
      </c>
      <c r="O81" s="84">
        <f t="shared" si="41"/>
        <v>58.464676069485563</v>
      </c>
      <c r="P81" s="85"/>
      <c r="Q81" s="66">
        <f>_xlfn.XLOOKUP($B81,'[4] Расчет стоимости и веса'!$I:$I,'[4] Расчет стоимости и веса'!$O:$O,0,0)</f>
        <v>0</v>
      </c>
      <c r="R81" s="62"/>
      <c r="S81" s="83">
        <f>_xlfn.XLOOKUP($B81,'[4] Расчет стоимости и веса'!$J:$J,'[4] Расчет стоимости и веса'!$M:$M,0,0)</f>
        <v>0.06</v>
      </c>
      <c r="T81" s="83"/>
      <c r="U81" s="86">
        <f t="shared" si="42"/>
        <v>0</v>
      </c>
    </row>
    <row r="82" spans="1:21" ht="45" customHeight="1" collapsed="1" x14ac:dyDescent="0.25">
      <c r="A82" s="66" t="str">
        <f>_xlfn.XLOOKUP('Юнит Карго'!C82,Юнит!A:A,Юнит!C:C)</f>
        <v>AHMA1BW112WH</v>
      </c>
      <c r="B82" s="99">
        <f>IF(A82=0,"нет в продаже",_xlfn.XLOOKUP($A82,Юнит!$C:$C,Юнит!$A:$A,0,0))</f>
        <v>236929187</v>
      </c>
      <c r="C82" s="151">
        <v>236929187</v>
      </c>
      <c r="D82" s="92">
        <f>_xlfn.XLOOKUP(A82,Юнит!C:C,Юнит!B:B)</f>
        <v>2419349360</v>
      </c>
      <c r="E82" s="104" t="str">
        <f>_xlfn.XLOOKUP(A82,Юнит!C:C,Юнит!D:D)</f>
        <v>Мешок 60*80 крупн</v>
      </c>
      <c r="F82" s="61"/>
      <c r="G82" s="96">
        <f>_xlfn.XLOOKUP($B82,'[4] Расчет стоимости и веса'!$J:$J,'[4] Расчет стоимости и веса'!$D:$D,0,0)</f>
        <v>100</v>
      </c>
      <c r="H82" s="83">
        <f>_xlfn.XLOOKUP($B82,'[4] Расчет стоимости и веса'!$J:$J,'[4] Расчет стоимости и веса'!$E:$E,0,0)</f>
        <v>3.6</v>
      </c>
      <c r="I82" s="84">
        <f>H82*'Расчет Карго'!$H$5</f>
        <v>43.56</v>
      </c>
      <c r="J82" s="84">
        <f>I82/'Расчет Карго'!$H$3</f>
        <v>0.54449999999999998</v>
      </c>
      <c r="K82" s="83">
        <f t="shared" si="38"/>
        <v>360</v>
      </c>
      <c r="L82" s="84">
        <f t="shared" si="39"/>
        <v>4356</v>
      </c>
      <c r="M82" s="84">
        <f t="shared" si="40"/>
        <v>54.449999999999996</v>
      </c>
      <c r="N82" s="84">
        <f>S82*'Расчет Карго'!$M$4</f>
        <v>41.781126782475958</v>
      </c>
      <c r="O82" s="84">
        <f t="shared" si="41"/>
        <v>85.341126782475953</v>
      </c>
      <c r="P82" s="85">
        <f>IF(O82=0,_xlfn.XLOOKUP($A82,'Себес 1С текущ'!$B:$B,'Себес 1С текущ'!$E:$E,0,0),O82)</f>
        <v>85.341126782475953</v>
      </c>
      <c r="Q82" s="66">
        <f>_xlfn.XLOOKUP($B82,'[4] Расчет стоимости и веса'!$I:$I,'[4] Расчет стоимости и веса'!$O:$O,0,0)</f>
        <v>0</v>
      </c>
      <c r="R82" s="62"/>
      <c r="S82" s="83">
        <f>_xlfn.XLOOKUP($B82,'[4] Расчет стоимости и веса'!$J:$J,'[4] Расчет стоимости и веса'!$M:$M,0,0)</f>
        <v>0.1</v>
      </c>
      <c r="T82" s="83">
        <f>S82</f>
        <v>0.1</v>
      </c>
      <c r="U82" s="86">
        <f t="shared" si="42"/>
        <v>10</v>
      </c>
    </row>
    <row r="83" spans="1:21" ht="45" customHeight="1" x14ac:dyDescent="0.25">
      <c r="A83" s="66" t="str">
        <f>_xlfn.XLOOKUP('Юнит Карго'!C83,Юнит!A:A,Юнит!C:C)</f>
        <v>AAND1BL101BL</v>
      </c>
      <c r="B83" s="99">
        <f>IF(A83=0,"нет в продаже",_xlfn.XLOOKUP($A83,Юнит!$C:$C,Юнит!$A:$A,0,0))</f>
        <v>251537413</v>
      </c>
      <c r="C83" s="151">
        <v>251537413</v>
      </c>
      <c r="D83" s="92">
        <f>_xlfn.XLOOKUP(A83,Юнит!C:C,Юнит!B:B)</f>
        <v>2415743157</v>
      </c>
      <c r="E83" s="104" t="str">
        <f>_xlfn.XLOOKUP(A83,Юнит!C:C,Юнит!D:D)</f>
        <v>Мяч регби синий</v>
      </c>
      <c r="F83" s="96"/>
      <c r="G83" s="96">
        <f>_xlfn.XLOOKUP($B83,'[4] Расчет стоимости и веса'!$J:$J,'[4] Расчет стоимости и веса'!$D:$D,0,0)</f>
        <v>60</v>
      </c>
      <c r="H83" s="83">
        <f>_xlfn.XLOOKUP($B83,'[4] Расчет стоимости и веса'!$J:$J,'[4] Расчет стоимости и веса'!$E:$E,0,0)</f>
        <v>5</v>
      </c>
      <c r="I83" s="84">
        <f>H83*'Расчет Карго'!$H$5</f>
        <v>60.5</v>
      </c>
      <c r="J83" s="84">
        <f>I83/'Расчет Карго'!$H$3</f>
        <v>0.75624999999999998</v>
      </c>
      <c r="K83" s="83">
        <f t="shared" si="38"/>
        <v>300</v>
      </c>
      <c r="L83" s="84">
        <f t="shared" si="39"/>
        <v>3630</v>
      </c>
      <c r="M83" s="84">
        <f t="shared" si="40"/>
        <v>45.375</v>
      </c>
      <c r="N83" s="84">
        <f>S83*'Расчет Карго'!$M$4</f>
        <v>33.424901425980764</v>
      </c>
      <c r="O83" s="84">
        <f t="shared" si="41"/>
        <v>93.924901425980764</v>
      </c>
      <c r="P83" s="85">
        <f>IF(O83=0,_xlfn.XLOOKUP($A83,'Себес 1С текущ'!$B:$B,'Себес 1С текущ'!$E:$E,0,0),O83)</f>
        <v>93.924901425980764</v>
      </c>
      <c r="Q83" s="66">
        <f>_xlfn.XLOOKUP($B83,'[4] Расчет стоимости и веса'!$I:$I,'[4] Расчет стоимости и веса'!$O:$O,0,0)</f>
        <v>200</v>
      </c>
      <c r="R83" s="98"/>
      <c r="S83" s="83">
        <f>_xlfn.XLOOKUP($B83,'[4] Расчет стоимости и веса'!$J:$J,'[4] Расчет стоимости и веса'!$M:$M,0,0)</f>
        <v>0.08</v>
      </c>
      <c r="T83" s="83">
        <f>S83</f>
        <v>0.08</v>
      </c>
      <c r="U83" s="86">
        <f t="shared" si="42"/>
        <v>4.8</v>
      </c>
    </row>
    <row r="84" spans="1:21" ht="45" customHeight="1" collapsed="1" x14ac:dyDescent="0.25">
      <c r="A84" s="66" t="str">
        <f>_xlfn.XLOOKUP('Юнит Карго'!C84,Юнит!A:A,Юнит!C:C)</f>
        <v>AAND1BL101RD</v>
      </c>
      <c r="B84" s="99">
        <f>IF(A84=0,"нет в продаже",_xlfn.XLOOKUP($A84,Юнит!$C:$C,Юнит!$A:$A,0,0))</f>
        <v>251537223</v>
      </c>
      <c r="C84" s="151">
        <v>251537223</v>
      </c>
      <c r="D84" s="92">
        <f>_xlfn.XLOOKUP(A84,Юнит!C:C,Юнит!B:B)</f>
        <v>2415742463</v>
      </c>
      <c r="E84" s="104" t="str">
        <f>_xlfn.XLOOKUP(A84,Юнит!C:C,Юнит!D:D)</f>
        <v>Мяч регби красный</v>
      </c>
      <c r="F84" s="61"/>
      <c r="G84" s="96">
        <f>_xlfn.XLOOKUP($B84,'[4] Расчет стоимости и веса'!$J:$J,'[4] Расчет стоимости и веса'!$D:$D,0,0)</f>
        <v>100</v>
      </c>
      <c r="H84" s="83">
        <f>_xlfn.XLOOKUP($B84,'[4] Расчет стоимости и веса'!$J:$J,'[4] Расчет стоимости и веса'!$E:$E,0,0)</f>
        <v>5</v>
      </c>
      <c r="I84" s="84">
        <f>H84*'Расчет Карго'!$H$5</f>
        <v>60.5</v>
      </c>
      <c r="J84" s="84">
        <f>I84/'Расчет Карго'!$H$3</f>
        <v>0.75624999999999998</v>
      </c>
      <c r="K84" s="83">
        <f t="shared" si="38"/>
        <v>500</v>
      </c>
      <c r="L84" s="84">
        <f t="shared" si="39"/>
        <v>6050</v>
      </c>
      <c r="M84" s="84">
        <f t="shared" si="40"/>
        <v>75.625</v>
      </c>
      <c r="N84" s="84">
        <f>S84*'Расчет Карго'!$M$4</f>
        <v>33.424901425980764</v>
      </c>
      <c r="O84" s="84">
        <f t="shared" si="41"/>
        <v>93.924901425980764</v>
      </c>
      <c r="P84" s="85">
        <f>IF(O84=0,_xlfn.XLOOKUP($A84,'Себес 1С текущ'!$B:$B,'Себес 1С текущ'!$E:$E,0,0),O84)</f>
        <v>93.924901425980764</v>
      </c>
      <c r="Q84" s="66">
        <f>_xlfn.XLOOKUP($B84,'[4] Расчет стоимости и веса'!$I:$I,'[4] Расчет стоимости и веса'!$O:$O,0,0)</f>
        <v>200</v>
      </c>
      <c r="R84" s="62"/>
      <c r="S84" s="83">
        <f>_xlfn.XLOOKUP($B84,'[4] Расчет стоимости и веса'!$J:$J,'[4] Расчет стоимости и веса'!$M:$M,0,0)</f>
        <v>0.08</v>
      </c>
      <c r="T84" s="83">
        <f>S84</f>
        <v>0.08</v>
      </c>
      <c r="U84" s="86">
        <f t="shared" si="42"/>
        <v>8</v>
      </c>
    </row>
    <row r="85" spans="1:21" ht="45" customHeight="1" collapsed="1" x14ac:dyDescent="0.25">
      <c r="A85" s="66" t="str">
        <f>_xlfn.XLOOKUP('Юнит Карго'!C85,Юнит!A:A,Юнит!C:C)</f>
        <v>AAND1BL102BL</v>
      </c>
      <c r="B85" s="99">
        <f>IF(A85=0,"нет в продаже",_xlfn.XLOOKUP($A85,Юнит!$C:$C,Юнит!$A:$A,0,0))</f>
        <v>251407392</v>
      </c>
      <c r="C85" s="151">
        <v>251407392</v>
      </c>
      <c r="D85" s="92">
        <f>_xlfn.XLOOKUP(A85,Юнит!C:C,Юнит!B:B)</f>
        <v>1980958902</v>
      </c>
      <c r="E85" s="104" t="str">
        <f>_xlfn.XLOOKUP(A85,Юнит!C:C,Юнит!D:D)</f>
        <v>Мяч шина синий</v>
      </c>
      <c r="F85" s="61"/>
      <c r="G85" s="96">
        <f>_xlfn.XLOOKUP($B85,'[4] Расчет стоимости и веса'!$J:$J,'[4] Расчет стоимости и веса'!$D:$D,0,0)</f>
        <v>140</v>
      </c>
      <c r="H85" s="83">
        <f>_xlfn.XLOOKUP($B85,'[4] Расчет стоимости и веса'!$J:$J,'[4] Расчет стоимости и веса'!$E:$E,0,0)</f>
        <v>5.8</v>
      </c>
      <c r="I85" s="84">
        <f>H85*'Расчет Карго'!$H$5</f>
        <v>70.179999999999993</v>
      </c>
      <c r="J85" s="84">
        <f>I85/'Расчет Карго'!$H$3</f>
        <v>0.87724999999999986</v>
      </c>
      <c r="K85" s="83">
        <f t="shared" si="38"/>
        <v>812</v>
      </c>
      <c r="L85" s="84">
        <f t="shared" si="39"/>
        <v>9825.1999999999989</v>
      </c>
      <c r="M85" s="84">
        <f t="shared" si="40"/>
        <v>122.81499999999998</v>
      </c>
      <c r="N85" s="84">
        <f>S85*'Расчет Карго'!$M$4</f>
        <v>58.493577495466347</v>
      </c>
      <c r="O85" s="84">
        <f t="shared" si="41"/>
        <v>128.67357749546633</v>
      </c>
      <c r="P85" s="85">
        <f>IF(O85=0,_xlfn.XLOOKUP($A85,'Себес 1С текущ'!$B:$B,'Себес 1С текущ'!$E:$E,0,0),O85)</f>
        <v>128.67357749546633</v>
      </c>
      <c r="Q85" s="66">
        <f>_xlfn.XLOOKUP($B85,'[4] Расчет стоимости и веса'!$I:$I,'[4] Расчет стоимости и веса'!$O:$O,0,0)</f>
        <v>200</v>
      </c>
      <c r="R85" s="62"/>
      <c r="S85" s="83">
        <f>_xlfn.XLOOKUP($B85,'[4] Расчет стоимости и веса'!$J:$J,'[4] Расчет стоимости и веса'!$M:$M,0,0)</f>
        <v>0.14000000000000001</v>
      </c>
      <c r="T85" s="83">
        <f>S85</f>
        <v>0.14000000000000001</v>
      </c>
      <c r="U85" s="86">
        <f t="shared" si="42"/>
        <v>19.600000000000001</v>
      </c>
    </row>
    <row r="86" spans="1:21" ht="45" customHeight="1" collapsed="1" x14ac:dyDescent="0.25">
      <c r="A86" s="66" t="str">
        <f>_xlfn.XLOOKUP('Юнит Карго'!C86,Юнит!A:A,Юнит!C:C)</f>
        <v>AAND1BL102RD</v>
      </c>
      <c r="B86" s="99">
        <f>IF(A86=0,"нет в продаже",_xlfn.XLOOKUP($A86,Юнит!$C:$C,Юнит!$A:$A,0,0))</f>
        <v>251516159</v>
      </c>
      <c r="C86" s="151">
        <v>251516159</v>
      </c>
      <c r="D86" s="92">
        <f>_xlfn.XLOOKUP(A86,Юнит!C:C,Юнит!B:B)</f>
        <v>1980956952</v>
      </c>
      <c r="E86" s="104" t="str">
        <f>_xlfn.XLOOKUP(A86,Юнит!C:C,Юнит!D:D)</f>
        <v>Мяч шина красный</v>
      </c>
      <c r="F86" s="100"/>
      <c r="G86" s="96">
        <f>_xlfn.XLOOKUP($B86,'[4] Расчет стоимости и веса'!$J:$J,'[4] Расчет стоимости и веса'!$D:$D,0,0)</f>
        <v>140</v>
      </c>
      <c r="H86" s="83">
        <f>_xlfn.XLOOKUP($B86,'[4] Расчет стоимости и веса'!$J:$J,'[4] Расчет стоимости и веса'!$E:$E,0,0)</f>
        <v>5.8</v>
      </c>
      <c r="I86" s="84">
        <f>H86*'Расчет Карго'!$H$5</f>
        <v>70.179999999999993</v>
      </c>
      <c r="J86" s="84">
        <f>I86/'Расчет Карго'!$H$3</f>
        <v>0.87724999999999986</v>
      </c>
      <c r="K86" s="83">
        <f t="shared" si="38"/>
        <v>812</v>
      </c>
      <c r="L86" s="84">
        <f t="shared" si="39"/>
        <v>9825.1999999999989</v>
      </c>
      <c r="M86" s="84">
        <f t="shared" si="40"/>
        <v>122.81499999999998</v>
      </c>
      <c r="N86" s="84">
        <f>S86*'Расчет Карго'!$M$4</f>
        <v>58.493577495466347</v>
      </c>
      <c r="O86" s="84">
        <f t="shared" si="41"/>
        <v>128.67357749546633</v>
      </c>
      <c r="P86" s="85">
        <f>IF(O86=0,_xlfn.XLOOKUP($A86,'Себес 1С текущ'!$B:$B,'Себес 1С текущ'!$E:$E,0,0),O86)</f>
        <v>128.67357749546633</v>
      </c>
      <c r="Q86" s="66">
        <f>_xlfn.XLOOKUP($B86,'[4] Расчет стоимости и веса'!$I:$I,'[4] Расчет стоимости и веса'!$O:$O,0,0)</f>
        <v>200</v>
      </c>
      <c r="R86" s="101"/>
      <c r="S86" s="83">
        <f>_xlfn.XLOOKUP($B86,'[4] Расчет стоимости и веса'!$J:$J,'[4] Расчет стоимости и веса'!$M:$M,0,0)</f>
        <v>0.14000000000000001</v>
      </c>
      <c r="T86" s="83">
        <f>S86</f>
        <v>0.14000000000000001</v>
      </c>
      <c r="U86" s="86">
        <f t="shared" si="42"/>
        <v>19.600000000000001</v>
      </c>
    </row>
    <row r="87" spans="1:21" ht="45" hidden="1" customHeight="1" x14ac:dyDescent="0.25">
      <c r="A87" s="66" t="str">
        <f>_xlfn.XLOOKUP('Юнит Карго'!C87,Юнит!A:A,Юнит!C:C)</f>
        <v>AAND1RP301BG</v>
      </c>
      <c r="B87" s="99">
        <f>IF(A87=0,"нет в продаже",_xlfn.XLOOKUP($A87,Юнит!$C:$C,Юнит!$A:$A,0,0))</f>
        <v>273588520</v>
      </c>
      <c r="C87" s="151">
        <v>273588520</v>
      </c>
      <c r="D87" s="92">
        <f>_xlfn.XLOOKUP(A87,Юнит!C:C,Юнит!B:B)</f>
        <v>0</v>
      </c>
      <c r="E87" s="104" t="str">
        <f>_xlfn.XLOOKUP(A87,Юнит!C:C,Юнит!D:D)</f>
        <v>Канат бол бежевый 55см/520гр</v>
      </c>
      <c r="F87" s="96"/>
      <c r="G87" s="96">
        <f>_xlfn.XLOOKUP($B87,'[4] Расчет стоимости и веса'!$J:$J,'[4] Расчет стоимости и веса'!$D:$D,0,0)</f>
        <v>0</v>
      </c>
      <c r="H87" s="83">
        <f>_xlfn.XLOOKUP($B87,'[4] Расчет стоимости и веса'!$J:$J,'[4] Расчет стоимости и веса'!$E:$E,0,0)</f>
        <v>0</v>
      </c>
      <c r="I87" s="84">
        <f>H87*'Расчет Карго'!$H$5</f>
        <v>0</v>
      </c>
      <c r="J87" s="84">
        <f>I87/'Расчет Карго'!$H$3</f>
        <v>0</v>
      </c>
      <c r="K87" s="83">
        <f t="shared" ref="K87:K126" si="43">G87*H87</f>
        <v>0</v>
      </c>
      <c r="L87" s="84">
        <f t="shared" ref="L87:L126" si="44">G87*I87</f>
        <v>0</v>
      </c>
      <c r="M87" s="84">
        <f t="shared" ref="M87:M126" si="45">J87*G87</f>
        <v>0</v>
      </c>
      <c r="N87" s="84">
        <f>S87*'Расчет Карго'!$M$4</f>
        <v>0</v>
      </c>
      <c r="O87" s="84">
        <f t="shared" ref="O87:O126" si="46">I87+N87</f>
        <v>0</v>
      </c>
      <c r="P87" s="85">
        <f>IF(O87=0,_xlfn.XLOOKUP($A87,'Себес 1С текущ'!$B:$B,'Себес 1С текущ'!$E:$E,0,0),O87)</f>
        <v>0</v>
      </c>
      <c r="Q87" s="66">
        <f>_xlfn.XLOOKUP($B87,'[4] Расчет стоимости и веса'!$I:$I,'[4] Расчет стоимости и веса'!$O:$O,0,0)</f>
        <v>0</v>
      </c>
      <c r="R87" s="98"/>
      <c r="S87" s="83">
        <f>_xlfn.XLOOKUP($B87,'[4] Расчет стоимости и веса'!$J:$J,'[4] Расчет стоимости и веса'!$M:$M,0,0)</f>
        <v>0</v>
      </c>
      <c r="T87" s="83">
        <f t="shared" si="8"/>
        <v>0</v>
      </c>
      <c r="U87" s="86">
        <f t="shared" si="9"/>
        <v>0</v>
      </c>
    </row>
    <row r="88" spans="1:21" ht="45" hidden="1" customHeight="1" x14ac:dyDescent="0.25">
      <c r="A88" s="66" t="str">
        <f>_xlfn.XLOOKUP('Юнит Карго'!C88,Юнит!A:A,Юнит!C:C)</f>
        <v>AAND1RP301YL</v>
      </c>
      <c r="B88" s="99">
        <f>IF(A88=0,"нет в продаже",_xlfn.XLOOKUP($A88,Юнит!$C:$C,Юнит!$A:$A,0,0))</f>
        <v>273589771</v>
      </c>
      <c r="C88" s="151">
        <v>273589771</v>
      </c>
      <c r="D88" s="92">
        <f>_xlfn.XLOOKUP(A88,Юнит!C:C,Юнит!B:B)</f>
        <v>0</v>
      </c>
      <c r="E88" s="104" t="str">
        <f>_xlfn.XLOOKUP(A88,Юнит!C:C,Юнит!D:D)</f>
        <v>Канат мал желтый 55см/330гр</v>
      </c>
      <c r="F88" s="61"/>
      <c r="G88" s="96">
        <f>_xlfn.XLOOKUP($B88,'[4] Расчет стоимости и веса'!$J:$J,'[4] Расчет стоимости и веса'!$D:$D,0,0)</f>
        <v>0</v>
      </c>
      <c r="H88" s="83">
        <f>_xlfn.XLOOKUP($B88,'[4] Расчет стоимости и веса'!$J:$J,'[4] Расчет стоимости и веса'!$E:$E,0,0)</f>
        <v>0</v>
      </c>
      <c r="I88" s="84">
        <f>H88*'Расчет Карго'!$H$5</f>
        <v>0</v>
      </c>
      <c r="J88" s="84">
        <f>I88/'Расчет Карго'!$H$3</f>
        <v>0</v>
      </c>
      <c r="K88" s="83">
        <f t="shared" si="43"/>
        <v>0</v>
      </c>
      <c r="L88" s="84">
        <f t="shared" si="44"/>
        <v>0</v>
      </c>
      <c r="M88" s="84">
        <f t="shared" si="45"/>
        <v>0</v>
      </c>
      <c r="N88" s="84">
        <f>S88*'Расчет Карго'!$M$4</f>
        <v>0</v>
      </c>
      <c r="O88" s="84">
        <f t="shared" si="46"/>
        <v>0</v>
      </c>
      <c r="P88" s="85">
        <f>IF(O88=0,_xlfn.XLOOKUP($A88,'Себес 1С текущ'!$B:$B,'Себес 1С текущ'!$E:$E,0,0),O88)</f>
        <v>0</v>
      </c>
      <c r="Q88" s="66">
        <f>_xlfn.XLOOKUP($B88,'[4] Расчет стоимости и веса'!$I:$I,'[4] Расчет стоимости и веса'!$O:$O,0,0)</f>
        <v>0</v>
      </c>
      <c r="R88" s="62"/>
      <c r="S88" s="83">
        <f>_xlfn.XLOOKUP($B88,'[4] Расчет стоимости и веса'!$J:$J,'[4] Расчет стоимости и веса'!$M:$M,0,0)</f>
        <v>0</v>
      </c>
      <c r="T88" s="83">
        <f t="shared" si="8"/>
        <v>0</v>
      </c>
      <c r="U88" s="86">
        <f t="shared" si="9"/>
        <v>0</v>
      </c>
    </row>
    <row r="89" spans="1:21" ht="45" customHeight="1" x14ac:dyDescent="0.25">
      <c r="A89" s="66" t="str">
        <f>_xlfn.XLOOKUP('Юнит Карго'!C89,Юнит!A:A,Юнит!C:C)</f>
        <v>AKTA4ST101CL</v>
      </c>
      <c r="B89" s="99">
        <f>IF(A89=0,"нет в продаже",_xlfn.XLOOKUP($A89,Юнит!$C:$C,Юнит!$A:$A,0,0))</f>
        <v>273556717</v>
      </c>
      <c r="C89" s="151">
        <v>273556717</v>
      </c>
      <c r="D89" s="92">
        <f>_xlfn.XLOOKUP(A89,Юнит!C:C,Юнит!B:B)</f>
        <v>2415742645</v>
      </c>
      <c r="E89" s="104" t="str">
        <f>_xlfn.XLOOKUP(A89,Юнит!C:C,Юнит!D:D)</f>
        <v>Набор пробок 4 шт. в коробке нежн</v>
      </c>
      <c r="F89" s="100"/>
      <c r="G89" s="96">
        <f>_xlfn.XLOOKUP($B89,'[4] Расчет стоимости и веса'!$J:$J,'[4] Расчет стоимости и веса'!$D:$D,0,0)</f>
        <v>90</v>
      </c>
      <c r="H89" s="83">
        <f>_xlfn.XLOOKUP($B89,'[4] Расчет стоимости и веса'!$J:$J,'[4] Расчет стоимости и веса'!$E:$E,0,0)</f>
        <v>6.3</v>
      </c>
      <c r="I89" s="84">
        <f>H89*'Расчет Карго'!$H$5</f>
        <v>76.22999999999999</v>
      </c>
      <c r="J89" s="84">
        <f>I89/'Расчет Карго'!$H$3</f>
        <v>0.95287499999999992</v>
      </c>
      <c r="K89" s="83">
        <f t="shared" si="43"/>
        <v>567</v>
      </c>
      <c r="L89" s="84">
        <f t="shared" si="44"/>
        <v>6860.6999999999989</v>
      </c>
      <c r="M89" s="84">
        <f t="shared" si="45"/>
        <v>85.758749999999992</v>
      </c>
      <c r="N89" s="84">
        <f>S89*'Расчет Карго'!$M$4</f>
        <v>20.890563391237979</v>
      </c>
      <c r="O89" s="84">
        <f t="shared" si="46"/>
        <v>97.120563391237965</v>
      </c>
      <c r="P89" s="85">
        <f>IF(O89=0,_xlfn.XLOOKUP($A89,'Себес 1С текущ'!$B:$B,'Себес 1С текущ'!$E:$E,0,0),O89)</f>
        <v>97.120563391237965</v>
      </c>
      <c r="Q89" s="66">
        <f>_xlfn.XLOOKUP($B89,'[4] Расчет стоимости и веса'!$I:$I,'[4] Расчет стоимости и веса'!$O:$O,0,0)</f>
        <v>100</v>
      </c>
      <c r="R89" s="101" t="s">
        <v>157</v>
      </c>
      <c r="S89" s="83">
        <f>_xlfn.XLOOKUP($B89,'[4] Расчет стоимости и веса'!$J:$J,'[4] Расчет стоимости и веса'!$M:$M,0,0)</f>
        <v>0.05</v>
      </c>
      <c r="T89" s="83">
        <f t="shared" si="8"/>
        <v>0.05</v>
      </c>
      <c r="U89" s="86">
        <f t="shared" si="9"/>
        <v>4.5</v>
      </c>
    </row>
    <row r="90" spans="1:21" ht="45" customHeight="1" thickBot="1" x14ac:dyDescent="0.3">
      <c r="A90" s="66" t="str">
        <f>_xlfn.XLOOKUP('Юнит Карго'!C90,Юнит!A:A,Юнит!C:C)</f>
        <v>AKTA4ST103CL</v>
      </c>
      <c r="B90" s="99">
        <f>IF(A90=0,"нет в продаже",_xlfn.XLOOKUP($A90,Юнит!$C:$C,Юнит!$A:$A,0,0))</f>
        <v>370594147</v>
      </c>
      <c r="C90" s="151">
        <v>370594147</v>
      </c>
      <c r="D90" s="92">
        <f>_xlfn.XLOOKUP(A90,Юнит!C:C,Юнит!B:B)</f>
        <v>2415742703</v>
      </c>
      <c r="E90" s="104" t="str">
        <f>_xlfn.XLOOKUP(A90,Юнит!C:C,Юнит!D:D)</f>
        <v>Набор пробок 4 шт. в коробке ярк</v>
      </c>
      <c r="F90" s="65"/>
      <c r="G90" s="96">
        <f>_xlfn.XLOOKUP($B90,'[4] Расчет стоимости и веса'!$J:$J,'[4] Расчет стоимости и веса'!$D:$D,0,0)</f>
        <v>90</v>
      </c>
      <c r="H90" s="83">
        <f>_xlfn.XLOOKUP($B90,'[4] Расчет стоимости и веса'!$J:$J,'[4] Расчет стоимости и веса'!$E:$E,0,0)</f>
        <v>6.3</v>
      </c>
      <c r="I90" s="84">
        <f>H90*'Расчет Карго'!$H$5</f>
        <v>76.22999999999999</v>
      </c>
      <c r="J90" s="84">
        <f>I90/'Расчет Карго'!$H$3</f>
        <v>0.95287499999999992</v>
      </c>
      <c r="K90" s="83">
        <f t="shared" si="43"/>
        <v>567</v>
      </c>
      <c r="L90" s="84">
        <f t="shared" si="44"/>
        <v>6860.6999999999989</v>
      </c>
      <c r="M90" s="84">
        <f t="shared" si="45"/>
        <v>85.758749999999992</v>
      </c>
      <c r="N90" s="84">
        <f>S90*'Расчет Карго'!$M$4</f>
        <v>20.890563391237979</v>
      </c>
      <c r="O90" s="84">
        <f t="shared" si="46"/>
        <v>97.120563391237965</v>
      </c>
      <c r="P90" s="85">
        <f>IF(O90=0,_xlfn.XLOOKUP($A90,'Себес 1С текущ'!$B:$B,'Себес 1С текущ'!$E:$E,0,0),O90)</f>
        <v>97.120563391237965</v>
      </c>
      <c r="Q90" s="66">
        <f>_xlfn.XLOOKUP($B90,'[4] Расчет стоимости и веса'!$I:$I,'[4] Расчет стоимости и веса'!$O:$O,0,0)</f>
        <v>72</v>
      </c>
      <c r="R90" s="101" t="s">
        <v>157</v>
      </c>
      <c r="S90" s="83">
        <f>_xlfn.XLOOKUP($B90,'[4] Расчет стоимости и веса'!$J:$J,'[4] Расчет стоимости и веса'!$M:$M,0,0)</f>
        <v>0.05</v>
      </c>
      <c r="T90" s="83">
        <f t="shared" ref="T90" si="47">S90</f>
        <v>0.05</v>
      </c>
      <c r="U90" s="86">
        <f t="shared" ref="U90" si="48">G90*T90</f>
        <v>4.5</v>
      </c>
    </row>
    <row r="91" spans="1:21" ht="45" hidden="1" customHeight="1" x14ac:dyDescent="0.3">
      <c r="A91" s="66" t="str">
        <f>_xlfn.XLOOKUP('Юнит Карго'!C91,Юнит!A:A,Юнит!C:C)</f>
        <v>AKTA4ST102CL</v>
      </c>
      <c r="B91" s="92" t="s">
        <v>312</v>
      </c>
      <c r="C91" s="151">
        <v>321959186</v>
      </c>
      <c r="D91" s="92">
        <f>_xlfn.XLOOKUP(A91,Юнит!C:C,Юнит!B:B)</f>
        <v>2415742927</v>
      </c>
      <c r="E91" s="104" t="str">
        <f>_xlfn.XLOOKUP(A91,Юнит!C:C,Юнит!D:D)</f>
        <v>Набор пробок 4 шт.</v>
      </c>
      <c r="F91" s="66"/>
      <c r="G91" s="96">
        <f>_xlfn.XLOOKUP($B91,'[4] Расчет стоимости и веса'!$J:$J,'[4] Расчет стоимости и веса'!$D:$D,0,0)</f>
        <v>0</v>
      </c>
      <c r="H91" s="83">
        <f>_xlfn.XLOOKUP($B91,'[4] Расчет стоимости и веса'!$J:$J,'[4] Расчет стоимости и веса'!$E:$E,0,0)</f>
        <v>0</v>
      </c>
      <c r="I91" s="84">
        <f>H91*'Расчет Карго'!$H$5</f>
        <v>0</v>
      </c>
      <c r="J91" s="84">
        <f>I91/'Расчет Карго'!$H$3</f>
        <v>0</v>
      </c>
      <c r="K91" s="83">
        <f t="shared" si="43"/>
        <v>0</v>
      </c>
      <c r="L91" s="84">
        <f t="shared" si="44"/>
        <v>0</v>
      </c>
      <c r="M91" s="84">
        <f t="shared" si="45"/>
        <v>0</v>
      </c>
      <c r="N91" s="84">
        <f>S91*'Расчет Карго'!$M$4</f>
        <v>0</v>
      </c>
      <c r="O91" s="84">
        <f t="shared" si="46"/>
        <v>0</v>
      </c>
      <c r="P91" s="85">
        <f>SUM(O91:O94)</f>
        <v>0</v>
      </c>
      <c r="Q91" s="66">
        <f>_xlfn.XLOOKUP($B91,'[4] Расчет стоимости и веса'!$I:$I,'[4] Расчет стоимости и веса'!$O:$O,0,0)</f>
        <v>0</v>
      </c>
      <c r="R91" s="83"/>
      <c r="S91" s="83">
        <f>_xlfn.XLOOKUP($B91,'[4] Расчет стоимости и веса'!$J:$J,'[4] Расчет стоимости и веса'!$M:$M,0,0)</f>
        <v>0</v>
      </c>
      <c r="T91" s="83">
        <f>SUM(S91:S94)</f>
        <v>0</v>
      </c>
      <c r="U91" s="86">
        <f t="shared" ref="U91:U126" si="49">G91*T91</f>
        <v>0</v>
      </c>
    </row>
    <row r="92" spans="1:21" ht="45" hidden="1" customHeight="1" x14ac:dyDescent="0.3">
      <c r="A92" s="66">
        <f>_xlfn.XLOOKUP('Юнит Карго'!C92,Юнит!A:A,Юнит!C:C)</f>
        <v>0</v>
      </c>
      <c r="B92" s="92" t="s">
        <v>313</v>
      </c>
      <c r="C92" s="151"/>
      <c r="D92" s="92" t="e">
        <f>_xlfn.XLOOKUP(A92,Юнит!C:C,Юнит!B:B)</f>
        <v>#N/A</v>
      </c>
      <c r="E92" s="104" t="e">
        <f>_xlfn.XLOOKUP(A92,Юнит!C:C,Юнит!D:D)</f>
        <v>#N/A</v>
      </c>
      <c r="F92" s="61"/>
      <c r="G92" s="96">
        <f>_xlfn.XLOOKUP($B92,'[4] Расчет стоимости и веса'!$J:$J,'[4] Расчет стоимости и веса'!$D:$D,0,0)</f>
        <v>0</v>
      </c>
      <c r="H92" s="83">
        <f>_xlfn.XLOOKUP($B92,'[4] Расчет стоимости и веса'!$J:$J,'[4] Расчет стоимости и веса'!$E:$E,0,0)</f>
        <v>0</v>
      </c>
      <c r="I92" s="84">
        <f>H92*'Расчет Карго'!$H$5</f>
        <v>0</v>
      </c>
      <c r="J92" s="84">
        <f>I92/'Расчет Карго'!$H$3</f>
        <v>0</v>
      </c>
      <c r="K92" s="83">
        <f t="shared" si="43"/>
        <v>0</v>
      </c>
      <c r="L92" s="84">
        <f t="shared" si="44"/>
        <v>0</v>
      </c>
      <c r="M92" s="84">
        <f t="shared" si="45"/>
        <v>0</v>
      </c>
      <c r="N92" s="84">
        <f>S92*'Расчет Карго'!$M$4</f>
        <v>0</v>
      </c>
      <c r="O92" s="84">
        <f t="shared" si="46"/>
        <v>0</v>
      </c>
      <c r="P92" s="85"/>
      <c r="Q92" s="66">
        <f>_xlfn.XLOOKUP($B92,'[4] Расчет стоимости и веса'!$I:$I,'[4] Расчет стоимости и веса'!$O:$O,0,0)</f>
        <v>0</v>
      </c>
      <c r="R92" s="62"/>
      <c r="S92" s="83">
        <f>_xlfn.XLOOKUP($B92,'[4] Расчет стоимости и веса'!$J:$J,'[4] Расчет стоимости и веса'!$M:$M,0,0)</f>
        <v>0</v>
      </c>
      <c r="T92" s="83"/>
      <c r="U92" s="86">
        <f t="shared" si="49"/>
        <v>0</v>
      </c>
    </row>
    <row r="93" spans="1:21" ht="45" hidden="1" customHeight="1" x14ac:dyDescent="0.3">
      <c r="A93" s="66">
        <f>_xlfn.XLOOKUP('Юнит Карго'!C93,Юнит!A:A,Юнит!C:C)</f>
        <v>0</v>
      </c>
      <c r="B93" s="92" t="s">
        <v>314</v>
      </c>
      <c r="C93" s="151"/>
      <c r="D93" s="92" t="e">
        <f>_xlfn.XLOOKUP(A93,Юнит!C:C,Юнит!B:B)</f>
        <v>#N/A</v>
      </c>
      <c r="E93" s="104" t="e">
        <f>_xlfn.XLOOKUP(A93,Юнит!C:C,Юнит!D:D)</f>
        <v>#N/A</v>
      </c>
      <c r="F93" s="61"/>
      <c r="G93" s="96">
        <f>_xlfn.XLOOKUP($B93,'[4] Расчет стоимости и веса'!$J:$J,'[4] Расчет стоимости и веса'!$D:$D,0,0)</f>
        <v>0</v>
      </c>
      <c r="H93" s="83">
        <f>_xlfn.XLOOKUP($B93,'[4] Расчет стоимости и веса'!$J:$J,'[4] Расчет стоимости и веса'!$E:$E,0,0)</f>
        <v>0</v>
      </c>
      <c r="I93" s="84">
        <f>H93*'Расчет Карго'!$H$5</f>
        <v>0</v>
      </c>
      <c r="J93" s="84">
        <f>I93/'Расчет Карго'!$H$3</f>
        <v>0</v>
      </c>
      <c r="K93" s="83">
        <f t="shared" si="43"/>
        <v>0</v>
      </c>
      <c r="L93" s="84">
        <f t="shared" si="44"/>
        <v>0</v>
      </c>
      <c r="M93" s="84">
        <f t="shared" si="45"/>
        <v>0</v>
      </c>
      <c r="N93" s="84">
        <f>S93*'Расчет Карго'!$M$4</f>
        <v>0</v>
      </c>
      <c r="O93" s="84">
        <f t="shared" si="46"/>
        <v>0</v>
      </c>
      <c r="P93" s="85"/>
      <c r="Q93" s="66">
        <f>_xlfn.XLOOKUP($B93,'[4] Расчет стоимости и веса'!$I:$I,'[4] Расчет стоимости и веса'!$O:$O,0,0)</f>
        <v>0</v>
      </c>
      <c r="R93" s="62"/>
      <c r="S93" s="83">
        <f>_xlfn.XLOOKUP($B93,'[4] Расчет стоимости и веса'!$J:$J,'[4] Расчет стоимости и веса'!$M:$M,0,0)</f>
        <v>0</v>
      </c>
      <c r="T93" s="83"/>
      <c r="U93" s="86">
        <f t="shared" si="49"/>
        <v>0</v>
      </c>
    </row>
    <row r="94" spans="1:21" ht="45" hidden="1" customHeight="1" x14ac:dyDescent="0.3">
      <c r="A94" s="66">
        <f>_xlfn.XLOOKUP('Юнит Карго'!C94,Юнит!A:A,Юнит!C:C)</f>
        <v>0</v>
      </c>
      <c r="B94" s="92" t="s">
        <v>315</v>
      </c>
      <c r="C94" s="151"/>
      <c r="D94" s="92" t="e">
        <f>_xlfn.XLOOKUP(A94,Юнит!C:C,Юнит!B:B)</f>
        <v>#N/A</v>
      </c>
      <c r="E94" s="104" t="e">
        <f>_xlfn.XLOOKUP(A94,Юнит!C:C,Юнит!D:D)</f>
        <v>#N/A</v>
      </c>
      <c r="F94" s="64"/>
      <c r="G94" s="96">
        <f>_xlfn.XLOOKUP($B94,'[4] Расчет стоимости и веса'!$J:$J,'[4] Расчет стоимости и веса'!$D:$D,0,0)</f>
        <v>0</v>
      </c>
      <c r="H94" s="83">
        <f>_xlfn.XLOOKUP($B94,'[4] Расчет стоимости и веса'!$J:$J,'[4] Расчет стоимости и веса'!$E:$E,0,0)</f>
        <v>0</v>
      </c>
      <c r="I94" s="84">
        <f>H94*'Расчет Карго'!$H$5</f>
        <v>0</v>
      </c>
      <c r="J94" s="84">
        <f>I94/'Расчет Карго'!$H$3</f>
        <v>0</v>
      </c>
      <c r="K94" s="83">
        <f t="shared" si="43"/>
        <v>0</v>
      </c>
      <c r="L94" s="84">
        <f t="shared" si="44"/>
        <v>0</v>
      </c>
      <c r="M94" s="84">
        <f t="shared" si="45"/>
        <v>0</v>
      </c>
      <c r="N94" s="84">
        <f>S94*'Расчет Карго'!$M$4</f>
        <v>0</v>
      </c>
      <c r="O94" s="84">
        <f t="shared" si="46"/>
        <v>0</v>
      </c>
      <c r="P94" s="85"/>
      <c r="Q94" s="66">
        <f>_xlfn.XLOOKUP($B94,'[4] Расчет стоимости и веса'!$I:$I,'[4] Расчет стоимости и веса'!$O:$O,0,0)</f>
        <v>0</v>
      </c>
      <c r="R94" s="79"/>
      <c r="S94" s="83">
        <f>_xlfn.XLOOKUP($B94,'[4] Расчет стоимости и веса'!$J:$J,'[4] Расчет стоимости и веса'!$M:$M,0,0)</f>
        <v>0</v>
      </c>
      <c r="T94" s="83"/>
      <c r="U94" s="86">
        <f t="shared" si="49"/>
        <v>0</v>
      </c>
    </row>
    <row r="95" spans="1:21" ht="45" hidden="1" customHeight="1" x14ac:dyDescent="0.3">
      <c r="A95" s="66" t="str">
        <f>_xlfn.XLOOKUP('Юнит Карго'!C95,Юнит!A:A,Юнит!C:C)</f>
        <v>AKTA2KN101YL</v>
      </c>
      <c r="B95" s="99">
        <f>IF(A95=0,"нет в продаже",_xlfn.XLOOKUP($A95,Юнит!$C:$C,Юнит!$A:$A,0,0))</f>
        <v>273546535</v>
      </c>
      <c r="C95" s="151">
        <v>273546535</v>
      </c>
      <c r="D95" s="92">
        <f>_xlfn.XLOOKUP(A95,Юнит!C:C,Юнит!B:B)</f>
        <v>2086999506</v>
      </c>
      <c r="E95" s="104" t="str">
        <f>_xlfn.XLOOKUP(A95,Юнит!C:C,Юнит!D:D)</f>
        <v>Шпатель желтый</v>
      </c>
      <c r="F95" s="102"/>
      <c r="G95" s="96">
        <f>_xlfn.XLOOKUP($B95,'[4] Расчет стоимости и веса'!$J:$J,'[4] Расчет стоимости и веса'!$D:$D,0,0)</f>
        <v>0</v>
      </c>
      <c r="H95" s="83">
        <f>_xlfn.XLOOKUP($B95,'[4] Расчет стоимости и веса'!$J:$J,'[4] Расчет стоимости и веса'!$E:$E,0,0)</f>
        <v>6.5</v>
      </c>
      <c r="I95" s="84">
        <f>H95*'Расчет Карго'!$H$5</f>
        <v>78.649999999999991</v>
      </c>
      <c r="J95" s="84">
        <f>I95/'Расчет Карго'!$H$3</f>
        <v>0.98312499999999992</v>
      </c>
      <c r="K95" s="83">
        <f t="shared" si="43"/>
        <v>0</v>
      </c>
      <c r="L95" s="84">
        <f t="shared" si="44"/>
        <v>0</v>
      </c>
      <c r="M95" s="84">
        <f t="shared" si="45"/>
        <v>0</v>
      </c>
      <c r="N95" s="84">
        <f>S95*'Расчет Карго'!$M$4</f>
        <v>83.562253564951916</v>
      </c>
      <c r="O95" s="84">
        <f t="shared" si="46"/>
        <v>162.21225356495191</v>
      </c>
      <c r="P95" s="85">
        <f>IF(O95=0,_xlfn.XLOOKUP($A95,'Себес 1С текущ'!$B:$B,'Себес 1С текущ'!$E:$E,0,0),O95)</f>
        <v>162.21225356495191</v>
      </c>
      <c r="Q95" s="66">
        <f>_xlfn.XLOOKUP($B95,'[4] Расчет стоимости и веса'!$I:$I,'[4] Расчет стоимости и веса'!$O:$O,0,0)</f>
        <v>72</v>
      </c>
      <c r="R95" s="103" t="s">
        <v>160</v>
      </c>
      <c r="S95" s="83">
        <f>_xlfn.XLOOKUP($B95,'[4] Расчет стоимости и веса'!$J:$J,'[4] Расчет стоимости и веса'!$M:$M,0,0)</f>
        <v>0.2</v>
      </c>
      <c r="T95" s="83">
        <f t="shared" ref="T95:T125" si="50">S95</f>
        <v>0.2</v>
      </c>
      <c r="U95" s="86">
        <f t="shared" si="49"/>
        <v>0</v>
      </c>
    </row>
    <row r="96" spans="1:21" ht="45" hidden="1" customHeight="1" x14ac:dyDescent="0.3">
      <c r="A96" s="66" t="str">
        <f>_xlfn.XLOOKUP('Юнит Карго'!C96,Юнит!A:A,Юнит!C:C)</f>
        <v>AKTA2KN101BL</v>
      </c>
      <c r="B96" s="99">
        <f>IF(A96=0,"нет в продаже",_xlfn.XLOOKUP($A96,Юнит!$C:$C,Юнит!$A:$A,0,0))</f>
        <v>273551028</v>
      </c>
      <c r="C96" s="151">
        <v>273551028</v>
      </c>
      <c r="D96" s="92">
        <f>_xlfn.XLOOKUP(A96,Юнит!C:C,Юнит!B:B)</f>
        <v>0</v>
      </c>
      <c r="E96" s="104" t="str">
        <f>_xlfn.XLOOKUP(A96,Юнит!C:C,Юнит!D:D)</f>
        <v>Шпатель голубой</v>
      </c>
      <c r="F96" s="65"/>
      <c r="G96" s="96">
        <f>_xlfn.XLOOKUP($B96,'[4] Расчет стоимости и веса'!$J:$J,'[4] Расчет стоимости и веса'!$D:$D,0,0)</f>
        <v>0</v>
      </c>
      <c r="H96" s="83">
        <f>_xlfn.XLOOKUP($B96,'[4] Расчет стоимости и веса'!$J:$J,'[4] Расчет стоимости и веса'!$E:$E,0,0)</f>
        <v>5.3</v>
      </c>
      <c r="I96" s="84">
        <f>H96*'Расчет Карго'!$H$5</f>
        <v>64.13</v>
      </c>
      <c r="J96" s="84">
        <f>I96/'Расчет Карго'!$H$3</f>
        <v>0.80162499999999992</v>
      </c>
      <c r="K96" s="83">
        <f t="shared" si="43"/>
        <v>0</v>
      </c>
      <c r="L96" s="84">
        <f t="shared" si="44"/>
        <v>0</v>
      </c>
      <c r="M96" s="84">
        <f t="shared" si="45"/>
        <v>0</v>
      </c>
      <c r="N96" s="84">
        <f>S96*'Расчет Карго'!$M$4</f>
        <v>83.562253564951916</v>
      </c>
      <c r="O96" s="84">
        <f t="shared" si="46"/>
        <v>147.6922535649519</v>
      </c>
      <c r="P96" s="85">
        <f>IF(O96=0,_xlfn.XLOOKUP($A96,'Себес 1С текущ'!$B:$B,'Себес 1С текущ'!$E:$E,0,0),O96)</f>
        <v>147.6922535649519</v>
      </c>
      <c r="Q96" s="66">
        <f>_xlfn.XLOOKUP($B96,'[4] Расчет стоимости и веса'!$I:$I,'[4] Расчет стоимости и веса'!$O:$O,0,0)</f>
        <v>72</v>
      </c>
      <c r="R96" s="93" t="s">
        <v>160</v>
      </c>
      <c r="S96" s="83">
        <f>_xlfn.XLOOKUP($B96,'[4] Расчет стоимости и веса'!$J:$J,'[4] Расчет стоимости и веса'!$M:$M,0,0)</f>
        <v>0.2</v>
      </c>
      <c r="T96" s="83">
        <f t="shared" si="50"/>
        <v>0.2</v>
      </c>
      <c r="U96" s="86">
        <f t="shared" si="49"/>
        <v>0</v>
      </c>
    </row>
    <row r="97" spans="1:21" ht="45" hidden="1" customHeight="1" x14ac:dyDescent="0.3">
      <c r="A97" s="66" t="str">
        <f>_xlfn.XLOOKUP('Юнит Карго'!C97,Юнит!A:A,Юнит!C:C)</f>
        <v>AKTA2KN102YL</v>
      </c>
      <c r="B97" s="99">
        <f>IF(A97=0,"нет в продаже",_xlfn.XLOOKUP($A97,Юнит!$C:$C,Юнит!$A:$A,0,0))</f>
        <v>273527791</v>
      </c>
      <c r="C97" s="151">
        <v>273527791</v>
      </c>
      <c r="D97" s="92">
        <f>_xlfn.XLOOKUP(A97,Юнит!C:C,Юнит!B:B)</f>
        <v>2092093001</v>
      </c>
      <c r="E97" s="104" t="str">
        <f>_xlfn.XLOOKUP(A97,Юнит!C:C,Юнит!D:D)</f>
        <v>Нож для пиццы желтый</v>
      </c>
      <c r="F97" s="102"/>
      <c r="G97" s="96">
        <f>_xlfn.XLOOKUP($B97,'[4] Расчет стоимости и веса'!$J:$J,'[4] Расчет стоимости и веса'!$D:$D,0,0)</f>
        <v>0</v>
      </c>
      <c r="H97" s="83">
        <f>_xlfn.XLOOKUP($B97,'[4] Расчет стоимости и веса'!$J:$J,'[4] Расчет стоимости и веса'!$E:$E,0,0)</f>
        <v>3.9</v>
      </c>
      <c r="I97" s="84">
        <f>H97*'Расчет Карго'!$H$5</f>
        <v>47.19</v>
      </c>
      <c r="J97" s="84">
        <f>I97/'Расчет Карго'!$H$3</f>
        <v>0.58987499999999993</v>
      </c>
      <c r="K97" s="83">
        <f t="shared" si="43"/>
        <v>0</v>
      </c>
      <c r="L97" s="84">
        <f t="shared" si="44"/>
        <v>0</v>
      </c>
      <c r="M97" s="84">
        <f t="shared" si="45"/>
        <v>0</v>
      </c>
      <c r="N97" s="84">
        <f>S97*'Расчет Карго'!$M$4</f>
        <v>71.027915530209128</v>
      </c>
      <c r="O97" s="84">
        <f t="shared" si="46"/>
        <v>118.21791553020913</v>
      </c>
      <c r="P97" s="85">
        <f>IF(O97=0,_xlfn.XLOOKUP($A97,'Себес 1С текущ'!$B:$B,'Себес 1С текущ'!$E:$E,0,0),O97)</f>
        <v>118.21791553020913</v>
      </c>
      <c r="Q97" s="66">
        <f>_xlfn.XLOOKUP($B97,'[4] Расчет стоимости и веса'!$I:$I,'[4] Расчет стоимости и веса'!$O:$O,0,0)</f>
        <v>72</v>
      </c>
      <c r="R97" s="103" t="s">
        <v>161</v>
      </c>
      <c r="S97" s="83">
        <f>_xlfn.XLOOKUP($B97,'[4] Расчет стоимости и веса'!$J:$J,'[4] Расчет стоимости и веса'!$M:$M,0,0)</f>
        <v>0.17</v>
      </c>
      <c r="T97" s="83">
        <f t="shared" si="50"/>
        <v>0.17</v>
      </c>
      <c r="U97" s="86">
        <f t="shared" si="49"/>
        <v>0</v>
      </c>
    </row>
    <row r="98" spans="1:21" ht="45" hidden="1" customHeight="1" x14ac:dyDescent="0.3">
      <c r="A98" s="66" t="str">
        <f>_xlfn.XLOOKUP('Юнит Карго'!C98,Юнит!A:A,Юнит!C:C)</f>
        <v>AKTA2KN102GN</v>
      </c>
      <c r="B98" s="99">
        <f>IF(A98=0,"нет в продаже",_xlfn.XLOOKUP($A98,Юнит!$C:$C,Юнит!$A:$A,0,0))</f>
        <v>327442631</v>
      </c>
      <c r="C98" s="151">
        <v>327442631</v>
      </c>
      <c r="D98" s="92">
        <f>_xlfn.XLOOKUP(A98,Юнит!C:C,Юнит!B:B)</f>
        <v>2087000111</v>
      </c>
      <c r="E98" s="104" t="str">
        <f>_xlfn.XLOOKUP(A98,Юнит!C:C,Юнит!D:D)</f>
        <v>Нож для пиццы зеленый</v>
      </c>
      <c r="F98" s="102"/>
      <c r="G98" s="96">
        <f>_xlfn.XLOOKUP($B98,'[4] Расчет стоимости и веса'!$J:$J,'[4] Расчет стоимости и веса'!$D:$D,0,0)</f>
        <v>0</v>
      </c>
      <c r="H98" s="83">
        <f>_xlfn.XLOOKUP($B98,'[4] Расчет стоимости и веса'!$J:$J,'[4] Расчет стоимости и веса'!$E:$E,0,0)</f>
        <v>3.9</v>
      </c>
      <c r="I98" s="84">
        <f>H98*'Расчет Карго'!$H$5</f>
        <v>47.19</v>
      </c>
      <c r="J98" s="84">
        <f>I98/'Расчет Карго'!$H$3</f>
        <v>0.58987499999999993</v>
      </c>
      <c r="K98" s="83">
        <f t="shared" si="43"/>
        <v>0</v>
      </c>
      <c r="L98" s="84">
        <f t="shared" si="44"/>
        <v>0</v>
      </c>
      <c r="M98" s="84">
        <f t="shared" si="45"/>
        <v>0</v>
      </c>
      <c r="N98" s="84">
        <f>S98*'Расчет Карго'!$M$4</f>
        <v>71.027915530209128</v>
      </c>
      <c r="O98" s="84">
        <f t="shared" si="46"/>
        <v>118.21791553020913</v>
      </c>
      <c r="P98" s="85">
        <f>IF(O98=0,_xlfn.XLOOKUP($A98,'Себес 1С текущ'!$B:$B,'Себес 1С текущ'!$E:$E,0,0),O98)</f>
        <v>118.21791553020913</v>
      </c>
      <c r="Q98" s="66">
        <f>_xlfn.XLOOKUP($B98,'[4] Расчет стоимости и веса'!$I:$I,'[4] Расчет стоимости и веса'!$O:$O,0,0)</f>
        <v>72</v>
      </c>
      <c r="R98" s="103"/>
      <c r="S98" s="83">
        <f>_xlfn.XLOOKUP($B98,'[4] Расчет стоимости и веса'!$J:$J,'[4] Расчет стоимости и веса'!$M:$M,0,0)</f>
        <v>0.17</v>
      </c>
      <c r="T98" s="83">
        <f t="shared" ref="T98:T100" si="51">S98</f>
        <v>0.17</v>
      </c>
      <c r="U98" s="86">
        <f t="shared" si="49"/>
        <v>0</v>
      </c>
    </row>
    <row r="99" spans="1:21" ht="45" hidden="1" customHeight="1" x14ac:dyDescent="0.3">
      <c r="A99" s="66" t="str">
        <f>_xlfn.XLOOKUP('Юнит Карго'!C99,Юнит!A:A,Юнит!C:C)</f>
        <v>AKTA1KN101GR</v>
      </c>
      <c r="B99" s="99">
        <f>IF(A99=0,"нет в продаже",_xlfn.XLOOKUP($A99,Юнит!$C:$C,Юнит!$A:$A,0,0))</f>
        <v>340948906</v>
      </c>
      <c r="C99" s="151">
        <v>340948906</v>
      </c>
      <c r="D99" s="92">
        <f>_xlfn.XLOOKUP(A99,Юнит!C:C,Юнит!B:B)</f>
        <v>0</v>
      </c>
      <c r="E99" s="104" t="str">
        <f>_xlfn.XLOOKUP(A99,Юнит!C:C,Юнит!D:D)</f>
        <v>Консервный нож</v>
      </c>
      <c r="F99" s="102"/>
      <c r="G99" s="96">
        <f>_xlfn.XLOOKUP($B99,'[4] Расчет стоимости и веса'!$J:$J,'[4] Расчет стоимости и веса'!$D:$D,0,0)</f>
        <v>0</v>
      </c>
      <c r="H99" s="83">
        <f>_xlfn.XLOOKUP($B99,'[4] Расчет стоимости и веса'!$J:$J,'[4] Расчет стоимости и веса'!$E:$E,0,0)</f>
        <v>0</v>
      </c>
      <c r="I99" s="401">
        <f>H99*'Расчет Карго'!$H$5</f>
        <v>0</v>
      </c>
      <c r="J99" s="84">
        <f>I99/'Расчет Карго'!$H$3</f>
        <v>0</v>
      </c>
      <c r="K99" s="83">
        <f t="shared" si="43"/>
        <v>0</v>
      </c>
      <c r="L99" s="84">
        <f t="shared" si="44"/>
        <v>0</v>
      </c>
      <c r="M99" s="84">
        <f t="shared" si="45"/>
        <v>0</v>
      </c>
      <c r="N99" s="84">
        <f>S99*'Расчет Карго'!$M$4</f>
        <v>0</v>
      </c>
      <c r="O99" s="84">
        <f t="shared" si="46"/>
        <v>0</v>
      </c>
      <c r="P99" s="85">
        <f>IF(O99=0,_xlfn.XLOOKUP($A99,'Себес 1С текущ'!$B:$B,'Себес 1С текущ'!$E:$E,0,0),O99)</f>
        <v>0</v>
      </c>
      <c r="Q99" s="66">
        <f>_xlfn.XLOOKUP($B99,'[4] Расчет стоимости и веса'!$I:$I,'[4] Расчет стоимости и веса'!$O:$O,0,0)</f>
        <v>0</v>
      </c>
      <c r="R99" s="103"/>
      <c r="S99" s="83">
        <f>_xlfn.XLOOKUP($B99,'[4] Расчет стоимости и веса'!$J:$J,'[4] Расчет стоимости и веса'!$M:$M,0,0)</f>
        <v>0</v>
      </c>
      <c r="T99" s="83">
        <f t="shared" si="51"/>
        <v>0</v>
      </c>
      <c r="U99" s="86">
        <f t="shared" si="49"/>
        <v>0</v>
      </c>
    </row>
    <row r="100" spans="1:21" ht="45" hidden="1" customHeight="1" thickBot="1" x14ac:dyDescent="0.3">
      <c r="A100" s="65" t="str">
        <f>_xlfn.XLOOKUP('Юнит Карго'!C100,Юнит!A:A,Юнит!C:C)</f>
        <v>AKTA1PR101GR</v>
      </c>
      <c r="B100" s="397">
        <f>IF(A100=0,"нет в продаже",_xlfn.XLOOKUP($A100,Юнит!$C:$C,Юнит!$A:$A,0,0))</f>
        <v>340802685</v>
      </c>
      <c r="C100" s="370">
        <v>340802685</v>
      </c>
      <c r="D100" s="371">
        <f>_xlfn.XLOOKUP(A100,Юнит!C:C,Юнит!B:B)</f>
        <v>0</v>
      </c>
      <c r="E100" s="104" t="str">
        <f>_xlfn.XLOOKUP(A100,Юнит!C:C,Юнит!D:D)</f>
        <v>Чеснокодавка</v>
      </c>
      <c r="F100" s="368"/>
      <c r="G100" s="96">
        <f>_xlfn.XLOOKUP($B100,'[4] Расчет стоимости и веса'!$J:$J,'[4] Расчет стоимости и веса'!$D:$D,0,0)</f>
        <v>0</v>
      </c>
      <c r="H100" s="83">
        <f>_xlfn.XLOOKUP($B100,'[4] Расчет стоимости и веса'!$J:$J,'[4] Расчет стоимости и веса'!$E:$E,0,0)</f>
        <v>0</v>
      </c>
      <c r="I100" s="372">
        <f>H100*'Расчет Карго'!$H$5</f>
        <v>0</v>
      </c>
      <c r="J100" s="372">
        <f>I100/'Расчет Карго'!$H$3</f>
        <v>0</v>
      </c>
      <c r="K100" s="93">
        <f t="shared" si="43"/>
        <v>0</v>
      </c>
      <c r="L100" s="372">
        <f t="shared" si="44"/>
        <v>0</v>
      </c>
      <c r="M100" s="372">
        <f t="shared" si="45"/>
        <v>0</v>
      </c>
      <c r="N100" s="372">
        <f>S100*'Расчет Карго'!$M$4</f>
        <v>0</v>
      </c>
      <c r="O100" s="372">
        <f t="shared" si="46"/>
        <v>0</v>
      </c>
      <c r="P100" s="373">
        <f>IF(O100=0,_xlfn.XLOOKUP($A100,'Себес 1С текущ'!$B:$B,'Себес 1С текущ'!$E:$E,0,0),O100)</f>
        <v>0</v>
      </c>
      <c r="Q100" s="65">
        <f>_xlfn.XLOOKUP($B100,'[4] Расчет стоимости и веса'!$I:$I,'[4] Расчет стоимости и веса'!$O:$O,0,0)</f>
        <v>0</v>
      </c>
      <c r="R100" s="398"/>
      <c r="S100" s="93">
        <f>_xlfn.XLOOKUP($B100,'[4] Расчет стоимости и веса'!$J:$J,'[4] Расчет стоимости и веса'!$M:$M,0,0)</f>
        <v>0</v>
      </c>
      <c r="T100" s="93">
        <f t="shared" si="51"/>
        <v>0</v>
      </c>
      <c r="U100" s="374">
        <f t="shared" si="49"/>
        <v>0</v>
      </c>
    </row>
    <row r="101" spans="1:21" ht="45" hidden="1" customHeight="1" thickBot="1" x14ac:dyDescent="0.3">
      <c r="A101" s="399"/>
      <c r="B101" s="400"/>
      <c r="C101" s="402">
        <v>0</v>
      </c>
      <c r="D101" s="403">
        <f>_xlfn.XLOOKUP(A101,Юнит!C:C,Юнит!B:B)</f>
        <v>0</v>
      </c>
      <c r="E101" s="155" t="s">
        <v>241</v>
      </c>
      <c r="F101" s="400"/>
      <c r="G101" s="96">
        <f>_xlfn.XLOOKUP($B101,'[4] Расчет стоимости и веса'!$J:$J,'[4] Расчет стоимости и веса'!$D:$D,0,0)</f>
        <v>0</v>
      </c>
      <c r="H101" s="120"/>
      <c r="I101" s="404"/>
      <c r="J101" s="404"/>
      <c r="K101" s="120"/>
      <c r="L101" s="404"/>
      <c r="M101" s="404"/>
      <c r="N101" s="404"/>
      <c r="O101" s="404"/>
      <c r="P101" s="405"/>
      <c r="Q101" s="400"/>
      <c r="R101" s="120"/>
      <c r="S101" s="120"/>
      <c r="T101" s="120"/>
      <c r="U101" s="406">
        <f t="shared" si="49"/>
        <v>0</v>
      </c>
    </row>
    <row r="102" spans="1:21" ht="45" hidden="1" customHeight="1" collapsed="1" x14ac:dyDescent="0.3">
      <c r="A102" s="118"/>
      <c r="B102" s="81" t="s">
        <v>189</v>
      </c>
      <c r="C102" s="151" t="s">
        <v>189</v>
      </c>
      <c r="D102" s="92">
        <f>_xlfn.XLOOKUP(A102,Юнит!C:C,Юнит!B:B)</f>
        <v>0</v>
      </c>
      <c r="E102" s="94" t="s">
        <v>146</v>
      </c>
      <c r="F102" s="118"/>
      <c r="G102" s="96">
        <f>_xlfn.XLOOKUP($B102,'[4] Расчет стоимости и веса'!$J:$J,'[4] Расчет стоимости и веса'!$D:$D,0,0)</f>
        <v>0</v>
      </c>
      <c r="H102" s="83">
        <f>_xlfn.XLOOKUP($B102,'[4] Расчет стоимости и веса'!$J:$J,'[4] Расчет стоимости и веса'!$E:$E,0,0)</f>
        <v>0</v>
      </c>
      <c r="I102" s="84">
        <f>H102*'Расчет Карго'!$H$5</f>
        <v>0</v>
      </c>
      <c r="J102" s="84">
        <f>I102/'Расчет Карго'!$H$3</f>
        <v>0</v>
      </c>
      <c r="K102" s="83">
        <f t="shared" si="43"/>
        <v>0</v>
      </c>
      <c r="L102" s="84">
        <f t="shared" si="44"/>
        <v>0</v>
      </c>
      <c r="M102" s="84">
        <f t="shared" si="45"/>
        <v>0</v>
      </c>
      <c r="N102" s="84">
        <f>S102*'Расчет Карго'!$M$4</f>
        <v>0</v>
      </c>
      <c r="O102" s="84">
        <f t="shared" si="46"/>
        <v>0</v>
      </c>
      <c r="P102" s="85">
        <f>IF(O102=0,_xlfn.XLOOKUP($A102,'Себес 1С текущ'!$B:$B,'Себес 1С текущ'!$E:$E,0,0),O102)</f>
        <v>0</v>
      </c>
      <c r="Q102" s="66">
        <f>_xlfn.XLOOKUP($B102,'[4] Расчет стоимости и веса'!$I:$I,'[4] Расчет стоимости и веса'!$N:$N,0,0)</f>
        <v>0</v>
      </c>
      <c r="R102" s="119"/>
      <c r="S102" s="83">
        <f>_xlfn.XLOOKUP($B102,'[4] Расчет стоимости и веса'!$J:$J,'[4] Расчет стоимости и веса'!$M:$M,0,0)</f>
        <v>0</v>
      </c>
      <c r="T102" s="83">
        <f t="shared" si="50"/>
        <v>0</v>
      </c>
      <c r="U102" s="86">
        <f t="shared" si="49"/>
        <v>0</v>
      </c>
    </row>
    <row r="103" spans="1:21" ht="45" hidden="1" customHeight="1" collapsed="1" x14ac:dyDescent="0.3">
      <c r="A103" s="65"/>
      <c r="B103" s="95" t="s">
        <v>221</v>
      </c>
      <c r="C103" s="151" t="s">
        <v>221</v>
      </c>
      <c r="D103" s="92">
        <f>_xlfn.XLOOKUP(A103,Юнит!C:C,Юнит!B:B)</f>
        <v>0</v>
      </c>
      <c r="E103" s="89" t="s">
        <v>87</v>
      </c>
      <c r="F103" s="65"/>
      <c r="G103" s="96">
        <f>_xlfn.XLOOKUP($B103,'[4] Расчет стоимости и веса'!$J:$J,'[4] Расчет стоимости и веса'!$D:$D,0,0)</f>
        <v>0</v>
      </c>
      <c r="H103" s="83">
        <f>_xlfn.XLOOKUP($B103,'[4] Расчет стоимости и веса'!$J:$J,'[4] Расчет стоимости и веса'!$E:$E,0,0)</f>
        <v>0</v>
      </c>
      <c r="I103" s="84">
        <f>H103*'Расчет Карго'!$H$5</f>
        <v>0</v>
      </c>
      <c r="J103" s="84">
        <f>I103/'Расчет Карго'!$H$3</f>
        <v>0</v>
      </c>
      <c r="K103" s="83">
        <f t="shared" si="43"/>
        <v>0</v>
      </c>
      <c r="L103" s="84">
        <f t="shared" si="44"/>
        <v>0</v>
      </c>
      <c r="M103" s="84">
        <f t="shared" si="45"/>
        <v>0</v>
      </c>
      <c r="N103" s="84">
        <f>S103*'Расчет Карго'!$M$4</f>
        <v>0</v>
      </c>
      <c r="O103" s="84">
        <f t="shared" si="46"/>
        <v>0</v>
      </c>
      <c r="P103" s="85">
        <f>IF(O103=0,_xlfn.XLOOKUP($A103,'Себес 1С текущ'!$B:$B,'Себес 1С текущ'!$E:$E,0,0),O103)</f>
        <v>0</v>
      </c>
      <c r="Q103" s="66">
        <f>_xlfn.XLOOKUP($B103,'[4] Расчет стоимости и веса'!$I:$I,'[4] Расчет стоимости и веса'!$N:$N,0,0)</f>
        <v>0</v>
      </c>
      <c r="R103" s="93"/>
      <c r="S103" s="83">
        <f>_xlfn.XLOOKUP($B103,'[4] Расчет стоимости и веса'!$J:$J,'[4] Расчет стоимости и веса'!$M:$M,0,0)</f>
        <v>0</v>
      </c>
      <c r="T103" s="83">
        <f t="shared" si="50"/>
        <v>0</v>
      </c>
      <c r="U103" s="86">
        <f t="shared" si="49"/>
        <v>0</v>
      </c>
    </row>
    <row r="104" spans="1:21" ht="45" hidden="1" customHeight="1" collapsed="1" x14ac:dyDescent="0.3">
      <c r="A104" s="102"/>
      <c r="B104" s="77" t="s">
        <v>209</v>
      </c>
      <c r="C104" s="151" t="s">
        <v>209</v>
      </c>
      <c r="D104" s="92">
        <f>_xlfn.XLOOKUP(A104,Юнит!C:C,Юнит!B:B)</f>
        <v>0</v>
      </c>
      <c r="E104" s="68" t="s">
        <v>88</v>
      </c>
      <c r="F104" s="102"/>
      <c r="G104" s="96">
        <f>_xlfn.XLOOKUP($B104,'[4] Расчет стоимости и веса'!$J:$J,'[4] Расчет стоимости и веса'!$D:$D,0,0)</f>
        <v>0</v>
      </c>
      <c r="H104" s="83">
        <f>_xlfn.XLOOKUP($B104,'[4] Расчет стоимости и веса'!$J:$J,'[4] Расчет стоимости и веса'!$E:$E,0,0)</f>
        <v>0</v>
      </c>
      <c r="I104" s="84">
        <f>H104*'Расчет Карго'!$H$5</f>
        <v>0</v>
      </c>
      <c r="J104" s="84">
        <f>I104/'Расчет Карго'!$H$3</f>
        <v>0</v>
      </c>
      <c r="K104" s="83">
        <f t="shared" si="43"/>
        <v>0</v>
      </c>
      <c r="L104" s="84">
        <f t="shared" si="44"/>
        <v>0</v>
      </c>
      <c r="M104" s="84">
        <f t="shared" si="45"/>
        <v>0</v>
      </c>
      <c r="N104" s="84">
        <f>S104*'Расчет Карго'!$M$4</f>
        <v>0</v>
      </c>
      <c r="O104" s="84">
        <f t="shared" si="46"/>
        <v>0</v>
      </c>
      <c r="P104" s="85">
        <f>IF(O104=0,_xlfn.XLOOKUP($A104,'Себес 1С текущ'!$B:$B,'Себес 1С текущ'!$E:$E,0,0),O104)</f>
        <v>0</v>
      </c>
      <c r="Q104" s="66">
        <f>_xlfn.XLOOKUP($B104,'[4] Расчет стоимости и веса'!$I:$I,'[4] Расчет стоимости и веса'!$N:$N,0,0)</f>
        <v>0</v>
      </c>
      <c r="R104" s="103"/>
      <c r="S104" s="83">
        <f>_xlfn.XLOOKUP($B104,'[4] Расчет стоимости и веса'!$J:$J,'[4] Расчет стоимости и веса'!$M:$M,0,0)</f>
        <v>0</v>
      </c>
      <c r="T104" s="83">
        <f t="shared" si="50"/>
        <v>0</v>
      </c>
      <c r="U104" s="86">
        <f t="shared" si="49"/>
        <v>0</v>
      </c>
    </row>
    <row r="105" spans="1:21" ht="45" hidden="1" customHeight="1" collapsed="1" x14ac:dyDescent="0.3">
      <c r="A105" s="66"/>
      <c r="B105" s="81" t="s">
        <v>220</v>
      </c>
      <c r="C105" s="151" t="s">
        <v>220</v>
      </c>
      <c r="D105" s="92">
        <f>_xlfn.XLOOKUP(A105,Юнит!C:C,Юнит!B:B)</f>
        <v>0</v>
      </c>
      <c r="E105" s="82" t="s">
        <v>89</v>
      </c>
      <c r="F105" s="66"/>
      <c r="G105" s="96">
        <f>_xlfn.XLOOKUP($B105,'[4] Расчет стоимости и веса'!$J:$J,'[4] Расчет стоимости и веса'!$D:$D,0,0)</f>
        <v>0</v>
      </c>
      <c r="H105" s="83">
        <f>_xlfn.XLOOKUP($B105,'[4] Расчет стоимости и веса'!$J:$J,'[4] Расчет стоимости и веса'!$E:$E,0,0)</f>
        <v>0</v>
      </c>
      <c r="I105" s="84">
        <f>H105*'Расчет Карго'!$H$5</f>
        <v>0</v>
      </c>
      <c r="J105" s="84">
        <f>I105/'Расчет Карго'!$H$3</f>
        <v>0</v>
      </c>
      <c r="K105" s="83">
        <f t="shared" si="43"/>
        <v>0</v>
      </c>
      <c r="L105" s="84">
        <f t="shared" si="44"/>
        <v>0</v>
      </c>
      <c r="M105" s="84">
        <f t="shared" si="45"/>
        <v>0</v>
      </c>
      <c r="N105" s="84">
        <f>S105*'Расчет Карго'!$M$4</f>
        <v>0</v>
      </c>
      <c r="O105" s="84">
        <f t="shared" si="46"/>
        <v>0</v>
      </c>
      <c r="P105" s="85">
        <f>IF(O105=0,_xlfn.XLOOKUP($A105,'Себес 1С текущ'!$B:$B,'Себес 1С текущ'!$E:$E,0,0),O105)</f>
        <v>0</v>
      </c>
      <c r="Q105" s="66">
        <f>_xlfn.XLOOKUP($B105,'[4] Расчет стоимости и веса'!$I:$I,'[4] Расчет стоимости и веса'!$N:$N,0,0)</f>
        <v>0</v>
      </c>
      <c r="R105" s="83"/>
      <c r="S105" s="83">
        <f>_xlfn.XLOOKUP($B105,'[4] Расчет стоимости и веса'!$J:$J,'[4] Расчет стоимости и веса'!$M:$M,0,0)</f>
        <v>0</v>
      </c>
      <c r="T105" s="83">
        <f t="shared" si="50"/>
        <v>0</v>
      </c>
      <c r="U105" s="86">
        <f t="shared" si="49"/>
        <v>0</v>
      </c>
    </row>
    <row r="106" spans="1:21" ht="45" hidden="1" customHeight="1" collapsed="1" x14ac:dyDescent="0.3">
      <c r="A106" s="61"/>
      <c r="B106" s="80" t="s">
        <v>222</v>
      </c>
      <c r="C106" s="151" t="s">
        <v>222</v>
      </c>
      <c r="D106" s="92">
        <f>_xlfn.XLOOKUP(A106,Юнит!C:C,Юнит!B:B)</f>
        <v>0</v>
      </c>
      <c r="E106" s="67" t="s">
        <v>124</v>
      </c>
      <c r="F106" s="61"/>
      <c r="G106" s="96">
        <f>_xlfn.XLOOKUP($B106,'[4] Расчет стоимости и веса'!$J:$J,'[4] Расчет стоимости и веса'!$D:$D,0,0)</f>
        <v>0</v>
      </c>
      <c r="H106" s="83">
        <f>_xlfn.XLOOKUP($B106,'[4] Расчет стоимости и веса'!$J:$J,'[4] Расчет стоимости и веса'!$E:$E,0,0)</f>
        <v>0</v>
      </c>
      <c r="I106" s="84">
        <f>H106*'Расчет Карго'!$H$5</f>
        <v>0</v>
      </c>
      <c r="J106" s="84">
        <f>I106/'Расчет Карго'!$H$3</f>
        <v>0</v>
      </c>
      <c r="K106" s="83">
        <f t="shared" si="43"/>
        <v>0</v>
      </c>
      <c r="L106" s="84">
        <f t="shared" si="44"/>
        <v>0</v>
      </c>
      <c r="M106" s="84">
        <f t="shared" si="45"/>
        <v>0</v>
      </c>
      <c r="N106" s="84">
        <f>S106*'Расчет Карго'!$M$4</f>
        <v>0</v>
      </c>
      <c r="O106" s="84">
        <f t="shared" si="46"/>
        <v>0</v>
      </c>
      <c r="P106" s="85">
        <f>IF(O106=0,_xlfn.XLOOKUP($A106,'Себес 1С текущ'!$B:$B,'Себес 1С текущ'!$E:$E,0,0),O106)</f>
        <v>0</v>
      </c>
      <c r="Q106" s="66">
        <f>_xlfn.XLOOKUP($B106,'[4] Расчет стоимости и веса'!$I:$I,'[4] Расчет стоимости и веса'!$N:$N,0,0)</f>
        <v>0</v>
      </c>
      <c r="R106" s="62"/>
      <c r="S106" s="83">
        <f>_xlfn.XLOOKUP($B106,'[4] Расчет стоимости и веса'!$J:$J,'[4] Расчет стоимости и веса'!$M:$M,0,0)</f>
        <v>0</v>
      </c>
      <c r="T106" s="83">
        <f t="shared" si="50"/>
        <v>0</v>
      </c>
      <c r="U106" s="86">
        <f t="shared" si="49"/>
        <v>0</v>
      </c>
    </row>
    <row r="107" spans="1:21" ht="45" hidden="1" customHeight="1" collapsed="1" x14ac:dyDescent="0.3">
      <c r="A107" s="61"/>
      <c r="B107" s="80" t="s">
        <v>223</v>
      </c>
      <c r="C107" s="151" t="s">
        <v>223</v>
      </c>
      <c r="D107" s="92">
        <f>_xlfn.XLOOKUP(A107,Юнит!C:C,Юнит!B:B)</f>
        <v>0</v>
      </c>
      <c r="E107" s="67" t="s">
        <v>125</v>
      </c>
      <c r="F107" s="61"/>
      <c r="G107" s="96">
        <f>_xlfn.XLOOKUP($B107,'[4] Расчет стоимости и веса'!$J:$J,'[4] Расчет стоимости и веса'!$D:$D,0,0)</f>
        <v>0</v>
      </c>
      <c r="H107" s="83">
        <f>_xlfn.XLOOKUP($B107,'[4] Расчет стоимости и веса'!$J:$J,'[4] Расчет стоимости и веса'!$E:$E,0,0)</f>
        <v>0</v>
      </c>
      <c r="I107" s="84">
        <f>H107*'Расчет Карго'!$H$5</f>
        <v>0</v>
      </c>
      <c r="J107" s="84">
        <f>I107/'Расчет Карго'!$H$3</f>
        <v>0</v>
      </c>
      <c r="K107" s="83">
        <f t="shared" si="43"/>
        <v>0</v>
      </c>
      <c r="L107" s="84">
        <f t="shared" si="44"/>
        <v>0</v>
      </c>
      <c r="M107" s="84">
        <f t="shared" si="45"/>
        <v>0</v>
      </c>
      <c r="N107" s="84">
        <f>S107*'Расчет Карго'!$M$4</f>
        <v>0</v>
      </c>
      <c r="O107" s="84">
        <f t="shared" si="46"/>
        <v>0</v>
      </c>
      <c r="P107" s="85">
        <f>IF(O107=0,_xlfn.XLOOKUP($A107,'Себес 1С текущ'!$B:$B,'Себес 1С текущ'!$E:$E,0,0),O107)</f>
        <v>0</v>
      </c>
      <c r="Q107" s="66">
        <f>_xlfn.XLOOKUP($B107,'[4] Расчет стоимости и веса'!$I:$I,'[4] Расчет стоимости и веса'!$N:$N,0,0)</f>
        <v>0</v>
      </c>
      <c r="R107" s="62"/>
      <c r="S107" s="83">
        <f>_xlfn.XLOOKUP($B107,'[4] Расчет стоимости и веса'!$J:$J,'[4] Расчет стоимости и веса'!$M:$M,0,0)</f>
        <v>0</v>
      </c>
      <c r="T107" s="83">
        <f t="shared" si="50"/>
        <v>0</v>
      </c>
      <c r="U107" s="86">
        <f t="shared" si="49"/>
        <v>0</v>
      </c>
    </row>
    <row r="108" spans="1:21" ht="45" hidden="1" customHeight="1" collapsed="1" x14ac:dyDescent="0.3">
      <c r="A108" s="61"/>
      <c r="B108" s="80" t="s">
        <v>224</v>
      </c>
      <c r="C108" s="151" t="s">
        <v>224</v>
      </c>
      <c r="D108" s="92">
        <f>_xlfn.XLOOKUP(A108,Юнит!C:C,Юнит!B:B)</f>
        <v>0</v>
      </c>
      <c r="E108" s="67" t="s">
        <v>126</v>
      </c>
      <c r="F108" s="61"/>
      <c r="G108" s="96">
        <f>_xlfn.XLOOKUP($B108,'[4] Расчет стоимости и веса'!$J:$J,'[4] Расчет стоимости и веса'!$D:$D,0,0)</f>
        <v>0</v>
      </c>
      <c r="H108" s="83">
        <f>_xlfn.XLOOKUP($B108,'[4] Расчет стоимости и веса'!$J:$J,'[4] Расчет стоимости и веса'!$E:$E,0,0)</f>
        <v>0</v>
      </c>
      <c r="I108" s="84">
        <f>H108*'Расчет Карго'!$H$5</f>
        <v>0</v>
      </c>
      <c r="J108" s="84">
        <f>I108/'Расчет Карго'!$H$3</f>
        <v>0</v>
      </c>
      <c r="K108" s="83">
        <f t="shared" si="43"/>
        <v>0</v>
      </c>
      <c r="L108" s="84">
        <f t="shared" si="44"/>
        <v>0</v>
      </c>
      <c r="M108" s="84">
        <f t="shared" si="45"/>
        <v>0</v>
      </c>
      <c r="N108" s="84">
        <f>S108*'Расчет Карго'!$M$4</f>
        <v>0</v>
      </c>
      <c r="O108" s="84">
        <f t="shared" si="46"/>
        <v>0</v>
      </c>
      <c r="P108" s="85">
        <f>IF(O108=0,_xlfn.XLOOKUP($A108,'Себес 1С текущ'!$B:$B,'Себес 1С текущ'!$E:$E,0,0),O108)</f>
        <v>0</v>
      </c>
      <c r="Q108" s="66">
        <f>_xlfn.XLOOKUP($B108,'[4] Расчет стоимости и веса'!$I:$I,'[4] Расчет стоимости и веса'!$N:$N,0,0)</f>
        <v>0</v>
      </c>
      <c r="R108" s="62"/>
      <c r="S108" s="83">
        <f>_xlfn.XLOOKUP($B108,'[4] Расчет стоимости и веса'!$J:$J,'[4] Расчет стоимости и веса'!$M:$M,0,0)</f>
        <v>0</v>
      </c>
      <c r="T108" s="83">
        <f t="shared" si="50"/>
        <v>0</v>
      </c>
      <c r="U108" s="86">
        <f t="shared" si="49"/>
        <v>0</v>
      </c>
    </row>
    <row r="109" spans="1:21" ht="45" hidden="1" customHeight="1" collapsed="1" x14ac:dyDescent="0.3">
      <c r="A109" s="61"/>
      <c r="B109" s="80" t="s">
        <v>225</v>
      </c>
      <c r="C109" s="151" t="s">
        <v>225</v>
      </c>
      <c r="D109" s="92">
        <f>_xlfn.XLOOKUP(A109,Юнит!C:C,Юнит!B:B)</f>
        <v>0</v>
      </c>
      <c r="E109" s="67" t="s">
        <v>127</v>
      </c>
      <c r="F109" s="61"/>
      <c r="G109" s="96">
        <f>_xlfn.XLOOKUP($B109,'[4] Расчет стоимости и веса'!$J:$J,'[4] Расчет стоимости и веса'!$D:$D,0,0)</f>
        <v>0</v>
      </c>
      <c r="H109" s="83">
        <f>_xlfn.XLOOKUP($B109,'[4] Расчет стоимости и веса'!$J:$J,'[4] Расчет стоимости и веса'!$E:$E,0,0)</f>
        <v>0</v>
      </c>
      <c r="I109" s="84">
        <f>H109*'Расчет Карго'!$H$5</f>
        <v>0</v>
      </c>
      <c r="J109" s="84">
        <f>I109/'Расчет Карго'!$H$3</f>
        <v>0</v>
      </c>
      <c r="K109" s="83">
        <f t="shared" si="43"/>
        <v>0</v>
      </c>
      <c r="L109" s="84">
        <f t="shared" si="44"/>
        <v>0</v>
      </c>
      <c r="M109" s="84">
        <f t="shared" si="45"/>
        <v>0</v>
      </c>
      <c r="N109" s="84">
        <f>S109*'Расчет Карго'!$M$4</f>
        <v>0</v>
      </c>
      <c r="O109" s="84">
        <f t="shared" si="46"/>
        <v>0</v>
      </c>
      <c r="P109" s="85">
        <f>IF(O109=0,_xlfn.XLOOKUP($A109,'Себес 1С текущ'!$B:$B,'Себес 1С текущ'!$E:$E,0,0),O109)</f>
        <v>0</v>
      </c>
      <c r="Q109" s="66">
        <f>_xlfn.XLOOKUP($B109,'[4] Расчет стоимости и веса'!$I:$I,'[4] Расчет стоимости и веса'!$N:$N,0,0)</f>
        <v>0</v>
      </c>
      <c r="R109" s="62"/>
      <c r="S109" s="83">
        <f>_xlfn.XLOOKUP($B109,'[4] Расчет стоимости и веса'!$J:$J,'[4] Расчет стоимости и веса'!$M:$M,0,0)</f>
        <v>0</v>
      </c>
      <c r="T109" s="83">
        <f t="shared" si="50"/>
        <v>0</v>
      </c>
      <c r="U109" s="86">
        <f t="shared" si="49"/>
        <v>0</v>
      </c>
    </row>
    <row r="110" spans="1:21" ht="45" hidden="1" customHeight="1" collapsed="1" x14ac:dyDescent="0.3">
      <c r="A110" s="61"/>
      <c r="B110" s="80" t="s">
        <v>226</v>
      </c>
      <c r="C110" s="151" t="s">
        <v>226</v>
      </c>
      <c r="D110" s="92">
        <f>_xlfn.XLOOKUP(A110,Юнит!C:C,Юнит!B:B)</f>
        <v>0</v>
      </c>
      <c r="E110" s="67" t="s">
        <v>128</v>
      </c>
      <c r="F110" s="61"/>
      <c r="G110" s="96">
        <f>_xlfn.XLOOKUP($B110,'[4] Расчет стоимости и веса'!$J:$J,'[4] Расчет стоимости и веса'!$D:$D,0,0)</f>
        <v>0</v>
      </c>
      <c r="H110" s="83">
        <f>_xlfn.XLOOKUP($B110,'[4] Расчет стоимости и веса'!$J:$J,'[4] Расчет стоимости и веса'!$E:$E,0,0)</f>
        <v>0</v>
      </c>
      <c r="I110" s="84">
        <f>H110*'Расчет Карго'!$H$5</f>
        <v>0</v>
      </c>
      <c r="J110" s="84">
        <f>I110/'Расчет Карго'!$H$3</f>
        <v>0</v>
      </c>
      <c r="K110" s="83">
        <f t="shared" si="43"/>
        <v>0</v>
      </c>
      <c r="L110" s="84">
        <f t="shared" si="44"/>
        <v>0</v>
      </c>
      <c r="M110" s="84">
        <f t="shared" si="45"/>
        <v>0</v>
      </c>
      <c r="N110" s="84">
        <f>S110*'Расчет Карго'!$M$4</f>
        <v>0</v>
      </c>
      <c r="O110" s="84">
        <f t="shared" si="46"/>
        <v>0</v>
      </c>
      <c r="P110" s="85">
        <f>IF(O110=0,_xlfn.XLOOKUP($A110,'Себес 1С текущ'!$B:$B,'Себес 1С текущ'!$E:$E,0,0),O110)</f>
        <v>0</v>
      </c>
      <c r="Q110" s="66">
        <f>_xlfn.XLOOKUP($B110,'[4] Расчет стоимости и веса'!$I:$I,'[4] Расчет стоимости и веса'!$N:$N,0,0)</f>
        <v>0</v>
      </c>
      <c r="R110" s="62"/>
      <c r="S110" s="83">
        <f>_xlfn.XLOOKUP($B110,'[4] Расчет стоимости и веса'!$J:$J,'[4] Расчет стоимости и веса'!$M:$M,0,0)</f>
        <v>0</v>
      </c>
      <c r="T110" s="83">
        <f t="shared" si="50"/>
        <v>0</v>
      </c>
      <c r="U110" s="86">
        <f t="shared" si="49"/>
        <v>0</v>
      </c>
    </row>
    <row r="111" spans="1:21" ht="45" hidden="1" customHeight="1" collapsed="1" x14ac:dyDescent="0.3">
      <c r="A111" s="61"/>
      <c r="B111" s="80" t="s">
        <v>227</v>
      </c>
      <c r="C111" s="151" t="s">
        <v>227</v>
      </c>
      <c r="D111" s="92">
        <f>_xlfn.XLOOKUP(A111,Юнит!C:C,Юнит!B:B)</f>
        <v>0</v>
      </c>
      <c r="E111" s="67" t="s">
        <v>129</v>
      </c>
      <c r="F111" s="61"/>
      <c r="G111" s="96">
        <f>_xlfn.XLOOKUP($B111,'[4] Расчет стоимости и веса'!$J:$J,'[4] Расчет стоимости и веса'!$D:$D,0,0)</f>
        <v>0</v>
      </c>
      <c r="H111" s="83">
        <f>_xlfn.XLOOKUP($B111,'[4] Расчет стоимости и веса'!$J:$J,'[4] Расчет стоимости и веса'!$E:$E,0,0)</f>
        <v>0</v>
      </c>
      <c r="I111" s="84">
        <f>H111*'Расчет Карго'!$H$5</f>
        <v>0</v>
      </c>
      <c r="J111" s="84">
        <f>I111/'Расчет Карго'!$H$3</f>
        <v>0</v>
      </c>
      <c r="K111" s="83">
        <f t="shared" si="43"/>
        <v>0</v>
      </c>
      <c r="L111" s="84">
        <f t="shared" si="44"/>
        <v>0</v>
      </c>
      <c r="M111" s="84">
        <f t="shared" si="45"/>
        <v>0</v>
      </c>
      <c r="N111" s="84">
        <f>S111*'Расчет Карго'!$M$4</f>
        <v>0</v>
      </c>
      <c r="O111" s="84">
        <f t="shared" si="46"/>
        <v>0</v>
      </c>
      <c r="P111" s="85">
        <f>IF(O111=0,_xlfn.XLOOKUP($A111,'Себес 1С текущ'!$B:$B,'Себес 1С текущ'!$E:$E,0,0),O111)</f>
        <v>0</v>
      </c>
      <c r="Q111" s="66">
        <f>_xlfn.XLOOKUP($B111,'[4] Расчет стоимости и веса'!$I:$I,'[4] Расчет стоимости и веса'!$N:$N,0,0)</f>
        <v>0</v>
      </c>
      <c r="R111" s="62"/>
      <c r="S111" s="83">
        <f>_xlfn.XLOOKUP($B111,'[4] Расчет стоимости и веса'!$J:$J,'[4] Расчет стоимости и веса'!$M:$M,0,0)</f>
        <v>0</v>
      </c>
      <c r="T111" s="83">
        <f t="shared" si="50"/>
        <v>0</v>
      </c>
      <c r="U111" s="86">
        <f t="shared" si="49"/>
        <v>0</v>
      </c>
    </row>
    <row r="112" spans="1:21" ht="45" hidden="1" customHeight="1" collapsed="1" x14ac:dyDescent="0.3">
      <c r="A112" s="61"/>
      <c r="B112" s="80" t="s">
        <v>228</v>
      </c>
      <c r="C112" s="151" t="s">
        <v>228</v>
      </c>
      <c r="D112" s="92">
        <f>_xlfn.XLOOKUP(A112,Юнит!C:C,Юнит!B:B)</f>
        <v>0</v>
      </c>
      <c r="E112" s="67" t="s">
        <v>130</v>
      </c>
      <c r="F112" s="61"/>
      <c r="G112" s="96">
        <f>_xlfn.XLOOKUP($B112,'[4] Расчет стоимости и веса'!$J:$J,'[4] Расчет стоимости и веса'!$D:$D,0,0)</f>
        <v>0</v>
      </c>
      <c r="H112" s="83">
        <f>_xlfn.XLOOKUP($B112,'[4] Расчет стоимости и веса'!$J:$J,'[4] Расчет стоимости и веса'!$E:$E,0,0)</f>
        <v>0</v>
      </c>
      <c r="I112" s="84">
        <f>H112*'Расчет Карго'!$H$5</f>
        <v>0</v>
      </c>
      <c r="J112" s="84">
        <f>I112/'Расчет Карго'!$H$3</f>
        <v>0</v>
      </c>
      <c r="K112" s="83">
        <f t="shared" si="43"/>
        <v>0</v>
      </c>
      <c r="L112" s="84">
        <f t="shared" si="44"/>
        <v>0</v>
      </c>
      <c r="M112" s="84">
        <f t="shared" si="45"/>
        <v>0</v>
      </c>
      <c r="N112" s="84">
        <f>S112*'Расчет Карго'!$M$4</f>
        <v>0</v>
      </c>
      <c r="O112" s="84">
        <f t="shared" si="46"/>
        <v>0</v>
      </c>
      <c r="P112" s="85">
        <f>IF(O112=0,_xlfn.XLOOKUP($A112,'Себес 1С текущ'!$B:$B,'Себес 1С текущ'!$E:$E,0,0),O112)</f>
        <v>0</v>
      </c>
      <c r="Q112" s="66">
        <f>_xlfn.XLOOKUP($B112,'[4] Расчет стоимости и веса'!$I:$I,'[4] Расчет стоимости и веса'!$N:$N,0,0)</f>
        <v>0</v>
      </c>
      <c r="R112" s="62"/>
      <c r="S112" s="83">
        <f>_xlfn.XLOOKUP($B112,'[4] Расчет стоимости и веса'!$J:$J,'[4] Расчет стоимости и веса'!$M:$M,0,0)</f>
        <v>0</v>
      </c>
      <c r="T112" s="83">
        <f t="shared" si="50"/>
        <v>0</v>
      </c>
      <c r="U112" s="86">
        <f t="shared" si="49"/>
        <v>0</v>
      </c>
    </row>
    <row r="113" spans="1:21" ht="45" hidden="1" customHeight="1" collapsed="1" x14ac:dyDescent="0.3">
      <c r="A113" s="61"/>
      <c r="B113" s="80" t="s">
        <v>235</v>
      </c>
      <c r="C113" s="151" t="s">
        <v>235</v>
      </c>
      <c r="D113" s="92">
        <f>_xlfn.XLOOKUP(A113,Юнит!C:C,Юнит!B:B)</f>
        <v>0</v>
      </c>
      <c r="E113" s="67" t="s">
        <v>229</v>
      </c>
      <c r="F113" s="61"/>
      <c r="G113" s="96">
        <f>_xlfn.XLOOKUP($B113,'[4] Расчет стоимости и веса'!$J:$J,'[4] Расчет стоимости и веса'!$D:$D,0,0)</f>
        <v>0</v>
      </c>
      <c r="H113" s="83">
        <f>_xlfn.XLOOKUP($B113,'[4] Расчет стоимости и веса'!$J:$J,'[4] Расчет стоимости и веса'!$E:$E,0,0)</f>
        <v>0</v>
      </c>
      <c r="I113" s="84">
        <f>H113*'Расчет Карго'!$H$5</f>
        <v>0</v>
      </c>
      <c r="J113" s="84">
        <f>I113/'Расчет Карго'!$H$3</f>
        <v>0</v>
      </c>
      <c r="K113" s="83">
        <f t="shared" si="43"/>
        <v>0</v>
      </c>
      <c r="L113" s="84">
        <f t="shared" si="44"/>
        <v>0</v>
      </c>
      <c r="M113" s="84">
        <f t="shared" si="45"/>
        <v>0</v>
      </c>
      <c r="N113" s="84">
        <f>S113*'Расчет Карго'!$M$4</f>
        <v>0</v>
      </c>
      <c r="O113" s="84">
        <f t="shared" si="46"/>
        <v>0</v>
      </c>
      <c r="P113" s="85">
        <f>IF(O113=0,_xlfn.XLOOKUP($A113,'Себес 1С текущ'!$B:$B,'Себес 1С текущ'!$E:$E,0,0),O113)</f>
        <v>0</v>
      </c>
      <c r="Q113" s="66">
        <f>_xlfn.XLOOKUP($B113,'[4] Расчет стоимости и веса'!$I:$I,'[4] Расчет стоимости и веса'!$N:$N,0,0)</f>
        <v>0</v>
      </c>
      <c r="R113" s="62"/>
      <c r="S113" s="83">
        <f>_xlfn.XLOOKUP($B113,'[4] Расчет стоимости и веса'!$J:$J,'[4] Расчет стоимости и веса'!$M:$M,0,0)</f>
        <v>0</v>
      </c>
      <c r="T113" s="83">
        <f t="shared" si="50"/>
        <v>0</v>
      </c>
      <c r="U113" s="86">
        <f t="shared" si="49"/>
        <v>0</v>
      </c>
    </row>
    <row r="114" spans="1:21" ht="45" hidden="1" customHeight="1" collapsed="1" x14ac:dyDescent="0.3">
      <c r="A114" s="61"/>
      <c r="B114" s="80" t="s">
        <v>236</v>
      </c>
      <c r="C114" s="151" t="s">
        <v>236</v>
      </c>
      <c r="D114" s="92">
        <f>_xlfn.XLOOKUP(A114,Юнит!C:C,Юнит!B:B)</f>
        <v>0</v>
      </c>
      <c r="E114" s="67" t="s">
        <v>230</v>
      </c>
      <c r="F114" s="61"/>
      <c r="G114" s="96">
        <f>_xlfn.XLOOKUP($B114,'[4] Расчет стоимости и веса'!$J:$J,'[4] Расчет стоимости и веса'!$D:$D,0,0)</f>
        <v>0</v>
      </c>
      <c r="H114" s="83">
        <f>_xlfn.XLOOKUP($B114,'[4] Расчет стоимости и веса'!$J:$J,'[4] Расчет стоимости и веса'!$E:$E,0,0)</f>
        <v>0</v>
      </c>
      <c r="I114" s="84">
        <f>H114*'Расчет Карго'!$H$5</f>
        <v>0</v>
      </c>
      <c r="J114" s="84">
        <f>I114/'Расчет Карго'!$H$3</f>
        <v>0</v>
      </c>
      <c r="K114" s="83">
        <f t="shared" si="43"/>
        <v>0</v>
      </c>
      <c r="L114" s="84">
        <f t="shared" si="44"/>
        <v>0</v>
      </c>
      <c r="M114" s="84">
        <f t="shared" si="45"/>
        <v>0</v>
      </c>
      <c r="N114" s="84">
        <f>S114*'Расчет Карго'!$M$4</f>
        <v>0</v>
      </c>
      <c r="O114" s="84">
        <f t="shared" si="46"/>
        <v>0</v>
      </c>
      <c r="P114" s="85">
        <f>IF(O114=0,_xlfn.XLOOKUP($A114,'Себес 1С текущ'!$B:$B,'Себес 1С текущ'!$E:$E,0,0),O114)</f>
        <v>0</v>
      </c>
      <c r="Q114" s="66">
        <f>_xlfn.XLOOKUP($B114,'[4] Расчет стоимости и веса'!$I:$I,'[4] Расчет стоимости и веса'!$N:$N,0,0)</f>
        <v>0</v>
      </c>
      <c r="R114" s="62"/>
      <c r="S114" s="83">
        <f>_xlfn.XLOOKUP($B114,'[4] Расчет стоимости и веса'!$J:$J,'[4] Расчет стоимости и веса'!$M:$M,0,0)</f>
        <v>0</v>
      </c>
      <c r="T114" s="83">
        <f t="shared" si="50"/>
        <v>0</v>
      </c>
      <c r="U114" s="86">
        <f t="shared" si="49"/>
        <v>0</v>
      </c>
    </row>
    <row r="115" spans="1:21" ht="38.25" hidden="1" customHeight="1" collapsed="1" x14ac:dyDescent="0.3">
      <c r="A115" s="61"/>
      <c r="B115" s="80" t="s">
        <v>237</v>
      </c>
      <c r="C115" s="151" t="s">
        <v>237</v>
      </c>
      <c r="D115" s="92">
        <f>_xlfn.XLOOKUP(A115,Юнит!C:C,Юнит!B:B)</f>
        <v>0</v>
      </c>
      <c r="E115" s="67" t="s">
        <v>231</v>
      </c>
      <c r="F115" s="61"/>
      <c r="G115" s="96">
        <f>_xlfn.XLOOKUP($B115,'[4] Расчет стоимости и веса'!$J:$J,'[4] Расчет стоимости и веса'!$D:$D,0,0)</f>
        <v>0</v>
      </c>
      <c r="H115" s="83">
        <f>_xlfn.XLOOKUP($B115,'[4] Расчет стоимости и веса'!$J:$J,'[4] Расчет стоимости и веса'!$E:$E,0,0)</f>
        <v>0</v>
      </c>
      <c r="I115" s="84">
        <f>H115*'Расчет Карго'!$H$5</f>
        <v>0</v>
      </c>
      <c r="J115" s="84">
        <f>I115/'Расчет Карго'!$H$3</f>
        <v>0</v>
      </c>
      <c r="K115" s="83">
        <f t="shared" si="43"/>
        <v>0</v>
      </c>
      <c r="L115" s="84">
        <f t="shared" si="44"/>
        <v>0</v>
      </c>
      <c r="M115" s="84">
        <f t="shared" si="45"/>
        <v>0</v>
      </c>
      <c r="N115" s="84">
        <f>S115*'Расчет Карго'!$M$4</f>
        <v>0</v>
      </c>
      <c r="O115" s="84">
        <f t="shared" si="46"/>
        <v>0</v>
      </c>
      <c r="P115" s="85">
        <f>IF(O115=0,_xlfn.XLOOKUP($A115,'Себес 1С текущ'!$B:$B,'Себес 1С текущ'!$E:$E,0,0),O115)</f>
        <v>0</v>
      </c>
      <c r="Q115" s="66">
        <f>_xlfn.XLOOKUP($B115,'[4] Расчет стоимости и веса'!$I:$I,'[4] Расчет стоимости и веса'!$N:$N,0,0)</f>
        <v>0</v>
      </c>
      <c r="R115" s="62"/>
      <c r="S115" s="83">
        <f>_xlfn.XLOOKUP($B115,'[4] Расчет стоимости и веса'!$J:$J,'[4] Расчет стоимости и веса'!$M:$M,0,0)</f>
        <v>0</v>
      </c>
      <c r="T115" s="83">
        <f t="shared" si="50"/>
        <v>0</v>
      </c>
      <c r="U115" s="86">
        <f t="shared" si="49"/>
        <v>0</v>
      </c>
    </row>
    <row r="116" spans="1:21" ht="38.25" hidden="1" customHeight="1" collapsed="1" x14ac:dyDescent="0.3">
      <c r="A116" s="61"/>
      <c r="B116" s="80" t="s">
        <v>238</v>
      </c>
      <c r="C116" s="151" t="s">
        <v>238</v>
      </c>
      <c r="D116" s="92">
        <f>_xlfn.XLOOKUP(A116,Юнит!C:C,Юнит!B:B)</f>
        <v>0</v>
      </c>
      <c r="E116" s="67" t="s">
        <v>232</v>
      </c>
      <c r="F116" s="61"/>
      <c r="G116" s="96">
        <f>_xlfn.XLOOKUP($B116,'[4] Расчет стоимости и веса'!$J:$J,'[4] Расчет стоимости и веса'!$D:$D,0,0)</f>
        <v>0</v>
      </c>
      <c r="H116" s="83">
        <f>_xlfn.XLOOKUP($B116,'[4] Расчет стоимости и веса'!$J:$J,'[4] Расчет стоимости и веса'!$E:$E,0,0)</f>
        <v>0</v>
      </c>
      <c r="I116" s="84">
        <f>H116*'Расчет Карго'!$H$5</f>
        <v>0</v>
      </c>
      <c r="J116" s="84">
        <f>I116/'Расчет Карго'!$H$3</f>
        <v>0</v>
      </c>
      <c r="K116" s="83">
        <f t="shared" si="43"/>
        <v>0</v>
      </c>
      <c r="L116" s="84">
        <f t="shared" si="44"/>
        <v>0</v>
      </c>
      <c r="M116" s="84">
        <f t="shared" si="45"/>
        <v>0</v>
      </c>
      <c r="N116" s="84">
        <f>S116*'Расчет Карго'!$M$4</f>
        <v>0</v>
      </c>
      <c r="O116" s="84">
        <f t="shared" si="46"/>
        <v>0</v>
      </c>
      <c r="P116" s="85">
        <f>IF(O116=0,_xlfn.XLOOKUP($A116,'Себес 1С текущ'!$B:$B,'Себес 1С текущ'!$E:$E,0,0),O116)</f>
        <v>0</v>
      </c>
      <c r="Q116" s="66">
        <f>_xlfn.XLOOKUP($B116,'[4] Расчет стоимости и веса'!$I:$I,'[4] Расчет стоимости и веса'!$N:$N,0,0)</f>
        <v>0</v>
      </c>
      <c r="R116" s="62"/>
      <c r="S116" s="83">
        <f>_xlfn.XLOOKUP($B116,'[4] Расчет стоимости и веса'!$J:$J,'[4] Расчет стоимости и веса'!$M:$M,0,0)</f>
        <v>0</v>
      </c>
      <c r="T116" s="83">
        <f t="shared" si="50"/>
        <v>0</v>
      </c>
      <c r="U116" s="86">
        <f t="shared" si="49"/>
        <v>0</v>
      </c>
    </row>
    <row r="117" spans="1:21" ht="38.25" hidden="1" customHeight="1" collapsed="1" x14ac:dyDescent="0.3">
      <c r="A117" s="61"/>
      <c r="B117" s="80" t="s">
        <v>239</v>
      </c>
      <c r="C117" s="151" t="s">
        <v>239</v>
      </c>
      <c r="D117" s="92">
        <f>_xlfn.XLOOKUP(A117,Юнит!C:C,Юнит!B:B)</f>
        <v>0</v>
      </c>
      <c r="E117" s="67" t="s">
        <v>233</v>
      </c>
      <c r="F117" s="61"/>
      <c r="G117" s="96">
        <f>_xlfn.XLOOKUP($B117,'[4] Расчет стоимости и веса'!$J:$J,'[4] Расчет стоимости и веса'!$D:$D,0,0)</f>
        <v>0</v>
      </c>
      <c r="H117" s="83">
        <f>_xlfn.XLOOKUP($B117,'[4] Расчет стоимости и веса'!$J:$J,'[4] Расчет стоимости и веса'!$E:$E,0,0)</f>
        <v>0</v>
      </c>
      <c r="I117" s="84">
        <f>H117*'Расчет Карго'!$H$5</f>
        <v>0</v>
      </c>
      <c r="J117" s="84">
        <f>I117/'Расчет Карго'!$H$3</f>
        <v>0</v>
      </c>
      <c r="K117" s="83">
        <f t="shared" si="43"/>
        <v>0</v>
      </c>
      <c r="L117" s="84">
        <f t="shared" si="44"/>
        <v>0</v>
      </c>
      <c r="M117" s="84">
        <f t="shared" si="45"/>
        <v>0</v>
      </c>
      <c r="N117" s="84">
        <f>S117*'Расчет Карго'!$M$4</f>
        <v>0</v>
      </c>
      <c r="O117" s="84">
        <f t="shared" si="46"/>
        <v>0</v>
      </c>
      <c r="P117" s="85">
        <f>IF(O117=0,_xlfn.XLOOKUP($A117,'Себес 1С текущ'!$B:$B,'Себес 1С текущ'!$E:$E,0,0),O117)</f>
        <v>0</v>
      </c>
      <c r="Q117" s="66">
        <f>_xlfn.XLOOKUP($B117,'[4] Расчет стоимости и веса'!$I:$I,'[4] Расчет стоимости и веса'!$N:$N,0,0)</f>
        <v>0</v>
      </c>
      <c r="R117" s="62"/>
      <c r="S117" s="83">
        <f>_xlfn.XLOOKUP($B117,'[4] Расчет стоимости и веса'!$J:$J,'[4] Расчет стоимости и веса'!$M:$M,0,0)</f>
        <v>0</v>
      </c>
      <c r="T117" s="83">
        <f t="shared" si="50"/>
        <v>0</v>
      </c>
      <c r="U117" s="86">
        <f t="shared" si="49"/>
        <v>0</v>
      </c>
    </row>
    <row r="118" spans="1:21" ht="38.25" hidden="1" customHeight="1" collapsed="1" x14ac:dyDescent="0.3">
      <c r="A118" s="64"/>
      <c r="B118" s="80" t="s">
        <v>240</v>
      </c>
      <c r="C118" s="151" t="s">
        <v>240</v>
      </c>
      <c r="D118" s="92">
        <f>_xlfn.XLOOKUP(A118,Юнит!C:C,Юнит!B:B)</f>
        <v>0</v>
      </c>
      <c r="E118" s="78" t="s">
        <v>234</v>
      </c>
      <c r="F118" s="64"/>
      <c r="G118" s="96">
        <f>_xlfn.XLOOKUP($B118,'[4] Расчет стоимости и веса'!$J:$J,'[4] Расчет стоимости и веса'!$D:$D,0,0)</f>
        <v>0</v>
      </c>
      <c r="H118" s="83">
        <f>_xlfn.XLOOKUP($B118,'[4] Расчет стоимости и веса'!$J:$J,'[4] Расчет стоимости и веса'!$E:$E,0,0)</f>
        <v>0</v>
      </c>
      <c r="I118" s="84">
        <f>H118*'Расчет Карго'!$H$5</f>
        <v>0</v>
      </c>
      <c r="J118" s="84">
        <f>I118/'Расчет Карго'!$H$3</f>
        <v>0</v>
      </c>
      <c r="K118" s="83">
        <f t="shared" si="43"/>
        <v>0</v>
      </c>
      <c r="L118" s="84">
        <f t="shared" si="44"/>
        <v>0</v>
      </c>
      <c r="M118" s="84">
        <f t="shared" si="45"/>
        <v>0</v>
      </c>
      <c r="N118" s="84">
        <f>S118*'Расчет Карго'!$M$4</f>
        <v>0</v>
      </c>
      <c r="O118" s="84">
        <f t="shared" si="46"/>
        <v>0</v>
      </c>
      <c r="P118" s="85">
        <f>IF(O118=0,_xlfn.XLOOKUP($A118,'Себес 1С текущ'!$B:$B,'Себес 1С текущ'!$E:$E,0,0),O118)</f>
        <v>0</v>
      </c>
      <c r="Q118" s="66">
        <f>_xlfn.XLOOKUP($B118,'[4] Расчет стоимости и веса'!$I:$I,'[4] Расчет стоимости и веса'!$N:$N,0,0)</f>
        <v>0</v>
      </c>
      <c r="R118" s="79"/>
      <c r="S118" s="83">
        <f>_xlfn.XLOOKUP($B118,'[4] Расчет стоимости и веса'!$J:$J,'[4] Расчет стоимости и веса'!$M:$M,0,0)</f>
        <v>0</v>
      </c>
      <c r="T118" s="83">
        <f t="shared" si="50"/>
        <v>0</v>
      </c>
      <c r="U118" s="86">
        <f t="shared" si="49"/>
        <v>0</v>
      </c>
    </row>
    <row r="119" spans="1:21" ht="25.5" hidden="1" customHeight="1" x14ac:dyDescent="0.3">
      <c r="A119" s="65"/>
      <c r="B119" s="97" t="s">
        <v>288</v>
      </c>
      <c r="C119" s="151" t="s">
        <v>288</v>
      </c>
      <c r="D119" s="92">
        <f>_xlfn.XLOOKUP(A119,Юнит!C:C,Юнит!B:B)</f>
        <v>0</v>
      </c>
      <c r="E119" s="89" t="s">
        <v>287</v>
      </c>
      <c r="F119" s="65"/>
      <c r="G119" s="96">
        <f>_xlfn.XLOOKUP($B119,'[4] Расчет стоимости и веса'!$J:$J,'[4] Расчет стоимости и веса'!$D:$D,0,0)</f>
        <v>0</v>
      </c>
      <c r="H119" s="83">
        <f>_xlfn.XLOOKUP($B119,'[4] Расчет стоимости и веса'!$J:$J,'[4] Расчет стоимости и веса'!$E:$E,0,0)</f>
        <v>0</v>
      </c>
      <c r="I119" s="84">
        <f>H119*'Расчет Карго'!$H$5</f>
        <v>0</v>
      </c>
      <c r="J119" s="84">
        <f>I119/'Расчет Карго'!$H$3</f>
        <v>0</v>
      </c>
      <c r="K119" s="83">
        <f t="shared" si="43"/>
        <v>0</v>
      </c>
      <c r="L119" s="84">
        <f t="shared" si="44"/>
        <v>0</v>
      </c>
      <c r="M119" s="84">
        <f t="shared" si="45"/>
        <v>0</v>
      </c>
      <c r="N119" s="84">
        <f>S119*'Расчет Карго'!$M$4</f>
        <v>0</v>
      </c>
      <c r="O119" s="84">
        <f t="shared" si="46"/>
        <v>0</v>
      </c>
      <c r="P119" s="85">
        <f>IF(O119=0,_xlfn.XLOOKUP($A119,'Себес 1С текущ'!$B:$B,'Себес 1С текущ'!$E:$E,0,0),O119)</f>
        <v>0</v>
      </c>
      <c r="Q119" s="66">
        <f>_xlfn.XLOOKUP($B119,'[4] Расчет стоимости и веса'!$I:$I,'[4] Расчет стоимости и веса'!$N:$N,0,0)</f>
        <v>0</v>
      </c>
      <c r="R119" s="79"/>
      <c r="S119" s="83">
        <f>_xlfn.XLOOKUP($B119,'[4] Расчет стоимости и веса'!$J:$J,'[4] Расчет стоимости и веса'!$M:$M,0,0)</f>
        <v>0</v>
      </c>
      <c r="T119" s="83"/>
      <c r="U119" s="86">
        <f t="shared" si="49"/>
        <v>0</v>
      </c>
    </row>
    <row r="120" spans="1:21" ht="25.5" hidden="1" customHeight="1" x14ac:dyDescent="0.3">
      <c r="A120" s="65"/>
      <c r="B120" s="97" t="s">
        <v>290</v>
      </c>
      <c r="C120" s="151" t="s">
        <v>290</v>
      </c>
      <c r="D120" s="92">
        <f>_xlfn.XLOOKUP(A120,Юнит!C:C,Юнит!B:B)</f>
        <v>0</v>
      </c>
      <c r="E120" s="89" t="s">
        <v>289</v>
      </c>
      <c r="F120" s="65"/>
      <c r="G120" s="96">
        <f>_xlfn.XLOOKUP($B120,'[4] Расчет стоимости и веса'!$J:$J,'[4] Расчет стоимости и веса'!$D:$D,0,0)</f>
        <v>0</v>
      </c>
      <c r="H120" s="83">
        <f>_xlfn.XLOOKUP($B120,'[4] Расчет стоимости и веса'!$J:$J,'[4] Расчет стоимости и веса'!$E:$E,0,0)</f>
        <v>0</v>
      </c>
      <c r="I120" s="84">
        <f>H120*'Расчет Карго'!$H$5</f>
        <v>0</v>
      </c>
      <c r="J120" s="84">
        <f>I120/'Расчет Карго'!$H$3</f>
        <v>0</v>
      </c>
      <c r="K120" s="83">
        <f t="shared" si="43"/>
        <v>0</v>
      </c>
      <c r="L120" s="84">
        <f t="shared" si="44"/>
        <v>0</v>
      </c>
      <c r="M120" s="84">
        <f t="shared" si="45"/>
        <v>0</v>
      </c>
      <c r="N120" s="84">
        <f>S120*'Расчет Карго'!$M$4</f>
        <v>0</v>
      </c>
      <c r="O120" s="84">
        <f t="shared" si="46"/>
        <v>0</v>
      </c>
      <c r="P120" s="85">
        <f>IF(O120=0,_xlfn.XLOOKUP($A120,'Себес 1С текущ'!$B:$B,'Себес 1С текущ'!$E:$E,0,0),O120)</f>
        <v>0</v>
      </c>
      <c r="Q120" s="66">
        <f>_xlfn.XLOOKUP($B120,'[4] Расчет стоимости и веса'!$I:$I,'[4] Расчет стоимости и веса'!$N:$N,0,0)</f>
        <v>0</v>
      </c>
      <c r="R120" s="79"/>
      <c r="S120" s="83">
        <f>_xlfn.XLOOKUP($B120,'[4] Расчет стоимости и веса'!$J:$J,'[4] Расчет стоимости и веса'!$M:$M,0,0)</f>
        <v>0</v>
      </c>
      <c r="T120" s="83"/>
      <c r="U120" s="86">
        <f t="shared" si="49"/>
        <v>0</v>
      </c>
    </row>
    <row r="121" spans="1:21" ht="38.25" hidden="1" customHeight="1" collapsed="1" x14ac:dyDescent="0.3">
      <c r="A121" s="96"/>
      <c r="B121" s="97" t="s">
        <v>215</v>
      </c>
      <c r="C121" s="151" t="s">
        <v>215</v>
      </c>
      <c r="D121" s="92">
        <f>_xlfn.XLOOKUP(A121,Юнит!C:C,Юнит!B:B)</f>
        <v>0</v>
      </c>
      <c r="E121" s="105" t="s">
        <v>210</v>
      </c>
      <c r="F121" s="96"/>
      <c r="G121" s="96">
        <f>_xlfn.XLOOKUP($B121,'[4] Расчет стоимости и веса'!$J:$J,'[4] Расчет стоимости и веса'!$D:$D,0,0)</f>
        <v>0</v>
      </c>
      <c r="H121" s="83">
        <f>_xlfn.XLOOKUP($B121,'[4] Расчет стоимости и веса'!$J:$J,'[4] Расчет стоимости и веса'!$E:$E,0,0)</f>
        <v>0</v>
      </c>
      <c r="I121" s="84">
        <f>H121*'Расчет Карго'!$H$5</f>
        <v>0</v>
      </c>
      <c r="J121" s="84">
        <f>I121/'Расчет Карго'!$H$3</f>
        <v>0</v>
      </c>
      <c r="K121" s="83">
        <f t="shared" si="43"/>
        <v>0</v>
      </c>
      <c r="L121" s="84">
        <f t="shared" si="44"/>
        <v>0</v>
      </c>
      <c r="M121" s="84">
        <f t="shared" si="45"/>
        <v>0</v>
      </c>
      <c r="N121" s="84">
        <f>S121*'Расчет Карго'!$M$4</f>
        <v>0</v>
      </c>
      <c r="O121" s="84">
        <f t="shared" si="46"/>
        <v>0</v>
      </c>
      <c r="P121" s="85">
        <f>IF(O121=0,_xlfn.XLOOKUP($A121,'Себес 1С текущ'!$B:$B,'Себес 1С текущ'!$E:$E,0,0),O121)</f>
        <v>0</v>
      </c>
      <c r="Q121" s="66">
        <f>_xlfn.XLOOKUP($B121,'[4] Расчет стоимости и веса'!$I:$I,'[4] Расчет стоимости и веса'!$N:$N,0,0)</f>
        <v>0</v>
      </c>
      <c r="R121" s="79"/>
      <c r="S121" s="83">
        <f>_xlfn.XLOOKUP($B121,'[4] Расчет стоимости и веса'!$J:$J,'[4] Расчет стоимости и веса'!$M:$M,0,0)</f>
        <v>0</v>
      </c>
      <c r="T121" s="83">
        <f t="shared" ref="T121:T122" si="52">S121</f>
        <v>0</v>
      </c>
      <c r="U121" s="86">
        <f t="shared" si="49"/>
        <v>0</v>
      </c>
    </row>
    <row r="122" spans="1:21" ht="38.25" hidden="1" customHeight="1" x14ac:dyDescent="0.3">
      <c r="A122" s="66"/>
      <c r="B122" s="99" t="s">
        <v>283</v>
      </c>
      <c r="C122" s="151" t="s">
        <v>283</v>
      </c>
      <c r="D122" s="92">
        <f>_xlfn.XLOOKUP(A122,Юнит!C:C,Юнит!B:B)</f>
        <v>0</v>
      </c>
      <c r="E122" s="104" t="s">
        <v>282</v>
      </c>
      <c r="F122" s="66"/>
      <c r="G122" s="96">
        <f>_xlfn.XLOOKUP($B122,'[4] Расчет стоимости и веса'!$J:$J,'[4] Расчет стоимости и веса'!$D:$D,0,0)</f>
        <v>0</v>
      </c>
      <c r="H122" s="83">
        <f>_xlfn.XLOOKUP($B122,'[4] Расчет стоимости и веса'!$J:$J,'[4] Расчет стоимости и веса'!$E:$E,0,0)</f>
        <v>0</v>
      </c>
      <c r="I122" s="84">
        <f>H122*'Расчет Карго'!$H$5</f>
        <v>0</v>
      </c>
      <c r="J122" s="84">
        <f>I122/'Расчет Карго'!$H$3</f>
        <v>0</v>
      </c>
      <c r="K122" s="83">
        <f t="shared" si="43"/>
        <v>0</v>
      </c>
      <c r="L122" s="84">
        <f t="shared" si="44"/>
        <v>0</v>
      </c>
      <c r="M122" s="84">
        <f t="shared" si="45"/>
        <v>0</v>
      </c>
      <c r="N122" s="84">
        <f>S122*'Расчет Карго'!$M$4</f>
        <v>0</v>
      </c>
      <c r="O122" s="84">
        <f t="shared" si="46"/>
        <v>0</v>
      </c>
      <c r="P122" s="85">
        <f>IF(O122=0,_xlfn.XLOOKUP($A122,'Себес 1С текущ'!$B:$B,'Себес 1С текущ'!$E:$E,0,0),O122)</f>
        <v>0</v>
      </c>
      <c r="Q122" s="66">
        <f>_xlfn.XLOOKUP($B122,'[4] Расчет стоимости и веса'!$I:$I,'[4] Расчет стоимости и веса'!$N:$N,0,0)</f>
        <v>0</v>
      </c>
      <c r="R122" s="79"/>
      <c r="S122" s="83">
        <f>_xlfn.XLOOKUP($B122,'[4] Расчет стоимости и веса'!$J:$J,'[4] Расчет стоимости и веса'!$M:$M,0,0)</f>
        <v>0</v>
      </c>
      <c r="T122" s="83">
        <f t="shared" si="52"/>
        <v>0</v>
      </c>
      <c r="U122" s="86">
        <f t="shared" si="49"/>
        <v>0</v>
      </c>
    </row>
    <row r="123" spans="1:21" ht="38.25" hidden="1" customHeight="1" collapsed="1" x14ac:dyDescent="0.3">
      <c r="A123" s="96"/>
      <c r="B123" s="97" t="s">
        <v>211</v>
      </c>
      <c r="C123" s="151" t="s">
        <v>211</v>
      </c>
      <c r="D123" s="92">
        <f>_xlfn.XLOOKUP(A123,Юнит!C:C,Юнит!B:B)</f>
        <v>0</v>
      </c>
      <c r="E123" s="105" t="s">
        <v>216</v>
      </c>
      <c r="F123" s="96"/>
      <c r="G123" s="96">
        <f>_xlfn.XLOOKUP($B123,'[4] Расчет стоимости и веса'!$J:$J,'[4] Расчет стоимости и веса'!$D:$D,0,0)</f>
        <v>0</v>
      </c>
      <c r="H123" s="83">
        <f>_xlfn.XLOOKUP($B123,'[4] Расчет стоимости и веса'!$J:$J,'[4] Расчет стоимости и веса'!$E:$E,0,0)</f>
        <v>0</v>
      </c>
      <c r="I123" s="84">
        <f>H123*'Расчет Карго'!$H$5</f>
        <v>0</v>
      </c>
      <c r="J123" s="84">
        <f>I123/'Расчет Карго'!$H$3</f>
        <v>0</v>
      </c>
      <c r="K123" s="83">
        <f t="shared" si="43"/>
        <v>0</v>
      </c>
      <c r="L123" s="84">
        <f t="shared" si="44"/>
        <v>0</v>
      </c>
      <c r="M123" s="84">
        <f t="shared" si="45"/>
        <v>0</v>
      </c>
      <c r="N123" s="84">
        <f>S123*'Расчет Карго'!$M$4</f>
        <v>0</v>
      </c>
      <c r="O123" s="84">
        <f t="shared" si="46"/>
        <v>0</v>
      </c>
      <c r="P123" s="85">
        <f>IF(O123=0,_xlfn.XLOOKUP($A123,'Себес 1С текущ'!$B:$B,'Себес 1С текущ'!$E:$E,0,0),O123)</f>
        <v>0</v>
      </c>
      <c r="Q123" s="66">
        <f>_xlfn.XLOOKUP($B123,'[4] Расчет стоимости и веса'!$I:$I,'[4] Расчет стоимости и веса'!$N:$N,0,0)</f>
        <v>0</v>
      </c>
      <c r="R123" s="79"/>
      <c r="S123" s="83">
        <f>_xlfn.XLOOKUP($B123,'[4] Расчет стоимости и веса'!$J:$J,'[4] Расчет стоимости и веса'!$M:$M,0,0)</f>
        <v>0</v>
      </c>
      <c r="T123" s="83">
        <f t="shared" si="50"/>
        <v>0</v>
      </c>
      <c r="U123" s="86">
        <f t="shared" si="49"/>
        <v>0</v>
      </c>
    </row>
    <row r="124" spans="1:21" ht="38.25" hidden="1" customHeight="1" collapsed="1" x14ac:dyDescent="0.3">
      <c r="A124" s="96"/>
      <c r="B124" s="97" t="s">
        <v>212</v>
      </c>
      <c r="C124" s="151" t="s">
        <v>212</v>
      </c>
      <c r="D124" s="92">
        <f>_xlfn.XLOOKUP(A124,Юнит!C:C,Юнит!B:B)</f>
        <v>0</v>
      </c>
      <c r="E124" s="105" t="s">
        <v>217</v>
      </c>
      <c r="F124" s="96"/>
      <c r="G124" s="96">
        <f>_xlfn.XLOOKUP($B124,'[4] Расчет стоимости и веса'!$J:$J,'[4] Расчет стоимости и веса'!$D:$D,0,0)</f>
        <v>0</v>
      </c>
      <c r="H124" s="83">
        <f>_xlfn.XLOOKUP($B124,'[4] Расчет стоимости и веса'!$J:$J,'[4] Расчет стоимости и веса'!$E:$E,0,0)</f>
        <v>0</v>
      </c>
      <c r="I124" s="84">
        <f>H124*'Расчет Карго'!$H$5</f>
        <v>0</v>
      </c>
      <c r="J124" s="84">
        <f>I124/'Расчет Карго'!$H$3</f>
        <v>0</v>
      </c>
      <c r="K124" s="83">
        <f t="shared" si="43"/>
        <v>0</v>
      </c>
      <c r="L124" s="84">
        <f t="shared" si="44"/>
        <v>0</v>
      </c>
      <c r="M124" s="84">
        <f t="shared" si="45"/>
        <v>0</v>
      </c>
      <c r="N124" s="84">
        <f>S124*'Расчет Карго'!$M$4</f>
        <v>0</v>
      </c>
      <c r="O124" s="84">
        <f t="shared" si="46"/>
        <v>0</v>
      </c>
      <c r="P124" s="85">
        <f>IF(O124=0,_xlfn.XLOOKUP($A124,'Себес 1С текущ'!$B:$B,'Себес 1С текущ'!$E:$E,0,0),O124)</f>
        <v>0</v>
      </c>
      <c r="Q124" s="66">
        <f>_xlfn.XLOOKUP($B124,'[4] Расчет стоимости и веса'!$I:$I,'[4] Расчет стоимости и веса'!$N:$N,0,0)</f>
        <v>0</v>
      </c>
      <c r="R124" s="79"/>
      <c r="S124" s="83">
        <f>_xlfn.XLOOKUP($B124,'[4] Расчет стоимости и веса'!$J:$J,'[4] Расчет стоимости и веса'!$M:$M,0,0)</f>
        <v>0</v>
      </c>
      <c r="T124" s="83">
        <f t="shared" si="50"/>
        <v>0</v>
      </c>
      <c r="U124" s="86">
        <f t="shared" si="49"/>
        <v>0</v>
      </c>
    </row>
    <row r="125" spans="1:21" ht="38.25" hidden="1" customHeight="1" collapsed="1" x14ac:dyDescent="0.3">
      <c r="A125" s="96"/>
      <c r="B125" s="97" t="s">
        <v>213</v>
      </c>
      <c r="C125" s="151" t="s">
        <v>213</v>
      </c>
      <c r="D125" s="92">
        <f>_xlfn.XLOOKUP(A125,Юнит!C:C,Юнит!B:B)</f>
        <v>0</v>
      </c>
      <c r="E125" s="105" t="s">
        <v>218</v>
      </c>
      <c r="F125" s="96"/>
      <c r="G125" s="96">
        <f>_xlfn.XLOOKUP($B125,'[4] Расчет стоимости и веса'!$J:$J,'[4] Расчет стоимости и веса'!$D:$D,0,0)</f>
        <v>0</v>
      </c>
      <c r="H125" s="83">
        <f>_xlfn.XLOOKUP($B125,'[4] Расчет стоимости и веса'!$J:$J,'[4] Расчет стоимости и веса'!$E:$E,0,0)</f>
        <v>0</v>
      </c>
      <c r="I125" s="84">
        <f>H125*'Расчет Карго'!$H$5</f>
        <v>0</v>
      </c>
      <c r="J125" s="84">
        <f>I125/'Расчет Карго'!$H$3</f>
        <v>0</v>
      </c>
      <c r="K125" s="83">
        <f t="shared" si="43"/>
        <v>0</v>
      </c>
      <c r="L125" s="84">
        <f t="shared" si="44"/>
        <v>0</v>
      </c>
      <c r="M125" s="84">
        <f t="shared" si="45"/>
        <v>0</v>
      </c>
      <c r="N125" s="84">
        <f>S125*'Расчет Карго'!$M$4</f>
        <v>0</v>
      </c>
      <c r="O125" s="84">
        <f t="shared" si="46"/>
        <v>0</v>
      </c>
      <c r="P125" s="85">
        <f>IF(O125=0,_xlfn.XLOOKUP($A125,'Себес 1С текущ'!$B:$B,'Себес 1С текущ'!$E:$E,0,0),O125)</f>
        <v>0</v>
      </c>
      <c r="Q125" s="66">
        <f>_xlfn.XLOOKUP($B125,'[4] Расчет стоимости и веса'!$I:$I,'[4] Расчет стоимости и веса'!$N:$N,0,0)</f>
        <v>0</v>
      </c>
      <c r="R125" s="79"/>
      <c r="S125" s="83">
        <f>_xlfn.XLOOKUP($B125,'[4] Расчет стоимости и веса'!$J:$J,'[4] Расчет стоимости и веса'!$M:$M,0,0)</f>
        <v>0</v>
      </c>
      <c r="T125" s="83">
        <f t="shared" si="50"/>
        <v>0</v>
      </c>
      <c r="U125" s="86">
        <f t="shared" si="49"/>
        <v>0</v>
      </c>
    </row>
    <row r="126" spans="1:21" ht="38.25" hidden="1" customHeight="1" collapsed="1" thickBot="1" x14ac:dyDescent="0.3">
      <c r="A126" s="368"/>
      <c r="B126" s="369" t="s">
        <v>214</v>
      </c>
      <c r="C126" s="370" t="s">
        <v>214</v>
      </c>
      <c r="D126" s="371">
        <f>_xlfn.XLOOKUP(A126,Юнит!C:C,Юнит!B:B)</f>
        <v>0</v>
      </c>
      <c r="E126" s="91" t="s">
        <v>219</v>
      </c>
      <c r="F126" s="368"/>
      <c r="G126" s="96">
        <f>_xlfn.XLOOKUP($B126,'[4] Расчет стоимости и веса'!$J:$J,'[4] Расчет стоимости и веса'!$D:$D,0,0)</f>
        <v>0</v>
      </c>
      <c r="H126" s="93">
        <f>_xlfn.XLOOKUP($B126,'[4] Расчет стоимости и веса'!$J:$J,'[4] Расчет стоимости и веса'!$E:$E,0,0)</f>
        <v>0</v>
      </c>
      <c r="I126" s="372">
        <f>H126*'Расчет Карго'!$H$5</f>
        <v>0</v>
      </c>
      <c r="J126" s="372">
        <f>I126/'Расчет Карго'!$H$3</f>
        <v>0</v>
      </c>
      <c r="K126" s="93">
        <f t="shared" si="43"/>
        <v>0</v>
      </c>
      <c r="L126" s="372">
        <f t="shared" si="44"/>
        <v>0</v>
      </c>
      <c r="M126" s="372">
        <f t="shared" si="45"/>
        <v>0</v>
      </c>
      <c r="N126" s="372">
        <f>S126*'Расчет Карго'!$M$4</f>
        <v>0</v>
      </c>
      <c r="O126" s="372">
        <f t="shared" si="46"/>
        <v>0</v>
      </c>
      <c r="P126" s="373">
        <f>IF(O126=0,_xlfn.XLOOKUP($A126,'Себес 1С текущ'!$B:$B,'Себес 1С текущ'!$E:$E,0,0),O126)</f>
        <v>0</v>
      </c>
      <c r="Q126" s="65">
        <f>_xlfn.XLOOKUP($B126,'[4] Расчет стоимости и веса'!$I:$I,'[4] Расчет стоимости и веса'!$N:$N,0,0)</f>
        <v>0</v>
      </c>
      <c r="R126" s="79"/>
      <c r="S126" s="93">
        <f>_xlfn.XLOOKUP($B126,'[4] Расчет стоимости и веса'!$J:$J,'[4] Расчет стоимости и веса'!$M:$M,0,0)</f>
        <v>0</v>
      </c>
      <c r="T126" s="93">
        <f>S126</f>
        <v>0</v>
      </c>
      <c r="U126" s="374">
        <f t="shared" si="49"/>
        <v>0</v>
      </c>
    </row>
    <row r="127" spans="1:21" ht="24.75" customHeight="1" thickBot="1" x14ac:dyDescent="0.3">
      <c r="A127" s="377"/>
      <c r="B127" s="378"/>
      <c r="C127" s="375"/>
      <c r="D127" s="375"/>
      <c r="E127" s="379"/>
      <c r="F127" s="380"/>
      <c r="G127" s="380">
        <f>SUM(G4:G126)</f>
        <v>4067</v>
      </c>
      <c r="H127" s="381"/>
      <c r="I127" s="376">
        <f>H127*'Расчет Карго'!$H$5</f>
        <v>0</v>
      </c>
      <c r="J127" s="376">
        <f>I127/'Расчет Карго'!$H$3</f>
        <v>0</v>
      </c>
      <c r="K127" s="382">
        <f>G127*H127</f>
        <v>0</v>
      </c>
      <c r="L127" s="376">
        <f>G127*I127</f>
        <v>0</v>
      </c>
      <c r="M127" s="376">
        <f>J127*G127</f>
        <v>0</v>
      </c>
      <c r="N127" s="376">
        <f>S127*'Расчет Карго'!$M$4</f>
        <v>0</v>
      </c>
      <c r="O127" s="376">
        <f>I127+N127</f>
        <v>0</v>
      </c>
      <c r="P127" s="376">
        <f>IF(O127=0,_xlfn.XLOOKUP($A127,'Себес 1С текущ'!$B:$B,'Себес 1С текущ'!$E:$E,0,0),O127)</f>
        <v>0</v>
      </c>
      <c r="Q127" s="380"/>
      <c r="R127" s="382"/>
      <c r="S127" s="381"/>
      <c r="T127" s="382">
        <f>S127</f>
        <v>0</v>
      </c>
      <c r="U127" s="383">
        <f>SUM(U4:U126)</f>
        <v>368.62</v>
      </c>
    </row>
  </sheetData>
  <autoFilter ref="A3:U127" xr:uid="{71868286-1F66-4CCC-8D17-451AC77F962F}">
    <filterColumn colId="6">
      <customFilters>
        <customFilter operator="notEqual" val=" "/>
      </customFilters>
    </filterColumn>
  </autoFilter>
  <phoneticPr fontId="1" type="noConversion"/>
  <printOptions horizontalCentered="1"/>
  <pageMargins left="0.39370078740157483" right="0.39370078740157483" top="0.39370078740157483" bottom="0.39370078740157483" header="0" footer="0"/>
  <pageSetup paperSize="9" scale="27" fitToHeight="0"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F551-9B92-4DD1-9151-BA840755CBB7}">
  <sheetPr codeName="Лист3">
    <tabColor rgb="FFFF9900"/>
  </sheetPr>
  <dimension ref="B1:N17"/>
  <sheetViews>
    <sheetView workbookViewId="0">
      <selection activeCell="C3" sqref="C3"/>
    </sheetView>
  </sheetViews>
  <sheetFormatPr defaultColWidth="9.28515625" defaultRowHeight="15.75" x14ac:dyDescent="0.25"/>
  <cols>
    <col min="1" max="1" width="6.5703125" style="26" customWidth="1"/>
    <col min="2" max="2" width="25.85546875" style="26" customWidth="1"/>
    <col min="3" max="3" width="15.5703125" style="39" customWidth="1"/>
    <col min="4" max="4" width="14.42578125" style="26" customWidth="1"/>
    <col min="5" max="6" width="14.85546875" style="26" bestFit="1" customWidth="1"/>
    <col min="7" max="7" width="13.5703125" style="26" customWidth="1"/>
    <col min="8" max="8" width="11.42578125" style="26" bestFit="1" customWidth="1"/>
    <col min="9" max="9" width="11.85546875" style="35" bestFit="1" customWidth="1"/>
    <col min="10" max="10" width="11.5703125" style="26" customWidth="1"/>
    <col min="11" max="11" width="11.42578125" style="26" customWidth="1"/>
    <col min="12" max="12" width="12.28515625" style="35" customWidth="1"/>
    <col min="13" max="13" width="11" style="26" customWidth="1"/>
    <col min="14" max="14" width="16.42578125" style="26" customWidth="1"/>
    <col min="15" max="16384" width="9.28515625" style="26"/>
  </cols>
  <sheetData>
    <row r="1" spans="2:14" ht="16.5" thickBot="1" x14ac:dyDescent="0.3"/>
    <row r="2" spans="2:14" ht="30" customHeight="1" thickBot="1" x14ac:dyDescent="0.3">
      <c r="B2" s="115" t="s">
        <v>68</v>
      </c>
      <c r="C2" s="117">
        <v>423.3</v>
      </c>
      <c r="D2" s="607" t="s">
        <v>7</v>
      </c>
      <c r="E2" s="608"/>
      <c r="F2" s="608"/>
      <c r="G2" s="609" t="s">
        <v>67</v>
      </c>
      <c r="H2" s="609"/>
      <c r="I2" s="602" t="s">
        <v>91</v>
      </c>
      <c r="J2" s="603"/>
      <c r="K2" s="604"/>
      <c r="L2" s="602" t="s">
        <v>92</v>
      </c>
      <c r="M2" s="603"/>
      <c r="N2" s="604"/>
    </row>
    <row r="3" spans="2:14" ht="30" customHeight="1" thickBot="1" x14ac:dyDescent="0.3">
      <c r="B3" s="27" t="s">
        <v>93</v>
      </c>
      <c r="C3" s="116">
        <f>'[4] Расчет стоимости и веса'!$L$187</f>
        <v>3.5</v>
      </c>
      <c r="D3" s="28" t="s">
        <v>8</v>
      </c>
      <c r="E3" s="29" t="s">
        <v>9</v>
      </c>
      <c r="F3" s="29" t="s">
        <v>10</v>
      </c>
      <c r="G3" s="30" t="s">
        <v>14</v>
      </c>
      <c r="H3" s="31">
        <f>'[4] Расчет стоимости и веса'!$C$186</f>
        <v>80</v>
      </c>
      <c r="I3" s="32" t="s">
        <v>8</v>
      </c>
      <c r="J3" s="49" t="s">
        <v>9</v>
      </c>
      <c r="K3" s="33" t="s">
        <v>10</v>
      </c>
      <c r="L3" s="32" t="s">
        <v>8</v>
      </c>
      <c r="M3" s="49" t="s">
        <v>9</v>
      </c>
      <c r="N3" s="33" t="s">
        <v>10</v>
      </c>
    </row>
    <row r="4" spans="2:14" ht="30" customHeight="1" thickBot="1" x14ac:dyDescent="0.3">
      <c r="B4" s="595" t="s">
        <v>132</v>
      </c>
      <c r="C4" s="595"/>
      <c r="D4" s="139">
        <f>'[4] Расчет стоимости и веса'!$B$190</f>
        <v>19079.899999999998</v>
      </c>
      <c r="E4" s="142">
        <f>D4*$H$5</f>
        <v>230866.78999999998</v>
      </c>
      <c r="F4" s="143">
        <f>E4/$H$3</f>
        <v>2885.8348749999996</v>
      </c>
      <c r="G4" s="30" t="s">
        <v>15</v>
      </c>
      <c r="H4" s="31">
        <f>'[4] Расчет стоимости и веса'!$N$187</f>
        <v>76</v>
      </c>
      <c r="I4" s="47">
        <f>J4/H5</f>
        <v>29.308212819382796</v>
      </c>
      <c r="J4" s="50">
        <f>I11/K5</f>
        <v>354.6293751145318</v>
      </c>
      <c r="K4" s="48">
        <f>J4/H4</f>
        <v>4.666175988349103</v>
      </c>
      <c r="L4" s="47">
        <f>M4/H5</f>
        <v>34.529856845021456</v>
      </c>
      <c r="M4" s="50">
        <f>L11/N5</f>
        <v>417.81126782475957</v>
      </c>
      <c r="N4" s="48">
        <f>M4/H4</f>
        <v>5.497516681904731</v>
      </c>
    </row>
    <row r="5" spans="2:14" ht="30" customHeight="1" x14ac:dyDescent="0.25">
      <c r="B5" s="595" t="s">
        <v>962</v>
      </c>
      <c r="C5" s="595"/>
      <c r="D5" s="139">
        <f>'[4] Расчет стоимости и веса'!$F$190</f>
        <v>816</v>
      </c>
      <c r="E5" s="142">
        <f>D5*$H$5</f>
        <v>9873.6</v>
      </c>
      <c r="F5" s="143">
        <f>E5/$H$3</f>
        <v>123.42</v>
      </c>
      <c r="G5" s="30" t="s">
        <v>16</v>
      </c>
      <c r="H5" s="31">
        <f>'[4] Расчет стоимости и веса'!$C$187</f>
        <v>12.1</v>
      </c>
      <c r="I5" s="600" t="s">
        <v>1066</v>
      </c>
      <c r="J5" s="605"/>
      <c r="K5" s="43">
        <f>'[4] Расчет стоимости и веса'!$M$182</f>
        <v>213.99999999999994</v>
      </c>
      <c r="L5" s="600" t="s">
        <v>94</v>
      </c>
      <c r="M5" s="605"/>
      <c r="N5" s="44">
        <f>'[4] Расчет стоимости и веса'!$O$182</f>
        <v>161.32</v>
      </c>
    </row>
    <row r="6" spans="2:14" ht="30" customHeight="1" x14ac:dyDescent="0.25">
      <c r="B6" s="595" t="s">
        <v>963</v>
      </c>
      <c r="C6" s="595"/>
      <c r="D6" s="141">
        <f>E6/H5</f>
        <v>11842.314049586777</v>
      </c>
      <c r="E6" s="140">
        <f>'[4] Расчет стоимости и веса'!$Y$190</f>
        <v>143292</v>
      </c>
      <c r="F6" s="143">
        <f>E6/H4</f>
        <v>1885.421052631579</v>
      </c>
      <c r="G6" s="34"/>
      <c r="I6" s="600" t="s">
        <v>106</v>
      </c>
      <c r="J6" s="600"/>
      <c r="K6" s="43">
        <f>'[4] Расчет стоимости и веса'!$N$182</f>
        <v>24.18</v>
      </c>
      <c r="L6" s="600" t="s">
        <v>105</v>
      </c>
      <c r="M6" s="600"/>
      <c r="N6" s="43">
        <f>'[4] Расчет стоимости и веса'!$P$182</f>
        <v>23.8</v>
      </c>
    </row>
    <row r="7" spans="2:14" ht="30.75" customHeight="1" thickBot="1" x14ac:dyDescent="0.3">
      <c r="B7" s="595" t="s">
        <v>17</v>
      </c>
      <c r="C7" s="595"/>
      <c r="D7" s="141">
        <f>SUM(D4:D6)</f>
        <v>31738.214049586775</v>
      </c>
      <c r="E7" s="142">
        <f>SUM(E4:E6)</f>
        <v>384032.39</v>
      </c>
      <c r="F7" s="143">
        <f>SUM(F4:F6)</f>
        <v>4894.6759276315788</v>
      </c>
      <c r="G7" s="34"/>
      <c r="I7" s="600" t="s">
        <v>131</v>
      </c>
      <c r="J7" s="600"/>
      <c r="K7" s="46">
        <f>SUM(K5:K6)</f>
        <v>238.17999999999995</v>
      </c>
      <c r="L7" s="600" t="s">
        <v>95</v>
      </c>
      <c r="M7" s="600"/>
      <c r="N7" s="41">
        <f>SUM(N5:N6)</f>
        <v>185.12</v>
      </c>
    </row>
    <row r="8" spans="2:14" ht="32.25" customHeight="1" thickBot="1" x14ac:dyDescent="0.3">
      <c r="I8" s="600" t="s">
        <v>98</v>
      </c>
      <c r="J8" s="606"/>
      <c r="K8" s="51">
        <f>K7+N7</f>
        <v>423.29999999999995</v>
      </c>
      <c r="L8" s="601" t="s">
        <v>96</v>
      </c>
      <c r="M8" s="600"/>
      <c r="N8" s="45">
        <f>'[4] Расчет стоимости и веса'!$T$190</f>
        <v>8417</v>
      </c>
    </row>
    <row r="9" spans="2:14" ht="33" customHeight="1" x14ac:dyDescent="0.25">
      <c r="C9" s="36"/>
      <c r="D9" s="36"/>
      <c r="E9" s="36"/>
      <c r="F9" s="36"/>
      <c r="I9" s="605" t="s">
        <v>133</v>
      </c>
      <c r="J9" s="605"/>
      <c r="K9" s="605"/>
      <c r="L9" s="600"/>
      <c r="M9" s="600"/>
      <c r="N9" s="600"/>
    </row>
    <row r="10" spans="2:14" ht="31.5" customHeight="1" x14ac:dyDescent="0.25">
      <c r="B10" s="37" t="s">
        <v>103</v>
      </c>
      <c r="C10" s="38"/>
      <c r="D10" s="37"/>
      <c r="E10" s="37"/>
      <c r="I10" s="596">
        <f>K7/$C$2</f>
        <v>0.56267422631703268</v>
      </c>
      <c r="J10" s="597"/>
      <c r="K10" s="598"/>
      <c r="L10" s="596">
        <f>1-I10</f>
        <v>0.43732577368296732</v>
      </c>
      <c r="M10" s="597"/>
      <c r="N10" s="598"/>
    </row>
    <row r="11" spans="2:14" ht="31.5" customHeight="1" x14ac:dyDescent="0.25">
      <c r="I11" s="599">
        <f>(E6-N8)/C2*K7</f>
        <v>75890.68627450979</v>
      </c>
      <c r="J11" s="595"/>
      <c r="K11" s="595"/>
      <c r="L11" s="599">
        <f>E6-I11</f>
        <v>67401.31372549021</v>
      </c>
      <c r="M11" s="595"/>
      <c r="N11" s="595"/>
    </row>
    <row r="12" spans="2:14" ht="31.5" customHeight="1" x14ac:dyDescent="0.25">
      <c r="H12" s="40"/>
      <c r="I12" s="599">
        <f>SUM(I11:N11)</f>
        <v>143292</v>
      </c>
      <c r="J12" s="595"/>
      <c r="K12" s="595"/>
      <c r="L12" s="595"/>
      <c r="M12" s="595"/>
      <c r="N12" s="595"/>
    </row>
    <row r="13" spans="2:14" ht="31.5" customHeight="1" x14ac:dyDescent="0.25">
      <c r="H13" s="40"/>
      <c r="I13" s="595" t="s">
        <v>97</v>
      </c>
      <c r="J13" s="595"/>
      <c r="K13" s="595"/>
      <c r="L13" s="595"/>
      <c r="M13" s="595"/>
      <c r="N13" s="595"/>
    </row>
    <row r="14" spans="2:14" ht="31.5" customHeight="1" x14ac:dyDescent="0.25">
      <c r="I14" s="596">
        <f>I11/I12</f>
        <v>0.52962263262784937</v>
      </c>
      <c r="J14" s="597"/>
      <c r="K14" s="598"/>
      <c r="L14" s="596">
        <f>L11/I12</f>
        <v>0.47037736737215063</v>
      </c>
      <c r="M14" s="597"/>
      <c r="N14" s="598"/>
    </row>
    <row r="15" spans="2:14" ht="30.75" customHeight="1" x14ac:dyDescent="0.25"/>
    <row r="16" spans="2:14" ht="31.5" customHeight="1" x14ac:dyDescent="0.25">
      <c r="I16" s="26"/>
      <c r="L16" s="26"/>
    </row>
    <row r="17" spans="3:3" s="26" customFormat="1" ht="32.25" customHeight="1" x14ac:dyDescent="0.25">
      <c r="C17" s="39"/>
    </row>
  </sheetData>
  <mergeCells count="25">
    <mergeCell ref="D2:F2"/>
    <mergeCell ref="G2:H2"/>
    <mergeCell ref="I2:K2"/>
    <mergeCell ref="B7:C7"/>
    <mergeCell ref="B4:C4"/>
    <mergeCell ref="B5:C5"/>
    <mergeCell ref="B6:C6"/>
    <mergeCell ref="L6:M6"/>
    <mergeCell ref="L7:M7"/>
    <mergeCell ref="I12:N12"/>
    <mergeCell ref="L8:M8"/>
    <mergeCell ref="L2:N2"/>
    <mergeCell ref="I5:J5"/>
    <mergeCell ref="L5:M5"/>
    <mergeCell ref="I9:N9"/>
    <mergeCell ref="I10:K10"/>
    <mergeCell ref="L10:N10"/>
    <mergeCell ref="I7:J7"/>
    <mergeCell ref="I8:J8"/>
    <mergeCell ref="I6:J6"/>
    <mergeCell ref="I13:N13"/>
    <mergeCell ref="I14:K14"/>
    <mergeCell ref="L14:N14"/>
    <mergeCell ref="I11:K11"/>
    <mergeCell ref="L11:N11"/>
  </mergeCells>
  <conditionalFormatting sqref="C2">
    <cfRule type="cellIs" dxfId="3" priority="1" operator="between">
      <formula>$K$8-1</formula>
      <formula>$K$8+1</formula>
    </cfRule>
  </conditionalFormatting>
  <conditionalFormatting sqref="K8">
    <cfRule type="cellIs" dxfId="2" priority="2" operator="lessThan">
      <formula>$C$2-1</formula>
    </cfRule>
    <cfRule type="cellIs" dxfId="1" priority="3" operator="greaterThan">
      <formula>$C$2+1</formula>
    </cfRule>
    <cfRule type="cellIs" dxfId="0" priority="4" operator="between">
      <formula>$C$2-1</formula>
      <formula>$C$2+1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4E83-1E51-4468-BD9C-FDA2CE3293D3}">
  <sheetPr>
    <tabColor theme="9"/>
    <pageSetUpPr fitToPage="1"/>
  </sheetPr>
  <dimension ref="A1:G81"/>
  <sheetViews>
    <sheetView showZeros="0" workbookViewId="0">
      <pane ySplit="1" topLeftCell="A50" activePane="bottomLeft" state="frozen"/>
      <selection pane="bottomLeft" sqref="A1:F81"/>
    </sheetView>
  </sheetViews>
  <sheetFormatPr defaultColWidth="9.140625" defaultRowHeight="15" x14ac:dyDescent="0.25"/>
  <cols>
    <col min="1" max="1" width="10" style="182" bestFit="1" customWidth="1"/>
    <col min="2" max="2" width="11" style="182" bestFit="1" customWidth="1"/>
    <col min="3" max="3" width="16.85546875" style="182" bestFit="1" customWidth="1"/>
    <col min="4" max="4" width="35.5703125" style="183" customWidth="1"/>
    <col min="5" max="5" width="14.140625" style="152" bestFit="1" customWidth="1"/>
    <col min="6" max="6" width="13.28515625" style="152" bestFit="1" customWidth="1"/>
    <col min="7" max="7" width="97.42578125" style="144" customWidth="1"/>
    <col min="8" max="16384" width="9.140625" style="42"/>
  </cols>
  <sheetData>
    <row r="1" spans="1:7" ht="31.5" customHeight="1" x14ac:dyDescent="0.25">
      <c r="A1" s="411" t="s">
        <v>83</v>
      </c>
      <c r="B1" s="411" t="s">
        <v>449</v>
      </c>
      <c r="C1" s="411" t="s">
        <v>196</v>
      </c>
      <c r="D1" s="412" t="s">
        <v>0</v>
      </c>
      <c r="E1" s="413" t="s">
        <v>82</v>
      </c>
      <c r="F1" s="413" t="s">
        <v>53</v>
      </c>
      <c r="G1" s="414" t="s">
        <v>101</v>
      </c>
    </row>
    <row r="2" spans="1:7" x14ac:dyDescent="0.25">
      <c r="A2" s="54">
        <f>Юнит!A5</f>
        <v>169112569</v>
      </c>
      <c r="B2" s="54">
        <f>_xlfn.XLOOKUP(E2,Юнит!E:E,Юнит!B:B)</f>
        <v>0</v>
      </c>
      <c r="C2" s="54" t="str">
        <f>_xlfn.XLOOKUP(A2,Юнит!A:A,Юнит!C:C)</f>
        <v>ACRF1BN101PN</v>
      </c>
      <c r="D2" s="154" t="str">
        <f>_xlfn.XLOOKUP(Себес!A2,Юнит!A:A,Юнит!D:D)</f>
        <v>Бандаж для лица розовый</v>
      </c>
      <c r="E2" s="181">
        <f>_xlfn.XLOOKUP(A2,Юнит!A:A,Юнит!E:E)</f>
        <v>2038161736993</v>
      </c>
      <c r="F2" s="415">
        <f>IFERROR(ROUNDUP(_xlfn.XLOOKUP($A2,Юнит!$A:$A,Юнит!$F:$F,0,0),0),0)</f>
        <v>126</v>
      </c>
      <c r="G2" s="416" t="str">
        <f>CONCATENATE("WB ",A2,IF(B2&gt;0,CONCATENATE("/","OZ ",B2,"/"),"/"),D2,"/",C2,"/",E2)</f>
        <v>WB 169112569/Бандаж для лица розовый/ACRF1BN101PN/2038161736993</v>
      </c>
    </row>
    <row r="3" spans="1:7" x14ac:dyDescent="0.25">
      <c r="A3" s="54">
        <f>Юнит!A6</f>
        <v>169153168</v>
      </c>
      <c r="B3" s="54">
        <f>_xlfn.XLOOKUP(E3,Юнит!E:E,Юнит!B:B)</f>
        <v>2453533282</v>
      </c>
      <c r="C3" s="54" t="str">
        <f>_xlfn.XLOOKUP(A3,Юнит!A:A,Юнит!C:C)</f>
        <v>ACRF1BN101BC</v>
      </c>
      <c r="D3" s="154" t="str">
        <f>_xlfn.XLOOKUP(Себес!A3,Юнит!A:A,Юнит!D:D)</f>
        <v>Бандаж для лица черный</v>
      </c>
      <c r="E3" s="181">
        <f>_xlfn.XLOOKUP(A3,Юнит!A:A,Юнит!E:E)</f>
        <v>2038162681926</v>
      </c>
      <c r="F3" s="415">
        <f>IFERROR(ROUNDUP(_xlfn.XLOOKUP($A3,Юнит!$A:$A,Юнит!$F:$F,0,0),0),0)</f>
        <v>106</v>
      </c>
      <c r="G3" s="416" t="str">
        <f t="shared" ref="G3:G66" si="0">CONCATENATE("WB ",A3,IF(B3&gt;0,CONCATENATE("/","OZ ",B3,"/"),"/"),D3,"/",C3,"/",E3)</f>
        <v>WB 169153168/OZ 2453533282/Бандаж для лица черный/ACRF1BN101BC/2038162681926</v>
      </c>
    </row>
    <row r="4" spans="1:7" x14ac:dyDescent="0.25">
      <c r="A4" s="54">
        <f>Юнит!A7</f>
        <v>169395410</v>
      </c>
      <c r="B4" s="54">
        <f>_xlfn.XLOOKUP(E4,Юнит!E:E,Юнит!B:B)</f>
        <v>2419349210</v>
      </c>
      <c r="C4" s="54" t="str">
        <f>_xlfn.XLOOKUP(A4,Юнит!A:A,Юнит!C:C)</f>
        <v>ACRF1BN201GR</v>
      </c>
      <c r="D4" s="154" t="str">
        <f>_xlfn.XLOOKUP(Себес!A4,Юнит!A:A,Юнит!D:D)</f>
        <v>Бандаж для лица серый</v>
      </c>
      <c r="E4" s="181">
        <f>_xlfn.XLOOKUP(A4,Юнит!A:A,Юнит!E:E)</f>
        <v>2038172050200</v>
      </c>
      <c r="F4" s="415">
        <f>IFERROR(ROUNDUP(_xlfn.XLOOKUP($A4,Юнит!$A:$A,Юнит!$F:$F,0,0),0),0)</f>
        <v>223</v>
      </c>
      <c r="G4" s="416" t="str">
        <f t="shared" si="0"/>
        <v>WB 169395410/OZ 2419349210/Бандаж для лица серый/ACRF1BN201GR/2038172050200</v>
      </c>
    </row>
    <row r="5" spans="1:7" x14ac:dyDescent="0.25">
      <c r="A5" s="54">
        <f>Юнит!A8</f>
        <v>172832355</v>
      </c>
      <c r="B5" s="54">
        <f>_xlfn.XLOOKUP(E5,Юнит!E:E,Юнит!B:B)</f>
        <v>2419349460</v>
      </c>
      <c r="C5" s="54" t="str">
        <f>_xlfn.XLOOKUP(A5,Юнит!A:A,Юнит!C:C)</f>
        <v>AHMA7BW101BG</v>
      </c>
      <c r="D5" s="154" t="str">
        <f>_xlfn.XLOOKUP(Себес!A5,Юнит!A:A,Юнит!D:D)</f>
        <v>Мешки 7 шт.</v>
      </c>
      <c r="E5" s="181">
        <f>_xlfn.XLOOKUP(A5,Юнит!A:A,Юнит!E:E)</f>
        <v>2038337652454</v>
      </c>
      <c r="F5" s="415">
        <f>IFERROR(ROUNDUP(_xlfn.XLOOKUP($A5,Юнит!$A:$A,Юнит!$F:$F,0,0),0),0)</f>
        <v>391</v>
      </c>
      <c r="G5" s="416" t="str">
        <f t="shared" si="0"/>
        <v>WB 172832355/OZ 2419349460/Мешки 7 шт./AHMA7BW101BG/2038337652454</v>
      </c>
    </row>
    <row r="6" spans="1:7" x14ac:dyDescent="0.25">
      <c r="A6" s="54">
        <f>Юнит!A9</f>
        <v>176500218</v>
      </c>
      <c r="B6" s="54">
        <f>_xlfn.XLOOKUP(E6,Юнит!E:E,Юнит!B:B)</f>
        <v>2138709303</v>
      </c>
      <c r="C6" s="54" t="str">
        <f>_xlfn.XLOOKUP(A6,Юнит!A:A,Юнит!C:C)</f>
        <v>AHMA1BW101BG</v>
      </c>
      <c r="D6" s="154" t="str">
        <f>_xlfn.XLOOKUP(Себес!A6,Юнит!A:A,Юнит!D:D)</f>
        <v>Мешок для бюстгалтеров</v>
      </c>
      <c r="E6" s="181">
        <f>_xlfn.XLOOKUP(A6,Юнит!A:A,Юнит!E:E)</f>
        <v>2038597850744</v>
      </c>
      <c r="F6" s="415">
        <f>IFERROR(ROUNDUP(_xlfn.XLOOKUP($A6,Юнит!$A:$A,Юнит!$F:$F,0,0),0),0)</f>
        <v>86</v>
      </c>
      <c r="G6" s="416" t="str">
        <f t="shared" si="0"/>
        <v>WB 176500218/OZ 2138709303/Мешок для бюстгалтеров/AHMA1BW101BG/2038597850744</v>
      </c>
    </row>
    <row r="7" spans="1:7" x14ac:dyDescent="0.25">
      <c r="A7" s="54">
        <f>Юнит!A10</f>
        <v>177404837</v>
      </c>
      <c r="B7" s="54">
        <f>_xlfn.XLOOKUP(E7,Юнит!E:E,Юнит!B:B)</f>
        <v>2419349262</v>
      </c>
      <c r="C7" s="54" t="str">
        <f>_xlfn.XLOOKUP(A7,Юнит!A:A,Юнит!C:C)</f>
        <v>AHMA3BW101BG</v>
      </c>
      <c r="D7" s="154" t="str">
        <f>_xlfn.XLOOKUP(Себес!A7,Юнит!A:A,Юнит!D:D)</f>
        <v>Мешки 3 шт.</v>
      </c>
      <c r="E7" s="181">
        <f>_xlfn.XLOOKUP(A7,Юнит!A:A,Юнит!E:E)</f>
        <v>2038627692689</v>
      </c>
      <c r="F7" s="415">
        <f>IFERROR(ROUNDUP(_xlfn.XLOOKUP($A7,Юнит!$A:$A,Юнит!$F:$F,0,0),0),0)</f>
        <v>211</v>
      </c>
      <c r="G7" s="416" t="str">
        <f t="shared" si="0"/>
        <v>WB 177404837/OZ 2419349262/Мешки 3 шт./AHMA3BW101BG/2038627692689</v>
      </c>
    </row>
    <row r="8" spans="1:7" x14ac:dyDescent="0.25">
      <c r="A8" s="54">
        <f>Юнит!A11</f>
        <v>177405495</v>
      </c>
      <c r="B8" s="54">
        <f>_xlfn.XLOOKUP(E8,Юнит!E:E,Юнит!B:B)</f>
        <v>2576041357</v>
      </c>
      <c r="C8" s="54" t="str">
        <f>_xlfn.XLOOKUP(A8,Юнит!A:A,Юнит!C:C)</f>
        <v>AHMA3BW102BG</v>
      </c>
      <c r="D8" s="154" t="str">
        <f>_xlfn.XLOOKUP(Себес!A8,Юнит!A:A,Юнит!D:D)</f>
        <v>Мешки/деликат 3 шт.</v>
      </c>
      <c r="E8" s="181">
        <f>_xlfn.XLOOKUP(A8,Юнит!A:A,Юнит!E:E)</f>
        <v>2038627713902</v>
      </c>
      <c r="F8" s="415">
        <f>IFERROR(ROUNDUP(_xlfn.XLOOKUP($A8,Юнит!$A:$A,Юнит!$F:$F,0,0),0),0)</f>
        <v>196</v>
      </c>
      <c r="G8" s="416" t="str">
        <f t="shared" si="0"/>
        <v>WB 177405495/OZ 2576041357/Мешки/деликат 3 шт./AHMA3BW102BG/2038627713902</v>
      </c>
    </row>
    <row r="9" spans="1:7" x14ac:dyDescent="0.25">
      <c r="A9" s="54">
        <f>Юнит!A12</f>
        <v>176721350</v>
      </c>
      <c r="B9" s="54">
        <f>_xlfn.XLOOKUP(E9,Юнит!E:E,Юнит!B:B)</f>
        <v>2419349585</v>
      </c>
      <c r="C9" s="54" t="str">
        <f>_xlfn.XLOOKUP(A9,Юнит!A:A,Юнит!C:C)</f>
        <v>AHMA3BW201WH</v>
      </c>
      <c r="D9" s="154" t="str">
        <f>_xlfn.XLOOKUP(Себес!A9,Юнит!A:A,Юнит!D:D)</f>
        <v>Мешки/шнурок мелк 3 шт.</v>
      </c>
      <c r="E9" s="181">
        <f>_xlfn.XLOOKUP(A9,Юнит!A:A,Юнит!E:E)</f>
        <v>2038606201642</v>
      </c>
      <c r="F9" s="415">
        <f>IFERROR(ROUNDUP(_xlfn.XLOOKUP($A9,Юнит!$A:$A,Юнит!$F:$F,0,0),0),0)</f>
        <v>184</v>
      </c>
      <c r="G9" s="416" t="str">
        <f t="shared" si="0"/>
        <v>WB 176721350/OZ 2419349585/Мешки/шнурок мелк 3 шт./AHMA3BW201WH/2038606201642</v>
      </c>
    </row>
    <row r="10" spans="1:7" x14ac:dyDescent="0.25">
      <c r="A10" s="54">
        <f>Юнит!A13</f>
        <v>176723275</v>
      </c>
      <c r="B10" s="54">
        <f>_xlfn.XLOOKUP(E10,Юнит!E:E,Юнит!B:B)</f>
        <v>2419349501</v>
      </c>
      <c r="C10" s="54" t="str">
        <f>_xlfn.XLOOKUP(A10,Юнит!A:A,Юнит!C:C)</f>
        <v>AHMA3BW202WH</v>
      </c>
      <c r="D10" s="154" t="str">
        <f>_xlfn.XLOOKUP(Себес!A10,Юнит!A:A,Юнит!D:D)</f>
        <v>Мешки/шнурок крупн 3 шт.</v>
      </c>
      <c r="E10" s="181">
        <f>_xlfn.XLOOKUP(A10,Юнит!A:A,Юнит!E:E)</f>
        <v>2038606256161</v>
      </c>
      <c r="F10" s="415">
        <f>IFERROR(ROUNDUP(_xlfn.XLOOKUP($A10,Юнит!$A:$A,Юнит!$F:$F,0,0),0),0)</f>
        <v>184</v>
      </c>
      <c r="G10" s="416" t="str">
        <f t="shared" si="0"/>
        <v>WB 176723275/OZ 2419349501/Мешки/шнурок крупн 3 шт./AHMA3BW202WH/2038606256161</v>
      </c>
    </row>
    <row r="11" spans="1:7" x14ac:dyDescent="0.25">
      <c r="A11" s="54">
        <f>Юнит!A14</f>
        <v>204615141</v>
      </c>
      <c r="B11" s="54">
        <f>_xlfn.XLOOKUP(E11,Юнит!E:E,Юнит!B:B)</f>
        <v>2419349453</v>
      </c>
      <c r="C11" s="54" t="str">
        <f>_xlfn.XLOOKUP(A11,Юнит!A:A,Юнит!C:C)</f>
        <v>AHMA2BW201WH</v>
      </c>
      <c r="D11" s="154" t="str">
        <f>_xlfn.XLOOKUP(Себес!A11,Юнит!A:A,Юнит!D:D)</f>
        <v>Мешки 2 шт. серый</v>
      </c>
      <c r="E11" s="181">
        <f>_xlfn.XLOOKUP(A11,Юнит!A:A,Юнит!E:E)</f>
        <v>2039404446068</v>
      </c>
      <c r="F11" s="415">
        <f>IFERROR(ROUNDUP(_xlfn.XLOOKUP($A11,Юнит!$A:$A,Юнит!$F:$F,0,0),0),0)</f>
        <v>128</v>
      </c>
      <c r="G11" s="416" t="str">
        <f t="shared" si="0"/>
        <v>WB 204615141/OZ 2419349453/Мешки 2 шт. серый/AHMA2BW201WH/2039404446068</v>
      </c>
    </row>
    <row r="12" spans="1:7" x14ac:dyDescent="0.25">
      <c r="A12" s="54">
        <f>Юнит!A15</f>
        <v>236074677</v>
      </c>
      <c r="B12" s="54">
        <f>_xlfn.XLOOKUP(E12,Юнит!E:E,Юнит!B:B)</f>
        <v>0</v>
      </c>
      <c r="C12" s="54" t="str">
        <f>_xlfn.XLOOKUP(A12,Юнит!A:A,Юнит!C:C)</f>
        <v>AHMA2BW202WH</v>
      </c>
      <c r="D12" s="154" t="str">
        <f>_xlfn.XLOOKUP(Себес!A12,Юнит!A:A,Юнит!D:D)</f>
        <v>Мешки 2 шт. розовый</v>
      </c>
      <c r="E12" s="181">
        <f>_xlfn.XLOOKUP(A12,Юнит!A:A,Юнит!E:E)</f>
        <v>2040278862540</v>
      </c>
      <c r="F12" s="415">
        <f>IFERROR(ROUNDUP(_xlfn.XLOOKUP($A12,Юнит!$A:$A,Юнит!$F:$F,0,0),0),0)</f>
        <v>185</v>
      </c>
      <c r="G12" s="416" t="str">
        <f t="shared" si="0"/>
        <v>WB 236074677/Мешки 2 шт. розовый/AHMA2BW202WH/2040278862540</v>
      </c>
    </row>
    <row r="13" spans="1:7" x14ac:dyDescent="0.25">
      <c r="A13" s="54">
        <f>Юнит!A16</f>
        <v>236929187</v>
      </c>
      <c r="B13" s="54">
        <f>_xlfn.XLOOKUP(E13,Юнит!E:E,Юнит!B:B)</f>
        <v>2419349360</v>
      </c>
      <c r="C13" s="54" t="str">
        <f>_xlfn.XLOOKUP(A13,Юнит!A:A,Юнит!C:C)</f>
        <v>AHMA1BW112WH</v>
      </c>
      <c r="D13" s="154" t="str">
        <f>_xlfn.XLOOKUP(Себес!A13,Юнит!A:A,Юнит!D:D)</f>
        <v>Мешок 60*80 крупн</v>
      </c>
      <c r="E13" s="181">
        <f>_xlfn.XLOOKUP(A13,Юнит!A:A,Юнит!E:E)</f>
        <v>2040335626849</v>
      </c>
      <c r="F13" s="415">
        <f>IFERROR(ROUNDUP(_xlfn.XLOOKUP($A13,Юнит!$A:$A,Юнит!$F:$F,0,0),0),0)</f>
        <v>108</v>
      </c>
      <c r="G13" s="416" t="str">
        <f t="shared" si="0"/>
        <v>WB 236929187/OZ 2419349360/Мешок 60*80 крупн/AHMA1BW112WH/2040335626849</v>
      </c>
    </row>
    <row r="14" spans="1:7" x14ac:dyDescent="0.25">
      <c r="A14" s="54">
        <f>Юнит!A17</f>
        <v>236929188</v>
      </c>
      <c r="B14" s="54">
        <f>_xlfn.XLOOKUP(E14,Юнит!E:E,Юнит!B:B)</f>
        <v>2419349422</v>
      </c>
      <c r="C14" s="54" t="str">
        <f>_xlfn.XLOOKUP(A14,Юнит!A:A,Юнит!C:C)</f>
        <v>AHMA1BW111WH</v>
      </c>
      <c r="D14" s="154" t="str">
        <f>_xlfn.XLOOKUP(Себес!A14,Юнит!A:A,Юнит!D:D)</f>
        <v>Мешок 60*80 мелк</v>
      </c>
      <c r="E14" s="181">
        <f>_xlfn.XLOOKUP(A14,Юнит!A:A,Юнит!E:E)</f>
        <v>2040335648124</v>
      </c>
      <c r="F14" s="415">
        <f>IFERROR(ROUNDUP(_xlfn.XLOOKUP($A14,Юнит!$A:$A,Юнит!$F:$F,0,0),0),0)</f>
        <v>108</v>
      </c>
      <c r="G14" s="416" t="str">
        <f t="shared" si="0"/>
        <v>WB 236929188/OZ 2419349422/Мешок 60*80 мелк/AHMA1BW111WH/2040335648124</v>
      </c>
    </row>
    <row r="15" spans="1:7" x14ac:dyDescent="0.25">
      <c r="A15" s="54">
        <f>Юнит!A18</f>
        <v>239235150</v>
      </c>
      <c r="B15" s="54">
        <f>_xlfn.XLOOKUP(E15,Юнит!E:E,Юнит!B:B)</f>
        <v>0</v>
      </c>
      <c r="C15" s="54" t="str">
        <f>_xlfn.XLOOKUP(A15,Юнит!A:A,Юнит!C:C)</f>
        <v>AHMA1BW301WH</v>
      </c>
      <c r="D15" s="154" t="str">
        <f>_xlfn.XLOOKUP(Себес!A15,Юнит!A:A,Юнит!D:D)</f>
        <v>Мешок для обуви L - 30 см</v>
      </c>
      <c r="E15" s="181">
        <f>_xlfn.XLOOKUP(A15,Юнит!A:A,Юнит!E:E)</f>
        <v>2040478720961</v>
      </c>
      <c r="F15" s="415">
        <f>IFERROR(ROUNDUP(_xlfn.XLOOKUP($A15,Юнит!$A:$A,Юнит!$F:$F,0,0),0),0)</f>
        <v>115</v>
      </c>
      <c r="G15" s="416" t="str">
        <f t="shared" si="0"/>
        <v>WB 239235150/Мешок для обуви L - 30 см/AHMA1BW301WH/2040478720961</v>
      </c>
    </row>
    <row r="16" spans="1:7" x14ac:dyDescent="0.25">
      <c r="A16" s="54">
        <f>Юнит!A19</f>
        <v>239233529</v>
      </c>
      <c r="B16" s="54">
        <f>_xlfn.XLOOKUP(E16,Юнит!E:E,Юнит!B:B)</f>
        <v>0</v>
      </c>
      <c r="C16" s="54" t="str">
        <f>_xlfn.XLOOKUP(A16,Юнит!A:A,Юнит!C:C)</f>
        <v>AHMA1BW302WH</v>
      </c>
      <c r="D16" s="154" t="str">
        <f>_xlfn.XLOOKUP(Себес!A16,Юнит!A:A,Юнит!D:D)</f>
        <v>Мешок для обуви XL - 35 см</v>
      </c>
      <c r="E16" s="181">
        <f>_xlfn.XLOOKUP(A16,Юнит!A:A,Юнит!E:E)</f>
        <v>2040478696884</v>
      </c>
      <c r="F16" s="415">
        <f>IFERROR(ROUNDUP(_xlfn.XLOOKUP($A16,Юнит!$A:$A,Юнит!$F:$F,0,0),0),0)</f>
        <v>144</v>
      </c>
      <c r="G16" s="416" t="str">
        <f t="shared" si="0"/>
        <v>WB 239233529/Мешок для обуви XL - 35 см/AHMA1BW302WH/2040478696884</v>
      </c>
    </row>
    <row r="17" spans="1:7" x14ac:dyDescent="0.25">
      <c r="A17" s="54">
        <f>Юнит!A20</f>
        <v>173605843</v>
      </c>
      <c r="B17" s="54">
        <f>_xlfn.XLOOKUP(E17,Юнит!E:E,Юнит!B:B)</f>
        <v>1597441701</v>
      </c>
      <c r="C17" s="54" t="str">
        <f>_xlfn.XLOOKUP(A17,Юнит!A:A,Юнит!C:C)</f>
        <v>ACRH1MS101RJ</v>
      </c>
      <c r="D17" s="154" t="str">
        <f>_xlfn.XLOOKUP(Себес!A17,Юнит!A:A,Юнит!D:D)</f>
        <v>Массажер для пальцев</v>
      </c>
      <c r="E17" s="181">
        <f>_xlfn.XLOOKUP(A17,Юнит!A:A,Юнит!E:E)</f>
        <v>2038430289250</v>
      </c>
      <c r="F17" s="415">
        <f>IFERROR(ROUNDUP(_xlfn.XLOOKUP($A17,Юнит!$A:$A,Юнит!$F:$F,0,0),0),0)</f>
        <v>81</v>
      </c>
      <c r="G17" s="416" t="str">
        <f t="shared" si="0"/>
        <v>WB 173605843/OZ 1597441701/Массажер для пальцев/ACRH1MS101RJ/2038430289250</v>
      </c>
    </row>
    <row r="18" spans="1:7" x14ac:dyDescent="0.25">
      <c r="A18" s="54">
        <f>Юнит!A21</f>
        <v>223420736</v>
      </c>
      <c r="B18" s="54">
        <f>_xlfn.XLOOKUP(E18,Юнит!E:E,Юнит!B:B)</f>
        <v>2415742732</v>
      </c>
      <c r="C18" s="54" t="str">
        <f>_xlfn.XLOOKUP(A18,Юнит!A:A,Юнит!C:C)</f>
        <v>ACRB1MS101RJ</v>
      </c>
      <c r="D18" s="154" t="str">
        <f>_xlfn.XLOOKUP(Себес!A18,Юнит!A:A,Юнит!D:D)</f>
        <v>Массажер для тела оранжевый</v>
      </c>
      <c r="E18" s="181">
        <f>_xlfn.XLOOKUP(A18,Юнит!A:A,Юнит!E:E)</f>
        <v>2039813223373</v>
      </c>
      <c r="F18" s="415">
        <f>IFERROR(ROUNDUP(_xlfn.XLOOKUP($A18,Юнит!$A:$A,Юнит!$F:$F,0,0),0),0)</f>
        <v>166</v>
      </c>
      <c r="G18" s="416" t="str">
        <f t="shared" si="0"/>
        <v>WB 223420736/OZ 2415742732/Массажер для тела оранжевый/ACRB1MS101RJ/2039813223373</v>
      </c>
    </row>
    <row r="19" spans="1:7" x14ac:dyDescent="0.25">
      <c r="A19" s="54">
        <f>Юнит!A22</f>
        <v>275208801</v>
      </c>
      <c r="B19" s="54">
        <f>_xlfn.XLOOKUP(E19,Юнит!E:E,Юнит!B:B)</f>
        <v>2415742511</v>
      </c>
      <c r="C19" s="54" t="str">
        <f>_xlfn.XLOOKUP(A19,Юнит!A:A,Юнит!C:C)</f>
        <v>ACRB1MS101PN</v>
      </c>
      <c r="D19" s="154" t="str">
        <f>_xlfn.XLOOKUP(Себес!A19,Юнит!A:A,Юнит!D:D)</f>
        <v>Массажер для тела розовый</v>
      </c>
      <c r="E19" s="181">
        <f>_xlfn.XLOOKUP(A19,Юнит!A:A,Юнит!E:E)</f>
        <v>2041591042329</v>
      </c>
      <c r="F19" s="415">
        <f>IFERROR(ROUNDUP(_xlfn.XLOOKUP($A19,Юнит!$A:$A,Юнит!$F:$F,0,0),0),0)</f>
        <v>166</v>
      </c>
      <c r="G19" s="416" t="str">
        <f t="shared" si="0"/>
        <v>WB 275208801/OZ 2415742511/Массажер для тела розовый/ACRB1MS101PN/2041591042329</v>
      </c>
    </row>
    <row r="20" spans="1:7" x14ac:dyDescent="0.25">
      <c r="A20" s="54">
        <f>Юнит!A23</f>
        <v>275208802</v>
      </c>
      <c r="B20" s="54">
        <f>_xlfn.XLOOKUP(E20,Юнит!E:E,Юнит!B:B)</f>
        <v>2415742636</v>
      </c>
      <c r="C20" s="54" t="str">
        <f>_xlfn.XLOOKUP(A20,Юнит!A:A,Юнит!C:C)</f>
        <v>ACRB1MS101BL</v>
      </c>
      <c r="D20" s="154" t="str">
        <f>_xlfn.XLOOKUP(Себес!A20,Юнит!A:A,Юнит!D:D)</f>
        <v>Массажер для тела голубой</v>
      </c>
      <c r="E20" s="181">
        <f>_xlfn.XLOOKUP(A20,Юнит!A:A,Юнит!E:E)</f>
        <v>2041591055954</v>
      </c>
      <c r="F20" s="415">
        <f>IFERROR(ROUNDUP(_xlfn.XLOOKUP($A20,Юнит!$A:$A,Юнит!$F:$F,0,0),0),0)</f>
        <v>166</v>
      </c>
      <c r="G20" s="416" t="str">
        <f t="shared" si="0"/>
        <v>WB 275208802/OZ 2415742636/Массажер для тела голубой/ACRB1MS101BL/2041591055954</v>
      </c>
    </row>
    <row r="21" spans="1:7" x14ac:dyDescent="0.25">
      <c r="A21" s="54">
        <f>Юнит!A24</f>
        <v>236072835</v>
      </c>
      <c r="B21" s="54">
        <f>_xlfn.XLOOKUP(E21,Юнит!E:E,Юнит!B:B)</f>
        <v>1980924906</v>
      </c>
      <c r="C21" s="54" t="str">
        <f>_xlfn.XLOOKUP(A21,Юнит!A:A,Юнит!C:C)</f>
        <v>ACRB1MS106WH</v>
      </c>
      <c r="D21" s="154" t="str">
        <f>_xlfn.XLOOKUP(Себес!A21,Юнит!A:A,Юнит!D:D)</f>
        <v>Мяч с шипами белый 6 см</v>
      </c>
      <c r="E21" s="181">
        <f>_xlfn.XLOOKUP(A21,Юнит!A:A,Юнит!E:E)</f>
        <v>2040278804496</v>
      </c>
      <c r="F21" s="415">
        <f>IFERROR(ROUNDUP(_xlfn.XLOOKUP($A21,Юнит!$A:$A,Юнит!$F:$F,0,0),0),0)</f>
        <v>74</v>
      </c>
      <c r="G21" s="416" t="str">
        <f t="shared" si="0"/>
        <v>WB 236072835/OZ 1980924906/Мяч с шипами белый 6 см/ACRB1MS106WH/2040278804496</v>
      </c>
    </row>
    <row r="22" spans="1:7" x14ac:dyDescent="0.25">
      <c r="A22" s="54">
        <f>Юнит!A25</f>
        <v>236072836</v>
      </c>
      <c r="B22" s="54">
        <f>_xlfn.XLOOKUP(E22,Юнит!E:E,Юнит!B:B)</f>
        <v>1980925084</v>
      </c>
      <c r="C22" s="54" t="str">
        <f>_xlfn.XLOOKUP(A22,Юнит!A:A,Юнит!C:C)</f>
        <v>ACRB1MS106PN</v>
      </c>
      <c r="D22" s="154" t="str">
        <f>_xlfn.XLOOKUP(Себес!A22,Юнит!A:A,Юнит!D:D)</f>
        <v>Мяч с шипами розовый 6 см</v>
      </c>
      <c r="E22" s="181">
        <f>_xlfn.XLOOKUP(A22,Юнит!A:A,Юнит!E:E)</f>
        <v>2040278810534</v>
      </c>
      <c r="F22" s="415">
        <f>IFERROR(ROUNDUP(_xlfn.XLOOKUP($A22,Юнит!$A:$A,Юнит!$F:$F,0,0),0),0)</f>
        <v>74</v>
      </c>
      <c r="G22" s="416" t="str">
        <f t="shared" si="0"/>
        <v>WB 236072836/OZ 1980925084/Мяч с шипами розовый 6 см/ACRB1MS106PN/2040278810534</v>
      </c>
    </row>
    <row r="23" spans="1:7" x14ac:dyDescent="0.25">
      <c r="A23" s="54">
        <f>Юнит!A26</f>
        <v>236072834</v>
      </c>
      <c r="B23" s="54">
        <f>_xlfn.XLOOKUP(E23,Юнит!E:E,Юнит!B:B)</f>
        <v>1980924909</v>
      </c>
      <c r="C23" s="54" t="str">
        <f>_xlfn.XLOOKUP(A23,Юнит!A:A,Юнит!C:C)</f>
        <v>ACRB1MS106BL</v>
      </c>
      <c r="D23" s="154" t="str">
        <f>_xlfn.XLOOKUP(Себес!A23,Юнит!A:A,Юнит!D:D)</f>
        <v>Мяч с шипами голубой 6 см</v>
      </c>
      <c r="E23" s="181">
        <f>_xlfn.XLOOKUP(A23,Юнит!A:A,Юнит!E:E)</f>
        <v>2040278804649</v>
      </c>
      <c r="F23" s="415">
        <f>IFERROR(ROUNDUP(_xlfn.XLOOKUP($A23,Юнит!$A:$A,Юнит!$F:$F,0,0),0),0)</f>
        <v>74</v>
      </c>
      <c r="G23" s="416" t="str">
        <f t="shared" si="0"/>
        <v>WB 236072834/OZ 1980924909/Мяч с шипами голубой 6 см/ACRB1MS106BL/2040278804649</v>
      </c>
    </row>
    <row r="24" spans="1:7" x14ac:dyDescent="0.25">
      <c r="A24" s="54">
        <f>Юнит!A27</f>
        <v>223671295</v>
      </c>
      <c r="B24" s="54">
        <f>_xlfn.XLOOKUP(E24,Юнит!E:E,Юнит!B:B)</f>
        <v>1980924947</v>
      </c>
      <c r="C24" s="54" t="str">
        <f>_xlfn.XLOOKUP(A24,Юнит!A:A,Юнит!C:C)</f>
        <v>ACRB1MS106RJ</v>
      </c>
      <c r="D24" s="154" t="str">
        <f>_xlfn.XLOOKUP(Себес!A24,Юнит!A:A,Юнит!D:D)</f>
        <v>Мяч с шипами оранжевый 6 см</v>
      </c>
      <c r="E24" s="181">
        <f>_xlfn.XLOOKUP(A24,Юнит!A:A,Юнит!E:E)</f>
        <v>2039818580389</v>
      </c>
      <c r="F24" s="415">
        <f>IFERROR(ROUNDUP(_xlfn.XLOOKUP($A24,Юнит!$A:$A,Юнит!$F:$F,0,0),0),0)</f>
        <v>74</v>
      </c>
      <c r="G24" s="416" t="str">
        <f t="shared" si="0"/>
        <v>WB 223671295/OZ 1980924947/Мяч с шипами оранжевый 6 см/ACRB1MS106RJ/2039818580389</v>
      </c>
    </row>
    <row r="25" spans="1:7" x14ac:dyDescent="0.25">
      <c r="A25" s="54">
        <f>Юнит!A28</f>
        <v>370591238</v>
      </c>
      <c r="B25" s="54">
        <f>_xlfn.XLOOKUP(E25,Юнит!E:E,Юнит!B:B)</f>
        <v>1980924996</v>
      </c>
      <c r="C25" s="54" t="str">
        <f>_xlfn.XLOOKUP(A25,Юнит!A:A,Юнит!C:C)</f>
        <v>ACRB1MS106BС</v>
      </c>
      <c r="D25" s="154" t="str">
        <f>_xlfn.XLOOKUP(Себес!A25,Юнит!A:A,Юнит!D:D)</f>
        <v>Мяч с шипами черный 6 см</v>
      </c>
      <c r="E25" s="181">
        <f>_xlfn.XLOOKUP(A25,Юнит!A:A,Юнит!E:E)</f>
        <v>2043369663040</v>
      </c>
      <c r="F25" s="415">
        <f>IFERROR(ROUNDUP(_xlfn.XLOOKUP($A25,Юнит!$A:$A,Юнит!$F:$F,0,0),0),0)</f>
        <v>62</v>
      </c>
      <c r="G25" s="416" t="str">
        <f t="shared" si="0"/>
        <v>WB 370591238/OZ 1980924996/Мяч с шипами черный 6 см/ACRB1MS106BС/2043369663040</v>
      </c>
    </row>
    <row r="26" spans="1:7" x14ac:dyDescent="0.25">
      <c r="A26" s="54">
        <f>Юнит!A29</f>
        <v>419145391</v>
      </c>
      <c r="B26" s="54">
        <f>_xlfn.XLOOKUP(E26,Юнит!E:E,Юнит!B:B)</f>
        <v>2415742768</v>
      </c>
      <c r="C26" s="54" t="str">
        <f>_xlfn.XLOOKUP(A26,Юнит!A:A,Юнит!C:C)</f>
        <v>ACRB1MS107WH</v>
      </c>
      <c r="D26" s="154" t="str">
        <f>_xlfn.XLOOKUP(Себес!A26,Юнит!A:A,Юнит!D:D)</f>
        <v>Мяч с шипами белый 7 см</v>
      </c>
      <c r="E26" s="181">
        <f>_xlfn.XLOOKUP(A26,Юнит!A:A,Юнит!E:E)</f>
        <v>2044025326637</v>
      </c>
      <c r="F26" s="415">
        <f>IFERROR(ROUNDUP(_xlfn.XLOOKUP($A26,Юнит!$A:$A,Юнит!$F:$F,0,0),0),0)</f>
        <v>73</v>
      </c>
      <c r="G26" s="416" t="str">
        <f t="shared" si="0"/>
        <v>WB 419145391/OZ 2415742768/Мяч с шипами белый 7 см/ACRB1MS107WH/2044025326637</v>
      </c>
    </row>
    <row r="27" spans="1:7" x14ac:dyDescent="0.25">
      <c r="A27" s="54">
        <f>Юнит!A30</f>
        <v>419145389</v>
      </c>
      <c r="B27" s="54">
        <f>_xlfn.XLOOKUP(E27,Юнит!E:E,Юнит!B:B)</f>
        <v>2415742912</v>
      </c>
      <c r="C27" s="54" t="str">
        <f>_xlfn.XLOOKUP(A27,Юнит!A:A,Юнит!C:C)</f>
        <v>ACRB1MS107PN</v>
      </c>
      <c r="D27" s="154" t="str">
        <f>_xlfn.XLOOKUP(Себес!A27,Юнит!A:A,Юнит!D:D)</f>
        <v>Мяч с шипами розовый 7 см</v>
      </c>
      <c r="E27" s="181">
        <f>_xlfn.XLOOKUP(A27,Юнит!A:A,Юнит!E:E)</f>
        <v>2044025316447</v>
      </c>
      <c r="F27" s="415">
        <f>IFERROR(ROUNDUP(_xlfn.XLOOKUP($A27,Юнит!$A:$A,Юнит!$F:$F,0,0),0),0)</f>
        <v>73</v>
      </c>
      <c r="G27" s="416" t="str">
        <f t="shared" si="0"/>
        <v>WB 419145389/OZ 2415742912/Мяч с шипами розовый 7 см/ACRB1MS107PN/2044025316447</v>
      </c>
    </row>
    <row r="28" spans="1:7" x14ac:dyDescent="0.25">
      <c r="A28" s="54">
        <f>Юнит!A31</f>
        <v>419145748</v>
      </c>
      <c r="B28" s="54">
        <f>_xlfn.XLOOKUP(E28,Юнит!E:E,Юнит!B:B)</f>
        <v>2415742611</v>
      </c>
      <c r="C28" s="54" t="str">
        <f>_xlfn.XLOOKUP(A28,Юнит!A:A,Юнит!C:C)</f>
        <v>ACRB1MS107BL</v>
      </c>
      <c r="D28" s="154" t="str">
        <f>_xlfn.XLOOKUP(Себес!A28,Юнит!A:A,Юнит!D:D)</f>
        <v>Мяч с шипами голубой 7 см</v>
      </c>
      <c r="E28" s="181">
        <f>_xlfn.XLOOKUP(A28,Юнит!A:A,Юнит!E:E)</f>
        <v>2044025338661</v>
      </c>
      <c r="F28" s="415">
        <f>IFERROR(ROUNDUP(_xlfn.XLOOKUP($A28,Юнит!$A:$A,Юнит!$F:$F,0,0),0),0)</f>
        <v>73</v>
      </c>
      <c r="G28" s="416" t="str">
        <f t="shared" si="0"/>
        <v>WB 419145748/OZ 2415742611/Мяч с шипами голубой 7 см/ACRB1MS107BL/2044025338661</v>
      </c>
    </row>
    <row r="29" spans="1:7" x14ac:dyDescent="0.25">
      <c r="A29" s="54">
        <f>Юнит!A32</f>
        <v>419141548</v>
      </c>
      <c r="B29" s="54">
        <f>_xlfn.XLOOKUP(E29,Юнит!E:E,Юнит!B:B)</f>
        <v>2415742942</v>
      </c>
      <c r="C29" s="54" t="str">
        <f>_xlfn.XLOOKUP(A29,Юнит!A:A,Юнит!C:C)</f>
        <v>ACRB1MS107RJ</v>
      </c>
      <c r="D29" s="154" t="str">
        <f>_xlfn.XLOOKUP(Себес!A29,Юнит!A:A,Юнит!D:D)</f>
        <v>Мяч с шипами оранжевый 7 см</v>
      </c>
      <c r="E29" s="181">
        <f>_xlfn.XLOOKUP(A29,Юнит!A:A,Юнит!E:E)</f>
        <v>2044025288003</v>
      </c>
      <c r="F29" s="415">
        <f>IFERROR(ROUNDUP(_xlfn.XLOOKUP($A29,Юнит!$A:$A,Юнит!$F:$F,0,0),0),0)</f>
        <v>73</v>
      </c>
      <c r="G29" s="416" t="str">
        <f t="shared" si="0"/>
        <v>WB 419141548/OZ 2415742942/Мяч с шипами оранжевый 7 см/ACRB1MS107RJ/2044025288003</v>
      </c>
    </row>
    <row r="30" spans="1:7" x14ac:dyDescent="0.25">
      <c r="A30" s="54">
        <f>Юнит!A33</f>
        <v>419145985</v>
      </c>
      <c r="B30" s="54">
        <f>_xlfn.XLOOKUP(E30,Юнит!E:E,Юнит!B:B)</f>
        <v>2415742795</v>
      </c>
      <c r="C30" s="54" t="str">
        <f>_xlfn.XLOOKUP(A30,Юнит!A:A,Юнит!C:C)</f>
        <v>ACRB1MS107BС</v>
      </c>
      <c r="D30" s="154" t="str">
        <f>_xlfn.XLOOKUP(Себес!A30,Юнит!A:A,Юнит!D:D)</f>
        <v>Мяч с шипами черный 7 см</v>
      </c>
      <c r="E30" s="181">
        <f>_xlfn.XLOOKUP(A30,Юнит!A:A,Юнит!E:E)</f>
        <v>2044025344532</v>
      </c>
      <c r="F30" s="415">
        <f>IFERROR(ROUNDUP(_xlfn.XLOOKUP($A30,Юнит!$A:$A,Юнит!$F:$F,0,0),0),0)</f>
        <v>73</v>
      </c>
      <c r="G30" s="416" t="str">
        <f t="shared" si="0"/>
        <v>WB 419145985/OZ 2415742795/Мяч с шипами черный 7 см/ACRB1MS107BС/2044025344532</v>
      </c>
    </row>
    <row r="31" spans="1:7" x14ac:dyDescent="0.25">
      <c r="A31" s="54">
        <f>Юнит!A34</f>
        <v>419145390</v>
      </c>
      <c r="B31" s="54">
        <f>_xlfn.XLOOKUP(E31,Юнит!E:E,Юнит!B:B)</f>
        <v>2415742470</v>
      </c>
      <c r="C31" s="54" t="str">
        <f>_xlfn.XLOOKUP(A31,Юнит!A:A,Юнит!C:C)</f>
        <v>ACRB1MS109PN</v>
      </c>
      <c r="D31" s="154" t="str">
        <f>_xlfn.XLOOKUP(Себес!A31,Юнит!A:A,Юнит!D:D)</f>
        <v>Мяч с шипами розовый 9 см</v>
      </c>
      <c r="E31" s="181">
        <f>_xlfn.XLOOKUP(A31,Юнит!A:A,Юнит!E:E)</f>
        <v>2044025321588</v>
      </c>
      <c r="F31" s="415">
        <f>IFERROR(ROUNDUP(_xlfn.XLOOKUP($A31,Юнит!$A:$A,Юнит!$F:$F,0,0),0),0)</f>
        <v>102</v>
      </c>
      <c r="G31" s="416" t="str">
        <f t="shared" si="0"/>
        <v>WB 419145390/OZ 2415742470/Мяч с шипами розовый 9 см/ACRB1MS109PN/2044025321588</v>
      </c>
    </row>
    <row r="32" spans="1:7" x14ac:dyDescent="0.25">
      <c r="A32" s="54">
        <f>Юнит!A35</f>
        <v>419145749</v>
      </c>
      <c r="B32" s="54">
        <f>_xlfn.XLOOKUP(E32,Юнит!E:E,Юнит!B:B)</f>
        <v>2415742615</v>
      </c>
      <c r="C32" s="54" t="str">
        <f>_xlfn.XLOOKUP(A32,Юнит!A:A,Юнит!C:C)</f>
        <v>ACRB1MS109BL</v>
      </c>
      <c r="D32" s="154" t="str">
        <f>_xlfn.XLOOKUP(Себес!A32,Юнит!A:A,Юнит!D:D)</f>
        <v>Мяч с шипами голубой 9 см</v>
      </c>
      <c r="E32" s="181">
        <f>_xlfn.XLOOKUP(A32,Юнит!A:A,Юнит!E:E)</f>
        <v>2044025342057</v>
      </c>
      <c r="F32" s="415">
        <f>IFERROR(ROUNDUP(_xlfn.XLOOKUP($A32,Юнит!$A:$A,Юнит!$F:$F,0,0),0),0)</f>
        <v>102</v>
      </c>
      <c r="G32" s="416" t="str">
        <f t="shared" si="0"/>
        <v>WB 419145749/OZ 2415742615/Мяч с шипами голубой 9 см/ACRB1MS109BL/2044025342057</v>
      </c>
    </row>
    <row r="33" spans="1:7" x14ac:dyDescent="0.25">
      <c r="A33" s="54">
        <f>Юнит!A36</f>
        <v>419141549</v>
      </c>
      <c r="B33" s="54">
        <f>_xlfn.XLOOKUP(E33,Юнит!E:E,Юнит!B:B)</f>
        <v>2415742943</v>
      </c>
      <c r="C33" s="54" t="str">
        <f>_xlfn.XLOOKUP(A33,Юнит!A:A,Юнит!C:C)</f>
        <v>ACRB1MS109RJ</v>
      </c>
      <c r="D33" s="154" t="str">
        <f>_xlfn.XLOOKUP(Себес!A33,Юнит!A:A,Юнит!D:D)</f>
        <v>Мяч с шипами оранжевый 9 см</v>
      </c>
      <c r="E33" s="181">
        <f>_xlfn.XLOOKUP(A33,Юнит!A:A,Юнит!E:E)</f>
        <v>2044025291485</v>
      </c>
      <c r="F33" s="415">
        <f>IFERROR(ROUNDUP(_xlfn.XLOOKUP($A33,Юнит!$A:$A,Юнит!$F:$F,0,0),0),0)</f>
        <v>102</v>
      </c>
      <c r="G33" s="416" t="str">
        <f t="shared" si="0"/>
        <v>WB 419141549/OZ 2415742943/Мяч с шипами оранжевый 9 см/ACRB1MS109RJ/2044025291485</v>
      </c>
    </row>
    <row r="34" spans="1:7" x14ac:dyDescent="0.25">
      <c r="A34" s="54">
        <f>Юнит!A37</f>
        <v>419145986</v>
      </c>
      <c r="B34" s="54">
        <f>_xlfn.XLOOKUP(E34,Юнит!E:E,Юнит!B:B)</f>
        <v>2415742693</v>
      </c>
      <c r="C34" s="54" t="str">
        <f>_xlfn.XLOOKUP(A34,Юнит!A:A,Юнит!C:C)</f>
        <v>ACRB1MS109BС</v>
      </c>
      <c r="D34" s="154" t="str">
        <f>_xlfn.XLOOKUP(Себес!A34,Юнит!A:A,Юнит!D:D)</f>
        <v>Мяч с шипами черный 9 см</v>
      </c>
      <c r="E34" s="181">
        <f>_xlfn.XLOOKUP(A34,Юнит!A:A,Юнит!E:E)</f>
        <v>2044025347953</v>
      </c>
      <c r="F34" s="415">
        <f>IFERROR(ROUNDUP(_xlfn.XLOOKUP($A34,Юнит!$A:$A,Юнит!$F:$F,0,0),0),0)</f>
        <v>102</v>
      </c>
      <c r="G34" s="416" t="str">
        <f t="shared" si="0"/>
        <v>WB 419145986/OZ 2415742693/Мяч с шипами черный 9 см/ACRB1MS109BС/2044025347953</v>
      </c>
    </row>
    <row r="35" spans="1:7" x14ac:dyDescent="0.25">
      <c r="A35" s="54">
        <f>Юнит!A38</f>
        <v>419146579</v>
      </c>
      <c r="B35" s="54">
        <f>_xlfn.XLOOKUP(E35,Юнит!E:E,Юнит!B:B)</f>
        <v>2415742565</v>
      </c>
      <c r="C35" s="54" t="str">
        <f>_xlfn.XLOOKUP(A35,Юнит!A:A,Юнит!C:C)</f>
        <v>ACRB1MS109LI</v>
      </c>
      <c r="D35" s="154" t="str">
        <f>_xlfn.XLOOKUP(Себес!A35,Юнит!A:A,Юнит!D:D)</f>
        <v>Мяч с шипами фиолетовый 9 см</v>
      </c>
      <c r="E35" s="181">
        <f>_xlfn.XLOOKUP(A35,Юнит!A:A,Юнит!E:E)</f>
        <v>2044025354937</v>
      </c>
      <c r="F35" s="415">
        <f>IFERROR(ROUNDUP(_xlfn.XLOOKUP($A35,Юнит!$A:$A,Юнит!$F:$F,0,0),0),0)</f>
        <v>102</v>
      </c>
      <c r="G35" s="416" t="str">
        <f t="shared" si="0"/>
        <v>WB 419146579/OZ 2415742565/Мяч с шипами фиолетовый 9 см/ACRB1MS109LI/2044025354937</v>
      </c>
    </row>
    <row r="36" spans="1:7" x14ac:dyDescent="0.25">
      <c r="A36" s="54">
        <f>Юнит!A39</f>
        <v>340734340</v>
      </c>
      <c r="B36" s="54">
        <f>_xlfn.XLOOKUP(E36,Юнит!E:E,Юнит!B:B)</f>
        <v>2415742594</v>
      </c>
      <c r="C36" s="54" t="str">
        <f>_xlfn.XLOOKUP(A36,Юнит!A:A,Юнит!C:C)</f>
        <v>ACRB1MS103PN</v>
      </c>
      <c r="D36" s="154" t="str">
        <f>_xlfn.XLOOKUP(Себес!A36,Юнит!A:A,Юнит!D:D)</f>
        <v>Мяч гладкий розовый</v>
      </c>
      <c r="E36" s="181">
        <f>_xlfn.XLOOKUP(A36,Юнит!A:A,Юнит!E:E)</f>
        <v>2042985583893</v>
      </c>
      <c r="F36" s="415">
        <f>IFERROR(ROUNDUP(_xlfn.XLOOKUP($A36,Юнит!$A:$A,Юнит!$F:$F,0,0),0),0)</f>
        <v>96</v>
      </c>
      <c r="G36" s="416" t="str">
        <f t="shared" si="0"/>
        <v>WB 340734340/OZ 2415742594/Мяч гладкий розовый/ACRB1MS103PN/2042985583893</v>
      </c>
    </row>
    <row r="37" spans="1:7" x14ac:dyDescent="0.25">
      <c r="A37" s="54">
        <f>Юнит!A40</f>
        <v>340741532</v>
      </c>
      <c r="B37" s="54">
        <f>_xlfn.XLOOKUP(E37,Юнит!E:E,Юнит!B:B)</f>
        <v>2415743200</v>
      </c>
      <c r="C37" s="54" t="str">
        <f>_xlfn.XLOOKUP(A37,Юнит!A:A,Юнит!C:C)</f>
        <v>ACRB1MS103BL</v>
      </c>
      <c r="D37" s="154" t="str">
        <f>_xlfn.XLOOKUP(Себес!A37,Юнит!A:A,Юнит!D:D)</f>
        <v>Мяч гладкий голубой</v>
      </c>
      <c r="E37" s="181">
        <f>_xlfn.XLOOKUP(A37,Юнит!A:A,Юнит!E:E)</f>
        <v>2042986356632</v>
      </c>
      <c r="F37" s="415">
        <f>IFERROR(ROUNDUP(_xlfn.XLOOKUP($A37,Юнит!$A:$A,Юнит!$F:$F,0,0),0),0)</f>
        <v>96</v>
      </c>
      <c r="G37" s="416" t="str">
        <f t="shared" si="0"/>
        <v>WB 340741532/OZ 2415743200/Мяч гладкий голубой/ACRB1MS103BL/2042986356632</v>
      </c>
    </row>
    <row r="38" spans="1:7" x14ac:dyDescent="0.25">
      <c r="A38" s="54">
        <f>Юнит!A41</f>
        <v>340743352</v>
      </c>
      <c r="B38" s="54">
        <f>_xlfn.XLOOKUP(E38,Юнит!E:E,Юнит!B:B)</f>
        <v>2415742578</v>
      </c>
      <c r="C38" s="54" t="str">
        <f>_xlfn.XLOOKUP(A38,Юнит!A:A,Юнит!C:C)</f>
        <v>ACRB1MS103LI</v>
      </c>
      <c r="D38" s="154" t="str">
        <f>_xlfn.XLOOKUP(Себес!A38,Юнит!A:A,Юнит!D:D)</f>
        <v>Мяч гладкий сиреневый</v>
      </c>
      <c r="E38" s="181">
        <f>_xlfn.XLOOKUP(A38,Юнит!A:A,Юнит!E:E)</f>
        <v>2042986372359</v>
      </c>
      <c r="F38" s="415">
        <f>IFERROR(ROUNDUP(_xlfn.XLOOKUP($A38,Юнит!$A:$A,Юнит!$F:$F,0,0),0),0)</f>
        <v>96</v>
      </c>
      <c r="G38" s="416" t="str">
        <f t="shared" si="0"/>
        <v>WB 340743352/OZ 2415742578/Мяч гладкий сиреневый/ACRB1MS103LI/2042986372359</v>
      </c>
    </row>
    <row r="39" spans="1:7" x14ac:dyDescent="0.25">
      <c r="A39" s="54">
        <f>Юнит!A42</f>
        <v>340743911</v>
      </c>
      <c r="B39" s="54">
        <f>_xlfn.XLOOKUP(E39,Юнит!E:E,Юнит!B:B)</f>
        <v>2415742537</v>
      </c>
      <c r="C39" s="54" t="str">
        <f>_xlfn.XLOOKUP(A39,Юнит!A:A,Юнит!C:C)</f>
        <v>ACRB1MS103RJ</v>
      </c>
      <c r="D39" s="154" t="str">
        <f>_xlfn.XLOOKUP(Себес!A39,Юнит!A:A,Юнит!D:D)</f>
        <v>Мяч гладкий оранжевый</v>
      </c>
      <c r="E39" s="181">
        <f>_xlfn.XLOOKUP(A39,Юнит!A:A,Юнит!E:E)</f>
        <v>2042986377583</v>
      </c>
      <c r="F39" s="415">
        <f>IFERROR(ROUNDUP(_xlfn.XLOOKUP($A39,Юнит!$A:$A,Юнит!$F:$F,0,0),0),0)</f>
        <v>97</v>
      </c>
      <c r="G39" s="416" t="str">
        <f t="shared" si="0"/>
        <v>WB 340743911/OZ 2415742537/Мяч гладкий оранжевый/ACRB1MS103RJ/2042986377583</v>
      </c>
    </row>
    <row r="40" spans="1:7" x14ac:dyDescent="0.25">
      <c r="A40" s="54">
        <f>Юнит!A43</f>
        <v>820643010</v>
      </c>
      <c r="B40" s="54">
        <f>_xlfn.XLOOKUP(E40,Юнит!E:E,Юнит!B:B)</f>
        <v>0</v>
      </c>
      <c r="C40" s="54" t="str">
        <f>_xlfn.XLOOKUP(A40,Юнит!A:A,Юнит!C:C)</f>
        <v>ACRB3FR101CL</v>
      </c>
      <c r="D40" s="154" t="str">
        <f>_xlfn.XLOOKUP(Себес!A40,Юнит!A:A,Юнит!D:D)</f>
        <v>Набор эластичных лент 3 шт. в мешке</v>
      </c>
      <c r="E40" s="181">
        <f>_xlfn.XLOOKUP(A40,Юнит!A:A,Юнит!E:E)</f>
        <v>2048933027488</v>
      </c>
      <c r="F40" s="415">
        <f>IFERROR(ROUNDUP(_xlfn.XLOOKUP($A40,Юнит!$A:$A,Юнит!$F:$F,0,0),0),0)</f>
        <v>444</v>
      </c>
      <c r="G40" s="416" t="str">
        <f t="shared" si="0"/>
        <v>WB 820643010/Набор эластичных лент 3 шт. в мешке/ACRB3FR101CL/2048933027488</v>
      </c>
    </row>
    <row r="41" spans="1:7" x14ac:dyDescent="0.25">
      <c r="A41" s="54">
        <f>Юнит!A44</f>
        <v>550539998</v>
      </c>
      <c r="B41" s="54">
        <f>_xlfn.XLOOKUP(E41,Юнит!E:E,Юнит!B:B)</f>
        <v>0</v>
      </c>
      <c r="C41" s="54" t="str">
        <f>_xlfn.XLOOKUP(A41,Юнит!A:A,Юнит!C:C)</f>
        <v>ACRB5FR200CL</v>
      </c>
      <c r="D41" s="154" t="str">
        <f>_xlfn.XLOOKUP(Себес!A41,Юнит!A:A,Юнит!D:D)</f>
        <v>Набор эластичных лент 5 шт. в мешке</v>
      </c>
      <c r="E41" s="181">
        <f>_xlfn.XLOOKUP(A41,Юнит!A:A,Юнит!E:E)</f>
        <v>2046392546618</v>
      </c>
      <c r="F41" s="415">
        <f>IFERROR(ROUNDUP(_xlfn.XLOOKUP($A41,Юнит!$A:$A,Юнит!$F:$F,0,0),0),0)</f>
        <v>487</v>
      </c>
      <c r="G41" s="416" t="str">
        <f t="shared" si="0"/>
        <v>WB 550539998/Набор эластичных лент 5 шт. в мешке/ACRB5FR200CL/2046392546618</v>
      </c>
    </row>
    <row r="42" spans="1:7" x14ac:dyDescent="0.25">
      <c r="A42" s="54">
        <f>Юнит!A45</f>
        <v>550539999</v>
      </c>
      <c r="B42" s="54">
        <f>_xlfn.XLOOKUP(E42,Юнит!E:E,Юнит!B:B)</f>
        <v>0</v>
      </c>
      <c r="C42" s="54" t="str">
        <f>_xlfn.XLOOKUP(A42,Юнит!A:A,Юнит!C:C)</f>
        <v>ACRB4FR300CL</v>
      </c>
      <c r="D42" s="154" t="str">
        <f>_xlfn.XLOOKUP(Себес!A42,Юнит!A:A,Юнит!D:D)</f>
        <v>Набор эластичных лент 4 шт.</v>
      </c>
      <c r="E42" s="181">
        <f>_xlfn.XLOOKUP(A42,Юнит!A:A,Юнит!E:E)</f>
        <v>2046392546632</v>
      </c>
      <c r="F42" s="415">
        <f>IFERROR(ROUNDUP(_xlfn.XLOOKUP($A42,Юнит!$A:$A,Юнит!$F:$F,0,0),0),0)</f>
        <v>363</v>
      </c>
      <c r="G42" s="416" t="str">
        <f t="shared" si="0"/>
        <v>WB 550539999/Набор эластичных лент 4 шт./ACRB4FR300CL/2046392546632</v>
      </c>
    </row>
    <row r="43" spans="1:7" x14ac:dyDescent="0.25">
      <c r="A43" s="54">
        <f>Юнит!A46</f>
        <v>550540000</v>
      </c>
      <c r="B43" s="54">
        <f>_xlfn.XLOOKUP(E43,Юнит!E:E,Юнит!B:B)</f>
        <v>0</v>
      </c>
      <c r="C43" s="54" t="str">
        <f>_xlfn.XLOOKUP(A43,Юнит!A:A,Юнит!C:C)</f>
        <v>ACRB5FR400CL</v>
      </c>
      <c r="D43" s="154" t="str">
        <f>_xlfn.XLOOKUP(Себес!A43,Юнит!A:A,Юнит!D:D)</f>
        <v>Набор эластичных лент 5 шт.</v>
      </c>
      <c r="E43" s="181">
        <f>_xlfn.XLOOKUP(A43,Юнит!A:A,Юнит!E:E)</f>
        <v>2046392546656</v>
      </c>
      <c r="F43" s="415">
        <f>IFERROR(ROUNDUP(_xlfn.XLOOKUP($A43,Юнит!$A:$A,Юнит!$F:$F,0,0),0),0)</f>
        <v>45</v>
      </c>
      <c r="G43" s="416" t="str">
        <f t="shared" si="0"/>
        <v>WB 550540000/Набор эластичных лент 5 шт./ACRB5FR400CL/2046392546656</v>
      </c>
    </row>
    <row r="44" spans="1:7" x14ac:dyDescent="0.25">
      <c r="A44" s="54">
        <f>Юнит!A50</f>
        <v>550445272</v>
      </c>
      <c r="B44" s="54">
        <f>_xlfn.XLOOKUP(E44,Юнит!E:E,Юнит!B:B)</f>
        <v>0</v>
      </c>
      <c r="C44" s="54" t="str">
        <f>_xlfn.XLOOKUP(A44,Юнит!A:A,Юнит!C:C)</f>
        <v>ACRF1KP101BC</v>
      </c>
      <c r="D44" s="154" t="str">
        <f>_xlfn.XLOOKUP(Себес!A44,Юнит!A:A,Юнит!D:D)</f>
        <v>Капа черный/красный - черная коробка</v>
      </c>
      <c r="E44" s="181">
        <f>_xlfn.XLOOKUP(A44,Юнит!A:A,Юнит!E:E)</f>
        <v>2046391283330</v>
      </c>
      <c r="F44" s="415">
        <f>IFERROR(ROUNDUP(_xlfn.XLOOKUP($A44,Юнит!$A:$A,Юнит!$F:$F,0,0),0),0)</f>
        <v>22</v>
      </c>
      <c r="G44" s="416" t="str">
        <f t="shared" si="0"/>
        <v>WB 550445272/Капа черный/красный - черная коробка/ACRF1KP101BC/2046391283330</v>
      </c>
    </row>
    <row r="45" spans="1:7" x14ac:dyDescent="0.25">
      <c r="A45" s="54">
        <f>Юнит!A51</f>
        <v>550445274</v>
      </c>
      <c r="B45" s="54">
        <f>_xlfn.XLOOKUP(E45,Юнит!E:E,Юнит!B:B)</f>
        <v>0</v>
      </c>
      <c r="C45" s="54" t="str">
        <f>_xlfn.XLOOKUP(A45,Юнит!A:A,Юнит!C:C)</f>
        <v>ACRF1KP102BC</v>
      </c>
      <c r="D45" s="154" t="str">
        <f>_xlfn.XLOOKUP(Себес!A45,Юнит!A:A,Юнит!D:D)</f>
        <v>Капа черный/белый-черная коробка</v>
      </c>
      <c r="E45" s="181">
        <f>_xlfn.XLOOKUP(A45,Юнит!A:A,Юнит!E:E)</f>
        <v>2046391283385</v>
      </c>
      <c r="F45" s="415">
        <f>IFERROR(ROUNDUP(_xlfn.XLOOKUP($A45,Юнит!$A:$A,Юнит!$F:$F,0,0),0),0)</f>
        <v>22</v>
      </c>
      <c r="G45" s="416" t="str">
        <f t="shared" si="0"/>
        <v>WB 550445274/Капа черный/белый-черная коробка/ACRF1KP102BC/2046391283385</v>
      </c>
    </row>
    <row r="46" spans="1:7" x14ac:dyDescent="0.25">
      <c r="A46" s="54">
        <f>Юнит!A52</f>
        <v>550445275</v>
      </c>
      <c r="B46" s="54">
        <f>_xlfn.XLOOKUP(E46,Юнит!E:E,Юнит!B:B)</f>
        <v>0</v>
      </c>
      <c r="C46" s="54" t="str">
        <f>_xlfn.XLOOKUP(A46,Юнит!A:A,Юнит!C:C)</f>
        <v>ACRF1KP103BC</v>
      </c>
      <c r="D46" s="154" t="str">
        <f>_xlfn.XLOOKUP(Себес!A46,Юнит!A:A,Юнит!D:D)</f>
        <v>Капа белый/черный</v>
      </c>
      <c r="E46" s="181">
        <f>_xlfn.XLOOKUP(A46,Юнит!A:A,Юнит!E:E)</f>
        <v>2046391283415</v>
      </c>
      <c r="F46" s="415">
        <f>IFERROR(ROUNDUP(_xlfn.XLOOKUP($A46,Юнит!$A:$A,Юнит!$F:$F,0,0),0),0)</f>
        <v>22</v>
      </c>
      <c r="G46" s="416" t="str">
        <f t="shared" si="0"/>
        <v>WB 550445275/Капа белый/черный/ACRF1KP103BC/2046391283415</v>
      </c>
    </row>
    <row r="47" spans="1:7" x14ac:dyDescent="0.25">
      <c r="A47" s="54">
        <f>Юнит!A53</f>
        <v>550445277</v>
      </c>
      <c r="B47" s="54">
        <f>_xlfn.XLOOKUP(E47,Юнит!E:E,Юнит!B:B)</f>
        <v>0</v>
      </c>
      <c r="C47" s="54" t="str">
        <f>_xlfn.XLOOKUP(A47,Юнит!A:A,Юнит!C:C)</f>
        <v>ACRF1KP101RD</v>
      </c>
      <c r="D47" s="154" t="str">
        <f>_xlfn.XLOOKUP(Себес!A47,Юнит!A:A,Юнит!D:D)</f>
        <v>Капа белый/красный</v>
      </c>
      <c r="E47" s="181">
        <f>_xlfn.XLOOKUP(A47,Юнит!A:A,Юнит!E:E)</f>
        <v>2046391283446</v>
      </c>
      <c r="F47" s="415">
        <f>IFERROR(ROUNDUP(_xlfn.XLOOKUP($A47,Юнит!$A:$A,Юнит!$F:$F,0,0),0),0)</f>
        <v>22</v>
      </c>
      <c r="G47" s="416" t="str">
        <f t="shared" si="0"/>
        <v>WB 550445277/Капа белый/красный/ACRF1KP101RD/2046391283446</v>
      </c>
    </row>
    <row r="48" spans="1:7" x14ac:dyDescent="0.25">
      <c r="A48" s="54">
        <f>Юнит!A54</f>
        <v>550445279</v>
      </c>
      <c r="B48" s="54">
        <f>_xlfn.XLOOKUP(E48,Юнит!E:E,Юнит!B:B)</f>
        <v>0</v>
      </c>
      <c r="C48" s="54" t="str">
        <f>_xlfn.XLOOKUP(A48,Юнит!A:A,Юнит!C:C)</f>
        <v>ACRF1KP102RD</v>
      </c>
      <c r="D48" s="154" t="str">
        <f>_xlfn.XLOOKUP(Себес!A48,Юнит!A:A,Юнит!D:D)</f>
        <v>Капа красный/белый</v>
      </c>
      <c r="E48" s="181">
        <f>_xlfn.XLOOKUP(A48,Юнит!A:A,Юнит!E:E)</f>
        <v>2046391283507</v>
      </c>
      <c r="F48" s="415">
        <f>IFERROR(ROUNDUP(_xlfn.XLOOKUP($A48,Юнит!$A:$A,Юнит!$F:$F,0,0),0),0)</f>
        <v>22</v>
      </c>
      <c r="G48" s="416" t="str">
        <f t="shared" si="0"/>
        <v>WB 550445279/Капа красный/белый/ACRF1KP102RD/2046391283507</v>
      </c>
    </row>
    <row r="49" spans="1:7" x14ac:dyDescent="0.25">
      <c r="A49" s="54">
        <f>Юнит!A55</f>
        <v>550445280</v>
      </c>
      <c r="B49" s="54">
        <f>_xlfn.XLOOKUP(E49,Юнит!E:E,Юнит!B:B)</f>
        <v>0</v>
      </c>
      <c r="C49" s="54" t="str">
        <f>_xlfn.XLOOKUP(A49,Юнит!A:A,Юнит!C:C)</f>
        <v>ACRF1KP101BL</v>
      </c>
      <c r="D49" s="154" t="str">
        <f>_xlfn.XLOOKUP(Себес!A49,Юнит!A:A,Юнит!D:D)</f>
        <v>Капа синий/белый</v>
      </c>
      <c r="E49" s="181">
        <f>_xlfn.XLOOKUP(A49,Юнит!A:A,Юнит!E:E)</f>
        <v>2046391283545</v>
      </c>
      <c r="F49" s="415">
        <f>IFERROR(ROUNDUP(_xlfn.XLOOKUP($A49,Юнит!$A:$A,Юнит!$F:$F,0,0),0),0)</f>
        <v>22</v>
      </c>
      <c r="G49" s="416" t="str">
        <f t="shared" si="0"/>
        <v>WB 550445280/Капа синий/белый/ACRF1KP101BL/2046391283545</v>
      </c>
    </row>
    <row r="50" spans="1:7" x14ac:dyDescent="0.25">
      <c r="A50" s="54">
        <f>Юнит!A56</f>
        <v>550445281</v>
      </c>
      <c r="B50" s="54">
        <f>_xlfn.XLOOKUP(E50,Юнит!E:E,Юнит!B:B)</f>
        <v>0</v>
      </c>
      <c r="C50" s="54" t="str">
        <f>_xlfn.XLOOKUP(A50,Юнит!A:A,Юнит!C:C)</f>
        <v>ACRF1KP101GN</v>
      </c>
      <c r="D50" s="154" t="str">
        <f>_xlfn.XLOOKUP(Себес!A50,Юнит!A:A,Юнит!D:D)</f>
        <v>Капа зеленый/белый</v>
      </c>
      <c r="E50" s="181">
        <f>_xlfn.XLOOKUP(A50,Юнит!A:A,Юнит!E:E)</f>
        <v>2046391283569</v>
      </c>
      <c r="F50" s="415">
        <f>IFERROR(ROUNDUP(_xlfn.XLOOKUP($A50,Юнит!$A:$A,Юнит!$F:$F,0,0),0),0)</f>
        <v>22</v>
      </c>
      <c r="G50" s="416" t="str">
        <f t="shared" si="0"/>
        <v>WB 550445281/Капа зеленый/белый/ACRF1KP101GN/2046391283569</v>
      </c>
    </row>
    <row r="51" spans="1:7" x14ac:dyDescent="0.25">
      <c r="A51" s="54">
        <f>Юнит!A57</f>
        <v>550445283</v>
      </c>
      <c r="B51" s="54">
        <f>_xlfn.XLOOKUP(E51,Юнит!E:E,Юнит!B:B)</f>
        <v>0</v>
      </c>
      <c r="C51" s="54" t="str">
        <f>_xlfn.XLOOKUP(A51,Юнит!A:A,Юнит!C:C)</f>
        <v>ACRF1KP102GN</v>
      </c>
      <c r="D51" s="154" t="str">
        <f>_xlfn.XLOOKUP(Себес!A51,Юнит!A:A,Юнит!D:D)</f>
        <v>Капа зеленый/черный</v>
      </c>
      <c r="E51" s="181">
        <f>_xlfn.XLOOKUP(A51,Юнит!A:A,Юнит!E:E)</f>
        <v>2046391283613</v>
      </c>
      <c r="F51" s="415">
        <f>IFERROR(ROUNDUP(_xlfn.XLOOKUP($A51,Юнит!$A:$A,Юнит!$F:$F,0,0),0),0)</f>
        <v>22</v>
      </c>
      <c r="G51" s="416" t="str">
        <f t="shared" si="0"/>
        <v>WB 550445283/Капа зеленый/черный/ACRF1KP102GN/2046391283613</v>
      </c>
    </row>
    <row r="52" spans="1:7" x14ac:dyDescent="0.25">
      <c r="A52" s="54">
        <f>Юнит!A58</f>
        <v>186826338</v>
      </c>
      <c r="B52" s="54">
        <f>_xlfn.XLOOKUP(E52,Юнит!E:E,Юнит!B:B)</f>
        <v>1980946313</v>
      </c>
      <c r="C52" s="54" t="str">
        <f>_xlfn.XLOOKUP(A52,Юнит!A:A,Юнит!C:C)</f>
        <v>ACRA7TB201BC</v>
      </c>
      <c r="D52" s="154" t="str">
        <f>_xlfn.XLOOKUP(Себес!A52,Юнит!A:A,Юнит!D:D)</f>
        <v>Таблетница прям 7*2 черн</v>
      </c>
      <c r="E52" s="181">
        <f>_xlfn.XLOOKUP(A52,Юнит!A:A,Юнит!E:E)</f>
        <v>2038891723249</v>
      </c>
      <c r="F52" s="415">
        <f>IFERROR(ROUNDUP(_xlfn.XLOOKUP($A52,Юнит!$A:$A,Юнит!$F:$F,0,0),0),0)</f>
        <v>214</v>
      </c>
      <c r="G52" s="416" t="str">
        <f t="shared" si="0"/>
        <v>WB 186826338/OZ 1980946313/Таблетница прям 7*2 черн/ACRA7TB201BC/2038891723249</v>
      </c>
    </row>
    <row r="53" spans="1:7" x14ac:dyDescent="0.25">
      <c r="A53" s="54">
        <f>Юнит!A59</f>
        <v>419130077</v>
      </c>
      <c r="B53" s="54">
        <f>_xlfn.XLOOKUP(E53,Юнит!E:E,Юнит!B:B)</f>
        <v>2168964833</v>
      </c>
      <c r="C53" s="54" t="str">
        <f>_xlfn.XLOOKUP(A53,Юнит!A:A,Юнит!C:C)</f>
        <v>ACRA7TB201CL</v>
      </c>
      <c r="D53" s="154" t="str">
        <f>_xlfn.XLOOKUP(Себес!A53,Юнит!A:A,Юнит!D:D)</f>
        <v>Таблетница прям 7*2 черн/цветн</v>
      </c>
      <c r="E53" s="181">
        <f>_xlfn.XLOOKUP(A53,Юнит!A:A,Юнит!E:E)</f>
        <v>2044025155923</v>
      </c>
      <c r="F53" s="415">
        <f>IFERROR(ROUNDUP(_xlfn.XLOOKUP($A53,Юнит!$A:$A,Юнит!$F:$F,0,0),0),0)</f>
        <v>214</v>
      </c>
      <c r="G53" s="416" t="str">
        <f t="shared" si="0"/>
        <v>WB 419130077/OZ 2168964833/Таблетница прям 7*2 черн/цветн/ACRA7TB201CL/2044025155923</v>
      </c>
    </row>
    <row r="54" spans="1:7" x14ac:dyDescent="0.25">
      <c r="A54" s="54">
        <f>Юнит!A60</f>
        <v>448248943</v>
      </c>
      <c r="B54" s="54">
        <f>_xlfn.XLOOKUP(E54,Юнит!E:E,Юнит!B:B)</f>
        <v>2409846808</v>
      </c>
      <c r="C54" s="54" t="str">
        <f>_xlfn.XLOOKUP(A54,Юнит!A:A,Юнит!C:C)</f>
        <v>ACRA7TB201WH</v>
      </c>
      <c r="D54" s="154" t="str">
        <f>_xlfn.XLOOKUP(Себес!A54,Юнит!A:A,Юнит!D:D)</f>
        <v>Таблетница прям 7*2 бел/цветн</v>
      </c>
      <c r="E54" s="181">
        <f>_xlfn.XLOOKUP(A54,Юнит!A:A,Юнит!E:E)</f>
        <v>2044516485386</v>
      </c>
      <c r="F54" s="415">
        <f>IFERROR(ROUNDUP(_xlfn.XLOOKUP($A54,Юнит!$A:$A,Юнит!$F:$F,0,0),0),0)</f>
        <v>214</v>
      </c>
      <c r="G54" s="416" t="str">
        <f t="shared" si="0"/>
        <v>WB 448248943/OZ 2409846808/Таблетница прям 7*2 бел/цветн/ACRA7TB201WH/2044516485386</v>
      </c>
    </row>
    <row r="55" spans="1:7" x14ac:dyDescent="0.25">
      <c r="A55" s="54">
        <f>Юнит!A61</f>
        <v>448254852</v>
      </c>
      <c r="B55" s="54">
        <f>_xlfn.XLOOKUP(E55,Юнит!E:E,Юнит!B:B)</f>
        <v>2409845343</v>
      </c>
      <c r="C55" s="54" t="str">
        <f>_xlfn.XLOOKUP(A55,Юнит!A:A,Юнит!C:C)</f>
        <v>ACRA7TB201LI</v>
      </c>
      <c r="D55" s="154" t="str">
        <f>_xlfn.XLOOKUP(Себес!A55,Юнит!A:A,Юнит!D:D)</f>
        <v>Таблетница прям 7*2 сирен/цветн</v>
      </c>
      <c r="E55" s="181">
        <f>_xlfn.XLOOKUP(A55,Юнит!A:A,Юнит!E:E)</f>
        <v>2044516498812</v>
      </c>
      <c r="F55" s="415">
        <f>IFERROR(ROUNDUP(_xlfn.XLOOKUP($A55,Юнит!$A:$A,Юнит!$F:$F,0,0),0),0)</f>
        <v>214</v>
      </c>
      <c r="G55" s="416" t="str">
        <f t="shared" si="0"/>
        <v>WB 448254852/OZ 2409845343/Таблетница прям 7*2 сирен/цветн/ACRA7TB201LI/2044516498812</v>
      </c>
    </row>
    <row r="56" spans="1:7" x14ac:dyDescent="0.25">
      <c r="A56" s="54">
        <f>Юнит!A62</f>
        <v>186800214</v>
      </c>
      <c r="B56" s="54">
        <f>_xlfn.XLOOKUP(E56,Юнит!E:E,Юнит!B:B)</f>
        <v>2087001323</v>
      </c>
      <c r="C56" s="54" t="str">
        <f>_xlfn.XLOOKUP(A56,Юнит!A:A,Юнит!C:C)</f>
        <v>ACRA7TB101BC</v>
      </c>
      <c r="D56" s="154" t="str">
        <f>_xlfn.XLOOKUP(Себес!A56,Юнит!A:A,Юнит!D:D)</f>
        <v>Таблетница круглая 7*2 черн</v>
      </c>
      <c r="E56" s="181">
        <f>_xlfn.XLOOKUP(A56,Юнит!A:A,Юнит!E:E)</f>
        <v>2038890789598</v>
      </c>
      <c r="F56" s="415">
        <f>IFERROR(ROUNDUP(_xlfn.XLOOKUP($A56,Юнит!$A:$A,Юнит!$F:$F,0,0),0),0)</f>
        <v>285</v>
      </c>
      <c r="G56" s="416" t="str">
        <f t="shared" si="0"/>
        <v>WB 186800214/OZ 2087001323/Таблетница круглая 7*2 черн/ACRA7TB101BC/2038890789598</v>
      </c>
    </row>
    <row r="57" spans="1:7" x14ac:dyDescent="0.25">
      <c r="A57" s="54">
        <f>Юнит!A63</f>
        <v>298193176</v>
      </c>
      <c r="B57" s="54">
        <f>_xlfn.XLOOKUP(E57,Юнит!E:E,Юнит!B:B)</f>
        <v>2087000633</v>
      </c>
      <c r="C57" s="54" t="str">
        <f>_xlfn.XLOOKUP(A57,Юнит!A:A,Юнит!C:C)</f>
        <v>ACRA7TB101CL</v>
      </c>
      <c r="D57" s="154" t="str">
        <f>_xlfn.XLOOKUP(Себес!A57,Юнит!A:A,Юнит!D:D)</f>
        <v>Таблетница круглая 7*2 черн/цвет</v>
      </c>
      <c r="E57" s="181">
        <f>_xlfn.XLOOKUP(A57,Юнит!A:A,Юнит!E:E)</f>
        <v>2042160422832</v>
      </c>
      <c r="F57" s="415">
        <f>IFERROR(ROUNDUP(_xlfn.XLOOKUP($A57,Юнит!$A:$A,Юнит!$F:$F,0,0),0),0)</f>
        <v>285</v>
      </c>
      <c r="G57" s="416" t="str">
        <f t="shared" si="0"/>
        <v>WB 298193176/OZ 2087000633/Таблетница круглая 7*2 черн/цвет/ACRA7TB101CL/2042160422832</v>
      </c>
    </row>
    <row r="58" spans="1:7" x14ac:dyDescent="0.25">
      <c r="A58" s="54">
        <f>Юнит!A64</f>
        <v>278515093</v>
      </c>
      <c r="B58" s="54">
        <f>_xlfn.XLOOKUP(E58,Юнит!E:E,Юнит!B:B)</f>
        <v>2082252055</v>
      </c>
      <c r="C58" s="54" t="str">
        <f>_xlfn.XLOOKUP(A58,Юнит!A:A,Юнит!C:C)</f>
        <v>ACRA7TB301GR</v>
      </c>
      <c r="D58" s="154" t="str">
        <f>_xlfn.XLOOKUP(Себес!A58,Юнит!A:A,Юнит!D:D)</f>
        <v>Таблетница круглая 7*2 сер</v>
      </c>
      <c r="E58" s="181">
        <f>_xlfn.XLOOKUP(A58,Юнит!A:A,Юнит!E:E)</f>
        <v>2041680530447</v>
      </c>
      <c r="F58" s="415">
        <f>IFERROR(ROUNDUP(_xlfn.XLOOKUP($A58,Юнит!$A:$A,Юнит!$F:$F,0,0),0),0)</f>
        <v>167</v>
      </c>
      <c r="G58" s="416" t="str">
        <f t="shared" si="0"/>
        <v>WB 278515093/OZ 2082252055/Таблетница круглая 7*2 сер/ACRA7TB301GR/2041680530447</v>
      </c>
    </row>
    <row r="59" spans="1:7" x14ac:dyDescent="0.25">
      <c r="A59" s="54">
        <f>Юнит!A65</f>
        <v>345168494</v>
      </c>
      <c r="B59" s="54">
        <f>_xlfn.XLOOKUP(E59,Юнит!E:E,Юнит!B:B)</f>
        <v>2082255799</v>
      </c>
      <c r="C59" s="54" t="str">
        <f>_xlfn.XLOOKUP(A59,Юнит!A:A,Юнит!C:C)</f>
        <v>ACRA7TB301CL</v>
      </c>
      <c r="D59" s="154" t="str">
        <f>_xlfn.XLOOKUP(Себес!A59,Юнит!A:A,Юнит!D:D)</f>
        <v>Таблетница круглая 7*2 сер /цвет</v>
      </c>
      <c r="E59" s="181">
        <f>_xlfn.XLOOKUP(A59,Юнит!A:A,Юнит!E:E)</f>
        <v>2043048226719</v>
      </c>
      <c r="F59" s="415">
        <f>IFERROR(ROUNDUP(_xlfn.XLOOKUP($A59,Юнит!$A:$A,Юнит!$F:$F,0,0),0),0)</f>
        <v>167</v>
      </c>
      <c r="G59" s="416" t="str">
        <f t="shared" si="0"/>
        <v>WB 345168494/OZ 2082255799/Таблетница круглая 7*2 сер /цвет/ACRA7TB301CL/2043048226719</v>
      </c>
    </row>
    <row r="60" spans="1:7" x14ac:dyDescent="0.25">
      <c r="A60" s="54">
        <f>Юнит!A66</f>
        <v>273516556</v>
      </c>
      <c r="B60" s="54">
        <f>_xlfn.XLOOKUP(E60,Юнит!E:E,Юнит!B:B)</f>
        <v>2138705583</v>
      </c>
      <c r="C60" s="54" t="str">
        <f>_xlfn.XLOOKUP(A60,Юнит!A:A,Юнит!C:C)</f>
        <v>ACRA7TB301WH</v>
      </c>
      <c r="D60" s="154" t="str">
        <f>_xlfn.XLOOKUP(Себес!A60,Юнит!A:A,Юнит!D:D)</f>
        <v>Таблетница круглая 7*2 бел</v>
      </c>
      <c r="E60" s="181">
        <f>_xlfn.XLOOKUP(A60,Юнит!A:A,Юнит!E:E)</f>
        <v>2041532808502</v>
      </c>
      <c r="F60" s="415">
        <f>IFERROR(ROUNDUP(_xlfn.XLOOKUP($A60,Юнит!$A:$A,Юнит!$F:$F,0,0),0),0)</f>
        <v>167</v>
      </c>
      <c r="G60" s="416" t="str">
        <f t="shared" si="0"/>
        <v>WB 273516556/OZ 2138705583/Таблетница круглая 7*2 бел/ACRA7TB301WH/2041532808502</v>
      </c>
    </row>
    <row r="61" spans="1:7" x14ac:dyDescent="0.25">
      <c r="A61" s="54">
        <f>Юнит!A67</f>
        <v>321907864</v>
      </c>
      <c r="B61" s="54">
        <f>_xlfn.XLOOKUP(E61,Юнит!E:E,Юнит!B:B)</f>
        <v>2415742998</v>
      </c>
      <c r="C61" s="54" t="str">
        <f>_xlfn.XLOOKUP(A61,Юнит!A:A,Юнит!C:C)</f>
        <v>ACRA7TB401BC</v>
      </c>
      <c r="D61" s="154" t="str">
        <f>_xlfn.XLOOKUP(Себес!A61,Юнит!A:A,Юнит!D:D)</f>
        <v>Таблетница автомат 7*2 черн</v>
      </c>
      <c r="E61" s="181">
        <f>_xlfn.XLOOKUP(A61,Юнит!A:A,Юнит!E:E)</f>
        <v>2042676873814</v>
      </c>
      <c r="F61" s="415">
        <f>IFERROR(ROUNDUP(_xlfn.XLOOKUP($A61,Юнит!$A:$A,Юнит!$F:$F,0,0),0),0)</f>
        <v>360</v>
      </c>
      <c r="G61" s="416" t="str">
        <f t="shared" si="0"/>
        <v>WB 321907864/OZ 2415742998/Таблетница автомат 7*2 черн/ACRA7TB401BC/2042676873814</v>
      </c>
    </row>
    <row r="62" spans="1:7" x14ac:dyDescent="0.25">
      <c r="A62" s="54">
        <f>Юнит!A47</f>
        <v>271440668</v>
      </c>
      <c r="B62" s="54">
        <f>_xlfn.XLOOKUP(E62,Юнит!E:E,Юнит!B:B)</f>
        <v>2415742680</v>
      </c>
      <c r="C62" s="54" t="str">
        <f>_xlfn.XLOOKUP(A62,Юнит!A:A,Юнит!C:C)</f>
        <v>ACRB1SK101BC</v>
      </c>
      <c r="D62" s="154" t="str">
        <f>_xlfn.XLOOKUP(Себес!A62,Юнит!A:A,Юнит!D:D)</f>
        <v>Скакалка черная</v>
      </c>
      <c r="E62" s="181">
        <f>_xlfn.XLOOKUP(A62,Юнит!A:A,Юнит!E:E)</f>
        <v>2041473034138</v>
      </c>
      <c r="F62" s="415">
        <f>IFERROR(ROUNDUP(_xlfn.XLOOKUP($A62,Юнит!$A:$A,Юнит!$F:$F,0,0),0),0)</f>
        <v>318</v>
      </c>
      <c r="G62" s="416" t="str">
        <f t="shared" si="0"/>
        <v>WB 271440668/OZ 2415742680/Скакалка черная/ACRB1SK101BC/2041473034138</v>
      </c>
    </row>
    <row r="63" spans="1:7" x14ac:dyDescent="0.25">
      <c r="A63" s="54">
        <f>Юнит!A48</f>
        <v>271440669</v>
      </c>
      <c r="B63" s="54">
        <f>_xlfn.XLOOKUP(E63,Юнит!E:E,Юнит!B:B)</f>
        <v>2415742649</v>
      </c>
      <c r="C63" s="54" t="str">
        <f>_xlfn.XLOOKUP(A63,Юнит!A:A,Юнит!C:C)</f>
        <v>ACRB1SK101RD</v>
      </c>
      <c r="D63" s="154" t="str">
        <f>_xlfn.XLOOKUP(Себес!A63,Юнит!A:A,Юнит!D:D)</f>
        <v>Скакалка красная</v>
      </c>
      <c r="E63" s="181">
        <f>_xlfn.XLOOKUP(A63,Юнит!A:A,Юнит!E:E)</f>
        <v>2041473034145</v>
      </c>
      <c r="F63" s="415">
        <f>IFERROR(ROUNDUP(_xlfn.XLOOKUP($A63,Юнит!$A:$A,Юнит!$F:$F,0,0),0),0)</f>
        <v>318</v>
      </c>
      <c r="G63" s="416" t="str">
        <f t="shared" si="0"/>
        <v>WB 271440669/OZ 2415742649/Скакалка красная/ACRB1SK101RD/2041473034145</v>
      </c>
    </row>
    <row r="64" spans="1:7" x14ac:dyDescent="0.25">
      <c r="A64" s="54">
        <f>Юнит!A49</f>
        <v>271440670</v>
      </c>
      <c r="B64" s="54">
        <f>_xlfn.XLOOKUP(E64,Юнит!E:E,Юнит!B:B)</f>
        <v>2415743140</v>
      </c>
      <c r="C64" s="54" t="str">
        <f>_xlfn.XLOOKUP(A64,Юнит!A:A,Юнит!C:C)</f>
        <v>ACRB1SK101BL</v>
      </c>
      <c r="D64" s="154" t="str">
        <f>_xlfn.XLOOKUP(Себес!A64,Юнит!A:A,Юнит!D:D)</f>
        <v>Скакалка синяя</v>
      </c>
      <c r="E64" s="181">
        <f>_xlfn.XLOOKUP(A64,Юнит!A:A,Юнит!E:E)</f>
        <v>2041473034169</v>
      </c>
      <c r="F64" s="415">
        <f>IFERROR(ROUNDUP(_xlfn.XLOOKUP($A64,Юнит!$A:$A,Юнит!$F:$F,0,0),0),0)</f>
        <v>318</v>
      </c>
      <c r="G64" s="416" t="str">
        <f t="shared" si="0"/>
        <v>WB 271440670/OZ 2415743140/Скакалка синяя/ACRB1SK101BL/2041473034169</v>
      </c>
    </row>
    <row r="65" spans="1:7" x14ac:dyDescent="0.25">
      <c r="A65" s="54">
        <f>Юнит!A68</f>
        <v>271441230</v>
      </c>
      <c r="B65" s="54">
        <f>_xlfn.XLOOKUP(E65,Юнит!E:E,Юнит!B:B)</f>
        <v>0</v>
      </c>
      <c r="C65" s="54" t="str">
        <f>_xlfn.XLOOKUP(A65,Юнит!A:A,Юнит!C:C)</f>
        <v>ACRB1SK201BC</v>
      </c>
      <c r="D65" s="154" t="str">
        <f>_xlfn.XLOOKUP(Себес!A65,Юнит!A:A,Юнит!D:D)</f>
        <v>Скакалка со счетчиком</v>
      </c>
      <c r="E65" s="181">
        <f>_xlfn.XLOOKUP(A65,Юнит!A:A,Юнит!E:E)</f>
        <v>2041473042966</v>
      </c>
      <c r="F65" s="415">
        <f>IFERROR(ROUNDUP(_xlfn.XLOOKUP($A65,Юнит!$A:$A,Юнит!$F:$F,0,0),0),0)</f>
        <v>293</v>
      </c>
      <c r="G65" s="416" t="str">
        <f t="shared" si="0"/>
        <v>WB 271441230/Скакалка со счетчиком/ACRB1SK201BC/2041473042966</v>
      </c>
    </row>
    <row r="66" spans="1:7" x14ac:dyDescent="0.25">
      <c r="A66" s="54">
        <f>Юнит!A69</f>
        <v>251537223</v>
      </c>
      <c r="B66" s="54">
        <f>_xlfn.XLOOKUP(E66,Юнит!E:E,Юнит!B:B)</f>
        <v>2415742463</v>
      </c>
      <c r="C66" s="54" t="str">
        <f>_xlfn.XLOOKUP(A66,Юнит!A:A,Юнит!C:C)</f>
        <v>AAND1BL101RD</v>
      </c>
      <c r="D66" s="154" t="str">
        <f>_xlfn.XLOOKUP(Себес!A66,Юнит!A:A,Юнит!D:D)</f>
        <v>Мяч регби красный</v>
      </c>
      <c r="E66" s="181">
        <f>_xlfn.XLOOKUP(A66,Юнит!A:A,Юнит!E:E)</f>
        <v>2040903539366</v>
      </c>
      <c r="F66" s="415">
        <f>IFERROR(ROUNDUP(_xlfn.XLOOKUP($A66,Юнит!$A:$A,Юнит!$F:$F,0,0),0),0)</f>
        <v>116</v>
      </c>
      <c r="G66" s="416" t="str">
        <f t="shared" si="0"/>
        <v>WB 251537223/OZ 2415742463/Мяч регби красный/AAND1BL101RD/2040903539366</v>
      </c>
    </row>
    <row r="67" spans="1:7" x14ac:dyDescent="0.25">
      <c r="A67" s="54">
        <f>Юнит!A70</f>
        <v>251537413</v>
      </c>
      <c r="B67" s="54">
        <f>_xlfn.XLOOKUP(E67,Юнит!E:E,Юнит!B:B)</f>
        <v>2415743157</v>
      </c>
      <c r="C67" s="54" t="str">
        <f>_xlfn.XLOOKUP(A67,Юнит!A:A,Юнит!C:C)</f>
        <v>AAND1BL101BL</v>
      </c>
      <c r="D67" s="154" t="str">
        <f>_xlfn.XLOOKUP(Себес!A67,Юнит!A:A,Юнит!D:D)</f>
        <v>Мяч регби синий</v>
      </c>
      <c r="E67" s="181">
        <f>_xlfn.XLOOKUP(A67,Юнит!A:A,Юнит!E:E)</f>
        <v>2040903547941</v>
      </c>
      <c r="F67" s="415">
        <f>IFERROR(ROUNDUP(_xlfn.XLOOKUP($A67,Юнит!$A:$A,Юнит!$F:$F,0,0),0),0)</f>
        <v>116</v>
      </c>
      <c r="G67" s="416" t="str">
        <f t="shared" ref="G67:G81" si="1">CONCATENATE("WB ",A67,IF(B67&gt;0,CONCATENATE("/","OZ ",B67,"/"),"/"),D67,"/",C67,"/",E67)</f>
        <v>WB 251537413/OZ 2415743157/Мяч регби синий/AAND1BL101BL/2040903547941</v>
      </c>
    </row>
    <row r="68" spans="1:7" x14ac:dyDescent="0.25">
      <c r="A68" s="54">
        <f>Юнит!A71</f>
        <v>251516159</v>
      </c>
      <c r="B68" s="54">
        <f>_xlfn.XLOOKUP(E68,Юнит!E:E,Юнит!B:B)</f>
        <v>1980956952</v>
      </c>
      <c r="C68" s="54" t="str">
        <f>_xlfn.XLOOKUP(A68,Юнит!A:A,Юнит!C:C)</f>
        <v>AAND1BL102RD</v>
      </c>
      <c r="D68" s="154" t="str">
        <f>_xlfn.XLOOKUP(Себес!A68,Юнит!A:A,Юнит!D:D)</f>
        <v>Мяч шина красный</v>
      </c>
      <c r="E68" s="181">
        <f>_xlfn.XLOOKUP(A68,Юнит!A:A,Юнит!E:E)</f>
        <v>2040902555480</v>
      </c>
      <c r="F68" s="415">
        <f>IFERROR(ROUNDUP(_xlfn.XLOOKUP($A68,Юнит!$A:$A,Юнит!$F:$F,0,0),0),0)</f>
        <v>151</v>
      </c>
      <c r="G68" s="416" t="str">
        <f t="shared" si="1"/>
        <v>WB 251516159/OZ 1980956952/Мяч шина красный/AAND1BL102RD/2040902555480</v>
      </c>
    </row>
    <row r="69" spans="1:7" x14ac:dyDescent="0.25">
      <c r="A69" s="54">
        <f>Юнит!A72</f>
        <v>251407392</v>
      </c>
      <c r="B69" s="54">
        <f>_xlfn.XLOOKUP(E69,Юнит!E:E,Юнит!B:B)</f>
        <v>1980958902</v>
      </c>
      <c r="C69" s="54" t="str">
        <f>_xlfn.XLOOKUP(A69,Юнит!A:A,Юнит!C:C)</f>
        <v>AAND1BL102BL</v>
      </c>
      <c r="D69" s="154" t="str">
        <f>_xlfn.XLOOKUP(Себес!A69,Юнит!A:A,Юнит!D:D)</f>
        <v>Мяч шина синий</v>
      </c>
      <c r="E69" s="181">
        <f>_xlfn.XLOOKUP(A69,Юнит!A:A,Юнит!E:E)</f>
        <v>2040900511679</v>
      </c>
      <c r="F69" s="415">
        <f>IFERROR(ROUNDUP(_xlfn.XLOOKUP($A69,Юнит!$A:$A,Юнит!$F:$F,0,0),0),0)</f>
        <v>151</v>
      </c>
      <c r="G69" s="416" t="str">
        <f t="shared" si="1"/>
        <v>WB 251407392/OZ 1980958902/Мяч шина синий/AAND1BL102BL/2040900511679</v>
      </c>
    </row>
    <row r="70" spans="1:7" x14ac:dyDescent="0.25">
      <c r="A70" s="54">
        <f>Юнит!A73</f>
        <v>302564795</v>
      </c>
      <c r="B70" s="54">
        <f>_xlfn.XLOOKUP(E70,Юнит!E:E,Юнит!B:B)</f>
        <v>0</v>
      </c>
      <c r="C70" s="54" t="str">
        <f>_xlfn.XLOOKUP(A70,Юнит!A:A,Юнит!C:C)</f>
        <v>AAND1ST202BL</v>
      </c>
      <c r="D70" s="154" t="str">
        <f>_xlfn.XLOOKUP(Себес!A70,Юнит!A:A,Юнит!D:D)</f>
        <v>Палочка для жевания</v>
      </c>
      <c r="E70" s="181">
        <f>_xlfn.XLOOKUP(A70,Юнит!A:A,Юнит!E:E)</f>
        <v>2042253544953</v>
      </c>
      <c r="F70" s="415">
        <f>IFERROR(ROUNDUP(_xlfn.XLOOKUP($A70,Юнит!$A:$A,Юнит!$F:$F,0,0),0),0)</f>
        <v>18</v>
      </c>
      <c r="G70" s="416" t="str">
        <f t="shared" si="1"/>
        <v>WB 302564795/Палочка для жевания/AAND1ST202BL/2042253544953</v>
      </c>
    </row>
    <row r="71" spans="1:7" x14ac:dyDescent="0.25">
      <c r="A71" s="54">
        <f>Юнит!A74</f>
        <v>273588520</v>
      </c>
      <c r="B71" s="54">
        <f>_xlfn.XLOOKUP(E71,Юнит!E:E,Юнит!B:B)</f>
        <v>0</v>
      </c>
      <c r="C71" s="54" t="str">
        <f>_xlfn.XLOOKUP(A71,Юнит!A:A,Юнит!C:C)</f>
        <v>AAND1RP301BG</v>
      </c>
      <c r="D71" s="154" t="str">
        <f>_xlfn.XLOOKUP(Себес!A71,Юнит!A:A,Юнит!D:D)</f>
        <v>Канат бол бежевый 55см/520гр</v>
      </c>
      <c r="E71" s="181">
        <f>_xlfn.XLOOKUP(A71,Юнит!A:A,Юнит!E:E)</f>
        <v>2041534216404</v>
      </c>
      <c r="F71" s="415">
        <f>IFERROR(ROUNDUP(_xlfn.XLOOKUP($A71,Юнит!$A:$A,Юнит!$F:$F,0,0),0),0)</f>
        <v>493</v>
      </c>
      <c r="G71" s="416" t="str">
        <f t="shared" si="1"/>
        <v>WB 273588520/Канат бол бежевый 55см/520гр/AAND1RP301BG/2041534216404</v>
      </c>
    </row>
    <row r="72" spans="1:7" x14ac:dyDescent="0.25">
      <c r="A72" s="54">
        <f>Юнит!A75</f>
        <v>273589771</v>
      </c>
      <c r="B72" s="54">
        <f>_xlfn.XLOOKUP(E72,Юнит!E:E,Юнит!B:B)</f>
        <v>0</v>
      </c>
      <c r="C72" s="54" t="str">
        <f>_xlfn.XLOOKUP(A72,Юнит!A:A,Юнит!C:C)</f>
        <v>AAND1RP301YL</v>
      </c>
      <c r="D72" s="154" t="str">
        <f>_xlfn.XLOOKUP(Себес!A72,Юнит!A:A,Юнит!D:D)</f>
        <v>Канат мал желтый 55см/330гр</v>
      </c>
      <c r="E72" s="181">
        <f>_xlfn.XLOOKUP(A72,Юнит!A:A,Юнит!E:E)</f>
        <v>2041534288661</v>
      </c>
      <c r="F72" s="415">
        <f>IFERROR(ROUNDUP(_xlfn.XLOOKUP($A72,Юнит!$A:$A,Юнит!$F:$F,0,0),0),0)</f>
        <v>341</v>
      </c>
      <c r="G72" s="416" t="str">
        <f t="shared" si="1"/>
        <v>WB 273589771/Канат мал желтый 55см/330гр/AAND1RP301YL/2041534288661</v>
      </c>
    </row>
    <row r="73" spans="1:7" x14ac:dyDescent="0.25">
      <c r="A73" s="54">
        <f>Юнит!A76</f>
        <v>273556717</v>
      </c>
      <c r="B73" s="54">
        <f>_xlfn.XLOOKUP(E73,Юнит!E:E,Юнит!B:B)</f>
        <v>2415742645</v>
      </c>
      <c r="C73" s="54" t="str">
        <f>_xlfn.XLOOKUP(A73,Юнит!A:A,Юнит!C:C)</f>
        <v>AKTA4ST101CL</v>
      </c>
      <c r="D73" s="154" t="str">
        <f>_xlfn.XLOOKUP(Себес!A73,Юнит!A:A,Юнит!D:D)</f>
        <v>Набор пробок 4 шт. в коробке нежн</v>
      </c>
      <c r="E73" s="181">
        <f>_xlfn.XLOOKUP(A73,Юнит!A:A,Юнит!E:E)</f>
        <v>2041533648312</v>
      </c>
      <c r="F73" s="415">
        <f>IFERROR(ROUNDUP(_xlfn.XLOOKUP($A73,Юнит!$A:$A,Юнит!$F:$F,0,0),0),0)</f>
        <v>120</v>
      </c>
      <c r="G73" s="416" t="str">
        <f t="shared" si="1"/>
        <v>WB 273556717/OZ 2415742645/Набор пробок 4 шт. в коробке нежн/AKTA4ST101CL/2041533648312</v>
      </c>
    </row>
    <row r="74" spans="1:7" x14ac:dyDescent="0.25">
      <c r="A74" s="54">
        <f>Юнит!A77</f>
        <v>370594147</v>
      </c>
      <c r="B74" s="54">
        <f>_xlfn.XLOOKUP(E74,Юнит!E:E,Юнит!B:B)</f>
        <v>2415742703</v>
      </c>
      <c r="C74" s="54" t="str">
        <f>_xlfn.XLOOKUP(A74,Юнит!A:A,Юнит!C:C)</f>
        <v>AKTA4ST103CL</v>
      </c>
      <c r="D74" s="154" t="str">
        <f>_xlfn.XLOOKUP(Себес!A74,Юнит!A:A,Юнит!D:D)</f>
        <v>Набор пробок 4 шт. в коробке ярк</v>
      </c>
      <c r="E74" s="181">
        <f>_xlfn.XLOOKUP(A74,Юнит!A:A,Юнит!E:E)</f>
        <v>2043369755509</v>
      </c>
      <c r="F74" s="415">
        <f>IFERROR(ROUNDUP(_xlfn.XLOOKUP($A74,Юнит!$A:$A,Юнит!$F:$F,0,0),0),0)</f>
        <v>120</v>
      </c>
      <c r="G74" s="416" t="str">
        <f t="shared" si="1"/>
        <v>WB 370594147/OZ 2415742703/Набор пробок 4 шт. в коробке ярк/AKTA4ST103CL/2043369755509</v>
      </c>
    </row>
    <row r="75" spans="1:7" x14ac:dyDescent="0.25">
      <c r="A75" s="54">
        <f>Юнит!A78</f>
        <v>321959186</v>
      </c>
      <c r="B75" s="54">
        <f>_xlfn.XLOOKUP(E75,Юнит!E:E,Юнит!B:B)</f>
        <v>2415742927</v>
      </c>
      <c r="C75" s="54" t="str">
        <f>_xlfn.XLOOKUP(A75,Юнит!A:A,Юнит!C:C)</f>
        <v>AKTA4ST102CL</v>
      </c>
      <c r="D75" s="154" t="str">
        <f>_xlfn.XLOOKUP(Себес!A75,Юнит!A:A,Юнит!D:D)</f>
        <v>Набор пробок 4 шт.</v>
      </c>
      <c r="E75" s="181">
        <f>_xlfn.XLOOKUP(A75,Юнит!A:A,Юнит!E:E)</f>
        <v>2042678197468</v>
      </c>
      <c r="F75" s="415">
        <f>IFERROR(ROUNDUP(_xlfn.XLOOKUP($A75,Юнит!$A:$A,Юнит!$F:$F,0,0),0),0)</f>
        <v>130</v>
      </c>
      <c r="G75" s="416" t="str">
        <f t="shared" si="1"/>
        <v>WB 321959186/OZ 2415742927/Набор пробок 4 шт./AKTA4ST102CL/2042678197468</v>
      </c>
    </row>
    <row r="76" spans="1:7" x14ac:dyDescent="0.25">
      <c r="A76" s="54">
        <f>Юнит!A79</f>
        <v>273546535</v>
      </c>
      <c r="B76" s="54">
        <f>_xlfn.XLOOKUP(E76,Юнит!E:E,Юнит!B:B)</f>
        <v>2086999506</v>
      </c>
      <c r="C76" s="54" t="str">
        <f>_xlfn.XLOOKUP(A76,Юнит!A:A,Юнит!C:C)</f>
        <v>AKTA2KN101YL</v>
      </c>
      <c r="D76" s="154" t="str">
        <f>_xlfn.XLOOKUP(Себес!A76,Юнит!A:A,Юнит!D:D)</f>
        <v>Шпатель желтый</v>
      </c>
      <c r="E76" s="181">
        <f>_xlfn.XLOOKUP(A76,Юнит!A:A,Юнит!E:E)</f>
        <v>2041533399818</v>
      </c>
      <c r="F76" s="415">
        <f>IFERROR(ROUNDUP(_xlfn.XLOOKUP($A76,Юнит!$A:$A,Юнит!$F:$F,0,0),0),0)</f>
        <v>192</v>
      </c>
      <c r="G76" s="416" t="str">
        <f t="shared" si="1"/>
        <v>WB 273546535/OZ 2086999506/Шпатель желтый/AKTA2KN101YL/2041533399818</v>
      </c>
    </row>
    <row r="77" spans="1:7" x14ac:dyDescent="0.25">
      <c r="A77" s="54">
        <f>Юнит!A80</f>
        <v>273551028</v>
      </c>
      <c r="B77" s="54">
        <f>_xlfn.XLOOKUP(E77,Юнит!E:E,Юнит!B:B)</f>
        <v>0</v>
      </c>
      <c r="C77" s="54" t="str">
        <f>_xlfn.XLOOKUP(A77,Юнит!A:A,Юнит!C:C)</f>
        <v>AKTA2KN101BL</v>
      </c>
      <c r="D77" s="154" t="str">
        <f>_xlfn.XLOOKUP(Себес!A77,Юнит!A:A,Юнит!D:D)</f>
        <v>Шпатель голубой</v>
      </c>
      <c r="E77" s="181">
        <f>_xlfn.XLOOKUP(A77,Юнит!A:A,Юнит!E:E)</f>
        <v>2041533587000</v>
      </c>
      <c r="F77" s="415">
        <f>IFERROR(ROUNDUP(_xlfn.XLOOKUP($A77,Юнит!$A:$A,Юнит!$F:$F,0,0),0),0)</f>
        <v>257</v>
      </c>
      <c r="G77" s="416" t="str">
        <f t="shared" si="1"/>
        <v>WB 273551028/Шпатель голубой/AKTA2KN101BL/2041533587000</v>
      </c>
    </row>
    <row r="78" spans="1:7" x14ac:dyDescent="0.25">
      <c r="A78" s="54">
        <f>Юнит!A81</f>
        <v>273527791</v>
      </c>
      <c r="B78" s="54">
        <f>_xlfn.XLOOKUP(E78,Юнит!E:E,Юнит!B:B)</f>
        <v>2092093001</v>
      </c>
      <c r="C78" s="54" t="str">
        <f>_xlfn.XLOOKUP(A78,Юнит!A:A,Юнит!C:C)</f>
        <v>AKTA2KN102YL</v>
      </c>
      <c r="D78" s="154" t="str">
        <f>_xlfn.XLOOKUP(Себес!A78,Юнит!A:A,Юнит!D:D)</f>
        <v>Нож для пиццы желтый</v>
      </c>
      <c r="E78" s="181">
        <f>_xlfn.XLOOKUP(A78,Юнит!A:A,Юнит!E:E)</f>
        <v>2041533038113</v>
      </c>
      <c r="F78" s="415">
        <f>IFERROR(ROUNDUP(_xlfn.XLOOKUP($A78,Юнит!$A:$A,Юнит!$F:$F,0,0),0),0)</f>
        <v>149</v>
      </c>
      <c r="G78" s="416" t="str">
        <f t="shared" si="1"/>
        <v>WB 273527791/OZ 2092093001/Нож для пиццы желтый/AKTA2KN102YL/2041533038113</v>
      </c>
    </row>
    <row r="79" spans="1:7" x14ac:dyDescent="0.25">
      <c r="A79" s="54">
        <f>Юнит!A82</f>
        <v>327442631</v>
      </c>
      <c r="B79" s="54">
        <f>_xlfn.XLOOKUP(E79,Юнит!E:E,Юнит!B:B)</f>
        <v>2087000111</v>
      </c>
      <c r="C79" s="54" t="str">
        <f>_xlfn.XLOOKUP(A79,Юнит!A:A,Юнит!C:C)</f>
        <v>AKTA2KN102GN</v>
      </c>
      <c r="D79" s="154" t="str">
        <f>_xlfn.XLOOKUP(Себес!A79,Юнит!A:A,Юнит!D:D)</f>
        <v>Нож для пиццы зеленый</v>
      </c>
      <c r="E79" s="181">
        <f>_xlfn.XLOOKUP(A79,Юнит!A:A,Юнит!E:E)</f>
        <v>2042777181566</v>
      </c>
      <c r="F79" s="415">
        <f>IFERROR(ROUNDUP(_xlfn.XLOOKUP($A79,Юнит!$A:$A,Юнит!$F:$F,0,0),0),0)</f>
        <v>149</v>
      </c>
      <c r="G79" s="416" t="str">
        <f t="shared" si="1"/>
        <v>WB 327442631/OZ 2087000111/Нож для пиццы зеленый/AKTA2KN102GN/2042777181566</v>
      </c>
    </row>
    <row r="80" spans="1:7" x14ac:dyDescent="0.25">
      <c r="A80" s="54">
        <f>Юнит!A83</f>
        <v>340948906</v>
      </c>
      <c r="B80" s="54">
        <f>_xlfn.XLOOKUP(E80,Юнит!E:E,Юнит!B:B)</f>
        <v>0</v>
      </c>
      <c r="C80" s="54" t="str">
        <f>_xlfn.XLOOKUP(A80,Юнит!A:A,Юнит!C:C)</f>
        <v>AKTA1KN101GR</v>
      </c>
      <c r="D80" s="154" t="str">
        <f>_xlfn.XLOOKUP(Себес!A80,Юнит!A:A,Юнит!D:D)</f>
        <v>Консервный нож</v>
      </c>
      <c r="E80" s="181">
        <f>_xlfn.XLOOKUP(A80,Юнит!A:A,Юнит!E:E)</f>
        <v>2042988749289</v>
      </c>
      <c r="F80" s="415">
        <f>IFERROR(ROUNDUP(_xlfn.XLOOKUP($A80,Юнит!$A:$A,Юнит!$F:$F,0,0),0),0)</f>
        <v>269</v>
      </c>
      <c r="G80" s="416" t="str">
        <f t="shared" si="1"/>
        <v>WB 340948906/Консервный нож/AKTA1KN101GR/2042988749289</v>
      </c>
    </row>
    <row r="81" spans="1:7" x14ac:dyDescent="0.25">
      <c r="A81" s="54">
        <f>Юнит!A84</f>
        <v>340802685</v>
      </c>
      <c r="B81" s="54">
        <f>_xlfn.XLOOKUP(E81,Юнит!E:E,Юнит!B:B)</f>
        <v>0</v>
      </c>
      <c r="C81" s="54" t="str">
        <f>_xlfn.XLOOKUP(A81,Юнит!A:A,Юнит!C:C)</f>
        <v>AKTA1PR101GR</v>
      </c>
      <c r="D81" s="154" t="str">
        <f>_xlfn.XLOOKUP(Себес!A81,Юнит!A:A,Юнит!D:D)</f>
        <v>Чеснокодавка</v>
      </c>
      <c r="E81" s="181">
        <f>_xlfn.XLOOKUP(A81,Юнит!A:A,Юнит!E:E)</f>
        <v>2042987041841</v>
      </c>
      <c r="F81" s="415">
        <f>IFERROR(ROUNDUP(_xlfn.XLOOKUP($A81,Юнит!$A:$A,Юнит!$F:$F,0,0),0),0)</f>
        <v>250</v>
      </c>
      <c r="G81" s="416" t="str">
        <f t="shared" si="1"/>
        <v>WB 340802685/Чеснокодавка/AKTA1PR101GR/2042987041841</v>
      </c>
    </row>
  </sheetData>
  <autoFilter ref="A1:G69" xr:uid="{C5D84E83-1E51-4468-BD9C-FDA2CE3293D3}"/>
  <pageMargins left="0" right="0" top="0" bottom="0" header="0" footer="0"/>
  <pageSetup paperSize="9" scale="68" fitToWidth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0470-C685-47AE-8793-CA2726B9E975}">
  <sheetPr>
    <tabColor rgb="FFFFCC00"/>
  </sheetPr>
  <dimension ref="A1:H157"/>
  <sheetViews>
    <sheetView workbookViewId="0">
      <selection activeCell="G1" sqref="G1:G1048576"/>
    </sheetView>
  </sheetViews>
  <sheetFormatPr defaultRowHeight="18" customHeight="1" x14ac:dyDescent="0.25"/>
  <cols>
    <col min="1" max="1" width="64" customWidth="1"/>
    <col min="2" max="2" width="32.5703125" customWidth="1"/>
    <col min="3" max="3" width="15.5703125" customWidth="1"/>
    <col min="4" max="4" width="11.140625" customWidth="1"/>
    <col min="5" max="5" width="22.85546875" customWidth="1"/>
    <col min="6" max="6" width="11.42578125" customWidth="1"/>
    <col min="7" max="7" width="14.7109375" style="363" bestFit="1" customWidth="1"/>
    <col min="8" max="8" width="21.5703125" customWidth="1"/>
    <col min="257" max="257" width="64" customWidth="1"/>
    <col min="258" max="258" width="0" hidden="1" customWidth="1"/>
    <col min="259" max="259" width="15.5703125" customWidth="1"/>
    <col min="260" max="260" width="11.140625" customWidth="1"/>
    <col min="261" max="261" width="22.85546875" customWidth="1"/>
    <col min="262" max="262" width="11.42578125" customWidth="1"/>
    <col min="263" max="263" width="13.5703125" customWidth="1"/>
    <col min="264" max="264" width="21.5703125" customWidth="1"/>
    <col min="513" max="513" width="64" customWidth="1"/>
    <col min="514" max="514" width="0" hidden="1" customWidth="1"/>
    <col min="515" max="515" width="15.5703125" customWidth="1"/>
    <col min="516" max="516" width="11.140625" customWidth="1"/>
    <col min="517" max="517" width="22.85546875" customWidth="1"/>
    <col min="518" max="518" width="11.42578125" customWidth="1"/>
    <col min="519" max="519" width="13.5703125" customWidth="1"/>
    <col min="520" max="520" width="21.5703125" customWidth="1"/>
    <col min="769" max="769" width="64" customWidth="1"/>
    <col min="770" max="770" width="0" hidden="1" customWidth="1"/>
    <col min="771" max="771" width="15.5703125" customWidth="1"/>
    <col min="772" max="772" width="11.140625" customWidth="1"/>
    <col min="773" max="773" width="22.85546875" customWidth="1"/>
    <col min="774" max="774" width="11.42578125" customWidth="1"/>
    <col min="775" max="775" width="13.5703125" customWidth="1"/>
    <col min="776" max="776" width="21.5703125" customWidth="1"/>
    <col min="1025" max="1025" width="64" customWidth="1"/>
    <col min="1026" max="1026" width="0" hidden="1" customWidth="1"/>
    <col min="1027" max="1027" width="15.5703125" customWidth="1"/>
    <col min="1028" max="1028" width="11.140625" customWidth="1"/>
    <col min="1029" max="1029" width="22.85546875" customWidth="1"/>
    <col min="1030" max="1030" width="11.42578125" customWidth="1"/>
    <col min="1031" max="1031" width="13.5703125" customWidth="1"/>
    <col min="1032" max="1032" width="21.5703125" customWidth="1"/>
    <col min="1281" max="1281" width="64" customWidth="1"/>
    <col min="1282" max="1282" width="0" hidden="1" customWidth="1"/>
    <col min="1283" max="1283" width="15.5703125" customWidth="1"/>
    <col min="1284" max="1284" width="11.140625" customWidth="1"/>
    <col min="1285" max="1285" width="22.85546875" customWidth="1"/>
    <col min="1286" max="1286" width="11.42578125" customWidth="1"/>
    <col min="1287" max="1287" width="13.5703125" customWidth="1"/>
    <col min="1288" max="1288" width="21.5703125" customWidth="1"/>
    <col min="1537" max="1537" width="64" customWidth="1"/>
    <col min="1538" max="1538" width="0" hidden="1" customWidth="1"/>
    <col min="1539" max="1539" width="15.5703125" customWidth="1"/>
    <col min="1540" max="1540" width="11.140625" customWidth="1"/>
    <col min="1541" max="1541" width="22.85546875" customWidth="1"/>
    <col min="1542" max="1542" width="11.42578125" customWidth="1"/>
    <col min="1543" max="1543" width="13.5703125" customWidth="1"/>
    <col min="1544" max="1544" width="21.5703125" customWidth="1"/>
    <col min="1793" max="1793" width="64" customWidth="1"/>
    <col min="1794" max="1794" width="0" hidden="1" customWidth="1"/>
    <col min="1795" max="1795" width="15.5703125" customWidth="1"/>
    <col min="1796" max="1796" width="11.140625" customWidth="1"/>
    <col min="1797" max="1797" width="22.85546875" customWidth="1"/>
    <col min="1798" max="1798" width="11.42578125" customWidth="1"/>
    <col min="1799" max="1799" width="13.5703125" customWidth="1"/>
    <col min="1800" max="1800" width="21.5703125" customWidth="1"/>
    <col min="2049" max="2049" width="64" customWidth="1"/>
    <col min="2050" max="2050" width="0" hidden="1" customWidth="1"/>
    <col min="2051" max="2051" width="15.5703125" customWidth="1"/>
    <col min="2052" max="2052" width="11.140625" customWidth="1"/>
    <col min="2053" max="2053" width="22.85546875" customWidth="1"/>
    <col min="2054" max="2054" width="11.42578125" customWidth="1"/>
    <col min="2055" max="2055" width="13.5703125" customWidth="1"/>
    <col min="2056" max="2056" width="21.5703125" customWidth="1"/>
    <col min="2305" max="2305" width="64" customWidth="1"/>
    <col min="2306" max="2306" width="0" hidden="1" customWidth="1"/>
    <col min="2307" max="2307" width="15.5703125" customWidth="1"/>
    <col min="2308" max="2308" width="11.140625" customWidth="1"/>
    <col min="2309" max="2309" width="22.85546875" customWidth="1"/>
    <col min="2310" max="2310" width="11.42578125" customWidth="1"/>
    <col min="2311" max="2311" width="13.5703125" customWidth="1"/>
    <col min="2312" max="2312" width="21.5703125" customWidth="1"/>
    <col min="2561" max="2561" width="64" customWidth="1"/>
    <col min="2562" max="2562" width="0" hidden="1" customWidth="1"/>
    <col min="2563" max="2563" width="15.5703125" customWidth="1"/>
    <col min="2564" max="2564" width="11.140625" customWidth="1"/>
    <col min="2565" max="2565" width="22.85546875" customWidth="1"/>
    <col min="2566" max="2566" width="11.42578125" customWidth="1"/>
    <col min="2567" max="2567" width="13.5703125" customWidth="1"/>
    <col min="2568" max="2568" width="21.5703125" customWidth="1"/>
    <col min="2817" max="2817" width="64" customWidth="1"/>
    <col min="2818" max="2818" width="0" hidden="1" customWidth="1"/>
    <col min="2819" max="2819" width="15.5703125" customWidth="1"/>
    <col min="2820" max="2820" width="11.140625" customWidth="1"/>
    <col min="2821" max="2821" width="22.85546875" customWidth="1"/>
    <col min="2822" max="2822" width="11.42578125" customWidth="1"/>
    <col min="2823" max="2823" width="13.5703125" customWidth="1"/>
    <col min="2824" max="2824" width="21.5703125" customWidth="1"/>
    <col min="3073" max="3073" width="64" customWidth="1"/>
    <col min="3074" max="3074" width="0" hidden="1" customWidth="1"/>
    <col min="3075" max="3075" width="15.5703125" customWidth="1"/>
    <col min="3076" max="3076" width="11.140625" customWidth="1"/>
    <col min="3077" max="3077" width="22.85546875" customWidth="1"/>
    <col min="3078" max="3078" width="11.42578125" customWidth="1"/>
    <col min="3079" max="3079" width="13.5703125" customWidth="1"/>
    <col min="3080" max="3080" width="21.5703125" customWidth="1"/>
    <col min="3329" max="3329" width="64" customWidth="1"/>
    <col min="3330" max="3330" width="0" hidden="1" customWidth="1"/>
    <col min="3331" max="3331" width="15.5703125" customWidth="1"/>
    <col min="3332" max="3332" width="11.140625" customWidth="1"/>
    <col min="3333" max="3333" width="22.85546875" customWidth="1"/>
    <col min="3334" max="3334" width="11.42578125" customWidth="1"/>
    <col min="3335" max="3335" width="13.5703125" customWidth="1"/>
    <col min="3336" max="3336" width="21.5703125" customWidth="1"/>
    <col min="3585" max="3585" width="64" customWidth="1"/>
    <col min="3586" max="3586" width="0" hidden="1" customWidth="1"/>
    <col min="3587" max="3587" width="15.5703125" customWidth="1"/>
    <col min="3588" max="3588" width="11.140625" customWidth="1"/>
    <col min="3589" max="3589" width="22.85546875" customWidth="1"/>
    <col min="3590" max="3590" width="11.42578125" customWidth="1"/>
    <col min="3591" max="3591" width="13.5703125" customWidth="1"/>
    <col min="3592" max="3592" width="21.5703125" customWidth="1"/>
    <col min="3841" max="3841" width="64" customWidth="1"/>
    <col min="3842" max="3842" width="0" hidden="1" customWidth="1"/>
    <col min="3843" max="3843" width="15.5703125" customWidth="1"/>
    <col min="3844" max="3844" width="11.140625" customWidth="1"/>
    <col min="3845" max="3845" width="22.85546875" customWidth="1"/>
    <col min="3846" max="3846" width="11.42578125" customWidth="1"/>
    <col min="3847" max="3847" width="13.5703125" customWidth="1"/>
    <col min="3848" max="3848" width="21.5703125" customWidth="1"/>
    <col min="4097" max="4097" width="64" customWidth="1"/>
    <col min="4098" max="4098" width="0" hidden="1" customWidth="1"/>
    <col min="4099" max="4099" width="15.5703125" customWidth="1"/>
    <col min="4100" max="4100" width="11.140625" customWidth="1"/>
    <col min="4101" max="4101" width="22.85546875" customWidth="1"/>
    <col min="4102" max="4102" width="11.42578125" customWidth="1"/>
    <col min="4103" max="4103" width="13.5703125" customWidth="1"/>
    <col min="4104" max="4104" width="21.5703125" customWidth="1"/>
    <col min="4353" max="4353" width="64" customWidth="1"/>
    <col min="4354" max="4354" width="0" hidden="1" customWidth="1"/>
    <col min="4355" max="4355" width="15.5703125" customWidth="1"/>
    <col min="4356" max="4356" width="11.140625" customWidth="1"/>
    <col min="4357" max="4357" width="22.85546875" customWidth="1"/>
    <col min="4358" max="4358" width="11.42578125" customWidth="1"/>
    <col min="4359" max="4359" width="13.5703125" customWidth="1"/>
    <col min="4360" max="4360" width="21.5703125" customWidth="1"/>
    <col min="4609" max="4609" width="64" customWidth="1"/>
    <col min="4610" max="4610" width="0" hidden="1" customWidth="1"/>
    <col min="4611" max="4611" width="15.5703125" customWidth="1"/>
    <col min="4612" max="4612" width="11.140625" customWidth="1"/>
    <col min="4613" max="4613" width="22.85546875" customWidth="1"/>
    <col min="4614" max="4614" width="11.42578125" customWidth="1"/>
    <col min="4615" max="4615" width="13.5703125" customWidth="1"/>
    <col min="4616" max="4616" width="21.5703125" customWidth="1"/>
    <col min="4865" max="4865" width="64" customWidth="1"/>
    <col min="4866" max="4866" width="0" hidden="1" customWidth="1"/>
    <col min="4867" max="4867" width="15.5703125" customWidth="1"/>
    <col min="4868" max="4868" width="11.140625" customWidth="1"/>
    <col min="4869" max="4869" width="22.85546875" customWidth="1"/>
    <col min="4870" max="4870" width="11.42578125" customWidth="1"/>
    <col min="4871" max="4871" width="13.5703125" customWidth="1"/>
    <col min="4872" max="4872" width="21.5703125" customWidth="1"/>
    <col min="5121" max="5121" width="64" customWidth="1"/>
    <col min="5122" max="5122" width="0" hidden="1" customWidth="1"/>
    <col min="5123" max="5123" width="15.5703125" customWidth="1"/>
    <col min="5124" max="5124" width="11.140625" customWidth="1"/>
    <col min="5125" max="5125" width="22.85546875" customWidth="1"/>
    <col min="5126" max="5126" width="11.42578125" customWidth="1"/>
    <col min="5127" max="5127" width="13.5703125" customWidth="1"/>
    <col min="5128" max="5128" width="21.5703125" customWidth="1"/>
    <col min="5377" max="5377" width="64" customWidth="1"/>
    <col min="5378" max="5378" width="0" hidden="1" customWidth="1"/>
    <col min="5379" max="5379" width="15.5703125" customWidth="1"/>
    <col min="5380" max="5380" width="11.140625" customWidth="1"/>
    <col min="5381" max="5381" width="22.85546875" customWidth="1"/>
    <col min="5382" max="5382" width="11.42578125" customWidth="1"/>
    <col min="5383" max="5383" width="13.5703125" customWidth="1"/>
    <col min="5384" max="5384" width="21.5703125" customWidth="1"/>
    <col min="5633" max="5633" width="64" customWidth="1"/>
    <col min="5634" max="5634" width="0" hidden="1" customWidth="1"/>
    <col min="5635" max="5635" width="15.5703125" customWidth="1"/>
    <col min="5636" max="5636" width="11.140625" customWidth="1"/>
    <col min="5637" max="5637" width="22.85546875" customWidth="1"/>
    <col min="5638" max="5638" width="11.42578125" customWidth="1"/>
    <col min="5639" max="5639" width="13.5703125" customWidth="1"/>
    <col min="5640" max="5640" width="21.5703125" customWidth="1"/>
    <col min="5889" max="5889" width="64" customWidth="1"/>
    <col min="5890" max="5890" width="0" hidden="1" customWidth="1"/>
    <col min="5891" max="5891" width="15.5703125" customWidth="1"/>
    <col min="5892" max="5892" width="11.140625" customWidth="1"/>
    <col min="5893" max="5893" width="22.85546875" customWidth="1"/>
    <col min="5894" max="5894" width="11.42578125" customWidth="1"/>
    <col min="5895" max="5895" width="13.5703125" customWidth="1"/>
    <col min="5896" max="5896" width="21.5703125" customWidth="1"/>
    <col min="6145" max="6145" width="64" customWidth="1"/>
    <col min="6146" max="6146" width="0" hidden="1" customWidth="1"/>
    <col min="6147" max="6147" width="15.5703125" customWidth="1"/>
    <col min="6148" max="6148" width="11.140625" customWidth="1"/>
    <col min="6149" max="6149" width="22.85546875" customWidth="1"/>
    <col min="6150" max="6150" width="11.42578125" customWidth="1"/>
    <col min="6151" max="6151" width="13.5703125" customWidth="1"/>
    <col min="6152" max="6152" width="21.5703125" customWidth="1"/>
    <col min="6401" max="6401" width="64" customWidth="1"/>
    <col min="6402" max="6402" width="0" hidden="1" customWidth="1"/>
    <col min="6403" max="6403" width="15.5703125" customWidth="1"/>
    <col min="6404" max="6404" width="11.140625" customWidth="1"/>
    <col min="6405" max="6405" width="22.85546875" customWidth="1"/>
    <col min="6406" max="6406" width="11.42578125" customWidth="1"/>
    <col min="6407" max="6407" width="13.5703125" customWidth="1"/>
    <col min="6408" max="6408" width="21.5703125" customWidth="1"/>
    <col min="6657" max="6657" width="64" customWidth="1"/>
    <col min="6658" max="6658" width="0" hidden="1" customWidth="1"/>
    <col min="6659" max="6659" width="15.5703125" customWidth="1"/>
    <col min="6660" max="6660" width="11.140625" customWidth="1"/>
    <col min="6661" max="6661" width="22.85546875" customWidth="1"/>
    <col min="6662" max="6662" width="11.42578125" customWidth="1"/>
    <col min="6663" max="6663" width="13.5703125" customWidth="1"/>
    <col min="6664" max="6664" width="21.5703125" customWidth="1"/>
    <col min="6913" max="6913" width="64" customWidth="1"/>
    <col min="6914" max="6914" width="0" hidden="1" customWidth="1"/>
    <col min="6915" max="6915" width="15.5703125" customWidth="1"/>
    <col min="6916" max="6916" width="11.140625" customWidth="1"/>
    <col min="6917" max="6917" width="22.85546875" customWidth="1"/>
    <col min="6918" max="6918" width="11.42578125" customWidth="1"/>
    <col min="6919" max="6919" width="13.5703125" customWidth="1"/>
    <col min="6920" max="6920" width="21.5703125" customWidth="1"/>
    <col min="7169" max="7169" width="64" customWidth="1"/>
    <col min="7170" max="7170" width="0" hidden="1" customWidth="1"/>
    <col min="7171" max="7171" width="15.5703125" customWidth="1"/>
    <col min="7172" max="7172" width="11.140625" customWidth="1"/>
    <col min="7173" max="7173" width="22.85546875" customWidth="1"/>
    <col min="7174" max="7174" width="11.42578125" customWidth="1"/>
    <col min="7175" max="7175" width="13.5703125" customWidth="1"/>
    <col min="7176" max="7176" width="21.5703125" customWidth="1"/>
    <col min="7425" max="7425" width="64" customWidth="1"/>
    <col min="7426" max="7426" width="0" hidden="1" customWidth="1"/>
    <col min="7427" max="7427" width="15.5703125" customWidth="1"/>
    <col min="7428" max="7428" width="11.140625" customWidth="1"/>
    <col min="7429" max="7429" width="22.85546875" customWidth="1"/>
    <col min="7430" max="7430" width="11.42578125" customWidth="1"/>
    <col min="7431" max="7431" width="13.5703125" customWidth="1"/>
    <col min="7432" max="7432" width="21.5703125" customWidth="1"/>
    <col min="7681" max="7681" width="64" customWidth="1"/>
    <col min="7682" max="7682" width="0" hidden="1" customWidth="1"/>
    <col min="7683" max="7683" width="15.5703125" customWidth="1"/>
    <col min="7684" max="7684" width="11.140625" customWidth="1"/>
    <col min="7685" max="7685" width="22.85546875" customWidth="1"/>
    <col min="7686" max="7686" width="11.42578125" customWidth="1"/>
    <col min="7687" max="7687" width="13.5703125" customWidth="1"/>
    <col min="7688" max="7688" width="21.5703125" customWidth="1"/>
    <col min="7937" max="7937" width="64" customWidth="1"/>
    <col min="7938" max="7938" width="0" hidden="1" customWidth="1"/>
    <col min="7939" max="7939" width="15.5703125" customWidth="1"/>
    <col min="7940" max="7940" width="11.140625" customWidth="1"/>
    <col min="7941" max="7941" width="22.85546875" customWidth="1"/>
    <col min="7942" max="7942" width="11.42578125" customWidth="1"/>
    <col min="7943" max="7943" width="13.5703125" customWidth="1"/>
    <col min="7944" max="7944" width="21.5703125" customWidth="1"/>
    <col min="8193" max="8193" width="64" customWidth="1"/>
    <col min="8194" max="8194" width="0" hidden="1" customWidth="1"/>
    <col min="8195" max="8195" width="15.5703125" customWidth="1"/>
    <col min="8196" max="8196" width="11.140625" customWidth="1"/>
    <col min="8197" max="8197" width="22.85546875" customWidth="1"/>
    <col min="8198" max="8198" width="11.42578125" customWidth="1"/>
    <col min="8199" max="8199" width="13.5703125" customWidth="1"/>
    <col min="8200" max="8200" width="21.5703125" customWidth="1"/>
    <col min="8449" max="8449" width="64" customWidth="1"/>
    <col min="8450" max="8450" width="0" hidden="1" customWidth="1"/>
    <col min="8451" max="8451" width="15.5703125" customWidth="1"/>
    <col min="8452" max="8452" width="11.140625" customWidth="1"/>
    <col min="8453" max="8453" width="22.85546875" customWidth="1"/>
    <col min="8454" max="8454" width="11.42578125" customWidth="1"/>
    <col min="8455" max="8455" width="13.5703125" customWidth="1"/>
    <col min="8456" max="8456" width="21.5703125" customWidth="1"/>
    <col min="8705" max="8705" width="64" customWidth="1"/>
    <col min="8706" max="8706" width="0" hidden="1" customWidth="1"/>
    <col min="8707" max="8707" width="15.5703125" customWidth="1"/>
    <col min="8708" max="8708" width="11.140625" customWidth="1"/>
    <col min="8709" max="8709" width="22.85546875" customWidth="1"/>
    <col min="8710" max="8710" width="11.42578125" customWidth="1"/>
    <col min="8711" max="8711" width="13.5703125" customWidth="1"/>
    <col min="8712" max="8712" width="21.5703125" customWidth="1"/>
    <col min="8961" max="8961" width="64" customWidth="1"/>
    <col min="8962" max="8962" width="0" hidden="1" customWidth="1"/>
    <col min="8963" max="8963" width="15.5703125" customWidth="1"/>
    <col min="8964" max="8964" width="11.140625" customWidth="1"/>
    <col min="8965" max="8965" width="22.85546875" customWidth="1"/>
    <col min="8966" max="8966" width="11.42578125" customWidth="1"/>
    <col min="8967" max="8967" width="13.5703125" customWidth="1"/>
    <col min="8968" max="8968" width="21.5703125" customWidth="1"/>
    <col min="9217" max="9217" width="64" customWidth="1"/>
    <col min="9218" max="9218" width="0" hidden="1" customWidth="1"/>
    <col min="9219" max="9219" width="15.5703125" customWidth="1"/>
    <col min="9220" max="9220" width="11.140625" customWidth="1"/>
    <col min="9221" max="9221" width="22.85546875" customWidth="1"/>
    <col min="9222" max="9222" width="11.42578125" customWidth="1"/>
    <col min="9223" max="9223" width="13.5703125" customWidth="1"/>
    <col min="9224" max="9224" width="21.5703125" customWidth="1"/>
    <col min="9473" max="9473" width="64" customWidth="1"/>
    <col min="9474" max="9474" width="0" hidden="1" customWidth="1"/>
    <col min="9475" max="9475" width="15.5703125" customWidth="1"/>
    <col min="9476" max="9476" width="11.140625" customWidth="1"/>
    <col min="9477" max="9477" width="22.85546875" customWidth="1"/>
    <col min="9478" max="9478" width="11.42578125" customWidth="1"/>
    <col min="9479" max="9479" width="13.5703125" customWidth="1"/>
    <col min="9480" max="9480" width="21.5703125" customWidth="1"/>
    <col min="9729" max="9729" width="64" customWidth="1"/>
    <col min="9730" max="9730" width="0" hidden="1" customWidth="1"/>
    <col min="9731" max="9731" width="15.5703125" customWidth="1"/>
    <col min="9732" max="9732" width="11.140625" customWidth="1"/>
    <col min="9733" max="9733" width="22.85546875" customWidth="1"/>
    <col min="9734" max="9734" width="11.42578125" customWidth="1"/>
    <col min="9735" max="9735" width="13.5703125" customWidth="1"/>
    <col min="9736" max="9736" width="21.5703125" customWidth="1"/>
    <col min="9985" max="9985" width="64" customWidth="1"/>
    <col min="9986" max="9986" width="0" hidden="1" customWidth="1"/>
    <col min="9987" max="9987" width="15.5703125" customWidth="1"/>
    <col min="9988" max="9988" width="11.140625" customWidth="1"/>
    <col min="9989" max="9989" width="22.85546875" customWidth="1"/>
    <col min="9990" max="9990" width="11.42578125" customWidth="1"/>
    <col min="9991" max="9991" width="13.5703125" customWidth="1"/>
    <col min="9992" max="9992" width="21.5703125" customWidth="1"/>
    <col min="10241" max="10241" width="64" customWidth="1"/>
    <col min="10242" max="10242" width="0" hidden="1" customWidth="1"/>
    <col min="10243" max="10243" width="15.5703125" customWidth="1"/>
    <col min="10244" max="10244" width="11.140625" customWidth="1"/>
    <col min="10245" max="10245" width="22.85546875" customWidth="1"/>
    <col min="10246" max="10246" width="11.42578125" customWidth="1"/>
    <col min="10247" max="10247" width="13.5703125" customWidth="1"/>
    <col min="10248" max="10248" width="21.5703125" customWidth="1"/>
    <col min="10497" max="10497" width="64" customWidth="1"/>
    <col min="10498" max="10498" width="0" hidden="1" customWidth="1"/>
    <col min="10499" max="10499" width="15.5703125" customWidth="1"/>
    <col min="10500" max="10500" width="11.140625" customWidth="1"/>
    <col min="10501" max="10501" width="22.85546875" customWidth="1"/>
    <col min="10502" max="10502" width="11.42578125" customWidth="1"/>
    <col min="10503" max="10503" width="13.5703125" customWidth="1"/>
    <col min="10504" max="10504" width="21.5703125" customWidth="1"/>
    <col min="10753" max="10753" width="64" customWidth="1"/>
    <col min="10754" max="10754" width="0" hidden="1" customWidth="1"/>
    <col min="10755" max="10755" width="15.5703125" customWidth="1"/>
    <col min="10756" max="10756" width="11.140625" customWidth="1"/>
    <col min="10757" max="10757" width="22.85546875" customWidth="1"/>
    <col min="10758" max="10758" width="11.42578125" customWidth="1"/>
    <col min="10759" max="10759" width="13.5703125" customWidth="1"/>
    <col min="10760" max="10760" width="21.5703125" customWidth="1"/>
    <col min="11009" max="11009" width="64" customWidth="1"/>
    <col min="11010" max="11010" width="0" hidden="1" customWidth="1"/>
    <col min="11011" max="11011" width="15.5703125" customWidth="1"/>
    <col min="11012" max="11012" width="11.140625" customWidth="1"/>
    <col min="11013" max="11013" width="22.85546875" customWidth="1"/>
    <col min="11014" max="11014" width="11.42578125" customWidth="1"/>
    <col min="11015" max="11015" width="13.5703125" customWidth="1"/>
    <col min="11016" max="11016" width="21.5703125" customWidth="1"/>
    <col min="11265" max="11265" width="64" customWidth="1"/>
    <col min="11266" max="11266" width="0" hidden="1" customWidth="1"/>
    <col min="11267" max="11267" width="15.5703125" customWidth="1"/>
    <col min="11268" max="11268" width="11.140625" customWidth="1"/>
    <col min="11269" max="11269" width="22.85546875" customWidth="1"/>
    <col min="11270" max="11270" width="11.42578125" customWidth="1"/>
    <col min="11271" max="11271" width="13.5703125" customWidth="1"/>
    <col min="11272" max="11272" width="21.5703125" customWidth="1"/>
    <col min="11521" max="11521" width="64" customWidth="1"/>
    <col min="11522" max="11522" width="0" hidden="1" customWidth="1"/>
    <col min="11523" max="11523" width="15.5703125" customWidth="1"/>
    <col min="11524" max="11524" width="11.140625" customWidth="1"/>
    <col min="11525" max="11525" width="22.85546875" customWidth="1"/>
    <col min="11526" max="11526" width="11.42578125" customWidth="1"/>
    <col min="11527" max="11527" width="13.5703125" customWidth="1"/>
    <col min="11528" max="11528" width="21.5703125" customWidth="1"/>
    <col min="11777" max="11777" width="64" customWidth="1"/>
    <col min="11778" max="11778" width="0" hidden="1" customWidth="1"/>
    <col min="11779" max="11779" width="15.5703125" customWidth="1"/>
    <col min="11780" max="11780" width="11.140625" customWidth="1"/>
    <col min="11781" max="11781" width="22.85546875" customWidth="1"/>
    <col min="11782" max="11782" width="11.42578125" customWidth="1"/>
    <col min="11783" max="11783" width="13.5703125" customWidth="1"/>
    <col min="11784" max="11784" width="21.5703125" customWidth="1"/>
    <col min="12033" max="12033" width="64" customWidth="1"/>
    <col min="12034" max="12034" width="0" hidden="1" customWidth="1"/>
    <col min="12035" max="12035" width="15.5703125" customWidth="1"/>
    <col min="12036" max="12036" width="11.140625" customWidth="1"/>
    <col min="12037" max="12037" width="22.85546875" customWidth="1"/>
    <col min="12038" max="12038" width="11.42578125" customWidth="1"/>
    <col min="12039" max="12039" width="13.5703125" customWidth="1"/>
    <col min="12040" max="12040" width="21.5703125" customWidth="1"/>
    <col min="12289" max="12289" width="64" customWidth="1"/>
    <col min="12290" max="12290" width="0" hidden="1" customWidth="1"/>
    <col min="12291" max="12291" width="15.5703125" customWidth="1"/>
    <col min="12292" max="12292" width="11.140625" customWidth="1"/>
    <col min="12293" max="12293" width="22.85546875" customWidth="1"/>
    <col min="12294" max="12294" width="11.42578125" customWidth="1"/>
    <col min="12295" max="12295" width="13.5703125" customWidth="1"/>
    <col min="12296" max="12296" width="21.5703125" customWidth="1"/>
    <col min="12545" max="12545" width="64" customWidth="1"/>
    <col min="12546" max="12546" width="0" hidden="1" customWidth="1"/>
    <col min="12547" max="12547" width="15.5703125" customWidth="1"/>
    <col min="12548" max="12548" width="11.140625" customWidth="1"/>
    <col min="12549" max="12549" width="22.85546875" customWidth="1"/>
    <col min="12550" max="12550" width="11.42578125" customWidth="1"/>
    <col min="12551" max="12551" width="13.5703125" customWidth="1"/>
    <col min="12552" max="12552" width="21.5703125" customWidth="1"/>
    <col min="12801" max="12801" width="64" customWidth="1"/>
    <col min="12802" max="12802" width="0" hidden="1" customWidth="1"/>
    <col min="12803" max="12803" width="15.5703125" customWidth="1"/>
    <col min="12804" max="12804" width="11.140625" customWidth="1"/>
    <col min="12805" max="12805" width="22.85546875" customWidth="1"/>
    <col min="12806" max="12806" width="11.42578125" customWidth="1"/>
    <col min="12807" max="12807" width="13.5703125" customWidth="1"/>
    <col min="12808" max="12808" width="21.5703125" customWidth="1"/>
    <col min="13057" max="13057" width="64" customWidth="1"/>
    <col min="13058" max="13058" width="0" hidden="1" customWidth="1"/>
    <col min="13059" max="13059" width="15.5703125" customWidth="1"/>
    <col min="13060" max="13060" width="11.140625" customWidth="1"/>
    <col min="13061" max="13061" width="22.85546875" customWidth="1"/>
    <col min="13062" max="13062" width="11.42578125" customWidth="1"/>
    <col min="13063" max="13063" width="13.5703125" customWidth="1"/>
    <col min="13064" max="13064" width="21.5703125" customWidth="1"/>
    <col min="13313" max="13313" width="64" customWidth="1"/>
    <col min="13314" max="13314" width="0" hidden="1" customWidth="1"/>
    <col min="13315" max="13315" width="15.5703125" customWidth="1"/>
    <col min="13316" max="13316" width="11.140625" customWidth="1"/>
    <col min="13317" max="13317" width="22.85546875" customWidth="1"/>
    <col min="13318" max="13318" width="11.42578125" customWidth="1"/>
    <col min="13319" max="13319" width="13.5703125" customWidth="1"/>
    <col min="13320" max="13320" width="21.5703125" customWidth="1"/>
    <col min="13569" max="13569" width="64" customWidth="1"/>
    <col min="13570" max="13570" width="0" hidden="1" customWidth="1"/>
    <col min="13571" max="13571" width="15.5703125" customWidth="1"/>
    <col min="13572" max="13572" width="11.140625" customWidth="1"/>
    <col min="13573" max="13573" width="22.85546875" customWidth="1"/>
    <col min="13574" max="13574" width="11.42578125" customWidth="1"/>
    <col min="13575" max="13575" width="13.5703125" customWidth="1"/>
    <col min="13576" max="13576" width="21.5703125" customWidth="1"/>
    <col min="13825" max="13825" width="64" customWidth="1"/>
    <col min="13826" max="13826" width="0" hidden="1" customWidth="1"/>
    <col min="13827" max="13827" width="15.5703125" customWidth="1"/>
    <col min="13828" max="13828" width="11.140625" customWidth="1"/>
    <col min="13829" max="13829" width="22.85546875" customWidth="1"/>
    <col min="13830" max="13830" width="11.42578125" customWidth="1"/>
    <col min="13831" max="13831" width="13.5703125" customWidth="1"/>
    <col min="13832" max="13832" width="21.5703125" customWidth="1"/>
    <col min="14081" max="14081" width="64" customWidth="1"/>
    <col min="14082" max="14082" width="0" hidden="1" customWidth="1"/>
    <col min="14083" max="14083" width="15.5703125" customWidth="1"/>
    <col min="14084" max="14084" width="11.140625" customWidth="1"/>
    <col min="14085" max="14085" width="22.85546875" customWidth="1"/>
    <col min="14086" max="14086" width="11.42578125" customWidth="1"/>
    <col min="14087" max="14087" width="13.5703125" customWidth="1"/>
    <col min="14088" max="14088" width="21.5703125" customWidth="1"/>
    <col min="14337" max="14337" width="64" customWidth="1"/>
    <col min="14338" max="14338" width="0" hidden="1" customWidth="1"/>
    <col min="14339" max="14339" width="15.5703125" customWidth="1"/>
    <col min="14340" max="14340" width="11.140625" customWidth="1"/>
    <col min="14341" max="14341" width="22.85546875" customWidth="1"/>
    <col min="14342" max="14342" width="11.42578125" customWidth="1"/>
    <col min="14343" max="14343" width="13.5703125" customWidth="1"/>
    <col min="14344" max="14344" width="21.5703125" customWidth="1"/>
    <col min="14593" max="14593" width="64" customWidth="1"/>
    <col min="14594" max="14594" width="0" hidden="1" customWidth="1"/>
    <col min="14595" max="14595" width="15.5703125" customWidth="1"/>
    <col min="14596" max="14596" width="11.140625" customWidth="1"/>
    <col min="14597" max="14597" width="22.85546875" customWidth="1"/>
    <col min="14598" max="14598" width="11.42578125" customWidth="1"/>
    <col min="14599" max="14599" width="13.5703125" customWidth="1"/>
    <col min="14600" max="14600" width="21.5703125" customWidth="1"/>
    <col min="14849" max="14849" width="64" customWidth="1"/>
    <col min="14850" max="14850" width="0" hidden="1" customWidth="1"/>
    <col min="14851" max="14851" width="15.5703125" customWidth="1"/>
    <col min="14852" max="14852" width="11.140625" customWidth="1"/>
    <col min="14853" max="14853" width="22.85546875" customWidth="1"/>
    <col min="14854" max="14854" width="11.42578125" customWidth="1"/>
    <col min="14855" max="14855" width="13.5703125" customWidth="1"/>
    <col min="14856" max="14856" width="21.5703125" customWidth="1"/>
    <col min="15105" max="15105" width="64" customWidth="1"/>
    <col min="15106" max="15106" width="0" hidden="1" customWidth="1"/>
    <col min="15107" max="15107" width="15.5703125" customWidth="1"/>
    <col min="15108" max="15108" width="11.140625" customWidth="1"/>
    <col min="15109" max="15109" width="22.85546875" customWidth="1"/>
    <col min="15110" max="15110" width="11.42578125" customWidth="1"/>
    <col min="15111" max="15111" width="13.5703125" customWidth="1"/>
    <col min="15112" max="15112" width="21.5703125" customWidth="1"/>
    <col min="15361" max="15361" width="64" customWidth="1"/>
    <col min="15362" max="15362" width="0" hidden="1" customWidth="1"/>
    <col min="15363" max="15363" width="15.5703125" customWidth="1"/>
    <col min="15364" max="15364" width="11.140625" customWidth="1"/>
    <col min="15365" max="15365" width="22.85546875" customWidth="1"/>
    <col min="15366" max="15366" width="11.42578125" customWidth="1"/>
    <col min="15367" max="15367" width="13.5703125" customWidth="1"/>
    <col min="15368" max="15368" width="21.5703125" customWidth="1"/>
    <col min="15617" max="15617" width="64" customWidth="1"/>
    <col min="15618" max="15618" width="0" hidden="1" customWidth="1"/>
    <col min="15619" max="15619" width="15.5703125" customWidth="1"/>
    <col min="15620" max="15620" width="11.140625" customWidth="1"/>
    <col min="15621" max="15621" width="22.85546875" customWidth="1"/>
    <col min="15622" max="15622" width="11.42578125" customWidth="1"/>
    <col min="15623" max="15623" width="13.5703125" customWidth="1"/>
    <col min="15624" max="15624" width="21.5703125" customWidth="1"/>
    <col min="15873" max="15873" width="64" customWidth="1"/>
    <col min="15874" max="15874" width="0" hidden="1" customWidth="1"/>
    <col min="15875" max="15875" width="15.5703125" customWidth="1"/>
    <col min="15876" max="15876" width="11.140625" customWidth="1"/>
    <col min="15877" max="15877" width="22.85546875" customWidth="1"/>
    <col min="15878" max="15878" width="11.42578125" customWidth="1"/>
    <col min="15879" max="15879" width="13.5703125" customWidth="1"/>
    <col min="15880" max="15880" width="21.5703125" customWidth="1"/>
    <col min="16129" max="16129" width="64" customWidth="1"/>
    <col min="16130" max="16130" width="0" hidden="1" customWidth="1"/>
    <col min="16131" max="16131" width="15.5703125" customWidth="1"/>
    <col min="16132" max="16132" width="11.140625" customWidth="1"/>
    <col min="16133" max="16133" width="22.85546875" customWidth="1"/>
    <col min="16134" max="16134" width="11.42578125" customWidth="1"/>
    <col min="16135" max="16135" width="13.5703125" customWidth="1"/>
    <col min="16136" max="16136" width="21.5703125" customWidth="1"/>
  </cols>
  <sheetData>
    <row r="1" spans="1:8" ht="12.75" customHeight="1" x14ac:dyDescent="0.25">
      <c r="A1" s="510" t="s">
        <v>258</v>
      </c>
      <c r="B1" s="510" t="s">
        <v>259</v>
      </c>
      <c r="C1" s="510" t="s">
        <v>260</v>
      </c>
      <c r="D1" s="510" t="s">
        <v>261</v>
      </c>
      <c r="E1" s="510" t="s">
        <v>450</v>
      </c>
      <c r="F1" s="510" t="s">
        <v>451</v>
      </c>
      <c r="G1" s="508" t="s">
        <v>452</v>
      </c>
      <c r="H1" s="509" t="s">
        <v>324</v>
      </c>
    </row>
    <row r="2" spans="1:8" ht="24" customHeight="1" x14ac:dyDescent="0.25">
      <c r="A2" s="263" t="s">
        <v>616</v>
      </c>
      <c r="B2" s="263" t="s">
        <v>617</v>
      </c>
      <c r="C2" s="263" t="s">
        <v>618</v>
      </c>
      <c r="D2" s="263" t="s">
        <v>262</v>
      </c>
      <c r="E2" s="263" t="s">
        <v>457</v>
      </c>
      <c r="F2" s="263" t="s">
        <v>619</v>
      </c>
      <c r="G2" s="362">
        <v>2038224716238</v>
      </c>
      <c r="H2" s="264">
        <v>252.6</v>
      </c>
    </row>
    <row r="3" spans="1:8" ht="24" customHeight="1" x14ac:dyDescent="0.25">
      <c r="A3" s="263" t="s">
        <v>620</v>
      </c>
      <c r="B3" s="263" t="s">
        <v>621</v>
      </c>
      <c r="C3" s="263" t="s">
        <v>622</v>
      </c>
      <c r="D3" s="263" t="s">
        <v>262</v>
      </c>
      <c r="E3" s="263" t="s">
        <v>623</v>
      </c>
      <c r="F3" s="263" t="s">
        <v>624</v>
      </c>
      <c r="G3" s="362">
        <v>174601938</v>
      </c>
      <c r="H3" s="265">
        <v>180.33</v>
      </c>
    </row>
    <row r="4" spans="1:8" ht="24" customHeight="1" x14ac:dyDescent="0.25">
      <c r="A4" s="263" t="s">
        <v>625</v>
      </c>
      <c r="B4" s="263" t="s">
        <v>626</v>
      </c>
      <c r="C4" s="263" t="s">
        <v>627</v>
      </c>
      <c r="D4" s="263" t="s">
        <v>262</v>
      </c>
      <c r="E4" s="263" t="s">
        <v>628</v>
      </c>
      <c r="F4" s="263" t="s">
        <v>629</v>
      </c>
      <c r="G4" s="362"/>
      <c r="H4" s="266"/>
    </row>
    <row r="5" spans="1:8" ht="24" customHeight="1" x14ac:dyDescent="0.25">
      <c r="A5" s="263" t="s">
        <v>630</v>
      </c>
      <c r="B5" s="263" t="s">
        <v>631</v>
      </c>
      <c r="C5" s="263" t="s">
        <v>627</v>
      </c>
      <c r="D5" s="263" t="s">
        <v>262</v>
      </c>
      <c r="E5" s="263" t="s">
        <v>628</v>
      </c>
      <c r="F5" s="263" t="s">
        <v>632</v>
      </c>
      <c r="G5" s="362">
        <v>176170511</v>
      </c>
      <c r="H5" s="265">
        <v>74.25</v>
      </c>
    </row>
    <row r="6" spans="1:8" ht="24" customHeight="1" x14ac:dyDescent="0.25">
      <c r="A6" s="263" t="s">
        <v>633</v>
      </c>
      <c r="B6" s="263" t="s">
        <v>634</v>
      </c>
      <c r="C6" s="263" t="s">
        <v>635</v>
      </c>
      <c r="D6" s="263" t="s">
        <v>262</v>
      </c>
      <c r="E6" s="263" t="s">
        <v>628</v>
      </c>
      <c r="F6" s="263" t="s">
        <v>636</v>
      </c>
      <c r="G6" s="362">
        <v>176584624</v>
      </c>
      <c r="H6" s="267">
        <v>52</v>
      </c>
    </row>
    <row r="7" spans="1:8" ht="24" customHeight="1" x14ac:dyDescent="0.25">
      <c r="A7" s="263" t="s">
        <v>637</v>
      </c>
      <c r="B7" s="263" t="s">
        <v>638</v>
      </c>
      <c r="C7" s="263" t="s">
        <v>639</v>
      </c>
      <c r="D7" s="263" t="s">
        <v>262</v>
      </c>
      <c r="E7" s="263" t="s">
        <v>623</v>
      </c>
      <c r="F7" s="263" t="s">
        <v>640</v>
      </c>
      <c r="G7" s="362">
        <v>176709293</v>
      </c>
      <c r="H7" s="267">
        <v>130</v>
      </c>
    </row>
    <row r="8" spans="1:8" ht="24" customHeight="1" x14ac:dyDescent="0.25">
      <c r="A8" s="263" t="s">
        <v>641</v>
      </c>
      <c r="B8" s="263" t="s">
        <v>642</v>
      </c>
      <c r="C8" s="263" t="s">
        <v>643</v>
      </c>
      <c r="D8" s="263" t="s">
        <v>262</v>
      </c>
      <c r="E8" s="263" t="s">
        <v>623</v>
      </c>
      <c r="F8" s="263" t="s">
        <v>644</v>
      </c>
      <c r="G8" s="362">
        <v>177865668</v>
      </c>
      <c r="H8" s="265">
        <v>167.77</v>
      </c>
    </row>
    <row r="9" spans="1:8" ht="24" customHeight="1" x14ac:dyDescent="0.25">
      <c r="A9" s="263" t="s">
        <v>645</v>
      </c>
      <c r="B9" s="263" t="s">
        <v>646</v>
      </c>
      <c r="C9" s="263" t="s">
        <v>647</v>
      </c>
      <c r="D9" s="263" t="s">
        <v>262</v>
      </c>
      <c r="E9" s="263" t="s">
        <v>457</v>
      </c>
      <c r="F9" s="263" t="s">
        <v>648</v>
      </c>
      <c r="G9" s="362">
        <v>2038931439581</v>
      </c>
      <c r="H9" s="265">
        <v>151.12</v>
      </c>
    </row>
    <row r="10" spans="1:8" ht="24" customHeight="1" x14ac:dyDescent="0.25">
      <c r="A10" s="263" t="s">
        <v>649</v>
      </c>
      <c r="B10" s="263" t="s">
        <v>650</v>
      </c>
      <c r="C10" s="263" t="s">
        <v>647</v>
      </c>
      <c r="D10" s="263" t="s">
        <v>262</v>
      </c>
      <c r="E10" s="263" t="s">
        <v>457</v>
      </c>
      <c r="F10" s="263" t="s">
        <v>651</v>
      </c>
      <c r="G10" s="362">
        <v>2038931439581</v>
      </c>
      <c r="H10" s="266"/>
    </row>
    <row r="11" spans="1:8" ht="24" customHeight="1" x14ac:dyDescent="0.25">
      <c r="A11" s="263" t="s">
        <v>652</v>
      </c>
      <c r="B11" s="263" t="s">
        <v>653</v>
      </c>
      <c r="C11" s="263" t="s">
        <v>654</v>
      </c>
      <c r="D11" s="263" t="s">
        <v>262</v>
      </c>
      <c r="E11" s="263" t="s">
        <v>457</v>
      </c>
      <c r="F11" s="263" t="s">
        <v>655</v>
      </c>
      <c r="G11" s="362">
        <v>2039291528267</v>
      </c>
      <c r="H11" s="265">
        <v>151.12</v>
      </c>
    </row>
    <row r="12" spans="1:8" ht="24" customHeight="1" x14ac:dyDescent="0.25">
      <c r="A12" s="263" t="s">
        <v>656</v>
      </c>
      <c r="B12" s="263" t="s">
        <v>657</v>
      </c>
      <c r="C12" s="263" t="s">
        <v>654</v>
      </c>
      <c r="D12" s="263" t="s">
        <v>262</v>
      </c>
      <c r="E12" s="263" t="s">
        <v>457</v>
      </c>
      <c r="F12" s="263" t="s">
        <v>658</v>
      </c>
      <c r="G12" s="362">
        <v>2039291528267</v>
      </c>
      <c r="H12" s="266"/>
    </row>
    <row r="13" spans="1:8" ht="24" customHeight="1" x14ac:dyDescent="0.25">
      <c r="A13" s="263" t="s">
        <v>659</v>
      </c>
      <c r="B13" s="263" t="s">
        <v>660</v>
      </c>
      <c r="C13" s="263" t="s">
        <v>661</v>
      </c>
      <c r="D13" s="263" t="s">
        <v>262</v>
      </c>
      <c r="E13" s="263" t="s">
        <v>457</v>
      </c>
      <c r="F13" s="263" t="s">
        <v>662</v>
      </c>
      <c r="G13" s="362">
        <v>2039323172727</v>
      </c>
      <c r="H13" s="265">
        <v>151.12</v>
      </c>
    </row>
    <row r="14" spans="1:8" ht="24" customHeight="1" x14ac:dyDescent="0.25">
      <c r="A14" s="263" t="s">
        <v>663</v>
      </c>
      <c r="B14" s="263" t="s">
        <v>664</v>
      </c>
      <c r="C14" s="263" t="s">
        <v>661</v>
      </c>
      <c r="D14" s="263" t="s">
        <v>262</v>
      </c>
      <c r="E14" s="263" t="s">
        <v>457</v>
      </c>
      <c r="F14" s="263" t="s">
        <v>665</v>
      </c>
      <c r="G14" s="362">
        <v>2039323172727</v>
      </c>
      <c r="H14" s="266"/>
    </row>
    <row r="15" spans="1:8" ht="24" customHeight="1" x14ac:dyDescent="0.25">
      <c r="A15" s="263" t="s">
        <v>666</v>
      </c>
      <c r="B15" s="263" t="s">
        <v>667</v>
      </c>
      <c r="C15" s="263" t="s">
        <v>668</v>
      </c>
      <c r="D15" s="263" t="s">
        <v>262</v>
      </c>
      <c r="E15" s="263" t="s">
        <v>464</v>
      </c>
      <c r="F15" s="263" t="s">
        <v>669</v>
      </c>
      <c r="G15" s="362">
        <v>2039323305576</v>
      </c>
      <c r="H15" s="265">
        <v>387.95</v>
      </c>
    </row>
    <row r="16" spans="1:8" ht="24" customHeight="1" x14ac:dyDescent="0.25">
      <c r="A16" s="263" t="s">
        <v>670</v>
      </c>
      <c r="B16" s="263" t="s">
        <v>671</v>
      </c>
      <c r="C16" s="263" t="s">
        <v>672</v>
      </c>
      <c r="D16" s="263" t="s">
        <v>262</v>
      </c>
      <c r="E16" s="263" t="s">
        <v>457</v>
      </c>
      <c r="F16" s="263" t="s">
        <v>673</v>
      </c>
      <c r="G16" s="362">
        <v>2039399347548</v>
      </c>
      <c r="H16" s="265">
        <v>151.12</v>
      </c>
    </row>
    <row r="17" spans="1:8" ht="24" customHeight="1" x14ac:dyDescent="0.25">
      <c r="A17" s="263" t="s">
        <v>674</v>
      </c>
      <c r="B17" s="263" t="s">
        <v>675</v>
      </c>
      <c r="C17" s="263" t="s">
        <v>672</v>
      </c>
      <c r="D17" s="263" t="s">
        <v>262</v>
      </c>
      <c r="E17" s="263" t="s">
        <v>457</v>
      </c>
      <c r="F17" s="263" t="s">
        <v>676</v>
      </c>
      <c r="G17" s="362">
        <v>2039399347548</v>
      </c>
      <c r="H17" s="266"/>
    </row>
    <row r="18" spans="1:8" ht="24" customHeight="1" x14ac:dyDescent="0.25">
      <c r="A18" s="263" t="s">
        <v>677</v>
      </c>
      <c r="B18" s="263" t="s">
        <v>678</v>
      </c>
      <c r="C18" s="263" t="s">
        <v>679</v>
      </c>
      <c r="D18" s="263" t="s">
        <v>262</v>
      </c>
      <c r="E18" s="263" t="s">
        <v>628</v>
      </c>
      <c r="F18" s="263" t="s">
        <v>680</v>
      </c>
      <c r="G18" s="362">
        <v>205841460</v>
      </c>
      <c r="H18" s="265">
        <v>72.05</v>
      </c>
    </row>
    <row r="19" spans="1:8" ht="24" customHeight="1" x14ac:dyDescent="0.25">
      <c r="A19" s="263" t="s">
        <v>681</v>
      </c>
      <c r="B19" s="263" t="s">
        <v>682</v>
      </c>
      <c r="C19" s="263" t="s">
        <v>683</v>
      </c>
      <c r="D19" s="263" t="s">
        <v>262</v>
      </c>
      <c r="E19" s="263" t="s">
        <v>474</v>
      </c>
      <c r="F19" s="263" t="s">
        <v>684</v>
      </c>
      <c r="G19" s="362">
        <v>2040797652776</v>
      </c>
      <c r="H19" s="264">
        <v>171.5</v>
      </c>
    </row>
    <row r="20" spans="1:8" ht="24" customHeight="1" x14ac:dyDescent="0.25">
      <c r="A20" s="263" t="s">
        <v>550</v>
      </c>
      <c r="B20" s="263" t="s">
        <v>345</v>
      </c>
      <c r="C20" s="263" t="s">
        <v>165</v>
      </c>
      <c r="D20" s="263" t="s">
        <v>262</v>
      </c>
      <c r="E20" s="263" t="s">
        <v>474</v>
      </c>
      <c r="F20" s="263" t="s">
        <v>491</v>
      </c>
      <c r="G20" s="362">
        <v>2041534288661</v>
      </c>
      <c r="H20" s="267">
        <v>319</v>
      </c>
    </row>
    <row r="21" spans="1:8" ht="24" customHeight="1" x14ac:dyDescent="0.25">
      <c r="A21" s="263" t="s">
        <v>685</v>
      </c>
      <c r="B21" s="263" t="s">
        <v>686</v>
      </c>
      <c r="C21" s="263" t="s">
        <v>687</v>
      </c>
      <c r="D21" s="263" t="s">
        <v>262</v>
      </c>
      <c r="E21" s="263" t="s">
        <v>464</v>
      </c>
      <c r="F21" s="263" t="s">
        <v>688</v>
      </c>
      <c r="G21" s="362">
        <v>2042676894659</v>
      </c>
      <c r="H21" s="266"/>
    </row>
    <row r="22" spans="1:8" ht="24" customHeight="1" x14ac:dyDescent="0.25">
      <c r="A22" s="263" t="s">
        <v>518</v>
      </c>
      <c r="B22" s="263" t="s">
        <v>325</v>
      </c>
      <c r="C22" s="263" t="s">
        <v>54</v>
      </c>
      <c r="D22" s="263" t="s">
        <v>262</v>
      </c>
      <c r="E22" s="263" t="s">
        <v>453</v>
      </c>
      <c r="F22" s="263" t="s">
        <v>454</v>
      </c>
      <c r="G22" s="362">
        <v>2038161736993</v>
      </c>
      <c r="H22" s="267">
        <v>104</v>
      </c>
    </row>
    <row r="23" spans="1:8" ht="24" customHeight="1" x14ac:dyDescent="0.25">
      <c r="A23" s="263" t="s">
        <v>689</v>
      </c>
      <c r="B23" s="263" t="s">
        <v>326</v>
      </c>
      <c r="C23" s="263" t="s">
        <v>51</v>
      </c>
      <c r="D23" s="263" t="s">
        <v>262</v>
      </c>
      <c r="E23" s="263" t="s">
        <v>453</v>
      </c>
      <c r="F23" s="263" t="s">
        <v>455</v>
      </c>
      <c r="G23" s="362">
        <v>2038162681926</v>
      </c>
      <c r="H23" s="267">
        <v>89</v>
      </c>
    </row>
    <row r="24" spans="1:8" ht="24" customHeight="1" x14ac:dyDescent="0.25">
      <c r="A24" s="263" t="s">
        <v>690</v>
      </c>
      <c r="B24" s="263" t="s">
        <v>327</v>
      </c>
      <c r="C24" s="263" t="s">
        <v>52</v>
      </c>
      <c r="D24" s="263" t="s">
        <v>262</v>
      </c>
      <c r="E24" s="263" t="s">
        <v>453</v>
      </c>
      <c r="F24" s="263" t="s">
        <v>456</v>
      </c>
      <c r="G24" s="362">
        <v>2038172050200</v>
      </c>
      <c r="H24" s="267">
        <v>205</v>
      </c>
    </row>
    <row r="25" spans="1:8" ht="24" customHeight="1" x14ac:dyDescent="0.25">
      <c r="A25" s="263" t="s">
        <v>691</v>
      </c>
      <c r="B25" s="263" t="s">
        <v>328</v>
      </c>
      <c r="C25" s="263" t="s">
        <v>55</v>
      </c>
      <c r="D25" s="263" t="s">
        <v>262</v>
      </c>
      <c r="E25" s="263" t="s">
        <v>457</v>
      </c>
      <c r="F25" s="263" t="s">
        <v>458</v>
      </c>
      <c r="G25" s="362">
        <v>2038337652454</v>
      </c>
      <c r="H25" s="267">
        <v>375</v>
      </c>
    </row>
    <row r="26" spans="1:8" ht="24" customHeight="1" x14ac:dyDescent="0.25">
      <c r="A26" s="263" t="s">
        <v>519</v>
      </c>
      <c r="B26" s="263" t="s">
        <v>263</v>
      </c>
      <c r="C26" s="263" t="s">
        <v>59</v>
      </c>
      <c r="D26" s="263" t="s">
        <v>262</v>
      </c>
      <c r="E26" s="263" t="s">
        <v>467</v>
      </c>
      <c r="F26" s="263" t="s">
        <v>507</v>
      </c>
      <c r="G26" s="362">
        <v>2038430289250</v>
      </c>
      <c r="H26" s="267">
        <v>59</v>
      </c>
    </row>
    <row r="27" spans="1:8" ht="24" customHeight="1" x14ac:dyDescent="0.25">
      <c r="A27" s="263" t="s">
        <v>520</v>
      </c>
      <c r="B27" s="263" t="s">
        <v>264</v>
      </c>
      <c r="C27" s="263" t="s">
        <v>60</v>
      </c>
      <c r="D27" s="263" t="s">
        <v>262</v>
      </c>
      <c r="E27" s="263" t="s">
        <v>457</v>
      </c>
      <c r="F27" s="263" t="s">
        <v>459</v>
      </c>
      <c r="G27" s="362">
        <v>2038597850744</v>
      </c>
      <c r="H27" s="267">
        <v>71</v>
      </c>
    </row>
    <row r="28" spans="1:8" ht="24" customHeight="1" x14ac:dyDescent="0.25">
      <c r="A28" s="263" t="s">
        <v>692</v>
      </c>
      <c r="B28" s="263" t="s">
        <v>329</v>
      </c>
      <c r="C28" s="263" t="s">
        <v>61</v>
      </c>
      <c r="D28" s="263" t="s">
        <v>262</v>
      </c>
      <c r="E28" s="263" t="s">
        <v>457</v>
      </c>
      <c r="F28" s="263" t="s">
        <v>460</v>
      </c>
      <c r="G28" s="362">
        <v>2038606201642</v>
      </c>
      <c r="H28" s="267">
        <v>144</v>
      </c>
    </row>
    <row r="29" spans="1:8" ht="24" customHeight="1" x14ac:dyDescent="0.25">
      <c r="A29" s="263" t="s">
        <v>693</v>
      </c>
      <c r="B29" s="263" t="s">
        <v>330</v>
      </c>
      <c r="C29" s="263" t="s">
        <v>62</v>
      </c>
      <c r="D29" s="263" t="s">
        <v>262</v>
      </c>
      <c r="E29" s="263" t="s">
        <v>457</v>
      </c>
      <c r="F29" s="263" t="s">
        <v>461</v>
      </c>
      <c r="G29" s="362">
        <v>2038606256161</v>
      </c>
      <c r="H29" s="267">
        <v>144</v>
      </c>
    </row>
    <row r="30" spans="1:8" ht="24" customHeight="1" x14ac:dyDescent="0.25">
      <c r="A30" s="263" t="s">
        <v>694</v>
      </c>
      <c r="B30" s="263" t="s">
        <v>331</v>
      </c>
      <c r="C30" s="263" t="s">
        <v>64</v>
      </c>
      <c r="D30" s="263" t="s">
        <v>262</v>
      </c>
      <c r="E30" s="263" t="s">
        <v>457</v>
      </c>
      <c r="F30" s="263" t="s">
        <v>462</v>
      </c>
      <c r="G30" s="362">
        <v>2038627692689</v>
      </c>
      <c r="H30" s="267">
        <v>165</v>
      </c>
    </row>
    <row r="31" spans="1:8" ht="24" customHeight="1" x14ac:dyDescent="0.25">
      <c r="A31" s="263" t="s">
        <v>521</v>
      </c>
      <c r="B31" s="263" t="s">
        <v>332</v>
      </c>
      <c r="C31" s="263" t="s">
        <v>65</v>
      </c>
      <c r="D31" s="263" t="s">
        <v>262</v>
      </c>
      <c r="E31" s="263" t="s">
        <v>457</v>
      </c>
      <c r="F31" s="263" t="s">
        <v>463</v>
      </c>
      <c r="G31" s="362">
        <v>2038627713902</v>
      </c>
      <c r="H31" s="267">
        <v>156</v>
      </c>
    </row>
    <row r="32" spans="1:8" ht="24" customHeight="1" x14ac:dyDescent="0.25">
      <c r="A32" s="263" t="s">
        <v>522</v>
      </c>
      <c r="B32" s="263" t="s">
        <v>333</v>
      </c>
      <c r="C32" s="263" t="s">
        <v>79</v>
      </c>
      <c r="D32" s="263" t="s">
        <v>262</v>
      </c>
      <c r="E32" s="263" t="s">
        <v>464</v>
      </c>
      <c r="F32" s="263" t="s">
        <v>465</v>
      </c>
      <c r="G32" s="362">
        <v>2038890789598</v>
      </c>
      <c r="H32" s="267">
        <v>253</v>
      </c>
    </row>
    <row r="33" spans="1:8" ht="24" customHeight="1" x14ac:dyDescent="0.25">
      <c r="A33" s="263" t="s">
        <v>523</v>
      </c>
      <c r="B33" s="263" t="s">
        <v>358</v>
      </c>
      <c r="C33" s="263" t="s">
        <v>80</v>
      </c>
      <c r="D33" s="263" t="s">
        <v>262</v>
      </c>
      <c r="E33" s="263" t="s">
        <v>464</v>
      </c>
      <c r="F33" s="263" t="s">
        <v>508</v>
      </c>
      <c r="G33" s="362">
        <v>2038891723249</v>
      </c>
      <c r="H33" s="267">
        <v>171</v>
      </c>
    </row>
    <row r="34" spans="1:8" ht="24" customHeight="1" x14ac:dyDescent="0.25">
      <c r="A34" s="263" t="s">
        <v>695</v>
      </c>
      <c r="B34" s="263" t="s">
        <v>334</v>
      </c>
      <c r="C34" s="263" t="s">
        <v>90</v>
      </c>
      <c r="D34" s="263" t="s">
        <v>262</v>
      </c>
      <c r="E34" s="263" t="s">
        <v>457</v>
      </c>
      <c r="F34" s="263" t="s">
        <v>466</v>
      </c>
      <c r="G34" s="362">
        <v>2039404446068</v>
      </c>
      <c r="H34" s="267">
        <v>91</v>
      </c>
    </row>
    <row r="35" spans="1:8" ht="24" customHeight="1" x14ac:dyDescent="0.25">
      <c r="A35" s="263" t="s">
        <v>696</v>
      </c>
      <c r="B35" s="263" t="s">
        <v>697</v>
      </c>
      <c r="C35" s="263" t="s">
        <v>698</v>
      </c>
      <c r="D35" s="263" t="s">
        <v>262</v>
      </c>
      <c r="E35" s="263" t="s">
        <v>467</v>
      </c>
      <c r="F35" s="263" t="s">
        <v>699</v>
      </c>
      <c r="G35" s="362">
        <v>2039735724354</v>
      </c>
      <c r="H35" s="265">
        <v>665.14</v>
      </c>
    </row>
    <row r="36" spans="1:8" ht="24" customHeight="1" x14ac:dyDescent="0.25">
      <c r="A36" s="263" t="s">
        <v>700</v>
      </c>
      <c r="B36" s="263" t="s">
        <v>265</v>
      </c>
      <c r="C36" s="263" t="s">
        <v>110</v>
      </c>
      <c r="D36" s="263" t="s">
        <v>262</v>
      </c>
      <c r="E36" s="263" t="s">
        <v>467</v>
      </c>
      <c r="F36" s="263" t="s">
        <v>468</v>
      </c>
      <c r="G36" s="362">
        <v>2039813223373</v>
      </c>
      <c r="H36" s="267">
        <v>151</v>
      </c>
    </row>
    <row r="37" spans="1:8" ht="24" customHeight="1" x14ac:dyDescent="0.25">
      <c r="A37" s="263" t="s">
        <v>701</v>
      </c>
      <c r="B37" s="263" t="s">
        <v>359</v>
      </c>
      <c r="C37" s="263" t="s">
        <v>425</v>
      </c>
      <c r="D37" s="263" t="s">
        <v>262</v>
      </c>
      <c r="E37" s="263" t="s">
        <v>467</v>
      </c>
      <c r="F37" s="263" t="s">
        <v>509</v>
      </c>
      <c r="G37" s="362">
        <v>2039818580389</v>
      </c>
      <c r="H37" s="267">
        <v>59</v>
      </c>
    </row>
    <row r="38" spans="1:8" ht="24" customHeight="1" x14ac:dyDescent="0.25">
      <c r="A38" s="263" t="s">
        <v>702</v>
      </c>
      <c r="B38" s="263" t="s">
        <v>360</v>
      </c>
      <c r="C38" s="263" t="s">
        <v>424</v>
      </c>
      <c r="D38" s="263" t="s">
        <v>262</v>
      </c>
      <c r="E38" s="263" t="s">
        <v>467</v>
      </c>
      <c r="F38" s="263" t="s">
        <v>510</v>
      </c>
      <c r="G38" s="362">
        <v>2040278804649</v>
      </c>
      <c r="H38" s="267">
        <v>59</v>
      </c>
    </row>
    <row r="39" spans="1:8" ht="24" customHeight="1" x14ac:dyDescent="0.25">
      <c r="A39" s="263" t="s">
        <v>703</v>
      </c>
      <c r="B39" s="263" t="s">
        <v>361</v>
      </c>
      <c r="C39" s="263" t="s">
        <v>422</v>
      </c>
      <c r="D39" s="263" t="s">
        <v>262</v>
      </c>
      <c r="E39" s="263" t="s">
        <v>467</v>
      </c>
      <c r="F39" s="263" t="s">
        <v>511</v>
      </c>
      <c r="G39" s="362">
        <v>2040278804496</v>
      </c>
      <c r="H39" s="267">
        <v>59</v>
      </c>
    </row>
    <row r="40" spans="1:8" ht="24" customHeight="1" x14ac:dyDescent="0.25">
      <c r="A40" s="263" t="s">
        <v>704</v>
      </c>
      <c r="B40" s="263" t="s">
        <v>362</v>
      </c>
      <c r="C40" s="263" t="s">
        <v>423</v>
      </c>
      <c r="D40" s="263" t="s">
        <v>262</v>
      </c>
      <c r="E40" s="263" t="s">
        <v>467</v>
      </c>
      <c r="F40" s="263" t="s">
        <v>512</v>
      </c>
      <c r="G40" s="362">
        <v>2040278810534</v>
      </c>
      <c r="H40" s="267">
        <v>57</v>
      </c>
    </row>
    <row r="41" spans="1:8" ht="24" customHeight="1" x14ac:dyDescent="0.25">
      <c r="A41" s="263" t="s">
        <v>524</v>
      </c>
      <c r="B41" s="263" t="s">
        <v>335</v>
      </c>
      <c r="C41" s="263" t="s">
        <v>122</v>
      </c>
      <c r="D41" s="263" t="s">
        <v>262</v>
      </c>
      <c r="E41" s="263" t="s">
        <v>457</v>
      </c>
      <c r="F41" s="263" t="s">
        <v>469</v>
      </c>
      <c r="G41" s="362">
        <v>2040278862540</v>
      </c>
      <c r="H41" s="267">
        <v>142</v>
      </c>
    </row>
    <row r="42" spans="1:8" ht="24" customHeight="1" x14ac:dyDescent="0.25">
      <c r="A42" s="263" t="s">
        <v>705</v>
      </c>
      <c r="B42" s="263" t="s">
        <v>336</v>
      </c>
      <c r="C42" s="263" t="s">
        <v>117</v>
      </c>
      <c r="D42" s="263" t="s">
        <v>262</v>
      </c>
      <c r="E42" s="263" t="s">
        <v>457</v>
      </c>
      <c r="F42" s="263" t="s">
        <v>470</v>
      </c>
      <c r="G42" s="362">
        <v>2040335626849</v>
      </c>
      <c r="H42" s="267">
        <v>93</v>
      </c>
    </row>
    <row r="43" spans="1:8" ht="24" customHeight="1" x14ac:dyDescent="0.25">
      <c r="A43" s="263" t="s">
        <v>706</v>
      </c>
      <c r="B43" s="263" t="s">
        <v>337</v>
      </c>
      <c r="C43" s="263" t="s">
        <v>116</v>
      </c>
      <c r="D43" s="263" t="s">
        <v>262</v>
      </c>
      <c r="E43" s="263" t="s">
        <v>457</v>
      </c>
      <c r="F43" s="263" t="s">
        <v>471</v>
      </c>
      <c r="G43" s="362">
        <v>2040335648124</v>
      </c>
      <c r="H43" s="267">
        <v>93</v>
      </c>
    </row>
    <row r="44" spans="1:8" ht="24" customHeight="1" x14ac:dyDescent="0.25">
      <c r="A44" s="263" t="s">
        <v>525</v>
      </c>
      <c r="B44" s="263" t="s">
        <v>266</v>
      </c>
      <c r="C44" s="263" t="s">
        <v>121</v>
      </c>
      <c r="D44" s="263" t="s">
        <v>262</v>
      </c>
      <c r="E44" s="263" t="s">
        <v>457</v>
      </c>
      <c r="F44" s="263" t="s">
        <v>472</v>
      </c>
      <c r="G44" s="362">
        <v>2040478696884</v>
      </c>
      <c r="H44" s="267">
        <v>110</v>
      </c>
    </row>
    <row r="45" spans="1:8" ht="24" customHeight="1" x14ac:dyDescent="0.25">
      <c r="A45" s="263" t="s">
        <v>526</v>
      </c>
      <c r="B45" s="263" t="s">
        <v>267</v>
      </c>
      <c r="C45" s="263" t="s">
        <v>120</v>
      </c>
      <c r="D45" s="263" t="s">
        <v>262</v>
      </c>
      <c r="E45" s="263" t="s">
        <v>457</v>
      </c>
      <c r="F45" s="263" t="s">
        <v>473</v>
      </c>
      <c r="G45" s="362">
        <v>2040478720961</v>
      </c>
      <c r="H45" s="267">
        <v>139</v>
      </c>
    </row>
    <row r="46" spans="1:8" ht="24" customHeight="1" x14ac:dyDescent="0.25">
      <c r="A46" s="263" t="s">
        <v>527</v>
      </c>
      <c r="B46" s="263" t="s">
        <v>268</v>
      </c>
      <c r="C46" s="263" t="s">
        <v>144</v>
      </c>
      <c r="D46" s="263" t="s">
        <v>262</v>
      </c>
      <c r="E46" s="263" t="s">
        <v>474</v>
      </c>
      <c r="F46" s="263" t="s">
        <v>513</v>
      </c>
      <c r="G46" s="362">
        <v>2040900511679</v>
      </c>
      <c r="H46" s="267">
        <v>136</v>
      </c>
    </row>
    <row r="47" spans="1:8" ht="24" customHeight="1" x14ac:dyDescent="0.25">
      <c r="A47" s="263" t="s">
        <v>528</v>
      </c>
      <c r="B47" s="263" t="s">
        <v>269</v>
      </c>
      <c r="C47" s="263" t="s">
        <v>145</v>
      </c>
      <c r="D47" s="263" t="s">
        <v>262</v>
      </c>
      <c r="E47" s="263" t="s">
        <v>474</v>
      </c>
      <c r="F47" s="263" t="s">
        <v>514</v>
      </c>
      <c r="G47" s="362">
        <v>2040902555480</v>
      </c>
      <c r="H47" s="267">
        <v>136</v>
      </c>
    </row>
    <row r="48" spans="1:8" ht="24" customHeight="1" x14ac:dyDescent="0.25">
      <c r="A48" s="263" t="s">
        <v>707</v>
      </c>
      <c r="B48" s="263" t="s">
        <v>270</v>
      </c>
      <c r="C48" s="263" t="s">
        <v>143</v>
      </c>
      <c r="D48" s="263" t="s">
        <v>262</v>
      </c>
      <c r="E48" s="263" t="s">
        <v>474</v>
      </c>
      <c r="F48" s="263" t="s">
        <v>475</v>
      </c>
      <c r="G48" s="362">
        <v>2040903539366</v>
      </c>
      <c r="H48" s="267">
        <v>114</v>
      </c>
    </row>
    <row r="49" spans="1:8" ht="24" customHeight="1" x14ac:dyDescent="0.25">
      <c r="A49" s="263" t="s">
        <v>708</v>
      </c>
      <c r="B49" s="263" t="s">
        <v>271</v>
      </c>
      <c r="C49" s="263" t="s">
        <v>142</v>
      </c>
      <c r="D49" s="263" t="s">
        <v>262</v>
      </c>
      <c r="E49" s="263" t="s">
        <v>474</v>
      </c>
      <c r="F49" s="263" t="s">
        <v>476</v>
      </c>
      <c r="G49" s="362">
        <v>2040903547941</v>
      </c>
      <c r="H49" s="267">
        <v>114</v>
      </c>
    </row>
    <row r="50" spans="1:8" ht="24" customHeight="1" x14ac:dyDescent="0.25">
      <c r="A50" s="263" t="s">
        <v>529</v>
      </c>
      <c r="B50" s="263" t="s">
        <v>338</v>
      </c>
      <c r="C50" s="263" t="s">
        <v>150</v>
      </c>
      <c r="D50" s="263" t="s">
        <v>262</v>
      </c>
      <c r="E50" s="263" t="s">
        <v>464</v>
      </c>
      <c r="F50" s="263" t="s">
        <v>477</v>
      </c>
      <c r="G50" s="362">
        <v>2040957863936</v>
      </c>
      <c r="H50" s="267">
        <v>328</v>
      </c>
    </row>
    <row r="51" spans="1:8" ht="24" customHeight="1" x14ac:dyDescent="0.25">
      <c r="A51" s="263" t="s">
        <v>709</v>
      </c>
      <c r="B51" s="263" t="s">
        <v>272</v>
      </c>
      <c r="C51" s="263" t="s">
        <v>168</v>
      </c>
      <c r="D51" s="263" t="s">
        <v>262</v>
      </c>
      <c r="E51" s="263" t="s">
        <v>478</v>
      </c>
      <c r="F51" s="263" t="s">
        <v>479</v>
      </c>
      <c r="G51" s="362">
        <v>2041473034138</v>
      </c>
      <c r="H51" s="267">
        <v>281</v>
      </c>
    </row>
    <row r="52" spans="1:8" ht="24" customHeight="1" x14ac:dyDescent="0.25">
      <c r="A52" s="263" t="s">
        <v>710</v>
      </c>
      <c r="B52" s="263" t="s">
        <v>273</v>
      </c>
      <c r="C52" s="263" t="s">
        <v>167</v>
      </c>
      <c r="D52" s="263" t="s">
        <v>262</v>
      </c>
      <c r="E52" s="263" t="s">
        <v>478</v>
      </c>
      <c r="F52" s="263" t="s">
        <v>480</v>
      </c>
      <c r="G52" s="362">
        <v>2041473034145</v>
      </c>
      <c r="H52" s="267">
        <v>281</v>
      </c>
    </row>
    <row r="53" spans="1:8" ht="24" customHeight="1" x14ac:dyDescent="0.25">
      <c r="A53" s="263" t="s">
        <v>711</v>
      </c>
      <c r="B53" s="263" t="s">
        <v>274</v>
      </c>
      <c r="C53" s="263" t="s">
        <v>166</v>
      </c>
      <c r="D53" s="263" t="s">
        <v>262</v>
      </c>
      <c r="E53" s="263" t="s">
        <v>478</v>
      </c>
      <c r="F53" s="263" t="s">
        <v>481</v>
      </c>
      <c r="G53" s="362">
        <v>2041473034169</v>
      </c>
      <c r="H53" s="267">
        <v>281</v>
      </c>
    </row>
    <row r="54" spans="1:8" ht="24" customHeight="1" x14ac:dyDescent="0.25">
      <c r="A54" s="263" t="s">
        <v>530</v>
      </c>
      <c r="B54" s="263" t="s">
        <v>275</v>
      </c>
      <c r="C54" s="263" t="s">
        <v>169</v>
      </c>
      <c r="D54" s="263" t="s">
        <v>262</v>
      </c>
      <c r="E54" s="263" t="s">
        <v>478</v>
      </c>
      <c r="F54" s="263" t="s">
        <v>482</v>
      </c>
      <c r="G54" s="362">
        <v>2041473042966</v>
      </c>
      <c r="H54" s="267">
        <v>261</v>
      </c>
    </row>
    <row r="55" spans="1:8" ht="24" customHeight="1" x14ac:dyDescent="0.25">
      <c r="A55" s="263" t="s">
        <v>531</v>
      </c>
      <c r="B55" s="263" t="s">
        <v>339</v>
      </c>
      <c r="C55" s="263" t="s">
        <v>163</v>
      </c>
      <c r="D55" s="263" t="s">
        <v>262</v>
      </c>
      <c r="E55" s="263" t="s">
        <v>457</v>
      </c>
      <c r="F55" s="263" t="s">
        <v>483</v>
      </c>
      <c r="G55" s="362">
        <v>2041532752478</v>
      </c>
      <c r="H55" s="267">
        <v>378</v>
      </c>
    </row>
    <row r="56" spans="1:8" ht="24" customHeight="1" x14ac:dyDescent="0.25">
      <c r="A56" s="263" t="s">
        <v>532</v>
      </c>
      <c r="B56" s="263" t="s">
        <v>340</v>
      </c>
      <c r="C56" s="263" t="s">
        <v>162</v>
      </c>
      <c r="D56" s="263" t="s">
        <v>262</v>
      </c>
      <c r="E56" s="263" t="s">
        <v>464</v>
      </c>
      <c r="F56" s="263" t="s">
        <v>484</v>
      </c>
      <c r="G56" s="362">
        <v>2041532808502</v>
      </c>
      <c r="H56" s="267">
        <v>142</v>
      </c>
    </row>
    <row r="57" spans="1:8" ht="24" customHeight="1" x14ac:dyDescent="0.25">
      <c r="A57" s="263" t="s">
        <v>533</v>
      </c>
      <c r="B57" s="263" t="s">
        <v>341</v>
      </c>
      <c r="C57" s="263" t="s">
        <v>175</v>
      </c>
      <c r="D57" s="263" t="s">
        <v>262</v>
      </c>
      <c r="E57" s="263" t="s">
        <v>485</v>
      </c>
      <c r="F57" s="263" t="s">
        <v>486</v>
      </c>
      <c r="G57" s="362">
        <v>2041533038113</v>
      </c>
      <c r="H57" s="267">
        <v>127</v>
      </c>
    </row>
    <row r="58" spans="1:8" ht="24" customHeight="1" x14ac:dyDescent="0.25">
      <c r="A58" s="263" t="s">
        <v>534</v>
      </c>
      <c r="B58" s="263" t="s">
        <v>342</v>
      </c>
      <c r="C58" s="263" t="s">
        <v>173</v>
      </c>
      <c r="D58" s="263" t="s">
        <v>262</v>
      </c>
      <c r="E58" s="263" t="s">
        <v>485</v>
      </c>
      <c r="F58" s="263" t="s">
        <v>487</v>
      </c>
      <c r="G58" s="362">
        <v>2041533399818</v>
      </c>
      <c r="H58" s="267">
        <v>170</v>
      </c>
    </row>
    <row r="59" spans="1:8" ht="24" customHeight="1" x14ac:dyDescent="0.25">
      <c r="A59" s="263" t="s">
        <v>535</v>
      </c>
      <c r="B59" s="263" t="s">
        <v>276</v>
      </c>
      <c r="C59" s="263" t="s">
        <v>174</v>
      </c>
      <c r="D59" s="263" t="s">
        <v>262</v>
      </c>
      <c r="E59" s="263" t="s">
        <v>485</v>
      </c>
      <c r="F59" s="263" t="s">
        <v>488</v>
      </c>
      <c r="G59" s="362">
        <v>2041533587000</v>
      </c>
      <c r="H59" s="267">
        <v>235</v>
      </c>
    </row>
    <row r="60" spans="1:8" ht="24" customHeight="1" x14ac:dyDescent="0.25">
      <c r="A60" s="263" t="s">
        <v>712</v>
      </c>
      <c r="B60" s="263" t="s">
        <v>343</v>
      </c>
      <c r="C60" s="263" t="s">
        <v>172</v>
      </c>
      <c r="D60" s="263" t="s">
        <v>262</v>
      </c>
      <c r="E60" s="263" t="s">
        <v>485</v>
      </c>
      <c r="F60" s="263" t="s">
        <v>489</v>
      </c>
      <c r="G60" s="362">
        <v>2041533648312</v>
      </c>
      <c r="H60" s="267">
        <v>114</v>
      </c>
    </row>
    <row r="61" spans="1:8" ht="24" customHeight="1" x14ac:dyDescent="0.25">
      <c r="A61" s="263" t="s">
        <v>536</v>
      </c>
      <c r="B61" s="263" t="s">
        <v>344</v>
      </c>
      <c r="C61" s="263" t="s">
        <v>164</v>
      </c>
      <c r="D61" s="263" t="s">
        <v>262</v>
      </c>
      <c r="E61" s="263" t="s">
        <v>474</v>
      </c>
      <c r="F61" s="263" t="s">
        <v>490</v>
      </c>
      <c r="G61" s="362">
        <v>2041534216404</v>
      </c>
      <c r="H61" s="267">
        <v>471</v>
      </c>
    </row>
    <row r="62" spans="1:8" ht="24" customHeight="1" x14ac:dyDescent="0.25">
      <c r="A62" s="263" t="s">
        <v>713</v>
      </c>
      <c r="B62" s="263" t="s">
        <v>277</v>
      </c>
      <c r="C62" s="263" t="s">
        <v>115</v>
      </c>
      <c r="D62" s="263" t="s">
        <v>262</v>
      </c>
      <c r="E62" s="263" t="s">
        <v>467</v>
      </c>
      <c r="F62" s="263" t="s">
        <v>492</v>
      </c>
      <c r="G62" s="362">
        <v>2041591042329</v>
      </c>
      <c r="H62" s="267">
        <v>151</v>
      </c>
    </row>
    <row r="63" spans="1:8" ht="24" customHeight="1" x14ac:dyDescent="0.25">
      <c r="A63" s="263" t="s">
        <v>714</v>
      </c>
      <c r="B63" s="263" t="s">
        <v>278</v>
      </c>
      <c r="C63" s="263" t="s">
        <v>114</v>
      </c>
      <c r="D63" s="263" t="s">
        <v>262</v>
      </c>
      <c r="E63" s="263" t="s">
        <v>467</v>
      </c>
      <c r="F63" s="263" t="s">
        <v>493</v>
      </c>
      <c r="G63" s="362">
        <v>2041591055954</v>
      </c>
      <c r="H63" s="267">
        <v>151</v>
      </c>
    </row>
    <row r="64" spans="1:8" ht="24" customHeight="1" x14ac:dyDescent="0.25">
      <c r="A64" s="263" t="s">
        <v>537</v>
      </c>
      <c r="B64" s="263" t="s">
        <v>363</v>
      </c>
      <c r="C64" s="263" t="s">
        <v>187</v>
      </c>
      <c r="D64" s="263" t="s">
        <v>262</v>
      </c>
      <c r="E64" s="263" t="s">
        <v>464</v>
      </c>
      <c r="F64" s="263" t="s">
        <v>515</v>
      </c>
      <c r="G64" s="362">
        <v>2041680530447</v>
      </c>
      <c r="H64" s="267">
        <v>142</v>
      </c>
    </row>
    <row r="65" spans="1:8" ht="24" customHeight="1" x14ac:dyDescent="0.25">
      <c r="A65" s="263" t="s">
        <v>538</v>
      </c>
      <c r="B65" s="263" t="s">
        <v>346</v>
      </c>
      <c r="C65" s="263" t="s">
        <v>199</v>
      </c>
      <c r="D65" s="263" t="s">
        <v>262</v>
      </c>
      <c r="E65" s="263" t="s">
        <v>464</v>
      </c>
      <c r="F65" s="263" t="s">
        <v>494</v>
      </c>
      <c r="G65" s="362">
        <v>2042160422832</v>
      </c>
      <c r="H65" s="267">
        <v>253</v>
      </c>
    </row>
    <row r="66" spans="1:8" ht="24" customHeight="1" x14ac:dyDescent="0.25">
      <c r="A66" s="263" t="s">
        <v>539</v>
      </c>
      <c r="B66" s="263" t="s">
        <v>347</v>
      </c>
      <c r="C66" s="263" t="s">
        <v>202</v>
      </c>
      <c r="D66" s="263" t="s">
        <v>262</v>
      </c>
      <c r="E66" s="263" t="s">
        <v>474</v>
      </c>
      <c r="F66" s="263" t="s">
        <v>495</v>
      </c>
      <c r="G66" s="362">
        <v>2042253544953</v>
      </c>
      <c r="H66" s="267">
        <v>167</v>
      </c>
    </row>
    <row r="67" spans="1:8" ht="24" customHeight="1" x14ac:dyDescent="0.25">
      <c r="A67" s="263" t="s">
        <v>540</v>
      </c>
      <c r="B67" s="263" t="s">
        <v>348</v>
      </c>
      <c r="C67" s="263" t="s">
        <v>496</v>
      </c>
      <c r="D67" s="263" t="s">
        <v>262</v>
      </c>
      <c r="E67" s="263" t="s">
        <v>464</v>
      </c>
      <c r="F67" s="263" t="s">
        <v>497</v>
      </c>
      <c r="G67" s="362">
        <v>2042676873814</v>
      </c>
      <c r="H67" s="267">
        <v>328</v>
      </c>
    </row>
    <row r="68" spans="1:8" ht="24" customHeight="1" x14ac:dyDescent="0.25">
      <c r="A68" s="263" t="s">
        <v>541</v>
      </c>
      <c r="B68" s="263" t="s">
        <v>349</v>
      </c>
      <c r="C68" s="263" t="s">
        <v>284</v>
      </c>
      <c r="D68" s="263" t="s">
        <v>262</v>
      </c>
      <c r="E68" s="263" t="s">
        <v>485</v>
      </c>
      <c r="F68" s="263" t="s">
        <v>498</v>
      </c>
      <c r="G68" s="362">
        <v>2042678197468</v>
      </c>
      <c r="H68" s="267">
        <v>114</v>
      </c>
    </row>
    <row r="69" spans="1:8" ht="24" customHeight="1" x14ac:dyDescent="0.25">
      <c r="A69" s="263" t="s">
        <v>542</v>
      </c>
      <c r="B69" s="263" t="s">
        <v>350</v>
      </c>
      <c r="C69" s="263" t="s">
        <v>286</v>
      </c>
      <c r="D69" s="263" t="s">
        <v>262</v>
      </c>
      <c r="E69" s="263" t="s">
        <v>485</v>
      </c>
      <c r="F69" s="263" t="s">
        <v>499</v>
      </c>
      <c r="G69" s="362">
        <v>2042777181566</v>
      </c>
      <c r="H69" s="267">
        <v>127</v>
      </c>
    </row>
    <row r="70" spans="1:8" ht="24" customHeight="1" x14ac:dyDescent="0.25">
      <c r="A70" s="263" t="s">
        <v>543</v>
      </c>
      <c r="B70" s="263" t="s">
        <v>351</v>
      </c>
      <c r="C70" s="263" t="s">
        <v>292</v>
      </c>
      <c r="D70" s="263" t="s">
        <v>262</v>
      </c>
      <c r="E70" s="263" t="s">
        <v>467</v>
      </c>
      <c r="F70" s="263" t="s">
        <v>500</v>
      </c>
      <c r="G70" s="362">
        <v>2042985583893</v>
      </c>
      <c r="H70" s="267">
        <v>80</v>
      </c>
    </row>
    <row r="71" spans="1:8" ht="24" customHeight="1" x14ac:dyDescent="0.25">
      <c r="A71" s="263" t="s">
        <v>544</v>
      </c>
      <c r="B71" s="263" t="s">
        <v>352</v>
      </c>
      <c r="C71" s="263" t="s">
        <v>296</v>
      </c>
      <c r="D71" s="263" t="s">
        <v>262</v>
      </c>
      <c r="E71" s="263" t="s">
        <v>467</v>
      </c>
      <c r="F71" s="263" t="s">
        <v>501</v>
      </c>
      <c r="G71" s="362">
        <v>2042986356632</v>
      </c>
      <c r="H71" s="267">
        <v>80</v>
      </c>
    </row>
    <row r="72" spans="1:8" ht="24" customHeight="1" x14ac:dyDescent="0.25">
      <c r="A72" s="263" t="s">
        <v>545</v>
      </c>
      <c r="B72" s="263" t="s">
        <v>353</v>
      </c>
      <c r="C72" s="263" t="s">
        <v>299</v>
      </c>
      <c r="D72" s="263" t="s">
        <v>262</v>
      </c>
      <c r="E72" s="263" t="s">
        <v>467</v>
      </c>
      <c r="F72" s="263" t="s">
        <v>502</v>
      </c>
      <c r="G72" s="362">
        <v>2042986372359</v>
      </c>
      <c r="H72" s="267">
        <v>80</v>
      </c>
    </row>
    <row r="73" spans="1:8" ht="24" customHeight="1" x14ac:dyDescent="0.25">
      <c r="A73" s="263" t="s">
        <v>546</v>
      </c>
      <c r="B73" s="263" t="s">
        <v>354</v>
      </c>
      <c r="C73" s="263" t="s">
        <v>297</v>
      </c>
      <c r="D73" s="263" t="s">
        <v>262</v>
      </c>
      <c r="E73" s="263" t="s">
        <v>467</v>
      </c>
      <c r="F73" s="263" t="s">
        <v>503</v>
      </c>
      <c r="G73" s="362">
        <v>2042986377583</v>
      </c>
      <c r="H73" s="267">
        <v>81</v>
      </c>
    </row>
    <row r="74" spans="1:8" ht="24" customHeight="1" x14ac:dyDescent="0.25">
      <c r="A74" s="263" t="s">
        <v>547</v>
      </c>
      <c r="B74" s="263" t="s">
        <v>355</v>
      </c>
      <c r="C74" s="263" t="s">
        <v>306</v>
      </c>
      <c r="D74" s="263" t="s">
        <v>262</v>
      </c>
      <c r="E74" s="263" t="s">
        <v>485</v>
      </c>
      <c r="F74" s="263" t="s">
        <v>504</v>
      </c>
      <c r="G74" s="362">
        <v>2042987041841</v>
      </c>
      <c r="H74" s="267">
        <v>228</v>
      </c>
    </row>
    <row r="75" spans="1:8" ht="24" customHeight="1" x14ac:dyDescent="0.25">
      <c r="A75" s="263" t="s">
        <v>548</v>
      </c>
      <c r="B75" s="263" t="s">
        <v>356</v>
      </c>
      <c r="C75" s="263" t="s">
        <v>307</v>
      </c>
      <c r="D75" s="263" t="s">
        <v>262</v>
      </c>
      <c r="E75" s="263" t="s">
        <v>485</v>
      </c>
      <c r="F75" s="263" t="s">
        <v>505</v>
      </c>
      <c r="G75" s="362">
        <v>2042988749289</v>
      </c>
      <c r="H75" s="267">
        <v>247</v>
      </c>
    </row>
    <row r="76" spans="1:8" ht="24" customHeight="1" x14ac:dyDescent="0.25">
      <c r="A76" s="263" t="s">
        <v>549</v>
      </c>
      <c r="B76" s="263" t="s">
        <v>364</v>
      </c>
      <c r="C76" s="263" t="s">
        <v>308</v>
      </c>
      <c r="D76" s="263" t="s">
        <v>262</v>
      </c>
      <c r="E76" s="263" t="s">
        <v>464</v>
      </c>
      <c r="F76" s="263" t="s">
        <v>516</v>
      </c>
      <c r="G76" s="362">
        <v>2043048226719</v>
      </c>
      <c r="H76" s="267">
        <v>142</v>
      </c>
    </row>
    <row r="77" spans="1:8" ht="24" customHeight="1" x14ac:dyDescent="0.25">
      <c r="A77" s="263" t="s">
        <v>715</v>
      </c>
      <c r="B77" s="263" t="s">
        <v>365</v>
      </c>
      <c r="C77" s="263" t="s">
        <v>426</v>
      </c>
      <c r="D77" s="263" t="s">
        <v>262</v>
      </c>
      <c r="E77" s="263" t="s">
        <v>467</v>
      </c>
      <c r="F77" s="263" t="s">
        <v>517</v>
      </c>
      <c r="G77" s="362">
        <v>2043369663040</v>
      </c>
      <c r="H77" s="267">
        <v>59</v>
      </c>
    </row>
    <row r="78" spans="1:8" ht="24" customHeight="1" x14ac:dyDescent="0.25">
      <c r="A78" s="263" t="s">
        <v>716</v>
      </c>
      <c r="B78" s="263" t="s">
        <v>357</v>
      </c>
      <c r="C78" s="263" t="s">
        <v>318</v>
      </c>
      <c r="D78" s="263" t="s">
        <v>262</v>
      </c>
      <c r="E78" s="263" t="s">
        <v>485</v>
      </c>
      <c r="F78" s="263" t="s">
        <v>506</v>
      </c>
      <c r="G78" s="362">
        <v>2043369755509</v>
      </c>
      <c r="H78" s="267">
        <v>116</v>
      </c>
    </row>
    <row r="79" spans="1:8" ht="24" customHeight="1" x14ac:dyDescent="0.25">
      <c r="A79" s="263" t="s">
        <v>717</v>
      </c>
      <c r="B79" s="263" t="s">
        <v>718</v>
      </c>
      <c r="C79" s="263" t="s">
        <v>447</v>
      </c>
      <c r="D79" s="263" t="s">
        <v>262</v>
      </c>
      <c r="E79" s="263" t="s">
        <v>464</v>
      </c>
      <c r="F79" s="263" t="s">
        <v>719</v>
      </c>
      <c r="G79" s="362">
        <v>2044025155923</v>
      </c>
      <c r="H79" s="267">
        <v>171</v>
      </c>
    </row>
    <row r="80" spans="1:8" ht="24" customHeight="1" x14ac:dyDescent="0.25">
      <c r="A80" s="263" t="s">
        <v>720</v>
      </c>
      <c r="B80" s="263" t="s">
        <v>721</v>
      </c>
      <c r="C80" s="263" t="s">
        <v>412</v>
      </c>
      <c r="D80" s="263" t="s">
        <v>262</v>
      </c>
      <c r="E80" s="263" t="s">
        <v>467</v>
      </c>
      <c r="F80" s="263" t="s">
        <v>722</v>
      </c>
      <c r="G80" s="362">
        <v>2044025288003</v>
      </c>
      <c r="H80" s="267">
        <v>56</v>
      </c>
    </row>
    <row r="81" spans="1:8" ht="24" customHeight="1" x14ac:dyDescent="0.25">
      <c r="A81" s="263" t="s">
        <v>723</v>
      </c>
      <c r="B81" s="263" t="s">
        <v>724</v>
      </c>
      <c r="C81" s="263" t="s">
        <v>416</v>
      </c>
      <c r="D81" s="263" t="s">
        <v>262</v>
      </c>
      <c r="E81" s="263" t="s">
        <v>467</v>
      </c>
      <c r="F81" s="263" t="s">
        <v>725</v>
      </c>
      <c r="G81" s="362">
        <v>2044025291485</v>
      </c>
      <c r="H81" s="267">
        <v>90</v>
      </c>
    </row>
    <row r="82" spans="1:8" ht="24" customHeight="1" x14ac:dyDescent="0.25">
      <c r="A82" s="263" t="s">
        <v>726</v>
      </c>
      <c r="B82" s="263" t="s">
        <v>727</v>
      </c>
      <c r="C82" s="263" t="s">
        <v>410</v>
      </c>
      <c r="D82" s="263" t="s">
        <v>262</v>
      </c>
      <c r="E82" s="263" t="s">
        <v>467</v>
      </c>
      <c r="F82" s="263" t="s">
        <v>728</v>
      </c>
      <c r="G82" s="362">
        <v>2044025316447</v>
      </c>
      <c r="H82" s="267">
        <v>56</v>
      </c>
    </row>
    <row r="83" spans="1:8" ht="24" customHeight="1" x14ac:dyDescent="0.25">
      <c r="A83" s="263" t="s">
        <v>729</v>
      </c>
      <c r="B83" s="263" t="s">
        <v>730</v>
      </c>
      <c r="C83" s="263" t="s">
        <v>414</v>
      </c>
      <c r="D83" s="263" t="s">
        <v>262</v>
      </c>
      <c r="E83" s="263" t="s">
        <v>467</v>
      </c>
      <c r="F83" s="263" t="s">
        <v>731</v>
      </c>
      <c r="G83" s="362">
        <v>2044025321588</v>
      </c>
      <c r="H83" s="267">
        <v>90</v>
      </c>
    </row>
    <row r="84" spans="1:8" ht="24" customHeight="1" x14ac:dyDescent="0.25">
      <c r="A84" s="263" t="s">
        <v>732</v>
      </c>
      <c r="B84" s="263" t="s">
        <v>733</v>
      </c>
      <c r="C84" s="263" t="s">
        <v>409</v>
      </c>
      <c r="D84" s="263" t="s">
        <v>262</v>
      </c>
      <c r="E84" s="263" t="s">
        <v>467</v>
      </c>
      <c r="F84" s="263" t="s">
        <v>734</v>
      </c>
      <c r="G84" s="362">
        <v>2044025326637</v>
      </c>
      <c r="H84" s="267">
        <v>61</v>
      </c>
    </row>
    <row r="85" spans="1:8" ht="24" customHeight="1" x14ac:dyDescent="0.25">
      <c r="A85" s="263" t="s">
        <v>735</v>
      </c>
      <c r="B85" s="263" t="s">
        <v>736</v>
      </c>
      <c r="C85" s="263" t="s">
        <v>411</v>
      </c>
      <c r="D85" s="263" t="s">
        <v>262</v>
      </c>
      <c r="E85" s="263" t="s">
        <v>467</v>
      </c>
      <c r="F85" s="263" t="s">
        <v>737</v>
      </c>
      <c r="G85" s="362">
        <v>2044025338661</v>
      </c>
      <c r="H85" s="267">
        <v>56</v>
      </c>
    </row>
    <row r="86" spans="1:8" ht="24" customHeight="1" x14ac:dyDescent="0.25">
      <c r="A86" s="263" t="s">
        <v>738</v>
      </c>
      <c r="B86" s="263" t="s">
        <v>739</v>
      </c>
      <c r="C86" s="263" t="s">
        <v>415</v>
      </c>
      <c r="D86" s="263" t="s">
        <v>262</v>
      </c>
      <c r="E86" s="263" t="s">
        <v>467</v>
      </c>
      <c r="F86" s="263" t="s">
        <v>740</v>
      </c>
      <c r="G86" s="362">
        <v>2044025342057</v>
      </c>
      <c r="H86" s="267">
        <v>90</v>
      </c>
    </row>
    <row r="87" spans="1:8" ht="24" customHeight="1" x14ac:dyDescent="0.25">
      <c r="A87" s="263" t="s">
        <v>741</v>
      </c>
      <c r="B87" s="263" t="s">
        <v>742</v>
      </c>
      <c r="C87" s="263" t="s">
        <v>413</v>
      </c>
      <c r="D87" s="263" t="s">
        <v>262</v>
      </c>
      <c r="E87" s="263" t="s">
        <v>467</v>
      </c>
      <c r="F87" s="263" t="s">
        <v>743</v>
      </c>
      <c r="G87" s="362">
        <v>2044025344532</v>
      </c>
      <c r="H87" s="267">
        <v>56</v>
      </c>
    </row>
    <row r="88" spans="1:8" ht="24" customHeight="1" x14ac:dyDescent="0.25">
      <c r="A88" s="263" t="s">
        <v>744</v>
      </c>
      <c r="B88" s="263" t="s">
        <v>745</v>
      </c>
      <c r="C88" s="263" t="s">
        <v>417</v>
      </c>
      <c r="D88" s="263" t="s">
        <v>262</v>
      </c>
      <c r="E88" s="263" t="s">
        <v>467</v>
      </c>
      <c r="F88" s="263" t="s">
        <v>746</v>
      </c>
      <c r="G88" s="362">
        <v>2044025347953</v>
      </c>
      <c r="H88" s="267">
        <v>90</v>
      </c>
    </row>
    <row r="89" spans="1:8" ht="24" customHeight="1" x14ac:dyDescent="0.25">
      <c r="A89" s="263" t="s">
        <v>747</v>
      </c>
      <c r="B89" s="263" t="s">
        <v>748</v>
      </c>
      <c r="C89" s="263" t="s">
        <v>418</v>
      </c>
      <c r="D89" s="263" t="s">
        <v>262</v>
      </c>
      <c r="E89" s="263" t="s">
        <v>467</v>
      </c>
      <c r="F89" s="263" t="s">
        <v>749</v>
      </c>
      <c r="G89" s="362">
        <v>2044025354937</v>
      </c>
      <c r="H89" s="267">
        <v>90</v>
      </c>
    </row>
    <row r="90" spans="1:8" ht="24" customHeight="1" x14ac:dyDescent="0.25">
      <c r="A90" s="263" t="s">
        <v>942</v>
      </c>
      <c r="B90" s="263" t="s">
        <v>750</v>
      </c>
      <c r="C90" s="263" t="s">
        <v>554</v>
      </c>
      <c r="D90" s="263" t="s">
        <v>262</v>
      </c>
      <c r="E90" s="263" t="s">
        <v>464</v>
      </c>
      <c r="F90" s="263" t="s">
        <v>751</v>
      </c>
      <c r="G90" s="362">
        <v>2044516485386</v>
      </c>
      <c r="H90" s="267">
        <v>172</v>
      </c>
    </row>
    <row r="91" spans="1:8" ht="24" customHeight="1" x14ac:dyDescent="0.25">
      <c r="A91" s="263" t="s">
        <v>943</v>
      </c>
      <c r="B91" s="263" t="s">
        <v>752</v>
      </c>
      <c r="C91" s="263" t="s">
        <v>555</v>
      </c>
      <c r="D91" s="263" t="s">
        <v>262</v>
      </c>
      <c r="E91" s="263" t="s">
        <v>464</v>
      </c>
      <c r="F91" s="263" t="s">
        <v>753</v>
      </c>
      <c r="G91" s="362">
        <v>2044516498812</v>
      </c>
      <c r="H91" s="267">
        <v>172</v>
      </c>
    </row>
    <row r="92" spans="1:8" ht="24" customHeight="1" x14ac:dyDescent="0.25">
      <c r="A92" s="263" t="s">
        <v>1067</v>
      </c>
      <c r="B92" s="263" t="s">
        <v>1068</v>
      </c>
      <c r="C92" s="263" t="s">
        <v>967</v>
      </c>
      <c r="D92" s="263" t="s">
        <v>262</v>
      </c>
      <c r="E92" s="263" t="s">
        <v>1069</v>
      </c>
      <c r="F92" s="263" t="s">
        <v>1070</v>
      </c>
      <c r="G92" s="362">
        <v>2046392440640</v>
      </c>
      <c r="H92" s="266">
        <v>436</v>
      </c>
    </row>
    <row r="93" spans="1:8" ht="24" customHeight="1" x14ac:dyDescent="0.25">
      <c r="A93" s="263" t="s">
        <v>1071</v>
      </c>
      <c r="B93" s="263" t="s">
        <v>1072</v>
      </c>
      <c r="C93" s="263" t="s">
        <v>968</v>
      </c>
      <c r="D93" s="263" t="s">
        <v>262</v>
      </c>
      <c r="E93" s="263" t="s">
        <v>1069</v>
      </c>
      <c r="F93" s="263" t="s">
        <v>1073</v>
      </c>
      <c r="G93" s="362">
        <v>2046392546618</v>
      </c>
      <c r="H93" s="266">
        <v>467</v>
      </c>
    </row>
    <row r="94" spans="1:8" ht="24" customHeight="1" x14ac:dyDescent="0.25">
      <c r="A94" s="263" t="s">
        <v>1074</v>
      </c>
      <c r="B94" s="263" t="s">
        <v>1075</v>
      </c>
      <c r="C94" s="263" t="s">
        <v>969</v>
      </c>
      <c r="D94" s="263" t="s">
        <v>262</v>
      </c>
      <c r="E94" s="263" t="s">
        <v>1069</v>
      </c>
      <c r="F94" s="263" t="s">
        <v>1076</v>
      </c>
      <c r="G94" s="362">
        <v>2046392546632</v>
      </c>
      <c r="H94" s="266">
        <v>309</v>
      </c>
    </row>
    <row r="95" spans="1:8" ht="24" customHeight="1" x14ac:dyDescent="0.25">
      <c r="A95" s="263" t="s">
        <v>754</v>
      </c>
      <c r="B95" s="263" t="s">
        <v>755</v>
      </c>
      <c r="C95" s="263"/>
      <c r="D95" s="263" t="s">
        <v>756</v>
      </c>
      <c r="E95" s="263" t="s">
        <v>564</v>
      </c>
      <c r="F95" s="263" t="s">
        <v>757</v>
      </c>
      <c r="G95" s="362"/>
      <c r="H95" s="266"/>
    </row>
    <row r="96" spans="1:8" ht="24" customHeight="1" x14ac:dyDescent="0.25">
      <c r="A96" s="263" t="s">
        <v>758</v>
      </c>
      <c r="B96" s="263" t="s">
        <v>759</v>
      </c>
      <c r="C96" s="263"/>
      <c r="D96" s="263" t="s">
        <v>262</v>
      </c>
      <c r="E96" s="263" t="s">
        <v>760</v>
      </c>
      <c r="F96" s="263" t="s">
        <v>761</v>
      </c>
      <c r="G96" s="362"/>
      <c r="H96" s="266"/>
    </row>
    <row r="97" spans="1:8" ht="24" customHeight="1" x14ac:dyDescent="0.25">
      <c r="A97" s="263" t="s">
        <v>762</v>
      </c>
      <c r="B97" s="263" t="s">
        <v>763</v>
      </c>
      <c r="C97" s="263" t="s">
        <v>764</v>
      </c>
      <c r="D97" s="263" t="s">
        <v>262</v>
      </c>
      <c r="E97" s="263" t="s">
        <v>765</v>
      </c>
      <c r="F97" s="263" t="s">
        <v>766</v>
      </c>
      <c r="G97" s="362"/>
      <c r="H97" s="266"/>
    </row>
    <row r="98" spans="1:8" ht="24" customHeight="1" x14ac:dyDescent="0.25">
      <c r="A98" s="263" t="s">
        <v>767</v>
      </c>
      <c r="B98" s="263" t="s">
        <v>768</v>
      </c>
      <c r="C98" s="263"/>
      <c r="D98" s="263" t="s">
        <v>262</v>
      </c>
      <c r="E98" s="263" t="s">
        <v>769</v>
      </c>
      <c r="F98" s="263" t="s">
        <v>770</v>
      </c>
      <c r="G98" s="362"/>
      <c r="H98" s="266"/>
    </row>
    <row r="99" spans="1:8" ht="24" customHeight="1" x14ac:dyDescent="0.25">
      <c r="A99" s="263" t="s">
        <v>1077</v>
      </c>
      <c r="B99" s="263" t="s">
        <v>1078</v>
      </c>
      <c r="C99" s="263" t="s">
        <v>1079</v>
      </c>
      <c r="D99" s="263" t="s">
        <v>262</v>
      </c>
      <c r="E99" s="263" t="s">
        <v>765</v>
      </c>
      <c r="F99" s="263" t="s">
        <v>1080</v>
      </c>
      <c r="G99" s="362"/>
      <c r="H99" s="266"/>
    </row>
    <row r="100" spans="1:8" ht="24" customHeight="1" x14ac:dyDescent="0.25">
      <c r="A100" s="263" t="s">
        <v>1081</v>
      </c>
      <c r="B100" s="263" t="s">
        <v>1082</v>
      </c>
      <c r="C100" s="263" t="s">
        <v>1083</v>
      </c>
      <c r="D100" s="263" t="s">
        <v>262</v>
      </c>
      <c r="E100" s="263" t="s">
        <v>765</v>
      </c>
      <c r="F100" s="263" t="s">
        <v>1084</v>
      </c>
      <c r="G100" s="362"/>
      <c r="H100" s="266"/>
    </row>
    <row r="101" spans="1:8" ht="24" customHeight="1" x14ac:dyDescent="0.25">
      <c r="A101" s="263" t="s">
        <v>771</v>
      </c>
      <c r="B101" s="263" t="s">
        <v>772</v>
      </c>
      <c r="C101" s="263" t="s">
        <v>773</v>
      </c>
      <c r="D101" s="263" t="s">
        <v>262</v>
      </c>
      <c r="E101" s="263" t="s">
        <v>765</v>
      </c>
      <c r="F101" s="263" t="s">
        <v>774</v>
      </c>
      <c r="G101" s="362"/>
      <c r="H101" s="266"/>
    </row>
    <row r="102" spans="1:8" ht="24" customHeight="1" x14ac:dyDescent="0.25">
      <c r="A102" s="263" t="s">
        <v>775</v>
      </c>
      <c r="B102" s="263" t="s">
        <v>776</v>
      </c>
      <c r="C102" s="263"/>
      <c r="D102" s="263" t="s">
        <v>262</v>
      </c>
      <c r="E102" s="263" t="s">
        <v>769</v>
      </c>
      <c r="F102" s="263" t="s">
        <v>777</v>
      </c>
      <c r="G102" s="362"/>
      <c r="H102" s="266"/>
    </row>
    <row r="103" spans="1:8" ht="24" customHeight="1" x14ac:dyDescent="0.25">
      <c r="A103" s="263" t="s">
        <v>778</v>
      </c>
      <c r="B103" s="263" t="s">
        <v>779</v>
      </c>
      <c r="C103" s="263"/>
      <c r="D103" s="263" t="s">
        <v>262</v>
      </c>
      <c r="E103" s="263" t="s">
        <v>780</v>
      </c>
      <c r="F103" s="263" t="s">
        <v>781</v>
      </c>
      <c r="G103" s="362"/>
      <c r="H103" s="266"/>
    </row>
    <row r="104" spans="1:8" ht="24" customHeight="1" x14ac:dyDescent="0.25">
      <c r="A104" s="263" t="s">
        <v>782</v>
      </c>
      <c r="B104" s="263" t="s">
        <v>783</v>
      </c>
      <c r="C104" s="263"/>
      <c r="D104" s="263" t="s">
        <v>262</v>
      </c>
      <c r="E104" s="263" t="s">
        <v>760</v>
      </c>
      <c r="F104" s="263" t="s">
        <v>784</v>
      </c>
      <c r="G104" s="362"/>
      <c r="H104" s="267"/>
    </row>
    <row r="105" spans="1:8" ht="24" customHeight="1" x14ac:dyDescent="0.25">
      <c r="A105" s="263" t="s">
        <v>785</v>
      </c>
      <c r="B105" s="263" t="s">
        <v>786</v>
      </c>
      <c r="C105" s="263"/>
      <c r="D105" s="263" t="s">
        <v>262</v>
      </c>
      <c r="E105" s="263"/>
      <c r="F105" s="263" t="s">
        <v>787</v>
      </c>
      <c r="G105" s="362"/>
      <c r="H105" s="267"/>
    </row>
    <row r="106" spans="1:8" ht="24" customHeight="1" x14ac:dyDescent="0.25">
      <c r="A106" s="263" t="s">
        <v>1085</v>
      </c>
      <c r="B106" s="263" t="s">
        <v>788</v>
      </c>
      <c r="C106" s="263"/>
      <c r="D106" s="263" t="s">
        <v>756</v>
      </c>
      <c r="E106" s="263" t="s">
        <v>564</v>
      </c>
      <c r="F106" s="263" t="s">
        <v>789</v>
      </c>
      <c r="G106" s="362"/>
      <c r="H106" s="267"/>
    </row>
    <row r="107" spans="1:8" ht="24" customHeight="1" x14ac:dyDescent="0.25">
      <c r="A107" s="263" t="s">
        <v>790</v>
      </c>
      <c r="B107" s="263" t="s">
        <v>791</v>
      </c>
      <c r="C107" s="263"/>
      <c r="D107" s="263" t="s">
        <v>262</v>
      </c>
      <c r="E107" s="263" t="s">
        <v>769</v>
      </c>
      <c r="F107" s="263" t="s">
        <v>792</v>
      </c>
      <c r="G107" s="362"/>
      <c r="H107" s="267"/>
    </row>
    <row r="108" spans="1:8" ht="24" customHeight="1" x14ac:dyDescent="0.25">
      <c r="A108" s="263" t="s">
        <v>793</v>
      </c>
      <c r="B108" s="263" t="s">
        <v>794</v>
      </c>
      <c r="C108" s="263"/>
      <c r="D108" s="263" t="s">
        <v>262</v>
      </c>
      <c r="E108" s="263" t="s">
        <v>760</v>
      </c>
      <c r="F108" s="263" t="s">
        <v>795</v>
      </c>
      <c r="G108" s="362"/>
      <c r="H108" s="267"/>
    </row>
    <row r="109" spans="1:8" ht="24" customHeight="1" x14ac:dyDescent="0.25">
      <c r="A109" s="263" t="s">
        <v>796</v>
      </c>
      <c r="B109" s="263" t="s">
        <v>797</v>
      </c>
      <c r="C109" s="263" t="s">
        <v>798</v>
      </c>
      <c r="D109" s="263" t="s">
        <v>262</v>
      </c>
      <c r="E109" s="263" t="s">
        <v>623</v>
      </c>
      <c r="F109" s="263" t="s">
        <v>799</v>
      </c>
      <c r="G109" s="362">
        <v>176090567</v>
      </c>
      <c r="H109" s="267">
        <v>203</v>
      </c>
    </row>
    <row r="110" spans="1:8" ht="24" customHeight="1" x14ac:dyDescent="0.25">
      <c r="A110" s="263" t="s">
        <v>800</v>
      </c>
      <c r="B110" s="263" t="s">
        <v>801</v>
      </c>
      <c r="C110" s="263" t="s">
        <v>802</v>
      </c>
      <c r="D110" s="263" t="s">
        <v>262</v>
      </c>
      <c r="E110" s="263" t="s">
        <v>623</v>
      </c>
      <c r="F110" s="263" t="s">
        <v>803</v>
      </c>
      <c r="G110" s="362">
        <v>176110585</v>
      </c>
      <c r="H110" s="267">
        <v>203</v>
      </c>
    </row>
    <row r="111" spans="1:8" ht="24" customHeight="1" x14ac:dyDescent="0.25">
      <c r="A111" s="263" t="s">
        <v>804</v>
      </c>
      <c r="B111" s="263" t="s">
        <v>805</v>
      </c>
      <c r="C111" s="263" t="s">
        <v>806</v>
      </c>
      <c r="D111" s="263" t="s">
        <v>262</v>
      </c>
      <c r="E111" s="263" t="s">
        <v>623</v>
      </c>
      <c r="F111" s="263" t="s">
        <v>807</v>
      </c>
      <c r="G111" s="362">
        <v>176190324</v>
      </c>
      <c r="H111" s="267">
        <v>137</v>
      </c>
    </row>
    <row r="112" spans="1:8" ht="24" customHeight="1" x14ac:dyDescent="0.25">
      <c r="A112" s="263" t="s">
        <v>808</v>
      </c>
      <c r="B112" s="263" t="s">
        <v>809</v>
      </c>
      <c r="C112" s="263" t="s">
        <v>810</v>
      </c>
      <c r="D112" s="263" t="s">
        <v>262</v>
      </c>
      <c r="E112" s="263" t="s">
        <v>623</v>
      </c>
      <c r="F112" s="263" t="s">
        <v>811</v>
      </c>
      <c r="G112" s="362">
        <v>176191281</v>
      </c>
      <c r="H112" s="267">
        <v>137</v>
      </c>
    </row>
    <row r="113" spans="1:8" ht="24" customHeight="1" x14ac:dyDescent="0.25">
      <c r="A113" s="263" t="s">
        <v>812</v>
      </c>
      <c r="B113" s="263" t="s">
        <v>813</v>
      </c>
      <c r="C113" s="263" t="s">
        <v>814</v>
      </c>
      <c r="D113" s="263" t="s">
        <v>262</v>
      </c>
      <c r="E113" s="263" t="s">
        <v>623</v>
      </c>
      <c r="F113" s="263" t="s">
        <v>815</v>
      </c>
      <c r="G113" s="362">
        <v>176193619</v>
      </c>
      <c r="H113" s="267">
        <v>137</v>
      </c>
    </row>
    <row r="114" spans="1:8" ht="24" customHeight="1" x14ac:dyDescent="0.25">
      <c r="A114" s="263" t="s">
        <v>816</v>
      </c>
      <c r="B114" s="263" t="s">
        <v>817</v>
      </c>
      <c r="C114" s="263" t="s">
        <v>818</v>
      </c>
      <c r="D114" s="263" t="s">
        <v>262</v>
      </c>
      <c r="E114" s="263" t="s">
        <v>623</v>
      </c>
      <c r="F114" s="263" t="s">
        <v>819</v>
      </c>
      <c r="G114" s="362">
        <v>176195309</v>
      </c>
      <c r="H114" s="267">
        <v>137</v>
      </c>
    </row>
    <row r="115" spans="1:8" ht="24" customHeight="1" x14ac:dyDescent="0.25">
      <c r="A115" s="263" t="s">
        <v>820</v>
      </c>
      <c r="B115" s="263" t="s">
        <v>821</v>
      </c>
      <c r="C115" s="263" t="s">
        <v>822</v>
      </c>
      <c r="D115" s="263" t="s">
        <v>262</v>
      </c>
      <c r="E115" s="263" t="s">
        <v>623</v>
      </c>
      <c r="F115" s="263" t="s">
        <v>823</v>
      </c>
      <c r="G115" s="362">
        <v>176592780</v>
      </c>
      <c r="H115" s="267">
        <v>120</v>
      </c>
    </row>
    <row r="116" spans="1:8" ht="24" customHeight="1" x14ac:dyDescent="0.25">
      <c r="A116" s="263" t="s">
        <v>824</v>
      </c>
      <c r="B116" s="263" t="s">
        <v>825</v>
      </c>
      <c r="C116" s="263" t="s">
        <v>826</v>
      </c>
      <c r="D116" s="263" t="s">
        <v>262</v>
      </c>
      <c r="E116" s="263" t="s">
        <v>623</v>
      </c>
      <c r="F116" s="263" t="s">
        <v>827</v>
      </c>
      <c r="G116" s="362">
        <v>176681645</v>
      </c>
      <c r="H116" s="267">
        <v>120</v>
      </c>
    </row>
    <row r="117" spans="1:8" ht="24" customHeight="1" x14ac:dyDescent="0.25">
      <c r="A117" s="263" t="s">
        <v>828</v>
      </c>
      <c r="B117" s="263" t="s">
        <v>829</v>
      </c>
      <c r="C117" s="263" t="s">
        <v>830</v>
      </c>
      <c r="D117" s="263" t="s">
        <v>262</v>
      </c>
      <c r="E117" s="263" t="s">
        <v>623</v>
      </c>
      <c r="F117" s="263" t="s">
        <v>831</v>
      </c>
      <c r="G117" s="362">
        <v>176689687</v>
      </c>
      <c r="H117" s="267">
        <v>120</v>
      </c>
    </row>
    <row r="118" spans="1:8" ht="24" customHeight="1" x14ac:dyDescent="0.25">
      <c r="A118" s="263" t="s">
        <v>832</v>
      </c>
      <c r="B118" s="263" t="s">
        <v>833</v>
      </c>
      <c r="C118" s="263" t="s">
        <v>834</v>
      </c>
      <c r="D118" s="263" t="s">
        <v>262</v>
      </c>
      <c r="E118" s="263" t="s">
        <v>623</v>
      </c>
      <c r="F118" s="263" t="s">
        <v>835</v>
      </c>
      <c r="G118" s="362">
        <v>176717458</v>
      </c>
      <c r="H118" s="266">
        <v>55</v>
      </c>
    </row>
    <row r="119" spans="1:8" ht="24" customHeight="1" x14ac:dyDescent="0.25">
      <c r="A119" s="263" t="s">
        <v>836</v>
      </c>
      <c r="B119" s="263" t="s">
        <v>837</v>
      </c>
      <c r="C119" s="263" t="s">
        <v>838</v>
      </c>
      <c r="D119" s="263" t="s">
        <v>262</v>
      </c>
      <c r="E119" s="263" t="s">
        <v>623</v>
      </c>
      <c r="F119" s="263" t="s">
        <v>839</v>
      </c>
      <c r="G119" s="362">
        <v>177874220</v>
      </c>
      <c r="H119" s="266">
        <v>167</v>
      </c>
    </row>
    <row r="120" spans="1:8" ht="24" customHeight="1" x14ac:dyDescent="0.25">
      <c r="A120" s="263" t="s">
        <v>840</v>
      </c>
      <c r="B120" s="263" t="s">
        <v>841</v>
      </c>
      <c r="C120" s="263" t="s">
        <v>842</v>
      </c>
      <c r="D120" s="263" t="s">
        <v>262</v>
      </c>
      <c r="E120" s="263" t="s">
        <v>623</v>
      </c>
      <c r="F120" s="263" t="s">
        <v>843</v>
      </c>
      <c r="G120" s="362">
        <v>177874539</v>
      </c>
      <c r="H120" s="266">
        <v>167</v>
      </c>
    </row>
    <row r="121" spans="1:8" ht="24" customHeight="1" x14ac:dyDescent="0.25">
      <c r="A121" s="263" t="s">
        <v>844</v>
      </c>
      <c r="B121" s="263" t="s">
        <v>845</v>
      </c>
      <c r="C121" s="263" t="s">
        <v>846</v>
      </c>
      <c r="D121" s="263" t="s">
        <v>262</v>
      </c>
      <c r="E121" s="263" t="s">
        <v>623</v>
      </c>
      <c r="F121" s="263" t="s">
        <v>847</v>
      </c>
      <c r="G121" s="362">
        <v>178334523</v>
      </c>
      <c r="H121" s="266">
        <v>124</v>
      </c>
    </row>
    <row r="122" spans="1:8" ht="24" customHeight="1" x14ac:dyDescent="0.25">
      <c r="A122" s="263" t="s">
        <v>848</v>
      </c>
      <c r="B122" s="263" t="s">
        <v>849</v>
      </c>
      <c r="C122" s="263" t="s">
        <v>850</v>
      </c>
      <c r="D122" s="263" t="s">
        <v>262</v>
      </c>
      <c r="E122" s="263" t="s">
        <v>623</v>
      </c>
      <c r="F122" s="263" t="s">
        <v>851</v>
      </c>
      <c r="G122" s="362">
        <v>178357745</v>
      </c>
      <c r="H122" s="266">
        <v>116</v>
      </c>
    </row>
    <row r="123" spans="1:8" ht="24" customHeight="1" x14ac:dyDescent="0.25">
      <c r="A123" s="263" t="s">
        <v>852</v>
      </c>
      <c r="B123" s="263" t="s">
        <v>853</v>
      </c>
      <c r="C123" s="263" t="s">
        <v>854</v>
      </c>
      <c r="D123" s="263" t="s">
        <v>262</v>
      </c>
      <c r="E123" s="263" t="s">
        <v>765</v>
      </c>
      <c r="F123" s="263" t="s">
        <v>855</v>
      </c>
      <c r="G123" s="362"/>
      <c r="H123" s="266"/>
    </row>
    <row r="124" spans="1:8" ht="24" customHeight="1" x14ac:dyDescent="0.25">
      <c r="A124" s="263" t="s">
        <v>856</v>
      </c>
      <c r="B124" s="263" t="s">
        <v>857</v>
      </c>
      <c r="C124" s="263" t="s">
        <v>858</v>
      </c>
      <c r="D124" s="263" t="s">
        <v>262</v>
      </c>
      <c r="E124" s="263" t="s">
        <v>765</v>
      </c>
      <c r="F124" s="263" t="s">
        <v>859</v>
      </c>
      <c r="G124" s="362"/>
      <c r="H124" s="266"/>
    </row>
    <row r="125" spans="1:8" ht="24" customHeight="1" x14ac:dyDescent="0.25">
      <c r="A125" s="263" t="s">
        <v>860</v>
      </c>
      <c r="B125" s="263" t="s">
        <v>861</v>
      </c>
      <c r="C125" s="263" t="s">
        <v>862</v>
      </c>
      <c r="D125" s="263" t="s">
        <v>262</v>
      </c>
      <c r="E125" s="263" t="s">
        <v>765</v>
      </c>
      <c r="F125" s="263" t="s">
        <v>863</v>
      </c>
      <c r="G125" s="362"/>
      <c r="H125" s="266"/>
    </row>
    <row r="126" spans="1:8" ht="24" customHeight="1" x14ac:dyDescent="0.25">
      <c r="A126" s="263" t="s">
        <v>1086</v>
      </c>
      <c r="B126" s="263" t="s">
        <v>1087</v>
      </c>
      <c r="C126" s="263" t="s">
        <v>1088</v>
      </c>
      <c r="D126" s="263" t="s">
        <v>262</v>
      </c>
      <c r="E126" s="263" t="s">
        <v>765</v>
      </c>
      <c r="F126" s="263" t="s">
        <v>1089</v>
      </c>
      <c r="G126" s="362"/>
      <c r="H126" s="266"/>
    </row>
    <row r="127" spans="1:8" ht="24" customHeight="1" x14ac:dyDescent="0.25">
      <c r="A127" s="263" t="s">
        <v>1090</v>
      </c>
      <c r="B127" s="263" t="s">
        <v>1091</v>
      </c>
      <c r="C127" s="263" t="s">
        <v>1092</v>
      </c>
      <c r="D127" s="263" t="s">
        <v>262</v>
      </c>
      <c r="E127" s="263" t="s">
        <v>765</v>
      </c>
      <c r="F127" s="263" t="s">
        <v>1093</v>
      </c>
      <c r="G127" s="362"/>
      <c r="H127" s="266"/>
    </row>
    <row r="128" spans="1:8" ht="24" customHeight="1" x14ac:dyDescent="0.25">
      <c r="A128" s="263" t="s">
        <v>1094</v>
      </c>
      <c r="B128" s="263" t="s">
        <v>1095</v>
      </c>
      <c r="C128" s="263"/>
      <c r="D128" s="263" t="s">
        <v>756</v>
      </c>
      <c r="E128" s="263" t="s">
        <v>564</v>
      </c>
      <c r="F128" s="263" t="s">
        <v>1096</v>
      </c>
      <c r="G128" s="362"/>
      <c r="H128" s="266"/>
    </row>
    <row r="129" spans="1:8" ht="24" customHeight="1" x14ac:dyDescent="0.25">
      <c r="A129" s="263" t="s">
        <v>864</v>
      </c>
      <c r="B129" s="263" t="s">
        <v>865</v>
      </c>
      <c r="C129" s="263"/>
      <c r="D129" s="263" t="s">
        <v>262</v>
      </c>
      <c r="E129" s="263" t="s">
        <v>760</v>
      </c>
      <c r="F129" s="263" t="s">
        <v>866</v>
      </c>
      <c r="G129" s="362"/>
      <c r="H129" s="266"/>
    </row>
    <row r="130" spans="1:8" ht="24" customHeight="1" x14ac:dyDescent="0.25">
      <c r="A130" s="263" t="s">
        <v>867</v>
      </c>
      <c r="B130" s="263" t="s">
        <v>868</v>
      </c>
      <c r="C130" s="263"/>
      <c r="D130" s="263" t="s">
        <v>262</v>
      </c>
      <c r="E130" s="263" t="s">
        <v>760</v>
      </c>
      <c r="F130" s="263" t="s">
        <v>869</v>
      </c>
      <c r="G130" s="362"/>
      <c r="H130" s="266"/>
    </row>
    <row r="131" spans="1:8" ht="24" customHeight="1" x14ac:dyDescent="0.25">
      <c r="A131" s="263" t="s">
        <v>870</v>
      </c>
      <c r="B131" s="263" t="s">
        <v>871</v>
      </c>
      <c r="C131" s="263"/>
      <c r="D131" s="263" t="s">
        <v>262</v>
      </c>
      <c r="E131" s="263"/>
      <c r="F131" s="263" t="s">
        <v>872</v>
      </c>
      <c r="G131" s="362"/>
      <c r="H131" s="266"/>
    </row>
    <row r="132" spans="1:8" ht="24" customHeight="1" x14ac:dyDescent="0.25">
      <c r="A132" s="263" t="s">
        <v>873</v>
      </c>
      <c r="B132" s="263" t="s">
        <v>874</v>
      </c>
      <c r="C132" s="263"/>
      <c r="D132" s="263"/>
      <c r="E132" s="263" t="s">
        <v>875</v>
      </c>
      <c r="F132" s="263" t="s">
        <v>876</v>
      </c>
      <c r="G132" s="362"/>
      <c r="H132" s="266"/>
    </row>
    <row r="133" spans="1:8" ht="24" customHeight="1" x14ac:dyDescent="0.25">
      <c r="A133" s="263" t="s">
        <v>877</v>
      </c>
      <c r="B133" s="263" t="s">
        <v>878</v>
      </c>
      <c r="C133" s="263"/>
      <c r="D133" s="263"/>
      <c r="E133" s="263" t="s">
        <v>875</v>
      </c>
      <c r="F133" s="263" t="s">
        <v>879</v>
      </c>
      <c r="G133" s="362"/>
      <c r="H133" s="266"/>
    </row>
    <row r="134" spans="1:8" ht="24" customHeight="1" x14ac:dyDescent="0.25">
      <c r="A134" s="263" t="s">
        <v>880</v>
      </c>
      <c r="B134" s="263" t="s">
        <v>881</v>
      </c>
      <c r="C134" s="263"/>
      <c r="D134" s="263"/>
      <c r="E134" s="263" t="s">
        <v>875</v>
      </c>
      <c r="F134" s="263" t="s">
        <v>882</v>
      </c>
      <c r="G134" s="362"/>
      <c r="H134" s="266"/>
    </row>
    <row r="135" spans="1:8" ht="24" customHeight="1" x14ac:dyDescent="0.25">
      <c r="A135" s="263" t="s">
        <v>883</v>
      </c>
      <c r="B135" s="263" t="s">
        <v>884</v>
      </c>
      <c r="C135" s="263"/>
      <c r="D135" s="263"/>
      <c r="E135" s="263" t="s">
        <v>875</v>
      </c>
      <c r="F135" s="263" t="s">
        <v>885</v>
      </c>
      <c r="G135" s="362"/>
      <c r="H135" s="266"/>
    </row>
    <row r="136" spans="1:8" ht="24" customHeight="1" x14ac:dyDescent="0.25">
      <c r="A136" s="263" t="s">
        <v>886</v>
      </c>
      <c r="B136" s="263" t="s">
        <v>887</v>
      </c>
      <c r="C136" s="263"/>
      <c r="D136" s="263"/>
      <c r="E136" s="263" t="s">
        <v>875</v>
      </c>
      <c r="F136" s="263" t="s">
        <v>888</v>
      </c>
      <c r="G136" s="362"/>
      <c r="H136" s="267"/>
    </row>
    <row r="137" spans="1:8" ht="24" customHeight="1" x14ac:dyDescent="0.25">
      <c r="A137" s="263" t="s">
        <v>889</v>
      </c>
      <c r="B137" s="263" t="s">
        <v>890</v>
      </c>
      <c r="C137" s="263"/>
      <c r="D137" s="263" t="s">
        <v>262</v>
      </c>
      <c r="E137" s="263" t="s">
        <v>780</v>
      </c>
      <c r="F137" s="263" t="s">
        <v>891</v>
      </c>
      <c r="G137" s="362"/>
      <c r="H137" s="267"/>
    </row>
    <row r="138" spans="1:8" ht="24" customHeight="1" x14ac:dyDescent="0.25">
      <c r="A138" s="263" t="s">
        <v>892</v>
      </c>
      <c r="B138" s="263" t="s">
        <v>893</v>
      </c>
      <c r="C138" s="263"/>
      <c r="D138" s="263" t="s">
        <v>262</v>
      </c>
      <c r="E138" s="263" t="s">
        <v>73</v>
      </c>
      <c r="F138" s="263" t="s">
        <v>894</v>
      </c>
      <c r="G138" s="362"/>
      <c r="H138" s="267"/>
    </row>
    <row r="139" spans="1:8" ht="24" customHeight="1" x14ac:dyDescent="0.25">
      <c r="A139" s="263" t="s">
        <v>1097</v>
      </c>
      <c r="B139" s="263" t="s">
        <v>939</v>
      </c>
      <c r="C139" s="263"/>
      <c r="D139" s="263" t="s">
        <v>756</v>
      </c>
      <c r="E139" s="263" t="s">
        <v>564</v>
      </c>
      <c r="F139" s="263" t="s">
        <v>940</v>
      </c>
      <c r="G139" s="362"/>
      <c r="H139" s="267"/>
    </row>
    <row r="140" spans="1:8" ht="24" customHeight="1" x14ac:dyDescent="0.25">
      <c r="A140" s="263" t="s">
        <v>895</v>
      </c>
      <c r="B140" s="263" t="s">
        <v>896</v>
      </c>
      <c r="C140" s="263"/>
      <c r="D140" s="263" t="s">
        <v>262</v>
      </c>
      <c r="E140" s="263" t="s">
        <v>73</v>
      </c>
      <c r="F140" s="263" t="s">
        <v>897</v>
      </c>
      <c r="G140" s="362"/>
      <c r="H140" s="266"/>
    </row>
    <row r="141" spans="1:8" ht="24" customHeight="1" x14ac:dyDescent="0.25">
      <c r="A141" s="263" t="s">
        <v>898</v>
      </c>
      <c r="B141" s="263" t="s">
        <v>899</v>
      </c>
      <c r="C141" s="263"/>
      <c r="D141" s="263" t="s">
        <v>262</v>
      </c>
      <c r="E141" s="263" t="s">
        <v>760</v>
      </c>
      <c r="F141" s="263" t="s">
        <v>900</v>
      </c>
      <c r="G141" s="362"/>
      <c r="H141" s="266"/>
    </row>
    <row r="142" spans="1:8" ht="24" customHeight="1" x14ac:dyDescent="0.25">
      <c r="A142" s="263" t="s">
        <v>901</v>
      </c>
      <c r="B142" s="263" t="s">
        <v>902</v>
      </c>
      <c r="C142" s="263" t="s">
        <v>903</v>
      </c>
      <c r="D142" s="263" t="s">
        <v>262</v>
      </c>
      <c r="E142" s="263" t="s">
        <v>765</v>
      </c>
      <c r="F142" s="263" t="s">
        <v>904</v>
      </c>
      <c r="G142" s="362"/>
      <c r="H142" s="266"/>
    </row>
    <row r="143" spans="1:8" ht="24" customHeight="1" x14ac:dyDescent="0.25">
      <c r="A143" s="263" t="s">
        <v>905</v>
      </c>
      <c r="B143" s="263" t="s">
        <v>906</v>
      </c>
      <c r="C143" s="263" t="s">
        <v>907</v>
      </c>
      <c r="D143" s="263" t="s">
        <v>262</v>
      </c>
      <c r="E143" s="263" t="s">
        <v>628</v>
      </c>
      <c r="F143" s="263" t="s">
        <v>908</v>
      </c>
      <c r="G143" s="362">
        <v>176162697</v>
      </c>
      <c r="H143" s="266">
        <v>82</v>
      </c>
    </row>
    <row r="144" spans="1:8" ht="24" customHeight="1" x14ac:dyDescent="0.25">
      <c r="A144" s="263" t="s">
        <v>909</v>
      </c>
      <c r="B144" s="263" t="s">
        <v>910</v>
      </c>
      <c r="C144" s="263" t="s">
        <v>911</v>
      </c>
      <c r="D144" s="263" t="s">
        <v>262</v>
      </c>
      <c r="E144" s="263" t="s">
        <v>628</v>
      </c>
      <c r="F144" s="263" t="s">
        <v>912</v>
      </c>
      <c r="G144" s="362">
        <v>176170508</v>
      </c>
      <c r="H144" s="266">
        <v>82</v>
      </c>
    </row>
    <row r="145" spans="1:8" ht="24" customHeight="1" x14ac:dyDescent="0.25">
      <c r="A145" s="263" t="s">
        <v>913</v>
      </c>
      <c r="B145" s="263" t="s">
        <v>914</v>
      </c>
      <c r="C145" s="263" t="s">
        <v>915</v>
      </c>
      <c r="D145" s="263" t="s">
        <v>262</v>
      </c>
      <c r="E145" s="263" t="s">
        <v>628</v>
      </c>
      <c r="F145" s="263" t="s">
        <v>916</v>
      </c>
      <c r="G145" s="362">
        <v>176508158</v>
      </c>
      <c r="H145" s="266">
        <v>51</v>
      </c>
    </row>
    <row r="146" spans="1:8" ht="24" customHeight="1" x14ac:dyDescent="0.25">
      <c r="A146" s="263" t="s">
        <v>917</v>
      </c>
      <c r="B146" s="263" t="s">
        <v>918</v>
      </c>
      <c r="C146" s="263" t="s">
        <v>919</v>
      </c>
      <c r="D146" s="263" t="s">
        <v>262</v>
      </c>
      <c r="E146" s="263" t="s">
        <v>628</v>
      </c>
      <c r="F146" s="263" t="s">
        <v>920</v>
      </c>
      <c r="G146" s="362">
        <v>176587341</v>
      </c>
      <c r="H146" s="266">
        <v>52</v>
      </c>
    </row>
    <row r="147" spans="1:8" ht="24" customHeight="1" x14ac:dyDescent="0.25">
      <c r="A147" s="263" t="s">
        <v>921</v>
      </c>
      <c r="B147" s="263" t="s">
        <v>922</v>
      </c>
      <c r="C147" s="263" t="s">
        <v>923</v>
      </c>
      <c r="D147" s="263" t="s">
        <v>262</v>
      </c>
      <c r="E147" s="263" t="s">
        <v>765</v>
      </c>
      <c r="F147" s="263" t="s">
        <v>924</v>
      </c>
      <c r="G147" s="362"/>
      <c r="H147" s="266"/>
    </row>
    <row r="148" spans="1:8" ht="18" customHeight="1" x14ac:dyDescent="0.25">
      <c r="A148" t="s">
        <v>1098</v>
      </c>
      <c r="B148" t="s">
        <v>1099</v>
      </c>
      <c r="D148" t="s">
        <v>262</v>
      </c>
      <c r="E148" t="s">
        <v>564</v>
      </c>
      <c r="F148" t="s">
        <v>1100</v>
      </c>
    </row>
    <row r="149" spans="1:8" ht="18" customHeight="1" x14ac:dyDescent="0.25">
      <c r="A149" t="s">
        <v>1101</v>
      </c>
      <c r="B149" t="s">
        <v>925</v>
      </c>
      <c r="D149" t="s">
        <v>756</v>
      </c>
      <c r="E149" t="s">
        <v>564</v>
      </c>
      <c r="F149" t="s">
        <v>926</v>
      </c>
    </row>
    <row r="150" spans="1:8" ht="18" customHeight="1" x14ac:dyDescent="0.25">
      <c r="A150" t="s">
        <v>1102</v>
      </c>
      <c r="B150" t="s">
        <v>1103</v>
      </c>
      <c r="D150" t="s">
        <v>756</v>
      </c>
      <c r="E150" t="s">
        <v>564</v>
      </c>
      <c r="F150" t="s">
        <v>1104</v>
      </c>
    </row>
    <row r="151" spans="1:8" ht="18" customHeight="1" x14ac:dyDescent="0.25">
      <c r="A151" t="s">
        <v>927</v>
      </c>
      <c r="B151" t="s">
        <v>928</v>
      </c>
      <c r="D151" t="s">
        <v>262</v>
      </c>
      <c r="E151" t="s">
        <v>73</v>
      </c>
      <c r="F151" t="s">
        <v>929</v>
      </c>
    </row>
    <row r="152" spans="1:8" ht="18" customHeight="1" x14ac:dyDescent="0.25">
      <c r="A152" t="s">
        <v>930</v>
      </c>
      <c r="B152" t="s">
        <v>931</v>
      </c>
      <c r="D152" t="s">
        <v>262</v>
      </c>
      <c r="E152" t="s">
        <v>769</v>
      </c>
      <c r="F152" t="s">
        <v>932</v>
      </c>
    </row>
    <row r="153" spans="1:8" ht="18" customHeight="1" x14ac:dyDescent="0.25">
      <c r="A153" t="s">
        <v>933</v>
      </c>
      <c r="B153" t="s">
        <v>934</v>
      </c>
      <c r="D153" t="s">
        <v>262</v>
      </c>
      <c r="E153" t="s">
        <v>769</v>
      </c>
      <c r="F153" t="s">
        <v>935</v>
      </c>
    </row>
    <row r="154" spans="1:8" ht="18" customHeight="1" x14ac:dyDescent="0.25">
      <c r="A154" t="s">
        <v>1105</v>
      </c>
      <c r="B154" t="s">
        <v>1106</v>
      </c>
      <c r="D154" t="s">
        <v>756</v>
      </c>
      <c r="E154" t="s">
        <v>564</v>
      </c>
      <c r="F154" t="s">
        <v>1107</v>
      </c>
    </row>
    <row r="155" spans="1:8" ht="18" customHeight="1" x14ac:dyDescent="0.25">
      <c r="A155" t="s">
        <v>936</v>
      </c>
      <c r="B155" t="s">
        <v>937</v>
      </c>
      <c r="D155" t="s">
        <v>262</v>
      </c>
      <c r="E155" t="s">
        <v>73</v>
      </c>
      <c r="F155" t="s">
        <v>938</v>
      </c>
    </row>
    <row r="156" spans="1:8" ht="18" customHeight="1" x14ac:dyDescent="0.25">
      <c r="A156" t="s">
        <v>1108</v>
      </c>
      <c r="B156" t="s">
        <v>1109</v>
      </c>
      <c r="D156" t="s">
        <v>756</v>
      </c>
      <c r="E156" t="s">
        <v>564</v>
      </c>
      <c r="F156" t="s">
        <v>1110</v>
      </c>
    </row>
    <row r="157" spans="1:8" ht="18" customHeight="1" x14ac:dyDescent="0.25">
      <c r="A157" t="s">
        <v>1111</v>
      </c>
      <c r="B157" t="s">
        <v>1112</v>
      </c>
      <c r="D157" t="s">
        <v>756</v>
      </c>
      <c r="E157" t="s">
        <v>564</v>
      </c>
      <c r="F157" t="s">
        <v>1113</v>
      </c>
    </row>
  </sheetData>
  <autoFilter ref="A1:H146" xr:uid="{71520470-C685-47AE-8793-CA2726B9E975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3753-2983-4498-ABD3-9AE6C1867559}">
  <sheetPr codeName="Лист6">
    <tabColor rgb="FFABFFD1"/>
    <pageSetUpPr fitToPage="1"/>
  </sheetPr>
  <dimension ref="A1:H2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9" sqref="D19"/>
    </sheetView>
  </sheetViews>
  <sheetFormatPr defaultColWidth="9.140625" defaultRowHeight="18.75" x14ac:dyDescent="0.25"/>
  <cols>
    <col min="1" max="1" width="20.5703125" style="4" bestFit="1" customWidth="1"/>
    <col min="2" max="2" width="41.42578125" style="4" bestFit="1" customWidth="1"/>
    <col min="3" max="3" width="31.42578125" style="4" customWidth="1"/>
    <col min="4" max="4" width="29" style="4" bestFit="1" customWidth="1"/>
    <col min="5" max="5" width="32.85546875" style="4" customWidth="1"/>
    <col min="6" max="6" width="24.5703125" style="4" bestFit="1" customWidth="1"/>
    <col min="7" max="7" width="30.7109375" style="4" customWidth="1"/>
    <col min="8" max="8" width="24.140625" style="4" customWidth="1"/>
    <col min="9" max="16384" width="9.140625" style="4"/>
  </cols>
  <sheetData>
    <row r="1" spans="1:8" ht="52.5" customHeight="1" x14ac:dyDescent="0.25">
      <c r="A1" s="610" t="s">
        <v>57</v>
      </c>
      <c r="B1" s="611"/>
      <c r="C1" s="611"/>
      <c r="D1" s="611"/>
      <c r="E1" s="611"/>
      <c r="F1" s="611"/>
      <c r="G1" s="611"/>
      <c r="H1" s="611"/>
    </row>
    <row r="2" spans="1:8" ht="46.5" customHeight="1" x14ac:dyDescent="0.25">
      <c r="A2" s="1" t="s">
        <v>23</v>
      </c>
      <c r="B2" s="2" t="s">
        <v>22</v>
      </c>
      <c r="C2" s="3" t="s">
        <v>27</v>
      </c>
      <c r="D2" s="3" t="s">
        <v>28</v>
      </c>
      <c r="E2" s="2" t="s">
        <v>0</v>
      </c>
      <c r="F2" s="1" t="s">
        <v>30</v>
      </c>
      <c r="G2" s="3" t="s">
        <v>50</v>
      </c>
      <c r="H2" s="2" t="s">
        <v>18</v>
      </c>
    </row>
    <row r="3" spans="1:8" s="6" customFormat="1" ht="20.25" customHeight="1" x14ac:dyDescent="0.25">
      <c r="A3" s="1">
        <v>1</v>
      </c>
      <c r="B3" s="2" t="s">
        <v>19</v>
      </c>
      <c r="C3" s="5">
        <v>4</v>
      </c>
      <c r="D3" s="5">
        <v>5</v>
      </c>
      <c r="E3" s="2" t="s">
        <v>20</v>
      </c>
      <c r="F3" s="5">
        <v>8</v>
      </c>
      <c r="G3" s="2" t="s">
        <v>24</v>
      </c>
      <c r="H3" s="25" t="s">
        <v>21</v>
      </c>
    </row>
    <row r="4" spans="1:8" s="19" customFormat="1" x14ac:dyDescent="0.25">
      <c r="A4" s="7" t="s">
        <v>31</v>
      </c>
      <c r="B4" s="13" t="s">
        <v>32</v>
      </c>
      <c r="C4" s="18" t="s">
        <v>33</v>
      </c>
      <c r="D4" s="12" t="s">
        <v>29</v>
      </c>
      <c r="E4" s="16" t="s">
        <v>34</v>
      </c>
      <c r="F4" s="8" t="s">
        <v>25</v>
      </c>
      <c r="G4" s="24" t="s">
        <v>26</v>
      </c>
      <c r="H4" s="13" t="s">
        <v>35</v>
      </c>
    </row>
    <row r="5" spans="1:8" s="19" customFormat="1" x14ac:dyDescent="0.25">
      <c r="A5" s="20"/>
      <c r="B5" s="14"/>
      <c r="C5" s="19" t="s">
        <v>36</v>
      </c>
      <c r="D5" s="9"/>
      <c r="E5" s="17" t="s">
        <v>37</v>
      </c>
      <c r="F5" s="4"/>
      <c r="G5" s="7"/>
      <c r="H5" s="14" t="s">
        <v>77</v>
      </c>
    </row>
    <row r="6" spans="1:8" s="19" customFormat="1" x14ac:dyDescent="0.25">
      <c r="A6" s="20"/>
      <c r="B6" s="14"/>
      <c r="C6" s="19" t="s">
        <v>38</v>
      </c>
      <c r="D6" s="9"/>
      <c r="E6" s="17" t="s">
        <v>39</v>
      </c>
      <c r="F6" s="4"/>
      <c r="G6" s="7"/>
      <c r="H6" s="14" t="s">
        <v>40</v>
      </c>
    </row>
    <row r="7" spans="1:8" s="19" customFormat="1" x14ac:dyDescent="0.25">
      <c r="A7" s="20"/>
      <c r="B7" s="14"/>
      <c r="C7" s="19" t="s">
        <v>76</v>
      </c>
      <c r="D7" s="9"/>
      <c r="E7" s="17" t="s">
        <v>41</v>
      </c>
      <c r="F7" s="4"/>
      <c r="G7" s="7"/>
      <c r="H7" s="14" t="s">
        <v>42</v>
      </c>
    </row>
    <row r="8" spans="1:8" s="19" customFormat="1" x14ac:dyDescent="0.25">
      <c r="A8" s="20"/>
      <c r="B8" s="14"/>
      <c r="C8" s="19" t="s">
        <v>109</v>
      </c>
      <c r="D8" s="9"/>
      <c r="E8" s="17" t="s">
        <v>43</v>
      </c>
      <c r="F8" s="4"/>
      <c r="G8" s="7"/>
      <c r="H8" s="14" t="s">
        <v>44</v>
      </c>
    </row>
    <row r="9" spans="1:8" s="19" customFormat="1" x14ac:dyDescent="0.25">
      <c r="A9" s="20"/>
      <c r="B9" s="14"/>
      <c r="D9" s="9"/>
      <c r="E9" s="17" t="s">
        <v>78</v>
      </c>
      <c r="F9" s="4"/>
      <c r="G9" s="7"/>
      <c r="H9" s="14" t="s">
        <v>45</v>
      </c>
    </row>
    <row r="10" spans="1:8" s="19" customFormat="1" x14ac:dyDescent="0.25">
      <c r="A10" s="20"/>
      <c r="B10" s="14"/>
      <c r="D10" s="9"/>
      <c r="E10" s="17" t="s">
        <v>964</v>
      </c>
      <c r="F10" s="4"/>
      <c r="G10" s="7"/>
      <c r="H10" s="14" t="s">
        <v>46</v>
      </c>
    </row>
    <row r="11" spans="1:8" s="19" customFormat="1" x14ac:dyDescent="0.25">
      <c r="A11" s="20"/>
      <c r="B11" s="14"/>
      <c r="D11" s="9"/>
      <c r="E11" s="17" t="s">
        <v>965</v>
      </c>
      <c r="F11" s="4"/>
      <c r="G11" s="7"/>
      <c r="H11" s="14" t="s">
        <v>47</v>
      </c>
    </row>
    <row r="12" spans="1:8" s="19" customFormat="1" x14ac:dyDescent="0.25">
      <c r="A12" s="20"/>
      <c r="E12" s="19" t="s">
        <v>966</v>
      </c>
      <c r="F12" s="9"/>
      <c r="G12" s="7"/>
      <c r="H12" s="14" t="s">
        <v>58</v>
      </c>
    </row>
    <row r="13" spans="1:8" s="19" customFormat="1" x14ac:dyDescent="0.25">
      <c r="A13" s="20"/>
      <c r="F13" s="7"/>
      <c r="G13" s="7"/>
      <c r="H13" s="14" t="s">
        <v>56</v>
      </c>
    </row>
    <row r="14" spans="1:8" s="19" customFormat="1" x14ac:dyDescent="0.25">
      <c r="A14" s="20"/>
      <c r="F14" s="7"/>
      <c r="G14" s="7"/>
      <c r="H14" s="14" t="s">
        <v>63</v>
      </c>
    </row>
    <row r="15" spans="1:8" s="19" customFormat="1" x14ac:dyDescent="0.25">
      <c r="A15" s="20"/>
      <c r="F15" s="7"/>
      <c r="G15" s="7"/>
      <c r="H15" s="14" t="s">
        <v>298</v>
      </c>
    </row>
    <row r="16" spans="1:8" s="19" customFormat="1" x14ac:dyDescent="0.25">
      <c r="A16" s="20"/>
      <c r="B16" s="13" t="s">
        <v>48</v>
      </c>
      <c r="C16" s="21" t="s">
        <v>76</v>
      </c>
      <c r="D16" s="9"/>
      <c r="E16" s="21" t="s">
        <v>49</v>
      </c>
      <c r="F16" s="7"/>
      <c r="G16" s="7"/>
      <c r="H16" s="14" t="s">
        <v>147</v>
      </c>
    </row>
    <row r="17" spans="1:8" s="19" customFormat="1" x14ac:dyDescent="0.25">
      <c r="A17" s="20"/>
      <c r="B17" s="14"/>
      <c r="C17" s="20"/>
      <c r="D17" s="9"/>
      <c r="F17" s="7"/>
      <c r="G17" s="7"/>
      <c r="H17" s="14"/>
    </row>
    <row r="18" spans="1:8" s="19" customFormat="1" x14ac:dyDescent="0.25">
      <c r="A18" s="20"/>
      <c r="B18" s="14"/>
      <c r="C18" s="20"/>
      <c r="D18" s="9"/>
      <c r="F18" s="7"/>
      <c r="G18" s="7"/>
    </row>
    <row r="19" spans="1:8" s="19" customFormat="1" x14ac:dyDescent="0.25">
      <c r="A19" s="20"/>
      <c r="B19" s="14"/>
      <c r="C19" s="20"/>
      <c r="D19" s="9"/>
      <c r="F19" s="7"/>
      <c r="G19" s="7"/>
    </row>
    <row r="20" spans="1:8" s="19" customFormat="1" x14ac:dyDescent="0.25">
      <c r="A20" s="20"/>
      <c r="B20" s="14"/>
      <c r="C20" s="20"/>
      <c r="D20" s="9"/>
      <c r="F20" s="7"/>
      <c r="G20" s="7"/>
    </row>
    <row r="21" spans="1:8" s="19" customFormat="1" x14ac:dyDescent="0.25">
      <c r="A21" s="20"/>
      <c r="B21" s="14"/>
      <c r="C21" s="20"/>
      <c r="D21" s="9"/>
      <c r="F21" s="7"/>
      <c r="G21" s="7"/>
    </row>
    <row r="22" spans="1:8" s="19" customFormat="1" x14ac:dyDescent="0.25">
      <c r="A22" s="20"/>
      <c r="B22" s="14" t="s">
        <v>138</v>
      </c>
      <c r="C22" s="20" t="s">
        <v>141</v>
      </c>
      <c r="D22" s="9"/>
      <c r="E22" s="19" t="s">
        <v>139</v>
      </c>
      <c r="F22" s="7"/>
      <c r="G22" s="7"/>
    </row>
    <row r="23" spans="1:8" s="19" customFormat="1" x14ac:dyDescent="0.25">
      <c r="A23" s="20"/>
      <c r="B23" s="14"/>
      <c r="C23" s="20"/>
      <c r="D23" s="9"/>
      <c r="E23" s="19" t="s">
        <v>140</v>
      </c>
      <c r="F23" s="7"/>
      <c r="G23" s="7"/>
    </row>
    <row r="24" spans="1:8" s="19" customFormat="1" x14ac:dyDescent="0.25">
      <c r="A24" s="20"/>
      <c r="B24" s="14"/>
      <c r="C24" s="20"/>
      <c r="D24" s="9"/>
      <c r="E24" s="19" t="s">
        <v>302</v>
      </c>
      <c r="F24" s="7"/>
      <c r="G24" s="7"/>
    </row>
    <row r="25" spans="1:8" s="19" customFormat="1" x14ac:dyDescent="0.25">
      <c r="A25" s="22"/>
      <c r="B25" s="15"/>
      <c r="C25" s="22"/>
      <c r="D25" s="10"/>
      <c r="E25" s="23"/>
      <c r="F25" s="11"/>
      <c r="G25" s="11"/>
      <c r="H25" s="15"/>
    </row>
    <row r="26" spans="1:8" s="19" customFormat="1" x14ac:dyDescent="0.25">
      <c r="B26" s="14" t="s">
        <v>171</v>
      </c>
      <c r="C26" s="21" t="s">
        <v>76</v>
      </c>
      <c r="D26" s="9"/>
      <c r="E26" s="19" t="s">
        <v>303</v>
      </c>
      <c r="F26" s="4"/>
      <c r="G26" s="4"/>
    </row>
    <row r="27" spans="1:8" x14ac:dyDescent="0.25">
      <c r="B27" s="14"/>
      <c r="C27" s="20"/>
      <c r="D27" s="9"/>
      <c r="E27" s="19" t="s">
        <v>304</v>
      </c>
    </row>
    <row r="28" spans="1:8" x14ac:dyDescent="0.25">
      <c r="B28" s="14"/>
      <c r="C28" s="20"/>
      <c r="D28" s="9"/>
      <c r="E28" s="19" t="s">
        <v>305</v>
      </c>
    </row>
    <row r="29" spans="1:8" x14ac:dyDescent="0.25">
      <c r="B29" s="15"/>
      <c r="C29" s="22"/>
      <c r="D29" s="10"/>
      <c r="E29" s="23"/>
    </row>
  </sheetData>
  <mergeCells count="1">
    <mergeCell ref="A1:H1"/>
  </mergeCells>
  <pageMargins left="0.25" right="0.25" top="0.75" bottom="0.75" header="0.3" footer="0.3"/>
  <pageSetup paperSize="9" scale="61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4F29-CB05-4EE2-9860-83B9FEB0D034}">
  <sheetPr>
    <tabColor rgb="FF00B0F0"/>
  </sheetPr>
  <dimension ref="A1:Z34"/>
  <sheetViews>
    <sheetView workbookViewId="0">
      <selection activeCell="F14" sqref="F14"/>
    </sheetView>
  </sheetViews>
  <sheetFormatPr defaultRowHeight="15" x14ac:dyDescent="0.25"/>
  <cols>
    <col min="1" max="3" width="34.85546875" style="153" customWidth="1"/>
    <col min="6" max="6" width="48.85546875" bestFit="1" customWidth="1"/>
    <col min="7" max="7" width="10.7109375" style="206" bestFit="1" customWidth="1"/>
  </cols>
  <sheetData>
    <row r="1" spans="1:26" s="211" customFormat="1" ht="30" x14ac:dyDescent="0.25">
      <c r="A1" s="212" t="s">
        <v>576</v>
      </c>
      <c r="B1" s="212" t="s">
        <v>575</v>
      </c>
      <c r="C1" s="212" t="s">
        <v>574</v>
      </c>
      <c r="F1" s="612" t="s">
        <v>573</v>
      </c>
      <c r="G1" s="612"/>
    </row>
    <row r="2" spans="1:26" ht="20.100000000000001" customHeight="1" x14ac:dyDescent="0.25">
      <c r="A2" s="208">
        <v>29</v>
      </c>
      <c r="B2" s="208">
        <v>1</v>
      </c>
      <c r="C2" s="207">
        <v>0</v>
      </c>
      <c r="F2" s="209" t="s">
        <v>572</v>
      </c>
      <c r="G2" s="209" t="s">
        <v>7</v>
      </c>
    </row>
    <row r="3" spans="1:26" ht="20.100000000000001" customHeight="1" x14ac:dyDescent="0.25">
      <c r="A3" s="208">
        <v>30</v>
      </c>
      <c r="B3" s="208">
        <v>1.05</v>
      </c>
      <c r="C3" s="207">
        <v>2.5000000000000001E-3</v>
      </c>
      <c r="F3" s="210" t="s">
        <v>954</v>
      </c>
      <c r="G3" s="436">
        <v>46.77</v>
      </c>
    </row>
    <row r="4" spans="1:26" ht="20.100000000000001" customHeight="1" x14ac:dyDescent="0.25">
      <c r="A4" s="208">
        <v>31</v>
      </c>
      <c r="B4" s="208">
        <v>1.1100000000000001</v>
      </c>
      <c r="C4" s="207">
        <v>5.4999999999999997E-3</v>
      </c>
      <c r="F4" s="210" t="s">
        <v>955</v>
      </c>
      <c r="G4" s="436">
        <v>10.17</v>
      </c>
    </row>
    <row r="5" spans="1:26" ht="20.100000000000001" customHeight="1" x14ac:dyDescent="0.25">
      <c r="A5" s="208">
        <v>32</v>
      </c>
      <c r="B5" s="208">
        <v>1.1599999999999999</v>
      </c>
      <c r="C5" s="207">
        <v>8.0000000000000002E-3</v>
      </c>
      <c r="F5" s="210" t="s">
        <v>956</v>
      </c>
      <c r="G5" s="436">
        <v>15.25</v>
      </c>
      <c r="Z5">
        <f>(IF(N5&gt;$Z$3,('Тарифы ОЗОН'!G3+ROUNDUP(N5-$Z$3,0)*'Тарифы ОЗОН'!G4),'Тарифы ОЗОН'!G3))</f>
        <v>46.77</v>
      </c>
    </row>
    <row r="6" spans="1:26" ht="20.100000000000001" customHeight="1" x14ac:dyDescent="0.25">
      <c r="A6" s="208">
        <v>33</v>
      </c>
      <c r="B6" s="208">
        <v>1.23</v>
      </c>
      <c r="C6" s="207">
        <v>1.15E-2</v>
      </c>
      <c r="F6" s="210" t="s">
        <v>957</v>
      </c>
      <c r="G6" s="436">
        <v>2871</v>
      </c>
    </row>
    <row r="7" spans="1:26" ht="20.100000000000001" customHeight="1" x14ac:dyDescent="0.25">
      <c r="A7" s="208">
        <v>34</v>
      </c>
      <c r="B7" s="208">
        <v>1.28</v>
      </c>
      <c r="C7" s="207">
        <v>1.4E-2</v>
      </c>
    </row>
    <row r="8" spans="1:26" ht="20.100000000000001" customHeight="1" x14ac:dyDescent="0.25">
      <c r="A8" s="208">
        <v>35</v>
      </c>
      <c r="B8" s="208">
        <v>1.32</v>
      </c>
      <c r="C8" s="207">
        <v>1.6E-2</v>
      </c>
    </row>
    <row r="9" spans="1:26" ht="20.100000000000001" customHeight="1" x14ac:dyDescent="0.25">
      <c r="A9" s="208">
        <v>36</v>
      </c>
      <c r="B9" s="208">
        <v>1.36</v>
      </c>
      <c r="C9" s="207">
        <v>1.7999999999999999E-2</v>
      </c>
    </row>
    <row r="10" spans="1:26" ht="20.100000000000001" customHeight="1" x14ac:dyDescent="0.25">
      <c r="A10" s="208">
        <v>37</v>
      </c>
      <c r="B10" s="208">
        <v>1.4</v>
      </c>
      <c r="C10" s="207">
        <v>0.02</v>
      </c>
    </row>
    <row r="11" spans="1:26" ht="20.100000000000001" customHeight="1" x14ac:dyDescent="0.25">
      <c r="A11" s="208">
        <v>38</v>
      </c>
      <c r="B11" s="208">
        <v>1.44</v>
      </c>
      <c r="C11" s="207">
        <v>2.1999999999999999E-2</v>
      </c>
    </row>
    <row r="12" spans="1:26" ht="20.100000000000001" customHeight="1" x14ac:dyDescent="0.25">
      <c r="A12" s="208">
        <v>39</v>
      </c>
      <c r="B12" s="208">
        <v>1.48</v>
      </c>
      <c r="C12" s="207">
        <v>2.4E-2</v>
      </c>
    </row>
    <row r="13" spans="1:26" ht="20.100000000000001" customHeight="1" x14ac:dyDescent="0.25">
      <c r="A13" s="208">
        <v>40</v>
      </c>
      <c r="B13" s="208">
        <v>1.51</v>
      </c>
      <c r="C13" s="207">
        <v>2.5499999999999998E-2</v>
      </c>
    </row>
    <row r="14" spans="1:26" ht="20.100000000000001" customHeight="1" x14ac:dyDescent="0.25">
      <c r="A14" s="208">
        <v>41</v>
      </c>
      <c r="B14" s="208">
        <v>1.54</v>
      </c>
      <c r="C14" s="207">
        <v>2.7E-2</v>
      </c>
    </row>
    <row r="15" spans="1:26" ht="20.100000000000001" customHeight="1" x14ac:dyDescent="0.25">
      <c r="A15" s="208">
        <v>42</v>
      </c>
      <c r="B15" s="208">
        <v>1.57</v>
      </c>
      <c r="C15" s="207">
        <v>2.8500000000000001E-2</v>
      </c>
    </row>
    <row r="16" spans="1:26" ht="20.100000000000001" customHeight="1" x14ac:dyDescent="0.25">
      <c r="A16" s="208">
        <v>43</v>
      </c>
      <c r="B16" s="208">
        <v>1.6</v>
      </c>
      <c r="C16" s="207">
        <v>0.03</v>
      </c>
    </row>
    <row r="17" spans="1:3" ht="20.100000000000001" customHeight="1" x14ac:dyDescent="0.25">
      <c r="A17" s="208">
        <v>44</v>
      </c>
      <c r="B17" s="208">
        <v>1.63</v>
      </c>
      <c r="C17" s="207">
        <v>3.15E-2</v>
      </c>
    </row>
    <row r="18" spans="1:3" ht="20.100000000000001" customHeight="1" x14ac:dyDescent="0.25">
      <c r="A18" s="208">
        <v>45</v>
      </c>
      <c r="B18" s="208">
        <v>1.66</v>
      </c>
      <c r="C18" s="207">
        <v>3.3000000000000002E-2</v>
      </c>
    </row>
    <row r="19" spans="1:3" ht="20.100000000000001" customHeight="1" x14ac:dyDescent="0.25">
      <c r="A19" s="208">
        <v>46</v>
      </c>
      <c r="B19" s="208">
        <v>1.69</v>
      </c>
      <c r="C19" s="207">
        <v>3.4500000000000003E-2</v>
      </c>
    </row>
    <row r="20" spans="1:3" ht="20.100000000000001" customHeight="1" x14ac:dyDescent="0.25">
      <c r="A20" s="208">
        <v>47</v>
      </c>
      <c r="B20" s="208">
        <v>1.71</v>
      </c>
      <c r="C20" s="207">
        <v>3.5499999999999997E-2</v>
      </c>
    </row>
    <row r="21" spans="1:3" ht="20.100000000000001" customHeight="1" x14ac:dyDescent="0.25">
      <c r="A21" s="208">
        <v>48</v>
      </c>
      <c r="B21" s="208">
        <v>1.73</v>
      </c>
      <c r="C21" s="207">
        <v>3.6499999999999998E-2</v>
      </c>
    </row>
    <row r="22" spans="1:3" ht="20.100000000000001" customHeight="1" x14ac:dyDescent="0.25">
      <c r="A22" s="208">
        <v>49</v>
      </c>
      <c r="B22" s="208">
        <v>1.75</v>
      </c>
      <c r="C22" s="207">
        <v>3.7499999999999999E-2</v>
      </c>
    </row>
    <row r="23" spans="1:3" ht="20.100000000000001" customHeight="1" x14ac:dyDescent="0.25">
      <c r="A23" s="208">
        <v>50</v>
      </c>
      <c r="B23" s="208">
        <v>1.76</v>
      </c>
      <c r="C23" s="207">
        <v>3.7999999999999999E-2</v>
      </c>
    </row>
    <row r="24" spans="1:3" ht="20.100000000000001" customHeight="1" x14ac:dyDescent="0.25">
      <c r="A24" s="208">
        <v>51</v>
      </c>
      <c r="B24" s="208">
        <v>1.77</v>
      </c>
      <c r="C24" s="207">
        <v>3.85E-2</v>
      </c>
    </row>
    <row r="25" spans="1:3" ht="20.100000000000001" customHeight="1" x14ac:dyDescent="0.25">
      <c r="A25" s="208">
        <v>52</v>
      </c>
      <c r="B25" s="208">
        <v>1.774</v>
      </c>
      <c r="C25" s="207">
        <v>3.8699999999999998E-2</v>
      </c>
    </row>
    <row r="26" spans="1:3" ht="20.100000000000001" customHeight="1" x14ac:dyDescent="0.25">
      <c r="A26" s="208">
        <v>53</v>
      </c>
      <c r="B26" s="208">
        <v>1.78</v>
      </c>
      <c r="C26" s="207">
        <v>3.9E-2</v>
      </c>
    </row>
    <row r="27" spans="1:3" ht="20.100000000000001" customHeight="1" x14ac:dyDescent="0.25">
      <c r="A27" s="208">
        <v>54</v>
      </c>
      <c r="B27" s="208">
        <v>1.784</v>
      </c>
      <c r="C27" s="207">
        <v>3.9199999999999999E-2</v>
      </c>
    </row>
    <row r="28" spans="1:3" ht="20.100000000000001" customHeight="1" x14ac:dyDescent="0.25">
      <c r="A28" s="208">
        <v>55</v>
      </c>
      <c r="B28" s="208">
        <v>1.788</v>
      </c>
      <c r="C28" s="207">
        <v>3.9399999999999998E-2</v>
      </c>
    </row>
    <row r="29" spans="1:3" ht="20.100000000000001" customHeight="1" x14ac:dyDescent="0.25">
      <c r="A29" s="208">
        <v>56</v>
      </c>
      <c r="B29" s="208">
        <v>1.79</v>
      </c>
      <c r="C29" s="207">
        <v>3.95E-2</v>
      </c>
    </row>
    <row r="30" spans="1:3" ht="20.100000000000001" customHeight="1" x14ac:dyDescent="0.25">
      <c r="A30" s="208">
        <v>57</v>
      </c>
      <c r="B30" s="208">
        <v>1.792</v>
      </c>
      <c r="C30" s="207">
        <v>3.9600000000000003E-2</v>
      </c>
    </row>
    <row r="31" spans="1:3" ht="20.100000000000001" customHeight="1" x14ac:dyDescent="0.25">
      <c r="A31" s="208">
        <v>58</v>
      </c>
      <c r="B31" s="208">
        <v>1.794</v>
      </c>
      <c r="C31" s="207">
        <v>3.9699999999999999E-2</v>
      </c>
    </row>
    <row r="32" spans="1:3" ht="20.100000000000001" customHeight="1" x14ac:dyDescent="0.25">
      <c r="A32" s="208">
        <v>59</v>
      </c>
      <c r="B32" s="208">
        <v>1.796</v>
      </c>
      <c r="C32" s="207">
        <v>3.9800000000000002E-2</v>
      </c>
    </row>
    <row r="33" spans="1:3" ht="20.100000000000001" customHeight="1" x14ac:dyDescent="0.25">
      <c r="A33" s="208">
        <v>60</v>
      </c>
      <c r="B33" s="208">
        <v>1.798</v>
      </c>
      <c r="C33" s="207">
        <v>3.9899999999999998E-2</v>
      </c>
    </row>
    <row r="34" spans="1:3" ht="20.100000000000001" customHeight="1" x14ac:dyDescent="0.25">
      <c r="A34" s="208">
        <v>61</v>
      </c>
      <c r="B34" s="208">
        <v>1.8</v>
      </c>
      <c r="C34" s="207">
        <v>0.04</v>
      </c>
    </row>
  </sheetData>
  <mergeCells count="1">
    <mergeCell ref="F1:G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033D-10B5-48EA-B84A-661A56EB7464}">
  <sheetPr>
    <tabColor rgb="FF9966FF"/>
  </sheetPr>
  <dimension ref="A1:B17"/>
  <sheetViews>
    <sheetView workbookViewId="0">
      <selection activeCell="B17" sqref="B17"/>
    </sheetView>
  </sheetViews>
  <sheetFormatPr defaultRowHeight="15" x14ac:dyDescent="0.25"/>
  <cols>
    <col min="1" max="1" width="62.7109375" customWidth="1"/>
    <col min="2" max="2" width="10.5703125" bestFit="1" customWidth="1"/>
  </cols>
  <sheetData>
    <row r="1" spans="1:2" x14ac:dyDescent="0.25">
      <c r="A1" t="s">
        <v>947</v>
      </c>
    </row>
    <row r="2" spans="1:2" x14ac:dyDescent="0.25">
      <c r="A2" s="612" t="s">
        <v>573</v>
      </c>
      <c r="B2" s="612"/>
    </row>
    <row r="3" spans="1:2" x14ac:dyDescent="0.25">
      <c r="A3" s="209" t="s">
        <v>572</v>
      </c>
      <c r="B3" s="209" t="s">
        <v>7</v>
      </c>
    </row>
    <row r="4" spans="1:2" x14ac:dyDescent="0.25">
      <c r="A4" s="276" t="s">
        <v>952</v>
      </c>
      <c r="B4" s="209">
        <v>23</v>
      </c>
    </row>
    <row r="5" spans="1:2" x14ac:dyDescent="0.25">
      <c r="A5" s="276" t="s">
        <v>948</v>
      </c>
      <c r="B5" s="209">
        <v>26</v>
      </c>
    </row>
    <row r="6" spans="1:2" x14ac:dyDescent="0.25">
      <c r="A6" s="276" t="s">
        <v>949</v>
      </c>
      <c r="B6" s="209">
        <v>29</v>
      </c>
    </row>
    <row r="7" spans="1:2" x14ac:dyDescent="0.25">
      <c r="A7" s="276" t="s">
        <v>950</v>
      </c>
      <c r="B7" s="209">
        <v>30</v>
      </c>
    </row>
    <row r="8" spans="1:2" x14ac:dyDescent="0.25">
      <c r="A8" s="276" t="s">
        <v>951</v>
      </c>
      <c r="B8" s="209">
        <v>32</v>
      </c>
    </row>
    <row r="9" spans="1:2" x14ac:dyDescent="0.25">
      <c r="A9" s="276" t="s">
        <v>1120</v>
      </c>
      <c r="B9" s="209">
        <v>46</v>
      </c>
    </row>
    <row r="10" spans="1:2" x14ac:dyDescent="0.25">
      <c r="A10" s="276" t="s">
        <v>953</v>
      </c>
      <c r="B10" s="209">
        <v>14</v>
      </c>
    </row>
    <row r="12" spans="1:2" x14ac:dyDescent="0.25">
      <c r="A12" s="180" t="s">
        <v>1115</v>
      </c>
      <c r="B12" s="512">
        <v>1.06</v>
      </c>
    </row>
    <row r="13" spans="1:2" x14ac:dyDescent="0.25">
      <c r="A13" s="180" t="s">
        <v>1116</v>
      </c>
      <c r="B13" s="513">
        <v>7.7999999999999996E-3</v>
      </c>
    </row>
    <row r="14" spans="1:2" x14ac:dyDescent="0.25">
      <c r="A14" s="180" t="s">
        <v>1124</v>
      </c>
      <c r="B14" s="512">
        <v>0.08</v>
      </c>
    </row>
    <row r="15" spans="1:2" x14ac:dyDescent="0.25">
      <c r="A15" s="180" t="s">
        <v>1125</v>
      </c>
      <c r="B15" s="512">
        <v>2</v>
      </c>
    </row>
    <row r="16" spans="1:2" x14ac:dyDescent="0.25">
      <c r="A16" s="180" t="s">
        <v>1123</v>
      </c>
      <c r="B16" s="512">
        <v>200</v>
      </c>
    </row>
    <row r="17" spans="1:2" x14ac:dyDescent="0.25">
      <c r="A17" s="180" t="s">
        <v>1119</v>
      </c>
      <c r="B17" s="514">
        <v>0.83</v>
      </c>
    </row>
  </sheetData>
  <mergeCells count="1"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E220-73A5-498E-8FEF-B595C0DEC69D}">
  <sheetPr>
    <tabColor rgb="FF00B0F0"/>
  </sheetPr>
  <dimension ref="A1:CX339"/>
  <sheetViews>
    <sheetView zoomScale="65" workbookViewId="0">
      <pane xSplit="1" ySplit="1" topLeftCell="B2" activePane="bottomRight" state="frozen"/>
      <selection sqref="A1:C1"/>
      <selection pane="topRight" sqref="A1:C1"/>
      <selection pane="bottomLeft" sqref="A1:C1"/>
      <selection pane="bottomRight" activeCell="J10" sqref="J10"/>
    </sheetView>
  </sheetViews>
  <sheetFormatPr defaultColWidth="10.7109375" defaultRowHeight="15" x14ac:dyDescent="0.25"/>
  <cols>
    <col min="1" max="1" width="34.28515625" style="180" customWidth="1"/>
    <col min="2" max="2" width="32.28515625" customWidth="1"/>
    <col min="3" max="3" width="26.28515625" customWidth="1"/>
    <col min="4" max="4" width="12.7109375" customWidth="1"/>
    <col min="5" max="5" width="18.7109375" customWidth="1"/>
    <col min="6" max="9" width="13.28515625" customWidth="1"/>
    <col min="10" max="10" width="16.85546875" customWidth="1"/>
    <col min="11" max="14" width="13.28515625" customWidth="1"/>
    <col min="15" max="15" width="16.85546875" customWidth="1"/>
    <col min="16" max="16" width="15.140625" customWidth="1"/>
    <col min="17" max="17" width="18.7109375" customWidth="1"/>
    <col min="18" max="18" width="15.85546875" customWidth="1"/>
    <col min="19" max="20" width="13.28515625" customWidth="1"/>
    <col min="21" max="102" width="10.7109375" style="213"/>
  </cols>
  <sheetData>
    <row r="1" spans="1:102" s="180" customFormat="1" ht="37.15" customHeight="1" x14ac:dyDescent="0.25">
      <c r="A1" s="234" t="s">
        <v>604</v>
      </c>
      <c r="B1" s="233" t="s">
        <v>602</v>
      </c>
      <c r="C1" s="232" t="s">
        <v>601</v>
      </c>
      <c r="D1" s="232" t="s">
        <v>600</v>
      </c>
      <c r="E1" s="232" t="s">
        <v>603</v>
      </c>
      <c r="F1" s="232" t="s">
        <v>598</v>
      </c>
      <c r="G1" s="232" t="s">
        <v>597</v>
      </c>
      <c r="H1" s="232" t="s">
        <v>596</v>
      </c>
      <c r="I1" s="232" t="s">
        <v>595</v>
      </c>
      <c r="J1" s="232" t="s">
        <v>594</v>
      </c>
      <c r="K1" s="232" t="s">
        <v>593</v>
      </c>
      <c r="L1" s="232" t="s">
        <v>592</v>
      </c>
      <c r="M1" s="232" t="s">
        <v>591</v>
      </c>
      <c r="N1" s="232" t="s">
        <v>590</v>
      </c>
      <c r="O1" s="232" t="s">
        <v>589</v>
      </c>
      <c r="P1" s="232" t="s">
        <v>588</v>
      </c>
      <c r="Q1" s="232" t="s">
        <v>587</v>
      </c>
      <c r="R1" s="232" t="s">
        <v>586</v>
      </c>
      <c r="S1" s="232" t="s">
        <v>585</v>
      </c>
      <c r="T1" s="231" t="s">
        <v>584</v>
      </c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214"/>
      <c r="BZ1" s="214"/>
      <c r="CA1" s="214"/>
      <c r="CB1" s="214"/>
      <c r="CC1" s="214"/>
      <c r="CD1" s="214"/>
      <c r="CE1" s="214"/>
      <c r="CF1" s="214"/>
      <c r="CG1" s="214"/>
      <c r="CH1" s="214"/>
      <c r="CI1" s="214"/>
      <c r="CJ1" s="214"/>
      <c r="CK1" s="214"/>
      <c r="CL1" s="214"/>
      <c r="CM1" s="214"/>
      <c r="CN1" s="214"/>
      <c r="CO1" s="214"/>
      <c r="CP1" s="214"/>
      <c r="CQ1" s="214"/>
      <c r="CR1" s="214"/>
      <c r="CS1" s="214"/>
      <c r="CT1" s="214"/>
      <c r="CU1" s="214"/>
      <c r="CV1" s="214"/>
      <c r="CW1" s="214"/>
      <c r="CX1" s="214"/>
    </row>
    <row r="2" spans="1:102" ht="37.15" customHeight="1" x14ac:dyDescent="0.25">
      <c r="A2" s="229" t="s">
        <v>602</v>
      </c>
      <c r="B2" s="226">
        <v>28</v>
      </c>
      <c r="C2" s="227">
        <v>45</v>
      </c>
      <c r="D2" s="227">
        <v>45</v>
      </c>
      <c r="E2" s="228">
        <v>60</v>
      </c>
      <c r="F2" s="228">
        <v>60</v>
      </c>
      <c r="G2" s="227">
        <v>45</v>
      </c>
      <c r="H2" s="228">
        <v>60</v>
      </c>
      <c r="I2" s="228">
        <v>60</v>
      </c>
      <c r="J2" s="228">
        <v>60</v>
      </c>
      <c r="K2" s="228">
        <v>60</v>
      </c>
      <c r="L2" s="228">
        <v>75</v>
      </c>
      <c r="M2" s="228">
        <v>90</v>
      </c>
      <c r="N2" s="228">
        <v>90</v>
      </c>
      <c r="O2" s="228">
        <v>105</v>
      </c>
      <c r="P2" s="228">
        <v>135</v>
      </c>
      <c r="Q2" s="228">
        <v>150</v>
      </c>
      <c r="R2" s="228">
        <v>60</v>
      </c>
      <c r="S2" s="227">
        <v>45</v>
      </c>
      <c r="T2" s="225">
        <v>90</v>
      </c>
    </row>
    <row r="3" spans="1:102" ht="37.15" customHeight="1" x14ac:dyDescent="0.25">
      <c r="A3" s="229" t="s">
        <v>601</v>
      </c>
      <c r="B3" s="227">
        <v>45</v>
      </c>
      <c r="C3" s="226">
        <v>28</v>
      </c>
      <c r="D3" s="228">
        <v>60</v>
      </c>
      <c r="E3" s="228">
        <v>75</v>
      </c>
      <c r="F3" s="228">
        <v>75</v>
      </c>
      <c r="G3" s="228">
        <v>60</v>
      </c>
      <c r="H3" s="228">
        <v>75</v>
      </c>
      <c r="I3" s="228">
        <v>75</v>
      </c>
      <c r="J3" s="228">
        <v>75</v>
      </c>
      <c r="K3" s="228">
        <v>75</v>
      </c>
      <c r="L3" s="228">
        <v>90</v>
      </c>
      <c r="M3" s="228">
        <v>90</v>
      </c>
      <c r="N3" s="228">
        <v>105</v>
      </c>
      <c r="O3" s="228">
        <v>120</v>
      </c>
      <c r="P3" s="228">
        <v>150</v>
      </c>
      <c r="Q3" s="228">
        <v>150</v>
      </c>
      <c r="R3" s="228">
        <v>60</v>
      </c>
      <c r="S3" s="227">
        <v>45</v>
      </c>
      <c r="T3" s="225">
        <v>120</v>
      </c>
    </row>
    <row r="4" spans="1:102" ht="37.15" customHeight="1" x14ac:dyDescent="0.25">
      <c r="A4" s="229" t="s">
        <v>600</v>
      </c>
      <c r="B4" s="227">
        <v>45</v>
      </c>
      <c r="C4" s="228">
        <v>60</v>
      </c>
      <c r="D4" s="226">
        <v>28</v>
      </c>
      <c r="E4" s="227">
        <v>45</v>
      </c>
      <c r="F4" s="227">
        <v>45</v>
      </c>
      <c r="G4" s="227">
        <v>45</v>
      </c>
      <c r="H4" s="227">
        <v>45</v>
      </c>
      <c r="I4" s="228">
        <v>60</v>
      </c>
      <c r="J4" s="227">
        <v>45</v>
      </c>
      <c r="K4" s="228">
        <v>60</v>
      </c>
      <c r="L4" s="228">
        <v>75</v>
      </c>
      <c r="M4" s="228">
        <v>90</v>
      </c>
      <c r="N4" s="228">
        <v>90</v>
      </c>
      <c r="O4" s="228">
        <v>105</v>
      </c>
      <c r="P4" s="228">
        <v>135</v>
      </c>
      <c r="Q4" s="228">
        <v>150</v>
      </c>
      <c r="R4" s="228">
        <v>60</v>
      </c>
      <c r="S4" s="227">
        <v>45</v>
      </c>
      <c r="T4" s="225">
        <v>90</v>
      </c>
    </row>
    <row r="5" spans="1:102" ht="37.15" customHeight="1" x14ac:dyDescent="0.25">
      <c r="A5" s="229" t="s">
        <v>599</v>
      </c>
      <c r="B5" s="228">
        <v>60</v>
      </c>
      <c r="C5" s="228">
        <v>75</v>
      </c>
      <c r="D5" s="227">
        <v>45</v>
      </c>
      <c r="E5" s="226">
        <v>28</v>
      </c>
      <c r="F5" s="227">
        <v>45</v>
      </c>
      <c r="G5" s="228">
        <v>60</v>
      </c>
      <c r="H5" s="228">
        <v>60</v>
      </c>
      <c r="I5" s="228">
        <v>75</v>
      </c>
      <c r="J5" s="227">
        <v>45</v>
      </c>
      <c r="K5" s="227">
        <v>45</v>
      </c>
      <c r="L5" s="228">
        <v>75</v>
      </c>
      <c r="M5" s="228">
        <v>90</v>
      </c>
      <c r="N5" s="228">
        <v>105</v>
      </c>
      <c r="O5" s="228">
        <v>120</v>
      </c>
      <c r="P5" s="228">
        <v>135</v>
      </c>
      <c r="Q5" s="228">
        <v>150</v>
      </c>
      <c r="R5" s="228">
        <v>75</v>
      </c>
      <c r="S5" s="228">
        <v>60</v>
      </c>
      <c r="T5" s="225">
        <v>105</v>
      </c>
    </row>
    <row r="6" spans="1:102" ht="37.15" customHeight="1" x14ac:dyDescent="0.25">
      <c r="A6" s="229" t="s">
        <v>598</v>
      </c>
      <c r="B6" s="228">
        <v>60</v>
      </c>
      <c r="C6" s="228">
        <v>75</v>
      </c>
      <c r="D6" s="227">
        <v>45</v>
      </c>
      <c r="E6" s="227">
        <v>45</v>
      </c>
      <c r="F6" s="226">
        <v>28</v>
      </c>
      <c r="G6" s="228">
        <v>60</v>
      </c>
      <c r="H6" s="227">
        <v>45</v>
      </c>
      <c r="I6" s="228">
        <v>60</v>
      </c>
      <c r="J6" s="227">
        <v>45</v>
      </c>
      <c r="K6" s="227">
        <v>45</v>
      </c>
      <c r="L6" s="228">
        <v>75</v>
      </c>
      <c r="M6" s="228">
        <v>90</v>
      </c>
      <c r="N6" s="228">
        <v>90</v>
      </c>
      <c r="O6" s="228">
        <v>105</v>
      </c>
      <c r="P6" s="228">
        <v>120</v>
      </c>
      <c r="Q6" s="228">
        <v>150</v>
      </c>
      <c r="R6" s="228">
        <v>75</v>
      </c>
      <c r="S6" s="228">
        <v>60</v>
      </c>
      <c r="T6" s="225">
        <v>90</v>
      </c>
    </row>
    <row r="7" spans="1:102" ht="37.15" customHeight="1" x14ac:dyDescent="0.25">
      <c r="A7" s="229" t="s">
        <v>597</v>
      </c>
      <c r="B7" s="227">
        <v>45</v>
      </c>
      <c r="C7" s="228">
        <v>60</v>
      </c>
      <c r="D7" s="227">
        <v>45</v>
      </c>
      <c r="E7" s="228">
        <v>60</v>
      </c>
      <c r="F7" s="228">
        <v>60</v>
      </c>
      <c r="G7" s="226">
        <v>28</v>
      </c>
      <c r="H7" s="227">
        <v>45</v>
      </c>
      <c r="I7" s="227">
        <v>45</v>
      </c>
      <c r="J7" s="228">
        <v>75</v>
      </c>
      <c r="K7" s="228">
        <v>75</v>
      </c>
      <c r="L7" s="228">
        <v>60</v>
      </c>
      <c r="M7" s="228">
        <v>75</v>
      </c>
      <c r="N7" s="228">
        <v>75</v>
      </c>
      <c r="O7" s="228">
        <v>90</v>
      </c>
      <c r="P7" s="228">
        <v>120</v>
      </c>
      <c r="Q7" s="228">
        <v>150</v>
      </c>
      <c r="R7" s="228">
        <v>75</v>
      </c>
      <c r="S7" s="228">
        <v>60</v>
      </c>
      <c r="T7" s="225">
        <v>90</v>
      </c>
    </row>
    <row r="8" spans="1:102" ht="37.15" customHeight="1" x14ac:dyDescent="0.25">
      <c r="A8" s="229" t="s">
        <v>596</v>
      </c>
      <c r="B8" s="228">
        <v>60</v>
      </c>
      <c r="C8" s="228">
        <v>75</v>
      </c>
      <c r="D8" s="227">
        <v>45</v>
      </c>
      <c r="E8" s="228">
        <v>60</v>
      </c>
      <c r="F8" s="227">
        <v>45</v>
      </c>
      <c r="G8" s="227">
        <v>45</v>
      </c>
      <c r="H8" s="226">
        <v>28</v>
      </c>
      <c r="I8" s="227">
        <v>45</v>
      </c>
      <c r="J8" s="228">
        <v>60</v>
      </c>
      <c r="K8" s="228">
        <v>60</v>
      </c>
      <c r="L8" s="228">
        <v>60</v>
      </c>
      <c r="M8" s="228">
        <v>75</v>
      </c>
      <c r="N8" s="228">
        <v>75</v>
      </c>
      <c r="O8" s="228">
        <v>90</v>
      </c>
      <c r="P8" s="228">
        <v>120</v>
      </c>
      <c r="Q8" s="228">
        <v>150</v>
      </c>
      <c r="R8" s="228">
        <v>75</v>
      </c>
      <c r="S8" s="228">
        <v>60</v>
      </c>
      <c r="T8" s="225">
        <v>75</v>
      </c>
    </row>
    <row r="9" spans="1:102" ht="37.15" customHeight="1" x14ac:dyDescent="0.25">
      <c r="A9" s="229" t="s">
        <v>595</v>
      </c>
      <c r="B9" s="228">
        <v>60</v>
      </c>
      <c r="C9" s="228">
        <v>75</v>
      </c>
      <c r="D9" s="228">
        <v>60</v>
      </c>
      <c r="E9" s="228">
        <v>75</v>
      </c>
      <c r="F9" s="228">
        <v>60</v>
      </c>
      <c r="G9" s="227">
        <v>45</v>
      </c>
      <c r="H9" s="227">
        <v>45</v>
      </c>
      <c r="I9" s="226">
        <v>28</v>
      </c>
      <c r="J9" s="228">
        <v>75</v>
      </c>
      <c r="K9" s="228">
        <v>75</v>
      </c>
      <c r="L9" s="227">
        <v>45</v>
      </c>
      <c r="M9" s="228">
        <v>60</v>
      </c>
      <c r="N9" s="228">
        <v>60</v>
      </c>
      <c r="O9" s="228">
        <v>75</v>
      </c>
      <c r="P9" s="228">
        <v>105</v>
      </c>
      <c r="Q9" s="228">
        <v>150</v>
      </c>
      <c r="R9" s="228">
        <v>90</v>
      </c>
      <c r="S9" s="228">
        <v>75</v>
      </c>
      <c r="T9" s="225">
        <v>75</v>
      </c>
    </row>
    <row r="10" spans="1:102" ht="37.15" customHeight="1" x14ac:dyDescent="0.25">
      <c r="A10" s="229" t="s">
        <v>594</v>
      </c>
      <c r="B10" s="228">
        <v>60</v>
      </c>
      <c r="C10" s="228">
        <v>75</v>
      </c>
      <c r="D10" s="227">
        <v>45</v>
      </c>
      <c r="E10" s="227">
        <v>45</v>
      </c>
      <c r="F10" s="227">
        <v>45</v>
      </c>
      <c r="G10" s="228">
        <v>75</v>
      </c>
      <c r="H10" s="228">
        <v>60</v>
      </c>
      <c r="I10" s="228">
        <v>75</v>
      </c>
      <c r="J10" s="226">
        <v>28</v>
      </c>
      <c r="K10" s="227">
        <v>45</v>
      </c>
      <c r="L10" s="228">
        <v>90</v>
      </c>
      <c r="M10" s="228">
        <v>105</v>
      </c>
      <c r="N10" s="228">
        <v>105</v>
      </c>
      <c r="O10" s="228">
        <v>120</v>
      </c>
      <c r="P10" s="228">
        <v>150</v>
      </c>
      <c r="Q10" s="228">
        <v>150</v>
      </c>
      <c r="R10" s="228">
        <v>90</v>
      </c>
      <c r="S10" s="228">
        <v>75</v>
      </c>
      <c r="T10" s="225">
        <v>105</v>
      </c>
    </row>
    <row r="11" spans="1:102" ht="37.15" customHeight="1" x14ac:dyDescent="0.25">
      <c r="A11" s="229" t="s">
        <v>593</v>
      </c>
      <c r="B11" s="228">
        <v>60</v>
      </c>
      <c r="C11" s="228">
        <v>75</v>
      </c>
      <c r="D11" s="228">
        <v>60</v>
      </c>
      <c r="E11" s="227">
        <v>45</v>
      </c>
      <c r="F11" s="227">
        <v>45</v>
      </c>
      <c r="G11" s="228">
        <v>75</v>
      </c>
      <c r="H11" s="228">
        <v>60</v>
      </c>
      <c r="I11" s="228">
        <v>75</v>
      </c>
      <c r="J11" s="227">
        <v>45</v>
      </c>
      <c r="K11" s="226">
        <v>28</v>
      </c>
      <c r="L11" s="228">
        <v>90</v>
      </c>
      <c r="M11" s="228">
        <v>90</v>
      </c>
      <c r="N11" s="228">
        <v>105</v>
      </c>
      <c r="O11" s="228">
        <v>120</v>
      </c>
      <c r="P11" s="228">
        <v>135</v>
      </c>
      <c r="Q11" s="228">
        <v>150</v>
      </c>
      <c r="R11" s="228">
        <v>90</v>
      </c>
      <c r="S11" s="228">
        <v>75</v>
      </c>
      <c r="T11" s="225">
        <v>105</v>
      </c>
    </row>
    <row r="12" spans="1:102" ht="37.15" customHeight="1" x14ac:dyDescent="0.25">
      <c r="A12" s="229" t="s">
        <v>592</v>
      </c>
      <c r="B12" s="228">
        <v>75</v>
      </c>
      <c r="C12" s="228">
        <v>90</v>
      </c>
      <c r="D12" s="228">
        <v>75</v>
      </c>
      <c r="E12" s="228">
        <v>75</v>
      </c>
      <c r="F12" s="228">
        <v>75</v>
      </c>
      <c r="G12" s="228">
        <v>60</v>
      </c>
      <c r="H12" s="228">
        <v>60</v>
      </c>
      <c r="I12" s="227">
        <v>45</v>
      </c>
      <c r="J12" s="228">
        <v>90</v>
      </c>
      <c r="K12" s="228">
        <v>90</v>
      </c>
      <c r="L12" s="226">
        <v>28</v>
      </c>
      <c r="M12" s="227">
        <v>45</v>
      </c>
      <c r="N12" s="228">
        <v>60</v>
      </c>
      <c r="O12" s="228">
        <v>75</v>
      </c>
      <c r="P12" s="228">
        <v>90</v>
      </c>
      <c r="Q12" s="228">
        <v>150</v>
      </c>
      <c r="R12" s="228">
        <v>105</v>
      </c>
      <c r="S12" s="228">
        <v>90</v>
      </c>
      <c r="T12" s="225">
        <v>75</v>
      </c>
    </row>
    <row r="13" spans="1:102" ht="37.15" customHeight="1" x14ac:dyDescent="0.25">
      <c r="A13" s="229" t="s">
        <v>591</v>
      </c>
      <c r="B13" s="228">
        <v>90</v>
      </c>
      <c r="C13" s="228">
        <v>90</v>
      </c>
      <c r="D13" s="228">
        <v>90</v>
      </c>
      <c r="E13" s="228">
        <v>90</v>
      </c>
      <c r="F13" s="228">
        <v>90</v>
      </c>
      <c r="G13" s="228">
        <v>75</v>
      </c>
      <c r="H13" s="228">
        <v>75</v>
      </c>
      <c r="I13" s="228">
        <v>60</v>
      </c>
      <c r="J13" s="228">
        <v>105</v>
      </c>
      <c r="K13" s="228">
        <v>90</v>
      </c>
      <c r="L13" s="227">
        <v>45</v>
      </c>
      <c r="M13" s="226">
        <v>28</v>
      </c>
      <c r="N13" s="227">
        <v>45</v>
      </c>
      <c r="O13" s="228">
        <v>60</v>
      </c>
      <c r="P13" s="228">
        <v>90</v>
      </c>
      <c r="Q13" s="228">
        <v>150</v>
      </c>
      <c r="R13" s="228">
        <v>120</v>
      </c>
      <c r="S13" s="228">
        <v>90</v>
      </c>
      <c r="T13" s="225">
        <v>75</v>
      </c>
    </row>
    <row r="14" spans="1:102" ht="37.15" customHeight="1" x14ac:dyDescent="0.25">
      <c r="A14" s="229" t="s">
        <v>590</v>
      </c>
      <c r="B14" s="228">
        <v>90</v>
      </c>
      <c r="C14" s="228">
        <v>105</v>
      </c>
      <c r="D14" s="228">
        <v>90</v>
      </c>
      <c r="E14" s="228">
        <v>105</v>
      </c>
      <c r="F14" s="228">
        <v>90</v>
      </c>
      <c r="G14" s="228">
        <v>75</v>
      </c>
      <c r="H14" s="228">
        <v>75</v>
      </c>
      <c r="I14" s="228">
        <v>60</v>
      </c>
      <c r="J14" s="228">
        <v>105</v>
      </c>
      <c r="K14" s="228">
        <v>105</v>
      </c>
      <c r="L14" s="228">
        <v>60</v>
      </c>
      <c r="M14" s="227">
        <v>45</v>
      </c>
      <c r="N14" s="226">
        <v>28</v>
      </c>
      <c r="O14" s="227">
        <v>45</v>
      </c>
      <c r="P14" s="228">
        <v>75</v>
      </c>
      <c r="Q14" s="228">
        <v>150</v>
      </c>
      <c r="R14" s="228">
        <v>120</v>
      </c>
      <c r="S14" s="228">
        <v>105</v>
      </c>
      <c r="T14" s="230">
        <v>60</v>
      </c>
    </row>
    <row r="15" spans="1:102" ht="37.15" customHeight="1" x14ac:dyDescent="0.25">
      <c r="A15" s="229" t="s">
        <v>589</v>
      </c>
      <c r="B15" s="228">
        <v>105</v>
      </c>
      <c r="C15" s="228">
        <v>120</v>
      </c>
      <c r="D15" s="228">
        <v>105</v>
      </c>
      <c r="E15" s="228">
        <v>120</v>
      </c>
      <c r="F15" s="228">
        <v>105</v>
      </c>
      <c r="G15" s="228">
        <v>90</v>
      </c>
      <c r="H15" s="228">
        <v>90</v>
      </c>
      <c r="I15" s="228">
        <v>75</v>
      </c>
      <c r="J15" s="228">
        <v>120</v>
      </c>
      <c r="K15" s="228">
        <v>120</v>
      </c>
      <c r="L15" s="228">
        <v>75</v>
      </c>
      <c r="M15" s="228">
        <v>60</v>
      </c>
      <c r="N15" s="227">
        <v>45</v>
      </c>
      <c r="O15" s="226">
        <v>28</v>
      </c>
      <c r="P15" s="227">
        <v>45</v>
      </c>
      <c r="Q15" s="228">
        <v>150</v>
      </c>
      <c r="R15" s="228">
        <v>135</v>
      </c>
      <c r="S15" s="228">
        <v>120</v>
      </c>
      <c r="T15" s="225">
        <v>75</v>
      </c>
    </row>
    <row r="16" spans="1:102" ht="37.15" customHeight="1" x14ac:dyDescent="0.25">
      <c r="A16" s="229" t="s">
        <v>588</v>
      </c>
      <c r="B16" s="228">
        <v>135</v>
      </c>
      <c r="C16" s="228">
        <v>150</v>
      </c>
      <c r="D16" s="228">
        <v>135</v>
      </c>
      <c r="E16" s="228">
        <v>135</v>
      </c>
      <c r="F16" s="228">
        <v>120</v>
      </c>
      <c r="G16" s="228">
        <v>120</v>
      </c>
      <c r="H16" s="228">
        <v>120</v>
      </c>
      <c r="I16" s="228">
        <v>105</v>
      </c>
      <c r="J16" s="228">
        <v>150</v>
      </c>
      <c r="K16" s="228">
        <v>135</v>
      </c>
      <c r="L16" s="228">
        <v>90</v>
      </c>
      <c r="M16" s="228">
        <v>90</v>
      </c>
      <c r="N16" s="228">
        <v>75</v>
      </c>
      <c r="O16" s="227">
        <v>45</v>
      </c>
      <c r="P16" s="226">
        <v>28</v>
      </c>
      <c r="Q16" s="228">
        <v>120</v>
      </c>
      <c r="R16" s="228">
        <v>150</v>
      </c>
      <c r="S16" s="228">
        <v>150</v>
      </c>
      <c r="T16" s="225">
        <v>90</v>
      </c>
    </row>
    <row r="17" spans="1:20" ht="37.15" customHeight="1" x14ac:dyDescent="0.25">
      <c r="A17" s="229" t="s">
        <v>587</v>
      </c>
      <c r="B17" s="228">
        <v>150</v>
      </c>
      <c r="C17" s="228">
        <v>150</v>
      </c>
      <c r="D17" s="228">
        <v>150</v>
      </c>
      <c r="E17" s="228">
        <v>150</v>
      </c>
      <c r="F17" s="228">
        <v>150</v>
      </c>
      <c r="G17" s="228">
        <v>150</v>
      </c>
      <c r="H17" s="228">
        <v>150</v>
      </c>
      <c r="I17" s="228">
        <v>150</v>
      </c>
      <c r="J17" s="228">
        <v>150</v>
      </c>
      <c r="K17" s="228">
        <v>150</v>
      </c>
      <c r="L17" s="228">
        <v>150</v>
      </c>
      <c r="M17" s="228">
        <v>150</v>
      </c>
      <c r="N17" s="228">
        <v>150</v>
      </c>
      <c r="O17" s="228">
        <v>150</v>
      </c>
      <c r="P17" s="228">
        <v>120</v>
      </c>
      <c r="Q17" s="226">
        <v>28</v>
      </c>
      <c r="R17" s="228">
        <v>150</v>
      </c>
      <c r="S17" s="228">
        <v>150</v>
      </c>
      <c r="T17" s="225">
        <v>150</v>
      </c>
    </row>
    <row r="18" spans="1:20" ht="37.15" customHeight="1" x14ac:dyDescent="0.25">
      <c r="A18" s="229" t="s">
        <v>586</v>
      </c>
      <c r="B18" s="228">
        <v>60</v>
      </c>
      <c r="C18" s="228">
        <v>60</v>
      </c>
      <c r="D18" s="228">
        <v>60</v>
      </c>
      <c r="E18" s="228">
        <v>75</v>
      </c>
      <c r="F18" s="228">
        <v>75</v>
      </c>
      <c r="G18" s="228">
        <v>75</v>
      </c>
      <c r="H18" s="228">
        <v>75</v>
      </c>
      <c r="I18" s="228">
        <v>90</v>
      </c>
      <c r="J18" s="228">
        <v>90</v>
      </c>
      <c r="K18" s="228">
        <v>90</v>
      </c>
      <c r="L18" s="228">
        <v>105</v>
      </c>
      <c r="M18" s="228">
        <v>120</v>
      </c>
      <c r="N18" s="228">
        <v>120</v>
      </c>
      <c r="O18" s="228">
        <v>135</v>
      </c>
      <c r="P18" s="228">
        <v>150</v>
      </c>
      <c r="Q18" s="228">
        <v>150</v>
      </c>
      <c r="R18" s="226">
        <v>28</v>
      </c>
      <c r="S18" s="227">
        <v>45</v>
      </c>
      <c r="T18" s="225">
        <v>120</v>
      </c>
    </row>
    <row r="19" spans="1:20" ht="37.15" customHeight="1" x14ac:dyDescent="0.25">
      <c r="A19" s="229" t="s">
        <v>585</v>
      </c>
      <c r="B19" s="227">
        <v>45</v>
      </c>
      <c r="C19" s="227">
        <v>45</v>
      </c>
      <c r="D19" s="227">
        <v>45</v>
      </c>
      <c r="E19" s="228">
        <v>60</v>
      </c>
      <c r="F19" s="228">
        <v>60</v>
      </c>
      <c r="G19" s="228">
        <v>60</v>
      </c>
      <c r="H19" s="228">
        <v>60</v>
      </c>
      <c r="I19" s="228">
        <v>75</v>
      </c>
      <c r="J19" s="228">
        <v>75</v>
      </c>
      <c r="K19" s="228">
        <v>75</v>
      </c>
      <c r="L19" s="228">
        <v>90</v>
      </c>
      <c r="M19" s="228">
        <v>90</v>
      </c>
      <c r="N19" s="228">
        <v>105</v>
      </c>
      <c r="O19" s="228">
        <v>120</v>
      </c>
      <c r="P19" s="228">
        <v>150</v>
      </c>
      <c r="Q19" s="228">
        <v>150</v>
      </c>
      <c r="R19" s="227">
        <v>45</v>
      </c>
      <c r="S19" s="226">
        <v>28</v>
      </c>
      <c r="T19" s="225">
        <v>105</v>
      </c>
    </row>
    <row r="20" spans="1:20" ht="37.15" customHeight="1" x14ac:dyDescent="0.25">
      <c r="A20" s="224" t="s">
        <v>584</v>
      </c>
      <c r="B20" s="223">
        <v>90</v>
      </c>
      <c r="C20" s="223">
        <v>120</v>
      </c>
      <c r="D20" s="223">
        <v>90</v>
      </c>
      <c r="E20" s="223">
        <v>105</v>
      </c>
      <c r="F20" s="223">
        <v>90</v>
      </c>
      <c r="G20" s="223">
        <v>90</v>
      </c>
      <c r="H20" s="223">
        <v>75</v>
      </c>
      <c r="I20" s="223">
        <v>75</v>
      </c>
      <c r="J20" s="223">
        <v>105</v>
      </c>
      <c r="K20" s="223">
        <v>105</v>
      </c>
      <c r="L20" s="223">
        <v>75</v>
      </c>
      <c r="M20" s="223">
        <v>75</v>
      </c>
      <c r="N20" s="223">
        <v>60</v>
      </c>
      <c r="O20" s="223">
        <v>75</v>
      </c>
      <c r="P20" s="223">
        <v>90</v>
      </c>
      <c r="Q20" s="223">
        <v>150</v>
      </c>
      <c r="R20" s="223">
        <v>120</v>
      </c>
      <c r="S20" s="223">
        <v>105</v>
      </c>
      <c r="T20" s="222">
        <v>28</v>
      </c>
    </row>
    <row r="21" spans="1:20" s="213" customFormat="1" x14ac:dyDescent="0.25">
      <c r="A21" s="214"/>
    </row>
    <row r="22" spans="1:20" s="213" customFormat="1" ht="18.75" x14ac:dyDescent="0.3">
      <c r="A22" s="221" t="s">
        <v>583</v>
      </c>
      <c r="B22" s="220"/>
      <c r="C22" s="219"/>
      <c r="D22" s="219"/>
    </row>
    <row r="23" spans="1:20" s="213" customFormat="1" ht="37.5" x14ac:dyDescent="0.3">
      <c r="A23" s="218" t="s">
        <v>582</v>
      </c>
      <c r="B23" s="217"/>
      <c r="C23" s="216"/>
      <c r="D23" s="216"/>
    </row>
    <row r="24" spans="1:20" s="213" customFormat="1" x14ac:dyDescent="0.25">
      <c r="A24" s="214"/>
    </row>
    <row r="25" spans="1:20" s="213" customFormat="1" x14ac:dyDescent="0.25">
      <c r="A25" s="214"/>
    </row>
    <row r="26" spans="1:20" s="213" customFormat="1" x14ac:dyDescent="0.25">
      <c r="A26" s="214"/>
    </row>
    <row r="27" spans="1:20" s="213" customFormat="1" ht="18" customHeight="1" x14ac:dyDescent="0.25">
      <c r="A27" s="215" t="s">
        <v>581</v>
      </c>
      <c r="B27" s="215"/>
      <c r="C27" s="215"/>
    </row>
    <row r="28" spans="1:20" s="213" customFormat="1" ht="18" customHeight="1" x14ac:dyDescent="0.25">
      <c r="A28" s="613" t="s">
        <v>580</v>
      </c>
      <c r="B28" s="614"/>
      <c r="C28" s="614"/>
    </row>
    <row r="29" spans="1:20" s="213" customFormat="1" ht="18" customHeight="1" x14ac:dyDescent="0.25">
      <c r="A29" s="615" t="s">
        <v>579</v>
      </c>
      <c r="B29" s="616"/>
      <c r="C29" s="616"/>
    </row>
    <row r="30" spans="1:20" s="213" customFormat="1" ht="18" customHeight="1" x14ac:dyDescent="0.25">
      <c r="A30" s="613" t="s">
        <v>578</v>
      </c>
      <c r="B30" s="613"/>
      <c r="C30" s="613"/>
      <c r="D30" s="613"/>
    </row>
    <row r="31" spans="1:20" s="213" customFormat="1" ht="18" customHeight="1" x14ac:dyDescent="0.25">
      <c r="A31" s="613"/>
      <c r="B31" s="613"/>
      <c r="C31" s="613"/>
      <c r="D31" s="613"/>
    </row>
    <row r="32" spans="1:20" s="213" customFormat="1" ht="14.25" customHeight="1" x14ac:dyDescent="0.25">
      <c r="A32" s="613"/>
      <c r="B32" s="613"/>
      <c r="C32" s="613"/>
      <c r="D32" s="613"/>
    </row>
    <row r="33" spans="1:4" s="213" customFormat="1" ht="14.25" customHeight="1" x14ac:dyDescent="0.25">
      <c r="A33" s="617" t="s">
        <v>577</v>
      </c>
      <c r="B33" s="617"/>
      <c r="C33" s="617"/>
      <c r="D33" s="617"/>
    </row>
    <row r="34" spans="1:4" s="213" customFormat="1" ht="14.25" customHeight="1" x14ac:dyDescent="0.25">
      <c r="A34" s="617"/>
      <c r="B34" s="617"/>
      <c r="C34" s="617"/>
      <c r="D34" s="617"/>
    </row>
    <row r="35" spans="1:4" s="213" customFormat="1" ht="14.25" customHeight="1" x14ac:dyDescent="0.25">
      <c r="A35" s="617"/>
      <c r="B35" s="617"/>
      <c r="C35" s="617"/>
      <c r="D35" s="617"/>
    </row>
    <row r="36" spans="1:4" s="213" customFormat="1" ht="14.25" customHeight="1" x14ac:dyDescent="0.25">
      <c r="A36" s="617"/>
      <c r="B36" s="617"/>
      <c r="C36" s="617"/>
      <c r="D36" s="617"/>
    </row>
    <row r="37" spans="1:4" s="213" customFormat="1" ht="14.25" customHeight="1" x14ac:dyDescent="0.25">
      <c r="A37" s="215"/>
      <c r="B37" s="215"/>
      <c r="C37" s="215"/>
    </row>
    <row r="38" spans="1:4" s="213" customFormat="1" ht="14.25" customHeight="1" x14ac:dyDescent="0.25">
      <c r="A38" s="215"/>
      <c r="B38" s="215"/>
      <c r="C38" s="215"/>
    </row>
    <row r="39" spans="1:4" s="213" customFormat="1" x14ac:dyDescent="0.25">
      <c r="A39" s="214"/>
    </row>
    <row r="40" spans="1:4" s="213" customFormat="1" x14ac:dyDescent="0.25">
      <c r="A40" s="214"/>
    </row>
    <row r="41" spans="1:4" s="213" customFormat="1" x14ac:dyDescent="0.25">
      <c r="A41" s="214"/>
    </row>
    <row r="42" spans="1:4" s="213" customFormat="1" x14ac:dyDescent="0.25">
      <c r="A42" s="214"/>
    </row>
    <row r="43" spans="1:4" s="213" customFormat="1" x14ac:dyDescent="0.25">
      <c r="A43" s="214"/>
    </row>
    <row r="44" spans="1:4" s="213" customFormat="1" x14ac:dyDescent="0.25">
      <c r="A44" s="214"/>
    </row>
    <row r="45" spans="1:4" s="213" customFormat="1" x14ac:dyDescent="0.25">
      <c r="A45" s="214"/>
    </row>
    <row r="46" spans="1:4" s="213" customFormat="1" x14ac:dyDescent="0.25">
      <c r="A46" s="214"/>
    </row>
    <row r="47" spans="1:4" s="213" customFormat="1" x14ac:dyDescent="0.25">
      <c r="A47" s="214"/>
    </row>
    <row r="48" spans="1:4" s="213" customFormat="1" x14ac:dyDescent="0.25">
      <c r="A48" s="214"/>
    </row>
    <row r="49" spans="1:1" s="213" customFormat="1" x14ac:dyDescent="0.25">
      <c r="A49" s="214"/>
    </row>
    <row r="50" spans="1:1" s="213" customFormat="1" x14ac:dyDescent="0.25">
      <c r="A50" s="214"/>
    </row>
    <row r="51" spans="1:1" s="213" customFormat="1" x14ac:dyDescent="0.25">
      <c r="A51" s="214"/>
    </row>
    <row r="52" spans="1:1" s="213" customFormat="1" x14ac:dyDescent="0.25">
      <c r="A52" s="214"/>
    </row>
    <row r="53" spans="1:1" s="213" customFormat="1" x14ac:dyDescent="0.25">
      <c r="A53" s="214"/>
    </row>
    <row r="54" spans="1:1" s="213" customFormat="1" x14ac:dyDescent="0.25">
      <c r="A54" s="214"/>
    </row>
    <row r="55" spans="1:1" s="213" customFormat="1" x14ac:dyDescent="0.25">
      <c r="A55" s="214"/>
    </row>
    <row r="56" spans="1:1" s="213" customFormat="1" x14ac:dyDescent="0.25">
      <c r="A56" s="214"/>
    </row>
    <row r="57" spans="1:1" s="213" customFormat="1" x14ac:dyDescent="0.25">
      <c r="A57" s="214"/>
    </row>
    <row r="58" spans="1:1" s="213" customFormat="1" x14ac:dyDescent="0.25">
      <c r="A58" s="214"/>
    </row>
    <row r="59" spans="1:1" s="213" customFormat="1" x14ac:dyDescent="0.25">
      <c r="A59" s="214"/>
    </row>
    <row r="60" spans="1:1" s="213" customFormat="1" x14ac:dyDescent="0.25">
      <c r="A60" s="214"/>
    </row>
    <row r="61" spans="1:1" s="213" customFormat="1" x14ac:dyDescent="0.25">
      <c r="A61" s="214"/>
    </row>
    <row r="62" spans="1:1" s="213" customFormat="1" x14ac:dyDescent="0.25">
      <c r="A62" s="214"/>
    </row>
    <row r="63" spans="1:1" s="213" customFormat="1" x14ac:dyDescent="0.25">
      <c r="A63" s="214"/>
    </row>
    <row r="64" spans="1:1" s="213" customFormat="1" x14ac:dyDescent="0.25">
      <c r="A64" s="214"/>
    </row>
    <row r="65" spans="1:1" s="213" customFormat="1" x14ac:dyDescent="0.25">
      <c r="A65" s="214"/>
    </row>
    <row r="66" spans="1:1" s="213" customFormat="1" x14ac:dyDescent="0.25">
      <c r="A66" s="214"/>
    </row>
    <row r="67" spans="1:1" s="213" customFormat="1" x14ac:dyDescent="0.25">
      <c r="A67" s="214"/>
    </row>
    <row r="68" spans="1:1" s="213" customFormat="1" x14ac:dyDescent="0.25">
      <c r="A68" s="214"/>
    </row>
    <row r="69" spans="1:1" s="213" customFormat="1" x14ac:dyDescent="0.25">
      <c r="A69" s="214"/>
    </row>
    <row r="70" spans="1:1" s="213" customFormat="1" x14ac:dyDescent="0.25">
      <c r="A70" s="214"/>
    </row>
    <row r="71" spans="1:1" s="213" customFormat="1" x14ac:dyDescent="0.25">
      <c r="A71" s="214"/>
    </row>
    <row r="72" spans="1:1" s="213" customFormat="1" x14ac:dyDescent="0.25">
      <c r="A72" s="214"/>
    </row>
    <row r="73" spans="1:1" s="213" customFormat="1" x14ac:dyDescent="0.25">
      <c r="A73" s="214"/>
    </row>
    <row r="74" spans="1:1" s="213" customFormat="1" x14ac:dyDescent="0.25">
      <c r="A74" s="214"/>
    </row>
    <row r="75" spans="1:1" s="213" customFormat="1" x14ac:dyDescent="0.25">
      <c r="A75" s="214"/>
    </row>
    <row r="76" spans="1:1" s="213" customFormat="1" x14ac:dyDescent="0.25">
      <c r="A76" s="214"/>
    </row>
    <row r="77" spans="1:1" s="213" customFormat="1" x14ac:dyDescent="0.25">
      <c r="A77" s="214"/>
    </row>
    <row r="78" spans="1:1" s="213" customFormat="1" x14ac:dyDescent="0.25">
      <c r="A78" s="214"/>
    </row>
    <row r="79" spans="1:1" s="213" customFormat="1" x14ac:dyDescent="0.25">
      <c r="A79" s="214"/>
    </row>
    <row r="80" spans="1:1" s="213" customFormat="1" x14ac:dyDescent="0.25">
      <c r="A80" s="214"/>
    </row>
    <row r="81" spans="1:1" s="213" customFormat="1" x14ac:dyDescent="0.25">
      <c r="A81" s="214"/>
    </row>
    <row r="82" spans="1:1" s="213" customFormat="1" x14ac:dyDescent="0.25">
      <c r="A82" s="214"/>
    </row>
    <row r="83" spans="1:1" s="213" customFormat="1" x14ac:dyDescent="0.25">
      <c r="A83" s="214"/>
    </row>
    <row r="84" spans="1:1" s="213" customFormat="1" x14ac:dyDescent="0.25">
      <c r="A84" s="214"/>
    </row>
    <row r="85" spans="1:1" s="213" customFormat="1" x14ac:dyDescent="0.25">
      <c r="A85" s="214"/>
    </row>
    <row r="86" spans="1:1" s="213" customFormat="1" x14ac:dyDescent="0.25">
      <c r="A86" s="214"/>
    </row>
    <row r="87" spans="1:1" s="213" customFormat="1" x14ac:dyDescent="0.25">
      <c r="A87" s="214"/>
    </row>
    <row r="88" spans="1:1" s="213" customFormat="1" x14ac:dyDescent="0.25">
      <c r="A88" s="214"/>
    </row>
    <row r="89" spans="1:1" s="213" customFormat="1" x14ac:dyDescent="0.25">
      <c r="A89" s="214"/>
    </row>
    <row r="90" spans="1:1" s="213" customFormat="1" x14ac:dyDescent="0.25">
      <c r="A90" s="214"/>
    </row>
    <row r="91" spans="1:1" s="213" customFormat="1" x14ac:dyDescent="0.25">
      <c r="A91" s="214"/>
    </row>
    <row r="92" spans="1:1" s="213" customFormat="1" x14ac:dyDescent="0.25">
      <c r="A92" s="214"/>
    </row>
    <row r="93" spans="1:1" s="213" customFormat="1" x14ac:dyDescent="0.25">
      <c r="A93" s="214"/>
    </row>
    <row r="94" spans="1:1" s="213" customFormat="1" x14ac:dyDescent="0.25">
      <c r="A94" s="214"/>
    </row>
    <row r="95" spans="1:1" s="213" customFormat="1" x14ac:dyDescent="0.25">
      <c r="A95" s="214"/>
    </row>
    <row r="96" spans="1:1" s="213" customFormat="1" x14ac:dyDescent="0.25">
      <c r="A96" s="214"/>
    </row>
    <row r="97" spans="1:1" s="213" customFormat="1" x14ac:dyDescent="0.25">
      <c r="A97" s="214"/>
    </row>
    <row r="98" spans="1:1" s="213" customFormat="1" x14ac:dyDescent="0.25">
      <c r="A98" s="214"/>
    </row>
    <row r="99" spans="1:1" s="213" customFormat="1" x14ac:dyDescent="0.25">
      <c r="A99" s="214"/>
    </row>
    <row r="100" spans="1:1" s="213" customFormat="1" x14ac:dyDescent="0.25">
      <c r="A100" s="214"/>
    </row>
    <row r="101" spans="1:1" s="213" customFormat="1" x14ac:dyDescent="0.25">
      <c r="A101" s="214"/>
    </row>
    <row r="102" spans="1:1" s="213" customFormat="1" x14ac:dyDescent="0.25">
      <c r="A102" s="214"/>
    </row>
    <row r="103" spans="1:1" s="213" customFormat="1" x14ac:dyDescent="0.25">
      <c r="A103" s="214"/>
    </row>
    <row r="104" spans="1:1" s="213" customFormat="1" x14ac:dyDescent="0.25">
      <c r="A104" s="214"/>
    </row>
    <row r="105" spans="1:1" s="213" customFormat="1" x14ac:dyDescent="0.25">
      <c r="A105" s="214"/>
    </row>
    <row r="106" spans="1:1" s="213" customFormat="1" x14ac:dyDescent="0.25">
      <c r="A106" s="214"/>
    </row>
    <row r="107" spans="1:1" s="213" customFormat="1" x14ac:dyDescent="0.25">
      <c r="A107" s="214"/>
    </row>
    <row r="108" spans="1:1" s="213" customFormat="1" x14ac:dyDescent="0.25">
      <c r="A108" s="214"/>
    </row>
    <row r="109" spans="1:1" s="213" customFormat="1" x14ac:dyDescent="0.25">
      <c r="A109" s="214"/>
    </row>
    <row r="110" spans="1:1" s="213" customFormat="1" x14ac:dyDescent="0.25">
      <c r="A110" s="214"/>
    </row>
    <row r="111" spans="1:1" s="213" customFormat="1" x14ac:dyDescent="0.25">
      <c r="A111" s="214"/>
    </row>
    <row r="112" spans="1:1" s="213" customFormat="1" x14ac:dyDescent="0.25">
      <c r="A112" s="214"/>
    </row>
    <row r="113" spans="1:1" s="213" customFormat="1" x14ac:dyDescent="0.25">
      <c r="A113" s="214"/>
    </row>
    <row r="114" spans="1:1" s="213" customFormat="1" x14ac:dyDescent="0.25">
      <c r="A114" s="214"/>
    </row>
    <row r="115" spans="1:1" s="213" customFormat="1" x14ac:dyDescent="0.25">
      <c r="A115" s="214"/>
    </row>
    <row r="116" spans="1:1" s="213" customFormat="1" x14ac:dyDescent="0.25">
      <c r="A116" s="214"/>
    </row>
    <row r="117" spans="1:1" s="213" customFormat="1" x14ac:dyDescent="0.25">
      <c r="A117" s="214"/>
    </row>
    <row r="118" spans="1:1" s="213" customFormat="1" x14ac:dyDescent="0.25">
      <c r="A118" s="214"/>
    </row>
    <row r="119" spans="1:1" s="213" customFormat="1" x14ac:dyDescent="0.25">
      <c r="A119" s="214"/>
    </row>
    <row r="120" spans="1:1" s="213" customFormat="1" x14ac:dyDescent="0.25">
      <c r="A120" s="214"/>
    </row>
    <row r="121" spans="1:1" s="213" customFormat="1" x14ac:dyDescent="0.25">
      <c r="A121" s="214"/>
    </row>
    <row r="122" spans="1:1" s="213" customFormat="1" x14ac:dyDescent="0.25">
      <c r="A122" s="214"/>
    </row>
    <row r="123" spans="1:1" s="213" customFormat="1" x14ac:dyDescent="0.25">
      <c r="A123" s="214"/>
    </row>
    <row r="124" spans="1:1" s="213" customFormat="1" x14ac:dyDescent="0.25">
      <c r="A124" s="214"/>
    </row>
    <row r="125" spans="1:1" s="213" customFormat="1" x14ac:dyDescent="0.25">
      <c r="A125" s="214"/>
    </row>
    <row r="126" spans="1:1" s="213" customFormat="1" x14ac:dyDescent="0.25">
      <c r="A126" s="214"/>
    </row>
    <row r="127" spans="1:1" s="213" customFormat="1" x14ac:dyDescent="0.25">
      <c r="A127" s="214"/>
    </row>
    <row r="128" spans="1:1" s="213" customFormat="1" x14ac:dyDescent="0.25">
      <c r="A128" s="214"/>
    </row>
    <row r="129" spans="1:1" s="213" customFormat="1" x14ac:dyDescent="0.25">
      <c r="A129" s="214"/>
    </row>
    <row r="130" spans="1:1" s="213" customFormat="1" x14ac:dyDescent="0.25">
      <c r="A130" s="214"/>
    </row>
    <row r="131" spans="1:1" s="213" customFormat="1" x14ac:dyDescent="0.25">
      <c r="A131" s="214"/>
    </row>
    <row r="132" spans="1:1" s="213" customFormat="1" x14ac:dyDescent="0.25">
      <c r="A132" s="214"/>
    </row>
    <row r="133" spans="1:1" s="213" customFormat="1" x14ac:dyDescent="0.25">
      <c r="A133" s="214"/>
    </row>
    <row r="134" spans="1:1" s="213" customFormat="1" x14ac:dyDescent="0.25">
      <c r="A134" s="214"/>
    </row>
    <row r="135" spans="1:1" s="213" customFormat="1" x14ac:dyDescent="0.25">
      <c r="A135" s="214"/>
    </row>
    <row r="136" spans="1:1" s="213" customFormat="1" x14ac:dyDescent="0.25">
      <c r="A136" s="214"/>
    </row>
    <row r="137" spans="1:1" s="213" customFormat="1" x14ac:dyDescent="0.25">
      <c r="A137" s="214"/>
    </row>
    <row r="138" spans="1:1" s="213" customFormat="1" x14ac:dyDescent="0.25">
      <c r="A138" s="214"/>
    </row>
    <row r="139" spans="1:1" s="213" customFormat="1" x14ac:dyDescent="0.25">
      <c r="A139" s="214"/>
    </row>
    <row r="140" spans="1:1" s="213" customFormat="1" x14ac:dyDescent="0.25">
      <c r="A140" s="214"/>
    </row>
    <row r="141" spans="1:1" s="213" customFormat="1" x14ac:dyDescent="0.25">
      <c r="A141" s="214"/>
    </row>
    <row r="142" spans="1:1" s="213" customFormat="1" x14ac:dyDescent="0.25">
      <c r="A142" s="214"/>
    </row>
    <row r="143" spans="1:1" s="213" customFormat="1" x14ac:dyDescent="0.25">
      <c r="A143" s="214"/>
    </row>
    <row r="144" spans="1:1" s="213" customFormat="1" x14ac:dyDescent="0.25">
      <c r="A144" s="214"/>
    </row>
    <row r="145" spans="1:1" s="213" customFormat="1" x14ac:dyDescent="0.25">
      <c r="A145" s="214"/>
    </row>
    <row r="146" spans="1:1" s="213" customFormat="1" x14ac:dyDescent="0.25">
      <c r="A146" s="214"/>
    </row>
    <row r="147" spans="1:1" s="213" customFormat="1" x14ac:dyDescent="0.25">
      <c r="A147" s="214"/>
    </row>
    <row r="148" spans="1:1" s="213" customFormat="1" x14ac:dyDescent="0.25">
      <c r="A148" s="214"/>
    </row>
    <row r="149" spans="1:1" s="213" customFormat="1" x14ac:dyDescent="0.25">
      <c r="A149" s="214"/>
    </row>
    <row r="150" spans="1:1" s="213" customFormat="1" x14ac:dyDescent="0.25">
      <c r="A150" s="214"/>
    </row>
    <row r="151" spans="1:1" s="213" customFormat="1" x14ac:dyDescent="0.25">
      <c r="A151" s="214"/>
    </row>
    <row r="152" spans="1:1" s="213" customFormat="1" x14ac:dyDescent="0.25">
      <c r="A152" s="214"/>
    </row>
    <row r="153" spans="1:1" s="213" customFormat="1" x14ac:dyDescent="0.25">
      <c r="A153" s="214"/>
    </row>
    <row r="154" spans="1:1" s="213" customFormat="1" x14ac:dyDescent="0.25">
      <c r="A154" s="214"/>
    </row>
    <row r="155" spans="1:1" s="213" customFormat="1" x14ac:dyDescent="0.25">
      <c r="A155" s="214"/>
    </row>
    <row r="156" spans="1:1" s="213" customFormat="1" x14ac:dyDescent="0.25">
      <c r="A156" s="214"/>
    </row>
    <row r="157" spans="1:1" s="213" customFormat="1" x14ac:dyDescent="0.25">
      <c r="A157" s="214"/>
    </row>
    <row r="158" spans="1:1" s="213" customFormat="1" x14ac:dyDescent="0.25">
      <c r="A158" s="214"/>
    </row>
    <row r="159" spans="1:1" s="213" customFormat="1" x14ac:dyDescent="0.25">
      <c r="A159" s="214"/>
    </row>
    <row r="160" spans="1:1" s="213" customFormat="1" x14ac:dyDescent="0.25">
      <c r="A160" s="214"/>
    </row>
    <row r="161" spans="1:1" s="213" customFormat="1" x14ac:dyDescent="0.25">
      <c r="A161" s="214"/>
    </row>
    <row r="162" spans="1:1" s="213" customFormat="1" x14ac:dyDescent="0.25">
      <c r="A162" s="214"/>
    </row>
    <row r="163" spans="1:1" s="213" customFormat="1" x14ac:dyDescent="0.25">
      <c r="A163" s="214"/>
    </row>
    <row r="164" spans="1:1" s="213" customFormat="1" x14ac:dyDescent="0.25">
      <c r="A164" s="214"/>
    </row>
    <row r="165" spans="1:1" s="213" customFormat="1" x14ac:dyDescent="0.25">
      <c r="A165" s="214"/>
    </row>
    <row r="166" spans="1:1" s="213" customFormat="1" x14ac:dyDescent="0.25">
      <c r="A166" s="214"/>
    </row>
    <row r="167" spans="1:1" s="213" customFormat="1" x14ac:dyDescent="0.25">
      <c r="A167" s="214"/>
    </row>
    <row r="168" spans="1:1" s="213" customFormat="1" x14ac:dyDescent="0.25">
      <c r="A168" s="214"/>
    </row>
    <row r="169" spans="1:1" s="213" customFormat="1" x14ac:dyDescent="0.25">
      <c r="A169" s="214"/>
    </row>
    <row r="170" spans="1:1" s="213" customFormat="1" x14ac:dyDescent="0.25">
      <c r="A170" s="214"/>
    </row>
    <row r="171" spans="1:1" s="213" customFormat="1" x14ac:dyDescent="0.25">
      <c r="A171" s="214"/>
    </row>
    <row r="172" spans="1:1" s="213" customFormat="1" x14ac:dyDescent="0.25">
      <c r="A172" s="214"/>
    </row>
    <row r="173" spans="1:1" s="213" customFormat="1" x14ac:dyDescent="0.25">
      <c r="A173" s="214"/>
    </row>
    <row r="174" spans="1:1" s="213" customFormat="1" x14ac:dyDescent="0.25">
      <c r="A174" s="214"/>
    </row>
    <row r="175" spans="1:1" s="213" customFormat="1" x14ac:dyDescent="0.25">
      <c r="A175" s="214"/>
    </row>
    <row r="176" spans="1:1" s="213" customFormat="1" x14ac:dyDescent="0.25">
      <c r="A176" s="214"/>
    </row>
    <row r="177" spans="1:1" s="213" customFormat="1" x14ac:dyDescent="0.25">
      <c r="A177" s="214"/>
    </row>
    <row r="178" spans="1:1" s="213" customFormat="1" x14ac:dyDescent="0.25">
      <c r="A178" s="214"/>
    </row>
    <row r="179" spans="1:1" s="213" customFormat="1" x14ac:dyDescent="0.25">
      <c r="A179" s="214"/>
    </row>
    <row r="180" spans="1:1" s="213" customFormat="1" x14ac:dyDescent="0.25">
      <c r="A180" s="214"/>
    </row>
    <row r="181" spans="1:1" s="213" customFormat="1" x14ac:dyDescent="0.25">
      <c r="A181" s="214"/>
    </row>
    <row r="182" spans="1:1" s="213" customFormat="1" x14ac:dyDescent="0.25">
      <c r="A182" s="214"/>
    </row>
    <row r="183" spans="1:1" s="213" customFormat="1" x14ac:dyDescent="0.25">
      <c r="A183" s="214"/>
    </row>
    <row r="184" spans="1:1" s="213" customFormat="1" x14ac:dyDescent="0.25">
      <c r="A184" s="214"/>
    </row>
    <row r="185" spans="1:1" s="213" customFormat="1" x14ac:dyDescent="0.25">
      <c r="A185" s="214"/>
    </row>
    <row r="186" spans="1:1" s="213" customFormat="1" x14ac:dyDescent="0.25">
      <c r="A186" s="214"/>
    </row>
    <row r="187" spans="1:1" s="213" customFormat="1" x14ac:dyDescent="0.25">
      <c r="A187" s="214"/>
    </row>
    <row r="188" spans="1:1" s="213" customFormat="1" x14ac:dyDescent="0.25">
      <c r="A188" s="214"/>
    </row>
    <row r="189" spans="1:1" s="213" customFormat="1" x14ac:dyDescent="0.25">
      <c r="A189" s="214"/>
    </row>
    <row r="190" spans="1:1" s="213" customFormat="1" x14ac:dyDescent="0.25">
      <c r="A190" s="214"/>
    </row>
    <row r="191" spans="1:1" s="213" customFormat="1" x14ac:dyDescent="0.25">
      <c r="A191" s="214"/>
    </row>
    <row r="192" spans="1:1" s="213" customFormat="1" x14ac:dyDescent="0.25">
      <c r="A192" s="214"/>
    </row>
    <row r="193" spans="1:1" s="213" customFormat="1" x14ac:dyDescent="0.25">
      <c r="A193" s="214"/>
    </row>
    <row r="194" spans="1:1" s="213" customFormat="1" x14ac:dyDescent="0.25">
      <c r="A194" s="214"/>
    </row>
    <row r="195" spans="1:1" s="213" customFormat="1" x14ac:dyDescent="0.25">
      <c r="A195" s="214"/>
    </row>
    <row r="196" spans="1:1" s="213" customFormat="1" x14ac:dyDescent="0.25">
      <c r="A196" s="214"/>
    </row>
    <row r="197" spans="1:1" s="213" customFormat="1" x14ac:dyDescent="0.25">
      <c r="A197" s="214"/>
    </row>
    <row r="198" spans="1:1" s="213" customFormat="1" x14ac:dyDescent="0.25">
      <c r="A198" s="214"/>
    </row>
    <row r="199" spans="1:1" s="213" customFormat="1" x14ac:dyDescent="0.25">
      <c r="A199" s="214"/>
    </row>
    <row r="200" spans="1:1" s="213" customFormat="1" x14ac:dyDescent="0.25">
      <c r="A200" s="214"/>
    </row>
    <row r="201" spans="1:1" s="213" customFormat="1" x14ac:dyDescent="0.25">
      <c r="A201" s="214"/>
    </row>
    <row r="202" spans="1:1" s="213" customFormat="1" x14ac:dyDescent="0.25">
      <c r="A202" s="214"/>
    </row>
    <row r="203" spans="1:1" s="213" customFormat="1" x14ac:dyDescent="0.25">
      <c r="A203" s="214"/>
    </row>
    <row r="204" spans="1:1" s="213" customFormat="1" x14ac:dyDescent="0.25">
      <c r="A204" s="214"/>
    </row>
    <row r="205" spans="1:1" s="213" customFormat="1" x14ac:dyDescent="0.25">
      <c r="A205" s="214"/>
    </row>
    <row r="206" spans="1:1" s="213" customFormat="1" x14ac:dyDescent="0.25">
      <c r="A206" s="214"/>
    </row>
    <row r="207" spans="1:1" s="213" customFormat="1" x14ac:dyDescent="0.25">
      <c r="A207" s="214"/>
    </row>
    <row r="208" spans="1:1" s="213" customFormat="1" x14ac:dyDescent="0.25">
      <c r="A208" s="214"/>
    </row>
    <row r="209" spans="1:1" s="213" customFormat="1" x14ac:dyDescent="0.25">
      <c r="A209" s="214"/>
    </row>
    <row r="210" spans="1:1" s="213" customFormat="1" x14ac:dyDescent="0.25">
      <c r="A210" s="214"/>
    </row>
    <row r="211" spans="1:1" s="213" customFormat="1" x14ac:dyDescent="0.25">
      <c r="A211" s="214"/>
    </row>
    <row r="212" spans="1:1" s="213" customFormat="1" x14ac:dyDescent="0.25">
      <c r="A212" s="214"/>
    </row>
    <row r="213" spans="1:1" s="213" customFormat="1" x14ac:dyDescent="0.25">
      <c r="A213" s="214"/>
    </row>
    <row r="214" spans="1:1" s="213" customFormat="1" x14ac:dyDescent="0.25">
      <c r="A214" s="214"/>
    </row>
    <row r="215" spans="1:1" s="213" customFormat="1" x14ac:dyDescent="0.25">
      <c r="A215" s="214"/>
    </row>
    <row r="216" spans="1:1" s="213" customFormat="1" x14ac:dyDescent="0.25">
      <c r="A216" s="214"/>
    </row>
    <row r="217" spans="1:1" s="213" customFormat="1" x14ac:dyDescent="0.25">
      <c r="A217" s="214"/>
    </row>
    <row r="218" spans="1:1" s="213" customFormat="1" x14ac:dyDescent="0.25">
      <c r="A218" s="214"/>
    </row>
    <row r="219" spans="1:1" s="213" customFormat="1" x14ac:dyDescent="0.25">
      <c r="A219" s="214"/>
    </row>
    <row r="220" spans="1:1" s="213" customFormat="1" x14ac:dyDescent="0.25">
      <c r="A220" s="214"/>
    </row>
    <row r="221" spans="1:1" s="213" customFormat="1" x14ac:dyDescent="0.25">
      <c r="A221" s="214"/>
    </row>
    <row r="222" spans="1:1" s="213" customFormat="1" x14ac:dyDescent="0.25">
      <c r="A222" s="214"/>
    </row>
    <row r="223" spans="1:1" s="213" customFormat="1" x14ac:dyDescent="0.25">
      <c r="A223" s="214"/>
    </row>
    <row r="224" spans="1:1" s="213" customFormat="1" x14ac:dyDescent="0.25">
      <c r="A224" s="214"/>
    </row>
    <row r="225" spans="1:1" s="213" customFormat="1" x14ac:dyDescent="0.25">
      <c r="A225" s="214"/>
    </row>
    <row r="226" spans="1:1" s="213" customFormat="1" x14ac:dyDescent="0.25">
      <c r="A226" s="214"/>
    </row>
    <row r="227" spans="1:1" s="213" customFormat="1" x14ac:dyDescent="0.25">
      <c r="A227" s="214"/>
    </row>
    <row r="228" spans="1:1" s="213" customFormat="1" x14ac:dyDescent="0.25">
      <c r="A228" s="214"/>
    </row>
    <row r="229" spans="1:1" s="213" customFormat="1" x14ac:dyDescent="0.25">
      <c r="A229" s="214"/>
    </row>
    <row r="230" spans="1:1" s="213" customFormat="1" x14ac:dyDescent="0.25">
      <c r="A230" s="214"/>
    </row>
    <row r="231" spans="1:1" s="213" customFormat="1" x14ac:dyDescent="0.25">
      <c r="A231" s="214"/>
    </row>
    <row r="232" spans="1:1" s="213" customFormat="1" x14ac:dyDescent="0.25">
      <c r="A232" s="214"/>
    </row>
    <row r="233" spans="1:1" s="213" customFormat="1" x14ac:dyDescent="0.25">
      <c r="A233" s="214"/>
    </row>
    <row r="234" spans="1:1" s="213" customFormat="1" x14ac:dyDescent="0.25">
      <c r="A234" s="214"/>
    </row>
    <row r="235" spans="1:1" s="213" customFormat="1" x14ac:dyDescent="0.25">
      <c r="A235" s="214"/>
    </row>
    <row r="236" spans="1:1" s="213" customFormat="1" x14ac:dyDescent="0.25">
      <c r="A236" s="214"/>
    </row>
    <row r="237" spans="1:1" s="213" customFormat="1" x14ac:dyDescent="0.25">
      <c r="A237" s="214"/>
    </row>
    <row r="238" spans="1:1" s="213" customFormat="1" x14ac:dyDescent="0.25">
      <c r="A238" s="214"/>
    </row>
    <row r="239" spans="1:1" s="213" customFormat="1" x14ac:dyDescent="0.25">
      <c r="A239" s="214"/>
    </row>
    <row r="240" spans="1:1" s="213" customFormat="1" x14ac:dyDescent="0.25">
      <c r="A240" s="214"/>
    </row>
    <row r="241" spans="1:1" s="213" customFormat="1" x14ac:dyDescent="0.25">
      <c r="A241" s="214"/>
    </row>
    <row r="242" spans="1:1" s="213" customFormat="1" x14ac:dyDescent="0.25">
      <c r="A242" s="214"/>
    </row>
    <row r="243" spans="1:1" s="213" customFormat="1" x14ac:dyDescent="0.25">
      <c r="A243" s="214"/>
    </row>
    <row r="244" spans="1:1" s="213" customFormat="1" x14ac:dyDescent="0.25">
      <c r="A244" s="214"/>
    </row>
    <row r="245" spans="1:1" s="213" customFormat="1" x14ac:dyDescent="0.25">
      <c r="A245" s="214"/>
    </row>
    <row r="246" spans="1:1" s="213" customFormat="1" x14ac:dyDescent="0.25">
      <c r="A246" s="214"/>
    </row>
    <row r="247" spans="1:1" s="213" customFormat="1" x14ac:dyDescent="0.25">
      <c r="A247" s="214"/>
    </row>
    <row r="248" spans="1:1" s="213" customFormat="1" x14ac:dyDescent="0.25">
      <c r="A248" s="214"/>
    </row>
    <row r="249" spans="1:1" s="213" customFormat="1" x14ac:dyDescent="0.25">
      <c r="A249" s="214"/>
    </row>
    <row r="250" spans="1:1" s="213" customFormat="1" x14ac:dyDescent="0.25">
      <c r="A250" s="214"/>
    </row>
    <row r="251" spans="1:1" s="213" customFormat="1" x14ac:dyDescent="0.25">
      <c r="A251" s="214"/>
    </row>
    <row r="252" spans="1:1" s="213" customFormat="1" x14ac:dyDescent="0.25">
      <c r="A252" s="214"/>
    </row>
    <row r="253" spans="1:1" s="213" customFormat="1" x14ac:dyDescent="0.25">
      <c r="A253" s="214"/>
    </row>
    <row r="254" spans="1:1" s="213" customFormat="1" x14ac:dyDescent="0.25">
      <c r="A254" s="214"/>
    </row>
    <row r="255" spans="1:1" s="213" customFormat="1" x14ac:dyDescent="0.25">
      <c r="A255" s="214"/>
    </row>
    <row r="256" spans="1:1" s="213" customFormat="1" x14ac:dyDescent="0.25">
      <c r="A256" s="214"/>
    </row>
    <row r="257" spans="1:1" s="213" customFormat="1" x14ac:dyDescent="0.25">
      <c r="A257" s="214"/>
    </row>
    <row r="258" spans="1:1" s="213" customFormat="1" x14ac:dyDescent="0.25">
      <c r="A258" s="214"/>
    </row>
    <row r="259" spans="1:1" s="213" customFormat="1" x14ac:dyDescent="0.25">
      <c r="A259" s="214"/>
    </row>
    <row r="260" spans="1:1" s="213" customFormat="1" x14ac:dyDescent="0.25">
      <c r="A260" s="214"/>
    </row>
    <row r="261" spans="1:1" s="213" customFormat="1" x14ac:dyDescent="0.25">
      <c r="A261" s="214"/>
    </row>
    <row r="262" spans="1:1" s="213" customFormat="1" x14ac:dyDescent="0.25">
      <c r="A262" s="214"/>
    </row>
    <row r="263" spans="1:1" s="213" customFormat="1" x14ac:dyDescent="0.25">
      <c r="A263" s="214"/>
    </row>
    <row r="264" spans="1:1" s="213" customFormat="1" x14ac:dyDescent="0.25">
      <c r="A264" s="214"/>
    </row>
    <row r="265" spans="1:1" s="213" customFormat="1" x14ac:dyDescent="0.25">
      <c r="A265" s="214"/>
    </row>
    <row r="266" spans="1:1" s="213" customFormat="1" x14ac:dyDescent="0.25">
      <c r="A266" s="214"/>
    </row>
    <row r="267" spans="1:1" s="213" customFormat="1" x14ac:dyDescent="0.25">
      <c r="A267" s="214"/>
    </row>
    <row r="268" spans="1:1" s="213" customFormat="1" x14ac:dyDescent="0.25">
      <c r="A268" s="214"/>
    </row>
    <row r="269" spans="1:1" s="213" customFormat="1" x14ac:dyDescent="0.25">
      <c r="A269" s="214"/>
    </row>
    <row r="270" spans="1:1" s="213" customFormat="1" x14ac:dyDescent="0.25">
      <c r="A270" s="214"/>
    </row>
    <row r="271" spans="1:1" s="213" customFormat="1" x14ac:dyDescent="0.25">
      <c r="A271" s="214"/>
    </row>
    <row r="272" spans="1:1" s="213" customFormat="1" x14ac:dyDescent="0.25">
      <c r="A272" s="214"/>
    </row>
    <row r="273" spans="1:1" s="213" customFormat="1" x14ac:dyDescent="0.25">
      <c r="A273" s="214"/>
    </row>
    <row r="274" spans="1:1" s="213" customFormat="1" x14ac:dyDescent="0.25">
      <c r="A274" s="214"/>
    </row>
    <row r="275" spans="1:1" s="213" customFormat="1" x14ac:dyDescent="0.25">
      <c r="A275" s="214"/>
    </row>
    <row r="276" spans="1:1" s="213" customFormat="1" x14ac:dyDescent="0.25">
      <c r="A276" s="214"/>
    </row>
    <row r="277" spans="1:1" s="213" customFormat="1" x14ac:dyDescent="0.25">
      <c r="A277" s="214"/>
    </row>
    <row r="278" spans="1:1" s="213" customFormat="1" x14ac:dyDescent="0.25">
      <c r="A278" s="214"/>
    </row>
    <row r="279" spans="1:1" s="213" customFormat="1" x14ac:dyDescent="0.25">
      <c r="A279" s="214"/>
    </row>
    <row r="280" spans="1:1" s="213" customFormat="1" x14ac:dyDescent="0.25">
      <c r="A280" s="214"/>
    </row>
    <row r="281" spans="1:1" s="213" customFormat="1" x14ac:dyDescent="0.25">
      <c r="A281" s="214"/>
    </row>
    <row r="282" spans="1:1" s="213" customFormat="1" x14ac:dyDescent="0.25">
      <c r="A282" s="214"/>
    </row>
    <row r="283" spans="1:1" s="213" customFormat="1" x14ac:dyDescent="0.25">
      <c r="A283" s="214"/>
    </row>
    <row r="284" spans="1:1" s="213" customFormat="1" x14ac:dyDescent="0.25">
      <c r="A284" s="214"/>
    </row>
    <row r="285" spans="1:1" s="213" customFormat="1" x14ac:dyDescent="0.25">
      <c r="A285" s="214"/>
    </row>
    <row r="286" spans="1:1" s="213" customFormat="1" x14ac:dyDescent="0.25">
      <c r="A286" s="214"/>
    </row>
    <row r="287" spans="1:1" s="213" customFormat="1" x14ac:dyDescent="0.25">
      <c r="A287" s="214"/>
    </row>
    <row r="288" spans="1:1" s="213" customFormat="1" x14ac:dyDescent="0.25">
      <c r="A288" s="214"/>
    </row>
    <row r="289" spans="1:1" s="213" customFormat="1" x14ac:dyDescent="0.25">
      <c r="A289" s="214"/>
    </row>
    <row r="290" spans="1:1" s="213" customFormat="1" x14ac:dyDescent="0.25">
      <c r="A290" s="214"/>
    </row>
    <row r="291" spans="1:1" s="213" customFormat="1" x14ac:dyDescent="0.25">
      <c r="A291" s="214"/>
    </row>
    <row r="292" spans="1:1" s="213" customFormat="1" x14ac:dyDescent="0.25">
      <c r="A292" s="214"/>
    </row>
    <row r="293" spans="1:1" s="213" customFormat="1" x14ac:dyDescent="0.25">
      <c r="A293" s="214"/>
    </row>
    <row r="294" spans="1:1" s="213" customFormat="1" x14ac:dyDescent="0.25">
      <c r="A294" s="214"/>
    </row>
    <row r="295" spans="1:1" s="213" customFormat="1" x14ac:dyDescent="0.25">
      <c r="A295" s="214"/>
    </row>
    <row r="296" spans="1:1" s="213" customFormat="1" x14ac:dyDescent="0.25">
      <c r="A296" s="214"/>
    </row>
    <row r="297" spans="1:1" s="213" customFormat="1" x14ac:dyDescent="0.25">
      <c r="A297" s="214"/>
    </row>
    <row r="298" spans="1:1" s="213" customFormat="1" x14ac:dyDescent="0.25">
      <c r="A298" s="214"/>
    </row>
    <row r="299" spans="1:1" s="213" customFormat="1" x14ac:dyDescent="0.25">
      <c r="A299" s="214"/>
    </row>
    <row r="300" spans="1:1" s="213" customFormat="1" x14ac:dyDescent="0.25">
      <c r="A300" s="214"/>
    </row>
    <row r="301" spans="1:1" s="213" customFormat="1" x14ac:dyDescent="0.25">
      <c r="A301" s="214"/>
    </row>
    <row r="302" spans="1:1" s="213" customFormat="1" x14ac:dyDescent="0.25">
      <c r="A302" s="214"/>
    </row>
    <row r="303" spans="1:1" s="213" customFormat="1" x14ac:dyDescent="0.25">
      <c r="A303" s="214"/>
    </row>
    <row r="304" spans="1:1" s="213" customFormat="1" x14ac:dyDescent="0.25">
      <c r="A304" s="214"/>
    </row>
    <row r="305" spans="1:1" s="213" customFormat="1" x14ac:dyDescent="0.25">
      <c r="A305" s="214"/>
    </row>
    <row r="306" spans="1:1" s="213" customFormat="1" x14ac:dyDescent="0.25">
      <c r="A306" s="214"/>
    </row>
    <row r="307" spans="1:1" s="213" customFormat="1" x14ac:dyDescent="0.25">
      <c r="A307" s="214"/>
    </row>
    <row r="308" spans="1:1" s="213" customFormat="1" x14ac:dyDescent="0.25">
      <c r="A308" s="214"/>
    </row>
    <row r="309" spans="1:1" s="213" customFormat="1" x14ac:dyDescent="0.25">
      <c r="A309" s="214"/>
    </row>
    <row r="310" spans="1:1" s="213" customFormat="1" x14ac:dyDescent="0.25">
      <c r="A310" s="214"/>
    </row>
    <row r="311" spans="1:1" s="213" customFormat="1" x14ac:dyDescent="0.25">
      <c r="A311" s="214"/>
    </row>
    <row r="312" spans="1:1" s="213" customFormat="1" x14ac:dyDescent="0.25">
      <c r="A312" s="214"/>
    </row>
    <row r="313" spans="1:1" s="213" customFormat="1" x14ac:dyDescent="0.25">
      <c r="A313" s="214"/>
    </row>
    <row r="314" spans="1:1" s="213" customFormat="1" x14ac:dyDescent="0.25">
      <c r="A314" s="214"/>
    </row>
    <row r="315" spans="1:1" s="213" customFormat="1" x14ac:dyDescent="0.25">
      <c r="A315" s="214"/>
    </row>
    <row r="316" spans="1:1" s="213" customFormat="1" x14ac:dyDescent="0.25">
      <c r="A316" s="214"/>
    </row>
    <row r="317" spans="1:1" s="213" customFormat="1" x14ac:dyDescent="0.25">
      <c r="A317" s="214"/>
    </row>
    <row r="318" spans="1:1" s="213" customFormat="1" x14ac:dyDescent="0.25">
      <c r="A318" s="214"/>
    </row>
    <row r="319" spans="1:1" s="213" customFormat="1" x14ac:dyDescent="0.25">
      <c r="A319" s="214"/>
    </row>
    <row r="320" spans="1:1" s="213" customFormat="1" x14ac:dyDescent="0.25">
      <c r="A320" s="214"/>
    </row>
    <row r="321" spans="1:1" s="213" customFormat="1" x14ac:dyDescent="0.25">
      <c r="A321" s="214"/>
    </row>
    <row r="322" spans="1:1" s="213" customFormat="1" x14ac:dyDescent="0.25">
      <c r="A322" s="214"/>
    </row>
    <row r="323" spans="1:1" s="213" customFormat="1" x14ac:dyDescent="0.25">
      <c r="A323" s="214"/>
    </row>
    <row r="324" spans="1:1" s="213" customFormat="1" x14ac:dyDescent="0.25">
      <c r="A324" s="214"/>
    </row>
    <row r="325" spans="1:1" s="213" customFormat="1" x14ac:dyDescent="0.25">
      <c r="A325" s="214"/>
    </row>
    <row r="326" spans="1:1" s="213" customFormat="1" x14ac:dyDescent="0.25">
      <c r="A326" s="214"/>
    </row>
    <row r="327" spans="1:1" s="213" customFormat="1" x14ac:dyDescent="0.25">
      <c r="A327" s="214"/>
    </row>
    <row r="328" spans="1:1" s="213" customFormat="1" x14ac:dyDescent="0.25">
      <c r="A328" s="214"/>
    </row>
    <row r="329" spans="1:1" s="213" customFormat="1" x14ac:dyDescent="0.25">
      <c r="A329" s="214"/>
    </row>
    <row r="330" spans="1:1" s="213" customFormat="1" x14ac:dyDescent="0.25">
      <c r="A330" s="214"/>
    </row>
    <row r="331" spans="1:1" s="213" customFormat="1" x14ac:dyDescent="0.25">
      <c r="A331" s="214"/>
    </row>
    <row r="332" spans="1:1" s="213" customFormat="1" x14ac:dyDescent="0.25">
      <c r="A332" s="214"/>
    </row>
    <row r="333" spans="1:1" s="213" customFormat="1" x14ac:dyDescent="0.25">
      <c r="A333" s="214"/>
    </row>
    <row r="334" spans="1:1" s="213" customFormat="1" x14ac:dyDescent="0.25">
      <c r="A334" s="214"/>
    </row>
    <row r="335" spans="1:1" s="213" customFormat="1" x14ac:dyDescent="0.25">
      <c r="A335" s="214"/>
    </row>
    <row r="336" spans="1:1" s="213" customFormat="1" x14ac:dyDescent="0.25">
      <c r="A336" s="214"/>
    </row>
    <row r="337" spans="1:1" s="213" customFormat="1" x14ac:dyDescent="0.25">
      <c r="A337" s="214"/>
    </row>
    <row r="338" spans="1:1" s="213" customFormat="1" x14ac:dyDescent="0.25">
      <c r="A338" s="214"/>
    </row>
    <row r="339" spans="1:1" s="213" customFormat="1" x14ac:dyDescent="0.25">
      <c r="A339" s="214"/>
    </row>
  </sheetData>
  <mergeCells count="4">
    <mergeCell ref="A28:C28"/>
    <mergeCell ref="A29:C29"/>
    <mergeCell ref="A30:D32"/>
    <mergeCell ref="A33:D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Юнит</vt:lpstr>
      <vt:lpstr>Юнит Карго</vt:lpstr>
      <vt:lpstr>Расчет Карго</vt:lpstr>
      <vt:lpstr>Себес</vt:lpstr>
      <vt:lpstr>Себес 1С текущ</vt:lpstr>
      <vt:lpstr>Структура артикула</vt:lpstr>
      <vt:lpstr>Тарифы ОЗОН</vt:lpstr>
      <vt:lpstr>Тарифы ВБ</vt:lpstr>
      <vt:lpstr>Нормативное время доставки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Arol S</dc:creator>
  <cp:lastModifiedBy>A S</cp:lastModifiedBy>
  <cp:lastPrinted>2026-01-20T14:03:11Z</cp:lastPrinted>
  <dcterms:created xsi:type="dcterms:W3CDTF">2022-07-19T15:51:48Z</dcterms:created>
  <dcterms:modified xsi:type="dcterms:W3CDTF">2026-06-19T08:26:46Z</dcterms:modified>
</cp:coreProperties>
</file>