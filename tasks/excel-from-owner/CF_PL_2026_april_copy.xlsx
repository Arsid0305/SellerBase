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xl/comments13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4" name="Дашборд" state="visible" r:id="rId4"/>
    <sheet sheetId="13" name="PL общ" state="visible" r:id="rId5"/>
    <sheet sheetId="5" name="PL WB (нед)" state="visible" r:id="rId6"/>
    <sheet sheetId="4" name="PL WB" state="visible" r:id="rId7"/>
    <sheet sheetId="10" name="PL OZON (нед)" state="visible" r:id="rId8"/>
    <sheet sheetId="11" name="PL OZON" state="visible" r:id="rId9"/>
    <sheet sheetId="7" name="CF (нед)" state="visible" r:id="rId10"/>
    <sheet sheetId="6" name="CF" state="visible" r:id="rId11"/>
    <sheet sheetId="9" name="проверка" state="visible" r:id="rId12"/>
    <sheet sheetId="1" name="Оригинал" state="visible" r:id="rId13"/>
    <sheet sheetId="15" name="Аудит" state="visible" r:id="rId14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A14" authorId="0">
      <text>
        <r>
          <rPr>
            <b/>
            <charset val="204"/>
            <color indexed="81"/>
            <family val="2"/>
            <sz val="9"/>
            <rFont val="Tahoma"/>
          </rPr>
          <t>Ar S:</t>
        </r>
        <r>
          <rPr>
            <charset val="204"/>
            <color indexed="81"/>
            <family val="2"/>
            <sz val="9"/>
            <rFont val="Tahoma"/>
          </rPr>
          <t xml:space="preserve">
Столбец в детализации - Цена розничная
ВЫРУЧКА 
До учета СПП
</t>
        </r>
      </text>
    </comment>
    <comment ref="A15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Вайлдберриз реализовал Товар (Пр) -столбец  в детализации
=
ГРАФА ПРОДАЖИ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Заполняем 1 раз в начале.
</t>
        </r>
        <r>
          <rPr>
            <charset val="204"/>
            <color theme="1"/>
            <family val="2"/>
            <scheme val="minor"/>
            <sz val="11"/>
            <rFont val="Calibri"/>
          </rPr>
          <t>Ввести конечные данные из отчета за предыдущий год.</t>
        </r>
      </text>
    </comment>
    <comment ref="A7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Кол-во проданных товаров
Заполняем по еженедельному отчету ВБ (Детализация)
Берем данные из 1С после ввода еженедельного отчета. Смотрим Отчет комиссионера или обороту по счету 45 в разрезе количество.
Только ПРОДАЖИ!</t>
        </r>
      </text>
    </comment>
    <comment ref="A8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Себестоимость проданных товаров
Продажи с учетом Возвратов.
ОСВ сч 45
</t>
        </r>
      </text>
    </comment>
    <comment ref="A10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Товары, поступившие на склад от поставщика (себестоимость закупки).
Себестоимость готовых изделий.
</t>
        </r>
      </text>
    </comment>
    <comment ref="A11" authorId="0">
      <text>
        <r>
          <rPr>
            <charset val="204"/>
            <color theme="1"/>
            <family val="2"/>
            <scheme val="minor"/>
            <sz val="11"/>
            <rFont val="Calibri"/>
          </rPr>
          <t>Кол-во поступивших товаров от поставщика (шт)</t>
        </r>
      </text>
    </comment>
    <comment ref="C13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Заполняем 1 раз в начале
Изменяем формулу, подтавляя данные из отчета за предыдущий год</t>
        </r>
      </text>
    </comment>
    <comment ref="A14" authorId="0">
      <text>
        <r>
          <rPr>
            <b/>
            <charset val="204"/>
            <color indexed="81"/>
            <family val="2"/>
            <sz val="9"/>
            <rFont val="Tahoma"/>
          </rPr>
          <t>Ar S:</t>
        </r>
        <r>
          <rPr>
            <charset val="204"/>
            <color indexed="81"/>
            <family val="2"/>
            <sz val="9"/>
            <rFont val="Tahoma"/>
          </rPr>
          <t xml:space="preserve">
Столбец в детализации - Цена розничная
ВЫРУЧКА 
До учета СПП</t>
        </r>
      </text>
    </comment>
    <comment ref="A15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Вайлдберриз реализовал Товар (Пр) -столбец  в детализации
=
ГРАФА ПРОДАЖИ</t>
        </r>
      </text>
    </comment>
    <comment ref="A20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Выручка после вычета комиссии
Продажи минус возвраты</t>
        </r>
      </text>
    </comment>
    <comment ref="A22" authorId="0">
      <text>
        <r>
          <rPr>
            <charset val="204"/>
            <color theme="1"/>
            <family val="2"/>
            <scheme val="minor"/>
            <sz val="11"/>
            <rFont val="Calibri"/>
          </rPr>
          <t>Возвраты после вычета комиссии (справочно)</t>
        </r>
      </text>
    </comment>
    <comment ref="A31" authorId="0">
      <text>
        <r>
          <rPr>
            <charset val="204"/>
            <color theme="1"/>
            <family val="2"/>
            <scheme val="minor"/>
            <sz val="11"/>
            <rFont val="Calibri"/>
          </rPr>
          <t>напр Премия за выполнение плана по заказам (акция)</t>
        </r>
      </text>
    </comment>
    <comment ref="A33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Себестоимость проданных товаров с учетом возврат. 1С ОСВ сч. 90.2
или ОСВ сч. 45 (при условии что установлена цена-себестоимотсь поступления)</t>
        </r>
      </text>
    </comment>
    <comment ref="A38" authorId="0">
      <text>
        <r>
          <rPr>
            <charset val="204"/>
            <color theme="1"/>
            <family val="2"/>
            <scheme val="minor"/>
            <sz val="11"/>
            <rFont val="Calibri"/>
          </rPr>
          <t>Все расходы,  в т.ч. расходы ВБ</t>
        </r>
      </text>
    </comment>
    <comment ref="C64" authorId="0">
      <text>
        <r>
          <rPr>
            <b/>
            <charset val="204"/>
            <color indexed="81"/>
            <family val="2"/>
            <sz val="9"/>
            <rFont val="Tahoma"/>
          </rPr>
          <t>Ar S:</t>
        </r>
        <r>
          <rPr>
            <charset val="204"/>
            <color indexed="81"/>
            <family val="2"/>
            <sz val="9"/>
            <rFont val="Tahoma"/>
          </rPr>
          <t xml:space="preserve">
Заполняем 1 раз в начале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31" authorId="0">
      <text>
        <r>
          <rPr>
            <charset val="204"/>
            <color theme="1"/>
            <family val="2"/>
            <scheme val="minor"/>
            <sz val="11"/>
            <rFont val="Calibri"/>
          </rPr>
          <t>деньги которые вы тратите на покупку товара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7" authorId="0">
      <text>
        <r>
          <rPr>
            <b/>
            <charset val="204"/>
            <color indexed="81"/>
            <family val="2"/>
            <sz val="9"/>
            <rFont val="Tahoma"/>
          </rPr>
          <t xml:space="preserve">Ar S:
</t>
        </r>
        <r>
          <rPr>
            <charset val="204"/>
            <color indexed="81"/>
            <family val="2"/>
            <sz val="9"/>
            <rFont val="Tahoma"/>
          </rPr>
          <t>Ввести данные из отчета за предыдущий год</t>
        </r>
      </text>
    </comment>
    <comment ref="A31" authorId="0">
      <text>
        <r>
          <rPr>
            <charset val="204"/>
            <color theme="1"/>
            <family val="2"/>
            <scheme val="minor"/>
            <sz val="11"/>
            <rFont val="Calibri"/>
          </rPr>
          <t>деньги которые вы тратите на покупку товара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Заполняем 1 раз в начале.
</t>
        </r>
        <r>
          <rPr>
            <charset val="204"/>
            <color theme="1"/>
            <family val="2"/>
            <scheme val="minor"/>
            <sz val="11"/>
            <rFont val="Calibri"/>
          </rPr>
          <t>Ввести конечные данные из отчета за предыдущий год.</t>
        </r>
      </text>
    </comment>
    <comment ref="A7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Кол-во проданных товаров
Заполняем по еженедельному отчету
Берем данные из 1С после ввода еженедельного отчета. Смотрим Отчет комиссионера или обороту по счету 45 в разрезе количество.
Только ПРОДАЖИ!</t>
        </r>
      </text>
    </comment>
    <comment ref="A8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Себестоимость проданных товаров
Продажи с учетом Возвратов.
ОСВ сч 45
</t>
        </r>
      </text>
    </comment>
    <comment ref="A10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Товары, поступившие на склад от поставщика (себестоимость закупки).
Себестоимость готовых изделий.
</t>
        </r>
      </text>
    </comment>
    <comment ref="A11" authorId="0">
      <text>
        <r>
          <rPr>
            <charset val="204"/>
            <color theme="1"/>
            <family val="2"/>
            <scheme val="minor"/>
            <sz val="11"/>
            <rFont val="Calibri"/>
          </rPr>
          <t>Кол-во поступивших товаров от поставщика (шт)</t>
        </r>
      </text>
    </comment>
    <comment ref="C13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Заполняем 1 раз в начале
Изменяем формулу, подтавляя данные из отчета за предыдущий год</t>
        </r>
      </text>
    </comment>
    <comment ref="A20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Выручка после вычета комиссии
Продажи минус возвраты</t>
        </r>
      </text>
    </comment>
    <comment ref="A22" authorId="0">
      <text>
        <r>
          <rPr>
            <charset val="204"/>
            <color theme="1"/>
            <family val="2"/>
            <scheme val="minor"/>
            <sz val="11"/>
            <rFont val="Calibri"/>
          </rPr>
          <t>Возвраты после вычета комиссии (справочно)</t>
        </r>
      </text>
    </comment>
    <comment ref="A31" authorId="0">
      <text>
        <r>
          <rPr>
            <charset val="204"/>
            <color theme="1"/>
            <family val="2"/>
            <scheme val="minor"/>
            <sz val="11"/>
            <rFont val="Calibri"/>
          </rPr>
          <t>напр Премия за выполнение плана по заказам (акция)</t>
        </r>
      </text>
    </comment>
    <comment ref="A33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Себестоимость проданных товаров с учетом возврат. 1С ОСВ сч. 90.2
или ОСВ сч. 45 (при условии что установлена цена-себестоимотсь поступления)</t>
        </r>
      </text>
    </comment>
    <comment ref="A38" authorId="0">
      <text>
        <r>
          <rPr>
            <charset val="204"/>
            <color theme="1"/>
            <family val="2"/>
            <scheme val="minor"/>
            <sz val="11"/>
            <rFont val="Calibri"/>
          </rPr>
          <t>Все расходы,  в т.ч. расходы ВБ</t>
        </r>
      </text>
    </comment>
    <comment ref="C64" authorId="0">
      <text>
        <r>
          <rPr>
            <b/>
            <charset val="204"/>
            <color indexed="81"/>
            <family val="2"/>
            <sz val="9"/>
            <rFont val="Tahoma"/>
          </rPr>
          <t>Ar S:</t>
        </r>
        <r>
          <rPr>
            <charset val="204"/>
            <color indexed="81"/>
            <family val="2"/>
            <sz val="9"/>
            <rFont val="Tahoma"/>
          </rPr>
          <t xml:space="preserve">
Заполняем 1 раз в начале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4" authorId="0">
      <text>
        <r>
          <rPr>
            <b/>
            <charset val="204"/>
            <color indexed="81"/>
            <family val="2"/>
            <sz val="9"/>
            <rFont val="Tahoma"/>
          </rPr>
          <t>Ar S:</t>
        </r>
        <r>
          <rPr>
            <charset val="204"/>
            <color indexed="81"/>
            <family val="2"/>
            <sz val="9"/>
            <rFont val="Tahoma"/>
          </rPr>
          <t xml:space="preserve">
Столбец в детализации - Цена розничная
ВЫРУЧКА 
До учета СПП
</t>
        </r>
      </text>
    </comment>
    <comment ref="A15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Вайлдберриз реализовал Товар (Пр) -столбец  в детализации
=
ГРАФА ПРОДАЖИ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4" authorId="0">
      <text>
        <r>
          <rPr>
            <b/>
            <charset val="204"/>
            <color indexed="81"/>
            <family val="2"/>
            <sz val="9"/>
            <rFont val="Tahoma"/>
          </rPr>
          <t>Ar S:</t>
        </r>
        <r>
          <rPr>
            <charset val="204"/>
            <color indexed="81"/>
            <family val="2"/>
            <sz val="9"/>
            <rFont val="Tahoma"/>
          </rPr>
          <t xml:space="preserve">
Столбец в детализации - Цена розничная
ВЫРУЧКА 
До учета СПП
</t>
        </r>
      </text>
    </comment>
    <comment ref="A15" authorId="0">
      <text>
        <r>
          <rPr>
            <charset val="204"/>
            <color theme="1"/>
            <family val="2"/>
            <scheme val="minor"/>
            <sz val="11"/>
            <rFont val="Calibri"/>
          </rPr>
          <t xml:space="preserve">Вайлдберриз реализовал Товар (Пр) -столбец  в детализации
=
ГРАФА ПРОДАЖИ</t>
        </r>
      </text>
    </comment>
  </commentList>
</comments>
</file>

<file path=xl/sharedStrings.xml><?xml version="1.0" encoding="utf-8"?>
<sst xmlns="http://schemas.openxmlformats.org/spreadsheetml/2006/main" count="511" uniqueCount="212">
  <si>
    <t>ФИНАНСОВЫЙ ДАШБОРД 2025</t>
  </si>
  <si>
    <t>КЛЮЧЕВЫЕ ПОКАЗАТЕЛИ</t>
  </si>
  <si>
    <t>Показатель</t>
  </si>
  <si>
    <t>Значение</t>
  </si>
  <si>
    <t>Годовая выручка (продажи)</t>
  </si>
  <si>
    <t>Выручка от реализации товаров</t>
  </si>
  <si>
    <t>Чистая прибыль</t>
  </si>
  <si>
    <t>Прибыль после налогов</t>
  </si>
  <si>
    <t>Маржинальность</t>
  </si>
  <si>
    <t>Отношение прибыли к выручке</t>
  </si>
  <si>
    <t>Валовая прибыль</t>
  </si>
  <si>
    <t>Прибыль до расходов</t>
  </si>
  <si>
    <t>Рентабельность</t>
  </si>
  <si>
    <t>ROI вложений</t>
  </si>
  <si>
    <t>СРАВНЕНИЕ ПЛАТФОРМ</t>
  </si>
  <si>
    <t>Метрика</t>
  </si>
  <si>
    <t>Wildberries</t>
  </si>
  <si>
    <t>OZON</t>
  </si>
  <si>
    <t>Продажи (шт)</t>
  </si>
  <si>
    <t>Выручка (руб)</t>
  </si>
  <si>
    <t>Средний чек</t>
  </si>
  <si>
    <t>Маржа (%)</t>
  </si>
  <si>
    <t>СТРУКТУРА РАСХОДОВ</t>
  </si>
  <si>
    <t>Статья расходов</t>
  </si>
  <si>
    <t>Сумма (руб)</t>
  </si>
  <si>
    <t>Доля (%)</t>
  </si>
  <si>
    <t>Комиссии площадок</t>
  </si>
  <si>
    <t>Логистика</t>
  </si>
  <si>
    <t>Продвижение</t>
  </si>
  <si>
    <t>Себестоимость</t>
  </si>
  <si>
    <t>Хранение</t>
  </si>
  <si>
    <t>Прочие расходы</t>
  </si>
  <si>
    <t>ИТОГО расходов</t>
  </si>
  <si>
    <t>ПОМЕСЯЧНАЯ ДИНАМИКА</t>
  </si>
  <si>
    <t>Месяц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</si>
  <si>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</si>
  <si>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</si>
  <si>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</si>
  <si>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</si>
  <si>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</si>
  <si>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</si>
  <si>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</si>
  <si>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</si>
  <si>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</si>
  <si>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</si>
  <si>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</si>
  <si>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</si>
  <si>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Выручка</t>
  </si>
  <si>
    <t>Прибыль</t>
  </si>
  <si>
    <t>Заполняем PL и CF еженедельный!</t>
  </si>
  <si>
    <t>Прибыли и убытки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</si>
  <si>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</si>
  <si>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</si>
  <si>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</si>
  <si>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</si>
  <si>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</si>
  <si>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</si>
  <si>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</si>
  <si>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</si>
  <si>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</si>
  <si>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</si>
  <si>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</si>
  <si>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Товарооборот</t>
  </si>
  <si>
    <t>Остаток товара по цене закупки</t>
  </si>
  <si>
    <t>Продажи шт</t>
  </si>
  <si>
    <t>Отгрузки по себестоимости</t>
  </si>
  <si>
    <t>Поступление товара, р</t>
  </si>
  <si>
    <t>Поступление товара, шт</t>
  </si>
  <si>
    <t>Доступно на складе по цене закупки</t>
  </si>
  <si>
    <t>Доступно на складе, шт</t>
  </si>
  <si>
    <t>Продано товаров по цене в карточке</t>
  </si>
  <si>
    <t>Продано товаров -ПРОДАЖИ</t>
  </si>
  <si>
    <t>Комиссия</t>
  </si>
  <si>
    <t>% комиссии</t>
  </si>
  <si>
    <t>Выручка от реализации (к перечислению за товар), руб</t>
  </si>
  <si>
    <t>Возвраты, руб</t>
  </si>
  <si>
    <t>Возвраты, шт</t>
  </si>
  <si>
    <t>% возвратов</t>
  </si>
  <si>
    <t>Брак, руб</t>
  </si>
  <si>
    <t>Брак, шт</t>
  </si>
  <si>
    <t>% брака</t>
  </si>
  <si>
    <t>Поступление на счет</t>
  </si>
  <si>
    <t xml:space="preserve">   в т.ч. Прочие доходы</t>
  </si>
  <si>
    <t>% себестоимости</t>
  </si>
  <si>
    <t>Расходы</t>
  </si>
  <si>
    <t>% расходы</t>
  </si>
  <si>
    <t>Эквайринг</t>
  </si>
  <si>
    <t>Штрафы</t>
  </si>
  <si>
    <t>Платная приемка</t>
  </si>
  <si>
    <t>Прочее OZON</t>
  </si>
  <si>
    <t>Контент</t>
  </si>
  <si>
    <t>Аренда офиса</t>
  </si>
  <si>
    <t>Реклама внешняя</t>
  </si>
  <si>
    <t>Подписка Аналитика</t>
  </si>
  <si>
    <t>Прочие</t>
  </si>
  <si>
    <t>Прибыль до налогообложения</t>
  </si>
  <si>
    <t>Налоги начисленные</t>
  </si>
  <si>
    <t>УСН 6%+1%</t>
  </si>
  <si>
    <t>Рентабельность вложений</t>
  </si>
  <si>
    <t>Выплата диведентов:</t>
  </si>
  <si>
    <t>Остаток денежных средств на конец периода</t>
  </si>
  <si>
    <t>Накопленный финансовый результат</t>
  </si>
  <si>
    <t>Рекламные расходы на 1 единицу</t>
  </si>
  <si>
    <t>Доля рекламных расходов</t>
  </si>
  <si>
    <t>Прибыль на 1 ед</t>
  </si>
  <si>
    <r>
      <rPr>
        <b/>
        <charset val="204"/>
        <family val="2"/>
        <scheme val="minor"/>
        <sz val="11"/>
        <rFont val="Calibri"/>
      </rPr>
      <t xml:space="preserve">Голубым выделены строки, которые заполняем!   </t>
    </r>
    <r>
      <rPr>
        <b/>
        <charset val="204"/>
        <color rgb="FFFF0000"/>
        <family val="2"/>
        <scheme val="minor"/>
        <sz val="11"/>
        <rFont val="Calibri"/>
      </rPr>
      <t xml:space="preserve">          Заполняем эту вкладку, формулы не трогаем!
Если добавляете строки - добавляете на всех листах PL и СF</t>
    </r>
  </si>
  <si>
    <t>Остаток года</t>
  </si>
  <si>
    <t>Прибыли и убытки, еженедельно</t>
  </si>
  <si>
    <t>01.01-04.01</t>
  </si>
  <si>
    <t>05.01-11.01</t>
  </si>
  <si>
    <t>12.01-18.01</t>
  </si>
  <si>
    <t>19.01-25.01</t>
  </si>
  <si>
    <t>26.01-01.02</t>
  </si>
  <si>
    <t>02.02-08.02</t>
  </si>
  <si>
    <t>09.02-15.02</t>
  </si>
  <si>
    <t>16.02-22.02</t>
  </si>
  <si>
    <t>23.02-01.03</t>
  </si>
  <si>
    <t>02.03-08.03</t>
  </si>
  <si>
    <t>09.03-15.03</t>
  </si>
  <si>
    <t>16.03-22.03</t>
  </si>
  <si>
    <t>23.03-29.03</t>
  </si>
  <si>
    <t>30.03-05.04</t>
  </si>
  <si>
    <t>06.04-12.04</t>
  </si>
  <si>
    <t>13.04-19.04</t>
  </si>
  <si>
    <t>Продано товаров WB по цене в карточке</t>
  </si>
  <si>
    <t>Продано товаров WB ВБ реализовал-ПРОДАЖИ</t>
  </si>
  <si>
    <t>Комиссия ВБ</t>
  </si>
  <si>
    <t xml:space="preserve">Поступление на счет от ВБ </t>
  </si>
  <si>
    <t>% себестоимости в цене</t>
  </si>
  <si>
    <t>Логистика ВБ</t>
  </si>
  <si>
    <t>Продвижение ВБ (взаимозачет)</t>
  </si>
  <si>
    <t>Эквайринг ВБ</t>
  </si>
  <si>
    <t>Хранение ВБ</t>
  </si>
  <si>
    <t>Штрафы ВБ</t>
  </si>
  <si>
    <t>Платная приемка ВБ</t>
  </si>
  <si>
    <t>УСН 6%</t>
  </si>
  <si>
    <t>Серые нули (стр 63, 65) - это проверки между листами! Если не ноль - ищем ошибку</t>
  </si>
  <si>
    <t>Сумма вложений с начала 2023</t>
  </si>
  <si>
    <t>Сумма себестоимости за 16 нед</t>
  </si>
  <si>
    <t>Прибыль за 16 нед</t>
  </si>
  <si>
    <t>Рентабельность за 16 нед</t>
  </si>
  <si>
    <t>Оборачиваемость за 16 нед</t>
  </si>
  <si>
    <t>Оборачиваемость в днях</t>
  </si>
  <si>
    <t>далее анализ последних 16 недель</t>
  </si>
  <si>
    <t>Остаток товара закончится через, дн</t>
  </si>
  <si>
    <t>Дата распродажи в 0</t>
  </si>
  <si>
    <t>29.12-31.12</t>
  </si>
  <si>
    <t>Продано товаров OZON по цене в карточке-ВЫРУЧКА</t>
  </si>
  <si>
    <t>Комиссия OZON</t>
  </si>
  <si>
    <t>Выручка от реализацииза вычетом комиссии, руб</t>
  </si>
  <si>
    <t xml:space="preserve">Поступление на счет от OZON </t>
  </si>
  <si>
    <t>Логистика OZON</t>
  </si>
  <si>
    <t>Продвижение OZON</t>
  </si>
  <si>
    <t>Эквайринг OZON</t>
  </si>
  <si>
    <t>Хранение OZON</t>
  </si>
  <si>
    <t>Штрафы OZON</t>
  </si>
  <si>
    <t>Платная приемка OZON</t>
  </si>
  <si>
    <t>Продано товаров OZON по цене в карточке</t>
  </si>
  <si>
    <t>Остаток денежных средств на конец периода ВСЕГО</t>
  </si>
  <si>
    <t>Чистая прибыль на 1 ед</t>
  </si>
  <si>
    <t>Заполняем Вложения инвестора, Закупки и выплаты дивидендов. Формулы не трогаем!</t>
  </si>
  <si>
    <t>Движение денежных средств, еженедельно</t>
  </si>
  <si>
    <t>Поступление товара по цене закупки</t>
  </si>
  <si>
    <t>Остаток денежных средств на начало периода</t>
  </si>
  <si>
    <t>Поступление на счет от WB и OZON</t>
  </si>
  <si>
    <t>Итого остаток + поступление</t>
  </si>
  <si>
    <t>Расходы - факт списания</t>
  </si>
  <si>
    <t>Прочее</t>
  </si>
  <si>
    <t>Налоги уплаченные</t>
  </si>
  <si>
    <t>Закупка Китай</t>
  </si>
  <si>
    <t>Закупка нал</t>
  </si>
  <si>
    <t>Закупка р/с</t>
  </si>
  <si>
    <t>Доставка Китай</t>
  </si>
  <si>
    <t>Доставка РФ</t>
  </si>
  <si>
    <t>Вложения инвестора</t>
  </si>
  <si>
    <t>Самовыкупы (покупка товара)</t>
  </si>
  <si>
    <t>Авансы уплаченные</t>
  </si>
  <si>
    <t>Денег в обороте</t>
  </si>
  <si>
    <t>Инвестор</t>
  </si>
  <si>
    <t>Остаток после вывода должен быть больше  суммы закупки и доставки следующего месяца</t>
  </si>
  <si>
    <t>Управляющий</t>
  </si>
  <si>
    <t>Серые нули (стр 34, 38, 41) - это проверки между листами! Если не ноль - ищем ошибку</t>
  </si>
  <si>
    <t>Движение денежных средств</t>
  </si>
  <si>
    <t>Выплата дивидентов:</t>
  </si>
  <si>
    <t>Доступный остаток средств</t>
  </si>
  <si>
    <r>
      <rPr>
        <b/>
        <charset val="204"/>
        <color theme="1"/>
        <family val="2"/>
        <sz val="11"/>
        <rFont val="Calibri"/>
      </rPr>
      <t>Серые нули</t>
    </r>
    <r>
      <rPr>
        <charset val="204"/>
        <color theme="1"/>
        <family val="2"/>
        <sz val="11"/>
        <rFont val="Calibri"/>
      </rPr>
      <t xml:space="preserve"> это проверки между листами. Если серый не 0 - не идет проверка между листами
PL с PL (нед)
CF с CF (нед)
Если не идет на PL (нед) - сверяем по строкам 
Сумма за 4 недели должна идти по этой же статье за месяц
Аналогично с CF
Возможные причины:
1. Если добавили статью - добавляем на всех 4 листах
2. Формула налога должна быль везде одинаковая на всех листах
3.  Проверьте суммируются все расходы в общую сумму расходов</t>
    </r>
  </si>
  <si>
    <t>http://postavka365.ru/?utm_source=unit</t>
  </si>
  <si>
    <t>Если у вас возникли вопросы по заполнению - напишите +79652083823 Андрей</t>
  </si>
  <si>
    <t>АУДИТ ФИНАНСОВОЙ МОДЕЛИ</t>
  </si>
  <si>
    <t>Дата аудита:</t>
  </si>
  <si>
    <t>31.03.2026</t>
  </si>
  <si>
    <t>Охват:</t>
  </si>
  <si>
    <t>PL общ, PL WB, PL OZON, CF, недельные варианты</t>
  </si>
  <si>
    <t>СВОДКА РЕЗУЛЬТАТОВ</t>
  </si>
  <si>
    <t>Статус</t>
  </si>
  <si>
    <t>Категория</t>
  </si>
  <si>
    <t>Кол-во</t>
  </si>
  <si>
    <t>Финансовый эффект</t>
  </si>
  <si>
    <t>🔴 КРИТИЧНО</t>
  </si>
  <si>
    <t>Ошибки в формулах (неверные ссылки / пропуск данных)</t>
  </si>
  <si>
    <t>Искажение данных до +153 548 руб. и более</t>
  </si>
  <si>
    <t>🟡 ПРЕДУПРЕЖДЕНИЕ</t>
  </si>
  <si>
    <t>Непоследовательные формулы (разные знаменатели/строки)</t>
  </si>
  <si>
    <t>Искажение % метрик (до ~12 п.п.)</t>
  </si>
  <si>
    <t>🔵 ИНФОРМАЦИЯ</t>
  </si>
  <si>
    <t>Ошибки #ДЕЛ/0! в незаполненных месяцах</t>
  </si>
  <si>
    <t>Много</t>
  </si>
  <si>
    <t>Нет (данные пока не введены)</t>
  </si>
  <si>
    <t>✅ ОК</t>
  </si>
  <si>
    <t>Кассовый баланс (CF) и переносы остатков</t>
  </si>
  <si>
    <t>—</t>
  </si>
  <si>
    <t>Корректны, расхождений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</si>
</sst>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yy"/>
    <numFmt numFmtId="165" formatCode="_(* #,##0.00_);_(* (#,##0.00);_(* &quot;-&quot;??_);_(@_)"/>
    <numFmt numFmtId="166" formatCode="0.0%"/>
    <numFmt numFmtId="167" formatCode="dd.mm.yy"/>
    <numFmt numFmtId="168" formatCode="#,##0;(#,##0)"/>
  </numFmts>
  <fonts count="40" x14ac:knownFonts="1">
    <font>
      <color theme="1"/>
      <family val="2"/>
      <scheme val="minor"/>
      <sz val="11"/>
      <name val="Calibri"/>
    </font>
    <font>
      <charset val="204"/>
      <color theme="1"/>
      <family val="2"/>
      <scheme val="minor"/>
      <sz val="11"/>
      <name val="Calibri"/>
    </font>
    <font>
      <b/>
      <color rgb="FFFFFFFF"/>
      <sz val="18"/>
      <name val="Aptos Narrow"/>
    </font>
    <font>
      <charset val="204"/>
      <family val="2"/>
      <scheme val="minor"/>
      <sz val="11"/>
      <name val="Calibri"/>
    </font>
    <font>
      <b/>
      <sz val="14"/>
      <name val="Aptos Narrow"/>
    </font>
    <font>
      <b/>
      <sz val="11"/>
      <name val="Aptos Narrow"/>
    </font>
    <font>
      <charset val="204"/>
      <color rgb="FF008000"/>
      <family val="2"/>
      <scheme val="minor"/>
      <sz val="11"/>
      <name val="Calibri"/>
    </font>
    <font>
      <b/>
      <charset val="204"/>
      <family val="2"/>
      <sz val="11"/>
      <name val="Arial Narrow"/>
    </font>
    <font>
      <b/>
      <charset val="204"/>
      <color rgb="FFFF0000"/>
      <family val="2"/>
      <scheme val="minor"/>
      <sz val="11"/>
      <name val="Calibri"/>
    </font>
    <font>
      <b/>
      <charset val="204"/>
      <color theme="1"/>
      <family val="2"/>
      <scheme val="minor"/>
      <sz val="11"/>
      <name val="Calibri"/>
    </font>
    <font>
      <b/>
      <charset val="204"/>
      <color rgb="FFFFFFFF"/>
      <family val="2"/>
      <scheme val="minor"/>
      <sz val="11"/>
      <name val="Calibri"/>
    </font>
    <font>
      <b/>
      <charset val="204"/>
      <color theme="0"/>
      <family val="2"/>
      <scheme val="minor"/>
      <sz val="11"/>
      <name val="Calibri"/>
    </font>
    <font>
      <charset val="204"/>
      <color rgb="FF000000"/>
      <family val="2"/>
      <scheme val="minor"/>
      <sz val="11"/>
      <name val="Calibri"/>
    </font>
    <font>
      <charset val="204"/>
      <color theme="6"/>
      <family val="2"/>
      <scheme val="minor"/>
      <sz val="11"/>
      <name val="Calibri"/>
    </font>
    <font>
      <charset val="204"/>
      <color rgb="FFA5A5A5"/>
      <family val="2"/>
      <scheme val="minor"/>
      <sz val="11"/>
      <name val="Calibri"/>
    </font>
    <font>
      <charset val="204"/>
      <color rgb="FFCCCCCC"/>
      <family val="2"/>
      <scheme val="minor"/>
      <sz val="11"/>
      <name val="Calibri"/>
    </font>
    <font>
      <charset val="204"/>
      <color theme="1"/>
      <family val="2"/>
      <sz val="11"/>
      <name val="Calibri"/>
    </font>
    <font>
      <b/>
      <charset val="204"/>
      <color theme="1"/>
      <family val="2"/>
      <sz val="11"/>
      <name val="Calibri"/>
    </font>
    <font>
      <charset val="204"/>
      <color rgb="FFFF0000"/>
      <family val="2"/>
      <sz val="11"/>
      <name val="Arial"/>
    </font>
    <font>
      <charset val="204"/>
      <color theme="1"/>
      <family val="2"/>
      <sz val="11"/>
      <name val="Arial"/>
    </font>
    <font>
      <b/>
      <charset val="204"/>
      <color theme="1"/>
      <family val="2"/>
      <sz val="11"/>
      <name val="Arial"/>
    </font>
    <font>
      <charset val="204"/>
      <family val="2"/>
      <sz val="11"/>
      <name val="Calibri"/>
    </font>
    <font>
      <charset val="204"/>
      <color theme="1"/>
      <family val="2"/>
      <sz val="9"/>
      <name val="Arial"/>
    </font>
    <font>
      <charset val="204"/>
      <family val="2"/>
      <sz val="11"/>
      <name val="Arial"/>
    </font>
    <font>
      <b/>
      <charset val="204"/>
      <color rgb="FF000000"/>
      <family val="2"/>
      <sz val="11"/>
      <name val="Arial"/>
    </font>
    <font>
      <charset val="204"/>
      <color rgb="FF000000"/>
      <family val="2"/>
      <sz val="11"/>
      <name val="Arial"/>
    </font>
    <font>
      <b/>
      <charset val="204"/>
      <color theme="6"/>
      <family val="2"/>
      <sz val="11"/>
      <name val="Arial"/>
    </font>
    <font>
      <b/>
      <charset val="204"/>
      <color theme="1"/>
      <family val="2"/>
      <sz val="9"/>
      <name val="Arial"/>
    </font>
    <font>
      <charset val="204"/>
      <color rgb="FFA5A5A5"/>
      <family val="2"/>
      <sz val="11"/>
      <name val="Arial"/>
    </font>
    <font>
      <b/>
      <charset val="204"/>
      <color rgb="FFFF0000"/>
      <family val="2"/>
      <sz val="11"/>
      <name val="Arial"/>
    </font>
    <font>
      <color theme="1"/>
      <scheme val="minor"/>
      <sz val="11"/>
      <name val="Calibri"/>
    </font>
    <font>
      <b/>
      <charset val="204"/>
      <color theme="1"/>
      <family val="2"/>
      <sz val="12"/>
      <name val="Arial"/>
    </font>
    <font>
      <b/>
      <u/>
      <charset val="204"/>
      <color rgb="FF0000FF"/>
      <family val="2"/>
      <sz val="11"/>
      <name val="Calibri"/>
    </font>
    <font>
      <b/>
      <color rgb="FFFFFFFF"/>
      <scheme val="minor"/>
      <sz val="16"/>
      <name val="Calibri"/>
    </font>
    <font>
      <b/>
      <color theme="1"/>
      <scheme val="minor"/>
      <sz val="11"/>
      <name val="Calibri"/>
    </font>
    <font>
      <b/>
      <color rgb="FFFFFFFF"/>
      <scheme val="minor"/>
      <sz val="13"/>
      <name val="Calibri"/>
    </font>
    <font>
      <b/>
      <color rgb="FFC00000"/>
      <scheme val="minor"/>
      <sz val="11"/>
      <name val="Calibri"/>
    </font>
    <font>
      <b/>
      <color rgb="FF7F6000"/>
      <scheme val="minor"/>
      <sz val="11"/>
      <name val="Calibri"/>
    </font>
    <font>
      <b/>
      <color rgb="FF1F497D"/>
      <scheme val="minor"/>
      <sz val="11"/>
      <name val="Calibri"/>
    </font>
    <font>
      <b/>
      <color rgb="FF375623"/>
      <scheme val="minor"/>
      <sz val="11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3D3D3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E0F0E0"/>
      </patternFill>
    </fill>
    <fill>
      <patternFill patternType="solid">
        <fgColor rgb="FFFFFACD"/>
      </patternFill>
    </fill>
    <fill>
      <patternFill patternType="solid">
        <fgColor rgb="FFFFD700"/>
      </patternFill>
    </fill>
    <fill>
      <patternFill patternType="solid">
        <fgColor rgb="FFFFE4B5"/>
      </patternFill>
    </fill>
    <fill>
      <patternFill patternType="solid">
        <fgColor rgb="FFF0F0F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DA0DD"/>
      </patternFill>
    </fill>
    <fill>
      <patternFill patternType="solid">
        <fgColor rgb="FFE6D8E6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E9F1F8"/>
        <bgColor rgb="FFE9F1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1F3FB"/>
        <bgColor rgb="FFF1F3FB"/>
      </patternFill>
    </fill>
    <fill>
      <patternFill patternType="solid">
        <fgColor rgb="FF00FFFF"/>
        <bgColor theme="0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00FFFF"/>
        <bgColor rgb="FFE9F1F8"/>
      </patternFill>
    </fill>
    <fill>
      <patternFill patternType="solid">
        <fgColor rgb="FF00FFFF"/>
        <bgColor rgb="FFF1F3FB"/>
      </patternFill>
    </fill>
    <fill>
      <patternFill patternType="solid">
        <fgColor rgb="FF66FF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CC0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2EFDA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 style="thick">
        <color theme="4"/>
      </bottom>
      <diagonal/>
    </border>
    <border>
      <left/>
      <right style="thin">
        <color rgb="FF000000"/>
      </right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top"/>
    </xf>
    <xf numFmtId="0" fontId="4" fillId="4" borderId="0" xfId="0" applyFont="1" applyFill="1" applyAlignment="1">
      <alignment vertical="top"/>
    </xf>
    <xf numFmtId="0" fontId="5" fillId="3" borderId="1" xfId="0" applyFont="1" applyFill="1" applyBorder="1" applyAlignment="1">
      <alignment horizontal="center" vertical="top"/>
    </xf>
    <xf numFmtId="49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165" fontId="3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10" fontId="3" fillId="0" borderId="2" xfId="0" applyNumberFormat="1" applyFont="1" applyBorder="1" applyAlignment="1">
      <alignment horizontal="right" vertical="top"/>
    </xf>
    <xf numFmtId="0" fontId="4" fillId="5" borderId="0" xfId="0" applyFont="1" applyFill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3" fontId="3" fillId="0" borderId="2" xfId="0" applyNumberFormat="1" applyFont="1" applyBorder="1" applyAlignment="1">
      <alignment horizontal="right" vertical="top"/>
    </xf>
    <xf numFmtId="10" fontId="3" fillId="0" borderId="2" xfId="0" applyNumberFormat="1" applyFont="1" applyBorder="1" applyAlignment="1">
      <alignment horizontal="center" vertical="top"/>
    </xf>
    <xf numFmtId="49" fontId="3" fillId="7" borderId="2" xfId="0" applyNumberFormat="1" applyFont="1" applyFill="1" applyBorder="1" applyAlignment="1">
      <alignment horizontal="left" vertical="top"/>
    </xf>
    <xf numFmtId="0" fontId="3" fillId="7" borderId="2" xfId="0" applyFont="1" applyFill="1" applyBorder="1" applyAlignment="1">
      <alignment vertical="top"/>
    </xf>
    <xf numFmtId="165" fontId="6" fillId="7" borderId="2" xfId="0" applyNumberFormat="1" applyFont="1" applyFill="1" applyBorder="1" applyAlignment="1">
      <alignment horizontal="right" vertical="top"/>
    </xf>
    <xf numFmtId="10" fontId="3" fillId="7" borderId="2" xfId="0" applyNumberFormat="1" applyFont="1" applyFill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0" fontId="4" fillId="8" borderId="0" xfId="0" applyFont="1" applyFill="1" applyAlignment="1">
      <alignment vertical="top"/>
    </xf>
    <xf numFmtId="0" fontId="5" fillId="9" borderId="1" xfId="0" applyFont="1" applyFill="1" applyBorder="1" applyAlignment="1">
      <alignment horizontal="center" vertical="top"/>
    </xf>
    <xf numFmtId="10" fontId="3" fillId="0" borderId="3" xfId="0" applyNumberFormat="1" applyFont="1" applyBorder="1" applyAlignment="1">
      <alignment horizontal="center" vertical="top"/>
    </xf>
    <xf numFmtId="0" fontId="5" fillId="10" borderId="4" xfId="0" applyFont="1" applyFill="1" applyBorder="1" applyAlignment="1">
      <alignment horizontal="left" vertical="top"/>
    </xf>
    <xf numFmtId="0" fontId="5" fillId="10" borderId="4" xfId="0" applyFont="1" applyFill="1" applyBorder="1" applyAlignment="1">
      <alignment vertical="top"/>
    </xf>
    <xf numFmtId="3" fontId="5" fillId="10" borderId="4" xfId="0" applyNumberFormat="1" applyFont="1" applyFill="1" applyBorder="1" applyAlignment="1">
      <alignment horizontal="right" vertical="top"/>
    </xf>
    <xf numFmtId="10" fontId="7" fillId="11" borderId="5" xfId="0" applyNumberFormat="1" applyFont="1" applyFill="1" applyBorder="1" applyAlignment="1">
      <alignment horizontal="center" vertical="top"/>
    </xf>
    <xf numFmtId="0" fontId="4" fillId="12" borderId="0" xfId="0" applyFont="1" applyFill="1" applyAlignment="1">
      <alignment vertical="top"/>
    </xf>
    <xf numFmtId="0" fontId="5" fillId="13" borderId="1" xfId="0" applyFont="1" applyFill="1" applyBorder="1" applyAlignment="1">
      <alignment horizontal="center" vertical="top"/>
    </xf>
    <xf numFmtId="10" fontId="8" fillId="14" borderId="0" xfId="0" applyNumberFormat="1" applyFont="1" applyFill="1" applyAlignment="1">
      <alignment vertical="center"/>
    </xf>
    <xf numFmtId="0" fontId="9" fillId="14" borderId="6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9" fillId="15" borderId="0" xfId="0" applyFont="1" applyFill="1" applyAlignment="1">
      <alignment vertical="center"/>
    </xf>
    <xf numFmtId="0" fontId="9" fillId="15" borderId="6" xfId="0" applyFont="1" applyFill="1" applyBorder="1" applyAlignment="1">
      <alignment horizontal="left" vertical="center"/>
    </xf>
    <xf numFmtId="0" fontId="9" fillId="15" borderId="0" xfId="0" applyFont="1" applyFill="1" applyAlignment="1">
      <alignment horizontal="center" vertical="center"/>
    </xf>
    <xf numFmtId="0" fontId="3" fillId="0" borderId="0" xfId="0" applyFont="1"/>
    <xf numFmtId="0" fontId="9" fillId="14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10" fillId="16" borderId="1" xfId="0" applyNumberFormat="1" applyFont="1" applyFill="1" applyBorder="1" applyAlignment="1">
      <alignment horizontal="left" vertical="center"/>
    </xf>
    <xf numFmtId="3" fontId="11" fillId="16" borderId="11" xfId="0" applyNumberFormat="1" applyFont="1" applyFill="1" applyBorder="1" applyAlignment="1">
      <alignment horizontal="center" vertical="center"/>
    </xf>
    <xf numFmtId="3" fontId="11" fillId="16" borderId="1" xfId="0" applyNumberFormat="1" applyFont="1" applyFill="1" applyBorder="1" applyAlignment="1">
      <alignment horizontal="center" vertical="center"/>
    </xf>
    <xf numFmtId="3" fontId="11" fillId="16" borderId="12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3" fontId="1" fillId="0" borderId="6" xfId="0" applyNumberFormat="1" applyFont="1" applyBorder="1" applyAlignment="1">
      <alignment horizontal="center" vertical="center"/>
    </xf>
    <xf numFmtId="3" fontId="1" fillId="14" borderId="0" xfId="0" applyNumberFormat="1" applyFont="1" applyFill="1" applyAlignment="1">
      <alignment horizontal="center" vertical="center"/>
    </xf>
    <xf numFmtId="3" fontId="1" fillId="14" borderId="8" xfId="0" applyNumberFormat="1" applyFont="1" applyFill="1" applyBorder="1" applyAlignment="1">
      <alignment horizontal="center" vertical="center"/>
    </xf>
    <xf numFmtId="3" fontId="1" fillId="0" borderId="6" xfId="0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right" vertical="center"/>
    </xf>
    <xf numFmtId="3" fontId="1" fillId="14" borderId="0" xfId="0" applyNumberFormat="1" applyFont="1" applyFill="1"/>
    <xf numFmtId="3" fontId="1" fillId="14" borderId="6" xfId="0" applyNumberFormat="1" applyFont="1" applyFill="1" applyBorder="1" applyAlignment="1">
      <alignment horizontal="center" vertical="center"/>
    </xf>
    <xf numFmtId="3" fontId="1" fillId="17" borderId="0" xfId="0" applyNumberFormat="1" applyFont="1" applyFill="1" applyAlignment="1">
      <alignment horizontal="left" vertical="center"/>
    </xf>
    <xf numFmtId="0" fontId="1" fillId="17" borderId="6" xfId="0" applyFont="1" applyFill="1" applyBorder="1" applyAlignment="1">
      <alignment horizontal="left" vertical="center"/>
    </xf>
    <xf numFmtId="3" fontId="1" fillId="17" borderId="6" xfId="0" applyNumberFormat="1" applyFont="1" applyFill="1" applyBorder="1" applyAlignment="1">
      <alignment horizontal="left" vertical="center"/>
    </xf>
    <xf numFmtId="0" fontId="9" fillId="14" borderId="13" xfId="0" applyFont="1" applyFill="1" applyBorder="1" applyAlignment="1">
      <alignment vertical="center"/>
    </xf>
    <xf numFmtId="3" fontId="9" fillId="0" borderId="14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3" fontId="1" fillId="0" borderId="8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8" xfId="0" applyNumberFormat="1" applyFont="1" applyBorder="1" applyAlignment="1">
      <alignment horizontal="center"/>
    </xf>
    <xf numFmtId="3" fontId="9" fillId="0" borderId="14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3" fontId="9" fillId="0" borderId="6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left"/>
    </xf>
    <xf numFmtId="166" fontId="1" fillId="0" borderId="0" xfId="0" applyNumberFormat="1" applyFont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3" fontId="1" fillId="18" borderId="0" xfId="0" applyNumberFormat="1" applyFont="1" applyFill="1"/>
    <xf numFmtId="3" fontId="9" fillId="19" borderId="14" xfId="0" applyNumberFormat="1" applyFont="1" applyFill="1" applyBorder="1" applyAlignment="1">
      <alignment horizontal="left"/>
    </xf>
    <xf numFmtId="3" fontId="9" fillId="19" borderId="16" xfId="0" applyNumberFormat="1" applyFont="1" applyFill="1" applyBorder="1" applyAlignment="1">
      <alignment horizontal="left"/>
    </xf>
    <xf numFmtId="3" fontId="9" fillId="19" borderId="14" xfId="0" applyNumberFormat="1" applyFont="1" applyFill="1" applyBorder="1" applyAlignment="1">
      <alignment horizontal="center"/>
    </xf>
    <xf numFmtId="3" fontId="9" fillId="19" borderId="15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center"/>
    </xf>
    <xf numFmtId="9" fontId="1" fillId="0" borderId="0" xfId="0" applyNumberFormat="1" applyFont="1" applyAlignment="1">
      <alignment vertical="center"/>
    </xf>
    <xf numFmtId="9" fontId="1" fillId="0" borderId="6" xfId="0" applyNumberFormat="1" applyFont="1" applyBorder="1" applyAlignment="1">
      <alignment horizontal="left" vertical="center"/>
    </xf>
    <xf numFmtId="9" fontId="1" fillId="0" borderId="0" xfId="0" applyNumberFormat="1" applyFont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14" borderId="0" xfId="0" applyNumberFormat="1" applyFont="1" applyFill="1" applyAlignment="1">
      <alignment horizontal="left"/>
    </xf>
    <xf numFmtId="3" fontId="1" fillId="14" borderId="6" xfId="0" applyNumberFormat="1" applyFont="1" applyFill="1" applyBorder="1" applyAlignment="1">
      <alignment horizontal="center"/>
    </xf>
    <xf numFmtId="3" fontId="1" fillId="20" borderId="0" xfId="0" applyNumberFormat="1" applyFont="1" applyFill="1" applyAlignment="1">
      <alignment horizontal="left"/>
    </xf>
    <xf numFmtId="3" fontId="1" fillId="20" borderId="6" xfId="0" applyNumberFormat="1" applyFont="1" applyFill="1" applyBorder="1" applyAlignment="1">
      <alignment horizontal="center"/>
    </xf>
    <xf numFmtId="3" fontId="1" fillId="20" borderId="0" xfId="0" applyNumberFormat="1" applyFont="1" applyFill="1" applyAlignment="1">
      <alignment horizontal="center"/>
    </xf>
    <xf numFmtId="3" fontId="1" fillId="20" borderId="8" xfId="0" applyNumberFormat="1" applyFont="1" applyFill="1" applyBorder="1" applyAlignment="1">
      <alignment horizontal="center"/>
    </xf>
    <xf numFmtId="3" fontId="1" fillId="20" borderId="13" xfId="0" applyNumberFormat="1" applyFont="1" applyFill="1" applyBorder="1" applyAlignment="1">
      <alignment horizontal="left"/>
    </xf>
    <xf numFmtId="0" fontId="9" fillId="0" borderId="14" xfId="0" applyFont="1" applyBorder="1" applyAlignment="1">
      <alignment vertical="center"/>
    </xf>
    <xf numFmtId="0" fontId="9" fillId="0" borderId="16" xfId="0" applyFont="1" applyBorder="1" applyAlignment="1">
      <alignment horizontal="left" vertical="center"/>
    </xf>
    <xf numFmtId="3" fontId="9" fillId="0" borderId="14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1" fillId="20" borderId="6" xfId="0" applyFont="1" applyFill="1" applyBorder="1" applyAlignment="1">
      <alignment horizontal="left" vertical="center"/>
    </xf>
    <xf numFmtId="3" fontId="9" fillId="0" borderId="14" xfId="0" applyNumberFormat="1" applyFont="1" applyBorder="1" applyAlignment="1">
      <alignment vertical="center"/>
    </xf>
    <xf numFmtId="3" fontId="9" fillId="0" borderId="16" xfId="0" applyNumberFormat="1" applyFont="1" applyBorder="1" applyAlignment="1">
      <alignment horizontal="left" vertical="center"/>
    </xf>
    <xf numFmtId="9" fontId="1" fillId="20" borderId="0" xfId="0" applyNumberFormat="1" applyFont="1" applyFill="1" applyAlignment="1">
      <alignment horizontal="left"/>
    </xf>
    <xf numFmtId="9" fontId="1" fillId="20" borderId="6" xfId="0" applyNumberFormat="1" applyFont="1" applyFill="1" applyBorder="1" applyAlignment="1">
      <alignment horizontal="left" vertical="center"/>
    </xf>
    <xf numFmtId="9" fontId="1" fillId="20" borderId="0" xfId="0" applyNumberFormat="1" applyFont="1" applyFill="1" applyAlignment="1">
      <alignment horizontal="center"/>
    </xf>
    <xf numFmtId="9" fontId="1" fillId="20" borderId="8" xfId="0" applyNumberFormat="1" applyFont="1" applyFill="1" applyBorder="1" applyAlignment="1">
      <alignment horizontal="center"/>
    </xf>
    <xf numFmtId="0" fontId="1" fillId="0" borderId="6" xfId="0" applyFont="1" applyBorder="1"/>
    <xf numFmtId="0" fontId="9" fillId="0" borderId="16" xfId="0" applyFont="1" applyBorder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3" fontId="12" fillId="20" borderId="0" xfId="0" applyNumberFormat="1" applyFont="1" applyFill="1" applyAlignment="1">
      <alignment horizontal="left"/>
    </xf>
    <xf numFmtId="0" fontId="12" fillId="20" borderId="6" xfId="0" applyFont="1" applyFill="1" applyBorder="1" applyAlignment="1">
      <alignment horizontal="left" vertical="center"/>
    </xf>
    <xf numFmtId="3" fontId="12" fillId="20" borderId="0" xfId="0" applyNumberFormat="1" applyFont="1" applyFill="1" applyAlignment="1">
      <alignment horizontal="center"/>
    </xf>
    <xf numFmtId="3" fontId="12" fillId="20" borderId="8" xfId="0" applyNumberFormat="1" applyFont="1" applyFill="1" applyBorder="1" applyAlignment="1">
      <alignment horizontal="center"/>
    </xf>
    <xf numFmtId="3" fontId="9" fillId="14" borderId="14" xfId="0" applyNumberFormat="1" applyFont="1" applyFill="1" applyBorder="1" applyAlignment="1">
      <alignment horizontal="center" vertical="center"/>
    </xf>
    <xf numFmtId="3" fontId="9" fillId="14" borderId="15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0" fontId="1" fillId="0" borderId="13" xfId="0" applyFont="1" applyBorder="1"/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/>
    <xf numFmtId="1" fontId="8" fillId="21" borderId="13" xfId="0" applyNumberFormat="1" applyFont="1" applyFill="1" applyBorder="1" applyAlignment="1">
      <alignment vertical="center" wrapText="1"/>
    </xf>
    <xf numFmtId="1" fontId="1" fillId="22" borderId="18" xfId="0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/>
    </xf>
    <xf numFmtId="0" fontId="9" fillId="15" borderId="13" xfId="0" applyFont="1" applyFill="1" applyBorder="1" applyAlignment="1">
      <alignment vertical="center"/>
    </xf>
    <xf numFmtId="0" fontId="9" fillId="15" borderId="18" xfId="0" applyFont="1" applyFill="1" applyBorder="1" applyAlignment="1">
      <alignment horizontal="left" vertical="center"/>
    </xf>
    <xf numFmtId="3" fontId="1" fillId="15" borderId="19" xfId="0" applyNumberFormat="1" applyFont="1" applyFill="1" applyBorder="1" applyAlignment="1">
      <alignment horizontal="center"/>
    </xf>
    <xf numFmtId="0" fontId="3" fillId="0" borderId="19" xfId="0" applyFont="1" applyBorder="1"/>
    <xf numFmtId="3" fontId="1" fillId="15" borderId="24" xfId="0" applyNumberFormat="1" applyFont="1" applyFill="1" applyBorder="1" applyAlignment="1">
      <alignment horizontal="center"/>
    </xf>
    <xf numFmtId="0" fontId="3" fillId="0" borderId="25" xfId="0" applyFont="1" applyBorder="1"/>
    <xf numFmtId="0" fontId="3" fillId="0" borderId="22" xfId="0" applyFont="1" applyBorder="1"/>
    <xf numFmtId="0" fontId="1" fillId="15" borderId="19" xfId="0" applyFont="1" applyFill="1" applyBorder="1" applyAlignment="1">
      <alignment horizontal="center"/>
    </xf>
    <xf numFmtId="0" fontId="3" fillId="0" borderId="20" xfId="0" applyFont="1" applyBorder="1"/>
    <xf numFmtId="0" fontId="1" fillId="15" borderId="19" xfId="0" applyFont="1" applyFill="1" applyBorder="1"/>
    <xf numFmtId="0" fontId="1" fillId="0" borderId="23" xfId="0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/>
    </xf>
    <xf numFmtId="14" fontId="1" fillId="0" borderId="27" xfId="0" applyNumberFormat="1" applyFont="1" applyBorder="1" applyAlignment="1">
      <alignment horizontal="center"/>
    </xf>
    <xf numFmtId="14" fontId="1" fillId="0" borderId="28" xfId="0" applyNumberFormat="1" applyFont="1" applyBorder="1" applyAlignment="1">
      <alignment horizontal="center"/>
    </xf>
    <xf numFmtId="14" fontId="1" fillId="0" borderId="29" xfId="0" applyNumberFormat="1" applyFont="1" applyBorder="1" applyAlignment="1">
      <alignment horizontal="center"/>
    </xf>
    <xf numFmtId="14" fontId="1" fillId="0" borderId="30" xfId="0" applyNumberFormat="1" applyFont="1" applyBorder="1" applyAlignment="1">
      <alignment horizontal="center" vertical="center"/>
    </xf>
    <xf numFmtId="3" fontId="10" fillId="16" borderId="13" xfId="0" applyNumberFormat="1" applyFont="1" applyFill="1" applyBorder="1" applyAlignment="1">
      <alignment horizontal="left" vertical="center"/>
    </xf>
    <xf numFmtId="3" fontId="11" fillId="16" borderId="18" xfId="0" applyNumberFormat="1" applyFont="1" applyFill="1" applyBorder="1" applyAlignment="1">
      <alignment horizontal="center" vertical="center"/>
    </xf>
    <xf numFmtId="3" fontId="11" fillId="16" borderId="31" xfId="0" applyNumberFormat="1" applyFont="1" applyFill="1" applyBorder="1" applyAlignment="1">
      <alignment horizontal="center" vertical="center"/>
    </xf>
    <xf numFmtId="3" fontId="11" fillId="16" borderId="13" xfId="0" applyNumberFormat="1" applyFont="1" applyFill="1" applyBorder="1" applyAlignment="1">
      <alignment horizontal="center" vertical="center"/>
    </xf>
    <xf numFmtId="3" fontId="11" fillId="16" borderId="32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left" vertical="center"/>
    </xf>
    <xf numFmtId="3" fontId="1" fillId="0" borderId="18" xfId="0" applyNumberFormat="1" applyFont="1" applyBorder="1" applyAlignment="1">
      <alignment horizontal="center" vertical="center"/>
    </xf>
    <xf numFmtId="3" fontId="1" fillId="23" borderId="31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left" vertical="center"/>
    </xf>
    <xf numFmtId="3" fontId="1" fillId="0" borderId="18" xfId="0" applyNumberFormat="1" applyFont="1" applyBorder="1" applyAlignment="1">
      <alignment horizontal="right" vertical="center"/>
    </xf>
    <xf numFmtId="3" fontId="1" fillId="23" borderId="13" xfId="0" applyNumberFormat="1" applyFont="1" applyFill="1" applyBorder="1" applyAlignment="1">
      <alignment horizontal="center" vertical="center"/>
    </xf>
    <xf numFmtId="3" fontId="1" fillId="23" borderId="32" xfId="0" applyNumberFormat="1" applyFont="1" applyFill="1" applyBorder="1" applyAlignment="1">
      <alignment horizontal="center" vertical="center"/>
    </xf>
    <xf numFmtId="3" fontId="1" fillId="22" borderId="31" xfId="0" applyNumberFormat="1" applyFont="1" applyFill="1" applyBorder="1" applyAlignment="1">
      <alignment horizontal="center" vertical="center"/>
    </xf>
    <xf numFmtId="3" fontId="1" fillId="22" borderId="13" xfId="0" applyNumberFormat="1" applyFont="1" applyFill="1" applyBorder="1" applyAlignment="1">
      <alignment horizontal="center" vertical="center"/>
    </xf>
    <xf numFmtId="3" fontId="1" fillId="22" borderId="32" xfId="0" applyNumberFormat="1" applyFont="1" applyFill="1" applyBorder="1" applyAlignment="1">
      <alignment horizontal="center" vertical="center"/>
    </xf>
    <xf numFmtId="3" fontId="1" fillId="22" borderId="18" xfId="0" applyNumberFormat="1" applyFont="1" applyFill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14" borderId="13" xfId="0" applyNumberFormat="1" applyFont="1" applyFill="1" applyBorder="1" applyAlignment="1">
      <alignment horizontal="left" vertical="center"/>
    </xf>
    <xf numFmtId="3" fontId="1" fillId="14" borderId="18" xfId="0" applyNumberFormat="1" applyFont="1" applyFill="1" applyBorder="1" applyAlignment="1">
      <alignment horizontal="center" vertical="center"/>
    </xf>
    <xf numFmtId="3" fontId="1" fillId="21" borderId="31" xfId="0" applyNumberFormat="1" applyFont="1" applyFill="1" applyBorder="1" applyAlignment="1">
      <alignment horizontal="center" vertical="center"/>
    </xf>
    <xf numFmtId="3" fontId="1" fillId="21" borderId="13" xfId="0" applyNumberFormat="1" applyFont="1" applyFill="1" applyBorder="1" applyAlignment="1">
      <alignment horizontal="center" vertical="center"/>
    </xf>
    <xf numFmtId="3" fontId="1" fillId="21" borderId="32" xfId="0" applyNumberFormat="1" applyFont="1" applyFill="1" applyBorder="1" applyAlignment="1">
      <alignment horizontal="center" vertical="center"/>
    </xf>
    <xf numFmtId="3" fontId="1" fillId="21" borderId="18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/>
    <xf numFmtId="3" fontId="1" fillId="17" borderId="13" xfId="0" applyNumberFormat="1" applyFont="1" applyFill="1" applyBorder="1" applyAlignment="1">
      <alignment horizontal="left" vertical="center"/>
    </xf>
    <xf numFmtId="0" fontId="1" fillId="17" borderId="18" xfId="0" applyFont="1" applyFill="1" applyBorder="1" applyAlignment="1">
      <alignment horizontal="left" vertical="center"/>
    </xf>
    <xf numFmtId="3" fontId="1" fillId="17" borderId="31" xfId="0" applyNumberFormat="1" applyFont="1" applyFill="1" applyBorder="1" applyAlignment="1">
      <alignment horizontal="center" vertical="center"/>
    </xf>
    <xf numFmtId="3" fontId="1" fillId="24" borderId="13" xfId="0" applyNumberFormat="1" applyFont="1" applyFill="1" applyBorder="1" applyAlignment="1">
      <alignment horizontal="center" vertical="center"/>
    </xf>
    <xf numFmtId="3" fontId="1" fillId="17" borderId="13" xfId="0" applyNumberFormat="1" applyFont="1" applyFill="1" applyBorder="1" applyAlignment="1">
      <alignment horizontal="center" vertical="center"/>
    </xf>
    <xf numFmtId="3" fontId="1" fillId="17" borderId="32" xfId="0" applyNumberFormat="1" applyFont="1" applyFill="1" applyBorder="1" applyAlignment="1">
      <alignment horizontal="center" vertical="center"/>
    </xf>
    <xf numFmtId="3" fontId="1" fillId="17" borderId="18" xfId="0" applyNumberFormat="1" applyFont="1" applyFill="1" applyBorder="1" applyAlignment="1">
      <alignment horizontal="center" vertical="center"/>
    </xf>
    <xf numFmtId="0" fontId="9" fillId="0" borderId="13" xfId="0" applyFont="1" applyBorder="1"/>
    <xf numFmtId="0" fontId="9" fillId="14" borderId="18" xfId="0" applyFont="1" applyFill="1" applyBorder="1" applyAlignment="1">
      <alignment horizontal="left" vertical="center"/>
    </xf>
    <xf numFmtId="3" fontId="9" fillId="23" borderId="31" xfId="0" applyNumberFormat="1" applyFont="1" applyFill="1" applyBorder="1" applyAlignment="1">
      <alignment horizontal="center"/>
    </xf>
    <xf numFmtId="3" fontId="9" fillId="23" borderId="13" xfId="0" applyNumberFormat="1" applyFont="1" applyFill="1" applyBorder="1" applyAlignment="1">
      <alignment horizontal="center"/>
    </xf>
    <xf numFmtId="3" fontId="9" fillId="23" borderId="32" xfId="0" applyNumberFormat="1" applyFont="1" applyFill="1" applyBorder="1" applyAlignment="1">
      <alignment horizontal="center"/>
    </xf>
    <xf numFmtId="3" fontId="9" fillId="21" borderId="31" xfId="0" applyNumberFormat="1" applyFont="1" applyFill="1" applyBorder="1" applyAlignment="1">
      <alignment horizontal="center"/>
    </xf>
    <xf numFmtId="3" fontId="9" fillId="21" borderId="13" xfId="0" applyNumberFormat="1" applyFont="1" applyFill="1" applyBorder="1" applyAlignment="1">
      <alignment horizontal="center"/>
    </xf>
    <xf numFmtId="3" fontId="9" fillId="21" borderId="32" xfId="0" applyNumberFormat="1" applyFont="1" applyFill="1" applyBorder="1" applyAlignment="1">
      <alignment horizontal="center"/>
    </xf>
    <xf numFmtId="3" fontId="9" fillId="21" borderId="18" xfId="0" applyNumberFormat="1" applyFont="1" applyFill="1" applyBorder="1" applyAlignment="1">
      <alignment horizontal="center"/>
    </xf>
    <xf numFmtId="3" fontId="9" fillId="14" borderId="18" xfId="0" applyNumberFormat="1" applyFont="1" applyFill="1" applyBorder="1" applyAlignment="1">
      <alignment horizontal="center"/>
    </xf>
    <xf numFmtId="3" fontId="1" fillId="14" borderId="13" xfId="0" applyNumberFormat="1" applyFont="1" applyFill="1" applyBorder="1"/>
    <xf numFmtId="3" fontId="1" fillId="14" borderId="18" xfId="0" applyNumberFormat="1" applyFont="1" applyFill="1" applyBorder="1" applyAlignment="1">
      <alignment horizontal="center"/>
    </xf>
    <xf numFmtId="3" fontId="1" fillId="14" borderId="31" xfId="0" applyNumberFormat="1" applyFont="1" applyFill="1" applyBorder="1" applyAlignment="1">
      <alignment horizontal="center"/>
    </xf>
    <xf numFmtId="3" fontId="1" fillId="14" borderId="13" xfId="0" applyNumberFormat="1" applyFont="1" applyFill="1" applyBorder="1" applyAlignment="1">
      <alignment horizontal="center"/>
    </xf>
    <xf numFmtId="3" fontId="1" fillId="14" borderId="32" xfId="0" applyNumberFormat="1" applyFont="1" applyFill="1" applyBorder="1" applyAlignment="1">
      <alignment horizontal="center"/>
    </xf>
    <xf numFmtId="0" fontId="1" fillId="14" borderId="13" xfId="0" applyFont="1" applyFill="1" applyBorder="1" applyAlignment="1">
      <alignment vertical="center"/>
    </xf>
    <xf numFmtId="0" fontId="1" fillId="14" borderId="18" xfId="0" applyFont="1" applyFill="1" applyBorder="1" applyAlignment="1">
      <alignment horizontal="left" vertical="center"/>
    </xf>
    <xf numFmtId="3" fontId="1" fillId="14" borderId="31" xfId="0" applyNumberFormat="1" applyFont="1" applyFill="1" applyBorder="1" applyAlignment="1">
      <alignment horizontal="center" vertical="center"/>
    </xf>
    <xf numFmtId="9" fontId="1" fillId="14" borderId="31" xfId="0" applyNumberFormat="1" applyFont="1" applyFill="1" applyBorder="1" applyAlignment="1">
      <alignment horizontal="center"/>
    </xf>
    <xf numFmtId="3" fontId="9" fillId="14" borderId="13" xfId="0" applyNumberFormat="1" applyFont="1" applyFill="1" applyBorder="1" applyAlignment="1">
      <alignment horizontal="left"/>
    </xf>
    <xf numFmtId="3" fontId="1" fillId="23" borderId="31" xfId="0" applyNumberFormat="1" applyFont="1" applyFill="1" applyBorder="1" applyAlignment="1">
      <alignment horizontal="center"/>
    </xf>
    <xf numFmtId="3" fontId="1" fillId="23" borderId="13" xfId="0" applyNumberFormat="1" applyFont="1" applyFill="1" applyBorder="1" applyAlignment="1">
      <alignment horizontal="center"/>
    </xf>
    <xf numFmtId="3" fontId="1" fillId="23" borderId="32" xfId="0" applyNumberFormat="1" applyFont="1" applyFill="1" applyBorder="1" applyAlignment="1">
      <alignment horizontal="center"/>
    </xf>
    <xf numFmtId="3" fontId="1" fillId="21" borderId="31" xfId="0" applyNumberFormat="1" applyFont="1" applyFill="1" applyBorder="1" applyAlignment="1">
      <alignment horizontal="center"/>
    </xf>
    <xf numFmtId="3" fontId="1" fillId="21" borderId="13" xfId="0" applyNumberFormat="1" applyFont="1" applyFill="1" applyBorder="1" applyAlignment="1">
      <alignment horizontal="center"/>
    </xf>
    <xf numFmtId="3" fontId="1" fillId="21" borderId="32" xfId="0" applyNumberFormat="1" applyFont="1" applyFill="1" applyBorder="1" applyAlignment="1">
      <alignment horizontal="center"/>
    </xf>
    <xf numFmtId="3" fontId="1" fillId="21" borderId="18" xfId="0" applyNumberFormat="1" applyFont="1" applyFill="1" applyBorder="1" applyAlignment="1">
      <alignment horizontal="center"/>
    </xf>
    <xf numFmtId="9" fontId="1" fillId="14" borderId="31" xfId="0" applyNumberFormat="1" applyFont="1" applyFill="1" applyBorder="1" applyAlignment="1">
      <alignment horizontal="center" vertical="center"/>
    </xf>
    <xf numFmtId="3" fontId="9" fillId="14" borderId="31" xfId="0" applyNumberFormat="1" applyFont="1" applyFill="1" applyBorder="1" applyAlignment="1">
      <alignment horizontal="center"/>
    </xf>
    <xf numFmtId="3" fontId="9" fillId="14" borderId="13" xfId="0" applyNumberFormat="1" applyFont="1" applyFill="1" applyBorder="1" applyAlignment="1">
      <alignment horizontal="center"/>
    </xf>
    <xf numFmtId="3" fontId="9" fillId="14" borderId="32" xfId="0" applyNumberFormat="1" applyFont="1" applyFill="1" applyBorder="1" applyAlignment="1">
      <alignment horizontal="center"/>
    </xf>
    <xf numFmtId="3" fontId="1" fillId="18" borderId="13" xfId="0" applyNumberFormat="1" applyFont="1" applyFill="1" applyBorder="1"/>
    <xf numFmtId="9" fontId="1" fillId="18" borderId="13" xfId="0" applyNumberFormat="1" applyFont="1" applyFill="1" applyBorder="1"/>
    <xf numFmtId="9" fontId="1" fillId="14" borderId="18" xfId="0" applyNumberFormat="1" applyFont="1" applyFill="1" applyBorder="1" applyAlignment="1">
      <alignment horizontal="center"/>
    </xf>
    <xf numFmtId="9" fontId="1" fillId="14" borderId="13" xfId="0" applyNumberFormat="1" applyFont="1" applyFill="1" applyBorder="1" applyAlignment="1">
      <alignment horizontal="center"/>
    </xf>
    <xf numFmtId="9" fontId="1" fillId="14" borderId="32" xfId="0" applyNumberFormat="1" applyFont="1" applyFill="1" applyBorder="1" applyAlignment="1">
      <alignment horizontal="center"/>
    </xf>
    <xf numFmtId="3" fontId="9" fillId="19" borderId="13" xfId="0" applyNumberFormat="1" applyFont="1" applyFill="1" applyBorder="1" applyAlignment="1">
      <alignment horizontal="left"/>
    </xf>
    <xf numFmtId="3" fontId="9" fillId="19" borderId="18" xfId="0" applyNumberFormat="1" applyFont="1" applyFill="1" applyBorder="1" applyAlignment="1">
      <alignment horizontal="center"/>
    </xf>
    <xf numFmtId="3" fontId="9" fillId="19" borderId="31" xfId="0" applyNumberFormat="1" applyFont="1" applyFill="1" applyBorder="1" applyAlignment="1">
      <alignment horizontal="center"/>
    </xf>
    <xf numFmtId="3" fontId="9" fillId="19" borderId="13" xfId="0" applyNumberFormat="1" applyFont="1" applyFill="1" applyBorder="1" applyAlignment="1">
      <alignment horizontal="center"/>
    </xf>
    <xf numFmtId="3" fontId="9" fillId="19" borderId="32" xfId="0" applyNumberFormat="1" applyFont="1" applyFill="1" applyBorder="1" applyAlignment="1">
      <alignment horizontal="center"/>
    </xf>
    <xf numFmtId="3" fontId="1" fillId="14" borderId="13" xfId="0" applyNumberFormat="1" applyFont="1" applyFill="1" applyBorder="1" applyAlignment="1">
      <alignment horizontal="center" vertical="center"/>
    </xf>
    <xf numFmtId="3" fontId="1" fillId="14" borderId="32" xfId="0" applyNumberFormat="1" applyFont="1" applyFill="1" applyBorder="1" applyAlignment="1">
      <alignment horizontal="center" vertical="center"/>
    </xf>
    <xf numFmtId="3" fontId="1" fillId="20" borderId="18" xfId="0" applyNumberFormat="1" applyFont="1" applyFill="1" applyBorder="1" applyAlignment="1">
      <alignment horizontal="center"/>
    </xf>
    <xf numFmtId="3" fontId="1" fillId="25" borderId="31" xfId="0" applyNumberFormat="1" applyFont="1" applyFill="1" applyBorder="1" applyAlignment="1">
      <alignment horizontal="center"/>
    </xf>
    <xf numFmtId="3" fontId="1" fillId="25" borderId="13" xfId="0" applyNumberFormat="1" applyFont="1" applyFill="1" applyBorder="1" applyAlignment="1">
      <alignment horizontal="center"/>
    </xf>
    <xf numFmtId="3" fontId="1" fillId="25" borderId="32" xfId="0" applyNumberFormat="1" applyFont="1" applyFill="1" applyBorder="1" applyAlignment="1">
      <alignment horizontal="center"/>
    </xf>
    <xf numFmtId="3" fontId="1" fillId="25" borderId="18" xfId="0" applyNumberFormat="1" applyFont="1" applyFill="1" applyBorder="1" applyAlignment="1">
      <alignment horizontal="center"/>
    </xf>
    <xf numFmtId="0" fontId="1" fillId="22" borderId="13" xfId="0" applyFont="1" applyFill="1" applyBorder="1"/>
    <xf numFmtId="0" fontId="1" fillId="22" borderId="31" xfId="0" applyFont="1" applyFill="1" applyBorder="1"/>
    <xf numFmtId="3" fontId="1" fillId="20" borderId="31" xfId="0" applyNumberFormat="1" applyFont="1" applyFill="1" applyBorder="1" applyAlignment="1">
      <alignment horizontal="center"/>
    </xf>
    <xf numFmtId="3" fontId="1" fillId="20" borderId="13" xfId="0" applyNumberFormat="1" applyFont="1" applyFill="1" applyBorder="1" applyAlignment="1">
      <alignment horizontal="center"/>
    </xf>
    <xf numFmtId="3" fontId="1" fillId="20" borderId="32" xfId="0" applyNumberFormat="1" applyFont="1" applyFill="1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1" fillId="26" borderId="13" xfId="0" applyFont="1" applyFill="1" applyBorder="1"/>
    <xf numFmtId="0" fontId="9" fillId="26" borderId="13" xfId="0" applyFont="1" applyFill="1" applyBorder="1" applyAlignment="1">
      <alignment vertical="center"/>
    </xf>
    <xf numFmtId="0" fontId="9" fillId="26" borderId="18" xfId="0" applyFont="1" applyFill="1" applyBorder="1" applyAlignment="1">
      <alignment horizontal="left" vertical="center"/>
    </xf>
    <xf numFmtId="3" fontId="9" fillId="26" borderId="31" xfId="0" applyNumberFormat="1" applyFont="1" applyFill="1" applyBorder="1" applyAlignment="1">
      <alignment horizontal="center" vertical="center"/>
    </xf>
    <xf numFmtId="3" fontId="1" fillId="20" borderId="18" xfId="0" applyNumberFormat="1" applyFont="1" applyFill="1" applyBorder="1" applyAlignment="1">
      <alignment horizontal="left"/>
    </xf>
    <xf numFmtId="9" fontId="1" fillId="0" borderId="3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8" xfId="0" applyFont="1" applyBorder="1" applyAlignment="1">
      <alignment horizontal="left" vertical="center"/>
    </xf>
    <xf numFmtId="3" fontId="9" fillId="14" borderId="31" xfId="0" applyNumberFormat="1" applyFont="1" applyFill="1" applyBorder="1" applyAlignment="1">
      <alignment horizontal="center" vertical="center"/>
    </xf>
    <xf numFmtId="9" fontId="1" fillId="20" borderId="13" xfId="0" applyNumberFormat="1" applyFont="1" applyFill="1" applyBorder="1" applyAlignment="1">
      <alignment horizontal="left"/>
    </xf>
    <xf numFmtId="9" fontId="1" fillId="20" borderId="18" xfId="0" applyNumberFormat="1" applyFont="1" applyFill="1" applyBorder="1" applyAlignment="1">
      <alignment horizontal="left"/>
    </xf>
    <xf numFmtId="9" fontId="1" fillId="20" borderId="31" xfId="0" applyNumberFormat="1" applyFont="1" applyFill="1" applyBorder="1" applyAlignment="1">
      <alignment horizontal="center"/>
    </xf>
    <xf numFmtId="9" fontId="1" fillId="20" borderId="13" xfId="0" applyNumberFormat="1" applyFont="1" applyFill="1" applyBorder="1" applyAlignment="1">
      <alignment horizontal="center"/>
    </xf>
    <xf numFmtId="9" fontId="1" fillId="20" borderId="13" xfId="0" applyNumberFormat="1" applyFont="1" applyFill="1" applyBorder="1" applyAlignment="1">
      <alignment horizontal="center" vertical="center"/>
    </xf>
    <xf numFmtId="9" fontId="1" fillId="0" borderId="18" xfId="0" applyNumberFormat="1" applyFont="1" applyBorder="1" applyAlignment="1">
      <alignment horizontal="left" vertical="center"/>
    </xf>
    <xf numFmtId="3" fontId="9" fillId="0" borderId="31" xfId="0" applyNumberFormat="1" applyFont="1" applyBorder="1" applyAlignment="1">
      <alignment horizontal="center" vertical="center"/>
    </xf>
    <xf numFmtId="3" fontId="13" fillId="14" borderId="32" xfId="0" applyNumberFormat="1" applyFont="1" applyFill="1" applyBorder="1" applyAlignment="1">
      <alignment horizontal="center" vertical="center"/>
    </xf>
    <xf numFmtId="3" fontId="13" fillId="14" borderId="13" xfId="0" applyNumberFormat="1" applyFont="1" applyFill="1" applyBorder="1" applyAlignment="1">
      <alignment horizontal="center" vertical="center"/>
    </xf>
    <xf numFmtId="3" fontId="13" fillId="14" borderId="31" xfId="0" applyNumberFormat="1" applyFont="1" applyFill="1" applyBorder="1" applyAlignment="1">
      <alignment horizontal="center" vertical="center"/>
    </xf>
    <xf numFmtId="3" fontId="13" fillId="14" borderId="18" xfId="0" applyNumberFormat="1" applyFont="1" applyFill="1" applyBorder="1" applyAlignment="1">
      <alignment horizontal="center" vertical="center"/>
    </xf>
    <xf numFmtId="3" fontId="9" fillId="14" borderId="13" xfId="0" applyNumberFormat="1" applyFont="1" applyFill="1" applyBorder="1" applyAlignment="1">
      <alignment horizontal="center" vertical="center"/>
    </xf>
    <xf numFmtId="3" fontId="9" fillId="21" borderId="13" xfId="0" applyNumberFormat="1" applyFont="1" applyFill="1" applyBorder="1" applyAlignment="1">
      <alignment horizontal="center" vertical="center"/>
    </xf>
    <xf numFmtId="3" fontId="9" fillId="14" borderId="32" xfId="0" applyNumberFormat="1" applyFont="1" applyFill="1" applyBorder="1" applyAlignment="1">
      <alignment horizontal="center" vertical="center"/>
    </xf>
    <xf numFmtId="3" fontId="9" fillId="14" borderId="18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3" fontId="13" fillId="0" borderId="32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3" fontId="13" fillId="0" borderId="13" xfId="0" applyNumberFormat="1" applyFont="1" applyBorder="1" applyAlignment="1">
      <alignment horizontal="center" vertical="center"/>
    </xf>
    <xf numFmtId="3" fontId="13" fillId="0" borderId="31" xfId="0" applyNumberFormat="1" applyFont="1" applyBorder="1" applyAlignment="1">
      <alignment horizontal="center" vertical="center"/>
    </xf>
    <xf numFmtId="3" fontId="13" fillId="0" borderId="18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right"/>
    </xf>
    <xf numFmtId="9" fontId="1" fillId="0" borderId="13" xfId="0" applyNumberFormat="1" applyFont="1" applyBorder="1" applyAlignment="1">
      <alignment horizontal="left" vertical="center"/>
    </xf>
    <xf numFmtId="9" fontId="1" fillId="0" borderId="18" xfId="0" applyNumberFormat="1" applyFont="1" applyBorder="1" applyAlignment="1">
      <alignment horizontal="right"/>
    </xf>
    <xf numFmtId="9" fontId="1" fillId="0" borderId="13" xfId="0" applyNumberFormat="1" applyFont="1" applyBorder="1" applyAlignment="1">
      <alignment horizontal="center" vertical="center"/>
    </xf>
    <xf numFmtId="9" fontId="1" fillId="0" borderId="32" xfId="0" applyNumberFormat="1" applyFont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3" fontId="15" fillId="0" borderId="18" xfId="0" applyNumberFormat="1" applyFont="1" applyBorder="1" applyAlignment="1">
      <alignment horizontal="right" vertical="center"/>
    </xf>
    <xf numFmtId="3" fontId="15" fillId="0" borderId="31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18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left" vertical="center"/>
    </xf>
    <xf numFmtId="1" fontId="1" fillId="0" borderId="18" xfId="0" applyNumberFormat="1" applyFont="1" applyBorder="1" applyAlignment="1">
      <alignment horizontal="right"/>
    </xf>
    <xf numFmtId="1" fontId="1" fillId="0" borderId="31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left" vertical="center"/>
    </xf>
    <xf numFmtId="167" fontId="1" fillId="0" borderId="18" xfId="0" applyNumberFormat="1" applyFont="1" applyBorder="1" applyAlignment="1">
      <alignment horizontal="right"/>
    </xf>
    <xf numFmtId="167" fontId="1" fillId="0" borderId="33" xfId="0" applyNumberFormat="1" applyFont="1" applyBorder="1" applyAlignment="1">
      <alignment horizontal="center" vertical="center"/>
    </xf>
    <xf numFmtId="167" fontId="1" fillId="0" borderId="34" xfId="0" applyNumberFormat="1" applyFont="1" applyBorder="1" applyAlignment="1">
      <alignment horizontal="center" vertical="center"/>
    </xf>
    <xf numFmtId="167" fontId="1" fillId="0" borderId="35" xfId="0" applyNumberFormat="1" applyFont="1" applyBorder="1" applyAlignment="1">
      <alignment horizontal="center" vertical="center"/>
    </xf>
    <xf numFmtId="167" fontId="1" fillId="0" borderId="36" xfId="0" applyNumberFormat="1" applyFont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3" fontId="9" fillId="14" borderId="0" xfId="0" applyNumberFormat="1" applyFont="1" applyFill="1" applyAlignment="1">
      <alignment horizontal="center"/>
    </xf>
    <xf numFmtId="3" fontId="1" fillId="17" borderId="0" xfId="0" applyNumberFormat="1" applyFont="1" applyFill="1" applyAlignment="1">
      <alignment horizontal="center" vertical="center"/>
    </xf>
    <xf numFmtId="3" fontId="9" fillId="14" borderId="0" xfId="0" applyNumberFormat="1" applyFont="1" applyFill="1" applyAlignment="1">
      <alignment horizontal="center" vertical="center"/>
    </xf>
    <xf numFmtId="3" fontId="12" fillId="14" borderId="0" xfId="0" applyNumberFormat="1" applyFont="1" applyFill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3" fontId="16" fillId="21" borderId="13" xfId="0" applyNumberFormat="1" applyFont="1" applyFill="1" applyBorder="1" applyAlignment="1">
      <alignment horizontal="center" vertical="center"/>
    </xf>
    <xf numFmtId="3" fontId="16" fillId="22" borderId="13" xfId="0" applyNumberFormat="1" applyFont="1" applyFill="1" applyBorder="1" applyAlignment="1">
      <alignment horizontal="center" vertical="center"/>
    </xf>
    <xf numFmtId="3" fontId="16" fillId="17" borderId="31" xfId="0" applyNumberFormat="1" applyFont="1" applyFill="1" applyBorder="1" applyAlignment="1">
      <alignment horizontal="center" vertical="center"/>
    </xf>
    <xf numFmtId="3" fontId="17" fillId="21" borderId="13" xfId="0" applyNumberFormat="1" applyFont="1" applyFill="1" applyBorder="1" applyAlignment="1">
      <alignment horizontal="center"/>
    </xf>
    <xf numFmtId="3" fontId="16" fillId="14" borderId="13" xfId="0" applyNumberFormat="1" applyFont="1" applyFill="1" applyBorder="1" applyAlignment="1">
      <alignment horizontal="center"/>
    </xf>
    <xf numFmtId="3" fontId="9" fillId="21" borderId="31" xfId="0" applyNumberFormat="1" applyFont="1" applyFill="1" applyBorder="1" applyAlignment="1">
      <alignment horizontal="center" vertical="center"/>
    </xf>
    <xf numFmtId="3" fontId="17" fillId="21" borderId="31" xfId="0" applyNumberFormat="1" applyFont="1" applyFill="1" applyBorder="1" applyAlignment="1">
      <alignment horizontal="center" vertical="center"/>
    </xf>
    <xf numFmtId="3" fontId="17" fillId="17" borderId="13" xfId="0" applyNumberFormat="1" applyFont="1" applyFill="1" applyBorder="1" applyAlignment="1">
      <alignment horizontal="center" vertical="center"/>
    </xf>
    <xf numFmtId="3" fontId="16" fillId="21" borderId="13" xfId="0" applyNumberFormat="1" applyFont="1" applyFill="1" applyBorder="1" applyAlignment="1">
      <alignment horizontal="center"/>
    </xf>
    <xf numFmtId="166" fontId="1" fillId="0" borderId="13" xfId="0" applyNumberFormat="1" applyFont="1" applyBorder="1"/>
    <xf numFmtId="166" fontId="1" fillId="14" borderId="13" xfId="0" applyNumberFormat="1" applyFont="1" applyFill="1" applyBorder="1"/>
    <xf numFmtId="166" fontId="1" fillId="14" borderId="18" xfId="0" applyNumberFormat="1" applyFont="1" applyFill="1" applyBorder="1" applyAlignment="1">
      <alignment horizontal="center"/>
    </xf>
    <xf numFmtId="166" fontId="1" fillId="14" borderId="31" xfId="0" applyNumberFormat="1" applyFont="1" applyFill="1" applyBorder="1" applyAlignment="1">
      <alignment horizontal="center"/>
    </xf>
    <xf numFmtId="166" fontId="1" fillId="14" borderId="31" xfId="0" applyNumberFormat="1" applyFont="1" applyFill="1" applyBorder="1" applyAlignment="1">
      <alignment horizontal="center" vertical="center"/>
    </xf>
    <xf numFmtId="3" fontId="16" fillId="25" borderId="13" xfId="0" applyNumberFormat="1" applyFont="1" applyFill="1" applyBorder="1" applyAlignment="1">
      <alignment horizontal="center"/>
    </xf>
    <xf numFmtId="0" fontId="9" fillId="27" borderId="13" xfId="0" applyFont="1" applyFill="1" applyBorder="1" applyAlignment="1">
      <alignment vertical="center"/>
    </xf>
    <xf numFmtId="0" fontId="9" fillId="27" borderId="18" xfId="0" applyFont="1" applyFill="1" applyBorder="1" applyAlignment="1">
      <alignment horizontal="left" vertical="center"/>
    </xf>
    <xf numFmtId="3" fontId="9" fillId="28" borderId="31" xfId="0" applyNumberFormat="1" applyFont="1" applyFill="1" applyBorder="1" applyAlignment="1">
      <alignment horizontal="center" vertical="center"/>
    </xf>
    <xf numFmtId="9" fontId="1" fillId="20" borderId="31" xfId="0" applyNumberFormat="1" applyFont="1" applyFill="1" applyBorder="1" applyAlignment="1">
      <alignment horizontal="center" vertical="center"/>
    </xf>
    <xf numFmtId="0" fontId="18" fillId="14" borderId="20" xfId="0" applyFont="1" applyFill="1" applyBorder="1" applyAlignment="1">
      <alignment horizontal="center" vertical="center" wrapText="1"/>
    </xf>
    <xf numFmtId="0" fontId="18" fillId="14" borderId="37" xfId="0" applyFont="1" applyFill="1" applyBorder="1" applyAlignment="1">
      <alignment horizontal="center" vertical="center" wrapText="1"/>
    </xf>
    <xf numFmtId="0" fontId="19" fillId="14" borderId="19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left" vertical="center"/>
    </xf>
    <xf numFmtId="0" fontId="20" fillId="15" borderId="6" xfId="0" applyFont="1" applyFill="1" applyBorder="1" applyAlignment="1">
      <alignment horizontal="center" vertical="center"/>
    </xf>
    <xf numFmtId="3" fontId="19" fillId="15" borderId="38" xfId="0" applyNumberFormat="1" applyFont="1" applyFill="1" applyBorder="1" applyAlignment="1">
      <alignment horizontal="center"/>
    </xf>
    <xf numFmtId="0" fontId="21" fillId="0" borderId="0" xfId="0" applyFont="1"/>
    <xf numFmtId="0" fontId="21" fillId="0" borderId="6" xfId="0" applyFont="1" applyBorder="1"/>
    <xf numFmtId="3" fontId="19" fillId="15" borderId="39" xfId="0" applyNumberFormat="1" applyFont="1" applyFill="1" applyBorder="1" applyAlignment="1">
      <alignment horizontal="center"/>
    </xf>
    <xf numFmtId="0" fontId="21" fillId="0" borderId="9" xfId="0" applyFont="1" applyBorder="1"/>
    <xf numFmtId="0" fontId="21" fillId="0" borderId="40" xfId="0" applyFont="1" applyBorder="1"/>
    <xf numFmtId="0" fontId="16" fillId="15" borderId="38" xfId="0" applyFont="1" applyFill="1" applyBorder="1" applyAlignment="1">
      <alignment horizontal="center"/>
    </xf>
    <xf numFmtId="0" fontId="16" fillId="15" borderId="39" xfId="0" applyFont="1" applyFill="1" applyBorder="1" applyAlignment="1">
      <alignment horizontal="center"/>
    </xf>
    <xf numFmtId="0" fontId="1" fillId="15" borderId="39" xfId="0" applyFont="1" applyFill="1" applyBorder="1" applyAlignment="1">
      <alignment horizontal="center"/>
    </xf>
    <xf numFmtId="0" fontId="16" fillId="15" borderId="39" xfId="0" applyFont="1" applyFill="1" applyBorder="1"/>
    <xf numFmtId="0" fontId="19" fillId="0" borderId="9" xfId="0" applyFont="1" applyBorder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14" fontId="22" fillId="0" borderId="41" xfId="0" applyNumberFormat="1" applyFont="1" applyBorder="1" applyAlignment="1">
      <alignment horizontal="center"/>
    </xf>
    <xf numFmtId="14" fontId="22" fillId="0" borderId="19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center" vertical="center"/>
    </xf>
    <xf numFmtId="3" fontId="20" fillId="17" borderId="0" xfId="0" applyNumberFormat="1" applyFont="1" applyFill="1" applyAlignment="1">
      <alignment horizontal="left" vertical="center"/>
    </xf>
    <xf numFmtId="3" fontId="19" fillId="17" borderId="6" xfId="0" applyNumberFormat="1" applyFont="1" applyFill="1" applyBorder="1" applyAlignment="1">
      <alignment horizontal="center" vertical="center"/>
    </xf>
    <xf numFmtId="3" fontId="20" fillId="17" borderId="38" xfId="0" applyNumberFormat="1" applyFont="1" applyFill="1" applyBorder="1" applyAlignment="1">
      <alignment horizontal="center" vertical="center"/>
    </xf>
    <xf numFmtId="3" fontId="19" fillId="0" borderId="6" xfId="0" applyNumberFormat="1" applyFont="1" applyBorder="1" applyAlignment="1">
      <alignment horizontal="center" vertical="center"/>
    </xf>
    <xf numFmtId="3" fontId="19" fillId="0" borderId="38" xfId="0" applyNumberFormat="1" applyFont="1" applyBorder="1" applyAlignment="1">
      <alignment horizontal="center" vertical="center"/>
    </xf>
    <xf numFmtId="3" fontId="20" fillId="29" borderId="0" xfId="0" applyNumberFormat="1" applyFont="1" applyFill="1" applyAlignment="1">
      <alignment horizontal="left" vertical="center"/>
    </xf>
    <xf numFmtId="3" fontId="20" fillId="29" borderId="6" xfId="0" applyNumberFormat="1" applyFont="1" applyFill="1" applyBorder="1" applyAlignment="1">
      <alignment horizontal="center" vertical="center"/>
    </xf>
    <xf numFmtId="3" fontId="19" fillId="23" borderId="38" xfId="0" applyNumberFormat="1" applyFont="1" applyFill="1" applyBorder="1" applyAlignment="1">
      <alignment horizontal="center" vertical="center"/>
    </xf>
    <xf numFmtId="3" fontId="19" fillId="29" borderId="0" xfId="0" applyNumberFormat="1" applyFont="1" applyFill="1" applyAlignment="1">
      <alignment horizontal="center" vertical="center"/>
    </xf>
    <xf numFmtId="3" fontId="19" fillId="29" borderId="38" xfId="0" applyNumberFormat="1" applyFont="1" applyFill="1" applyBorder="1" applyAlignment="1">
      <alignment horizontal="center" vertical="center"/>
    </xf>
    <xf numFmtId="3" fontId="19" fillId="29" borderId="6" xfId="0" applyNumberFormat="1" applyFont="1" applyFill="1" applyBorder="1" applyAlignment="1">
      <alignment horizontal="center" vertical="center"/>
    </xf>
    <xf numFmtId="3" fontId="20" fillId="0" borderId="0" xfId="0" applyNumberFormat="1" applyFont="1" applyAlignment="1">
      <alignment horizontal="left" vertical="center"/>
    </xf>
    <xf numFmtId="3" fontId="20" fillId="0" borderId="6" xfId="0" applyNumberFormat="1" applyFont="1" applyBorder="1" applyAlignment="1">
      <alignment horizontal="center" vertical="center"/>
    </xf>
    <xf numFmtId="0" fontId="20" fillId="0" borderId="0" xfId="0" applyFont="1"/>
    <xf numFmtId="3" fontId="20" fillId="0" borderId="38" xfId="0" applyNumberFormat="1" applyFont="1" applyBorder="1" applyAlignment="1">
      <alignment horizontal="center" vertical="center"/>
    </xf>
    <xf numFmtId="3" fontId="20" fillId="29" borderId="38" xfId="0" applyNumberFormat="1" applyFont="1" applyFill="1" applyBorder="1" applyAlignment="1">
      <alignment horizontal="center" vertical="center"/>
    </xf>
    <xf numFmtId="3" fontId="19" fillId="14" borderId="0" xfId="0" applyNumberFormat="1" applyFont="1" applyFill="1" applyAlignment="1">
      <alignment horizontal="left"/>
    </xf>
    <xf numFmtId="3" fontId="19" fillId="14" borderId="6" xfId="0" applyNumberFormat="1" applyFont="1" applyFill="1" applyBorder="1" applyAlignment="1">
      <alignment horizontal="left" vertical="center"/>
    </xf>
    <xf numFmtId="3" fontId="19" fillId="14" borderId="0" xfId="0" applyNumberFormat="1" applyFont="1" applyFill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19" fillId="0" borderId="6" xfId="0" applyNumberFormat="1" applyFont="1" applyBorder="1" applyAlignment="1">
      <alignment horizontal="left" vertical="center"/>
    </xf>
    <xf numFmtId="3" fontId="20" fillId="0" borderId="0" xfId="0" applyNumberFormat="1" applyFont="1" applyAlignment="1">
      <alignment horizontal="center" vertical="center"/>
    </xf>
    <xf numFmtId="3" fontId="19" fillId="23" borderId="20" xfId="0" applyNumberFormat="1" applyFont="1" applyFill="1" applyBorder="1" applyAlignment="1">
      <alignment horizontal="center" vertical="center"/>
    </xf>
    <xf numFmtId="3" fontId="19" fillId="23" borderId="42" xfId="0" applyNumberFormat="1" applyFont="1" applyFill="1" applyBorder="1" applyAlignment="1">
      <alignment horizontal="center" vertical="center"/>
    </xf>
    <xf numFmtId="3" fontId="19" fillId="22" borderId="43" xfId="0" applyNumberFormat="1" applyFont="1" applyFill="1" applyBorder="1" applyAlignment="1">
      <alignment horizontal="center" vertical="center"/>
    </xf>
    <xf numFmtId="3" fontId="19" fillId="21" borderId="42" xfId="0" applyNumberFormat="1" applyFont="1" applyFill="1" applyBorder="1" applyAlignment="1">
      <alignment horizontal="center" vertical="center"/>
    </xf>
    <xf numFmtId="3" fontId="19" fillId="22" borderId="42" xfId="0" applyNumberFormat="1" applyFont="1" applyFill="1" applyBorder="1" applyAlignment="1">
      <alignment horizontal="center" vertical="center"/>
    </xf>
    <xf numFmtId="3" fontId="19" fillId="22" borderId="44" xfId="0" applyNumberFormat="1" applyFont="1" applyFill="1" applyBorder="1" applyAlignment="1">
      <alignment horizontal="center" vertical="center"/>
    </xf>
    <xf numFmtId="3" fontId="19" fillId="22" borderId="20" xfId="0" applyNumberFormat="1" applyFont="1" applyFill="1" applyBorder="1" applyAlignment="1">
      <alignment horizontal="center" vertical="center"/>
    </xf>
    <xf numFmtId="3" fontId="19" fillId="23" borderId="0" xfId="0" applyNumberFormat="1" applyFont="1" applyFill="1" applyAlignment="1">
      <alignment horizontal="center" vertical="center"/>
    </xf>
    <xf numFmtId="3" fontId="19" fillId="21" borderId="38" xfId="0" applyNumberFormat="1" applyFont="1" applyFill="1" applyBorder="1" applyAlignment="1">
      <alignment horizontal="center" vertical="center"/>
    </xf>
    <xf numFmtId="3" fontId="19" fillId="22" borderId="0" xfId="0" applyNumberFormat="1" applyFont="1" applyFill="1" applyAlignment="1">
      <alignment horizontal="center" vertical="center"/>
    </xf>
    <xf numFmtId="3" fontId="19" fillId="22" borderId="6" xfId="0" applyNumberFormat="1" applyFont="1" applyFill="1" applyBorder="1" applyAlignment="1">
      <alignment horizontal="center" vertical="center"/>
    </xf>
    <xf numFmtId="3" fontId="19" fillId="21" borderId="0" xfId="0" applyNumberFormat="1" applyFont="1" applyFill="1" applyAlignment="1">
      <alignment horizontal="center" vertical="center"/>
    </xf>
    <xf numFmtId="3" fontId="19" fillId="21" borderId="6" xfId="0" applyNumberFormat="1" applyFont="1" applyFill="1" applyBorder="1" applyAlignment="1">
      <alignment horizontal="center" vertical="center"/>
    </xf>
    <xf numFmtId="3" fontId="23" fillId="23" borderId="20" xfId="0" applyNumberFormat="1" applyFont="1" applyFill="1" applyBorder="1" applyAlignment="1">
      <alignment horizontal="center" vertical="center"/>
    </xf>
    <xf numFmtId="3" fontId="19" fillId="21" borderId="43" xfId="0" applyNumberFormat="1" applyFont="1" applyFill="1" applyBorder="1" applyAlignment="1">
      <alignment horizontal="center" vertical="center"/>
    </xf>
    <xf numFmtId="3" fontId="19" fillId="21" borderId="44" xfId="0" applyNumberFormat="1" applyFont="1" applyFill="1" applyBorder="1" applyAlignment="1">
      <alignment horizontal="center" vertical="center"/>
    </xf>
    <xf numFmtId="3" fontId="1" fillId="0" borderId="6" xfId="0" applyNumberFormat="1" applyFont="1" applyBorder="1"/>
    <xf numFmtId="3" fontId="1" fillId="22" borderId="38" xfId="0" applyNumberFormat="1" applyFont="1" applyFill="1" applyBorder="1"/>
    <xf numFmtId="3" fontId="1" fillId="22" borderId="0" xfId="0" applyNumberFormat="1" applyFont="1" applyFill="1"/>
    <xf numFmtId="3" fontId="1" fillId="22" borderId="6" xfId="0" applyNumberFormat="1" applyFont="1" applyFill="1" applyBorder="1"/>
    <xf numFmtId="3" fontId="20" fillId="18" borderId="0" xfId="0" applyNumberFormat="1" applyFont="1" applyFill="1" applyAlignment="1">
      <alignment horizontal="left" vertical="center"/>
    </xf>
    <xf numFmtId="3" fontId="19" fillId="18" borderId="6" xfId="0" applyNumberFormat="1" applyFont="1" applyFill="1" applyBorder="1" applyAlignment="1">
      <alignment horizontal="center" vertical="center"/>
    </xf>
    <xf numFmtId="3" fontId="19" fillId="30" borderId="38" xfId="0" applyNumberFormat="1" applyFont="1" applyFill="1" applyBorder="1" applyAlignment="1">
      <alignment horizontal="center" vertical="center"/>
    </xf>
    <xf numFmtId="3" fontId="19" fillId="30" borderId="0" xfId="0" applyNumberFormat="1" applyFont="1" applyFill="1" applyAlignment="1">
      <alignment horizontal="center" vertical="center"/>
    </xf>
    <xf numFmtId="3" fontId="19" fillId="30" borderId="6" xfId="0" applyNumberFormat="1" applyFont="1" applyFill="1" applyBorder="1" applyAlignment="1">
      <alignment horizontal="center" vertical="center"/>
    </xf>
    <xf numFmtId="3" fontId="20" fillId="31" borderId="0" xfId="0" applyNumberFormat="1" applyFont="1" applyFill="1" applyAlignment="1">
      <alignment horizontal="left" vertical="center"/>
    </xf>
    <xf numFmtId="3" fontId="19" fillId="31" borderId="6" xfId="0" applyNumberFormat="1" applyFont="1" applyFill="1" applyBorder="1" applyAlignment="1">
      <alignment horizontal="center" vertical="center"/>
    </xf>
    <xf numFmtId="3" fontId="19" fillId="31" borderId="0" xfId="0" applyNumberFormat="1" applyFont="1" applyFill="1" applyAlignment="1">
      <alignment horizontal="center" vertical="center"/>
    </xf>
    <xf numFmtId="3" fontId="19" fillId="31" borderId="38" xfId="0" applyNumberFormat="1" applyFont="1" applyFill="1" applyBorder="1" applyAlignment="1">
      <alignment horizontal="center" vertical="center"/>
    </xf>
    <xf numFmtId="3" fontId="24" fillId="0" borderId="6" xfId="0" applyNumberFormat="1" applyFont="1" applyBorder="1" applyAlignment="1">
      <alignment horizontal="center" vertical="center"/>
    </xf>
    <xf numFmtId="10" fontId="25" fillId="0" borderId="38" xfId="0" applyNumberFormat="1" applyFont="1" applyBorder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4" fontId="25" fillId="0" borderId="6" xfId="0" applyNumberFormat="1" applyFont="1" applyBorder="1" applyAlignment="1">
      <alignment horizontal="center" vertical="center"/>
    </xf>
    <xf numFmtId="10" fontId="25" fillId="0" borderId="6" xfId="0" applyNumberFormat="1" applyFont="1" applyBorder="1" applyAlignment="1">
      <alignment horizontal="center" vertical="center"/>
    </xf>
    <xf numFmtId="3" fontId="24" fillId="0" borderId="38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3" fontId="26" fillId="0" borderId="6" xfId="0" applyNumberFormat="1" applyFont="1" applyBorder="1" applyAlignment="1">
      <alignment horizontal="center" vertical="center"/>
    </xf>
    <xf numFmtId="3" fontId="26" fillId="0" borderId="38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7" fillId="32" borderId="6" xfId="0" applyNumberFormat="1" applyFont="1" applyFill="1" applyBorder="1" applyAlignment="1">
      <alignment horizontal="left" vertical="center" wrapText="1"/>
    </xf>
    <xf numFmtId="3" fontId="19" fillId="22" borderId="38" xfId="0" applyNumberFormat="1" applyFont="1" applyFill="1" applyBorder="1" applyAlignment="1">
      <alignment horizontal="center" vertical="center"/>
    </xf>
    <xf numFmtId="3" fontId="24" fillId="0" borderId="0" xfId="0" applyNumberFormat="1" applyFont="1" applyAlignment="1">
      <alignment horizontal="left" vertical="center"/>
    </xf>
    <xf numFmtId="3" fontId="28" fillId="0" borderId="0" xfId="0" applyNumberFormat="1" applyFont="1" applyAlignment="1">
      <alignment horizontal="center" vertical="center"/>
    </xf>
    <xf numFmtId="3" fontId="28" fillId="0" borderId="38" xfId="0" applyNumberFormat="1" applyFont="1" applyBorder="1" applyAlignment="1">
      <alignment horizontal="center" vertical="center"/>
    </xf>
    <xf numFmtId="3" fontId="28" fillId="0" borderId="6" xfId="0" applyNumberFormat="1" applyFont="1" applyBorder="1" applyAlignment="1">
      <alignment horizontal="center" vertical="center"/>
    </xf>
    <xf numFmtId="3" fontId="24" fillId="31" borderId="6" xfId="0" applyNumberFormat="1" applyFont="1" applyFill="1" applyBorder="1" applyAlignment="1">
      <alignment horizontal="center" vertical="center"/>
    </xf>
    <xf numFmtId="3" fontId="24" fillId="0" borderId="6" xfId="0" applyNumberFormat="1" applyFont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168" fontId="28" fillId="0" borderId="38" xfId="0" applyNumberFormat="1" applyFont="1" applyBorder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68" fontId="28" fillId="0" borderId="6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14" borderId="0" xfId="0" applyFont="1" applyFill="1" applyAlignment="1">
      <alignment vertical="center"/>
    </xf>
    <xf numFmtId="0" fontId="20" fillId="14" borderId="6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31" fillId="15" borderId="0" xfId="0" applyFont="1" applyFill="1" applyAlignment="1">
      <alignment vertical="center"/>
    </xf>
    <xf numFmtId="0" fontId="20" fillId="15" borderId="0" xfId="0" applyFont="1" applyFill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0" fillId="17" borderId="0" xfId="0" applyNumberFormat="1" applyFont="1" applyFill="1" applyAlignment="1">
      <alignment horizontal="center" vertical="center"/>
    </xf>
    <xf numFmtId="0" fontId="19" fillId="0" borderId="0" xfId="0" applyFont="1"/>
    <xf numFmtId="3" fontId="20" fillId="29" borderId="9" xfId="0" applyNumberFormat="1" applyFont="1" applyFill="1" applyBorder="1" applyAlignment="1">
      <alignment horizontal="left" vertical="center"/>
    </xf>
    <xf numFmtId="3" fontId="20" fillId="29" borderId="40" xfId="0" applyNumberFormat="1" applyFont="1" applyFill="1" applyBorder="1" applyAlignment="1">
      <alignment horizontal="center" vertical="center"/>
    </xf>
    <xf numFmtId="3" fontId="19" fillId="29" borderId="9" xfId="0" applyNumberFormat="1" applyFont="1" applyFill="1" applyBorder="1" applyAlignment="1">
      <alignment horizontal="center" vertical="center"/>
    </xf>
    <xf numFmtId="3" fontId="20" fillId="29" borderId="0" xfId="0" applyNumberFormat="1" applyFont="1" applyFill="1" applyAlignment="1">
      <alignment horizontal="center" vertical="center"/>
    </xf>
    <xf numFmtId="3" fontId="19" fillId="18" borderId="0" xfId="0" applyNumberFormat="1" applyFont="1" applyFill="1" applyAlignment="1">
      <alignment horizontal="center" vertical="center"/>
    </xf>
    <xf numFmtId="3" fontId="24" fillId="33" borderId="0" xfId="0" applyNumberFormat="1" applyFont="1" applyFill="1" applyAlignment="1">
      <alignment horizontal="left" vertical="center"/>
    </xf>
    <xf numFmtId="3" fontId="24" fillId="33" borderId="6" xfId="0" applyNumberFormat="1" applyFont="1" applyFill="1" applyBorder="1" applyAlignment="1">
      <alignment horizontal="center" vertical="center"/>
    </xf>
    <xf numFmtId="3" fontId="20" fillId="33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top" wrapText="1"/>
    </xf>
    <xf numFmtId="0" fontId="32" fillId="0" borderId="0" xfId="0" applyFont="1"/>
    <xf numFmtId="0" fontId="9" fillId="0" borderId="0" xfId="0" applyFont="1"/>
    <xf numFmtId="0" fontId="33" fillId="34" borderId="0" xfId="0" applyFont="1" applyFill="1" applyAlignment="1">
      <alignment horizontal="center"/>
    </xf>
    <xf numFmtId="0" fontId="30" fillId="34" borderId="0" xfId="0" applyFont="1" applyFill="1"/>
    <xf numFmtId="0" fontId="34" fillId="0" borderId="0" xfId="0" applyFont="1"/>
    <xf numFmtId="0" fontId="35" fillId="35" borderId="0" xfId="0" applyFont="1" applyFill="1"/>
    <xf numFmtId="0" fontId="30" fillId="35" borderId="0" xfId="0" applyFont="1" applyFill="1"/>
    <xf numFmtId="0" fontId="34" fillId="36" borderId="0" xfId="0" applyFont="1" applyFill="1" applyAlignment="1">
      <alignment horizontal="center"/>
    </xf>
    <xf numFmtId="0" fontId="30" fillId="36" borderId="0" xfId="0" applyFont="1" applyFill="1"/>
    <xf numFmtId="0" fontId="36" fillId="37" borderId="0" xfId="0" applyFont="1" applyFill="1"/>
    <xf numFmtId="0" fontId="30" fillId="37" borderId="0" xfId="0" applyFont="1" applyFill="1"/>
    <xf numFmtId="0" fontId="34" fillId="37" borderId="0" xfId="0" applyFont="1" applyFill="1" applyAlignment="1">
      <alignment horizontal="center"/>
    </xf>
    <xf numFmtId="0" fontId="37" fillId="38" borderId="0" xfId="0" applyFont="1" applyFill="1"/>
    <xf numFmtId="0" fontId="30" fillId="38" borderId="0" xfId="0" applyFont="1" applyFill="1"/>
    <xf numFmtId="0" fontId="34" fillId="38" borderId="0" xfId="0" applyFont="1" applyFill="1" applyAlignment="1">
      <alignment horizontal="center"/>
    </xf>
    <xf numFmtId="0" fontId="38" fillId="39" borderId="0" xfId="0" applyFont="1" applyFill="1"/>
    <xf numFmtId="0" fontId="30" fillId="39" borderId="0" xfId="0" applyFont="1" applyFill="1"/>
    <xf numFmtId="0" fontId="34" fillId="39" borderId="0" xfId="0" applyFont="1" applyFill="1" applyAlignment="1">
      <alignment horizontal="center"/>
    </xf>
    <xf numFmtId="0" fontId="39" fillId="40" borderId="0" xfId="0" applyFont="1" applyFill="1"/>
    <xf numFmtId="0" fontId="30" fillId="40" borderId="0" xfId="0" applyFont="1" applyFill="1"/>
    <xf numFmtId="0" fontId="34" fillId="40" borderId="0" xfId="0" applyFont="1" applyFill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none"/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none"/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.xml"/><Relationship Id="rId14" Type="http://schemas.openxmlformats.org/officeDocument/2006/relationships/worksheet" Target="worksheets/sheet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C10:M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PL факт (нед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N10:BC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</autoFilter>
  <tableColumns count="4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Столбец1"/>
  </tableColumns>
  <tableStyleInfo name="PL факт (нед)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14" displayName="Table_14" ref="C10:M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PL факт (нед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25" displayName="Table_25" ref="N10:BC4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</autoFilter>
  <tableColumns count="4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Столбец1"/>
  </tableColumns>
  <tableStyleInfo name="PL факт (нед)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ostavka365.ru/?utm_source=unit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1.xml"/><Relationship Id="rId4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"/>
  <sheetViews>
    <sheetView workbookViewId="0" zoomScale="100" zoomScaleNormal="100"/>
  </sheetViews>
  <sheetFormatPr defaultRowHeight="15" outlineLevelRow="0" outlineLevelCol="0" x14ac:dyDescent="0.25" defaultColWidth="14.42578125"/>
  <sheetData>
    <row r="1" spans="1:1" x14ac:dyDescent="0.25">
      <c r="A1" s="441" t="s">
        <v>186</v>
      </c>
    </row>
    <row r="2" spans="1:1" x14ac:dyDescent="0.25">
      <c r="A2" s="442" t="s">
        <v>187</v>
      </c>
    </row>
  </sheetData>
  <hyperlinks>
    <hyperlink ref="A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FF"/>
  </sheetPr>
  <dimension ref="A1:O68"/>
  <sheetViews>
    <sheetView workbookViewId="0" zoomScale="100" zoomScaleNormal="100">
      <pane xSplit="2" ySplit="3" topLeftCell="C48" activePane="bottomRight" state="frozen"/>
      <selection pane="bottomRight" activeCell="F56" sqref="F56"/>
    </sheetView>
  </sheetViews>
  <sheetFormatPr defaultRowHeight="15" outlineLevelRow="0" outlineLevelCol="0" x14ac:dyDescent="0.25" defaultColWidth="14.42578125"/>
  <cols>
    <col min="1" max="1" width="24.42578125" style="1" customWidth="1"/>
    <col min="2" max="2" width="20.140625" style="1" customWidth="1"/>
    <col min="3" max="14" width="11.140625" style="1" customWidth="1"/>
    <col min="15" max="15" width="12" style="1" customWidth="1"/>
    <col min="16" max="16384" width="14.42578125" style="1" customWidth="1"/>
  </cols>
  <sheetData>
    <row r="1" ht="21.75" customHeight="1" spans="1:15" x14ac:dyDescent="0.25">
      <c r="A1" s="29" t="s">
        <v>49</v>
      </c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ht="14.25" customHeight="1" spans="1:15" x14ac:dyDescent="0.25">
      <c r="A2" s="33" t="s">
        <v>50</v>
      </c>
      <c r="B2" s="34"/>
      <c r="C2" s="35">
        <v>2025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1"/>
    </row>
    <row r="3" ht="13.5" customHeight="1" spans="1:15" x14ac:dyDescent="0.25">
      <c r="A3" s="38"/>
      <c r="B3" s="39"/>
      <c r="C3" s="40" t="s">
        <v>51</v>
      </c>
      <c r="D3" s="40" t="s">
        <v>52</v>
      </c>
      <c r="E3" s="40" t="s">
        <v>53</v>
      </c>
      <c r="F3" s="40" t="s">
        <v>54</v>
      </c>
      <c r="G3" s="40" t="s">
        <v>39</v>
      </c>
      <c r="H3" s="40" t="s">
        <v>55</v>
      </c>
      <c r="I3" s="40" t="s">
        <v>56</v>
      </c>
      <c r="J3" s="40" t="s">
        <v>57</v>
      </c>
      <c r="K3" s="40" t="s">
        <v>58</v>
      </c>
      <c r="L3" s="40" t="s">
        <v>59</v>
      </c>
      <c r="M3" s="40" t="s">
        <v>60</v>
      </c>
      <c r="N3" s="40" t="s">
        <v>61</v>
      </c>
      <c r="O3" s="300"/>
    </row>
    <row r="4" ht="13.5" customHeight="1" spans="1:15" x14ac:dyDescent="0.25">
      <c r="A4" s="42" t="s">
        <v>62</v>
      </c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301">
        <f t="shared" ref="O4:O6" si="0">SUM(C4:N4)</f>
        <v>0</v>
      </c>
    </row>
    <row r="5" ht="13.5" customHeight="1" spans="1:15" x14ac:dyDescent="0.25">
      <c r="A5" s="46" t="s">
        <v>63</v>
      </c>
      <c r="B5" s="47"/>
      <c r="C5" s="48">
        <f>'PL WB (нед)'!C5</f>
        <v>1331789.09</v>
      </c>
      <c r="D5" s="51">
        <f t="shared" ref="D5:N5" si="1">C12</f>
        <v>1355494.05</v>
      </c>
      <c r="E5" s="51">
        <f t="shared" si="1"/>
        <v>1183913.33</v>
      </c>
      <c r="F5" s="51">
        <f t="shared" si="1"/>
        <v>1023548.93</v>
      </c>
      <c r="G5" s="51">
        <f t="shared" si="1"/>
        <v>960491.03</v>
      </c>
      <c r="H5" s="51">
        <f t="shared" si="1"/>
        <v>960491.03</v>
      </c>
      <c r="I5" s="51">
        <f t="shared" si="1"/>
        <v>960491.03</v>
      </c>
      <c r="J5" s="51">
        <f t="shared" si="1"/>
        <v>960491.03</v>
      </c>
      <c r="K5" s="51">
        <f t="shared" si="1"/>
        <v>960491.03</v>
      </c>
      <c r="L5" s="51">
        <f t="shared" si="1"/>
        <v>960491.03</v>
      </c>
      <c r="M5" s="51">
        <f t="shared" si="1"/>
        <v>960491.03</v>
      </c>
      <c r="N5" s="51">
        <f t="shared" si="1"/>
        <v>960491.03</v>
      </c>
      <c r="O5" s="301">
        <f>SUM(C5:N5)/12</f>
        <v>1048222.8033333332</v>
      </c>
    </row>
    <row r="6" ht="13.5" customHeight="1" spans="1:15" x14ac:dyDescent="0.25">
      <c r="A6" s="46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301">
        <f t="shared" si="0"/>
        <v>0</v>
      </c>
    </row>
    <row r="7" ht="13.5" customHeight="1" spans="1:15" x14ac:dyDescent="0.25">
      <c r="A7" s="46"/>
      <c r="B7" s="53" t="s">
        <v>64</v>
      </c>
      <c r="C7" s="51">
        <f>SUM('PL WB (нед)'!C7:G7)</f>
        <v>1359</v>
      </c>
      <c r="D7" s="51">
        <f>SUM('PL WB (нед)'!H7:K7)</f>
        <v>1329</v>
      </c>
      <c r="E7" s="51">
        <f>SUM('PL WB (нед)'!L7:O7)</f>
        <v>1307</v>
      </c>
      <c r="F7" s="51">
        <f>SUM('PL WB (нед)'!P7:S7)</f>
        <v>481</v>
      </c>
      <c r="G7" s="51">
        <f>SUM('PL WB (нед)'!T7:X7)</f>
        <v>0</v>
      </c>
      <c r="H7" s="51">
        <f>SUM('PL WB (нед)'!Y7:AB7)</f>
        <v>0</v>
      </c>
      <c r="I7" s="51">
        <f>SUM('PL WB (нед)'!AC7:AF7)</f>
        <v>0</v>
      </c>
      <c r="J7" s="51">
        <f>SUM('PL WB (нед)'!AG7:AK7)</f>
        <v>0</v>
      </c>
      <c r="K7" s="51">
        <f>SUM('PL WB (нед)'!AL7:AO7)</f>
        <v>0</v>
      </c>
      <c r="L7" s="51">
        <f>SUM('PL WB (нед)'!AP7:AT7)</f>
        <v>0</v>
      </c>
      <c r="M7" s="51">
        <f>SUM('PL WB (нед)'!AU7:AX7)</f>
        <v>0</v>
      </c>
      <c r="N7" s="51">
        <f>SUM('PL WB (нед)'!AY7:BC7)</f>
        <v>0</v>
      </c>
      <c r="O7" s="301">
        <f>SUM(C7:N7)</f>
        <v>4476</v>
      </c>
    </row>
    <row r="8" ht="13.5" customHeight="1" spans="1:15" x14ac:dyDescent="0.25">
      <c r="A8" s="46"/>
      <c r="B8" s="53" t="s">
        <v>65</v>
      </c>
      <c r="C8" s="51">
        <f t="shared" ref="C8:M8" si="2">C33</f>
        <v>168693.81</v>
      </c>
      <c r="D8" s="51">
        <f t="shared" si="2"/>
        <v>171580.71999999997</v>
      </c>
      <c r="E8" s="51">
        <f t="shared" si="2"/>
        <v>160364.4</v>
      </c>
      <c r="F8" s="51">
        <f t="shared" si="2"/>
        <v>63057.90000000001</v>
      </c>
      <c r="G8" s="51">
        <f t="shared" si="2"/>
        <v>0</v>
      </c>
      <c r="H8" s="51">
        <f t="shared" si="2"/>
        <v>0</v>
      </c>
      <c r="I8" s="51">
        <f t="shared" si="2"/>
        <v>0</v>
      </c>
      <c r="J8" s="51">
        <f t="shared" si="2"/>
        <v>0</v>
      </c>
      <c r="K8" s="51">
        <f t="shared" si="2"/>
        <v>0</v>
      </c>
      <c r="L8" s="51">
        <f t="shared" si="2"/>
        <v>0</v>
      </c>
      <c r="M8" s="51">
        <f t="shared" si="2"/>
        <v>0</v>
      </c>
      <c r="N8" s="51">
        <f>N33</f>
        <v>0</v>
      </c>
      <c r="O8" s="301">
        <f t="shared" ref="O8:O23" si="3">SUM(C8:N8)</f>
        <v>563696.83</v>
      </c>
    </row>
    <row r="9" ht="13.5" customHeight="1" spans="1:15" x14ac:dyDescent="0.25">
      <c r="A9" s="46"/>
      <c r="B9" s="47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301">
        <f t="shared" si="3"/>
        <v>0</v>
      </c>
    </row>
    <row r="10" ht="13.5" customHeight="1" spans="1:15" x14ac:dyDescent="0.25">
      <c r="A10" s="46" t="s">
        <v>66</v>
      </c>
      <c r="B10" s="47"/>
      <c r="C10" s="51">
        <f>SUM('PL WB (нед)'!C10:G10)</f>
        <v>192398.77</v>
      </c>
      <c r="D10" s="51">
        <f>SUM('PL WB (нед)'!H10:K10)</f>
        <v>0</v>
      </c>
      <c r="E10" s="51">
        <f>SUM('PL WB (нед)'!L10:O10)</f>
        <v>0</v>
      </c>
      <c r="F10" s="51">
        <f>SUM('PL WB (нед)'!P10:S10)</f>
        <v>0</v>
      </c>
      <c r="G10" s="51">
        <f>SUM('PL WB (нед)'!T10:X10)</f>
        <v>0</v>
      </c>
      <c r="H10" s="51">
        <f>SUM('PL WB (нед)'!Y10:AB10)</f>
        <v>0</v>
      </c>
      <c r="I10" s="51">
        <f>SUM('PL WB (нед)'!AC10:AF10)</f>
        <v>0</v>
      </c>
      <c r="J10" s="51">
        <f>SUM('PL WB (нед)'!AG10:AK10)</f>
        <v>0</v>
      </c>
      <c r="K10" s="51">
        <f>SUM('PL WB (нед)'!AL10:AO10)</f>
        <v>0</v>
      </c>
      <c r="L10" s="51">
        <f>SUM('PL WB (нед)'!AP10:AT10)</f>
        <v>0</v>
      </c>
      <c r="M10" s="51">
        <f>SUM('PL WB (нед)'!AU10:AX10)</f>
        <v>0</v>
      </c>
      <c r="N10" s="51">
        <f>SUM('PL WB (нед)'!AY10:BC10)</f>
        <v>0</v>
      </c>
      <c r="O10" s="301">
        <f t="shared" si="3"/>
        <v>192398.77</v>
      </c>
    </row>
    <row r="11" ht="13.5" customHeight="1" spans="1:15" x14ac:dyDescent="0.25">
      <c r="A11" s="54" t="s">
        <v>67</v>
      </c>
      <c r="B11" s="55"/>
      <c r="C11" s="48">
        <f>SUM('PL WB (нед)'!C11:G11)</f>
        <v>1294</v>
      </c>
      <c r="D11" s="48">
        <f>SUM('PL WB (нед)'!H11:K11)</f>
        <v>0</v>
      </c>
      <c r="E11" s="48">
        <f>SUM('PL WB (нед)'!L11:O11)</f>
        <v>0</v>
      </c>
      <c r="F11" s="48">
        <f>SUM('PL WB (нед)'!P11:S11)</f>
        <v>0</v>
      </c>
      <c r="G11" s="48">
        <f>SUM('PL WB (нед)'!T11:X11)</f>
        <v>0</v>
      </c>
      <c r="H11" s="48">
        <f>SUM('PL WB (нед)'!Y11:AB11)</f>
        <v>0</v>
      </c>
      <c r="I11" s="48">
        <f>SUM('PL WB (нед)'!AC11:AF11)</f>
        <v>0</v>
      </c>
      <c r="J11" s="48">
        <f>SUM('PL WB (нед)'!AG11:AK11)</f>
        <v>0</v>
      </c>
      <c r="K11" s="48">
        <f>SUM('PL WB (нед)'!AL11:AO11)</f>
        <v>0</v>
      </c>
      <c r="L11" s="48">
        <f>SUM('PL WB (нед)'!AP11:AT11)</f>
        <v>0</v>
      </c>
      <c r="M11" s="48">
        <f>SUM('PL WB (нед)'!AU11:AX11)</f>
        <v>0</v>
      </c>
      <c r="N11" s="48">
        <f>SUM('PL WB (нед)'!AY11:BC11)</f>
        <v>0</v>
      </c>
      <c r="O11" s="301">
        <f t="shared" si="3"/>
        <v>1294</v>
      </c>
    </row>
    <row r="12" ht="13.5" customHeight="1" spans="1:15" x14ac:dyDescent="0.25">
      <c r="A12" s="56" t="s">
        <v>68</v>
      </c>
      <c r="B12" s="57"/>
      <c r="C12" s="302">
        <f>C10-C8+C5</f>
        <v>1355494.05</v>
      </c>
      <c r="D12" s="302">
        <f t="shared" ref="D12:N12" si="4">D10-D8+D5</f>
        <v>1183913.33</v>
      </c>
      <c r="E12" s="302">
        <f t="shared" si="4"/>
        <v>1023548.93</v>
      </c>
      <c r="F12" s="302">
        <f t="shared" si="4"/>
        <v>960491.03</v>
      </c>
      <c r="G12" s="302">
        <f t="shared" si="4"/>
        <v>960491.03</v>
      </c>
      <c r="H12" s="302">
        <f t="shared" si="4"/>
        <v>960491.03</v>
      </c>
      <c r="I12" s="302">
        <f t="shared" si="4"/>
        <v>960491.03</v>
      </c>
      <c r="J12" s="302">
        <f t="shared" si="4"/>
        <v>960491.03</v>
      </c>
      <c r="K12" s="302">
        <f t="shared" si="4"/>
        <v>960491.03</v>
      </c>
      <c r="L12" s="302">
        <f t="shared" si="4"/>
        <v>960491.03</v>
      </c>
      <c r="M12" s="302">
        <f t="shared" si="4"/>
        <v>960491.03</v>
      </c>
      <c r="N12" s="302">
        <f t="shared" si="4"/>
        <v>960491.03</v>
      </c>
      <c r="O12" s="301">
        <f t="shared" si="3"/>
        <v>12207375.579999998</v>
      </c>
    </row>
    <row r="13" ht="13.5" customHeight="1" spans="1:15" x14ac:dyDescent="0.25">
      <c r="A13" s="56" t="s">
        <v>69</v>
      </c>
      <c r="B13" s="58"/>
      <c r="C13" s="302">
        <f>'PL WB (нед)'!G13</f>
        <v>9007</v>
      </c>
      <c r="D13" s="302">
        <f t="shared" ref="D13:N13" si="5">C13-D7-D27+D11+D23</f>
        <v>7678</v>
      </c>
      <c r="E13" s="302">
        <f t="shared" si="5"/>
        <v>6378</v>
      </c>
      <c r="F13" s="302">
        <f t="shared" si="5"/>
        <v>5900</v>
      </c>
      <c r="G13" s="302">
        <f t="shared" si="5"/>
        <v>5900</v>
      </c>
      <c r="H13" s="302">
        <f t="shared" si="5"/>
        <v>5897</v>
      </c>
      <c r="I13" s="302">
        <f t="shared" si="5"/>
        <v>5897</v>
      </c>
      <c r="J13" s="302">
        <f t="shared" si="5"/>
        <v>5897</v>
      </c>
      <c r="K13" s="302">
        <f t="shared" si="5"/>
        <v>5897</v>
      </c>
      <c r="L13" s="302">
        <f t="shared" si="5"/>
        <v>5897</v>
      </c>
      <c r="M13" s="302">
        <f t="shared" si="5"/>
        <v>5897</v>
      </c>
      <c r="N13" s="302">
        <f t="shared" si="5"/>
        <v>5897</v>
      </c>
      <c r="O13" s="301">
        <f t="shared" si="3"/>
        <v>76142</v>
      </c>
    </row>
    <row r="14" ht="13.5" customHeight="1" spans="1:15" x14ac:dyDescent="0.25">
      <c r="A14" s="59" t="s">
        <v>124</v>
      </c>
      <c r="B14" s="50"/>
      <c r="C14" s="60">
        <f>SUM('PL WB (нед)'!C14:G14)</f>
        <v>814256</v>
      </c>
      <c r="D14" s="60">
        <f>SUM('PL WB (нед)'!H14:K14)</f>
        <v>879399</v>
      </c>
      <c r="E14" s="60">
        <f>SUM('PL WB (нед)'!L14:O14)</f>
        <v>772334</v>
      </c>
      <c r="F14" s="60">
        <f>SUM('PL WB (нед)'!P14:S14)</f>
        <v>344884</v>
      </c>
      <c r="G14" s="60">
        <f>SUM('PL WB (нед)'!T14:X14)</f>
        <v>0</v>
      </c>
      <c r="H14" s="60">
        <f>SUM('PL WB (нед)'!Y14:AB14)</f>
        <v>0</v>
      </c>
      <c r="I14" s="60">
        <f>SUM('PL WB (нед)'!AC14:AF14)</f>
        <v>0</v>
      </c>
      <c r="J14" s="60">
        <f>SUM('PL WB (нед)'!AG14:AK14)</f>
        <v>0</v>
      </c>
      <c r="K14" s="60">
        <f>SUM('PL WB (нед)'!AL14:AO14)</f>
        <v>0</v>
      </c>
      <c r="L14" s="60">
        <f>SUM('PL WB (нед)'!AP14:AT14)</f>
        <v>0</v>
      </c>
      <c r="M14" s="60">
        <f>SUM('PL WB (нед)'!AU14:AX14)</f>
        <v>0</v>
      </c>
      <c r="N14" s="60">
        <f>SUM('PL WB (нед)'!AY14:BC14)</f>
        <v>0</v>
      </c>
      <c r="O14" s="301">
        <f t="shared" si="3"/>
        <v>2810873</v>
      </c>
    </row>
    <row r="15" ht="13.5" customHeight="1" spans="1:15" x14ac:dyDescent="0.25">
      <c r="A15" s="59" t="s">
        <v>125</v>
      </c>
      <c r="B15" s="62"/>
      <c r="C15" s="60">
        <f>SUM('PL WB (нед)'!C15:G15)</f>
        <v>551773</v>
      </c>
      <c r="D15" s="60">
        <f>SUM('PL WB (нед)'!H15:K15)</f>
        <v>577044</v>
      </c>
      <c r="E15" s="60">
        <f>SUM('PL WB (нед)'!L15:O15)</f>
        <v>527907</v>
      </c>
      <c r="F15" s="60">
        <f>SUM('PL WB (нед)'!P15:S15)</f>
        <v>238967</v>
      </c>
      <c r="G15" s="60">
        <f>SUM('PL WB (нед)'!T15:X15)</f>
        <v>0</v>
      </c>
      <c r="H15" s="60">
        <f>SUM('PL WB (нед)'!Y15:AB15)</f>
        <v>0</v>
      </c>
      <c r="I15" s="60">
        <f>SUM('PL WB (нед)'!AC15:AF15)</f>
        <v>0</v>
      </c>
      <c r="J15" s="60">
        <f>SUM('PL WB (нед)'!AG15:AK15)</f>
        <v>0</v>
      </c>
      <c r="K15" s="60">
        <f>SUM('PL WB (нед)'!AL15:AO15)</f>
        <v>0</v>
      </c>
      <c r="L15" s="60">
        <f>SUM('PL WB (нед)'!AP15:AT15)</f>
        <v>0</v>
      </c>
      <c r="M15" s="60">
        <f>SUM('PL WB (нед)'!AU15:AX15)</f>
        <v>0</v>
      </c>
      <c r="N15" s="60">
        <f>SUM('PL WB (нед)'!AY15:BC15)</f>
        <v>0</v>
      </c>
      <c r="O15" s="301">
        <f t="shared" si="3"/>
        <v>1895691</v>
      </c>
    </row>
    <row r="16" ht="13.5" customHeight="1" spans="1:15" x14ac:dyDescent="0.25">
      <c r="A16" s="63"/>
      <c r="B16" s="47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301">
        <f t="shared" si="3"/>
        <v>0</v>
      </c>
    </row>
    <row r="17" ht="13.5" customHeight="1" spans="1:15" x14ac:dyDescent="0.25">
      <c r="A17" s="63" t="s">
        <v>126</v>
      </c>
      <c r="B17" s="47"/>
      <c r="C17" s="60">
        <f>C14-C20</f>
        <v>245543.84000000008</v>
      </c>
      <c r="D17" s="60">
        <f t="shared" ref="D17:M17" si="6">D14-D20</f>
        <v>272207.81000000006</v>
      </c>
      <c r="E17" s="60">
        <f t="shared" si="6"/>
        <v>244784.58999999997</v>
      </c>
      <c r="F17" s="60">
        <f t="shared" si="6"/>
        <v>108032.54000000004</v>
      </c>
      <c r="G17" s="60">
        <f t="shared" si="6"/>
        <v>0</v>
      </c>
      <c r="H17" s="60">
        <f t="shared" si="6"/>
        <v>0</v>
      </c>
      <c r="I17" s="60">
        <f t="shared" si="6"/>
        <v>0</v>
      </c>
      <c r="J17" s="60">
        <f t="shared" si="6"/>
        <v>0</v>
      </c>
      <c r="K17" s="60">
        <f t="shared" si="6"/>
        <v>0</v>
      </c>
      <c r="L17" s="60">
        <f t="shared" si="6"/>
        <v>0</v>
      </c>
      <c r="M17" s="60">
        <f t="shared" si="6"/>
        <v>0</v>
      </c>
      <c r="N17" s="60">
        <f t="shared" ref="N17" si="7">N15-N20</f>
        <v>0</v>
      </c>
      <c r="O17" s="301">
        <f t="shared" si="3"/>
        <v>870568.7800000001</v>
      </c>
    </row>
    <row r="18" ht="13.5" customHeight="1" spans="1:15" x14ac:dyDescent="0.25">
      <c r="A18" s="63" t="s">
        <v>73</v>
      </c>
      <c r="B18" s="47"/>
      <c r="C18" s="66">
        <f>C17/C14</f>
        <v>0.30155607081802294</v>
      </c>
      <c r="D18" s="66">
        <f t="shared" ref="D18:M18" si="8">D17/D15</f>
        <v>0.47172799647860486</v>
      </c>
      <c r="E18" s="66">
        <f t="shared" si="8"/>
        <v>0.46368885049828845</v>
      </c>
      <c r="F18" s="66">
        <f t="shared" si="8"/>
        <v>0.4520814170994323</v>
      </c>
      <c r="G18" s="66" t="e">
        <f t="shared" si="8"/>
        <v>#DIV/0!</v>
      </c>
      <c r="H18" s="66" t="e">
        <f t="shared" si="8"/>
        <v>#DIV/0!</v>
      </c>
      <c r="I18" s="66" t="e">
        <f t="shared" si="8"/>
        <v>#DIV/0!</v>
      </c>
      <c r="J18" s="66" t="e">
        <f t="shared" si="8"/>
        <v>#DIV/0!</v>
      </c>
      <c r="K18" s="66" t="e">
        <f t="shared" si="8"/>
        <v>#DIV/0!</v>
      </c>
      <c r="L18" s="66" t="e">
        <f t="shared" si="8"/>
        <v>#DIV/0!</v>
      </c>
      <c r="M18" s="66" t="e">
        <f t="shared" si="8"/>
        <v>#DIV/0!</v>
      </c>
      <c r="N18" s="66" t="e">
        <f t="shared" ref="N18" si="9">N17/N15</f>
        <v>#DIV/0!</v>
      </c>
      <c r="O18" s="301" t="e">
        <f t="shared" si="3"/>
        <v>#DIV/0!</v>
      </c>
    </row>
    <row r="19" ht="13.5" customHeight="1" spans="1:15" x14ac:dyDescent="0.25">
      <c r="A19" s="63"/>
      <c r="B19" s="47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301">
        <f t="shared" si="3"/>
        <v>0</v>
      </c>
    </row>
    <row r="20" ht="13.5" customHeight="1" spans="1:15" x14ac:dyDescent="0.25">
      <c r="A20" s="68" t="s">
        <v>74</v>
      </c>
      <c r="B20" s="62"/>
      <c r="C20" s="60">
        <f>SUM('PL WB (нед)'!C20:G20)</f>
        <v>568712.1599999999</v>
      </c>
      <c r="D20" s="60">
        <f>SUM('PL WB (нед)'!H20:K20)</f>
        <v>607191.19</v>
      </c>
      <c r="E20" s="60">
        <f>SUM('PL WB (нед)'!L20:O20)</f>
        <v>527549.41</v>
      </c>
      <c r="F20" s="60">
        <f>SUM('PL WB (нед)'!P20:S20)</f>
        <v>236851.45999999996</v>
      </c>
      <c r="G20" s="60">
        <f>SUM('PL WB (нед)'!T20:X20)</f>
        <v>0</v>
      </c>
      <c r="H20" s="60">
        <f>SUM('PL WB (нед)'!Y20:AB20)</f>
        <v>0</v>
      </c>
      <c r="I20" s="60">
        <f>SUM('PL WB (нед)'!AC20:AF20)</f>
        <v>0</v>
      </c>
      <c r="J20" s="60">
        <f>SUM('PL WB (нед)'!AG20:AK20)</f>
        <v>0</v>
      </c>
      <c r="K20" s="60">
        <f>SUM('PL WB (нед)'!AL20:AO20)</f>
        <v>0</v>
      </c>
      <c r="L20" s="60">
        <f>SUM('PL WB (нед)'!AP20:AT20)</f>
        <v>0</v>
      </c>
      <c r="M20" s="60">
        <f>SUM('PL WB (нед)'!AU20:AX20)</f>
        <v>0</v>
      </c>
      <c r="N20" s="60">
        <f>SUM('PL WB (нед)'!AY20:BC20)</f>
        <v>0</v>
      </c>
      <c r="O20" s="301">
        <f t="shared" si="3"/>
        <v>1940304.2199999997</v>
      </c>
    </row>
    <row r="21" ht="13.5" customHeight="1" spans="1:15" x14ac:dyDescent="0.25">
      <c r="A21" s="69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301">
        <f t="shared" si="3"/>
        <v>0</v>
      </c>
    </row>
    <row r="22" ht="13.5" customHeight="1" spans="1:15" x14ac:dyDescent="0.25">
      <c r="A22" s="63" t="s">
        <v>75</v>
      </c>
      <c r="B22" s="73"/>
      <c r="C22" s="64">
        <f>SUM('PL WB (нед)'!C22:G22)</f>
        <v>0</v>
      </c>
      <c r="D22" s="64">
        <f>SUM('PL WB (нед)'!H22:K22)</f>
        <v>0</v>
      </c>
      <c r="E22" s="64">
        <f>SUM('PL WB (нед)'!L22:O22)</f>
        <v>4290</v>
      </c>
      <c r="F22" s="64">
        <f>SUM('PL WB (нед)'!P22:S22)</f>
        <v>2045</v>
      </c>
      <c r="G22" s="64">
        <f>SUM('PL WB (нед)'!T22:X22)</f>
        <v>0</v>
      </c>
      <c r="H22" s="64">
        <f>SUM('PL WB (нед)'!Y22:AB22)</f>
        <v>0</v>
      </c>
      <c r="I22" s="64">
        <f>SUM('PL WB (нед)'!AC22:AF22)</f>
        <v>0</v>
      </c>
      <c r="J22" s="64">
        <f>SUM('PL WB (нед)'!AG22:AK22)</f>
        <v>0</v>
      </c>
      <c r="K22" s="64">
        <f>SUM('PL WB (нед)'!AL22:AO22)</f>
        <v>0</v>
      </c>
      <c r="L22" s="64">
        <f>SUM('PL WB (нед)'!AP22:AT22)</f>
        <v>0</v>
      </c>
      <c r="M22" s="64">
        <f>SUM('PL WB (нед)'!AU22:AX22)</f>
        <v>0</v>
      </c>
      <c r="N22" s="64">
        <f>SUM('PL WB (нед)'!AY22:BC22)</f>
        <v>0</v>
      </c>
      <c r="O22" s="301">
        <f t="shared" si="3"/>
        <v>6335</v>
      </c>
    </row>
    <row r="23" ht="13.5" customHeight="1" spans="1:15" x14ac:dyDescent="0.25">
      <c r="A23" s="63" t="s">
        <v>76</v>
      </c>
      <c r="B23" s="73"/>
      <c r="C23" s="64">
        <f>SUM('PL WB (нед)'!C23:G23)</f>
        <v>0</v>
      </c>
      <c r="D23" s="64">
        <f>SUM('PL WB (нед)'!H23:K23)</f>
        <v>0</v>
      </c>
      <c r="E23" s="64">
        <f>SUM('PL WB (нед)'!L23:O23)</f>
        <v>7</v>
      </c>
      <c r="F23" s="64">
        <f>SUM('PL WB (нед)'!P23:S23)</f>
        <v>4</v>
      </c>
      <c r="G23" s="64">
        <f>SUM('PL WB (нед)'!T23:X23)</f>
        <v>0</v>
      </c>
      <c r="H23" s="64">
        <f>SUM('PL WB (нед)'!Y23:AB23)</f>
        <v>0</v>
      </c>
      <c r="I23" s="64">
        <f>SUM('PL WB (нед)'!AC23:AF23)</f>
        <v>0</v>
      </c>
      <c r="J23" s="64">
        <f>SUM('PL WB (нед)'!AG23:AK23)</f>
        <v>0</v>
      </c>
      <c r="K23" s="64">
        <f>SUM('PL WB (нед)'!AL23:AO23)</f>
        <v>0</v>
      </c>
      <c r="L23" s="64">
        <f>SUM('PL WB (нед)'!AP23:AT23)</f>
        <v>0</v>
      </c>
      <c r="M23" s="64">
        <f>SUM('PL WB (нед)'!AU23:AX23)</f>
        <v>0</v>
      </c>
      <c r="N23" s="64">
        <f>SUM('PL WB (нед)'!AY23:BC23)</f>
        <v>0</v>
      </c>
      <c r="O23" s="301">
        <f t="shared" si="3"/>
        <v>11</v>
      </c>
    </row>
    <row r="24" ht="13.5" customHeight="1" spans="1:15" x14ac:dyDescent="0.25">
      <c r="A24" s="63" t="s">
        <v>77</v>
      </c>
      <c r="B24" s="73"/>
      <c r="C24" s="74">
        <f>C22/C14</f>
        <v>0</v>
      </c>
      <c r="D24" s="74">
        <f t="shared" ref="D24:O24" si="10">D22/D20</f>
        <v>0</v>
      </c>
      <c r="E24" s="74">
        <f t="shared" si="10"/>
        <v>0.00813193971726743</v>
      </c>
      <c r="F24" s="74">
        <f t="shared" si="10"/>
        <v>0.008634103416546388</v>
      </c>
      <c r="G24" s="74" t="e">
        <f t="shared" si="10"/>
        <v>#DIV/0!</v>
      </c>
      <c r="H24" s="74" t="e">
        <f t="shared" si="10"/>
        <v>#DIV/0!</v>
      </c>
      <c r="I24" s="74" t="e">
        <f t="shared" si="10"/>
        <v>#DIV/0!</v>
      </c>
      <c r="J24" s="74" t="e">
        <f t="shared" si="10"/>
        <v>#DIV/0!</v>
      </c>
      <c r="K24" s="74" t="e">
        <f t="shared" si="10"/>
        <v>#DIV/0!</v>
      </c>
      <c r="L24" s="74" t="e">
        <f t="shared" si="10"/>
        <v>#DIV/0!</v>
      </c>
      <c r="M24" s="74" t="e">
        <f t="shared" si="10"/>
        <v>#DIV/0!</v>
      </c>
      <c r="N24" s="74" t="e">
        <f t="shared" si="10"/>
        <v>#DIV/0!</v>
      </c>
      <c r="O24" s="74">
        <f t="shared" si="10"/>
        <v>0.003264951925940769</v>
      </c>
    </row>
    <row r="25" ht="13.5" customHeight="1" spans="1:15" x14ac:dyDescent="0.25">
      <c r="A25" s="69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301"/>
    </row>
    <row r="26" ht="13.5" customHeight="1" hidden="1" spans="1:15" x14ac:dyDescent="0.25">
      <c r="A26" s="76" t="s">
        <v>78</v>
      </c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301"/>
    </row>
    <row r="27" ht="13.5" customHeight="1" spans="1:15" x14ac:dyDescent="0.25">
      <c r="A27" s="76" t="s">
        <v>79</v>
      </c>
      <c r="B27" s="70"/>
      <c r="C27" s="64">
        <f>SUM('PL WB (нед)'!C27:G27)</f>
        <v>0</v>
      </c>
      <c r="D27" s="64">
        <f>SUM('PL WB (нед)'!H27:K27)</f>
        <v>0</v>
      </c>
      <c r="E27" s="64">
        <f>SUM('PL WB (нед)'!L27:O27)</f>
        <v>0</v>
      </c>
      <c r="F27" s="64">
        <f>SUM('PL WB (нед)'!P27:S27)</f>
        <v>1</v>
      </c>
      <c r="G27" s="64">
        <f>SUM('PL WB (нед)'!T27:X27)</f>
        <v>0</v>
      </c>
      <c r="H27" s="64">
        <f>SUM('PL WB (нед)'!Y27:AB27)</f>
        <v>3</v>
      </c>
      <c r="I27" s="64">
        <f>SUM('PL WB (нед)'!AC27:AF27)</f>
        <v>0</v>
      </c>
      <c r="J27" s="64">
        <f>SUM('PL WB (нед)'!AG27:AK27)</f>
        <v>0</v>
      </c>
      <c r="K27" s="64">
        <f>SUM('PL WB (нед)'!AL27:AO27)</f>
        <v>0</v>
      </c>
      <c r="L27" s="64">
        <f>SUM('PL WB (нед)'!AP27:AT27)</f>
        <v>0</v>
      </c>
      <c r="M27" s="64">
        <f>SUM('PL WB (нед)'!AU27:AX27)</f>
        <v>0</v>
      </c>
      <c r="N27" s="64">
        <f>SUM('PL WB (нед)'!AY27:BB27)</f>
        <v>0</v>
      </c>
      <c r="O27" s="301"/>
    </row>
    <row r="28" ht="13.5" customHeight="1" spans="1:15" x14ac:dyDescent="0.25">
      <c r="A28" s="76" t="s">
        <v>80</v>
      </c>
      <c r="B28" s="70"/>
      <c r="C28" s="74">
        <f>C27/C7</f>
        <v>0</v>
      </c>
      <c r="D28" s="66">
        <f t="shared" ref="D28:N28" si="11">D27/D7</f>
        <v>0</v>
      </c>
      <c r="E28" s="66">
        <f t="shared" si="11"/>
        <v>0</v>
      </c>
      <c r="F28" s="66">
        <f t="shared" si="11"/>
        <v>0.002079002079002079</v>
      </c>
      <c r="G28" s="66" t="e">
        <f t="shared" si="11"/>
        <v>#DIV/0!</v>
      </c>
      <c r="H28" s="66" t="e">
        <f t="shared" si="11"/>
        <v>#DIV/0!</v>
      </c>
      <c r="I28" s="66" t="e">
        <f t="shared" si="11"/>
        <v>#DIV/0!</v>
      </c>
      <c r="J28" s="66" t="e">
        <f t="shared" si="11"/>
        <v>#DIV/0!</v>
      </c>
      <c r="K28" s="66" t="e">
        <f t="shared" si="11"/>
        <v>#DIV/0!</v>
      </c>
      <c r="L28" s="66" t="e">
        <f t="shared" si="11"/>
        <v>#DIV/0!</v>
      </c>
      <c r="M28" s="66" t="e">
        <f t="shared" si="11"/>
        <v>#DIV/0!</v>
      </c>
      <c r="N28" s="66" t="e">
        <f t="shared" si="11"/>
        <v>#DIV/0!</v>
      </c>
      <c r="O28" s="301"/>
    </row>
    <row r="29" ht="13.5" customHeight="1" spans="1:15" x14ac:dyDescent="0.25">
      <c r="A29" s="69"/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301"/>
    </row>
    <row r="30" ht="13.5" customHeight="1" spans="1:15" x14ac:dyDescent="0.25">
      <c r="A30" s="77" t="s">
        <v>127</v>
      </c>
      <c r="B30" s="78"/>
      <c r="C30" s="79">
        <f t="shared" ref="C30:N30" si="12">C20+C31-SUM(C40:C45)-C42</f>
        <v>423608.6299999999</v>
      </c>
      <c r="D30" s="79">
        <f t="shared" si="12"/>
        <v>487641.49999999994</v>
      </c>
      <c r="E30" s="79">
        <f t="shared" si="12"/>
        <v>390775.7800000001</v>
      </c>
      <c r="F30" s="79">
        <f t="shared" si="12"/>
        <v>173884.27999999997</v>
      </c>
      <c r="G30" s="79">
        <f t="shared" si="12"/>
        <v>0</v>
      </c>
      <c r="H30" s="79">
        <f t="shared" si="12"/>
        <v>0</v>
      </c>
      <c r="I30" s="79">
        <f t="shared" si="12"/>
        <v>0</v>
      </c>
      <c r="J30" s="79">
        <f t="shared" si="12"/>
        <v>0</v>
      </c>
      <c r="K30" s="79">
        <f t="shared" si="12"/>
        <v>0</v>
      </c>
      <c r="L30" s="79">
        <f t="shared" si="12"/>
        <v>0</v>
      </c>
      <c r="M30" s="79">
        <f t="shared" si="12"/>
        <v>0</v>
      </c>
      <c r="N30" s="79">
        <f t="shared" si="12"/>
        <v>0</v>
      </c>
      <c r="O30" s="301">
        <f>SUM(C30:N30)</f>
        <v>1475910.19</v>
      </c>
    </row>
    <row r="31" ht="13.5" customHeight="1" spans="1:15" x14ac:dyDescent="0.25">
      <c r="A31" s="1" t="s">
        <v>82</v>
      </c>
      <c r="B31" s="70"/>
      <c r="C31" s="51">
        <f>SUM('PL WB (нед)'!C31:G31)</f>
        <v>0</v>
      </c>
      <c r="D31" s="51">
        <f>SUM('PL WB (нед)'!H31:K31)</f>
        <v>0</v>
      </c>
      <c r="E31" s="51">
        <f>SUM('PL WB (нед)'!L31:O31)</f>
        <v>352.3</v>
      </c>
      <c r="F31" s="51">
        <f>SUM('PL WB (нед)'!P31:S31)</f>
        <v>66.37</v>
      </c>
      <c r="G31" s="51">
        <f>SUM('PL WB (нед)'!T31:X31)</f>
        <v>0</v>
      </c>
      <c r="H31" s="51">
        <f>SUM('PL WB (нед)'!Y31:AB31)</f>
        <v>0</v>
      </c>
      <c r="I31" s="51">
        <f>SUM('PL WB (нед)'!AC31:AF31)</f>
        <v>0</v>
      </c>
      <c r="J31" s="51">
        <f>SUM('PL WB (нед)'!AG31:AK31)</f>
        <v>0</v>
      </c>
      <c r="K31" s="51">
        <f>SUM('PL WB (нед)'!AL31:AO31)</f>
        <v>0</v>
      </c>
      <c r="L31" s="51">
        <f>SUM('PL WB (нед)'!AP31:AT31)</f>
        <v>0</v>
      </c>
      <c r="M31" s="51">
        <f>SUM('PL WB (нед)'!AU31:AX31)</f>
        <v>0</v>
      </c>
      <c r="N31" s="51">
        <f>SUM('PL WB (нед)'!AY31:BB31)</f>
        <v>0</v>
      </c>
      <c r="O31" s="300"/>
    </row>
    <row r="33" ht="13.5" customHeight="1" spans="1:15" x14ac:dyDescent="0.25">
      <c r="A33" s="68" t="s">
        <v>29</v>
      </c>
      <c r="B33" s="84"/>
      <c r="C33" s="60">
        <f>SUM('PL WB (нед)'!C33:G33)</f>
        <v>168693.81</v>
      </c>
      <c r="D33" s="60">
        <f>SUM('PL WB (нед)'!H33:K33)</f>
        <v>171580.71999999997</v>
      </c>
      <c r="E33" s="60">
        <f>SUM('PL WB (нед)'!L33:O33)</f>
        <v>160364.4</v>
      </c>
      <c r="F33" s="60">
        <f>SUM('PL WB (нед)'!P33:S33)</f>
        <v>63057.90000000001</v>
      </c>
      <c r="G33" s="60">
        <f>SUM('PL WB (нед)'!T33:X33)</f>
        <v>0</v>
      </c>
      <c r="H33" s="60">
        <f>SUM('PL WB (нед)'!Y33:AB33)</f>
        <v>0</v>
      </c>
      <c r="I33" s="60">
        <f>SUM('PL WB (нед)'!AC33:AF33)</f>
        <v>0</v>
      </c>
      <c r="J33" s="60">
        <f>SUM('PL WB (нед)'!AG33:AK33)</f>
        <v>0</v>
      </c>
      <c r="K33" s="60">
        <f>SUM('PL WB (нед)'!AL33:AO33)</f>
        <v>0</v>
      </c>
      <c r="L33" s="60">
        <f>SUM('PL WB (нед)'!AP33:AT33)</f>
        <v>0</v>
      </c>
      <c r="M33" s="60">
        <f>SUM('PL WB (нед)'!AU33:AX33)</f>
        <v>0</v>
      </c>
      <c r="N33" s="60">
        <f>SUM('PL WB (нед)'!AY33:BC33)</f>
        <v>0</v>
      </c>
      <c r="O33" s="60">
        <f>SUM('PL WB (нед)'!AZ33:BD33)</f>
        <v>563696.8300000001</v>
      </c>
    </row>
    <row r="34" ht="13.5" customHeight="1" spans="1:15" x14ac:dyDescent="0.25">
      <c r="A34" s="85" t="s">
        <v>83</v>
      </c>
      <c r="B34" s="86"/>
      <c r="C34" s="87">
        <f>C33/C14</f>
        <v>0.20717539692676504</v>
      </c>
      <c r="D34" s="87">
        <f t="shared" ref="D34:O34" si="13">D33/D15</f>
        <v>0.2973442579768613</v>
      </c>
      <c r="E34" s="87">
        <f t="shared" si="13"/>
        <v>0.30377396018616915</v>
      </c>
      <c r="F34" s="87">
        <f t="shared" si="13"/>
        <v>0.2638770206764951</v>
      </c>
      <c r="G34" s="87" t="e">
        <f t="shared" si="13"/>
        <v>#DIV/0!</v>
      </c>
      <c r="H34" s="87" t="e">
        <f t="shared" si="13"/>
        <v>#DIV/0!</v>
      </c>
      <c r="I34" s="87" t="e">
        <f t="shared" si="13"/>
        <v>#DIV/0!</v>
      </c>
      <c r="J34" s="87" t="e">
        <f t="shared" si="13"/>
        <v>#DIV/0!</v>
      </c>
      <c r="K34" s="87" t="e">
        <f t="shared" si="13"/>
        <v>#DIV/0!</v>
      </c>
      <c r="L34" s="87" t="e">
        <f t="shared" si="13"/>
        <v>#DIV/0!</v>
      </c>
      <c r="M34" s="87" t="e">
        <f t="shared" si="13"/>
        <v>#DIV/0!</v>
      </c>
      <c r="N34" s="87" t="e">
        <f t="shared" si="13"/>
        <v>#DIV/0!</v>
      </c>
      <c r="O34" s="87">
        <f t="shared" si="13"/>
        <v>0.29735691629068245</v>
      </c>
    </row>
    <row r="35" ht="13.5" customHeight="1" spans="1:15" x14ac:dyDescent="0.25">
      <c r="A35" s="81"/>
      <c r="B35" s="89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300"/>
    </row>
    <row r="36" ht="13.5" customHeight="1" spans="1:15" x14ac:dyDescent="0.25">
      <c r="A36" s="68" t="s">
        <v>10</v>
      </c>
      <c r="B36" s="84"/>
      <c r="C36" s="60">
        <f>C20-C33</f>
        <v>400018.3499999999</v>
      </c>
      <c r="D36" s="60">
        <f t="shared" ref="D36:O36" si="14">D20-D33</f>
        <v>435610.47</v>
      </c>
      <c r="E36" s="60">
        <f t="shared" si="14"/>
        <v>367185.01</v>
      </c>
      <c r="F36" s="60">
        <f t="shared" si="14"/>
        <v>173793.55999999994</v>
      </c>
      <c r="G36" s="60">
        <f t="shared" si="14"/>
        <v>0</v>
      </c>
      <c r="H36" s="60">
        <f t="shared" si="14"/>
        <v>0</v>
      </c>
      <c r="I36" s="60">
        <f t="shared" si="14"/>
        <v>0</v>
      </c>
      <c r="J36" s="60">
        <f t="shared" si="14"/>
        <v>0</v>
      </c>
      <c r="K36" s="60">
        <f t="shared" si="14"/>
        <v>0</v>
      </c>
      <c r="L36" s="60">
        <f t="shared" si="14"/>
        <v>0</v>
      </c>
      <c r="M36" s="60">
        <f t="shared" si="14"/>
        <v>0</v>
      </c>
      <c r="N36" s="60">
        <f t="shared" si="14"/>
        <v>0</v>
      </c>
      <c r="O36" s="60">
        <f t="shared" si="14"/>
        <v>1376607.3899999997</v>
      </c>
    </row>
    <row r="37" ht="13.5" customHeight="1" spans="1:15" x14ac:dyDescent="0.25">
      <c r="A37" s="90"/>
      <c r="B37" s="39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300"/>
    </row>
    <row r="38" ht="13.5" customHeight="1" spans="1:15" x14ac:dyDescent="0.25">
      <c r="A38" s="68" t="s">
        <v>84</v>
      </c>
      <c r="B38" s="84"/>
      <c r="C38" s="60">
        <f t="shared" ref="C38:N38" si="15">SUM(C40:C51)</f>
        <v>145103.53</v>
      </c>
      <c r="D38" s="60">
        <f t="shared" si="15"/>
        <v>119549.69</v>
      </c>
      <c r="E38" s="60">
        <f t="shared" si="15"/>
        <v>137125.93</v>
      </c>
      <c r="F38" s="60">
        <f t="shared" si="15"/>
        <v>63033.55</v>
      </c>
      <c r="G38" s="60">
        <f t="shared" si="15"/>
        <v>0</v>
      </c>
      <c r="H38" s="60">
        <f t="shared" si="15"/>
        <v>0</v>
      </c>
      <c r="I38" s="60">
        <f t="shared" si="15"/>
        <v>0</v>
      </c>
      <c r="J38" s="60">
        <f t="shared" si="15"/>
        <v>0</v>
      </c>
      <c r="K38" s="60">
        <f t="shared" si="15"/>
        <v>0</v>
      </c>
      <c r="L38" s="60">
        <f t="shared" si="15"/>
        <v>0</v>
      </c>
      <c r="M38" s="60">
        <f t="shared" si="15"/>
        <v>0</v>
      </c>
      <c r="N38" s="60">
        <f t="shared" si="15"/>
        <v>0</v>
      </c>
      <c r="O38" s="301">
        <f>SUM(C38:N38)</f>
        <v>464812.69999999995</v>
      </c>
    </row>
    <row r="39" ht="13.5" customHeight="1" spans="1:15" x14ac:dyDescent="0.25">
      <c r="A39" s="91" t="s">
        <v>85</v>
      </c>
      <c r="B39" s="92"/>
      <c r="C39" s="87">
        <f>C38/C14</f>
        <v>0.17820382042011357</v>
      </c>
      <c r="D39" s="87">
        <f t="shared" ref="D39:O39" si="16">D38/D14</f>
        <v>0.13594476454942522</v>
      </c>
      <c r="E39" s="87">
        <f t="shared" si="16"/>
        <v>0.17754744708895373</v>
      </c>
      <c r="F39" s="87">
        <f t="shared" si="16"/>
        <v>0.1827673942543</v>
      </c>
      <c r="G39" s="87" t="e">
        <f t="shared" si="16"/>
        <v>#DIV/0!</v>
      </c>
      <c r="H39" s="87" t="e">
        <f t="shared" si="16"/>
        <v>#DIV/0!</v>
      </c>
      <c r="I39" s="87" t="e">
        <f t="shared" si="16"/>
        <v>#DIV/0!</v>
      </c>
      <c r="J39" s="87" t="e">
        <f t="shared" si="16"/>
        <v>#DIV/0!</v>
      </c>
      <c r="K39" s="87" t="e">
        <f t="shared" si="16"/>
        <v>#DIV/0!</v>
      </c>
      <c r="L39" s="87" t="e">
        <f t="shared" si="16"/>
        <v>#DIV/0!</v>
      </c>
      <c r="M39" s="87" t="e">
        <f t="shared" si="16"/>
        <v>#DIV/0!</v>
      </c>
      <c r="N39" s="87" t="e">
        <f t="shared" si="16"/>
        <v>#DIV/0!</v>
      </c>
      <c r="O39" s="87">
        <f t="shared" si="16"/>
        <v>0.16536239808771153</v>
      </c>
    </row>
    <row r="40" ht="13.5" customHeight="1" spans="1:15" x14ac:dyDescent="0.25">
      <c r="A40" s="93" t="s">
        <v>129</v>
      </c>
      <c r="B40" s="94"/>
      <c r="C40" s="95">
        <f>SUM('PL WB (нед)'!C40:G40)</f>
        <v>107470</v>
      </c>
      <c r="D40" s="95">
        <f>SUM('PL WB (нед)'!H40:K40)</f>
        <v>96239</v>
      </c>
      <c r="E40" s="95">
        <f>SUM('PL WB (нед)'!L40:O40)</f>
        <v>102165</v>
      </c>
      <c r="F40" s="95">
        <f>SUM('PL WB (нед)'!P40:S40)</f>
        <v>39233</v>
      </c>
      <c r="G40" s="95">
        <f>SUM('PL WB (нед)'!T40:X40)</f>
        <v>0</v>
      </c>
      <c r="H40" s="95">
        <f>SUM('PL WB (нед)'!Y40:AB40)</f>
        <v>0</v>
      </c>
      <c r="I40" s="95">
        <f>SUM('PL WB (нед)'!AC40:AF40)</f>
        <v>0</v>
      </c>
      <c r="J40" s="95">
        <f>SUM('PL WB (нед)'!AG40:AK40)</f>
        <v>0</v>
      </c>
      <c r="K40" s="95">
        <f>SUM('PL WB (нед)'!AL40:AO40)</f>
        <v>0</v>
      </c>
      <c r="L40" s="95">
        <f>SUM('PL WB (нед)'!AP40:AT40)</f>
        <v>0</v>
      </c>
      <c r="M40" s="95">
        <f>SUM('PL WB (нед)'!AU40:AX40)</f>
        <v>0</v>
      </c>
      <c r="N40" s="95">
        <f>SUM('PL WB (нед)'!AY40:BC40)</f>
        <v>0</v>
      </c>
      <c r="O40" s="301">
        <f t="shared" ref="O40:O45" si="17">SUM(C40:N40)</f>
        <v>345107</v>
      </c>
    </row>
    <row r="41" ht="13.5" customHeight="1" spans="1:15" x14ac:dyDescent="0.25">
      <c r="A41" s="93" t="s">
        <v>130</v>
      </c>
      <c r="B41" s="94"/>
      <c r="C41" s="95">
        <f>SUM('PL WB (нед)'!C41:G41)</f>
        <v>0</v>
      </c>
      <c r="D41" s="95">
        <f>SUM('PL WB (нед)'!H41:K41)</f>
        <v>0</v>
      </c>
      <c r="E41" s="95">
        <f>SUM('PL WB (нед)'!L41:O41)</f>
        <v>0</v>
      </c>
      <c r="F41" s="95">
        <f>SUM('PL WB (нед)'!P41:S41)</f>
        <v>0</v>
      </c>
      <c r="G41" s="95">
        <f>SUM('PL WB (нед)'!T41:X41)</f>
        <v>0</v>
      </c>
      <c r="H41" s="95">
        <f>SUM('PL WB (нед)'!Y41:AB41)</f>
        <v>0</v>
      </c>
      <c r="I41" s="95">
        <f>SUM('PL WB (нед)'!AC41:AF41)</f>
        <v>0</v>
      </c>
      <c r="J41" s="95">
        <f>SUM('PL WB (нед)'!AG41:AK41)</f>
        <v>0</v>
      </c>
      <c r="K41" s="95">
        <f>SUM('PL WB (нед)'!AL41:AO41)</f>
        <v>0</v>
      </c>
      <c r="L41" s="95">
        <f>SUM('PL WB (нед)'!AP41:AT41)</f>
        <v>0</v>
      </c>
      <c r="M41" s="95">
        <f>SUM('PL WB (нед)'!AU41:AX41)</f>
        <v>0</v>
      </c>
      <c r="N41" s="95">
        <f>SUM('PL WB (нед)'!AY41:BC41)</f>
        <v>0</v>
      </c>
      <c r="O41" s="301">
        <f t="shared" si="17"/>
        <v>0</v>
      </c>
    </row>
    <row r="42" ht="13.5" customHeight="1" spans="1:15" x14ac:dyDescent="0.25">
      <c r="A42" s="93" t="s">
        <v>131</v>
      </c>
      <c r="B42" s="94"/>
      <c r="C42" s="95">
        <f>SUM('PL WB (нед)'!C42:G42)</f>
        <v>0</v>
      </c>
      <c r="D42" s="95">
        <f>SUM('PL WB (нед)'!H42:K42)</f>
        <v>0</v>
      </c>
      <c r="E42" s="95">
        <f>SUM('PL WB (нед)'!L42:O42)</f>
        <v>0</v>
      </c>
      <c r="F42" s="95">
        <f>SUM('PL WB (нед)'!P42:S42)</f>
        <v>0</v>
      </c>
      <c r="G42" s="95">
        <f>SUM('PL WB (нед)'!T42:X42)</f>
        <v>0</v>
      </c>
      <c r="H42" s="95">
        <f>SUM('PL WB (нед)'!Y42:AB42)</f>
        <v>0</v>
      </c>
      <c r="I42" s="95">
        <f>SUM('PL WB (нед)'!AC42:AF42)</f>
        <v>0</v>
      </c>
      <c r="J42" s="95">
        <f>SUM('PL WB (нед)'!AG42:AK42)</f>
        <v>0</v>
      </c>
      <c r="K42" s="95">
        <f>SUM('PL WB (нед)'!AL42:AO42)</f>
        <v>0</v>
      </c>
      <c r="L42" s="95">
        <f>SUM('PL WB (нед)'!AP42:AT42)</f>
        <v>0</v>
      </c>
      <c r="M42" s="95">
        <f>SUM('PL WB (нед)'!AU42:AX42)</f>
        <v>0</v>
      </c>
      <c r="N42" s="95">
        <f>SUM('PL WB (нед)'!AY42:BC42)</f>
        <v>0</v>
      </c>
      <c r="O42" s="301">
        <f>SUM(C42:N42)</f>
        <v>0</v>
      </c>
    </row>
    <row r="43" ht="13.5" customHeight="1" spans="1:15" x14ac:dyDescent="0.25">
      <c r="A43" s="93" t="s">
        <v>132</v>
      </c>
      <c r="B43" s="94"/>
      <c r="C43" s="95">
        <f>SUM('PL WB (нед)'!C43:G43)</f>
        <v>23611.72</v>
      </c>
      <c r="D43" s="95">
        <f>SUM('PL WB (нед)'!H43:K43)</f>
        <v>23310.690000000002</v>
      </c>
      <c r="E43" s="95">
        <f>SUM('PL WB (нед)'!L43:O43)</f>
        <v>34960.93</v>
      </c>
      <c r="F43" s="95">
        <f>SUM('PL WB (нед)'!P43:S43)</f>
        <v>23760.55</v>
      </c>
      <c r="G43" s="95">
        <f>SUM('PL WB (нед)'!T43:X43)</f>
        <v>0</v>
      </c>
      <c r="H43" s="95">
        <f>SUM('PL WB (нед)'!Y43:AB43)</f>
        <v>0</v>
      </c>
      <c r="I43" s="95">
        <f>SUM('PL WB (нед)'!AC43:AF43)</f>
        <v>0</v>
      </c>
      <c r="J43" s="95">
        <f>SUM('PL WB (нед)'!AG43:AK43)</f>
        <v>0</v>
      </c>
      <c r="K43" s="95">
        <f>SUM('PL WB (нед)'!AL43:AO43)</f>
        <v>0</v>
      </c>
      <c r="L43" s="95">
        <f>SUM('PL WB (нед)'!AP43:AT43)</f>
        <v>0</v>
      </c>
      <c r="M43" s="95">
        <f>SUM('PL WB (нед)'!AU43:AX43)</f>
        <v>0</v>
      </c>
      <c r="N43" s="95">
        <f>SUM('PL WB (нед)'!AY43:BC43)</f>
        <v>0</v>
      </c>
      <c r="O43" s="301">
        <f t="shared" si="17"/>
        <v>105643.89</v>
      </c>
    </row>
    <row r="44" ht="13.5" customHeight="1" spans="1:15" x14ac:dyDescent="0.25">
      <c r="A44" s="93" t="s">
        <v>133</v>
      </c>
      <c r="B44" s="94"/>
      <c r="C44" s="95">
        <f>SUM('PL WB (нед)'!C44:G44)</f>
        <v>741</v>
      </c>
      <c r="D44" s="95">
        <f>SUM('PL WB (нед)'!H44:K44)</f>
        <v>0</v>
      </c>
      <c r="E44" s="95">
        <f>SUM('PL WB (нед)'!L44:O44)</f>
        <v>0</v>
      </c>
      <c r="F44" s="95">
        <f>SUM('PL WB (нед)'!P44:S44)</f>
        <v>40</v>
      </c>
      <c r="G44" s="95">
        <f>SUM('PL WB (нед)'!T44:X44)</f>
        <v>0</v>
      </c>
      <c r="H44" s="95">
        <f>SUM('PL WB (нед)'!Y44:AB44)</f>
        <v>0</v>
      </c>
      <c r="I44" s="95">
        <f>SUM('PL WB (нед)'!AC44:AF44)</f>
        <v>0</v>
      </c>
      <c r="J44" s="95">
        <f>SUM('PL WB (нед)'!AG44:AK44)</f>
        <v>0</v>
      </c>
      <c r="K44" s="95">
        <f>SUM('PL WB (нед)'!AL44:AO44)</f>
        <v>0</v>
      </c>
      <c r="L44" s="95">
        <f>SUM('PL WB (нед)'!AP44:AT44)</f>
        <v>0</v>
      </c>
      <c r="M44" s="95">
        <f>SUM('PL WB (нед)'!AU44:AX44)</f>
        <v>0</v>
      </c>
      <c r="N44" s="95">
        <f>SUM('PL WB (нед)'!AY44:BC44)</f>
        <v>0</v>
      </c>
      <c r="O44" s="301">
        <f t="shared" si="17"/>
        <v>781</v>
      </c>
    </row>
    <row r="45" ht="13.5" customHeight="1" spans="1:15" x14ac:dyDescent="0.25">
      <c r="A45" s="93" t="s">
        <v>134</v>
      </c>
      <c r="B45" s="94"/>
      <c r="C45" s="95">
        <f>SUM('PL WB (нед)'!C45:G45)</f>
        <v>13280.81</v>
      </c>
      <c r="D45" s="95">
        <f>SUM('PL WB (нед)'!H45:K45)</f>
        <v>0</v>
      </c>
      <c r="E45" s="95">
        <f>SUM('PL WB (нед)'!L45:O45)</f>
        <v>0</v>
      </c>
      <c r="F45" s="95">
        <f>SUM('PL WB (нед)'!P45:S45)</f>
        <v>0</v>
      </c>
      <c r="G45" s="95">
        <f>SUM('PL WB (нед)'!T45:X45)</f>
        <v>0</v>
      </c>
      <c r="H45" s="95">
        <f>SUM('PL WB (нед)'!Y45:AB45)</f>
        <v>0</v>
      </c>
      <c r="I45" s="95">
        <f>SUM('PL WB (нед)'!AC45:AF45)</f>
        <v>0</v>
      </c>
      <c r="J45" s="95">
        <f>SUM('PL WB (нед)'!AG45:AK45)</f>
        <v>0</v>
      </c>
      <c r="K45" s="95">
        <f>SUM('PL WB (нед)'!AL45:AO45)</f>
        <v>0</v>
      </c>
      <c r="L45" s="95">
        <f>SUM('PL WB (нед)'!AP45:AT45)</f>
        <v>0</v>
      </c>
      <c r="M45" s="95">
        <f>SUM('PL WB (нед)'!AU45:AX45)</f>
        <v>0</v>
      </c>
      <c r="N45" s="95">
        <f>SUM('PL WB (нед)'!AY45:BC45)</f>
        <v>0</v>
      </c>
      <c r="O45" s="301">
        <f t="shared" si="17"/>
        <v>13280.81</v>
      </c>
    </row>
    <row r="46" ht="13.5" customHeight="1" spans="1:15" x14ac:dyDescent="0.25">
      <c r="A46" s="93"/>
      <c r="B46" s="94"/>
      <c r="C46" s="95">
        <f>SUM('PL WB (нед)'!C46:G46)</f>
        <v>0</v>
      </c>
      <c r="D46" s="95">
        <f>SUM('PL WB (нед)'!H46:K46)</f>
        <v>0</v>
      </c>
      <c r="E46" s="95">
        <f>SUM('PL WB (нед)'!L46:O46)</f>
        <v>0</v>
      </c>
      <c r="F46" s="95">
        <f>SUM('PL WB (нед)'!P46:S46)</f>
        <v>0</v>
      </c>
      <c r="G46" s="95">
        <f>SUM('PL WB (нед)'!T46:X46)</f>
        <v>0</v>
      </c>
      <c r="H46" s="95">
        <f>SUM('PL WB (нед)'!Y46:AB46)</f>
        <v>0</v>
      </c>
      <c r="I46" s="95">
        <f>SUM('PL WB (нед)'!AC46:AF46)</f>
        <v>0</v>
      </c>
      <c r="J46" s="95">
        <f>SUM('PL WB (нед)'!AG46:AK46)</f>
        <v>0</v>
      </c>
      <c r="K46" s="95">
        <f>SUM('PL WB (нед)'!AL46:AO46)</f>
        <v>0</v>
      </c>
      <c r="L46" s="95">
        <f>SUM('PL WB (нед)'!AP46:AT46)</f>
        <v>0</v>
      </c>
      <c r="M46" s="95">
        <f>SUM('PL WB (нед)'!AU46:AX46)</f>
        <v>0</v>
      </c>
      <c r="N46" s="95">
        <f>SUM('PL WB (нед)'!AY46:BC46)</f>
        <v>0</v>
      </c>
      <c r="O46" s="301"/>
    </row>
    <row r="47" ht="13.5" customHeight="1" spans="1:15" x14ac:dyDescent="0.25">
      <c r="A47" s="93" t="s">
        <v>90</v>
      </c>
      <c r="B47" s="94"/>
      <c r="C47" s="95">
        <f>SUM('PL WB (нед)'!C47:G47)</f>
        <v>0</v>
      </c>
      <c r="D47" s="95">
        <f>SUM('PL WB (нед)'!H47:K47)</f>
        <v>0</v>
      </c>
      <c r="E47" s="95">
        <f>SUM('PL WB (нед)'!L47:O47)</f>
        <v>0</v>
      </c>
      <c r="F47" s="95">
        <f>SUM('PL WB (нед)'!P47:S47)</f>
        <v>0</v>
      </c>
      <c r="G47" s="95">
        <f>SUM('PL WB (нед)'!T47:X47)</f>
        <v>0</v>
      </c>
      <c r="H47" s="95">
        <f>SUM('PL WB (нед)'!Y47:AB47)</f>
        <v>0</v>
      </c>
      <c r="I47" s="95">
        <f>SUM('PL WB (нед)'!AC47:AF47)</f>
        <v>0</v>
      </c>
      <c r="J47" s="95">
        <f>SUM('PL WB (нед)'!AG47:AK47)</f>
        <v>0</v>
      </c>
      <c r="K47" s="95">
        <f>SUM('PL WB (нед)'!AL47:AO47)</f>
        <v>0</v>
      </c>
      <c r="L47" s="95">
        <f>SUM('PL WB (нед)'!AP47:AT47)</f>
        <v>0</v>
      </c>
      <c r="M47" s="95">
        <f>SUM('PL WB (нед)'!AU47:AX47)</f>
        <v>0</v>
      </c>
      <c r="N47" s="95">
        <f>SUM('PL WB (нед)'!AY47:BC47)</f>
        <v>0</v>
      </c>
      <c r="O47" s="301"/>
    </row>
    <row r="48" ht="13.5" customHeight="1" spans="1:15" x14ac:dyDescent="0.25">
      <c r="A48" s="93" t="s">
        <v>91</v>
      </c>
      <c r="B48" s="94"/>
      <c r="C48" s="95">
        <f>SUM('PL WB (нед)'!C48:G48)</f>
        <v>0</v>
      </c>
      <c r="D48" s="95">
        <f>SUM('PL WB (нед)'!H48:K48)</f>
        <v>0</v>
      </c>
      <c r="E48" s="95">
        <f>SUM('PL WB (нед)'!L48:O48)</f>
        <v>0</v>
      </c>
      <c r="F48" s="95">
        <f>SUM('PL WB (нед)'!P48:S48)</f>
        <v>0</v>
      </c>
      <c r="G48" s="95">
        <f>SUM('PL WB (нед)'!T48:X48)</f>
        <v>0</v>
      </c>
      <c r="H48" s="95">
        <f>SUM('PL WB (нед)'!Y48:AB48)</f>
        <v>0</v>
      </c>
      <c r="I48" s="95">
        <f>SUM('PL WB (нед)'!AC48:AF48)</f>
        <v>0</v>
      </c>
      <c r="J48" s="95">
        <f>SUM('PL WB (нед)'!AG48:AK48)</f>
        <v>0</v>
      </c>
      <c r="K48" s="95">
        <f>SUM('PL WB (нед)'!AL48:AO48)</f>
        <v>0</v>
      </c>
      <c r="L48" s="95">
        <f>SUM('PL WB (нед)'!AP48:AT48)</f>
        <v>0</v>
      </c>
      <c r="M48" s="95">
        <f>SUM('PL WB (нед)'!AU48:AX48)</f>
        <v>0</v>
      </c>
      <c r="N48" s="95">
        <f>SUM('PL WB (нед)'!AY48:BC48)</f>
        <v>0</v>
      </c>
      <c r="O48" s="301"/>
    </row>
    <row r="49" ht="13.5" customHeight="1" spans="1:15" x14ac:dyDescent="0.25">
      <c r="A49" s="93" t="s">
        <v>92</v>
      </c>
      <c r="B49" s="94"/>
      <c r="C49" s="95">
        <f>SUM('PL WB (нед)'!C49:G49)</f>
        <v>0</v>
      </c>
      <c r="D49" s="95">
        <f>SUM('PL WB (нед)'!H49:K49)</f>
        <v>0</v>
      </c>
      <c r="E49" s="95">
        <f>SUM('PL WB (нед)'!L49:O49)</f>
        <v>0</v>
      </c>
      <c r="F49" s="95">
        <f>SUM('PL WB (нед)'!P49:S49)</f>
        <v>0</v>
      </c>
      <c r="G49" s="95">
        <f>SUM('PL WB (нед)'!T49:X49)</f>
        <v>0</v>
      </c>
      <c r="H49" s="95">
        <f>SUM('PL WB (нед)'!Y49:AB49)</f>
        <v>0</v>
      </c>
      <c r="I49" s="95">
        <f>SUM('PL WB (нед)'!AC49:AF49)</f>
        <v>0</v>
      </c>
      <c r="J49" s="95">
        <f>SUM('PL WB (нед)'!AG49:AK49)</f>
        <v>0</v>
      </c>
      <c r="K49" s="95">
        <f>SUM('PL WB (нед)'!AL49:AO49)</f>
        <v>0</v>
      </c>
      <c r="L49" s="95">
        <f>SUM('PL WB (нед)'!AP49:AT49)</f>
        <v>0</v>
      </c>
      <c r="M49" s="95">
        <f>SUM('PL WB (нед)'!AU49:AX49)</f>
        <v>0</v>
      </c>
      <c r="N49" s="95">
        <f>SUM('PL WB (нед)'!AY49:BC49)</f>
        <v>0</v>
      </c>
      <c r="O49" s="301"/>
    </row>
    <row r="50" ht="13.5" customHeight="1" spans="1:15" x14ac:dyDescent="0.25">
      <c r="A50" s="97" t="s">
        <v>93</v>
      </c>
      <c r="B50" s="94"/>
      <c r="C50" s="95">
        <f>SUM('PL WB (нед)'!C50:G50)</f>
        <v>0</v>
      </c>
      <c r="D50" s="95">
        <f>SUM('PL WB (нед)'!H50:K50)</f>
        <v>0</v>
      </c>
      <c r="E50" s="95">
        <f>SUM('PL WB (нед)'!L50:O50)</f>
        <v>0</v>
      </c>
      <c r="F50" s="95">
        <f>SUM('PL WB (нед)'!P50:S50)</f>
        <v>0</v>
      </c>
      <c r="G50" s="95">
        <f>SUM('PL WB (нед)'!T50:X50)</f>
        <v>0</v>
      </c>
      <c r="H50" s="95">
        <f>SUM('PL WB (нед)'!Y50:AB50)</f>
        <v>0</v>
      </c>
      <c r="I50" s="95">
        <f>SUM('PL WB (нед)'!AC50:AF50)</f>
        <v>0</v>
      </c>
      <c r="J50" s="95">
        <f>SUM('PL WB (нед)'!AG50:AK50)</f>
        <v>0</v>
      </c>
      <c r="K50" s="95">
        <f>SUM('PL WB (нед)'!AL50:AO50)</f>
        <v>0</v>
      </c>
      <c r="L50" s="95">
        <f>SUM('PL WB (нед)'!AP50:AT50)</f>
        <v>0</v>
      </c>
      <c r="M50" s="95">
        <f>SUM('PL WB (нед)'!AU50:AX50)</f>
        <v>0</v>
      </c>
      <c r="N50" s="95">
        <f>SUM('PL WB (нед)'!AY50:BC50)</f>
        <v>0</v>
      </c>
      <c r="O50" s="301"/>
    </row>
    <row r="51" ht="13.5" customHeight="1" spans="1:15" x14ac:dyDescent="0.25">
      <c r="A51" s="93" t="s">
        <v>94</v>
      </c>
      <c r="B51" s="94"/>
      <c r="C51" s="95">
        <f>SUM('PL WB (нед)'!C51:G51)</f>
        <v>0</v>
      </c>
      <c r="D51" s="95">
        <f>SUM('PL WB (нед)'!H51:K51)</f>
        <v>0</v>
      </c>
      <c r="E51" s="95">
        <f>SUM('PL WB (нед)'!L51:O51)</f>
        <v>0</v>
      </c>
      <c r="F51" s="95">
        <f>SUM('PL WB (нед)'!P51:S51)</f>
        <v>0</v>
      </c>
      <c r="G51" s="95">
        <f>SUM('PL WB (нед)'!T51:X51)</f>
        <v>0</v>
      </c>
      <c r="H51" s="95">
        <f>SUM('PL WB (нед)'!Y51:AB51)</f>
        <v>0</v>
      </c>
      <c r="I51" s="95">
        <f>SUM('PL WB (нед)'!AC51:AF51)</f>
        <v>0</v>
      </c>
      <c r="J51" s="95">
        <f>SUM('PL WB (нед)'!AG51:AK51)</f>
        <v>0</v>
      </c>
      <c r="K51" s="95">
        <f>SUM('PL WB (нед)'!AL51:AO51)</f>
        <v>0</v>
      </c>
      <c r="L51" s="95">
        <f>SUM('PL WB (нед)'!AP51:AT51)</f>
        <v>0</v>
      </c>
      <c r="M51" s="95">
        <f>SUM('PL WB (нед)'!AU51:AX51)</f>
        <v>0</v>
      </c>
      <c r="N51" s="95">
        <f>SUM('PL WB (нед)'!AY51:BC51)</f>
        <v>0</v>
      </c>
      <c r="O51" s="301"/>
    </row>
    <row r="52" ht="13.5" customHeight="1" spans="1:15" x14ac:dyDescent="0.25">
      <c r="A52" s="38"/>
      <c r="B52" s="39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300"/>
    </row>
    <row r="53" ht="15" customHeight="1" spans="1:15" x14ac:dyDescent="0.25">
      <c r="A53" s="98" t="s">
        <v>95</v>
      </c>
      <c r="B53" s="99"/>
      <c r="C53" s="100">
        <f t="shared" ref="C53:N53" si="18">C36+C31-C38</f>
        <v>254914.81999999992</v>
      </c>
      <c r="D53" s="100">
        <f t="shared" si="18"/>
        <v>316060.77999999997</v>
      </c>
      <c r="E53" s="100">
        <f t="shared" si="18"/>
        <v>230411.38</v>
      </c>
      <c r="F53" s="100">
        <f t="shared" si="18"/>
        <v>110826.37999999993</v>
      </c>
      <c r="G53" s="100">
        <f t="shared" si="18"/>
        <v>0</v>
      </c>
      <c r="H53" s="100">
        <f t="shared" si="18"/>
        <v>0</v>
      </c>
      <c r="I53" s="100">
        <f t="shared" si="18"/>
        <v>0</v>
      </c>
      <c r="J53" s="100">
        <f t="shared" si="18"/>
        <v>0</v>
      </c>
      <c r="K53" s="100">
        <f t="shared" si="18"/>
        <v>0</v>
      </c>
      <c r="L53" s="100">
        <f>L36+L31-L38</f>
        <v>0</v>
      </c>
      <c r="M53" s="100">
        <f t="shared" si="18"/>
        <v>0</v>
      </c>
      <c r="N53" s="100">
        <f t="shared" si="18"/>
        <v>0</v>
      </c>
      <c r="O53" s="303">
        <f>SUM(C53:N53)</f>
        <v>912213.3599999998</v>
      </c>
    </row>
    <row r="54" ht="13.5" customHeight="1" spans="1:15" x14ac:dyDescent="0.25">
      <c r="A54" s="38"/>
      <c r="B54" s="50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303"/>
    </row>
    <row r="55" ht="13.5" customHeight="1" spans="1:15" x14ac:dyDescent="0.25">
      <c r="A55" s="93" t="s">
        <v>96</v>
      </c>
      <c r="B55" s="102" t="s">
        <v>97</v>
      </c>
      <c r="C55" s="60">
        <f t="shared" ref="C55:N55" si="19">C15*7%</f>
        <v>38624.11</v>
      </c>
      <c r="D55" s="60">
        <f t="shared" si="19"/>
        <v>40393.08</v>
      </c>
      <c r="E55" s="60">
        <f t="shared" si="19"/>
        <v>36953.490000000005</v>
      </c>
      <c r="F55" s="60">
        <f t="shared" si="19"/>
        <v>16727.690000000002</v>
      </c>
      <c r="G55" s="60">
        <f t="shared" si="19"/>
        <v>0</v>
      </c>
      <c r="H55" s="60">
        <f t="shared" si="19"/>
        <v>0</v>
      </c>
      <c r="I55" s="60">
        <f t="shared" si="19"/>
        <v>0</v>
      </c>
      <c r="J55" s="60">
        <f t="shared" si="19"/>
        <v>0</v>
      </c>
      <c r="K55" s="60">
        <f t="shared" si="19"/>
        <v>0</v>
      </c>
      <c r="L55" s="60">
        <f t="shared" si="19"/>
        <v>0</v>
      </c>
      <c r="M55" s="60">
        <f t="shared" si="19"/>
        <v>0</v>
      </c>
      <c r="N55" s="60">
        <f t="shared" si="19"/>
        <v>0</v>
      </c>
      <c r="O55" s="303">
        <f t="shared" ref="O55" si="20">SUM(C55:N55)</f>
        <v>132698.37</v>
      </c>
    </row>
    <row r="56" ht="13.5" customHeight="1" spans="1:15" x14ac:dyDescent="0.25">
      <c r="A56" s="38"/>
      <c r="B56" s="39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300"/>
    </row>
    <row r="57" ht="15" customHeight="1" spans="1:15" x14ac:dyDescent="0.25">
      <c r="A57" s="103" t="s">
        <v>6</v>
      </c>
      <c r="B57" s="104"/>
      <c r="C57" s="100">
        <f t="shared" ref="C57:N57" si="21">C53-C55</f>
        <v>216290.7099999999</v>
      </c>
      <c r="D57" s="100">
        <f t="shared" si="21"/>
        <v>275667.69999999995</v>
      </c>
      <c r="E57" s="100">
        <f t="shared" si="21"/>
        <v>193457.89</v>
      </c>
      <c r="F57" s="100">
        <f t="shared" si="21"/>
        <v>94098.68999999993</v>
      </c>
      <c r="G57" s="100">
        <f t="shared" si="21"/>
        <v>0</v>
      </c>
      <c r="H57" s="100">
        <f t="shared" si="21"/>
        <v>0</v>
      </c>
      <c r="I57" s="100">
        <f t="shared" si="21"/>
        <v>0</v>
      </c>
      <c r="J57" s="100">
        <f t="shared" si="21"/>
        <v>0</v>
      </c>
      <c r="K57" s="100">
        <f t="shared" si="21"/>
        <v>0</v>
      </c>
      <c r="L57" s="100">
        <f>L53-L55</f>
        <v>0</v>
      </c>
      <c r="M57" s="100">
        <f t="shared" si="21"/>
        <v>0</v>
      </c>
      <c r="N57" s="100">
        <f t="shared" si="21"/>
        <v>0</v>
      </c>
      <c r="O57" s="303">
        <f>SUM(C57:N57)</f>
        <v>779514.9899999998</v>
      </c>
    </row>
    <row r="58" ht="13.5" customHeight="1" spans="1:15" x14ac:dyDescent="0.25">
      <c r="A58" s="105" t="s">
        <v>98</v>
      </c>
      <c r="B58" s="106"/>
      <c r="C58" s="107">
        <f t="shared" ref="C58:M58" si="22">C57/C33</f>
        <v>1.2821496532682493</v>
      </c>
      <c r="D58" s="107">
        <f t="shared" si="22"/>
        <v>1.6066356406477371</v>
      </c>
      <c r="E58" s="107">
        <f t="shared" si="22"/>
        <v>1.2063643177662875</v>
      </c>
      <c r="F58" s="107">
        <f t="shared" si="22"/>
        <v>1.4922585433387396</v>
      </c>
      <c r="G58" s="107" t="e">
        <f t="shared" si="22"/>
        <v>#DIV/0!</v>
      </c>
      <c r="H58" s="107" t="e">
        <f t="shared" si="22"/>
        <v>#DIV/0!</v>
      </c>
      <c r="I58" s="107" t="e">
        <f t="shared" si="22"/>
        <v>#DIV/0!</v>
      </c>
      <c r="J58" s="107" t="e">
        <f t="shared" si="22"/>
        <v>#DIV/0!</v>
      </c>
      <c r="K58" s="107" t="e">
        <f t="shared" si="22"/>
        <v>#DIV/0!</v>
      </c>
      <c r="L58" s="107" t="e">
        <f t="shared" si="22"/>
        <v>#DIV/0!</v>
      </c>
      <c r="M58" s="107" t="e">
        <f t="shared" si="22"/>
        <v>#DIV/0!</v>
      </c>
      <c r="N58" s="107" t="e">
        <f>N57/N33</f>
        <v>#DIV/0!</v>
      </c>
      <c r="O58" s="107">
        <f>O57/O33</f>
        <v>1.3828621140196933</v>
      </c>
    </row>
    <row r="59" ht="13.5" customHeight="1" spans="1:15" x14ac:dyDescent="0.25">
      <c r="A59" s="1" t="s">
        <v>8</v>
      </c>
      <c r="B59" s="109"/>
      <c r="C59" s="107">
        <f t="shared" ref="C59:O59" si="23">C57/C14</f>
        <v>0.2656298633353637</v>
      </c>
      <c r="D59" s="107">
        <f t="shared" si="23"/>
        <v>0.3134728376993833</v>
      </c>
      <c r="E59" s="107">
        <f t="shared" si="23"/>
        <v>0.25048475141583826</v>
      </c>
      <c r="F59" s="107">
        <f t="shared" si="23"/>
        <v>0.27284156412010974</v>
      </c>
      <c r="G59" s="107" t="e">
        <f t="shared" si="23"/>
        <v>#DIV/0!</v>
      </c>
      <c r="H59" s="107" t="e">
        <f t="shared" si="23"/>
        <v>#DIV/0!</v>
      </c>
      <c r="I59" s="107" t="e">
        <f t="shared" si="23"/>
        <v>#DIV/0!</v>
      </c>
      <c r="J59" s="107" t="e">
        <f t="shared" si="23"/>
        <v>#DIV/0!</v>
      </c>
      <c r="K59" s="107" t="e">
        <f t="shared" si="23"/>
        <v>#DIV/0!</v>
      </c>
      <c r="L59" s="107" t="e">
        <f t="shared" si="23"/>
        <v>#DIV/0!</v>
      </c>
      <c r="M59" s="107" t="e">
        <f t="shared" si="23"/>
        <v>#DIV/0!</v>
      </c>
      <c r="N59" s="107" t="e">
        <f t="shared" si="23"/>
        <v>#DIV/0!</v>
      </c>
      <c r="O59" s="107">
        <f t="shared" si="23"/>
        <v>0.2773213126313426</v>
      </c>
    </row>
    <row r="60" ht="15" customHeight="1" spans="1:15" x14ac:dyDescent="0.25">
      <c r="A60" s="98" t="s">
        <v>99</v>
      </c>
      <c r="B60" s="110"/>
      <c r="C60" s="100">
        <f>CF!C38</f>
        <v>0</v>
      </c>
      <c r="D60" s="100">
        <f>CF!D38</f>
        <v>0</v>
      </c>
      <c r="E60" s="100">
        <f>CF!E38</f>
        <v>0</v>
      </c>
      <c r="F60" s="100">
        <f>CF!F38</f>
        <v>0</v>
      </c>
      <c r="G60" s="100">
        <f>CF!G38</f>
        <v>0</v>
      </c>
      <c r="H60" s="100">
        <f>CF!H38</f>
        <v>0</v>
      </c>
      <c r="I60" s="100">
        <f>CF!I38</f>
        <v>0</v>
      </c>
      <c r="J60" s="100">
        <f>CF!J38</f>
        <v>0</v>
      </c>
      <c r="K60" s="100">
        <f>CF!K38</f>
        <v>0</v>
      </c>
      <c r="L60" s="100">
        <f>CF!L38</f>
        <v>0</v>
      </c>
      <c r="M60" s="100">
        <f>CF!M38</f>
        <v>0</v>
      </c>
      <c r="N60" s="100">
        <f>CF!N38</f>
        <v>0</v>
      </c>
      <c r="O60" s="31"/>
    </row>
    <row r="61" ht="15.75" customHeight="1" spans="1:15" x14ac:dyDescent="0.25">
      <c r="A61" s="81"/>
      <c r="B61" s="89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31"/>
    </row>
    <row r="62" ht="13.5" customHeight="1" spans="1:15" x14ac:dyDescent="0.25">
      <c r="A62" s="113" t="s">
        <v>100</v>
      </c>
      <c r="B62" s="114"/>
      <c r="C62" s="115">
        <f>CF!C42</f>
        <v>2426951.8857</v>
      </c>
      <c r="D62" s="115">
        <f>CF!D42</f>
        <v>2920729.7957</v>
      </c>
      <c r="E62" s="115">
        <f>CF!E42</f>
        <v>3317903.6557000005</v>
      </c>
      <c r="F62" s="115">
        <f>CF!F42</f>
        <v>3497581.5157000003</v>
      </c>
      <c r="G62" s="115">
        <f>CF!G42</f>
        <v>3497581.5157000003</v>
      </c>
      <c r="H62" s="115">
        <f>CF!H42</f>
        <v>3497581.5157000003</v>
      </c>
      <c r="I62" s="115">
        <f>CF!I42</f>
        <v>3497581.5157000003</v>
      </c>
      <c r="J62" s="115">
        <f>CF!J42</f>
        <v>3497581.5157000003</v>
      </c>
      <c r="K62" s="115">
        <f>CF!K42</f>
        <v>3497581.5157000003</v>
      </c>
      <c r="L62" s="115">
        <f>CF!L42</f>
        <v>3497581.5157000003</v>
      </c>
      <c r="M62" s="115">
        <f>CF!M42</f>
        <v>3497581.5157000003</v>
      </c>
      <c r="N62" s="115">
        <f>CF!N42</f>
        <v>3497581.5157000003</v>
      </c>
      <c r="O62" s="304"/>
    </row>
    <row r="63" spans="1:15" x14ac:dyDescent="0.25">
      <c r="A63" s="81"/>
      <c r="B63" s="89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31"/>
    </row>
    <row r="64" spans="1:15" x14ac:dyDescent="0.25">
      <c r="A64" s="98" t="s">
        <v>101</v>
      </c>
      <c r="B64" s="99"/>
      <c r="C64" s="117">
        <f>'PL WB (нед)'!G64</f>
        <v>3244857.5133999996</v>
      </c>
      <c r="D64" s="100">
        <f t="shared" ref="D64:M64" si="24">D57+C64-D60</f>
        <v>3520525.2134</v>
      </c>
      <c r="E64" s="100">
        <f t="shared" si="24"/>
        <v>3713983.1034</v>
      </c>
      <c r="F64" s="100">
        <f t="shared" si="24"/>
        <v>3808081.7934</v>
      </c>
      <c r="G64" s="100">
        <f t="shared" si="24"/>
        <v>3808081.7934</v>
      </c>
      <c r="H64" s="100">
        <f t="shared" si="24"/>
        <v>3808081.7934</v>
      </c>
      <c r="I64" s="100">
        <f t="shared" si="24"/>
        <v>3808081.7934</v>
      </c>
      <c r="J64" s="100">
        <f t="shared" si="24"/>
        <v>3808081.7934</v>
      </c>
      <c r="K64" s="100">
        <f t="shared" si="24"/>
        <v>3808081.7934</v>
      </c>
      <c r="L64" s="100">
        <f t="shared" si="24"/>
        <v>3808081.7934</v>
      </c>
      <c r="M64" s="100">
        <f t="shared" si="24"/>
        <v>3808081.7934</v>
      </c>
      <c r="N64" s="100">
        <f>N57+M64-N60</f>
        <v>3808081.7934</v>
      </c>
      <c r="O64" s="31"/>
    </row>
    <row r="66" ht="13.5" customHeight="1" spans="1:14" x14ac:dyDescent="0.25">
      <c r="A66" s="90" t="s">
        <v>102</v>
      </c>
      <c r="B66" s="53"/>
      <c r="C66" s="119">
        <f t="shared" ref="C66:N66" si="25">IFERROR(C41/C7, )</f>
        <v>0</v>
      </c>
      <c r="D66" s="119">
        <f t="shared" si="25"/>
        <v>0</v>
      </c>
      <c r="E66" s="119">
        <f t="shared" si="25"/>
        <v>0</v>
      </c>
      <c r="F66" s="119">
        <f t="shared" si="25"/>
        <v>0</v>
      </c>
      <c r="G66" s="119">
        <f t="shared" si="25"/>
        <v>0</v>
      </c>
      <c r="H66" s="119">
        <f t="shared" si="25"/>
        <v>0</v>
      </c>
      <c r="I66" s="119">
        <f t="shared" si="25"/>
        <v>0</v>
      </c>
      <c r="J66" s="119">
        <f t="shared" si="25"/>
        <v>0</v>
      </c>
      <c r="K66" s="119">
        <f t="shared" si="25"/>
        <v>0</v>
      </c>
      <c r="L66" s="119">
        <f t="shared" si="25"/>
        <v>0</v>
      </c>
      <c r="M66" s="119">
        <f t="shared" si="25"/>
        <v>0</v>
      </c>
      <c r="N66" s="119">
        <f t="shared" si="25"/>
        <v>0</v>
      </c>
    </row>
    <row r="67" ht="13.5" customHeight="1" spans="1:14" x14ac:dyDescent="0.25">
      <c r="A67" s="90" t="s">
        <v>103</v>
      </c>
      <c r="B67" s="53"/>
      <c r="C67" s="87">
        <f t="shared" ref="C67:N67" si="26">IFERROR(C41/C15, )</f>
        <v>0</v>
      </c>
      <c r="D67" s="87">
        <f t="shared" si="26"/>
        <v>0</v>
      </c>
      <c r="E67" s="87">
        <f t="shared" si="26"/>
        <v>0</v>
      </c>
      <c r="F67" s="87">
        <f t="shared" si="26"/>
        <v>0</v>
      </c>
      <c r="G67" s="87">
        <f t="shared" si="26"/>
        <v>0</v>
      </c>
      <c r="H67" s="87">
        <f t="shared" si="26"/>
        <v>0</v>
      </c>
      <c r="I67" s="87">
        <f t="shared" si="26"/>
        <v>0</v>
      </c>
      <c r="J67" s="87">
        <f t="shared" si="26"/>
        <v>0</v>
      </c>
      <c r="K67" s="87">
        <f t="shared" si="26"/>
        <v>0</v>
      </c>
      <c r="L67" s="87">
        <f t="shared" si="26"/>
        <v>0</v>
      </c>
      <c r="M67" s="87">
        <f t="shared" si="26"/>
        <v>0</v>
      </c>
      <c r="N67" s="87">
        <f t="shared" si="26"/>
        <v>0</v>
      </c>
    </row>
    <row r="68" ht="13.5" customHeight="1" spans="1:14" x14ac:dyDescent="0.25">
      <c r="A68" s="90" t="s">
        <v>104</v>
      </c>
      <c r="B68" s="53"/>
      <c r="C68" s="51">
        <f t="shared" ref="C68:N68" si="27">IFERROR(C57/(C7-C23), )</f>
        <v>159.15431199411324</v>
      </c>
      <c r="D68" s="51">
        <f t="shared" si="27"/>
        <v>207.424905944319</v>
      </c>
      <c r="E68" s="51">
        <f t="shared" si="27"/>
        <v>148.81376153846156</v>
      </c>
      <c r="F68" s="51">
        <f t="shared" si="27"/>
        <v>197.27188679245268</v>
      </c>
      <c r="G68" s="51">
        <f t="shared" si="27"/>
        <v>0</v>
      </c>
      <c r="H68" s="51">
        <f t="shared" si="27"/>
        <v>0</v>
      </c>
      <c r="I68" s="51">
        <f t="shared" si="27"/>
        <v>0</v>
      </c>
      <c r="J68" s="51">
        <f t="shared" si="27"/>
        <v>0</v>
      </c>
      <c r="K68" s="51">
        <f t="shared" si="27"/>
        <v>0</v>
      </c>
      <c r="L68" s="51">
        <f t="shared" si="27"/>
        <v>0</v>
      </c>
      <c r="M68" s="51">
        <f t="shared" si="27"/>
        <v>0</v>
      </c>
      <c r="N68" s="51">
        <f t="shared" si="27"/>
        <v>0</v>
      </c>
    </row>
  </sheetData>
  <mergeCells count="1">
    <mergeCell ref="C2:N2"/>
  </mergeCells>
  <conditionalFormatting sqref="A9:N11 B13:B20 A62">
    <cfRule type="cellIs" dxfId="11" priority="19" operator="greaterThan">
      <formula>0</formula>
    </cfRule>
  </conditionalFormatting>
  <conditionalFormatting sqref="C7:N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O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O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O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8:O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O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O62">
    <cfRule type="cellIs" dxfId="12" priority="18" operator="lessThan">
      <formula>0</formula>
    </cfRule>
  </conditionalFormatting>
  <conditionalFormatting sqref="O4:O23">
    <cfRule type="cellIs" dxfId="13" priority="1" operator="lessThan">
      <formula>0</formula>
    </cfRule>
  </conditionalFormatting>
  <conditionalFormatting sqref="O25:O30 A53:O53 O54:O55 A57:O58 C60:N60 A60:B64">
    <cfRule type="cellIs" dxfId="14" priority="20" operator="lessThan">
      <formula>0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FF"/>
  </sheetPr>
  <dimension ref="A1:BD76"/>
  <sheetViews>
    <sheetView workbookViewId="0" zoomScale="100" zoomScaleNormal="100">
      <pane xSplit="2" ySplit="3" topLeftCell="J4" activePane="bottomRight" state="frozen"/>
      <selection pane="bottomRight" activeCell="R32" sqref="R32"/>
    </sheetView>
  </sheetViews>
  <sheetFormatPr defaultRowHeight="15" outlineLevelRow="0" outlineLevelCol="0" x14ac:dyDescent="0.25" defaultColWidth="14.42578125"/>
  <cols>
    <col min="1" max="1" width="24.42578125" style="122" customWidth="1"/>
    <col min="2" max="2" width="28" style="122" customWidth="1"/>
    <col min="3" max="15" width="10.85546875" style="122" customWidth="1"/>
    <col min="16" max="16" width="11.5703125" style="122" customWidth="1"/>
    <col min="17" max="19" width="10.85546875" style="122" customWidth="1"/>
    <col min="20" max="20" width="11.5703125" style="122" customWidth="1"/>
    <col min="21" max="55" width="10.85546875" style="122" customWidth="1"/>
    <col min="56" max="56" width="14.42578125" style="123" customWidth="1"/>
    <col min="57" max="16384" width="14.42578125" style="122" customWidth="1"/>
  </cols>
  <sheetData>
    <row r="1" ht="54" customHeight="1" spans="1:56" s="124" customFormat="1" x14ac:dyDescent="0.25">
      <c r="A1" s="125" t="s">
        <v>105</v>
      </c>
      <c r="B1" s="126"/>
      <c r="C1" s="127">
        <v>1</v>
      </c>
      <c r="D1" s="127">
        <v>2</v>
      </c>
      <c r="E1" s="127">
        <v>3</v>
      </c>
      <c r="F1" s="127">
        <v>4</v>
      </c>
      <c r="G1" s="127">
        <v>5</v>
      </c>
      <c r="H1" s="127">
        <v>6</v>
      </c>
      <c r="I1" s="127">
        <v>7</v>
      </c>
      <c r="J1" s="127">
        <v>8</v>
      </c>
      <c r="K1" s="127">
        <v>9</v>
      </c>
      <c r="L1" s="127">
        <v>10</v>
      </c>
      <c r="M1" s="127">
        <v>11</v>
      </c>
      <c r="N1" s="127">
        <v>12</v>
      </c>
      <c r="O1" s="127">
        <v>13</v>
      </c>
      <c r="P1" s="128">
        <v>14</v>
      </c>
      <c r="Q1" s="129">
        <v>15</v>
      </c>
      <c r="R1" s="129">
        <v>16</v>
      </c>
      <c r="S1" s="130">
        <v>17</v>
      </c>
      <c r="T1" s="128">
        <v>18</v>
      </c>
      <c r="U1" s="129">
        <v>19</v>
      </c>
      <c r="V1" s="129">
        <v>20</v>
      </c>
      <c r="W1" s="129">
        <v>21</v>
      </c>
      <c r="X1" s="130">
        <v>22</v>
      </c>
      <c r="Y1" s="128">
        <v>23</v>
      </c>
      <c r="Z1" s="129">
        <v>24</v>
      </c>
      <c r="AA1" s="129">
        <v>25</v>
      </c>
      <c r="AB1" s="130">
        <v>26</v>
      </c>
      <c r="AC1" s="128">
        <v>27</v>
      </c>
      <c r="AD1" s="129">
        <v>28</v>
      </c>
      <c r="AE1" s="129">
        <v>29</v>
      </c>
      <c r="AF1" s="130">
        <v>30</v>
      </c>
      <c r="AG1" s="128">
        <v>31</v>
      </c>
      <c r="AH1" s="129">
        <v>32</v>
      </c>
      <c r="AI1" s="129">
        <v>33</v>
      </c>
      <c r="AJ1" s="129">
        <v>34</v>
      </c>
      <c r="AK1" s="130">
        <v>35</v>
      </c>
      <c r="AL1" s="128">
        <v>36</v>
      </c>
      <c r="AM1" s="129">
        <v>37</v>
      </c>
      <c r="AN1" s="129">
        <v>38</v>
      </c>
      <c r="AO1" s="130">
        <v>39</v>
      </c>
      <c r="AP1" s="128">
        <v>40</v>
      </c>
      <c r="AQ1" s="129">
        <v>41</v>
      </c>
      <c r="AR1" s="129">
        <v>42</v>
      </c>
      <c r="AS1" s="129">
        <v>43</v>
      </c>
      <c r="AT1" s="130">
        <v>44</v>
      </c>
      <c r="AU1" s="128">
        <v>45</v>
      </c>
      <c r="AV1" s="129">
        <v>46</v>
      </c>
      <c r="AW1" s="129">
        <v>47</v>
      </c>
      <c r="AX1" s="129">
        <v>48</v>
      </c>
      <c r="AY1" s="128">
        <v>49</v>
      </c>
      <c r="AZ1" s="129">
        <v>50</v>
      </c>
      <c r="BA1" s="129">
        <v>51</v>
      </c>
      <c r="BB1" s="129">
        <v>52</v>
      </c>
      <c r="BC1" s="131" t="s">
        <v>106</v>
      </c>
      <c r="BD1" s="132"/>
    </row>
    <row r="2" ht="13.5" customHeight="1" spans="1:56" x14ac:dyDescent="0.25">
      <c r="A2" s="133" t="s">
        <v>107</v>
      </c>
      <c r="B2" s="134"/>
      <c r="C2" s="135" t="s">
        <v>51</v>
      </c>
      <c r="D2" s="136"/>
      <c r="E2" s="136"/>
      <c r="F2" s="136"/>
      <c r="G2" s="136"/>
      <c r="H2" s="135" t="s">
        <v>52</v>
      </c>
      <c r="I2" s="136"/>
      <c r="J2" s="136"/>
      <c r="K2" s="136"/>
      <c r="L2" s="135" t="s">
        <v>53</v>
      </c>
      <c r="M2" s="136"/>
      <c r="N2" s="136"/>
      <c r="O2" s="136"/>
      <c r="P2" s="137" t="s">
        <v>54</v>
      </c>
      <c r="Q2" s="138"/>
      <c r="R2" s="138"/>
      <c r="S2" s="139"/>
      <c r="T2" s="135" t="s">
        <v>39</v>
      </c>
      <c r="U2" s="136"/>
      <c r="V2" s="136"/>
      <c r="W2" s="136"/>
      <c r="X2" s="136"/>
      <c r="Y2" s="135" t="s">
        <v>55</v>
      </c>
      <c r="Z2" s="136"/>
      <c r="AA2" s="136"/>
      <c r="AB2" s="136"/>
      <c r="AC2" s="140" t="s">
        <v>56</v>
      </c>
      <c r="AD2" s="136"/>
      <c r="AE2" s="136"/>
      <c r="AF2" s="136"/>
      <c r="AG2" s="140" t="s">
        <v>57</v>
      </c>
      <c r="AH2" s="136"/>
      <c r="AI2" s="136"/>
      <c r="AJ2" s="136"/>
      <c r="AK2" s="136"/>
      <c r="AL2" s="140" t="s">
        <v>58</v>
      </c>
      <c r="AM2" s="136"/>
      <c r="AN2" s="136"/>
      <c r="AO2" s="136"/>
      <c r="AP2" s="140" t="s">
        <v>59</v>
      </c>
      <c r="AQ2" s="136"/>
      <c r="AR2" s="136"/>
      <c r="AS2" s="136"/>
      <c r="AT2" s="136"/>
      <c r="AU2" s="140" t="s">
        <v>60</v>
      </c>
      <c r="AV2" s="136"/>
      <c r="AW2" s="136"/>
      <c r="AX2" s="141"/>
      <c r="AY2" s="142" t="s">
        <v>61</v>
      </c>
      <c r="AZ2" s="136"/>
      <c r="BA2" s="136"/>
      <c r="BB2" s="136"/>
      <c r="BC2" s="136"/>
      <c r="BD2" s="143"/>
    </row>
    <row r="3" ht="13.5" customHeight="1" spans="2:56" s="144" customFormat="1" x14ac:dyDescent="0.25">
      <c r="B3" s="145"/>
      <c r="C3" s="146" t="s">
        <v>108</v>
      </c>
      <c r="D3" s="144" t="s">
        <v>109</v>
      </c>
      <c r="E3" s="144" t="s">
        <v>110</v>
      </c>
      <c r="F3" s="144" t="s">
        <v>111</v>
      </c>
      <c r="G3" s="147" t="s">
        <v>112</v>
      </c>
      <c r="H3" s="146" t="s">
        <v>113</v>
      </c>
      <c r="I3" s="144" t="s">
        <v>114</v>
      </c>
      <c r="J3" s="144" t="s">
        <v>115</v>
      </c>
      <c r="K3" s="147" t="s">
        <v>116</v>
      </c>
      <c r="L3" s="147" t="s">
        <v>117</v>
      </c>
      <c r="M3" s="147" t="s">
        <v>118</v>
      </c>
      <c r="N3" s="147" t="s">
        <v>119</v>
      </c>
      <c r="O3" s="147" t="s">
        <v>120</v>
      </c>
      <c r="P3" s="146" t="s">
        <v>121</v>
      </c>
      <c r="Q3" s="144" t="s">
        <v>122</v>
      </c>
      <c r="R3" s="144" t="s">
        <v>123</v>
      </c>
      <c r="S3" s="147"/>
      <c r="T3" s="146"/>
      <c r="U3" s="144"/>
      <c r="V3" s="144"/>
      <c r="W3" s="144"/>
      <c r="X3" s="147"/>
      <c r="Y3" s="146"/>
      <c r="Z3" s="146"/>
      <c r="AA3" s="146"/>
      <c r="AB3" s="147"/>
      <c r="AC3" s="146"/>
      <c r="AD3" s="144"/>
      <c r="AE3" s="144"/>
      <c r="AF3" s="147"/>
      <c r="AG3" s="146"/>
      <c r="AH3" s="144"/>
      <c r="AI3" s="144"/>
      <c r="AJ3" s="144"/>
      <c r="AK3" s="147"/>
      <c r="AL3" s="146"/>
      <c r="AM3" s="144"/>
      <c r="AN3" s="144"/>
      <c r="AO3" s="147"/>
      <c r="AP3" s="146"/>
      <c r="AQ3" s="144"/>
      <c r="AR3" s="144"/>
      <c r="AS3" s="144"/>
      <c r="AT3" s="147"/>
      <c r="AU3" s="146"/>
      <c r="AV3" s="144"/>
      <c r="AW3" s="144"/>
      <c r="AX3" s="145"/>
      <c r="AY3" s="146"/>
      <c r="AZ3" s="144"/>
      <c r="BA3" s="144"/>
      <c r="BB3" s="144"/>
      <c r="BC3" s="144"/>
      <c r="BD3" s="148"/>
    </row>
    <row r="4" ht="13.5" customHeight="1" spans="1:56" x14ac:dyDescent="0.25">
      <c r="A4" s="149" t="s">
        <v>62</v>
      </c>
      <c r="B4" s="150"/>
      <c r="C4" s="151"/>
      <c r="D4" s="152"/>
      <c r="E4" s="152"/>
      <c r="F4" s="152"/>
      <c r="G4" s="153"/>
      <c r="H4" s="151"/>
      <c r="I4" s="152"/>
      <c r="J4" s="152"/>
      <c r="K4" s="153"/>
      <c r="L4" s="151"/>
      <c r="M4" s="152"/>
      <c r="N4" s="152"/>
      <c r="O4" s="153"/>
      <c r="P4" s="151"/>
      <c r="Q4" s="152"/>
      <c r="R4" s="152"/>
      <c r="S4" s="153"/>
      <c r="T4" s="151"/>
      <c r="U4" s="152"/>
      <c r="V4" s="152"/>
      <c r="W4" s="152"/>
      <c r="X4" s="153"/>
      <c r="Y4" s="151"/>
      <c r="Z4" s="152"/>
      <c r="AA4" s="152"/>
      <c r="AB4" s="153"/>
      <c r="AC4" s="151"/>
      <c r="AD4" s="152"/>
      <c r="AE4" s="152"/>
      <c r="AF4" s="153"/>
      <c r="AG4" s="151"/>
      <c r="AH4" s="152"/>
      <c r="AI4" s="152"/>
      <c r="AJ4" s="152"/>
      <c r="AK4" s="153"/>
      <c r="AL4" s="151"/>
      <c r="AM4" s="152"/>
      <c r="AN4" s="152"/>
      <c r="AO4" s="153"/>
      <c r="AP4" s="151"/>
      <c r="AQ4" s="152"/>
      <c r="AR4" s="152"/>
      <c r="AS4" s="152"/>
      <c r="AT4" s="153"/>
      <c r="AU4" s="151"/>
      <c r="AV4" s="152"/>
      <c r="AW4" s="152"/>
      <c r="AX4" s="150"/>
      <c r="AY4" s="151"/>
      <c r="AZ4" s="152"/>
      <c r="BA4" s="152"/>
      <c r="BB4" s="152"/>
      <c r="BC4" s="152"/>
      <c r="BD4" s="143"/>
    </row>
    <row r="5" ht="13.5" customHeight="1" spans="1:56" x14ac:dyDescent="0.25">
      <c r="A5" s="154" t="s">
        <v>63</v>
      </c>
      <c r="B5" s="155"/>
      <c r="C5" s="156">
        <v>1331789.09</v>
      </c>
      <c r="D5" s="157">
        <f>C12</f>
        <v>1514984.86</v>
      </c>
      <c r="E5" s="157">
        <f t="shared" ref="E5:BA5" si="0">D12</f>
        <v>1480919.86</v>
      </c>
      <c r="F5" s="157">
        <f t="shared" si="0"/>
        <v>1434587.7000000002</v>
      </c>
      <c r="G5" s="158">
        <f t="shared" si="0"/>
        <v>1394134.5000000002</v>
      </c>
      <c r="H5" s="159">
        <f t="shared" si="0"/>
        <v>1355494.0500000003</v>
      </c>
      <c r="I5" s="157">
        <f t="shared" si="0"/>
        <v>1309516.0500000003</v>
      </c>
      <c r="J5" s="157">
        <f t="shared" si="0"/>
        <v>1263878.9900000002</v>
      </c>
      <c r="K5" s="158">
        <f t="shared" si="0"/>
        <v>1224679.7500000002</v>
      </c>
      <c r="L5" s="159">
        <f t="shared" si="0"/>
        <v>1183913.3300000003</v>
      </c>
      <c r="M5" s="157">
        <f t="shared" si="0"/>
        <v>1144142.3300000003</v>
      </c>
      <c r="N5" s="157">
        <f t="shared" si="0"/>
        <v>1105939.8700000003</v>
      </c>
      <c r="O5" s="158">
        <f t="shared" si="0"/>
        <v>1059957.1200000003</v>
      </c>
      <c r="P5" s="159">
        <f t="shared" si="0"/>
        <v>1023548.9300000004</v>
      </c>
      <c r="Q5" s="157">
        <f t="shared" si="0"/>
        <v>999045.3900000004</v>
      </c>
      <c r="R5" s="157">
        <f t="shared" si="0"/>
        <v>979485.8300000003</v>
      </c>
      <c r="S5" s="158">
        <f t="shared" si="0"/>
        <v>960491.0300000003</v>
      </c>
      <c r="T5" s="159">
        <f t="shared" si="0"/>
        <v>960491.0300000003</v>
      </c>
      <c r="U5" s="157">
        <f t="shared" si="0"/>
        <v>960491.0300000003</v>
      </c>
      <c r="V5" s="157">
        <f t="shared" si="0"/>
        <v>960491.0300000003</v>
      </c>
      <c r="W5" s="157">
        <f t="shared" si="0"/>
        <v>960491.0300000003</v>
      </c>
      <c r="X5" s="158">
        <f t="shared" si="0"/>
        <v>960491.0300000003</v>
      </c>
      <c r="Y5" s="159">
        <f t="shared" si="0"/>
        <v>960491.0300000003</v>
      </c>
      <c r="Z5" s="157">
        <f t="shared" si="0"/>
        <v>960491.0300000003</v>
      </c>
      <c r="AA5" s="157">
        <f t="shared" si="0"/>
        <v>960491.0300000003</v>
      </c>
      <c r="AB5" s="158">
        <f t="shared" si="0"/>
        <v>960491.0300000003</v>
      </c>
      <c r="AC5" s="159">
        <f t="shared" si="0"/>
        <v>960491.0300000003</v>
      </c>
      <c r="AD5" s="157">
        <f t="shared" si="0"/>
        <v>960491.0300000003</v>
      </c>
      <c r="AE5" s="157">
        <f t="shared" si="0"/>
        <v>960491.0300000003</v>
      </c>
      <c r="AF5" s="158">
        <f t="shared" si="0"/>
        <v>960491.0300000003</v>
      </c>
      <c r="AG5" s="159">
        <f t="shared" si="0"/>
        <v>960491.0300000003</v>
      </c>
      <c r="AH5" s="157">
        <f t="shared" si="0"/>
        <v>960491.0300000003</v>
      </c>
      <c r="AI5" s="157">
        <f t="shared" si="0"/>
        <v>960491.0300000003</v>
      </c>
      <c r="AJ5" s="157">
        <f t="shared" si="0"/>
        <v>960491.0300000003</v>
      </c>
      <c r="AK5" s="158">
        <f t="shared" si="0"/>
        <v>960491.0300000003</v>
      </c>
      <c r="AL5" s="159">
        <f t="shared" si="0"/>
        <v>960491.0300000003</v>
      </c>
      <c r="AM5" s="157">
        <f t="shared" si="0"/>
        <v>960491.0300000003</v>
      </c>
      <c r="AN5" s="157">
        <f t="shared" si="0"/>
        <v>960491.0300000003</v>
      </c>
      <c r="AO5" s="158">
        <f t="shared" si="0"/>
        <v>960491.0300000003</v>
      </c>
      <c r="AP5" s="159">
        <f t="shared" si="0"/>
        <v>960491.0300000003</v>
      </c>
      <c r="AQ5" s="157">
        <f t="shared" si="0"/>
        <v>960491.0300000003</v>
      </c>
      <c r="AR5" s="157">
        <f t="shared" si="0"/>
        <v>960491.0300000003</v>
      </c>
      <c r="AS5" s="157">
        <f t="shared" si="0"/>
        <v>960491.0300000003</v>
      </c>
      <c r="AT5" s="158">
        <f t="shared" si="0"/>
        <v>960491.0300000003</v>
      </c>
      <c r="AU5" s="159">
        <f t="shared" si="0"/>
        <v>960491.0300000003</v>
      </c>
      <c r="AV5" s="157">
        <f>AU12</f>
        <v>960491.0300000003</v>
      </c>
      <c r="AW5" s="157">
        <f t="shared" si="0"/>
        <v>960491.0300000003</v>
      </c>
      <c r="AX5" s="155">
        <f t="shared" si="0"/>
        <v>960491.0300000003</v>
      </c>
      <c r="AY5" s="159">
        <f t="shared" si="0"/>
        <v>960491.0300000003</v>
      </c>
      <c r="AZ5" s="157">
        <f t="shared" si="0"/>
        <v>960491.0300000003</v>
      </c>
      <c r="BA5" s="157">
        <f t="shared" si="0"/>
        <v>960491.0300000003</v>
      </c>
      <c r="BB5" s="157">
        <f>BA12</f>
        <v>960491.0300000003</v>
      </c>
      <c r="BC5" s="157">
        <v>1331789.09</v>
      </c>
      <c r="BD5" s="143"/>
    </row>
    <row r="6" ht="13.5" customHeight="1" spans="1:56" x14ac:dyDescent="0.25">
      <c r="A6" s="154"/>
      <c r="B6" s="160"/>
      <c r="C6" s="159"/>
      <c r="D6" s="157"/>
      <c r="E6" s="157"/>
      <c r="F6" s="157"/>
      <c r="G6" s="158"/>
      <c r="H6" s="159"/>
      <c r="I6" s="157"/>
      <c r="J6" s="157"/>
      <c r="K6" s="158"/>
      <c r="L6" s="159"/>
      <c r="M6" s="157"/>
      <c r="N6" s="157"/>
      <c r="O6" s="158"/>
      <c r="P6" s="159"/>
      <c r="Q6" s="157"/>
      <c r="R6" s="157"/>
      <c r="S6" s="158"/>
      <c r="T6" s="159"/>
      <c r="U6" s="157"/>
      <c r="V6" s="157"/>
      <c r="W6" s="157"/>
      <c r="X6" s="158"/>
      <c r="Y6" s="159"/>
      <c r="Z6" s="157"/>
      <c r="AA6" s="157"/>
      <c r="AB6" s="158"/>
      <c r="AC6" s="159"/>
      <c r="AD6" s="157"/>
      <c r="AE6" s="157"/>
      <c r="AF6" s="158"/>
      <c r="AG6" s="159"/>
      <c r="AH6" s="157"/>
      <c r="AI6" s="157"/>
      <c r="AJ6" s="157"/>
      <c r="AK6" s="158"/>
      <c r="AL6" s="159"/>
      <c r="AM6" s="157"/>
      <c r="AN6" s="157"/>
      <c r="AO6" s="158"/>
      <c r="AP6" s="159"/>
      <c r="AQ6" s="157"/>
      <c r="AR6" s="157"/>
      <c r="AS6" s="157"/>
      <c r="AT6" s="158"/>
      <c r="AU6" s="159"/>
      <c r="AV6" s="157"/>
      <c r="AW6" s="157"/>
      <c r="AX6" s="155"/>
      <c r="AY6" s="159"/>
      <c r="AZ6" s="157"/>
      <c r="BA6" s="157"/>
      <c r="BB6" s="157"/>
      <c r="BC6" s="157"/>
      <c r="BD6" s="143"/>
    </row>
    <row r="7" ht="13.5" customHeight="1" spans="1:56" x14ac:dyDescent="0.25">
      <c r="A7" s="161" t="s">
        <v>64</v>
      </c>
      <c r="C7" s="156">
        <v>0</v>
      </c>
      <c r="D7" s="162">
        <v>1202</v>
      </c>
      <c r="E7" s="162">
        <v>0</v>
      </c>
      <c r="F7" s="162">
        <v>0</v>
      </c>
      <c r="G7" s="163">
        <v>0</v>
      </c>
      <c r="H7" s="164">
        <v>0</v>
      </c>
      <c r="I7" s="165">
        <v>0</v>
      </c>
      <c r="J7" s="165">
        <v>0</v>
      </c>
      <c r="K7" s="166">
        <v>0</v>
      </c>
      <c r="L7" s="164">
        <v>0</v>
      </c>
      <c r="M7" s="165">
        <v>0</v>
      </c>
      <c r="N7" s="165">
        <v>0</v>
      </c>
      <c r="O7" s="166">
        <v>0</v>
      </c>
      <c r="P7" s="164">
        <v>0</v>
      </c>
      <c r="Q7" s="165">
        <v>0</v>
      </c>
      <c r="R7" s="165">
        <v>0</v>
      </c>
      <c r="S7" s="166">
        <v>0</v>
      </c>
      <c r="T7" s="164">
        <v>0</v>
      </c>
      <c r="U7" s="165">
        <v>0</v>
      </c>
      <c r="V7" s="165">
        <v>0</v>
      </c>
      <c r="W7" s="165">
        <v>0</v>
      </c>
      <c r="X7" s="166">
        <v>0</v>
      </c>
      <c r="Y7" s="164">
        <v>0</v>
      </c>
      <c r="Z7" s="165">
        <v>0</v>
      </c>
      <c r="AA7" s="165">
        <v>0</v>
      </c>
      <c r="AB7" s="166">
        <v>0</v>
      </c>
      <c r="AC7" s="164">
        <v>0</v>
      </c>
      <c r="AD7" s="165">
        <v>0</v>
      </c>
      <c r="AE7" s="165">
        <v>0</v>
      </c>
      <c r="AF7" s="166">
        <v>0</v>
      </c>
      <c r="AG7" s="164">
        <v>0</v>
      </c>
      <c r="AH7" s="165">
        <v>0</v>
      </c>
      <c r="AI7" s="165">
        <v>0</v>
      </c>
      <c r="AJ7" s="165">
        <v>0</v>
      </c>
      <c r="AK7" s="166">
        <v>0</v>
      </c>
      <c r="AL7" s="164">
        <v>0</v>
      </c>
      <c r="AM7" s="165">
        <v>0</v>
      </c>
      <c r="AN7" s="165">
        <v>0</v>
      </c>
      <c r="AO7" s="166">
        <v>0</v>
      </c>
      <c r="AP7" s="164">
        <v>0</v>
      </c>
      <c r="AQ7" s="165">
        <v>0</v>
      </c>
      <c r="AR7" s="165">
        <v>0</v>
      </c>
      <c r="AS7" s="165">
        <v>0</v>
      </c>
      <c r="AT7" s="166">
        <v>0</v>
      </c>
      <c r="AU7" s="164">
        <v>0</v>
      </c>
      <c r="AV7" s="165">
        <v>0</v>
      </c>
      <c r="AW7" s="165">
        <v>0</v>
      </c>
      <c r="AX7" s="167">
        <v>0</v>
      </c>
      <c r="AY7" s="164">
        <v>0</v>
      </c>
      <c r="AZ7" s="165">
        <v>0</v>
      </c>
      <c r="BA7" s="165">
        <v>0</v>
      </c>
      <c r="BB7" s="165">
        <v>0</v>
      </c>
      <c r="BC7" s="165">
        <v>484</v>
      </c>
      <c r="BD7" s="168">
        <f>SUM(C7:BC7)</f>
        <v>4476</v>
      </c>
    </row>
    <row r="8" spans="1:56" x14ac:dyDescent="0.25">
      <c r="A8" s="160" t="s">
        <v>65</v>
      </c>
      <c r="C8" s="159">
        <f>C33</f>
        <v>9203</v>
      </c>
      <c r="D8" s="159">
        <f t="shared" ref="D8:BB8" si="1">D33</f>
        <v>34065</v>
      </c>
      <c r="E8" s="159">
        <f t="shared" si="1"/>
        <v>46332.16</v>
      </c>
      <c r="F8" s="159">
        <f t="shared" si="1"/>
        <v>40453.2</v>
      </c>
      <c r="G8" s="159">
        <f t="shared" si="1"/>
        <v>38640.45</v>
      </c>
      <c r="H8" s="159">
        <f t="shared" si="1"/>
        <v>45978</v>
      </c>
      <c r="I8" s="159">
        <f t="shared" si="1"/>
        <v>45637.06</v>
      </c>
      <c r="J8" s="159">
        <f t="shared" si="1"/>
        <v>39199.24</v>
      </c>
      <c r="K8" s="159">
        <f t="shared" si="1"/>
        <v>40766.42</v>
      </c>
      <c r="L8" s="159">
        <f>L33</f>
        <v>39771</v>
      </c>
      <c r="M8" s="159">
        <f t="shared" si="1"/>
        <v>38202.46</v>
      </c>
      <c r="N8" s="159">
        <f t="shared" si="1"/>
        <v>45982.75</v>
      </c>
      <c r="O8" s="159">
        <f t="shared" si="1"/>
        <v>36408.19</v>
      </c>
      <c r="P8" s="159">
        <f t="shared" si="1"/>
        <v>24503.54</v>
      </c>
      <c r="Q8" s="159">
        <f t="shared" si="1"/>
        <v>19559.56</v>
      </c>
      <c r="R8" s="159">
        <f t="shared" si="1"/>
        <v>18994.8</v>
      </c>
      <c r="S8" s="159">
        <f t="shared" si="1"/>
        <v>0</v>
      </c>
      <c r="T8" s="159">
        <f t="shared" si="1"/>
        <v>0</v>
      </c>
      <c r="U8" s="159">
        <f t="shared" si="1"/>
        <v>0</v>
      </c>
      <c r="V8" s="159">
        <f t="shared" si="1"/>
        <v>0</v>
      </c>
      <c r="W8" s="159">
        <f t="shared" si="1"/>
        <v>0</v>
      </c>
      <c r="X8" s="159">
        <f t="shared" si="1"/>
        <v>0</v>
      </c>
      <c r="Y8" s="159">
        <f t="shared" si="1"/>
        <v>0</v>
      </c>
      <c r="Z8" s="159">
        <f t="shared" si="1"/>
        <v>0</v>
      </c>
      <c r="AA8" s="159">
        <f t="shared" si="1"/>
        <v>0</v>
      </c>
      <c r="AB8" s="159">
        <f t="shared" si="1"/>
        <v>0</v>
      </c>
      <c r="AC8" s="159">
        <f t="shared" si="1"/>
        <v>0</v>
      </c>
      <c r="AD8" s="159">
        <f t="shared" si="1"/>
        <v>0</v>
      </c>
      <c r="AE8" s="159">
        <f t="shared" si="1"/>
        <v>0</v>
      </c>
      <c r="AF8" s="159">
        <f t="shared" si="1"/>
        <v>0</v>
      </c>
      <c r="AG8" s="159">
        <f t="shared" si="1"/>
        <v>0</v>
      </c>
      <c r="AH8" s="159">
        <f t="shared" si="1"/>
        <v>0</v>
      </c>
      <c r="AI8" s="159">
        <f t="shared" si="1"/>
        <v>0</v>
      </c>
      <c r="AJ8" s="159">
        <f t="shared" si="1"/>
        <v>0</v>
      </c>
      <c r="AK8" s="159">
        <f t="shared" si="1"/>
        <v>0</v>
      </c>
      <c r="AL8" s="159">
        <f t="shared" si="1"/>
        <v>0</v>
      </c>
      <c r="AM8" s="159">
        <f t="shared" si="1"/>
        <v>0</v>
      </c>
      <c r="AN8" s="159">
        <f t="shared" si="1"/>
        <v>0</v>
      </c>
      <c r="AO8" s="159">
        <f t="shared" si="1"/>
        <v>0</v>
      </c>
      <c r="AP8" s="159">
        <f t="shared" si="1"/>
        <v>0</v>
      </c>
      <c r="AQ8" s="159">
        <f t="shared" si="1"/>
        <v>0</v>
      </c>
      <c r="AR8" s="159">
        <f t="shared" si="1"/>
        <v>0</v>
      </c>
      <c r="AS8" s="159">
        <f t="shared" si="1"/>
        <v>0</v>
      </c>
      <c r="AT8" s="159">
        <f t="shared" si="1"/>
        <v>0</v>
      </c>
      <c r="AU8" s="159">
        <f t="shared" si="1"/>
        <v>0</v>
      </c>
      <c r="AV8" s="159">
        <f t="shared" si="1"/>
        <v>0</v>
      </c>
      <c r="AW8" s="159">
        <f t="shared" si="1"/>
        <v>0</v>
      </c>
      <c r="AX8" s="159">
        <f>AX33</f>
        <v>0</v>
      </c>
      <c r="AY8" s="159">
        <f t="shared" si="1"/>
        <v>0</v>
      </c>
      <c r="AZ8" s="159">
        <f t="shared" si="1"/>
        <v>0</v>
      </c>
      <c r="BA8" s="159">
        <f t="shared" si="1"/>
        <v>0</v>
      </c>
      <c r="BB8" s="159">
        <f t="shared" si="1"/>
        <v>0</v>
      </c>
      <c r="BC8" s="159">
        <f t="shared" ref="BC8" si="2">BC33</f>
        <v>0</v>
      </c>
      <c r="BD8" s="168">
        <f t="shared" ref="BD8:BD16" si="3">SUM(C8:BC8)</f>
        <v>563696.8300000001</v>
      </c>
    </row>
    <row r="9" ht="13.5" customHeight="1" spans="1:56" x14ac:dyDescent="0.25">
      <c r="A9" s="154"/>
      <c r="B9" s="155"/>
      <c r="C9" s="159"/>
      <c r="D9" s="157"/>
      <c r="E9" s="157"/>
      <c r="F9" s="157"/>
      <c r="G9" s="158"/>
      <c r="H9" s="159"/>
      <c r="I9" s="157"/>
      <c r="J9" s="157"/>
      <c r="K9" s="158"/>
      <c r="L9" s="159"/>
      <c r="M9" s="157"/>
      <c r="N9" s="157"/>
      <c r="O9" s="158"/>
      <c r="P9" s="159"/>
      <c r="Q9" s="157"/>
      <c r="R9" s="157"/>
      <c r="S9" s="158"/>
      <c r="T9" s="159"/>
      <c r="U9" s="157"/>
      <c r="V9" s="157"/>
      <c r="W9" s="157"/>
      <c r="X9" s="158"/>
      <c r="Y9" s="159"/>
      <c r="Z9" s="157"/>
      <c r="AA9" s="157"/>
      <c r="AB9" s="158"/>
      <c r="AC9" s="159"/>
      <c r="AD9" s="157"/>
      <c r="AE9" s="157"/>
      <c r="AF9" s="158"/>
      <c r="AG9" s="159"/>
      <c r="AH9" s="157"/>
      <c r="AI9" s="157"/>
      <c r="AJ9" s="157"/>
      <c r="AK9" s="158"/>
      <c r="AL9" s="159"/>
      <c r="AM9" s="157"/>
      <c r="AN9" s="157"/>
      <c r="AO9" s="158"/>
      <c r="AP9" s="159"/>
      <c r="AQ9" s="157"/>
      <c r="AR9" s="157"/>
      <c r="AS9" s="157"/>
      <c r="AT9" s="158"/>
      <c r="AU9" s="159"/>
      <c r="AV9" s="157"/>
      <c r="AW9" s="157"/>
      <c r="AX9" s="155"/>
      <c r="AY9" s="159"/>
      <c r="AZ9" s="157"/>
      <c r="BA9" s="157"/>
      <c r="BB9" s="157"/>
      <c r="BC9" s="157"/>
      <c r="BD9" s="168">
        <f t="shared" si="3"/>
        <v>0</v>
      </c>
    </row>
    <row r="10" ht="13.5" customHeight="1" spans="1:56" x14ac:dyDescent="0.25">
      <c r="A10" s="169" t="s">
        <v>66</v>
      </c>
      <c r="B10" s="170"/>
      <c r="C10" s="156">
        <v>192398.77</v>
      </c>
      <c r="D10" s="162"/>
      <c r="E10" s="162"/>
      <c r="F10" s="162"/>
      <c r="G10" s="163"/>
      <c r="H10" s="171"/>
      <c r="I10" s="172"/>
      <c r="J10" s="172"/>
      <c r="K10" s="173"/>
      <c r="L10" s="171"/>
      <c r="M10" s="172"/>
      <c r="N10" s="172"/>
      <c r="O10" s="173"/>
      <c r="P10" s="171"/>
      <c r="Q10" s="172"/>
      <c r="R10" s="172"/>
      <c r="S10" s="173"/>
      <c r="T10" s="171"/>
      <c r="U10" s="172"/>
      <c r="V10" s="172"/>
      <c r="W10" s="172"/>
      <c r="X10" s="173"/>
      <c r="Y10" s="171"/>
      <c r="Z10" s="172"/>
      <c r="AA10" s="172"/>
      <c r="AB10" s="173"/>
      <c r="AC10" s="171"/>
      <c r="AD10" s="172"/>
      <c r="AE10" s="172"/>
      <c r="AF10" s="173"/>
      <c r="AG10" s="171"/>
      <c r="AH10" s="172"/>
      <c r="AI10" s="172"/>
      <c r="AJ10" s="172"/>
      <c r="AK10" s="173"/>
      <c r="AL10" s="171"/>
      <c r="AM10" s="172"/>
      <c r="AN10" s="172"/>
      <c r="AO10" s="173"/>
      <c r="AP10" s="171"/>
      <c r="AQ10" s="172"/>
      <c r="AR10" s="172"/>
      <c r="AS10" s="172"/>
      <c r="AT10" s="173"/>
      <c r="AU10" s="171"/>
      <c r="AV10" s="172"/>
      <c r="AW10" s="172"/>
      <c r="AX10" s="174"/>
      <c r="AY10" s="171"/>
      <c r="AZ10" s="172"/>
      <c r="BA10" s="172"/>
      <c r="BB10" s="172"/>
      <c r="BC10" s="172"/>
      <c r="BD10" s="168">
        <f>SUM(C10:BC10)</f>
        <v>192398.77</v>
      </c>
    </row>
    <row r="11" ht="13.5" customHeight="1" spans="1:56" x14ac:dyDescent="0.25">
      <c r="A11" s="175" t="s">
        <v>67</v>
      </c>
      <c r="B11" s="155"/>
      <c r="C11" s="156">
        <v>1294</v>
      </c>
      <c r="D11" s="162"/>
      <c r="E11" s="162"/>
      <c r="F11" s="162"/>
      <c r="G11" s="163"/>
      <c r="H11" s="164"/>
      <c r="I11" s="165"/>
      <c r="J11" s="165"/>
      <c r="K11" s="162"/>
      <c r="L11" s="164"/>
      <c r="M11" s="165"/>
      <c r="N11" s="165"/>
      <c r="O11" s="166"/>
      <c r="P11" s="164"/>
      <c r="Q11" s="165"/>
      <c r="R11" s="165"/>
      <c r="S11" s="166"/>
      <c r="T11" s="164"/>
      <c r="U11" s="165"/>
      <c r="V11" s="165"/>
      <c r="W11" s="165"/>
      <c r="X11" s="166"/>
      <c r="Y11" s="164"/>
      <c r="Z11" s="165"/>
      <c r="AA11" s="165"/>
      <c r="AB11" s="166"/>
      <c r="AC11" s="164"/>
      <c r="AD11" s="165"/>
      <c r="AE11" s="165"/>
      <c r="AF11" s="166"/>
      <c r="AG11" s="164"/>
      <c r="AH11" s="165"/>
      <c r="AI11" s="165"/>
      <c r="AJ11" s="165"/>
      <c r="AK11" s="166"/>
      <c r="AL11" s="164"/>
      <c r="AM11" s="165"/>
      <c r="AN11" s="165"/>
      <c r="AO11" s="166"/>
      <c r="AP11" s="164"/>
      <c r="AQ11" s="165"/>
      <c r="AR11" s="165"/>
      <c r="AS11" s="165"/>
      <c r="AT11" s="166"/>
      <c r="AU11" s="164"/>
      <c r="AV11" s="165"/>
      <c r="AW11" s="165"/>
      <c r="AX11" s="167"/>
      <c r="AY11" s="164"/>
      <c r="AZ11" s="165"/>
      <c r="BA11" s="165"/>
      <c r="BB11" s="165"/>
      <c r="BC11" s="165"/>
      <c r="BD11" s="168">
        <f t="shared" ref="BD11" si="4">SUM(C11:BC11)</f>
        <v>1294</v>
      </c>
    </row>
    <row r="12" ht="13.5" customHeight="1" spans="1:56" x14ac:dyDescent="0.25">
      <c r="A12" s="176" t="s">
        <v>68</v>
      </c>
      <c r="B12" s="177"/>
      <c r="C12" s="178">
        <f>C10-C8+C5</f>
        <v>1514984.86</v>
      </c>
      <c r="D12" s="178">
        <f t="shared" ref="D12:BB12" si="5">D10-D8+D5</f>
        <v>1480919.86</v>
      </c>
      <c r="E12" s="178">
        <f t="shared" si="5"/>
        <v>1434587.7000000002</v>
      </c>
      <c r="F12" s="178">
        <f t="shared" si="5"/>
        <v>1394134.5000000002</v>
      </c>
      <c r="G12" s="178">
        <f t="shared" si="5"/>
        <v>1355494.0500000003</v>
      </c>
      <c r="H12" s="178">
        <f t="shared" si="5"/>
        <v>1309516.0500000003</v>
      </c>
      <c r="I12" s="178">
        <f t="shared" si="5"/>
        <v>1263878.9900000002</v>
      </c>
      <c r="J12" s="178">
        <f t="shared" si="5"/>
        <v>1224679.7500000002</v>
      </c>
      <c r="K12" s="178">
        <f t="shared" si="5"/>
        <v>1183913.3300000003</v>
      </c>
      <c r="L12" s="178">
        <f t="shared" si="5"/>
        <v>1144142.3300000003</v>
      </c>
      <c r="M12" s="178">
        <f t="shared" si="5"/>
        <v>1105939.8700000003</v>
      </c>
      <c r="N12" s="178">
        <f t="shared" si="5"/>
        <v>1059957.1200000003</v>
      </c>
      <c r="O12" s="178">
        <f t="shared" si="5"/>
        <v>1023548.9300000004</v>
      </c>
      <c r="P12" s="178">
        <f t="shared" si="5"/>
        <v>999045.3900000004</v>
      </c>
      <c r="Q12" s="178">
        <f t="shared" si="5"/>
        <v>979485.8300000003</v>
      </c>
      <c r="R12" s="178">
        <f t="shared" si="5"/>
        <v>960491.0300000003</v>
      </c>
      <c r="S12" s="178">
        <f t="shared" si="5"/>
        <v>960491.0300000003</v>
      </c>
      <c r="T12" s="178">
        <f t="shared" si="5"/>
        <v>960491.0300000003</v>
      </c>
      <c r="U12" s="178">
        <f t="shared" si="5"/>
        <v>960491.0300000003</v>
      </c>
      <c r="V12" s="178">
        <f t="shared" si="5"/>
        <v>960491.0300000003</v>
      </c>
      <c r="W12" s="178">
        <f t="shared" si="5"/>
        <v>960491.0300000003</v>
      </c>
      <c r="X12" s="178">
        <f t="shared" si="5"/>
        <v>960491.0300000003</v>
      </c>
      <c r="Y12" s="178">
        <f t="shared" si="5"/>
        <v>960491.0300000003</v>
      </c>
      <c r="Z12" s="178">
        <f t="shared" si="5"/>
        <v>960491.0300000003</v>
      </c>
      <c r="AA12" s="178">
        <f t="shared" si="5"/>
        <v>960491.0300000003</v>
      </c>
      <c r="AB12" s="178">
        <f t="shared" si="5"/>
        <v>960491.0300000003</v>
      </c>
      <c r="AC12" s="178">
        <f t="shared" si="5"/>
        <v>960491.0300000003</v>
      </c>
      <c r="AD12" s="178">
        <f t="shared" si="5"/>
        <v>960491.0300000003</v>
      </c>
      <c r="AE12" s="178">
        <f t="shared" si="5"/>
        <v>960491.0300000003</v>
      </c>
      <c r="AF12" s="178">
        <f t="shared" si="5"/>
        <v>960491.0300000003</v>
      </c>
      <c r="AG12" s="178">
        <f t="shared" si="5"/>
        <v>960491.0300000003</v>
      </c>
      <c r="AH12" s="178">
        <f t="shared" si="5"/>
        <v>960491.0300000003</v>
      </c>
      <c r="AI12" s="178">
        <f t="shared" si="5"/>
        <v>960491.0300000003</v>
      </c>
      <c r="AJ12" s="178">
        <f t="shared" si="5"/>
        <v>960491.0300000003</v>
      </c>
      <c r="AK12" s="178">
        <f t="shared" si="5"/>
        <v>960491.0300000003</v>
      </c>
      <c r="AL12" s="178">
        <f t="shared" si="5"/>
        <v>960491.0300000003</v>
      </c>
      <c r="AM12" s="178">
        <f t="shared" si="5"/>
        <v>960491.0300000003</v>
      </c>
      <c r="AN12" s="178">
        <f t="shared" si="5"/>
        <v>960491.0300000003</v>
      </c>
      <c r="AO12" s="178">
        <f t="shared" si="5"/>
        <v>960491.0300000003</v>
      </c>
      <c r="AP12" s="178">
        <f t="shared" si="5"/>
        <v>960491.0300000003</v>
      </c>
      <c r="AQ12" s="178">
        <f t="shared" si="5"/>
        <v>960491.0300000003</v>
      </c>
      <c r="AR12" s="178">
        <f t="shared" si="5"/>
        <v>960491.0300000003</v>
      </c>
      <c r="AS12" s="178">
        <f t="shared" si="5"/>
        <v>960491.0300000003</v>
      </c>
      <c r="AT12" s="178">
        <f t="shared" si="5"/>
        <v>960491.0300000003</v>
      </c>
      <c r="AU12" s="178">
        <f t="shared" si="5"/>
        <v>960491.0300000003</v>
      </c>
      <c r="AV12" s="178">
        <f t="shared" si="5"/>
        <v>960491.0300000003</v>
      </c>
      <c r="AW12" s="178">
        <f t="shared" si="5"/>
        <v>960491.0300000003</v>
      </c>
      <c r="AX12" s="178">
        <f t="shared" si="5"/>
        <v>960491.0300000003</v>
      </c>
      <c r="AY12" s="178">
        <f t="shared" si="5"/>
        <v>960491.0300000003</v>
      </c>
      <c r="AZ12" s="178">
        <f t="shared" si="5"/>
        <v>960491.0300000003</v>
      </c>
      <c r="BA12" s="178">
        <f t="shared" si="5"/>
        <v>960491.0300000003</v>
      </c>
      <c r="BB12" s="178">
        <f t="shared" si="5"/>
        <v>960491.0300000003</v>
      </c>
      <c r="BC12" s="178">
        <f t="shared" ref="BC12" si="6">BC10-BC8+BC5</f>
        <v>1331789.09</v>
      </c>
      <c r="BD12" s="168">
        <f>SUM(C12:BC12)/52.5</f>
        <v>1054174.966857144</v>
      </c>
    </row>
    <row r="13" ht="13.5" customHeight="1" spans="1:56" x14ac:dyDescent="0.25">
      <c r="A13" s="176" t="s">
        <v>69</v>
      </c>
      <c r="B13" s="177"/>
      <c r="C13" s="179">
        <f>9072-C7-C27+C11+C23</f>
        <v>10178</v>
      </c>
      <c r="D13" s="180">
        <f>C13-D7-D27+D11+D23</f>
        <v>9935</v>
      </c>
      <c r="E13" s="180">
        <f t="shared" ref="E13:BA13" si="7">D13-E7-E27+E11+E23</f>
        <v>9594</v>
      </c>
      <c r="F13" s="180">
        <f t="shared" si="7"/>
        <v>9299</v>
      </c>
      <c r="G13" s="181">
        <f t="shared" si="7"/>
        <v>9007</v>
      </c>
      <c r="H13" s="178">
        <f t="shared" si="7"/>
        <v>8665</v>
      </c>
      <c r="I13" s="180">
        <f t="shared" si="7"/>
        <v>8334</v>
      </c>
      <c r="J13" s="180">
        <f t="shared" si="7"/>
        <v>8025</v>
      </c>
      <c r="K13" s="181">
        <f t="shared" si="7"/>
        <v>7678</v>
      </c>
      <c r="L13" s="178">
        <f t="shared" si="7"/>
        <v>7334</v>
      </c>
      <c r="M13" s="180">
        <f t="shared" si="7"/>
        <v>7018</v>
      </c>
      <c r="N13" s="180">
        <f t="shared" si="7"/>
        <v>6661</v>
      </c>
      <c r="O13" s="181">
        <f t="shared" si="7"/>
        <v>6378</v>
      </c>
      <c r="P13" s="178">
        <f t="shared" si="7"/>
        <v>6189</v>
      </c>
      <c r="Q13" s="180">
        <f t="shared" si="7"/>
        <v>6035</v>
      </c>
      <c r="R13" s="180">
        <f t="shared" si="7"/>
        <v>5900</v>
      </c>
      <c r="S13" s="181">
        <f t="shared" si="7"/>
        <v>5900</v>
      </c>
      <c r="T13" s="178">
        <f t="shared" si="7"/>
        <v>5900</v>
      </c>
      <c r="U13" s="180">
        <f t="shared" si="7"/>
        <v>5900</v>
      </c>
      <c r="V13" s="180">
        <f t="shared" si="7"/>
        <v>5900</v>
      </c>
      <c r="W13" s="180">
        <f t="shared" si="7"/>
        <v>5900</v>
      </c>
      <c r="X13" s="181">
        <f t="shared" si="7"/>
        <v>5900</v>
      </c>
      <c r="Y13" s="178">
        <f t="shared" si="7"/>
        <v>5900</v>
      </c>
      <c r="Z13" s="180">
        <f t="shared" si="7"/>
        <v>5898</v>
      </c>
      <c r="AA13" s="180">
        <f t="shared" si="7"/>
        <v>5897</v>
      </c>
      <c r="AB13" s="181">
        <f t="shared" si="7"/>
        <v>5897</v>
      </c>
      <c r="AC13" s="178">
        <f t="shared" si="7"/>
        <v>5897</v>
      </c>
      <c r="AD13" s="180">
        <f>AC13-AD7-AD27+AD11+AD23</f>
        <v>5897</v>
      </c>
      <c r="AE13" s="180">
        <f>AD13-AE7-AE27+AE11+AE23</f>
        <v>5897</v>
      </c>
      <c r="AF13" s="181">
        <f t="shared" si="7"/>
        <v>5897</v>
      </c>
      <c r="AG13" s="178">
        <f t="shared" si="7"/>
        <v>5897</v>
      </c>
      <c r="AH13" s="180">
        <f t="shared" si="7"/>
        <v>5897</v>
      </c>
      <c r="AI13" s="180">
        <f t="shared" si="7"/>
        <v>5897</v>
      </c>
      <c r="AJ13" s="180">
        <f t="shared" si="7"/>
        <v>5897</v>
      </c>
      <c r="AK13" s="181">
        <f t="shared" si="7"/>
        <v>5897</v>
      </c>
      <c r="AL13" s="178">
        <f t="shared" si="7"/>
        <v>5897</v>
      </c>
      <c r="AM13" s="180">
        <f t="shared" si="7"/>
        <v>5897</v>
      </c>
      <c r="AN13" s="180">
        <f t="shared" si="7"/>
        <v>5897</v>
      </c>
      <c r="AO13" s="181">
        <f t="shared" si="7"/>
        <v>5897</v>
      </c>
      <c r="AP13" s="178">
        <f t="shared" si="7"/>
        <v>5897</v>
      </c>
      <c r="AQ13" s="180">
        <f t="shared" si="7"/>
        <v>5897</v>
      </c>
      <c r="AR13" s="180">
        <f t="shared" si="7"/>
        <v>5897</v>
      </c>
      <c r="AS13" s="180">
        <f t="shared" si="7"/>
        <v>5897</v>
      </c>
      <c r="AT13" s="181">
        <f t="shared" si="7"/>
        <v>5897</v>
      </c>
      <c r="AU13" s="178">
        <f t="shared" si="7"/>
        <v>5897</v>
      </c>
      <c r="AV13" s="180">
        <f t="shared" si="7"/>
        <v>5897</v>
      </c>
      <c r="AW13" s="180">
        <f t="shared" si="7"/>
        <v>5897</v>
      </c>
      <c r="AX13" s="182">
        <f t="shared" si="7"/>
        <v>5897</v>
      </c>
      <c r="AY13" s="178">
        <f t="shared" si="7"/>
        <v>5897</v>
      </c>
      <c r="AZ13" s="180">
        <f t="shared" si="7"/>
        <v>5897</v>
      </c>
      <c r="BA13" s="180">
        <f t="shared" si="7"/>
        <v>5897</v>
      </c>
      <c r="BB13" s="180">
        <f>BA13-BB7-BB27+BB11+BB23</f>
        <v>5897</v>
      </c>
      <c r="BC13" s="180">
        <v>9072</v>
      </c>
      <c r="BD13" s="168">
        <f>SUM(C13:BC13)/53.5</f>
        <v>6497.4953271028035</v>
      </c>
    </row>
    <row r="14" ht="13.5" customHeight="1" spans="1:56" s="183" customFormat="1" x14ac:dyDescent="0.25">
      <c r="A14" s="59" t="s">
        <v>124</v>
      </c>
      <c r="B14" s="184"/>
      <c r="C14" s="185">
        <v>48841</v>
      </c>
      <c r="D14" s="186">
        <v>164469</v>
      </c>
      <c r="E14" s="186">
        <v>219043</v>
      </c>
      <c r="F14" s="186">
        <v>192988</v>
      </c>
      <c r="G14" s="187">
        <v>188915</v>
      </c>
      <c r="H14" s="188">
        <v>218237</v>
      </c>
      <c r="I14" s="189">
        <v>231995</v>
      </c>
      <c r="J14" s="189">
        <v>209378</v>
      </c>
      <c r="K14" s="190">
        <v>219789</v>
      </c>
      <c r="L14" s="188">
        <v>210110</v>
      </c>
      <c r="M14" s="189">
        <v>193338</v>
      </c>
      <c r="N14" s="189">
        <v>193369</v>
      </c>
      <c r="O14" s="190">
        <v>175517</v>
      </c>
      <c r="P14" s="188">
        <v>132809</v>
      </c>
      <c r="Q14" s="189">
        <v>108682</v>
      </c>
      <c r="R14" s="189">
        <v>103393</v>
      </c>
      <c r="S14" s="190"/>
      <c r="T14" s="188"/>
      <c r="U14" s="189"/>
      <c r="V14" s="189"/>
      <c r="W14" s="189"/>
      <c r="X14" s="190"/>
      <c r="Y14" s="188"/>
      <c r="Z14" s="189"/>
      <c r="AA14" s="189"/>
      <c r="AB14" s="190"/>
      <c r="AC14" s="188"/>
      <c r="AD14" s="189"/>
      <c r="AE14" s="189"/>
      <c r="AF14" s="190"/>
      <c r="AG14" s="188"/>
      <c r="AH14" s="189"/>
      <c r="AI14" s="189"/>
      <c r="AJ14" s="189"/>
      <c r="AK14" s="190"/>
      <c r="AL14" s="188"/>
      <c r="AM14" s="189"/>
      <c r="AN14" s="189"/>
      <c r="AO14" s="190"/>
      <c r="AP14" s="188"/>
      <c r="AQ14" s="189"/>
      <c r="AR14" s="189"/>
      <c r="AS14" s="189"/>
      <c r="AT14" s="190"/>
      <c r="AU14" s="188"/>
      <c r="AV14" s="189"/>
      <c r="AW14" s="189"/>
      <c r="AX14" s="191"/>
      <c r="AY14" s="188"/>
      <c r="AZ14" s="189"/>
      <c r="BA14" s="189"/>
      <c r="BB14" s="189"/>
      <c r="BC14" s="189"/>
      <c r="BD14" s="168">
        <f t="shared" si="3"/>
        <v>2810873</v>
      </c>
    </row>
    <row r="15" ht="13.5" customHeight="1" spans="1:56" s="183" customFormat="1" x14ac:dyDescent="0.25">
      <c r="A15" s="59" t="s">
        <v>125</v>
      </c>
      <c r="B15" s="192"/>
      <c r="C15" s="185">
        <v>34445</v>
      </c>
      <c r="D15" s="186">
        <v>112779</v>
      </c>
      <c r="E15" s="186">
        <v>147256</v>
      </c>
      <c r="F15" s="186">
        <v>131182</v>
      </c>
      <c r="G15" s="187">
        <v>126111</v>
      </c>
      <c r="H15" s="188">
        <v>142988</v>
      </c>
      <c r="I15" s="189">
        <v>152014</v>
      </c>
      <c r="J15" s="189">
        <v>136874</v>
      </c>
      <c r="K15" s="190">
        <v>145168</v>
      </c>
      <c r="L15" s="188">
        <v>142232</v>
      </c>
      <c r="M15" s="189">
        <v>131792</v>
      </c>
      <c r="N15" s="189">
        <v>131955</v>
      </c>
      <c r="O15" s="190">
        <v>121928</v>
      </c>
      <c r="P15" s="188">
        <v>93126</v>
      </c>
      <c r="Q15" s="189">
        <v>75500</v>
      </c>
      <c r="R15" s="189">
        <v>70341</v>
      </c>
      <c r="S15" s="190"/>
      <c r="T15" s="188"/>
      <c r="U15" s="189"/>
      <c r="V15" s="189"/>
      <c r="W15" s="189"/>
      <c r="X15" s="190"/>
      <c r="Y15" s="188"/>
      <c r="Z15" s="189"/>
      <c r="AA15" s="189"/>
      <c r="AB15" s="190"/>
      <c r="AC15" s="188"/>
      <c r="AD15" s="189"/>
      <c r="AE15" s="189"/>
      <c r="AF15" s="190"/>
      <c r="AG15" s="188"/>
      <c r="AH15" s="189"/>
      <c r="AI15" s="189"/>
      <c r="AJ15" s="189"/>
      <c r="AK15" s="190"/>
      <c r="AL15" s="188"/>
      <c r="AM15" s="189"/>
      <c r="AN15" s="189"/>
      <c r="AO15" s="190"/>
      <c r="AP15" s="188"/>
      <c r="AQ15" s="189"/>
      <c r="AR15" s="189"/>
      <c r="AS15" s="189"/>
      <c r="AT15" s="190"/>
      <c r="AU15" s="188"/>
      <c r="AV15" s="189"/>
      <c r="AW15" s="189"/>
      <c r="AX15" s="191"/>
      <c r="AY15" s="188"/>
      <c r="AZ15" s="189"/>
      <c r="BA15" s="189"/>
      <c r="BB15" s="189"/>
      <c r="BC15" s="189"/>
      <c r="BD15" s="168">
        <f t="shared" si="3"/>
        <v>1895691</v>
      </c>
    </row>
    <row r="16" ht="13.5" customHeight="1" spans="1:56" x14ac:dyDescent="0.25">
      <c r="A16" s="193"/>
      <c r="B16" s="194"/>
      <c r="C16" s="195"/>
      <c r="D16" s="196"/>
      <c r="E16" s="196"/>
      <c r="F16" s="196"/>
      <c r="G16" s="197"/>
      <c r="H16" s="195"/>
      <c r="I16" s="196"/>
      <c r="J16" s="196"/>
      <c r="K16" s="197"/>
      <c r="L16" s="195"/>
      <c r="M16" s="196"/>
      <c r="N16" s="196"/>
      <c r="O16" s="197"/>
      <c r="P16" s="195"/>
      <c r="Q16" s="196"/>
      <c r="R16" s="196"/>
      <c r="S16" s="197"/>
      <c r="T16" s="195"/>
      <c r="U16" s="196"/>
      <c r="V16" s="196"/>
      <c r="W16" s="196"/>
      <c r="X16" s="197"/>
      <c r="Y16" s="195"/>
      <c r="Z16" s="196"/>
      <c r="AA16" s="196"/>
      <c r="AB16" s="197"/>
      <c r="AC16" s="195"/>
      <c r="AD16" s="196"/>
      <c r="AE16" s="196"/>
      <c r="AF16" s="197"/>
      <c r="AG16" s="195"/>
      <c r="AH16" s="196"/>
      <c r="AI16" s="196"/>
      <c r="AJ16" s="196"/>
      <c r="AK16" s="197"/>
      <c r="AL16" s="195"/>
      <c r="AM16" s="196"/>
      <c r="AN16" s="196"/>
      <c r="AO16" s="197"/>
      <c r="AP16" s="195"/>
      <c r="AQ16" s="196"/>
      <c r="AR16" s="196"/>
      <c r="AS16" s="196"/>
      <c r="AT16" s="197"/>
      <c r="AU16" s="195"/>
      <c r="AV16" s="196"/>
      <c r="AW16" s="196"/>
      <c r="AX16" s="194"/>
      <c r="AY16" s="195"/>
      <c r="AZ16" s="196"/>
      <c r="BA16" s="196"/>
      <c r="BB16" s="196"/>
      <c r="BC16" s="196"/>
      <c r="BD16" s="168">
        <f t="shared" si="3"/>
        <v>0</v>
      </c>
    </row>
    <row r="17" ht="13.5" customHeight="1" spans="1:56" x14ac:dyDescent="0.25">
      <c r="A17" s="198" t="s">
        <v>126</v>
      </c>
      <c r="B17" s="199"/>
      <c r="C17" s="200">
        <f>C14-C20</f>
        <v>14515</v>
      </c>
      <c r="D17" s="200">
        <f t="shared" ref="D17:BB17" si="8">D14-D20</f>
        <v>49977.42</v>
      </c>
      <c r="E17" s="200">
        <f>E14-E20</f>
        <v>66083.95999999999</v>
      </c>
      <c r="F17" s="200">
        <f t="shared" si="8"/>
        <v>58319.03</v>
      </c>
      <c r="G17" s="200">
        <f t="shared" si="8"/>
        <v>56648.42999999999</v>
      </c>
      <c r="H17" s="200">
        <f>H14-H20</f>
        <v>66021.4</v>
      </c>
      <c r="I17" s="200">
        <f t="shared" si="8"/>
        <v>71141.23000000001</v>
      </c>
      <c r="J17" s="200">
        <f t="shared" si="8"/>
        <v>65610.81</v>
      </c>
      <c r="K17" s="200">
        <f t="shared" si="8"/>
        <v>69434.37</v>
      </c>
      <c r="L17" s="200">
        <f t="shared" si="8"/>
        <v>67407.23999999999</v>
      </c>
      <c r="M17" s="200">
        <f>M14-M20</f>
        <v>61408.54999999999</v>
      </c>
      <c r="N17" s="200">
        <f t="shared" si="8"/>
        <v>60899.01999999999</v>
      </c>
      <c r="O17" s="200">
        <f t="shared" si="8"/>
        <v>55069.78</v>
      </c>
      <c r="P17" s="200">
        <f t="shared" si="8"/>
        <v>41465.94</v>
      </c>
      <c r="Q17" s="200">
        <f t="shared" si="8"/>
        <v>34670.96000000001</v>
      </c>
      <c r="R17" s="200">
        <f t="shared" si="8"/>
        <v>31895.64</v>
      </c>
      <c r="S17" s="200">
        <f t="shared" si="8"/>
        <v>0</v>
      </c>
      <c r="T17" s="200">
        <f t="shared" si="8"/>
        <v>0</v>
      </c>
      <c r="U17" s="200">
        <f t="shared" si="8"/>
        <v>0</v>
      </c>
      <c r="V17" s="200">
        <f t="shared" si="8"/>
        <v>0</v>
      </c>
      <c r="W17" s="200">
        <f t="shared" si="8"/>
        <v>0</v>
      </c>
      <c r="X17" s="200">
        <f t="shared" si="8"/>
        <v>0</v>
      </c>
      <c r="Y17" s="200">
        <f t="shared" si="8"/>
        <v>0</v>
      </c>
      <c r="Z17" s="200">
        <f t="shared" si="8"/>
        <v>0</v>
      </c>
      <c r="AA17" s="200">
        <f t="shared" si="8"/>
        <v>0</v>
      </c>
      <c r="AB17" s="200">
        <f t="shared" si="8"/>
        <v>0</v>
      </c>
      <c r="AC17" s="200">
        <f t="shared" si="8"/>
        <v>0</v>
      </c>
      <c r="AD17" s="200">
        <f t="shared" si="8"/>
        <v>0</v>
      </c>
      <c r="AE17" s="200">
        <f t="shared" si="8"/>
        <v>0</v>
      </c>
      <c r="AF17" s="200">
        <f t="shared" si="8"/>
        <v>0</v>
      </c>
      <c r="AG17" s="200">
        <f t="shared" si="8"/>
        <v>0</v>
      </c>
      <c r="AH17" s="200">
        <f t="shared" si="8"/>
        <v>0</v>
      </c>
      <c r="AI17" s="200">
        <f t="shared" si="8"/>
        <v>0</v>
      </c>
      <c r="AJ17" s="200">
        <f t="shared" si="8"/>
        <v>0</v>
      </c>
      <c r="AK17" s="200">
        <f t="shared" si="8"/>
        <v>0</v>
      </c>
      <c r="AL17" s="200">
        <f t="shared" si="8"/>
        <v>0</v>
      </c>
      <c r="AM17" s="200">
        <f t="shared" si="8"/>
        <v>0</v>
      </c>
      <c r="AN17" s="200">
        <f t="shared" si="8"/>
        <v>0</v>
      </c>
      <c r="AO17" s="200">
        <f t="shared" si="8"/>
        <v>0</v>
      </c>
      <c r="AP17" s="200">
        <f t="shared" si="8"/>
        <v>0</v>
      </c>
      <c r="AQ17" s="200">
        <f t="shared" si="8"/>
        <v>0</v>
      </c>
      <c r="AR17" s="200">
        <f t="shared" si="8"/>
        <v>0</v>
      </c>
      <c r="AS17" s="200">
        <f t="shared" si="8"/>
        <v>0</v>
      </c>
      <c r="AT17" s="200">
        <f t="shared" si="8"/>
        <v>0</v>
      </c>
      <c r="AU17" s="200">
        <f t="shared" si="8"/>
        <v>0</v>
      </c>
      <c r="AV17" s="200">
        <f t="shared" si="8"/>
        <v>0</v>
      </c>
      <c r="AW17" s="200">
        <f t="shared" si="8"/>
        <v>0</v>
      </c>
      <c r="AX17" s="200">
        <f t="shared" si="8"/>
        <v>0</v>
      </c>
      <c r="AY17" s="200">
        <f t="shared" si="8"/>
        <v>0</v>
      </c>
      <c r="AZ17" s="200">
        <f t="shared" si="8"/>
        <v>0</v>
      </c>
      <c r="BA17" s="200">
        <f t="shared" si="8"/>
        <v>0</v>
      </c>
      <c r="BB17" s="200">
        <f t="shared" si="8"/>
        <v>0</v>
      </c>
      <c r="BC17" s="200">
        <f t="shared" ref="BC17" si="9">BC14-BC20</f>
        <v>0</v>
      </c>
      <c r="BD17" s="168">
        <f>SUM(C17:BC17)</f>
        <v>870568.7799999999</v>
      </c>
    </row>
    <row r="18" ht="13.5" customHeight="1" spans="1:56" x14ac:dyDescent="0.25">
      <c r="A18" s="193" t="s">
        <v>73</v>
      </c>
      <c r="B18" s="194"/>
      <c r="C18" s="201">
        <f>C17/C14</f>
        <v>0.2971888372473946</v>
      </c>
      <c r="D18" s="201">
        <f t="shared" ref="D18:BB18" si="10">D17/D14</f>
        <v>0.30387136785655655</v>
      </c>
      <c r="E18" s="201">
        <f t="shared" si="10"/>
        <v>0.3016940052866332</v>
      </c>
      <c r="F18" s="201">
        <f t="shared" si="10"/>
        <v>0.30218992890749685</v>
      </c>
      <c r="G18" s="201">
        <f t="shared" si="10"/>
        <v>0.29986200142921415</v>
      </c>
      <c r="H18" s="201">
        <f t="shared" si="10"/>
        <v>0.3025215705861059</v>
      </c>
      <c r="I18" s="201">
        <f t="shared" si="10"/>
        <v>0.3066498415914137</v>
      </c>
      <c r="J18" s="201">
        <f t="shared" si="10"/>
        <v>0.31336057274403234</v>
      </c>
      <c r="K18" s="201">
        <f t="shared" si="10"/>
        <v>0.3159137627451783</v>
      </c>
      <c r="L18" s="201">
        <f t="shared" si="10"/>
        <v>0.3208188091951834</v>
      </c>
      <c r="M18" s="201">
        <f>M17/M14</f>
        <v>0.3176227642781036</v>
      </c>
      <c r="N18" s="201">
        <f t="shared" si="10"/>
        <v>0.3149368306191788</v>
      </c>
      <c r="O18" s="201">
        <f t="shared" si="10"/>
        <v>0.31375752776084365</v>
      </c>
      <c r="P18" s="201">
        <f t="shared" si="10"/>
        <v>0.3122223644481925</v>
      </c>
      <c r="Q18" s="201">
        <f t="shared" si="10"/>
        <v>0.31901290002024263</v>
      </c>
      <c r="R18" s="201">
        <f t="shared" si="10"/>
        <v>0.30848935614596734</v>
      </c>
      <c r="S18" s="201" t="e">
        <f t="shared" si="10"/>
        <v>#DIV/0!</v>
      </c>
      <c r="T18" s="201" t="e">
        <f t="shared" si="10"/>
        <v>#DIV/0!</v>
      </c>
      <c r="U18" s="201" t="e">
        <f t="shared" si="10"/>
        <v>#DIV/0!</v>
      </c>
      <c r="V18" s="201" t="e">
        <f t="shared" si="10"/>
        <v>#DIV/0!</v>
      </c>
      <c r="W18" s="201" t="e">
        <f t="shared" si="10"/>
        <v>#DIV/0!</v>
      </c>
      <c r="X18" s="201" t="e">
        <f t="shared" si="10"/>
        <v>#DIV/0!</v>
      </c>
      <c r="Y18" s="201" t="e">
        <f t="shared" si="10"/>
        <v>#DIV/0!</v>
      </c>
      <c r="Z18" s="201" t="e">
        <f t="shared" si="10"/>
        <v>#DIV/0!</v>
      </c>
      <c r="AA18" s="201" t="e">
        <f t="shared" si="10"/>
        <v>#DIV/0!</v>
      </c>
      <c r="AB18" s="201" t="e">
        <f t="shared" si="10"/>
        <v>#DIV/0!</v>
      </c>
      <c r="AC18" s="201" t="e">
        <f t="shared" si="10"/>
        <v>#DIV/0!</v>
      </c>
      <c r="AD18" s="201" t="e">
        <f t="shared" si="10"/>
        <v>#DIV/0!</v>
      </c>
      <c r="AE18" s="201" t="e">
        <f t="shared" si="10"/>
        <v>#DIV/0!</v>
      </c>
      <c r="AF18" s="201" t="e">
        <f t="shared" si="10"/>
        <v>#DIV/0!</v>
      </c>
      <c r="AG18" s="201" t="e">
        <f t="shared" si="10"/>
        <v>#DIV/0!</v>
      </c>
      <c r="AH18" s="201" t="e">
        <f t="shared" si="10"/>
        <v>#DIV/0!</v>
      </c>
      <c r="AI18" s="201" t="e">
        <f t="shared" si="10"/>
        <v>#DIV/0!</v>
      </c>
      <c r="AJ18" s="201" t="e">
        <f t="shared" si="10"/>
        <v>#DIV/0!</v>
      </c>
      <c r="AK18" s="201" t="e">
        <f t="shared" si="10"/>
        <v>#DIV/0!</v>
      </c>
      <c r="AL18" s="201" t="e">
        <f t="shared" si="10"/>
        <v>#DIV/0!</v>
      </c>
      <c r="AM18" s="201" t="e">
        <f t="shared" si="10"/>
        <v>#DIV/0!</v>
      </c>
      <c r="AN18" s="201" t="e">
        <f t="shared" si="10"/>
        <v>#DIV/0!</v>
      </c>
      <c r="AO18" s="201" t="e">
        <f t="shared" si="10"/>
        <v>#DIV/0!</v>
      </c>
      <c r="AP18" s="201" t="e">
        <f t="shared" si="10"/>
        <v>#DIV/0!</v>
      </c>
      <c r="AQ18" s="201" t="e">
        <f t="shared" si="10"/>
        <v>#DIV/0!</v>
      </c>
      <c r="AR18" s="201" t="e">
        <f t="shared" si="10"/>
        <v>#DIV/0!</v>
      </c>
      <c r="AS18" s="201" t="e">
        <f t="shared" si="10"/>
        <v>#DIV/0!</v>
      </c>
      <c r="AT18" s="201" t="e">
        <f t="shared" si="10"/>
        <v>#DIV/0!</v>
      </c>
      <c r="AU18" s="201" t="e">
        <f t="shared" si="10"/>
        <v>#DIV/0!</v>
      </c>
      <c r="AV18" s="201" t="e">
        <f t="shared" si="10"/>
        <v>#DIV/0!</v>
      </c>
      <c r="AW18" s="201" t="e">
        <f t="shared" si="10"/>
        <v>#DIV/0!</v>
      </c>
      <c r="AX18" s="201" t="e">
        <f t="shared" si="10"/>
        <v>#DIV/0!</v>
      </c>
      <c r="AY18" s="201" t="e">
        <f t="shared" si="10"/>
        <v>#DIV/0!</v>
      </c>
      <c r="AZ18" s="201" t="e">
        <f t="shared" si="10"/>
        <v>#DIV/0!</v>
      </c>
      <c r="BA18" s="201" t="e">
        <f t="shared" si="10"/>
        <v>#DIV/0!</v>
      </c>
      <c r="BB18" s="201" t="e">
        <f t="shared" si="10"/>
        <v>#DIV/0!</v>
      </c>
      <c r="BC18" s="201" t="e">
        <f t="shared" ref="BC18" si="11">BC17/BC14</f>
        <v>#DIV/0!</v>
      </c>
      <c r="BD18" s="168" t="e">
        <f t="shared" ref="BD18:BD23" si="12">SUM(C18:BC18)</f>
        <v>#DIV/0!</v>
      </c>
    </row>
    <row r="19" ht="13.5" customHeight="1" spans="1:56" x14ac:dyDescent="0.25">
      <c r="A19" s="193"/>
      <c r="B19" s="194"/>
      <c r="C19" s="195"/>
      <c r="D19" s="196"/>
      <c r="E19" s="196"/>
      <c r="F19" s="196"/>
      <c r="G19" s="197"/>
      <c r="H19" s="195"/>
      <c r="I19" s="196"/>
      <c r="J19" s="196"/>
      <c r="K19" s="197"/>
      <c r="L19" s="195"/>
      <c r="M19" s="196"/>
      <c r="N19" s="196"/>
      <c r="O19" s="197"/>
      <c r="P19" s="195"/>
      <c r="Q19" s="196"/>
      <c r="R19" s="196"/>
      <c r="S19" s="197"/>
      <c r="T19" s="195"/>
      <c r="U19" s="196"/>
      <c r="V19" s="196"/>
      <c r="W19" s="196"/>
      <c r="X19" s="197"/>
      <c r="Y19" s="195"/>
      <c r="Z19" s="196"/>
      <c r="AA19" s="196"/>
      <c r="AB19" s="197"/>
      <c r="AC19" s="195"/>
      <c r="AD19" s="196"/>
      <c r="AE19" s="196"/>
      <c r="AF19" s="197"/>
      <c r="AG19" s="195"/>
      <c r="AH19" s="196"/>
      <c r="AI19" s="196"/>
      <c r="AJ19" s="196"/>
      <c r="AK19" s="197"/>
      <c r="AL19" s="195"/>
      <c r="AM19" s="196"/>
      <c r="AN19" s="196"/>
      <c r="AO19" s="197"/>
      <c r="AP19" s="195"/>
      <c r="AQ19" s="196"/>
      <c r="AR19" s="196"/>
      <c r="AS19" s="196"/>
      <c r="AT19" s="197"/>
      <c r="AU19" s="195"/>
      <c r="AV19" s="196"/>
      <c r="AW19" s="196"/>
      <c r="AX19" s="194"/>
      <c r="AY19" s="195"/>
      <c r="AZ19" s="196"/>
      <c r="BA19" s="196"/>
      <c r="BB19" s="196"/>
      <c r="BC19" s="196"/>
      <c r="BD19" s="168">
        <f t="shared" si="12"/>
        <v>0</v>
      </c>
    </row>
    <row r="20" ht="13.5" customHeight="1" spans="1:56" x14ac:dyDescent="0.25">
      <c r="A20" s="202" t="s">
        <v>74</v>
      </c>
      <c r="B20" s="192"/>
      <c r="C20" s="185">
        <v>34326</v>
      </c>
      <c r="D20" s="186">
        <v>114491.58</v>
      </c>
      <c r="E20" s="186">
        <v>152959.04</v>
      </c>
      <c r="F20" s="186">
        <v>134668.97</v>
      </c>
      <c r="G20" s="187">
        <v>132266.57</v>
      </c>
      <c r="H20" s="188">
        <v>152215.6</v>
      </c>
      <c r="I20" s="189">
        <v>160853.77</v>
      </c>
      <c r="J20" s="189">
        <v>143767.19</v>
      </c>
      <c r="K20" s="190">
        <v>150354.63</v>
      </c>
      <c r="L20" s="188">
        <v>142702.76</v>
      </c>
      <c r="M20" s="189">
        <v>131929.45</v>
      </c>
      <c r="N20" s="189">
        <v>132469.98</v>
      </c>
      <c r="O20" s="190">
        <v>120447.22</v>
      </c>
      <c r="P20" s="188">
        <v>91343.06</v>
      </c>
      <c r="Q20" s="189">
        <v>74011.04</v>
      </c>
      <c r="R20" s="189">
        <v>71497.36</v>
      </c>
      <c r="S20" s="190"/>
      <c r="T20" s="188"/>
      <c r="U20" s="189"/>
      <c r="V20" s="189"/>
      <c r="W20" s="189"/>
      <c r="X20" s="190"/>
      <c r="Y20" s="188"/>
      <c r="Z20" s="189"/>
      <c r="AA20" s="189"/>
      <c r="AB20" s="190"/>
      <c r="AC20" s="188"/>
      <c r="AD20" s="189"/>
      <c r="AE20" s="189"/>
      <c r="AF20" s="190"/>
      <c r="AG20" s="188"/>
      <c r="AH20" s="189"/>
      <c r="AI20" s="189"/>
      <c r="AJ20" s="189"/>
      <c r="AK20" s="190"/>
      <c r="AL20" s="188"/>
      <c r="AM20" s="189"/>
      <c r="AN20" s="189"/>
      <c r="AO20" s="190"/>
      <c r="AP20" s="188"/>
      <c r="AQ20" s="189"/>
      <c r="AR20" s="189"/>
      <c r="AS20" s="189"/>
      <c r="AT20" s="190"/>
      <c r="AU20" s="188"/>
      <c r="AV20" s="189"/>
      <c r="AW20" s="189"/>
      <c r="AX20" s="191"/>
      <c r="AY20" s="188"/>
      <c r="AZ20" s="189"/>
      <c r="BA20" s="189"/>
      <c r="BB20" s="189"/>
      <c r="BC20" s="189"/>
      <c r="BD20" s="168">
        <f t="shared" si="12"/>
        <v>1940304.2200000002</v>
      </c>
    </row>
    <row r="21" ht="13.5" customHeight="1" spans="1:56" x14ac:dyDescent="0.25">
      <c r="A21" s="202"/>
      <c r="B21" s="194"/>
      <c r="C21" s="195"/>
      <c r="D21" s="196"/>
      <c r="E21" s="196"/>
      <c r="F21" s="196"/>
      <c r="G21" s="197"/>
      <c r="H21" s="195"/>
      <c r="I21" s="196"/>
      <c r="J21" s="196"/>
      <c r="K21" s="197"/>
      <c r="L21" s="195"/>
      <c r="M21" s="196"/>
      <c r="N21" s="196"/>
      <c r="O21" s="197"/>
      <c r="P21" s="195"/>
      <c r="Q21" s="196"/>
      <c r="R21" s="196"/>
      <c r="S21" s="197"/>
      <c r="T21" s="195"/>
      <c r="U21" s="196"/>
      <c r="V21" s="196"/>
      <c r="W21" s="196"/>
      <c r="X21" s="197"/>
      <c r="Y21" s="195"/>
      <c r="Z21" s="196"/>
      <c r="AA21" s="196"/>
      <c r="AB21" s="197"/>
      <c r="AC21" s="195"/>
      <c r="AD21" s="196"/>
      <c r="AE21" s="196"/>
      <c r="AF21" s="197"/>
      <c r="AG21" s="195"/>
      <c r="AH21" s="196"/>
      <c r="AI21" s="196"/>
      <c r="AJ21" s="196"/>
      <c r="AK21" s="197"/>
      <c r="AL21" s="195"/>
      <c r="AM21" s="196"/>
      <c r="AN21" s="196"/>
      <c r="AO21" s="197"/>
      <c r="AP21" s="195"/>
      <c r="AQ21" s="196"/>
      <c r="AR21" s="196"/>
      <c r="AS21" s="196"/>
      <c r="AT21" s="197"/>
      <c r="AU21" s="195"/>
      <c r="AV21" s="196"/>
      <c r="AW21" s="196"/>
      <c r="AX21" s="194"/>
      <c r="AY21" s="195"/>
      <c r="AZ21" s="196"/>
      <c r="BA21" s="196"/>
      <c r="BB21" s="196"/>
      <c r="BC21" s="196"/>
      <c r="BD21" s="168">
        <f t="shared" si="12"/>
        <v>0</v>
      </c>
    </row>
    <row r="22" ht="13.5" customHeight="1" spans="1:56" x14ac:dyDescent="0.25">
      <c r="A22" s="193" t="s">
        <v>75</v>
      </c>
      <c r="B22" s="194"/>
      <c r="C22" s="203"/>
      <c r="D22" s="204"/>
      <c r="E22" s="204"/>
      <c r="F22" s="204"/>
      <c r="G22" s="205"/>
      <c r="H22" s="206"/>
      <c r="I22" s="207"/>
      <c r="J22" s="207"/>
      <c r="K22" s="208"/>
      <c r="L22" s="206"/>
      <c r="M22" s="207">
        <v>708</v>
      </c>
      <c r="N22" s="207">
        <v>1515</v>
      </c>
      <c r="O22" s="208">
        <v>2067</v>
      </c>
      <c r="P22" s="206">
        <v>1526</v>
      </c>
      <c r="Q22" s="207">
        <v>519</v>
      </c>
      <c r="R22" s="207"/>
      <c r="S22" s="208"/>
      <c r="T22" s="206"/>
      <c r="U22" s="207"/>
      <c r="V22" s="207"/>
      <c r="W22" s="207"/>
      <c r="X22" s="208"/>
      <c r="Y22" s="206"/>
      <c r="Z22" s="207"/>
      <c r="AA22" s="207"/>
      <c r="AB22" s="208"/>
      <c r="AC22" s="206"/>
      <c r="AD22" s="207"/>
      <c r="AE22" s="207"/>
      <c r="AF22" s="208"/>
      <c r="AG22" s="206"/>
      <c r="AH22" s="207"/>
      <c r="AI22" s="207"/>
      <c r="AJ22" s="207"/>
      <c r="AK22" s="208"/>
      <c r="AL22" s="206"/>
      <c r="AM22" s="207"/>
      <c r="AN22" s="207"/>
      <c r="AO22" s="208"/>
      <c r="AP22" s="206"/>
      <c r="AQ22" s="207"/>
      <c r="AR22" s="207"/>
      <c r="AS22" s="207"/>
      <c r="AT22" s="208"/>
      <c r="AU22" s="206"/>
      <c r="AV22" s="207"/>
      <c r="AW22" s="207"/>
      <c r="AX22" s="209"/>
      <c r="AY22" s="206"/>
      <c r="AZ22" s="207"/>
      <c r="BA22" s="207"/>
      <c r="BB22" s="207"/>
      <c r="BC22" s="207"/>
      <c r="BD22" s="168">
        <f t="shared" si="12"/>
        <v>6335</v>
      </c>
    </row>
    <row r="23" ht="13.5" customHeight="1" spans="1:56" x14ac:dyDescent="0.25">
      <c r="A23" s="193" t="s">
        <v>76</v>
      </c>
      <c r="B23" s="194"/>
      <c r="C23" s="203"/>
      <c r="D23" s="204"/>
      <c r="E23" s="204"/>
      <c r="F23" s="204"/>
      <c r="G23" s="205"/>
      <c r="H23" s="206"/>
      <c r="I23" s="207"/>
      <c r="J23" s="207"/>
      <c r="K23" s="208"/>
      <c r="L23" s="206"/>
      <c r="M23" s="207">
        <v>1</v>
      </c>
      <c r="N23" s="207">
        <v>3</v>
      </c>
      <c r="O23" s="208">
        <v>3</v>
      </c>
      <c r="P23" s="206">
        <v>3</v>
      </c>
      <c r="Q23" s="207">
        <v>1</v>
      </c>
      <c r="R23" s="207"/>
      <c r="S23" s="208"/>
      <c r="T23" s="206"/>
      <c r="U23" s="207"/>
      <c r="V23" s="207"/>
      <c r="W23" s="207"/>
      <c r="X23" s="208"/>
      <c r="Y23" s="206"/>
      <c r="Z23" s="207"/>
      <c r="AA23" s="207"/>
      <c r="AB23" s="208"/>
      <c r="AC23" s="206"/>
      <c r="AD23" s="207"/>
      <c r="AE23" s="207"/>
      <c r="AF23" s="208"/>
      <c r="AG23" s="206"/>
      <c r="AH23" s="207"/>
      <c r="AI23" s="207"/>
      <c r="AJ23" s="207"/>
      <c r="AK23" s="208"/>
      <c r="AL23" s="206"/>
      <c r="AM23" s="207"/>
      <c r="AN23" s="207"/>
      <c r="AO23" s="208"/>
      <c r="AP23" s="206"/>
      <c r="AQ23" s="207"/>
      <c r="AR23" s="207"/>
      <c r="AS23" s="207"/>
      <c r="AT23" s="208"/>
      <c r="AU23" s="206"/>
      <c r="AV23" s="207"/>
      <c r="AW23" s="207"/>
      <c r="AX23" s="209"/>
      <c r="AY23" s="206"/>
      <c r="AZ23" s="207"/>
      <c r="BA23" s="207"/>
      <c r="BB23" s="207"/>
      <c r="BC23" s="207"/>
      <c r="BD23" s="168">
        <f t="shared" si="12"/>
        <v>11</v>
      </c>
    </row>
    <row r="24" ht="13.5" customHeight="1" spans="1:56" x14ac:dyDescent="0.25">
      <c r="A24" s="193" t="s">
        <v>77</v>
      </c>
      <c r="B24" s="194"/>
      <c r="C24" s="201">
        <f>C22/(C14-C22)</f>
        <v>0</v>
      </c>
      <c r="D24" s="201">
        <f t="shared" ref="D24:BB24" si="13">D22/(D14-D22)</f>
        <v>0</v>
      </c>
      <c r="E24" s="201">
        <f t="shared" si="13"/>
        <v>0</v>
      </c>
      <c r="F24" s="201">
        <f t="shared" si="13"/>
        <v>0</v>
      </c>
      <c r="G24" s="201">
        <f t="shared" si="13"/>
        <v>0</v>
      </c>
      <c r="H24" s="201">
        <f t="shared" si="13"/>
        <v>0</v>
      </c>
      <c r="I24" s="201">
        <f t="shared" si="13"/>
        <v>0</v>
      </c>
      <c r="J24" s="201">
        <f t="shared" si="13"/>
        <v>0</v>
      </c>
      <c r="K24" s="201">
        <f t="shared" si="13"/>
        <v>0</v>
      </c>
      <c r="L24" s="201">
        <f t="shared" si="13"/>
        <v>0</v>
      </c>
      <c r="M24" s="201">
        <f>M22/(M14-M22)</f>
        <v>0.0036754399626226443</v>
      </c>
      <c r="N24" s="201">
        <f t="shared" si="13"/>
        <v>0.007896629728856318</v>
      </c>
      <c r="O24" s="201">
        <f t="shared" si="13"/>
        <v>0.011916978956471605</v>
      </c>
      <c r="P24" s="201">
        <f t="shared" si="13"/>
        <v>0.011623744125286595</v>
      </c>
      <c r="Q24" s="201">
        <f t="shared" si="13"/>
        <v>0.0047983136562410435</v>
      </c>
      <c r="R24" s="201">
        <f t="shared" si="13"/>
        <v>0</v>
      </c>
      <c r="S24" s="201" t="e">
        <f t="shared" si="13"/>
        <v>#DIV/0!</v>
      </c>
      <c r="T24" s="201" t="e">
        <f t="shared" si="13"/>
        <v>#DIV/0!</v>
      </c>
      <c r="U24" s="201" t="e">
        <f t="shared" si="13"/>
        <v>#DIV/0!</v>
      </c>
      <c r="V24" s="201" t="e">
        <f t="shared" si="13"/>
        <v>#DIV/0!</v>
      </c>
      <c r="W24" s="201" t="e">
        <f t="shared" si="13"/>
        <v>#DIV/0!</v>
      </c>
      <c r="X24" s="201" t="e">
        <f t="shared" si="13"/>
        <v>#DIV/0!</v>
      </c>
      <c r="Y24" s="201" t="e">
        <f t="shared" si="13"/>
        <v>#DIV/0!</v>
      </c>
      <c r="Z24" s="201" t="e">
        <f t="shared" si="13"/>
        <v>#DIV/0!</v>
      </c>
      <c r="AA24" s="201" t="e">
        <f t="shared" si="13"/>
        <v>#DIV/0!</v>
      </c>
      <c r="AB24" s="201" t="e">
        <f t="shared" si="13"/>
        <v>#DIV/0!</v>
      </c>
      <c r="AC24" s="201" t="e">
        <f t="shared" si="13"/>
        <v>#DIV/0!</v>
      </c>
      <c r="AD24" s="201" t="e">
        <f t="shared" si="13"/>
        <v>#DIV/0!</v>
      </c>
      <c r="AE24" s="201" t="e">
        <f t="shared" si="13"/>
        <v>#DIV/0!</v>
      </c>
      <c r="AF24" s="201" t="e">
        <f t="shared" si="13"/>
        <v>#DIV/0!</v>
      </c>
      <c r="AG24" s="201" t="e">
        <f t="shared" si="13"/>
        <v>#DIV/0!</v>
      </c>
      <c r="AH24" s="201" t="e">
        <f t="shared" si="13"/>
        <v>#DIV/0!</v>
      </c>
      <c r="AI24" s="201" t="e">
        <f t="shared" si="13"/>
        <v>#DIV/0!</v>
      </c>
      <c r="AJ24" s="201" t="e">
        <f t="shared" si="13"/>
        <v>#DIV/0!</v>
      </c>
      <c r="AK24" s="201" t="e">
        <f t="shared" si="13"/>
        <v>#DIV/0!</v>
      </c>
      <c r="AL24" s="201" t="e">
        <f t="shared" si="13"/>
        <v>#DIV/0!</v>
      </c>
      <c r="AM24" s="201" t="e">
        <f t="shared" si="13"/>
        <v>#DIV/0!</v>
      </c>
      <c r="AN24" s="201" t="e">
        <f t="shared" si="13"/>
        <v>#DIV/0!</v>
      </c>
      <c r="AO24" s="201" t="e">
        <f t="shared" si="13"/>
        <v>#DIV/0!</v>
      </c>
      <c r="AP24" s="201" t="e">
        <f t="shared" si="13"/>
        <v>#DIV/0!</v>
      </c>
      <c r="AQ24" s="201" t="e">
        <f t="shared" si="13"/>
        <v>#DIV/0!</v>
      </c>
      <c r="AR24" s="201" t="e">
        <f t="shared" si="13"/>
        <v>#DIV/0!</v>
      </c>
      <c r="AS24" s="201" t="e">
        <f t="shared" si="13"/>
        <v>#DIV/0!</v>
      </c>
      <c r="AT24" s="201" t="e">
        <f t="shared" si="13"/>
        <v>#DIV/0!</v>
      </c>
      <c r="AU24" s="201" t="e">
        <f t="shared" si="13"/>
        <v>#DIV/0!</v>
      </c>
      <c r="AV24" s="201" t="e">
        <f t="shared" si="13"/>
        <v>#DIV/0!</v>
      </c>
      <c r="AW24" s="201" t="e">
        <f t="shared" si="13"/>
        <v>#DIV/0!</v>
      </c>
      <c r="AX24" s="201" t="e">
        <f t="shared" si="13"/>
        <v>#DIV/0!</v>
      </c>
      <c r="AY24" s="201" t="e">
        <f t="shared" si="13"/>
        <v>#DIV/0!</v>
      </c>
      <c r="AZ24" s="201" t="e">
        <f t="shared" si="13"/>
        <v>#DIV/0!</v>
      </c>
      <c r="BA24" s="201" t="e">
        <f t="shared" si="13"/>
        <v>#DIV/0!</v>
      </c>
      <c r="BB24" s="201" t="e">
        <f t="shared" si="13"/>
        <v>#DIV/0!</v>
      </c>
      <c r="BC24" s="201" t="e">
        <f t="shared" ref="BC24" si="14">BC22/(BC14-BC22)</f>
        <v>#DIV/0!</v>
      </c>
      <c r="BD24" s="210">
        <f>BD22/(BD14-BD22)</f>
        <v>0.002258839067254571</v>
      </c>
    </row>
    <row r="25" ht="13.5" customHeight="1" spans="1:56" x14ac:dyDescent="0.25">
      <c r="A25" s="202"/>
      <c r="B25" s="192"/>
      <c r="C25" s="211"/>
      <c r="D25" s="212"/>
      <c r="E25" s="212"/>
      <c r="F25" s="212"/>
      <c r="G25" s="213"/>
      <c r="H25" s="211"/>
      <c r="I25" s="212"/>
      <c r="J25" s="212"/>
      <c r="K25" s="213"/>
      <c r="L25" s="211"/>
      <c r="M25" s="212"/>
      <c r="N25" s="212"/>
      <c r="O25" s="213"/>
      <c r="P25" s="211"/>
      <c r="Q25" s="212"/>
      <c r="R25" s="212"/>
      <c r="S25" s="213"/>
      <c r="T25" s="211"/>
      <c r="U25" s="212"/>
      <c r="V25" s="212"/>
      <c r="W25" s="212"/>
      <c r="X25" s="213"/>
      <c r="Y25" s="211"/>
      <c r="Z25" s="212"/>
      <c r="AA25" s="212"/>
      <c r="AB25" s="213"/>
      <c r="AC25" s="211"/>
      <c r="AD25" s="212"/>
      <c r="AE25" s="212"/>
      <c r="AF25" s="213"/>
      <c r="AG25" s="211"/>
      <c r="AH25" s="212"/>
      <c r="AI25" s="212"/>
      <c r="AJ25" s="212"/>
      <c r="AK25" s="213"/>
      <c r="AL25" s="211"/>
      <c r="AM25" s="212"/>
      <c r="AN25" s="212"/>
      <c r="AO25" s="213"/>
      <c r="AP25" s="211"/>
      <c r="AQ25" s="212"/>
      <c r="AR25" s="212"/>
      <c r="AS25" s="212"/>
      <c r="AT25" s="213"/>
      <c r="AU25" s="211"/>
      <c r="AV25" s="212"/>
      <c r="AW25" s="212"/>
      <c r="AX25" s="192"/>
      <c r="AY25" s="211"/>
      <c r="AZ25" s="212"/>
      <c r="BA25" s="212"/>
      <c r="BB25" s="212"/>
      <c r="BC25" s="212"/>
      <c r="BD25" s="168"/>
    </row>
    <row r="26" ht="13.5" customHeight="1" hidden="1" spans="1:56" x14ac:dyDescent="0.25">
      <c r="A26" s="214" t="s">
        <v>78</v>
      </c>
      <c r="B26" s="194"/>
      <c r="C26" s="195"/>
      <c r="D26" s="196"/>
      <c r="E26" s="196"/>
      <c r="F26" s="196"/>
      <c r="G26" s="197"/>
      <c r="H26" s="195"/>
      <c r="I26" s="196"/>
      <c r="J26" s="196"/>
      <c r="K26" s="197"/>
      <c r="L26" s="195"/>
      <c r="M26" s="196"/>
      <c r="N26" s="196"/>
      <c r="O26" s="197"/>
      <c r="P26" s="195"/>
      <c r="Q26" s="196"/>
      <c r="R26" s="196"/>
      <c r="S26" s="197"/>
      <c r="T26" s="195"/>
      <c r="U26" s="196"/>
      <c r="V26" s="196"/>
      <c r="W26" s="196"/>
      <c r="X26" s="197"/>
      <c r="Y26" s="195"/>
      <c r="Z26" s="196"/>
      <c r="AA26" s="196"/>
      <c r="AB26" s="197"/>
      <c r="AC26" s="195"/>
      <c r="AD26" s="196"/>
      <c r="AE26" s="196"/>
      <c r="AF26" s="197"/>
      <c r="AG26" s="195"/>
      <c r="AH26" s="196"/>
      <c r="AI26" s="196"/>
      <c r="AJ26" s="196"/>
      <c r="AK26" s="197"/>
      <c r="AL26" s="195"/>
      <c r="AM26" s="196"/>
      <c r="AN26" s="196"/>
      <c r="AO26" s="197"/>
      <c r="AP26" s="195"/>
      <c r="AQ26" s="196"/>
      <c r="AR26" s="196"/>
      <c r="AS26" s="196"/>
      <c r="AT26" s="197"/>
      <c r="AU26" s="195"/>
      <c r="AV26" s="196"/>
      <c r="AW26" s="196"/>
      <c r="AX26" s="194"/>
      <c r="AY26" s="195"/>
      <c r="AZ26" s="196"/>
      <c r="BA26" s="196"/>
      <c r="BB26" s="196"/>
      <c r="BC26" s="196"/>
      <c r="BD26" s="168">
        <f>SUM(C26:BB26)</f>
        <v>0</v>
      </c>
    </row>
    <row r="27" ht="13.5" customHeight="1" spans="1:56" x14ac:dyDescent="0.25">
      <c r="A27" s="214" t="s">
        <v>79</v>
      </c>
      <c r="B27" s="194"/>
      <c r="C27" s="203"/>
      <c r="D27" s="204"/>
      <c r="E27" s="204"/>
      <c r="F27" s="204"/>
      <c r="G27" s="205"/>
      <c r="H27" s="206"/>
      <c r="I27" s="207"/>
      <c r="J27" s="207"/>
      <c r="K27" s="208"/>
      <c r="L27" s="206"/>
      <c r="M27" s="207"/>
      <c r="N27" s="207"/>
      <c r="O27" s="208"/>
      <c r="P27" s="206"/>
      <c r="Q27" s="207">
        <v>1</v>
      </c>
      <c r="R27" s="207"/>
      <c r="S27" s="208"/>
      <c r="T27" s="206"/>
      <c r="U27" s="207"/>
      <c r="V27" s="207"/>
      <c r="W27" s="207"/>
      <c r="X27" s="208"/>
      <c r="Y27" s="206"/>
      <c r="Z27" s="207">
        <v>2</v>
      </c>
      <c r="AA27" s="207">
        <v>1</v>
      </c>
      <c r="AB27" s="208"/>
      <c r="AC27" s="206"/>
      <c r="AD27" s="207"/>
      <c r="AE27" s="207"/>
      <c r="AF27" s="208"/>
      <c r="AG27" s="206"/>
      <c r="AH27" s="207"/>
      <c r="AI27" s="207"/>
      <c r="AJ27" s="207"/>
      <c r="AK27" s="208"/>
      <c r="AL27" s="206"/>
      <c r="AM27" s="207"/>
      <c r="AN27" s="207"/>
      <c r="AO27" s="208"/>
      <c r="AP27" s="206"/>
      <c r="AQ27" s="207"/>
      <c r="AR27" s="207"/>
      <c r="AS27" s="207"/>
      <c r="AT27" s="208"/>
      <c r="AU27" s="206"/>
      <c r="AV27" s="207"/>
      <c r="AW27" s="207"/>
      <c r="AX27" s="209"/>
      <c r="AY27" s="206"/>
      <c r="AZ27" s="207"/>
      <c r="BA27" s="207"/>
      <c r="BB27" s="207"/>
      <c r="BC27" s="207"/>
      <c r="BD27" s="168">
        <f t="shared" ref="BD27:BD29" si="15">SUM(C27:BC27)</f>
        <v>4</v>
      </c>
    </row>
    <row r="28" ht="13.5" customHeight="1" spans="1:56" x14ac:dyDescent="0.25">
      <c r="A28" s="215" t="s">
        <v>80</v>
      </c>
      <c r="B28" s="216"/>
      <c r="C28" s="201">
        <f>C27/C7</f>
        <v>0</v>
      </c>
      <c r="D28" s="217">
        <f t="shared" ref="D28:BB28" si="16">D27/D7</f>
        <v>0</v>
      </c>
      <c r="E28" s="217">
        <f t="shared" si="16"/>
        <v>0</v>
      </c>
      <c r="F28" s="217">
        <f t="shared" si="16"/>
        <v>0</v>
      </c>
      <c r="G28" s="218">
        <f t="shared" si="16"/>
        <v>0</v>
      </c>
      <c r="H28" s="201">
        <f t="shared" si="16"/>
        <v>0</v>
      </c>
      <c r="I28" s="217">
        <f t="shared" si="16"/>
        <v>0</v>
      </c>
      <c r="J28" s="217">
        <f t="shared" si="16"/>
        <v>0</v>
      </c>
      <c r="K28" s="218">
        <f t="shared" si="16"/>
        <v>0</v>
      </c>
      <c r="L28" s="201">
        <f t="shared" si="16"/>
        <v>0</v>
      </c>
      <c r="M28" s="217">
        <f t="shared" si="16"/>
        <v>0</v>
      </c>
      <c r="N28" s="217">
        <f t="shared" si="16"/>
        <v>0</v>
      </c>
      <c r="O28" s="218">
        <f t="shared" si="16"/>
        <v>0</v>
      </c>
      <c r="P28" s="201">
        <f t="shared" si="16"/>
        <v>0</v>
      </c>
      <c r="Q28" s="217">
        <f t="shared" si="16"/>
        <v>0.006493506493506494</v>
      </c>
      <c r="R28" s="217">
        <f t="shared" si="16"/>
        <v>0</v>
      </c>
      <c r="S28" s="218" t="e">
        <f t="shared" si="16"/>
        <v>#DIV/0!</v>
      </c>
      <c r="T28" s="201" t="e">
        <f t="shared" si="16"/>
        <v>#DIV/0!</v>
      </c>
      <c r="U28" s="217" t="e">
        <f t="shared" si="16"/>
        <v>#DIV/0!</v>
      </c>
      <c r="V28" s="217" t="e">
        <f t="shared" si="16"/>
        <v>#DIV/0!</v>
      </c>
      <c r="W28" s="217" t="e">
        <f t="shared" si="16"/>
        <v>#DIV/0!</v>
      </c>
      <c r="X28" s="218" t="e">
        <f t="shared" si="16"/>
        <v>#DIV/0!</v>
      </c>
      <c r="Y28" s="201" t="e">
        <f t="shared" si="16"/>
        <v>#DIV/0!</v>
      </c>
      <c r="Z28" s="217" t="e">
        <f t="shared" si="16"/>
        <v>#DIV/0!</v>
      </c>
      <c r="AA28" s="217" t="e">
        <f t="shared" si="16"/>
        <v>#DIV/0!</v>
      </c>
      <c r="AB28" s="218" t="e">
        <f t="shared" si="16"/>
        <v>#DIV/0!</v>
      </c>
      <c r="AC28" s="201" t="e">
        <f t="shared" si="16"/>
        <v>#DIV/0!</v>
      </c>
      <c r="AD28" s="217" t="e">
        <f t="shared" si="16"/>
        <v>#DIV/0!</v>
      </c>
      <c r="AE28" s="217" t="e">
        <f t="shared" si="16"/>
        <v>#DIV/0!</v>
      </c>
      <c r="AF28" s="218" t="e">
        <f t="shared" si="16"/>
        <v>#DIV/0!</v>
      </c>
      <c r="AG28" s="201" t="e">
        <f t="shared" si="16"/>
        <v>#DIV/0!</v>
      </c>
      <c r="AH28" s="217" t="e">
        <f t="shared" si="16"/>
        <v>#DIV/0!</v>
      </c>
      <c r="AI28" s="217" t="e">
        <f t="shared" si="16"/>
        <v>#DIV/0!</v>
      </c>
      <c r="AJ28" s="217" t="e">
        <f t="shared" si="16"/>
        <v>#DIV/0!</v>
      </c>
      <c r="AK28" s="218" t="e">
        <f t="shared" si="16"/>
        <v>#DIV/0!</v>
      </c>
      <c r="AL28" s="201" t="e">
        <f t="shared" si="16"/>
        <v>#DIV/0!</v>
      </c>
      <c r="AM28" s="217" t="e">
        <f t="shared" si="16"/>
        <v>#DIV/0!</v>
      </c>
      <c r="AN28" s="217" t="e">
        <f t="shared" si="16"/>
        <v>#DIV/0!</v>
      </c>
      <c r="AO28" s="218" t="e">
        <f t="shared" si="16"/>
        <v>#DIV/0!</v>
      </c>
      <c r="AP28" s="201" t="e">
        <f t="shared" si="16"/>
        <v>#DIV/0!</v>
      </c>
      <c r="AQ28" s="217" t="e">
        <f t="shared" si="16"/>
        <v>#DIV/0!</v>
      </c>
      <c r="AR28" s="217" t="e">
        <f t="shared" si="16"/>
        <v>#DIV/0!</v>
      </c>
      <c r="AS28" s="217" t="e">
        <f t="shared" si="16"/>
        <v>#DIV/0!</v>
      </c>
      <c r="AT28" s="218" t="e">
        <f t="shared" si="16"/>
        <v>#DIV/0!</v>
      </c>
      <c r="AU28" s="201" t="e">
        <f t="shared" si="16"/>
        <v>#DIV/0!</v>
      </c>
      <c r="AV28" s="217" t="e">
        <f t="shared" si="16"/>
        <v>#DIV/0!</v>
      </c>
      <c r="AW28" s="217" t="e">
        <f t="shared" si="16"/>
        <v>#DIV/0!</v>
      </c>
      <c r="AX28" s="216" t="e">
        <f t="shared" si="16"/>
        <v>#DIV/0!</v>
      </c>
      <c r="AY28" s="201" t="e">
        <f t="shared" si="16"/>
        <v>#DIV/0!</v>
      </c>
      <c r="AZ28" s="217" t="e">
        <f t="shared" si="16"/>
        <v>#DIV/0!</v>
      </c>
      <c r="BA28" s="217" t="e">
        <f t="shared" si="16"/>
        <v>#DIV/0!</v>
      </c>
      <c r="BB28" s="217" t="e">
        <f t="shared" si="16"/>
        <v>#DIV/0!</v>
      </c>
      <c r="BC28" s="217" t="e">
        <f t="shared" ref="BC28" si="17">BC27/BC7</f>
        <v>#DIV/0!</v>
      </c>
      <c r="BD28" s="168"/>
    </row>
    <row r="29" ht="13.5" customHeight="1" spans="1:56" x14ac:dyDescent="0.25">
      <c r="A29" s="202"/>
      <c r="B29" s="192"/>
      <c r="C29" s="211"/>
      <c r="D29" s="212"/>
      <c r="E29" s="212"/>
      <c r="F29" s="212"/>
      <c r="G29" s="213"/>
      <c r="H29" s="211"/>
      <c r="I29" s="212"/>
      <c r="J29" s="212"/>
      <c r="K29" s="213"/>
      <c r="L29" s="211"/>
      <c r="M29" s="212"/>
      <c r="N29" s="212"/>
      <c r="O29" s="213"/>
      <c r="P29" s="211"/>
      <c r="Q29" s="212"/>
      <c r="R29" s="212"/>
      <c r="S29" s="213"/>
      <c r="T29" s="211"/>
      <c r="U29" s="212"/>
      <c r="V29" s="212"/>
      <c r="W29" s="212"/>
      <c r="X29" s="213"/>
      <c r="Y29" s="211"/>
      <c r="Z29" s="212"/>
      <c r="AA29" s="212"/>
      <c r="AB29" s="213"/>
      <c r="AC29" s="211"/>
      <c r="AD29" s="212"/>
      <c r="AE29" s="212"/>
      <c r="AF29" s="213"/>
      <c r="AG29" s="211"/>
      <c r="AH29" s="212"/>
      <c r="AI29" s="212"/>
      <c r="AJ29" s="212"/>
      <c r="AK29" s="213"/>
      <c r="AL29" s="211"/>
      <c r="AM29" s="212"/>
      <c r="AN29" s="212"/>
      <c r="AO29" s="213"/>
      <c r="AP29" s="211"/>
      <c r="AQ29" s="212"/>
      <c r="AR29" s="212"/>
      <c r="AS29" s="212"/>
      <c r="AT29" s="213"/>
      <c r="AU29" s="211"/>
      <c r="AV29" s="212"/>
      <c r="AW29" s="212"/>
      <c r="AX29" s="192"/>
      <c r="AY29" s="211"/>
      <c r="AZ29" s="212"/>
      <c r="BA29" s="212"/>
      <c r="BB29" s="212"/>
      <c r="BC29" s="212"/>
      <c r="BD29" s="168">
        <f t="shared" si="15"/>
        <v>0</v>
      </c>
    </row>
    <row r="30" ht="13.5" customHeight="1" spans="1:56" x14ac:dyDescent="0.25">
      <c r="A30" s="219" t="s">
        <v>127</v>
      </c>
      <c r="B30" s="220"/>
      <c r="C30" s="221">
        <f>C20+C31-SUM(C40:C45)-C42</f>
        <v>26503.58</v>
      </c>
      <c r="D30" s="222">
        <f>D20+D31-SUM(D40:D45)-D42</f>
        <v>90050.43</v>
      </c>
      <c r="E30" s="222">
        <f t="shared" ref="E30:BA30" si="18">E20+E31-SUM(E40:E45)-E42</f>
        <v>122170.28</v>
      </c>
      <c r="F30" s="222">
        <f>F20+F31-SUM(F40:F45)-F41</f>
        <v>89431.22</v>
      </c>
      <c r="G30" s="223">
        <f>G20+G31-SUM(G40:G45)-G41</f>
        <v>95453.12000000001</v>
      </c>
      <c r="H30" s="221">
        <f>H20+H31-SUM(H40:H45)-H41</f>
        <v>121464.16</v>
      </c>
      <c r="I30" s="222">
        <f>I20+I31-SUM(I40:I45)-I41</f>
        <v>131775.46</v>
      </c>
      <c r="J30" s="222">
        <f>J20+J31-SUM(J40:J45)-J41</f>
        <v>114834.31</v>
      </c>
      <c r="K30" s="223">
        <f t="shared" si="18"/>
        <v>119567.57</v>
      </c>
      <c r="L30" s="221">
        <f t="shared" si="18"/>
        <v>107669.87000000001</v>
      </c>
      <c r="M30" s="222">
        <f t="shared" si="18"/>
        <v>99302.4</v>
      </c>
      <c r="N30" s="222">
        <f t="shared" si="18"/>
        <v>94859.58000000002</v>
      </c>
      <c r="O30" s="223">
        <f t="shared" si="18"/>
        <v>88943.93</v>
      </c>
      <c r="P30" s="221">
        <f t="shared" si="18"/>
        <v>67847.65</v>
      </c>
      <c r="Q30" s="222">
        <f t="shared" si="18"/>
        <v>53886.28999999999</v>
      </c>
      <c r="R30" s="222">
        <f t="shared" si="18"/>
        <v>52150.34</v>
      </c>
      <c r="S30" s="223">
        <f t="shared" si="18"/>
        <v>0</v>
      </c>
      <c r="T30" s="221">
        <f t="shared" ref="T30:AF30" si="19">T20+T31-SUM(T40:T45)-T42</f>
        <v>0</v>
      </c>
      <c r="U30" s="222">
        <f t="shared" si="19"/>
        <v>0</v>
      </c>
      <c r="V30" s="222">
        <f t="shared" si="19"/>
        <v>0</v>
      </c>
      <c r="W30" s="222">
        <f t="shared" si="19"/>
        <v>0</v>
      </c>
      <c r="X30" s="223">
        <f t="shared" si="19"/>
        <v>0</v>
      </c>
      <c r="Y30" s="221">
        <f t="shared" si="19"/>
        <v>0</v>
      </c>
      <c r="Z30" s="222">
        <f t="shared" si="19"/>
        <v>0</v>
      </c>
      <c r="AA30" s="222">
        <f t="shared" si="19"/>
        <v>0</v>
      </c>
      <c r="AB30" s="223">
        <f t="shared" si="19"/>
        <v>0</v>
      </c>
      <c r="AC30" s="221">
        <f t="shared" si="19"/>
        <v>0</v>
      </c>
      <c r="AD30" s="222">
        <f t="shared" si="19"/>
        <v>0</v>
      </c>
      <c r="AE30" s="222">
        <f t="shared" si="19"/>
        <v>0</v>
      </c>
      <c r="AF30" s="223">
        <f t="shared" si="19"/>
        <v>0</v>
      </c>
      <c r="AG30" s="221">
        <f t="shared" si="18"/>
        <v>0</v>
      </c>
      <c r="AH30" s="222">
        <f t="shared" si="18"/>
        <v>0</v>
      </c>
      <c r="AI30" s="222">
        <f t="shared" si="18"/>
        <v>0</v>
      </c>
      <c r="AJ30" s="222">
        <f t="shared" si="18"/>
        <v>0</v>
      </c>
      <c r="AK30" s="223">
        <f t="shared" si="18"/>
        <v>0</v>
      </c>
      <c r="AL30" s="221">
        <f t="shared" si="18"/>
        <v>0</v>
      </c>
      <c r="AM30" s="222">
        <f t="shared" si="18"/>
        <v>0</v>
      </c>
      <c r="AN30" s="222">
        <f t="shared" si="18"/>
        <v>0</v>
      </c>
      <c r="AO30" s="223">
        <f>AO20+AO31-SUM(AO40:AO45)-AO42</f>
        <v>0</v>
      </c>
      <c r="AP30" s="221">
        <f>AP20+AP31-SUM(AP40:AP45)-AP42</f>
        <v>0</v>
      </c>
      <c r="AQ30" s="222">
        <f t="shared" si="18"/>
        <v>0</v>
      </c>
      <c r="AR30" s="222">
        <f t="shared" si="18"/>
        <v>0</v>
      </c>
      <c r="AS30" s="222">
        <f t="shared" si="18"/>
        <v>0</v>
      </c>
      <c r="AT30" s="223">
        <f t="shared" si="18"/>
        <v>0</v>
      </c>
      <c r="AU30" s="221">
        <f t="shared" si="18"/>
        <v>0</v>
      </c>
      <c r="AV30" s="222">
        <f t="shared" si="18"/>
        <v>0</v>
      </c>
      <c r="AW30" s="222">
        <f t="shared" si="18"/>
        <v>0</v>
      </c>
      <c r="AX30" s="220">
        <f t="shared" si="18"/>
        <v>0</v>
      </c>
      <c r="AY30" s="221">
        <f t="shared" si="18"/>
        <v>0</v>
      </c>
      <c r="AZ30" s="222">
        <f>AZ20+AZ31-SUM(AZ40:AZ45)-AZ42</f>
        <v>0</v>
      </c>
      <c r="BA30" s="222">
        <f t="shared" si="18"/>
        <v>0</v>
      </c>
      <c r="BB30" s="222">
        <f>BB20+BB31-SUM(BB40:BB45)-BB42</f>
        <v>0</v>
      </c>
      <c r="BC30" s="222">
        <f>BC20+BC31-SUM(BC40:BC45)-BC42</f>
        <v>0</v>
      </c>
      <c r="BD30" s="168">
        <f>SUM(C30:BC30)</f>
        <v>1475910.1900000002</v>
      </c>
    </row>
    <row r="31" ht="13.5" customHeight="1" spans="1:56" x14ac:dyDescent="0.25">
      <c r="A31" s="122" t="s">
        <v>82</v>
      </c>
      <c r="B31" s="199"/>
      <c r="C31" s="156"/>
      <c r="D31" s="162"/>
      <c r="E31" s="162"/>
      <c r="F31" s="162"/>
      <c r="G31" s="163"/>
      <c r="H31" s="171"/>
      <c r="I31" s="172"/>
      <c r="J31" s="172"/>
      <c r="K31" s="173"/>
      <c r="L31" s="171"/>
      <c r="M31" s="172">
        <v>153.05</v>
      </c>
      <c r="N31" s="172">
        <v>128.25</v>
      </c>
      <c r="O31" s="173">
        <v>71</v>
      </c>
      <c r="P31" s="171">
        <v>11</v>
      </c>
      <c r="Q31" s="172"/>
      <c r="R31" s="172">
        <v>55.37</v>
      </c>
      <c r="S31" s="173"/>
      <c r="T31" s="171"/>
      <c r="U31" s="172"/>
      <c r="V31" s="172"/>
      <c r="W31" s="172"/>
      <c r="X31" s="173"/>
      <c r="Y31" s="171"/>
      <c r="Z31" s="172"/>
      <c r="AA31" s="172"/>
      <c r="AB31" s="173"/>
      <c r="AC31" s="171"/>
      <c r="AD31" s="172"/>
      <c r="AE31" s="172"/>
      <c r="AF31" s="173"/>
      <c r="AG31" s="171"/>
      <c r="AH31" s="172"/>
      <c r="AI31" s="172"/>
      <c r="AJ31" s="172"/>
      <c r="AK31" s="173"/>
      <c r="AL31" s="171"/>
      <c r="AM31" s="172"/>
      <c r="AN31" s="172"/>
      <c r="AO31" s="173"/>
      <c r="AP31" s="171"/>
      <c r="AQ31" s="172"/>
      <c r="AR31" s="172"/>
      <c r="AS31" s="172"/>
      <c r="AT31" s="173"/>
      <c r="AU31" s="171"/>
      <c r="AV31" s="172"/>
      <c r="AW31" s="172"/>
      <c r="AX31" s="174"/>
      <c r="AY31" s="171"/>
      <c r="AZ31" s="172"/>
      <c r="BA31" s="172"/>
      <c r="BB31" s="172"/>
      <c r="BC31" s="172"/>
      <c r="BD31" s="168">
        <f t="shared" ref="BD31:BD57" si="20">SUM(C31:BC31)</f>
        <v>418.67</v>
      </c>
    </row>
    <row r="32" ht="13.5" customHeight="1" spans="1:56" x14ac:dyDescent="0.25">
      <c r="A32" s="59"/>
      <c r="B32" s="199"/>
      <c r="C32" s="200"/>
      <c r="D32" s="224"/>
      <c r="E32" s="224"/>
      <c r="F32" s="224"/>
      <c r="G32" s="225"/>
      <c r="H32" s="200"/>
      <c r="I32" s="224"/>
      <c r="J32" s="224"/>
      <c r="K32" s="225"/>
      <c r="L32" s="200"/>
      <c r="M32" s="224"/>
      <c r="N32" s="224"/>
      <c r="O32" s="225"/>
      <c r="P32" s="200"/>
      <c r="Q32" s="224"/>
      <c r="R32" s="224"/>
      <c r="S32" s="225"/>
      <c r="T32" s="200"/>
      <c r="U32" s="224"/>
      <c r="V32" s="224"/>
      <c r="W32" s="224"/>
      <c r="X32" s="225"/>
      <c r="Y32" s="200"/>
      <c r="Z32" s="224"/>
      <c r="AA32" s="224"/>
      <c r="AB32" s="225"/>
      <c r="AC32" s="200"/>
      <c r="AD32" s="224"/>
      <c r="AE32" s="224"/>
      <c r="AF32" s="225"/>
      <c r="AG32" s="200"/>
      <c r="AH32" s="224"/>
      <c r="AI32" s="224"/>
      <c r="AJ32" s="224"/>
      <c r="AK32" s="225"/>
      <c r="AL32" s="200"/>
      <c r="AM32" s="224"/>
      <c r="AN32" s="224"/>
      <c r="AO32" s="225"/>
      <c r="AP32" s="200"/>
      <c r="AQ32" s="224"/>
      <c r="AR32" s="224"/>
      <c r="AS32" s="224"/>
      <c r="AT32" s="225"/>
      <c r="AU32" s="200"/>
      <c r="AV32" s="224"/>
      <c r="AW32" s="224"/>
      <c r="AX32" s="170"/>
      <c r="AY32" s="200"/>
      <c r="AZ32" s="224"/>
      <c r="BA32" s="224"/>
      <c r="BB32" s="224"/>
      <c r="BC32" s="224"/>
      <c r="BD32" s="168">
        <f t="shared" si="20"/>
        <v>0</v>
      </c>
    </row>
    <row r="33" ht="13.5" customHeight="1" spans="1:56" s="175" customFormat="1" x14ac:dyDescent="0.25">
      <c r="A33" s="202" t="s">
        <v>29</v>
      </c>
      <c r="B33" s="192"/>
      <c r="C33" s="185">
        <v>9203</v>
      </c>
      <c r="D33" s="186">
        <v>34065</v>
      </c>
      <c r="E33" s="186">
        <v>46332.16</v>
      </c>
      <c r="F33" s="186">
        <v>40453.2</v>
      </c>
      <c r="G33" s="187">
        <v>38640.45</v>
      </c>
      <c r="H33" s="188">
        <v>45978</v>
      </c>
      <c r="I33" s="189">
        <v>45637.06</v>
      </c>
      <c r="J33" s="189">
        <v>39199.24</v>
      </c>
      <c r="K33" s="190">
        <v>40766.42</v>
      </c>
      <c r="L33" s="188">
        <v>39771</v>
      </c>
      <c r="M33" s="189">
        <v>38202.46</v>
      </c>
      <c r="N33" s="189">
        <v>45982.75</v>
      </c>
      <c r="O33" s="190">
        <v>36408.19</v>
      </c>
      <c r="P33" s="188">
        <v>24503.54</v>
      </c>
      <c r="Q33" s="189">
        <v>19559.56</v>
      </c>
      <c r="R33" s="189">
        <v>18994.8</v>
      </c>
      <c r="S33" s="190"/>
      <c r="T33" s="188"/>
      <c r="U33" s="189"/>
      <c r="V33" s="189"/>
      <c r="W33" s="189"/>
      <c r="X33" s="190"/>
      <c r="Y33" s="188"/>
      <c r="Z33" s="189"/>
      <c r="AA33" s="189"/>
      <c r="AB33" s="190"/>
      <c r="AC33" s="188"/>
      <c r="AD33" s="189"/>
      <c r="AE33" s="189"/>
      <c r="AF33" s="190"/>
      <c r="AG33" s="188"/>
      <c r="AH33" s="189"/>
      <c r="AI33" s="189"/>
      <c r="AJ33" s="189"/>
      <c r="AK33" s="190"/>
      <c r="AL33" s="188"/>
      <c r="AM33" s="189"/>
      <c r="AN33" s="189"/>
      <c r="AO33" s="190"/>
      <c r="AP33" s="188"/>
      <c r="AQ33" s="189"/>
      <c r="AR33" s="189"/>
      <c r="AS33" s="189"/>
      <c r="AT33" s="190"/>
      <c r="AU33" s="188"/>
      <c r="AV33" s="189"/>
      <c r="AW33" s="189"/>
      <c r="AX33" s="191"/>
      <c r="AY33" s="188"/>
      <c r="AZ33" s="189"/>
      <c r="BA33" s="189"/>
      <c r="BB33" s="189"/>
      <c r="BC33" s="189"/>
      <c r="BD33" s="168">
        <f t="shared" si="20"/>
        <v>563696.8300000001</v>
      </c>
    </row>
    <row r="34" ht="13.5" customHeight="1" spans="1:56" x14ac:dyDescent="0.25">
      <c r="A34" s="215" t="s">
        <v>128</v>
      </c>
      <c r="B34" s="216"/>
      <c r="C34" s="201">
        <f>C33/C14</f>
        <v>0.18842775536946418</v>
      </c>
      <c r="D34" s="201">
        <f t="shared" ref="D34:BB34" si="21">D33/D14</f>
        <v>0.20712109880889407</v>
      </c>
      <c r="E34" s="201">
        <f t="shared" si="21"/>
        <v>0.21152084293951418</v>
      </c>
      <c r="F34" s="201">
        <f t="shared" si="21"/>
        <v>0.20961510560242086</v>
      </c>
      <c r="G34" s="201">
        <f t="shared" si="21"/>
        <v>0.20453881375221658</v>
      </c>
      <c r="H34" s="201">
        <f t="shared" si="21"/>
        <v>0.2106792157150254</v>
      </c>
      <c r="I34" s="201">
        <f t="shared" si="21"/>
        <v>0.19671570507985084</v>
      </c>
      <c r="J34" s="201">
        <f t="shared" si="21"/>
        <v>0.1872175682258881</v>
      </c>
      <c r="K34" s="201">
        <f t="shared" si="21"/>
        <v>0.18547980108194675</v>
      </c>
      <c r="L34" s="201">
        <f t="shared" si="21"/>
        <v>0.18928656418066728</v>
      </c>
      <c r="M34" s="201">
        <f>M33/M14</f>
        <v>0.19759416152023918</v>
      </c>
      <c r="N34" s="201">
        <f t="shared" si="21"/>
        <v>0.23779794072472837</v>
      </c>
      <c r="O34" s="201">
        <f t="shared" si="21"/>
        <v>0.20743398075400105</v>
      </c>
      <c r="P34" s="201">
        <f t="shared" si="21"/>
        <v>0.1845021045260487</v>
      </c>
      <c r="Q34" s="201">
        <f>Q33/Q14</f>
        <v>0.17997055630187153</v>
      </c>
      <c r="R34" s="201">
        <f t="shared" si="21"/>
        <v>0.1837145648157999</v>
      </c>
      <c r="S34" s="201" t="e">
        <f t="shared" si="21"/>
        <v>#DIV/0!</v>
      </c>
      <c r="T34" s="201" t="e">
        <f t="shared" si="21"/>
        <v>#DIV/0!</v>
      </c>
      <c r="U34" s="201" t="e">
        <f t="shared" si="21"/>
        <v>#DIV/0!</v>
      </c>
      <c r="V34" s="201" t="e">
        <f t="shared" si="21"/>
        <v>#DIV/0!</v>
      </c>
      <c r="W34" s="201" t="e">
        <f t="shared" si="21"/>
        <v>#DIV/0!</v>
      </c>
      <c r="X34" s="201" t="e">
        <f t="shared" si="21"/>
        <v>#DIV/0!</v>
      </c>
      <c r="Y34" s="201" t="e">
        <f t="shared" si="21"/>
        <v>#DIV/0!</v>
      </c>
      <c r="Z34" s="201" t="e">
        <f t="shared" si="21"/>
        <v>#DIV/0!</v>
      </c>
      <c r="AA34" s="201" t="e">
        <f t="shared" si="21"/>
        <v>#DIV/0!</v>
      </c>
      <c r="AB34" s="201" t="e">
        <f t="shared" si="21"/>
        <v>#DIV/0!</v>
      </c>
      <c r="AC34" s="201" t="e">
        <f t="shared" si="21"/>
        <v>#DIV/0!</v>
      </c>
      <c r="AD34" s="201" t="e">
        <f t="shared" si="21"/>
        <v>#DIV/0!</v>
      </c>
      <c r="AE34" s="201" t="e">
        <f t="shared" si="21"/>
        <v>#DIV/0!</v>
      </c>
      <c r="AF34" s="201" t="e">
        <f t="shared" si="21"/>
        <v>#DIV/0!</v>
      </c>
      <c r="AG34" s="201" t="e">
        <f t="shared" si="21"/>
        <v>#DIV/0!</v>
      </c>
      <c r="AH34" s="201" t="e">
        <f t="shared" si="21"/>
        <v>#DIV/0!</v>
      </c>
      <c r="AI34" s="201" t="e">
        <f t="shared" si="21"/>
        <v>#DIV/0!</v>
      </c>
      <c r="AJ34" s="201" t="e">
        <f t="shared" si="21"/>
        <v>#DIV/0!</v>
      </c>
      <c r="AK34" s="201" t="e">
        <f t="shared" si="21"/>
        <v>#DIV/0!</v>
      </c>
      <c r="AL34" s="201" t="e">
        <f t="shared" si="21"/>
        <v>#DIV/0!</v>
      </c>
      <c r="AM34" s="201" t="e">
        <f t="shared" si="21"/>
        <v>#DIV/0!</v>
      </c>
      <c r="AN34" s="201" t="e">
        <f t="shared" si="21"/>
        <v>#DIV/0!</v>
      </c>
      <c r="AO34" s="201" t="e">
        <f t="shared" si="21"/>
        <v>#DIV/0!</v>
      </c>
      <c r="AP34" s="201" t="e">
        <f t="shared" si="21"/>
        <v>#DIV/0!</v>
      </c>
      <c r="AQ34" s="201" t="e">
        <f t="shared" si="21"/>
        <v>#DIV/0!</v>
      </c>
      <c r="AR34" s="201" t="e">
        <f t="shared" si="21"/>
        <v>#DIV/0!</v>
      </c>
      <c r="AS34" s="201" t="e">
        <f t="shared" si="21"/>
        <v>#DIV/0!</v>
      </c>
      <c r="AT34" s="201" t="e">
        <f t="shared" si="21"/>
        <v>#DIV/0!</v>
      </c>
      <c r="AU34" s="201" t="e">
        <f t="shared" si="21"/>
        <v>#DIV/0!</v>
      </c>
      <c r="AV34" s="201" t="e">
        <f t="shared" si="21"/>
        <v>#DIV/0!</v>
      </c>
      <c r="AW34" s="201" t="e">
        <f t="shared" si="21"/>
        <v>#DIV/0!</v>
      </c>
      <c r="AX34" s="201" t="e">
        <f t="shared" si="21"/>
        <v>#DIV/0!</v>
      </c>
      <c r="AY34" s="201" t="e">
        <f t="shared" si="21"/>
        <v>#DIV/0!</v>
      </c>
      <c r="AZ34" s="201" t="e">
        <f t="shared" si="21"/>
        <v>#DIV/0!</v>
      </c>
      <c r="BA34" s="201" t="e">
        <f t="shared" si="21"/>
        <v>#DIV/0!</v>
      </c>
      <c r="BB34" s="201" t="e">
        <f t="shared" si="21"/>
        <v>#DIV/0!</v>
      </c>
      <c r="BC34" s="201" t="e">
        <f t="shared" ref="BC34:BD34" si="22">BC33/BC14</f>
        <v>#DIV/0!</v>
      </c>
      <c r="BD34" s="201">
        <f t="shared" si="22"/>
        <v>0.20054155061434653</v>
      </c>
    </row>
    <row r="35" ht="13.5" customHeight="1" spans="1:56" x14ac:dyDescent="0.25">
      <c r="A35" s="59"/>
      <c r="B35" s="184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168">
        <f t="shared" si="20"/>
        <v>0</v>
      </c>
    </row>
    <row r="36" ht="13.5" customHeight="1" spans="1:56" x14ac:dyDescent="0.25">
      <c r="A36" s="202" t="s">
        <v>10</v>
      </c>
      <c r="B36" s="192"/>
      <c r="C36" s="211">
        <f>C20-C33</f>
        <v>25123</v>
      </c>
      <c r="D36" s="211">
        <f t="shared" ref="D36:BB36" si="23">D20-D33</f>
        <v>80426.58</v>
      </c>
      <c r="E36" s="211">
        <f t="shared" si="23"/>
        <v>106626.88</v>
      </c>
      <c r="F36" s="211">
        <f t="shared" si="23"/>
        <v>94215.77</v>
      </c>
      <c r="G36" s="211">
        <f t="shared" si="23"/>
        <v>93626.12000000001</v>
      </c>
      <c r="H36" s="211">
        <f t="shared" si="23"/>
        <v>106237.6</v>
      </c>
      <c r="I36" s="211">
        <f t="shared" si="23"/>
        <v>115216.70999999999</v>
      </c>
      <c r="J36" s="211">
        <f t="shared" si="23"/>
        <v>104567.95000000001</v>
      </c>
      <c r="K36" s="211">
        <f t="shared" si="23"/>
        <v>109588.21</v>
      </c>
      <c r="L36" s="211">
        <f t="shared" si="23"/>
        <v>102931.76000000001</v>
      </c>
      <c r="M36" s="211">
        <f t="shared" si="23"/>
        <v>93726.99000000002</v>
      </c>
      <c r="N36" s="211">
        <f t="shared" si="23"/>
        <v>86487.23000000001</v>
      </c>
      <c r="O36" s="211">
        <f t="shared" si="23"/>
        <v>84039.03</v>
      </c>
      <c r="P36" s="211">
        <f t="shared" si="23"/>
        <v>66839.51999999999</v>
      </c>
      <c r="Q36" s="211">
        <f t="shared" si="23"/>
        <v>54451.479999999996</v>
      </c>
      <c r="R36" s="211">
        <f t="shared" si="23"/>
        <v>52502.56</v>
      </c>
      <c r="S36" s="211">
        <f t="shared" si="23"/>
        <v>0</v>
      </c>
      <c r="T36" s="211">
        <f t="shared" si="23"/>
        <v>0</v>
      </c>
      <c r="U36" s="211">
        <f t="shared" si="23"/>
        <v>0</v>
      </c>
      <c r="V36" s="211">
        <f t="shared" si="23"/>
        <v>0</v>
      </c>
      <c r="W36" s="211">
        <f t="shared" si="23"/>
        <v>0</v>
      </c>
      <c r="X36" s="211">
        <f t="shared" si="23"/>
        <v>0</v>
      </c>
      <c r="Y36" s="211">
        <f t="shared" si="23"/>
        <v>0</v>
      </c>
      <c r="Z36" s="211">
        <f t="shared" si="23"/>
        <v>0</v>
      </c>
      <c r="AA36" s="211">
        <f t="shared" si="23"/>
        <v>0</v>
      </c>
      <c r="AB36" s="211">
        <f t="shared" si="23"/>
        <v>0</v>
      </c>
      <c r="AC36" s="211">
        <f t="shared" si="23"/>
        <v>0</v>
      </c>
      <c r="AD36" s="211">
        <f t="shared" si="23"/>
        <v>0</v>
      </c>
      <c r="AE36" s="211">
        <f t="shared" si="23"/>
        <v>0</v>
      </c>
      <c r="AF36" s="211">
        <f t="shared" si="23"/>
        <v>0</v>
      </c>
      <c r="AG36" s="211">
        <f t="shared" si="23"/>
        <v>0</v>
      </c>
      <c r="AH36" s="211">
        <f t="shared" si="23"/>
        <v>0</v>
      </c>
      <c r="AI36" s="211">
        <f t="shared" si="23"/>
        <v>0</v>
      </c>
      <c r="AJ36" s="211">
        <f t="shared" si="23"/>
        <v>0</v>
      </c>
      <c r="AK36" s="211">
        <f t="shared" si="23"/>
        <v>0</v>
      </c>
      <c r="AL36" s="211">
        <f t="shared" si="23"/>
        <v>0</v>
      </c>
      <c r="AM36" s="211">
        <f t="shared" si="23"/>
        <v>0</v>
      </c>
      <c r="AN36" s="211">
        <f t="shared" si="23"/>
        <v>0</v>
      </c>
      <c r="AO36" s="211">
        <f t="shared" si="23"/>
        <v>0</v>
      </c>
      <c r="AP36" s="211">
        <f t="shared" si="23"/>
        <v>0</v>
      </c>
      <c r="AQ36" s="211">
        <f t="shared" si="23"/>
        <v>0</v>
      </c>
      <c r="AR36" s="211">
        <f t="shared" si="23"/>
        <v>0</v>
      </c>
      <c r="AS36" s="211">
        <f t="shared" si="23"/>
        <v>0</v>
      </c>
      <c r="AT36" s="211">
        <f t="shared" si="23"/>
        <v>0</v>
      </c>
      <c r="AU36" s="211">
        <f t="shared" si="23"/>
        <v>0</v>
      </c>
      <c r="AV36" s="211">
        <f t="shared" si="23"/>
        <v>0</v>
      </c>
      <c r="AW36" s="211">
        <f t="shared" si="23"/>
        <v>0</v>
      </c>
      <c r="AX36" s="211">
        <f t="shared" si="23"/>
        <v>0</v>
      </c>
      <c r="AY36" s="211">
        <f t="shared" si="23"/>
        <v>0</v>
      </c>
      <c r="AZ36" s="211">
        <f t="shared" si="23"/>
        <v>0</v>
      </c>
      <c r="BA36" s="211">
        <f t="shared" si="23"/>
        <v>0</v>
      </c>
      <c r="BB36" s="211">
        <f t="shared" si="23"/>
        <v>0</v>
      </c>
      <c r="BC36" s="211">
        <f t="shared" ref="BC36" si="24">BC20-BC33</f>
        <v>0</v>
      </c>
      <c r="BD36" s="168">
        <f t="shared" si="20"/>
        <v>1376607.3900000001</v>
      </c>
    </row>
    <row r="37" ht="13.5" customHeight="1" spans="1:56" x14ac:dyDescent="0.25">
      <c r="A37" s="202"/>
      <c r="B37" s="192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168">
        <f t="shared" si="20"/>
        <v>0</v>
      </c>
    </row>
    <row r="38" ht="13.5" customHeight="1" spans="1:56" x14ac:dyDescent="0.25">
      <c r="A38" s="202" t="s">
        <v>84</v>
      </c>
      <c r="B38" s="192"/>
      <c r="C38" s="211">
        <f t="shared" ref="C38" si="25">SUM(C40:C51)</f>
        <v>7822.42</v>
      </c>
      <c r="D38" s="211">
        <f t="shared" ref="D38:BB38" si="26">SUM(D40:D51)</f>
        <v>24441.15</v>
      </c>
      <c r="E38" s="211">
        <f t="shared" si="26"/>
        <v>30788.760000000002</v>
      </c>
      <c r="F38" s="211">
        <f>SUM(F40:F51)</f>
        <v>45237.75</v>
      </c>
      <c r="G38" s="211">
        <f t="shared" si="26"/>
        <v>36813.45</v>
      </c>
      <c r="H38" s="211">
        <f t="shared" si="26"/>
        <v>30751.44</v>
      </c>
      <c r="I38" s="211">
        <f t="shared" si="26"/>
        <v>29078.31</v>
      </c>
      <c r="J38" s="211">
        <f t="shared" si="26"/>
        <v>28932.88</v>
      </c>
      <c r="K38" s="211">
        <f t="shared" si="26"/>
        <v>30787.06</v>
      </c>
      <c r="L38" s="211">
        <f t="shared" si="26"/>
        <v>35032.89</v>
      </c>
      <c r="M38" s="211">
        <f t="shared" si="26"/>
        <v>32780.1</v>
      </c>
      <c r="N38" s="211">
        <f t="shared" si="26"/>
        <v>37738.65</v>
      </c>
      <c r="O38" s="211">
        <f t="shared" si="26"/>
        <v>31574.29</v>
      </c>
      <c r="P38" s="211">
        <f t="shared" si="26"/>
        <v>23506.41</v>
      </c>
      <c r="Q38" s="211">
        <f t="shared" si="26"/>
        <v>20124.75</v>
      </c>
      <c r="R38" s="211">
        <f t="shared" si="26"/>
        <v>19402.39</v>
      </c>
      <c r="S38" s="211">
        <f t="shared" si="26"/>
        <v>0</v>
      </c>
      <c r="T38" s="211">
        <f t="shared" si="26"/>
        <v>0</v>
      </c>
      <c r="U38" s="211">
        <f t="shared" si="26"/>
        <v>0</v>
      </c>
      <c r="V38" s="211">
        <f t="shared" si="26"/>
        <v>0</v>
      </c>
      <c r="W38" s="211">
        <f t="shared" si="26"/>
        <v>0</v>
      </c>
      <c r="X38" s="211">
        <f t="shared" si="26"/>
        <v>0</v>
      </c>
      <c r="Y38" s="211">
        <f t="shared" si="26"/>
        <v>0</v>
      </c>
      <c r="Z38" s="211">
        <f t="shared" si="26"/>
        <v>0</v>
      </c>
      <c r="AA38" s="211">
        <f t="shared" si="26"/>
        <v>0</v>
      </c>
      <c r="AB38" s="211">
        <f t="shared" si="26"/>
        <v>0</v>
      </c>
      <c r="AC38" s="211">
        <f t="shared" si="26"/>
        <v>0</v>
      </c>
      <c r="AD38" s="211">
        <f t="shared" si="26"/>
        <v>0</v>
      </c>
      <c r="AE38" s="211">
        <f t="shared" si="26"/>
        <v>0</v>
      </c>
      <c r="AF38" s="211">
        <f t="shared" si="26"/>
        <v>0</v>
      </c>
      <c r="AG38" s="211">
        <f t="shared" si="26"/>
        <v>0</v>
      </c>
      <c r="AH38" s="211">
        <f t="shared" si="26"/>
        <v>0</v>
      </c>
      <c r="AI38" s="211">
        <f t="shared" si="26"/>
        <v>0</v>
      </c>
      <c r="AJ38" s="211">
        <f t="shared" si="26"/>
        <v>0</v>
      </c>
      <c r="AK38" s="211">
        <f t="shared" si="26"/>
        <v>0</v>
      </c>
      <c r="AL38" s="211">
        <f t="shared" si="26"/>
        <v>0</v>
      </c>
      <c r="AM38" s="211">
        <f t="shared" si="26"/>
        <v>0</v>
      </c>
      <c r="AN38" s="211">
        <f t="shared" si="26"/>
        <v>0</v>
      </c>
      <c r="AO38" s="211">
        <f t="shared" si="26"/>
        <v>0</v>
      </c>
      <c r="AP38" s="211">
        <f t="shared" si="26"/>
        <v>0</v>
      </c>
      <c r="AQ38" s="211">
        <f t="shared" si="26"/>
        <v>0</v>
      </c>
      <c r="AR38" s="211">
        <f t="shared" si="26"/>
        <v>0</v>
      </c>
      <c r="AS38" s="211">
        <f t="shared" si="26"/>
        <v>0</v>
      </c>
      <c r="AT38" s="211">
        <f t="shared" si="26"/>
        <v>0</v>
      </c>
      <c r="AU38" s="211">
        <f t="shared" si="26"/>
        <v>0</v>
      </c>
      <c r="AV38" s="211">
        <f t="shared" si="26"/>
        <v>0</v>
      </c>
      <c r="AW38" s="211">
        <f t="shared" si="26"/>
        <v>0</v>
      </c>
      <c r="AX38" s="211">
        <f t="shared" si="26"/>
        <v>0</v>
      </c>
      <c r="AY38" s="211">
        <f t="shared" si="26"/>
        <v>0</v>
      </c>
      <c r="AZ38" s="211">
        <f t="shared" si="26"/>
        <v>0</v>
      </c>
      <c r="BA38" s="211">
        <f t="shared" si="26"/>
        <v>0</v>
      </c>
      <c r="BB38" s="211">
        <f t="shared" si="26"/>
        <v>0</v>
      </c>
      <c r="BC38" s="211">
        <f t="shared" ref="BC38" si="27">SUM(BC40:BC51)</f>
        <v>0</v>
      </c>
      <c r="BD38" s="168">
        <f t="shared" si="20"/>
        <v>464812.7</v>
      </c>
    </row>
    <row r="39" ht="13.5" customHeight="1" spans="1:56" x14ac:dyDescent="0.25">
      <c r="A39" s="215" t="s">
        <v>85</v>
      </c>
      <c r="B39" s="216"/>
      <c r="C39" s="201">
        <f>C38/C14</f>
        <v>0.16016093036588114</v>
      </c>
      <c r="D39" s="201">
        <f t="shared" ref="D39:BB39" si="28">D38/D14</f>
        <v>0.14860642431096438</v>
      </c>
      <c r="E39" s="201">
        <f t="shared" si="28"/>
        <v>0.14056034659861308</v>
      </c>
      <c r="F39" s="201">
        <f t="shared" si="28"/>
        <v>0.23440706157895827</v>
      </c>
      <c r="G39" s="201">
        <f t="shared" si="28"/>
        <v>0.19486779768679033</v>
      </c>
      <c r="H39" s="201">
        <f t="shared" si="28"/>
        <v>0.14090846190151074</v>
      </c>
      <c r="I39" s="201">
        <f t="shared" si="28"/>
        <v>0.125340244401819</v>
      </c>
      <c r="J39" s="201">
        <f t="shared" si="28"/>
        <v>0.13818490958935514</v>
      </c>
      <c r="K39" s="201">
        <f t="shared" si="28"/>
        <v>0.14007552698269704</v>
      </c>
      <c r="L39" s="201">
        <f t="shared" si="28"/>
        <v>0.16673594783684736</v>
      </c>
      <c r="M39" s="201">
        <f>M38/M14</f>
        <v>0.16954814883778666</v>
      </c>
      <c r="N39" s="201">
        <f t="shared" si="28"/>
        <v>0.19516390941671105</v>
      </c>
      <c r="O39" s="201">
        <f t="shared" si="28"/>
        <v>0.17989305879202586</v>
      </c>
      <c r="P39" s="201">
        <f t="shared" si="28"/>
        <v>0.1769941043152196</v>
      </c>
      <c r="Q39" s="201">
        <f t="shared" si="28"/>
        <v>0.1851709574722585</v>
      </c>
      <c r="R39" s="201">
        <f t="shared" si="28"/>
        <v>0.18765670790092173</v>
      </c>
      <c r="S39" s="201" t="e">
        <f t="shared" si="28"/>
        <v>#DIV/0!</v>
      </c>
      <c r="T39" s="201" t="e">
        <f t="shared" si="28"/>
        <v>#DIV/0!</v>
      </c>
      <c r="U39" s="201" t="e">
        <f t="shared" si="28"/>
        <v>#DIV/0!</v>
      </c>
      <c r="V39" s="201" t="e">
        <f t="shared" si="28"/>
        <v>#DIV/0!</v>
      </c>
      <c r="W39" s="201" t="e">
        <f t="shared" si="28"/>
        <v>#DIV/0!</v>
      </c>
      <c r="X39" s="201" t="e">
        <f t="shared" si="28"/>
        <v>#DIV/0!</v>
      </c>
      <c r="Y39" s="201" t="e">
        <f t="shared" si="28"/>
        <v>#DIV/0!</v>
      </c>
      <c r="Z39" s="201" t="e">
        <f t="shared" si="28"/>
        <v>#DIV/0!</v>
      </c>
      <c r="AA39" s="201" t="e">
        <f t="shared" si="28"/>
        <v>#DIV/0!</v>
      </c>
      <c r="AB39" s="201" t="e">
        <f t="shared" si="28"/>
        <v>#DIV/0!</v>
      </c>
      <c r="AC39" s="201" t="e">
        <f t="shared" si="28"/>
        <v>#DIV/0!</v>
      </c>
      <c r="AD39" s="201" t="e">
        <f t="shared" si="28"/>
        <v>#DIV/0!</v>
      </c>
      <c r="AE39" s="201" t="e">
        <f t="shared" si="28"/>
        <v>#DIV/0!</v>
      </c>
      <c r="AF39" s="201" t="e">
        <f t="shared" si="28"/>
        <v>#DIV/0!</v>
      </c>
      <c r="AG39" s="201" t="e">
        <f t="shared" si="28"/>
        <v>#DIV/0!</v>
      </c>
      <c r="AH39" s="201" t="e">
        <f t="shared" si="28"/>
        <v>#DIV/0!</v>
      </c>
      <c r="AI39" s="201" t="e">
        <f t="shared" si="28"/>
        <v>#DIV/0!</v>
      </c>
      <c r="AJ39" s="201" t="e">
        <f t="shared" si="28"/>
        <v>#DIV/0!</v>
      </c>
      <c r="AK39" s="201" t="e">
        <f t="shared" si="28"/>
        <v>#DIV/0!</v>
      </c>
      <c r="AL39" s="201" t="e">
        <f t="shared" si="28"/>
        <v>#DIV/0!</v>
      </c>
      <c r="AM39" s="201" t="e">
        <f t="shared" si="28"/>
        <v>#DIV/0!</v>
      </c>
      <c r="AN39" s="201" t="e">
        <f t="shared" si="28"/>
        <v>#DIV/0!</v>
      </c>
      <c r="AO39" s="201" t="e">
        <f t="shared" si="28"/>
        <v>#DIV/0!</v>
      </c>
      <c r="AP39" s="201" t="e">
        <f t="shared" si="28"/>
        <v>#DIV/0!</v>
      </c>
      <c r="AQ39" s="201" t="e">
        <f t="shared" si="28"/>
        <v>#DIV/0!</v>
      </c>
      <c r="AR39" s="201" t="e">
        <f t="shared" si="28"/>
        <v>#DIV/0!</v>
      </c>
      <c r="AS39" s="201" t="e">
        <f t="shared" si="28"/>
        <v>#DIV/0!</v>
      </c>
      <c r="AT39" s="201" t="e">
        <f t="shared" si="28"/>
        <v>#DIV/0!</v>
      </c>
      <c r="AU39" s="201" t="e">
        <f t="shared" si="28"/>
        <v>#DIV/0!</v>
      </c>
      <c r="AV39" s="201" t="e">
        <f t="shared" si="28"/>
        <v>#DIV/0!</v>
      </c>
      <c r="AW39" s="201" t="e">
        <f t="shared" si="28"/>
        <v>#DIV/0!</v>
      </c>
      <c r="AX39" s="201" t="e">
        <f t="shared" si="28"/>
        <v>#DIV/0!</v>
      </c>
      <c r="AY39" s="201" t="e">
        <f t="shared" si="28"/>
        <v>#DIV/0!</v>
      </c>
      <c r="AZ39" s="201" t="e">
        <f t="shared" si="28"/>
        <v>#DIV/0!</v>
      </c>
      <c r="BA39" s="201" t="e">
        <f t="shared" si="28"/>
        <v>#DIV/0!</v>
      </c>
      <c r="BB39" s="201" t="e">
        <f t="shared" si="28"/>
        <v>#DIV/0!</v>
      </c>
      <c r="BC39" s="201" t="e">
        <f t="shared" ref="BC39" si="29">BC38/BC14</f>
        <v>#DIV/0!</v>
      </c>
      <c r="BD39" s="168"/>
    </row>
    <row r="40" ht="13.5" customHeight="1" spans="1:56" x14ac:dyDescent="0.25">
      <c r="A40" s="97" t="s">
        <v>129</v>
      </c>
      <c r="B40" s="226"/>
      <c r="C40" s="203">
        <v>4739</v>
      </c>
      <c r="D40" s="204">
        <v>19181</v>
      </c>
      <c r="E40" s="204">
        <v>25734</v>
      </c>
      <c r="F40" s="204">
        <v>26309</v>
      </c>
      <c r="G40" s="205">
        <v>31507</v>
      </c>
      <c r="H40" s="227">
        <v>24880</v>
      </c>
      <c r="I40" s="228">
        <v>23367</v>
      </c>
      <c r="J40" s="228">
        <v>23404</v>
      </c>
      <c r="K40" s="229">
        <v>24588</v>
      </c>
      <c r="L40" s="227">
        <v>25825</v>
      </c>
      <c r="M40" s="228">
        <v>23828</v>
      </c>
      <c r="N40" s="228">
        <v>29199</v>
      </c>
      <c r="O40" s="229">
        <v>23313</v>
      </c>
      <c r="P40" s="227">
        <v>15438</v>
      </c>
      <c r="Q40" s="228">
        <v>12164</v>
      </c>
      <c r="R40" s="228">
        <v>11631</v>
      </c>
      <c r="S40" s="229"/>
      <c r="T40" s="227"/>
      <c r="U40" s="228"/>
      <c r="V40" s="228"/>
      <c r="W40" s="228"/>
      <c r="X40" s="229"/>
      <c r="Y40" s="227"/>
      <c r="Z40" s="228"/>
      <c r="AA40" s="228"/>
      <c r="AB40" s="229"/>
      <c r="AC40" s="227"/>
      <c r="AD40" s="228"/>
      <c r="AE40" s="228"/>
      <c r="AF40" s="229"/>
      <c r="AG40" s="227"/>
      <c r="AH40" s="228"/>
      <c r="AI40" s="228"/>
      <c r="AJ40" s="228"/>
      <c r="AK40" s="229"/>
      <c r="AL40" s="227"/>
      <c r="AM40" s="228"/>
      <c r="AN40" s="228"/>
      <c r="AO40" s="229"/>
      <c r="AP40" s="227"/>
      <c r="AQ40" s="228"/>
      <c r="AR40" s="228"/>
      <c r="AS40" s="228"/>
      <c r="AT40" s="229"/>
      <c r="AU40" s="227"/>
      <c r="AV40" s="228"/>
      <c r="AW40" s="228"/>
      <c r="AX40" s="230"/>
      <c r="AY40" s="227"/>
      <c r="AZ40" s="228"/>
      <c r="BA40" s="228"/>
      <c r="BB40" s="228"/>
      <c r="BC40" s="228"/>
      <c r="BD40" s="168">
        <f t="shared" si="20"/>
        <v>345107</v>
      </c>
    </row>
    <row r="41" ht="12.75" customHeight="1" spans="1:56" x14ac:dyDescent="0.25">
      <c r="A41" s="97" t="s">
        <v>130</v>
      </c>
      <c r="B41" s="226"/>
      <c r="C41" s="203"/>
      <c r="D41" s="204"/>
      <c r="E41" s="204"/>
      <c r="F41" s="204"/>
      <c r="G41" s="205"/>
      <c r="H41" s="227"/>
      <c r="I41" s="228"/>
      <c r="J41" s="228"/>
      <c r="K41" s="229"/>
      <c r="L41" s="227"/>
      <c r="M41" s="228"/>
      <c r="N41" s="228"/>
      <c r="O41" s="229"/>
      <c r="P41" s="227"/>
      <c r="Q41" s="228"/>
      <c r="R41" s="228"/>
      <c r="S41" s="229"/>
      <c r="T41" s="227"/>
      <c r="U41" s="228"/>
      <c r="V41" s="228"/>
      <c r="W41" s="228"/>
      <c r="X41" s="229"/>
      <c r="Y41" s="227"/>
      <c r="Z41" s="228"/>
      <c r="AA41" s="228"/>
      <c r="AB41" s="229"/>
      <c r="AC41" s="227"/>
      <c r="AD41" s="228"/>
      <c r="AE41" s="228"/>
      <c r="AF41" s="229"/>
      <c r="AG41" s="227"/>
      <c r="AH41" s="228"/>
      <c r="AI41" s="228"/>
      <c r="AJ41" s="228"/>
      <c r="AK41" s="229"/>
      <c r="AL41" s="227"/>
      <c r="AM41" s="228"/>
      <c r="AN41" s="228"/>
      <c r="AO41" s="229"/>
      <c r="AP41" s="227"/>
      <c r="AQ41" s="228"/>
      <c r="AR41" s="228"/>
      <c r="AS41" s="228"/>
      <c r="AT41" s="229"/>
      <c r="AU41" s="227"/>
      <c r="AV41" s="228"/>
      <c r="AW41" s="228"/>
      <c r="AX41" s="230"/>
      <c r="AY41" s="227"/>
      <c r="AZ41" s="228"/>
      <c r="BA41" s="228"/>
      <c r="BB41" s="228"/>
      <c r="BC41" s="228"/>
      <c r="BD41" s="168">
        <f t="shared" si="20"/>
        <v>0</v>
      </c>
    </row>
    <row r="42" ht="13.5" customHeight="1" spans="1:56" x14ac:dyDescent="0.25">
      <c r="A42" s="97" t="s">
        <v>131</v>
      </c>
      <c r="B42" s="226"/>
      <c r="C42" s="203"/>
      <c r="D42" s="204"/>
      <c r="E42" s="204"/>
      <c r="F42" s="231"/>
      <c r="G42" s="231"/>
      <c r="H42" s="232"/>
      <c r="I42" s="231"/>
      <c r="J42" s="231"/>
      <c r="K42" s="229"/>
      <c r="L42" s="227"/>
      <c r="M42" s="228"/>
      <c r="N42" s="228"/>
      <c r="O42" s="229"/>
      <c r="P42" s="227"/>
      <c r="Q42" s="228"/>
      <c r="R42" s="228"/>
      <c r="S42" s="229"/>
      <c r="T42" s="227"/>
      <c r="U42" s="228"/>
      <c r="V42" s="228"/>
      <c r="W42" s="228"/>
      <c r="X42" s="229"/>
      <c r="Y42" s="227"/>
      <c r="Z42" s="228"/>
      <c r="AA42" s="228"/>
      <c r="AB42" s="229"/>
      <c r="AC42" s="227"/>
      <c r="AD42" s="228"/>
      <c r="AE42" s="228"/>
      <c r="AF42" s="229"/>
      <c r="AG42" s="227"/>
      <c r="AH42" s="228"/>
      <c r="AI42" s="228"/>
      <c r="AJ42" s="228"/>
      <c r="AK42" s="229"/>
      <c r="AL42" s="227"/>
      <c r="AM42" s="228"/>
      <c r="AN42" s="228"/>
      <c r="AO42" s="229"/>
      <c r="AP42" s="227"/>
      <c r="AQ42" s="228"/>
      <c r="AR42" s="228"/>
      <c r="AS42" s="228"/>
      <c r="AT42" s="229"/>
      <c r="AU42" s="227"/>
      <c r="AV42" s="228"/>
      <c r="AW42" s="228"/>
      <c r="AX42" s="230"/>
      <c r="AY42" s="227"/>
      <c r="AZ42" s="228"/>
      <c r="BA42" s="228"/>
      <c r="BB42" s="228"/>
      <c r="BC42" s="228"/>
      <c r="BD42" s="168">
        <f t="shared" si="20"/>
        <v>0</v>
      </c>
    </row>
    <row r="43" ht="13.5" customHeight="1" spans="1:56" x14ac:dyDescent="0.25">
      <c r="A43" s="97" t="s">
        <v>132</v>
      </c>
      <c r="B43" s="226"/>
      <c r="C43" s="203">
        <v>3083.42</v>
      </c>
      <c r="D43" s="204">
        <v>5260.15</v>
      </c>
      <c r="E43" s="204">
        <v>5054.76</v>
      </c>
      <c r="F43" s="204">
        <v>4906.94</v>
      </c>
      <c r="G43" s="205">
        <v>5306.45</v>
      </c>
      <c r="H43" s="227">
        <v>5871.44</v>
      </c>
      <c r="I43" s="228">
        <v>5711.31</v>
      </c>
      <c r="J43" s="228">
        <v>5528.88</v>
      </c>
      <c r="K43" s="229">
        <v>6199.06</v>
      </c>
      <c r="L43" s="227">
        <v>9207.89</v>
      </c>
      <c r="M43" s="228">
        <v>8952.1</v>
      </c>
      <c r="N43" s="228">
        <v>8539.65</v>
      </c>
      <c r="O43" s="229">
        <v>8261.29</v>
      </c>
      <c r="P43" s="227">
        <v>8068.41</v>
      </c>
      <c r="Q43" s="228">
        <v>7920.75</v>
      </c>
      <c r="R43" s="228">
        <v>7771.39</v>
      </c>
      <c r="S43" s="229"/>
      <c r="T43" s="227"/>
      <c r="U43" s="228"/>
      <c r="V43" s="228"/>
      <c r="W43" s="228"/>
      <c r="X43" s="229"/>
      <c r="Y43" s="227"/>
      <c r="Z43" s="228"/>
      <c r="AA43" s="228"/>
      <c r="AB43" s="229"/>
      <c r="AC43" s="227"/>
      <c r="AD43" s="228"/>
      <c r="AE43" s="228"/>
      <c r="AF43" s="229"/>
      <c r="AG43" s="227"/>
      <c r="AH43" s="228"/>
      <c r="AI43" s="228"/>
      <c r="AJ43" s="228"/>
      <c r="AK43" s="229"/>
      <c r="AL43" s="227"/>
      <c r="AM43" s="228"/>
      <c r="AN43" s="228"/>
      <c r="AO43" s="229"/>
      <c r="AP43" s="227"/>
      <c r="AQ43" s="228"/>
      <c r="AR43" s="228"/>
      <c r="AS43" s="228"/>
      <c r="AT43" s="229"/>
      <c r="AU43" s="227"/>
      <c r="AV43" s="228"/>
      <c r="AW43" s="228"/>
      <c r="AX43" s="230"/>
      <c r="AY43" s="227"/>
      <c r="AZ43" s="228"/>
      <c r="BA43" s="228"/>
      <c r="BB43" s="228"/>
      <c r="BC43" s="228"/>
      <c r="BD43" s="168">
        <f t="shared" si="20"/>
        <v>105643.89</v>
      </c>
    </row>
    <row r="44" ht="13.5" customHeight="1" spans="1:56" x14ac:dyDescent="0.25">
      <c r="A44" s="97" t="s">
        <v>133</v>
      </c>
      <c r="B44" s="226"/>
      <c r="C44" s="203"/>
      <c r="D44" s="204"/>
      <c r="E44" s="204"/>
      <c r="F44" s="204">
        <v>741</v>
      </c>
      <c r="G44" s="205"/>
      <c r="H44" s="227"/>
      <c r="I44" s="228"/>
      <c r="J44" s="228"/>
      <c r="K44" s="229"/>
      <c r="L44" s="227"/>
      <c r="M44" s="228"/>
      <c r="N44" s="228"/>
      <c r="O44" s="229"/>
      <c r="P44" s="227"/>
      <c r="Q44" s="228">
        <v>40</v>
      </c>
      <c r="R44" s="228"/>
      <c r="S44" s="229"/>
      <c r="T44" s="227"/>
      <c r="U44" s="228"/>
      <c r="V44" s="228"/>
      <c r="W44" s="228"/>
      <c r="X44" s="229"/>
      <c r="Y44" s="227"/>
      <c r="Z44" s="228"/>
      <c r="AA44" s="228"/>
      <c r="AB44" s="229"/>
      <c r="AC44" s="227"/>
      <c r="AD44" s="228"/>
      <c r="AE44" s="228"/>
      <c r="AF44" s="229"/>
      <c r="AG44" s="227"/>
      <c r="AH44" s="228"/>
      <c r="AI44" s="228"/>
      <c r="AJ44" s="228"/>
      <c r="AK44" s="229"/>
      <c r="AL44" s="227"/>
      <c r="AM44" s="228"/>
      <c r="AN44" s="228"/>
      <c r="AO44" s="229"/>
      <c r="AP44" s="227"/>
      <c r="AQ44" s="228"/>
      <c r="AR44" s="228"/>
      <c r="AS44" s="228"/>
      <c r="AT44" s="229"/>
      <c r="AU44" s="227"/>
      <c r="AV44" s="228"/>
      <c r="AW44" s="228"/>
      <c r="AX44" s="230"/>
      <c r="AY44" s="227"/>
      <c r="AZ44" s="228"/>
      <c r="BA44" s="228"/>
      <c r="BB44" s="228"/>
      <c r="BC44" s="228"/>
      <c r="BD44" s="168">
        <f t="shared" si="20"/>
        <v>781</v>
      </c>
    </row>
    <row r="45" ht="13.5" customHeight="1" spans="1:56" x14ac:dyDescent="0.25">
      <c r="A45" s="97" t="s">
        <v>134</v>
      </c>
      <c r="B45" s="226"/>
      <c r="C45" s="203"/>
      <c r="D45" s="204"/>
      <c r="E45" s="204"/>
      <c r="F45" s="204">
        <v>13280.81</v>
      </c>
      <c r="G45" s="205"/>
      <c r="H45" s="227"/>
      <c r="I45" s="228"/>
      <c r="J45" s="228"/>
      <c r="K45" s="229"/>
      <c r="L45" s="227"/>
      <c r="M45" s="228"/>
      <c r="N45" s="228"/>
      <c r="O45" s="229"/>
      <c r="P45" s="227"/>
      <c r="Q45" s="228"/>
      <c r="R45" s="228"/>
      <c r="S45" s="229"/>
      <c r="T45" s="227"/>
      <c r="U45" s="228"/>
      <c r="V45" s="228"/>
      <c r="W45" s="228"/>
      <c r="X45" s="229"/>
      <c r="Y45" s="227"/>
      <c r="Z45" s="228"/>
      <c r="AA45" s="228"/>
      <c r="AB45" s="229"/>
      <c r="AC45" s="227"/>
      <c r="AD45" s="228"/>
      <c r="AE45" s="228"/>
      <c r="AF45" s="229"/>
      <c r="AG45" s="227"/>
      <c r="AH45" s="228"/>
      <c r="AI45" s="228"/>
      <c r="AJ45" s="228"/>
      <c r="AK45" s="229"/>
      <c r="AL45" s="227"/>
      <c r="AM45" s="228"/>
      <c r="AN45" s="228"/>
      <c r="AO45" s="229"/>
      <c r="AP45" s="227"/>
      <c r="AQ45" s="228"/>
      <c r="AR45" s="228"/>
      <c r="AS45" s="228"/>
      <c r="AT45" s="229"/>
      <c r="AU45" s="227"/>
      <c r="AV45" s="228"/>
      <c r="AW45" s="228"/>
      <c r="AX45" s="230"/>
      <c r="AY45" s="227"/>
      <c r="AZ45" s="228"/>
      <c r="BA45" s="228"/>
      <c r="BB45" s="228"/>
      <c r="BC45" s="228"/>
      <c r="BD45" s="168">
        <f t="shared" si="20"/>
        <v>13280.81</v>
      </c>
    </row>
    <row r="46" ht="13.5" customHeight="1" spans="1:56" x14ac:dyDescent="0.25">
      <c r="A46" s="97"/>
      <c r="B46" s="226"/>
      <c r="C46" s="233"/>
      <c r="D46" s="234"/>
      <c r="E46" s="234"/>
      <c r="F46" s="234"/>
      <c r="G46" s="235"/>
      <c r="H46" s="233"/>
      <c r="I46" s="234"/>
      <c r="J46" s="234"/>
      <c r="K46" s="235"/>
      <c r="L46" s="233"/>
      <c r="M46" s="234"/>
      <c r="N46" s="234"/>
      <c r="O46" s="235"/>
      <c r="P46" s="233"/>
      <c r="Q46" s="234"/>
      <c r="R46" s="234"/>
      <c r="S46" s="235"/>
      <c r="T46" s="233"/>
      <c r="U46" s="234"/>
      <c r="V46" s="234"/>
      <c r="W46" s="234"/>
      <c r="X46" s="235"/>
      <c r="Y46" s="233"/>
      <c r="Z46" s="234"/>
      <c r="AA46" s="234"/>
      <c r="AB46" s="235"/>
      <c r="AC46" s="233"/>
      <c r="AD46" s="234"/>
      <c r="AE46" s="234"/>
      <c r="AF46" s="235"/>
      <c r="AG46" s="233"/>
      <c r="AH46" s="234"/>
      <c r="AI46" s="234"/>
      <c r="AJ46" s="234"/>
      <c r="AK46" s="235"/>
      <c r="AL46" s="233"/>
      <c r="AM46" s="234"/>
      <c r="AN46" s="234"/>
      <c r="AO46" s="235"/>
      <c r="AP46" s="233"/>
      <c r="AQ46" s="234"/>
      <c r="AR46" s="234"/>
      <c r="AS46" s="234"/>
      <c r="AT46" s="235"/>
      <c r="AU46" s="233"/>
      <c r="AV46" s="234"/>
      <c r="AW46" s="234"/>
      <c r="AX46" s="226"/>
      <c r="AY46" s="233"/>
      <c r="AZ46" s="234"/>
      <c r="BA46" s="234"/>
      <c r="BB46" s="234"/>
      <c r="BC46" s="234"/>
      <c r="BD46" s="168">
        <f t="shared" si="20"/>
        <v>0</v>
      </c>
    </row>
    <row r="47" ht="13.5" customHeight="1" spans="1:56" x14ac:dyDescent="0.25">
      <c r="A47" s="97" t="s">
        <v>90</v>
      </c>
      <c r="B47" s="226"/>
      <c r="C47" s="203"/>
      <c r="D47" s="204"/>
      <c r="E47" s="204"/>
      <c r="F47" s="204"/>
      <c r="G47" s="205"/>
      <c r="H47" s="227"/>
      <c r="I47" s="228"/>
      <c r="J47" s="228"/>
      <c r="K47" s="229"/>
      <c r="L47" s="227"/>
      <c r="M47" s="228"/>
      <c r="N47" s="228"/>
      <c r="O47" s="229"/>
      <c r="P47" s="227"/>
      <c r="Q47" s="228"/>
      <c r="R47" s="228"/>
      <c r="S47" s="229"/>
      <c r="T47" s="227"/>
      <c r="U47" s="228"/>
      <c r="V47" s="228"/>
      <c r="W47" s="228"/>
      <c r="X47" s="229"/>
      <c r="Y47" s="227"/>
      <c r="Z47" s="228"/>
      <c r="AA47" s="228"/>
      <c r="AB47" s="229"/>
      <c r="AC47" s="227"/>
      <c r="AD47" s="228"/>
      <c r="AE47" s="228"/>
      <c r="AF47" s="229"/>
      <c r="AG47" s="227"/>
      <c r="AH47" s="228"/>
      <c r="AI47" s="228"/>
      <c r="AJ47" s="228"/>
      <c r="AK47" s="229"/>
      <c r="AL47" s="227"/>
      <c r="AM47" s="228"/>
      <c r="AN47" s="228"/>
      <c r="AO47" s="229"/>
      <c r="AP47" s="227"/>
      <c r="AQ47" s="228"/>
      <c r="AR47" s="228"/>
      <c r="AS47" s="228"/>
      <c r="AT47" s="229"/>
      <c r="AU47" s="227"/>
      <c r="AV47" s="228"/>
      <c r="AW47" s="228"/>
      <c r="AX47" s="230"/>
      <c r="AY47" s="227"/>
      <c r="AZ47" s="228"/>
      <c r="BA47" s="228"/>
      <c r="BB47" s="228"/>
      <c r="BC47" s="228"/>
      <c r="BD47" s="168">
        <f t="shared" si="20"/>
        <v>0</v>
      </c>
    </row>
    <row r="48" ht="13.5" customHeight="1" spans="1:56" x14ac:dyDescent="0.25">
      <c r="A48" s="97" t="s">
        <v>91</v>
      </c>
      <c r="B48" s="226"/>
      <c r="C48" s="203"/>
      <c r="D48" s="204"/>
      <c r="E48" s="204"/>
      <c r="F48" s="204"/>
      <c r="G48" s="205"/>
      <c r="H48" s="227"/>
      <c r="I48" s="228"/>
      <c r="J48" s="228"/>
      <c r="K48" s="229"/>
      <c r="L48" s="227"/>
      <c r="M48" s="228"/>
      <c r="N48" s="228"/>
      <c r="O48" s="229"/>
      <c r="P48" s="227"/>
      <c r="Q48" s="228"/>
      <c r="R48" s="228"/>
      <c r="S48" s="229"/>
      <c r="T48" s="227"/>
      <c r="U48" s="228"/>
      <c r="V48" s="228"/>
      <c r="W48" s="228"/>
      <c r="X48" s="229"/>
      <c r="Y48" s="227"/>
      <c r="Z48" s="228"/>
      <c r="AA48" s="228"/>
      <c r="AB48" s="229"/>
      <c r="AC48" s="227"/>
      <c r="AD48" s="228"/>
      <c r="AE48" s="228"/>
      <c r="AF48" s="229"/>
      <c r="AG48" s="227"/>
      <c r="AH48" s="228"/>
      <c r="AI48" s="228"/>
      <c r="AJ48" s="228"/>
      <c r="AK48" s="229"/>
      <c r="AL48" s="227"/>
      <c r="AM48" s="228"/>
      <c r="AN48" s="228"/>
      <c r="AO48" s="229"/>
      <c r="AP48" s="227"/>
      <c r="AQ48" s="228"/>
      <c r="AR48" s="228"/>
      <c r="AS48" s="228"/>
      <c r="AT48" s="229"/>
      <c r="AU48" s="227"/>
      <c r="AV48" s="228"/>
      <c r="AW48" s="228"/>
      <c r="AX48" s="230"/>
      <c r="AY48" s="227"/>
      <c r="AZ48" s="228"/>
      <c r="BA48" s="228"/>
      <c r="BB48" s="228"/>
      <c r="BC48" s="228"/>
      <c r="BD48" s="168">
        <f t="shared" si="20"/>
        <v>0</v>
      </c>
    </row>
    <row r="49" ht="13.5" customHeight="1" spans="1:56" x14ac:dyDescent="0.25">
      <c r="A49" s="97" t="s">
        <v>92</v>
      </c>
      <c r="B49" s="226"/>
      <c r="C49" s="203"/>
      <c r="D49" s="204"/>
      <c r="E49" s="204"/>
      <c r="F49" s="204"/>
      <c r="G49" s="205"/>
      <c r="H49" s="227"/>
      <c r="I49" s="228"/>
      <c r="J49" s="228"/>
      <c r="K49" s="229"/>
      <c r="L49" s="227"/>
      <c r="M49" s="228"/>
      <c r="N49" s="228"/>
      <c r="O49" s="229"/>
      <c r="P49" s="227"/>
      <c r="Q49" s="228"/>
      <c r="R49" s="228"/>
      <c r="S49" s="229"/>
      <c r="T49" s="227"/>
      <c r="U49" s="228"/>
      <c r="V49" s="228"/>
      <c r="W49" s="228"/>
      <c r="X49" s="229"/>
      <c r="Y49" s="227"/>
      <c r="Z49" s="228"/>
      <c r="AA49" s="228"/>
      <c r="AB49" s="229"/>
      <c r="AC49" s="227"/>
      <c r="AD49" s="228"/>
      <c r="AE49" s="228"/>
      <c r="AF49" s="229"/>
      <c r="AG49" s="227"/>
      <c r="AH49" s="228"/>
      <c r="AI49" s="228"/>
      <c r="AJ49" s="228"/>
      <c r="AK49" s="229"/>
      <c r="AL49" s="227"/>
      <c r="AM49" s="228"/>
      <c r="AN49" s="228"/>
      <c r="AO49" s="229"/>
      <c r="AP49" s="227"/>
      <c r="AQ49" s="228"/>
      <c r="AR49" s="228"/>
      <c r="AS49" s="228"/>
      <c r="AT49" s="229"/>
      <c r="AU49" s="227"/>
      <c r="AV49" s="228"/>
      <c r="AW49" s="228"/>
      <c r="AX49" s="230"/>
      <c r="AY49" s="227"/>
      <c r="AZ49" s="228"/>
      <c r="BA49" s="228"/>
      <c r="BB49" s="228"/>
      <c r="BC49" s="228"/>
      <c r="BD49" s="168">
        <f t="shared" si="20"/>
        <v>0</v>
      </c>
    </row>
    <row r="50" ht="13.5" customHeight="1" spans="1:56" x14ac:dyDescent="0.25">
      <c r="A50" s="97" t="s">
        <v>93</v>
      </c>
      <c r="B50" s="226"/>
      <c r="C50" s="203"/>
      <c r="D50" s="204"/>
      <c r="E50" s="204"/>
      <c r="F50" s="204"/>
      <c r="G50" s="205"/>
      <c r="H50" s="227"/>
      <c r="I50" s="228"/>
      <c r="J50" s="228"/>
      <c r="K50" s="229"/>
      <c r="L50" s="227"/>
      <c r="M50" s="228"/>
      <c r="N50" s="228"/>
      <c r="O50" s="229"/>
      <c r="P50" s="227"/>
      <c r="Q50" s="228"/>
      <c r="R50" s="228"/>
      <c r="S50" s="229"/>
      <c r="T50" s="227"/>
      <c r="U50" s="228"/>
      <c r="V50" s="228"/>
      <c r="W50" s="228"/>
      <c r="X50" s="229"/>
      <c r="Y50" s="227"/>
      <c r="Z50" s="228"/>
      <c r="AA50" s="228"/>
      <c r="AB50" s="229"/>
      <c r="AC50" s="227"/>
      <c r="AD50" s="228"/>
      <c r="AE50" s="228"/>
      <c r="AF50" s="229"/>
      <c r="AG50" s="227"/>
      <c r="AH50" s="228"/>
      <c r="AI50" s="228"/>
      <c r="AJ50" s="228"/>
      <c r="AK50" s="229"/>
      <c r="AL50" s="227"/>
      <c r="AM50" s="228"/>
      <c r="AN50" s="228"/>
      <c r="AO50" s="229"/>
      <c r="AP50" s="227"/>
      <c r="AQ50" s="228"/>
      <c r="AR50" s="228"/>
      <c r="AS50" s="228"/>
      <c r="AT50" s="229"/>
      <c r="AU50" s="227"/>
      <c r="AV50" s="228"/>
      <c r="AW50" s="228"/>
      <c r="AX50" s="230"/>
      <c r="AY50" s="227"/>
      <c r="AZ50" s="228"/>
      <c r="BA50" s="228"/>
      <c r="BB50" s="228"/>
      <c r="BC50" s="228"/>
      <c r="BD50" s="168">
        <f t="shared" si="20"/>
        <v>0</v>
      </c>
    </row>
    <row r="51" ht="13.5" customHeight="1" spans="1:56" x14ac:dyDescent="0.25">
      <c r="A51" s="97" t="s">
        <v>94</v>
      </c>
      <c r="B51" s="226"/>
      <c r="C51" s="203"/>
      <c r="D51" s="204"/>
      <c r="E51" s="204"/>
      <c r="F51" s="204"/>
      <c r="G51" s="205"/>
      <c r="H51" s="227"/>
      <c r="I51" s="228"/>
      <c r="J51" s="228"/>
      <c r="K51" s="229"/>
      <c r="L51" s="227"/>
      <c r="M51" s="228"/>
      <c r="N51" s="228"/>
      <c r="O51" s="229"/>
      <c r="P51" s="227"/>
      <c r="Q51" s="228"/>
      <c r="R51" s="228"/>
      <c r="S51" s="229"/>
      <c r="T51" s="227"/>
      <c r="U51" s="228"/>
      <c r="V51" s="228"/>
      <c r="W51" s="228"/>
      <c r="X51" s="229"/>
      <c r="Y51" s="227"/>
      <c r="Z51" s="228"/>
      <c r="AA51" s="228"/>
      <c r="AB51" s="229"/>
      <c r="AC51" s="227"/>
      <c r="AD51" s="228"/>
      <c r="AE51" s="228"/>
      <c r="AF51" s="229"/>
      <c r="AG51" s="227"/>
      <c r="AH51" s="228"/>
      <c r="AI51" s="228"/>
      <c r="AJ51" s="228"/>
      <c r="AK51" s="229"/>
      <c r="AL51" s="227"/>
      <c r="AM51" s="228"/>
      <c r="AN51" s="228"/>
      <c r="AO51" s="229"/>
      <c r="AP51" s="227"/>
      <c r="AQ51" s="228"/>
      <c r="AR51" s="228"/>
      <c r="AS51" s="228"/>
      <c r="AT51" s="229"/>
      <c r="AU51" s="227"/>
      <c r="AV51" s="228"/>
      <c r="AW51" s="228"/>
      <c r="AX51" s="230"/>
      <c r="AY51" s="227"/>
      <c r="AZ51" s="228"/>
      <c r="BA51" s="228"/>
      <c r="BB51" s="228"/>
      <c r="BC51" s="228"/>
      <c r="BD51" s="168">
        <f t="shared" si="20"/>
        <v>0</v>
      </c>
    </row>
    <row r="52" ht="13.5" customHeight="1" spans="1:56" x14ac:dyDescent="0.25">
      <c r="A52" s="236"/>
      <c r="B52" s="237"/>
      <c r="C52" s="159"/>
      <c r="D52" s="157"/>
      <c r="E52" s="157"/>
      <c r="F52" s="157"/>
      <c r="G52" s="158"/>
      <c r="H52" s="159"/>
      <c r="I52" s="157"/>
      <c r="J52" s="157"/>
      <c r="K52" s="158"/>
      <c r="L52" s="159"/>
      <c r="M52" s="157"/>
      <c r="N52" s="157"/>
      <c r="O52" s="158"/>
      <c r="P52" s="159"/>
      <c r="Q52" s="157"/>
      <c r="R52" s="157"/>
      <c r="S52" s="158"/>
      <c r="T52" s="159"/>
      <c r="U52" s="157"/>
      <c r="V52" s="157"/>
      <c r="W52" s="157"/>
      <c r="X52" s="158"/>
      <c r="Y52" s="159"/>
      <c r="Z52" s="157"/>
      <c r="AA52" s="157"/>
      <c r="AB52" s="158"/>
      <c r="AC52" s="159"/>
      <c r="AD52" s="157"/>
      <c r="AE52" s="157"/>
      <c r="AF52" s="158"/>
      <c r="AG52" s="159"/>
      <c r="AH52" s="157"/>
      <c r="AI52" s="157"/>
      <c r="AJ52" s="157"/>
      <c r="AK52" s="158"/>
      <c r="AL52" s="159"/>
      <c r="AM52" s="157"/>
      <c r="AN52" s="157"/>
      <c r="AO52" s="158"/>
      <c r="AP52" s="159"/>
      <c r="AQ52" s="157"/>
      <c r="AR52" s="157"/>
      <c r="AS52" s="157"/>
      <c r="AT52" s="158"/>
      <c r="AU52" s="159"/>
      <c r="AV52" s="157"/>
      <c r="AW52" s="157"/>
      <c r="AX52" s="155"/>
      <c r="AY52" s="159"/>
      <c r="AZ52" s="157"/>
      <c r="BA52" s="157"/>
      <c r="BB52" s="157"/>
      <c r="BC52" s="157"/>
      <c r="BD52" s="168">
        <f t="shared" si="20"/>
        <v>0</v>
      </c>
    </row>
    <row r="53" ht="15" customHeight="1" spans="1:56" s="238" customFormat="1" x14ac:dyDescent="0.25">
      <c r="A53" s="239" t="s">
        <v>95</v>
      </c>
      <c r="B53" s="240"/>
      <c r="C53" s="241">
        <f>C36+C31-C38</f>
        <v>17300.58</v>
      </c>
      <c r="D53" s="241">
        <f t="shared" ref="D53:BC53" si="30">D36+D31-D38</f>
        <v>55985.43</v>
      </c>
      <c r="E53" s="241">
        <f t="shared" si="30"/>
        <v>75838.12</v>
      </c>
      <c r="F53" s="241">
        <f t="shared" si="30"/>
        <v>48978.020000000004</v>
      </c>
      <c r="G53" s="241">
        <f t="shared" si="30"/>
        <v>56812.67000000001</v>
      </c>
      <c r="H53" s="241">
        <f t="shared" si="30"/>
        <v>75486.16</v>
      </c>
      <c r="I53" s="241">
        <f t="shared" si="30"/>
        <v>86138.4</v>
      </c>
      <c r="J53" s="241">
        <f t="shared" si="30"/>
        <v>75635.07</v>
      </c>
      <c r="K53" s="241">
        <f t="shared" si="30"/>
        <v>78801.15000000001</v>
      </c>
      <c r="L53" s="241">
        <f t="shared" si="30"/>
        <v>67898.87000000001</v>
      </c>
      <c r="M53" s="241">
        <f t="shared" si="30"/>
        <v>61099.940000000024</v>
      </c>
      <c r="N53" s="241">
        <f t="shared" si="30"/>
        <v>48876.83000000001</v>
      </c>
      <c r="O53" s="241">
        <f t="shared" si="30"/>
        <v>52535.74</v>
      </c>
      <c r="P53" s="241">
        <f t="shared" si="30"/>
        <v>43344.109999999986</v>
      </c>
      <c r="Q53" s="241">
        <f t="shared" si="30"/>
        <v>34326.729999999996</v>
      </c>
      <c r="R53" s="241">
        <f t="shared" si="30"/>
        <v>33155.54</v>
      </c>
      <c r="S53" s="241">
        <f t="shared" si="30"/>
        <v>0</v>
      </c>
      <c r="T53" s="241">
        <f t="shared" si="30"/>
        <v>0</v>
      </c>
      <c r="U53" s="241">
        <f t="shared" si="30"/>
        <v>0</v>
      </c>
      <c r="V53" s="241">
        <f t="shared" si="30"/>
        <v>0</v>
      </c>
      <c r="W53" s="241">
        <f t="shared" si="30"/>
        <v>0</v>
      </c>
      <c r="X53" s="241">
        <f t="shared" si="30"/>
        <v>0</v>
      </c>
      <c r="Y53" s="241">
        <f t="shared" si="30"/>
        <v>0</v>
      </c>
      <c r="Z53" s="241">
        <f t="shared" si="30"/>
        <v>0</v>
      </c>
      <c r="AA53" s="241">
        <f t="shared" si="30"/>
        <v>0</v>
      </c>
      <c r="AB53" s="241">
        <f t="shared" si="30"/>
        <v>0</v>
      </c>
      <c r="AC53" s="241">
        <f t="shared" si="30"/>
        <v>0</v>
      </c>
      <c r="AD53" s="241">
        <f t="shared" si="30"/>
        <v>0</v>
      </c>
      <c r="AE53" s="241">
        <f t="shared" si="30"/>
        <v>0</v>
      </c>
      <c r="AF53" s="241">
        <f t="shared" si="30"/>
        <v>0</v>
      </c>
      <c r="AG53" s="241">
        <f t="shared" si="30"/>
        <v>0</v>
      </c>
      <c r="AH53" s="241">
        <f t="shared" si="30"/>
        <v>0</v>
      </c>
      <c r="AI53" s="241">
        <f t="shared" si="30"/>
        <v>0</v>
      </c>
      <c r="AJ53" s="241">
        <f t="shared" si="30"/>
        <v>0</v>
      </c>
      <c r="AK53" s="241">
        <f t="shared" si="30"/>
        <v>0</v>
      </c>
      <c r="AL53" s="241">
        <f t="shared" si="30"/>
        <v>0</v>
      </c>
      <c r="AM53" s="241">
        <f t="shared" si="30"/>
        <v>0</v>
      </c>
      <c r="AN53" s="241">
        <f t="shared" si="30"/>
        <v>0</v>
      </c>
      <c r="AO53" s="241">
        <f t="shared" si="30"/>
        <v>0</v>
      </c>
      <c r="AP53" s="241">
        <f>AP36+AP31-AP38</f>
        <v>0</v>
      </c>
      <c r="AQ53" s="241">
        <f t="shared" si="30"/>
        <v>0</v>
      </c>
      <c r="AR53" s="241">
        <f t="shared" si="30"/>
        <v>0</v>
      </c>
      <c r="AS53" s="241">
        <f t="shared" si="30"/>
        <v>0</v>
      </c>
      <c r="AT53" s="241">
        <f t="shared" si="30"/>
        <v>0</v>
      </c>
      <c r="AU53" s="241">
        <f t="shared" si="30"/>
        <v>0</v>
      </c>
      <c r="AV53" s="241">
        <f t="shared" si="30"/>
        <v>0</v>
      </c>
      <c r="AW53" s="241">
        <f t="shared" si="30"/>
        <v>0</v>
      </c>
      <c r="AX53" s="241">
        <f t="shared" si="30"/>
        <v>0</v>
      </c>
      <c r="AY53" s="241">
        <f t="shared" si="30"/>
        <v>0</v>
      </c>
      <c r="AZ53" s="241">
        <f t="shared" si="30"/>
        <v>0</v>
      </c>
      <c r="BA53" s="241">
        <f t="shared" si="30"/>
        <v>0</v>
      </c>
      <c r="BB53" s="241">
        <f t="shared" si="30"/>
        <v>0</v>
      </c>
      <c r="BC53" s="241">
        <f t="shared" si="30"/>
        <v>0</v>
      </c>
      <c r="BD53" s="168">
        <f t="shared" si="20"/>
        <v>912213.36</v>
      </c>
    </row>
    <row r="54" ht="13.5" customHeight="1" spans="1:56" x14ac:dyDescent="0.25">
      <c r="A54" s="236"/>
      <c r="B54" s="160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68">
        <f t="shared" si="20"/>
        <v>0</v>
      </c>
    </row>
    <row r="55" ht="13.5" customHeight="1" spans="1:56" x14ac:dyDescent="0.25">
      <c r="A55" s="97" t="s">
        <v>96</v>
      </c>
      <c r="B55" s="242" t="s">
        <v>135</v>
      </c>
      <c r="C55" s="233">
        <f>C15*6%</f>
        <v>2066.7</v>
      </c>
      <c r="D55" s="233">
        <f t="shared" ref="D55:BB55" si="31">D15*6%</f>
        <v>6766.74</v>
      </c>
      <c r="E55" s="233">
        <f t="shared" si="31"/>
        <v>8835.36</v>
      </c>
      <c r="F55" s="233">
        <f t="shared" si="31"/>
        <v>7870.92</v>
      </c>
      <c r="G55" s="233">
        <f t="shared" si="31"/>
        <v>7566.66</v>
      </c>
      <c r="H55" s="233">
        <f t="shared" si="31"/>
        <v>8579.279999999999</v>
      </c>
      <c r="I55" s="233">
        <f t="shared" si="31"/>
        <v>9120.84</v>
      </c>
      <c r="J55" s="233">
        <f t="shared" si="31"/>
        <v>8212.44</v>
      </c>
      <c r="K55" s="233">
        <f t="shared" si="31"/>
        <v>8710.08</v>
      </c>
      <c r="L55" s="233">
        <f t="shared" si="31"/>
        <v>8533.92</v>
      </c>
      <c r="M55" s="233">
        <f t="shared" si="31"/>
        <v>7907.5199999999995</v>
      </c>
      <c r="N55" s="233">
        <f t="shared" si="31"/>
        <v>7917.299999999999</v>
      </c>
      <c r="O55" s="233">
        <f t="shared" si="31"/>
        <v>7315.679999999999</v>
      </c>
      <c r="P55" s="233">
        <f t="shared" si="31"/>
        <v>5587.5599999999995</v>
      </c>
      <c r="Q55" s="233">
        <f t="shared" si="31"/>
        <v>4530</v>
      </c>
      <c r="R55" s="233">
        <f t="shared" si="31"/>
        <v>4220.46</v>
      </c>
      <c r="S55" s="233">
        <f t="shared" si="31"/>
        <v>0</v>
      </c>
      <c r="T55" s="233">
        <f t="shared" si="31"/>
        <v>0</v>
      </c>
      <c r="U55" s="233">
        <f t="shared" si="31"/>
        <v>0</v>
      </c>
      <c r="V55" s="233">
        <f t="shared" si="31"/>
        <v>0</v>
      </c>
      <c r="W55" s="233">
        <f t="shared" si="31"/>
        <v>0</v>
      </c>
      <c r="X55" s="233">
        <f t="shared" si="31"/>
        <v>0</v>
      </c>
      <c r="Y55" s="233">
        <f t="shared" si="31"/>
        <v>0</v>
      </c>
      <c r="Z55" s="233">
        <f t="shared" si="31"/>
        <v>0</v>
      </c>
      <c r="AA55" s="233">
        <f t="shared" si="31"/>
        <v>0</v>
      </c>
      <c r="AB55" s="233">
        <f t="shared" si="31"/>
        <v>0</v>
      </c>
      <c r="AC55" s="233">
        <f t="shared" si="31"/>
        <v>0</v>
      </c>
      <c r="AD55" s="233">
        <f t="shared" si="31"/>
        <v>0</v>
      </c>
      <c r="AE55" s="233">
        <f t="shared" si="31"/>
        <v>0</v>
      </c>
      <c r="AF55" s="233">
        <f>AF15*6%</f>
        <v>0</v>
      </c>
      <c r="AG55" s="233">
        <f t="shared" si="31"/>
        <v>0</v>
      </c>
      <c r="AH55" s="233">
        <f t="shared" si="31"/>
        <v>0</v>
      </c>
      <c r="AI55" s="233">
        <f t="shared" si="31"/>
        <v>0</v>
      </c>
      <c r="AJ55" s="233">
        <f t="shared" si="31"/>
        <v>0</v>
      </c>
      <c r="AK55" s="233">
        <f t="shared" si="31"/>
        <v>0</v>
      </c>
      <c r="AL55" s="233">
        <f t="shared" si="31"/>
        <v>0</v>
      </c>
      <c r="AM55" s="233">
        <f t="shared" si="31"/>
        <v>0</v>
      </c>
      <c r="AN55" s="233">
        <f t="shared" si="31"/>
        <v>0</v>
      </c>
      <c r="AO55" s="233">
        <f t="shared" si="31"/>
        <v>0</v>
      </c>
      <c r="AP55" s="233">
        <f t="shared" si="31"/>
        <v>0</v>
      </c>
      <c r="AQ55" s="233">
        <f t="shared" si="31"/>
        <v>0</v>
      </c>
      <c r="AR55" s="233">
        <f t="shared" si="31"/>
        <v>0</v>
      </c>
      <c r="AS55" s="233">
        <f t="shared" si="31"/>
        <v>0</v>
      </c>
      <c r="AT55" s="233">
        <f t="shared" si="31"/>
        <v>0</v>
      </c>
      <c r="AU55" s="233">
        <f t="shared" si="31"/>
        <v>0</v>
      </c>
      <c r="AV55" s="233">
        <f t="shared" si="31"/>
        <v>0</v>
      </c>
      <c r="AW55" s="233">
        <f t="shared" si="31"/>
        <v>0</v>
      </c>
      <c r="AX55" s="233">
        <f t="shared" si="31"/>
        <v>0</v>
      </c>
      <c r="AY55" s="233">
        <f t="shared" si="31"/>
        <v>0</v>
      </c>
      <c r="AZ55" s="233">
        <f t="shared" si="31"/>
        <v>0</v>
      </c>
      <c r="BA55" s="233">
        <f t="shared" si="31"/>
        <v>0</v>
      </c>
      <c r="BB55" s="233">
        <f t="shared" si="31"/>
        <v>0</v>
      </c>
      <c r="BC55" s="233">
        <f t="shared" ref="BC55" si="32">BC15*6%</f>
        <v>0</v>
      </c>
      <c r="BD55" s="168">
        <f t="shared" si="20"/>
        <v>113741.46</v>
      </c>
    </row>
    <row r="56" ht="13.5" customHeight="1" spans="1:56" x14ac:dyDescent="0.25">
      <c r="A56" s="236"/>
      <c r="B56" s="237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168">
        <f t="shared" si="20"/>
        <v>0</v>
      </c>
    </row>
    <row r="57" ht="15" customHeight="1" spans="1:56" x14ac:dyDescent="0.25">
      <c r="A57" s="244" t="s">
        <v>6</v>
      </c>
      <c r="B57" s="245"/>
      <c r="C57" s="246">
        <f>C53-C55</f>
        <v>15233.880000000001</v>
      </c>
      <c r="D57" s="246">
        <f t="shared" ref="D57:BB57" si="33">D53-D55</f>
        <v>49218.69</v>
      </c>
      <c r="E57" s="246">
        <f t="shared" si="33"/>
        <v>67002.76</v>
      </c>
      <c r="F57" s="246">
        <f t="shared" si="33"/>
        <v>41107.100000000006</v>
      </c>
      <c r="G57" s="246">
        <f t="shared" si="33"/>
        <v>49246.01000000001</v>
      </c>
      <c r="H57" s="246">
        <f t="shared" si="33"/>
        <v>66906.88</v>
      </c>
      <c r="I57" s="246">
        <f t="shared" si="33"/>
        <v>77017.56</v>
      </c>
      <c r="J57" s="246">
        <f t="shared" si="33"/>
        <v>67422.63</v>
      </c>
      <c r="K57" s="246">
        <f t="shared" si="33"/>
        <v>70091.07</v>
      </c>
      <c r="L57" s="246">
        <f t="shared" si="33"/>
        <v>59364.95000000001</v>
      </c>
      <c r="M57" s="246">
        <f t="shared" si="33"/>
        <v>53192.42000000003</v>
      </c>
      <c r="N57" s="246">
        <f t="shared" si="33"/>
        <v>40959.53000000001</v>
      </c>
      <c r="O57" s="246">
        <f t="shared" si="33"/>
        <v>45220.06</v>
      </c>
      <c r="P57" s="246">
        <f t="shared" si="33"/>
        <v>37756.54999999999</v>
      </c>
      <c r="Q57" s="246">
        <f t="shared" si="33"/>
        <v>29796.729999999996</v>
      </c>
      <c r="R57" s="246">
        <f t="shared" si="33"/>
        <v>28935.08</v>
      </c>
      <c r="S57" s="246">
        <f t="shared" si="33"/>
        <v>0</v>
      </c>
      <c r="T57" s="246">
        <f t="shared" si="33"/>
        <v>0</v>
      </c>
      <c r="U57" s="246">
        <f t="shared" si="33"/>
        <v>0</v>
      </c>
      <c r="V57" s="246">
        <f t="shared" si="33"/>
        <v>0</v>
      </c>
      <c r="W57" s="246">
        <f t="shared" si="33"/>
        <v>0</v>
      </c>
      <c r="X57" s="246">
        <f t="shared" si="33"/>
        <v>0</v>
      </c>
      <c r="Y57" s="246">
        <f t="shared" si="33"/>
        <v>0</v>
      </c>
      <c r="Z57" s="246">
        <f t="shared" si="33"/>
        <v>0</v>
      </c>
      <c r="AA57" s="246">
        <f t="shared" si="33"/>
        <v>0</v>
      </c>
      <c r="AB57" s="246">
        <f t="shared" si="33"/>
        <v>0</v>
      </c>
      <c r="AC57" s="246">
        <f t="shared" si="33"/>
        <v>0</v>
      </c>
      <c r="AD57" s="246">
        <f t="shared" si="33"/>
        <v>0</v>
      </c>
      <c r="AE57" s="246">
        <f t="shared" si="33"/>
        <v>0</v>
      </c>
      <c r="AF57" s="246">
        <f t="shared" si="33"/>
        <v>0</v>
      </c>
      <c r="AG57" s="246">
        <f t="shared" si="33"/>
        <v>0</v>
      </c>
      <c r="AH57" s="246">
        <f t="shared" si="33"/>
        <v>0</v>
      </c>
      <c r="AI57" s="246">
        <f t="shared" si="33"/>
        <v>0</v>
      </c>
      <c r="AJ57" s="246">
        <f t="shared" si="33"/>
        <v>0</v>
      </c>
      <c r="AK57" s="246">
        <f t="shared" si="33"/>
        <v>0</v>
      </c>
      <c r="AL57" s="246">
        <f t="shared" si="33"/>
        <v>0</v>
      </c>
      <c r="AM57" s="246">
        <f t="shared" si="33"/>
        <v>0</v>
      </c>
      <c r="AN57" s="246">
        <f t="shared" si="33"/>
        <v>0</v>
      </c>
      <c r="AO57" s="246">
        <f t="shared" si="33"/>
        <v>0</v>
      </c>
      <c r="AP57" s="246">
        <f>AP53-AP55</f>
        <v>0</v>
      </c>
      <c r="AQ57" s="246">
        <f t="shared" si="33"/>
        <v>0</v>
      </c>
      <c r="AR57" s="246">
        <f t="shared" si="33"/>
        <v>0</v>
      </c>
      <c r="AS57" s="246">
        <f t="shared" si="33"/>
        <v>0</v>
      </c>
      <c r="AT57" s="246">
        <f t="shared" si="33"/>
        <v>0</v>
      </c>
      <c r="AU57" s="246">
        <f t="shared" si="33"/>
        <v>0</v>
      </c>
      <c r="AV57" s="246">
        <f t="shared" si="33"/>
        <v>0</v>
      </c>
      <c r="AW57" s="246">
        <f t="shared" si="33"/>
        <v>0</v>
      </c>
      <c r="AX57" s="246">
        <f t="shared" si="33"/>
        <v>0</v>
      </c>
      <c r="AY57" s="246">
        <f t="shared" si="33"/>
        <v>0</v>
      </c>
      <c r="AZ57" s="246">
        <f t="shared" si="33"/>
        <v>0</v>
      </c>
      <c r="BA57" s="246">
        <f t="shared" si="33"/>
        <v>0</v>
      </c>
      <c r="BB57" s="246">
        <f t="shared" si="33"/>
        <v>0</v>
      </c>
      <c r="BC57" s="246">
        <f t="shared" ref="BC57" si="34">BC53-BC55</f>
        <v>0</v>
      </c>
      <c r="BD57" s="168">
        <f t="shared" si="20"/>
        <v>798471.9</v>
      </c>
    </row>
    <row r="58" ht="13.5" customHeight="1" spans="1:56" x14ac:dyDescent="0.25">
      <c r="A58" s="247" t="s">
        <v>98</v>
      </c>
      <c r="B58" s="248"/>
      <c r="C58" s="249">
        <f>C57/C33</f>
        <v>1.655316744539824</v>
      </c>
      <c r="D58" s="249">
        <f t="shared" ref="D58:BB58" si="35">D57/D33</f>
        <v>1.4448463232056363</v>
      </c>
      <c r="E58" s="249">
        <f t="shared" si="35"/>
        <v>1.4461393554714477</v>
      </c>
      <c r="F58" s="249">
        <f t="shared" si="35"/>
        <v>1.0161643578258335</v>
      </c>
      <c r="G58" s="249">
        <f t="shared" si="35"/>
        <v>1.2744678180507736</v>
      </c>
      <c r="H58" s="249">
        <f t="shared" si="35"/>
        <v>1.4551933533429033</v>
      </c>
      <c r="I58" s="249">
        <f t="shared" si="35"/>
        <v>1.6876100257115598</v>
      </c>
      <c r="J58" s="249">
        <f t="shared" si="35"/>
        <v>1.7199983979281233</v>
      </c>
      <c r="K58" s="249">
        <f t="shared" si="35"/>
        <v>1.7193334612163642</v>
      </c>
      <c r="L58" s="249">
        <f t="shared" si="35"/>
        <v>1.4926692816373743</v>
      </c>
      <c r="M58" s="249">
        <f t="shared" si="35"/>
        <v>1.39238206125993</v>
      </c>
      <c r="N58" s="249">
        <f t="shared" si="35"/>
        <v>0.8907585996922762</v>
      </c>
      <c r="O58" s="249">
        <f t="shared" si="35"/>
        <v>1.242029883935455</v>
      </c>
      <c r="P58" s="249">
        <f t="shared" si="35"/>
        <v>1.5408610347729343</v>
      </c>
      <c r="Q58" s="249">
        <f t="shared" si="35"/>
        <v>1.5233844728613524</v>
      </c>
      <c r="R58" s="249">
        <f t="shared" si="35"/>
        <v>1.5233158548655423</v>
      </c>
      <c r="S58" s="249" t="e">
        <f t="shared" si="35"/>
        <v>#DIV/0!</v>
      </c>
      <c r="T58" s="249" t="e">
        <f t="shared" si="35"/>
        <v>#DIV/0!</v>
      </c>
      <c r="U58" s="249" t="e">
        <f t="shared" si="35"/>
        <v>#DIV/0!</v>
      </c>
      <c r="V58" s="249" t="e">
        <f t="shared" si="35"/>
        <v>#DIV/0!</v>
      </c>
      <c r="W58" s="249" t="e">
        <f t="shared" si="35"/>
        <v>#DIV/0!</v>
      </c>
      <c r="X58" s="249" t="e">
        <f t="shared" si="35"/>
        <v>#DIV/0!</v>
      </c>
      <c r="Y58" s="249" t="e">
        <f t="shared" si="35"/>
        <v>#DIV/0!</v>
      </c>
      <c r="Z58" s="249" t="e">
        <f t="shared" si="35"/>
        <v>#DIV/0!</v>
      </c>
      <c r="AA58" s="249" t="e">
        <f t="shared" si="35"/>
        <v>#DIV/0!</v>
      </c>
      <c r="AB58" s="249" t="e">
        <f t="shared" si="35"/>
        <v>#DIV/0!</v>
      </c>
      <c r="AC58" s="249" t="e">
        <f t="shared" si="35"/>
        <v>#DIV/0!</v>
      </c>
      <c r="AD58" s="249" t="e">
        <f t="shared" si="35"/>
        <v>#DIV/0!</v>
      </c>
      <c r="AE58" s="249" t="e">
        <f t="shared" si="35"/>
        <v>#DIV/0!</v>
      </c>
      <c r="AF58" s="249" t="e">
        <f t="shared" si="35"/>
        <v>#DIV/0!</v>
      </c>
      <c r="AG58" s="249" t="e">
        <f t="shared" si="35"/>
        <v>#DIV/0!</v>
      </c>
      <c r="AH58" s="249" t="e">
        <f t="shared" si="35"/>
        <v>#DIV/0!</v>
      </c>
      <c r="AI58" s="249" t="e">
        <f t="shared" si="35"/>
        <v>#DIV/0!</v>
      </c>
      <c r="AJ58" s="249" t="e">
        <f t="shared" si="35"/>
        <v>#DIV/0!</v>
      </c>
      <c r="AK58" s="249" t="e">
        <f t="shared" si="35"/>
        <v>#DIV/0!</v>
      </c>
      <c r="AL58" s="249" t="e">
        <f t="shared" si="35"/>
        <v>#DIV/0!</v>
      </c>
      <c r="AM58" s="249" t="e">
        <f t="shared" si="35"/>
        <v>#DIV/0!</v>
      </c>
      <c r="AN58" s="249" t="e">
        <f t="shared" si="35"/>
        <v>#DIV/0!</v>
      </c>
      <c r="AO58" s="249" t="e">
        <f t="shared" si="35"/>
        <v>#DIV/0!</v>
      </c>
      <c r="AP58" s="249" t="e">
        <f t="shared" si="35"/>
        <v>#DIV/0!</v>
      </c>
      <c r="AQ58" s="249" t="e">
        <f t="shared" si="35"/>
        <v>#DIV/0!</v>
      </c>
      <c r="AR58" s="249" t="e">
        <f t="shared" si="35"/>
        <v>#DIV/0!</v>
      </c>
      <c r="AS58" s="249" t="e">
        <f t="shared" si="35"/>
        <v>#DIV/0!</v>
      </c>
      <c r="AT58" s="249" t="e">
        <f t="shared" si="35"/>
        <v>#DIV/0!</v>
      </c>
      <c r="AU58" s="249" t="e">
        <f t="shared" si="35"/>
        <v>#DIV/0!</v>
      </c>
      <c r="AV58" s="249" t="e">
        <f t="shared" si="35"/>
        <v>#DIV/0!</v>
      </c>
      <c r="AW58" s="249" t="e">
        <f t="shared" si="35"/>
        <v>#DIV/0!</v>
      </c>
      <c r="AX58" s="249" t="e">
        <f t="shared" si="35"/>
        <v>#DIV/0!</v>
      </c>
      <c r="AY58" s="249" t="e">
        <f t="shared" si="35"/>
        <v>#DIV/0!</v>
      </c>
      <c r="AZ58" s="249" t="e">
        <f t="shared" si="35"/>
        <v>#DIV/0!</v>
      </c>
      <c r="BA58" s="249" t="e">
        <f t="shared" si="35"/>
        <v>#DIV/0!</v>
      </c>
      <c r="BB58" s="249" t="e">
        <f t="shared" si="35"/>
        <v>#DIV/0!</v>
      </c>
      <c r="BC58" s="249" t="e">
        <f t="shared" ref="BC58:BD58" si="36">BC57/BC33</f>
        <v>#DIV/0!</v>
      </c>
      <c r="BD58" s="249">
        <f t="shared" si="36"/>
        <v>1.4164917336859957</v>
      </c>
    </row>
    <row r="59" ht="13.5" customHeight="1" spans="1:56" x14ac:dyDescent="0.25">
      <c r="A59" s="122" t="s">
        <v>8</v>
      </c>
      <c r="B59" s="250"/>
      <c r="C59" s="250">
        <f>C57/C14</f>
        <v>0.3119076185991278</v>
      </c>
      <c r="D59" s="250">
        <f t="shared" ref="D59:BB59" si="37">D57/D14</f>
        <v>0.2992581580723419</v>
      </c>
      <c r="E59" s="250">
        <f t="shared" si="37"/>
        <v>0.3058886154773263</v>
      </c>
      <c r="F59" s="250">
        <f t="shared" si="37"/>
        <v>0.21300339917507827</v>
      </c>
      <c r="G59" s="250">
        <f t="shared" si="37"/>
        <v>0.26067813566948106</v>
      </c>
      <c r="H59" s="250">
        <f t="shared" si="37"/>
        <v>0.3065789943960007</v>
      </c>
      <c r="I59" s="250">
        <f t="shared" si="37"/>
        <v>0.33197939610767474</v>
      </c>
      <c r="J59" s="250">
        <f t="shared" si="37"/>
        <v>0.32201391741252666</v>
      </c>
      <c r="K59" s="250">
        <f t="shared" si="37"/>
        <v>0.31890162837994623</v>
      </c>
      <c r="L59" s="250">
        <f t="shared" si="37"/>
        <v>0.2825422397791634</v>
      </c>
      <c r="M59" s="250">
        <f>M57/M14</f>
        <v>0.2751265659104782</v>
      </c>
      <c r="N59" s="250">
        <f t="shared" si="37"/>
        <v>0.21182056068966595</v>
      </c>
      <c r="O59" s="250">
        <f t="shared" si="37"/>
        <v>0.25763920304016136</v>
      </c>
      <c r="P59" s="250">
        <f t="shared" si="37"/>
        <v>0.28429210369779145</v>
      </c>
      <c r="Q59" s="250">
        <f t="shared" si="37"/>
        <v>0.2741643510424909</v>
      </c>
      <c r="R59" s="250">
        <f t="shared" si="37"/>
        <v>0.2798553093536313</v>
      </c>
      <c r="S59" s="250" t="e">
        <f t="shared" si="37"/>
        <v>#DIV/0!</v>
      </c>
      <c r="T59" s="250" t="e">
        <f t="shared" si="37"/>
        <v>#DIV/0!</v>
      </c>
      <c r="U59" s="250" t="e">
        <f t="shared" si="37"/>
        <v>#DIV/0!</v>
      </c>
      <c r="V59" s="250" t="e">
        <f t="shared" si="37"/>
        <v>#DIV/0!</v>
      </c>
      <c r="W59" s="250" t="e">
        <f t="shared" si="37"/>
        <v>#DIV/0!</v>
      </c>
      <c r="X59" s="250" t="e">
        <f t="shared" si="37"/>
        <v>#DIV/0!</v>
      </c>
      <c r="Y59" s="250" t="e">
        <f t="shared" si="37"/>
        <v>#DIV/0!</v>
      </c>
      <c r="Z59" s="250" t="e">
        <f t="shared" si="37"/>
        <v>#DIV/0!</v>
      </c>
      <c r="AA59" s="250" t="e">
        <f t="shared" si="37"/>
        <v>#DIV/0!</v>
      </c>
      <c r="AB59" s="250" t="e">
        <f t="shared" si="37"/>
        <v>#DIV/0!</v>
      </c>
      <c r="AC59" s="250" t="e">
        <f t="shared" si="37"/>
        <v>#DIV/0!</v>
      </c>
      <c r="AD59" s="250" t="e">
        <f t="shared" si="37"/>
        <v>#DIV/0!</v>
      </c>
      <c r="AE59" s="250" t="e">
        <f t="shared" si="37"/>
        <v>#DIV/0!</v>
      </c>
      <c r="AF59" s="250" t="e">
        <f t="shared" si="37"/>
        <v>#DIV/0!</v>
      </c>
      <c r="AG59" s="250" t="e">
        <f t="shared" si="37"/>
        <v>#DIV/0!</v>
      </c>
      <c r="AH59" s="250" t="e">
        <f t="shared" si="37"/>
        <v>#DIV/0!</v>
      </c>
      <c r="AI59" s="250" t="e">
        <f t="shared" si="37"/>
        <v>#DIV/0!</v>
      </c>
      <c r="AJ59" s="250" t="e">
        <f t="shared" si="37"/>
        <v>#DIV/0!</v>
      </c>
      <c r="AK59" s="250" t="e">
        <f t="shared" si="37"/>
        <v>#DIV/0!</v>
      </c>
      <c r="AL59" s="250" t="e">
        <f t="shared" si="37"/>
        <v>#DIV/0!</v>
      </c>
      <c r="AM59" s="250" t="e">
        <f t="shared" si="37"/>
        <v>#DIV/0!</v>
      </c>
      <c r="AN59" s="250" t="e">
        <f t="shared" si="37"/>
        <v>#DIV/0!</v>
      </c>
      <c r="AO59" s="250" t="e">
        <f t="shared" si="37"/>
        <v>#DIV/0!</v>
      </c>
      <c r="AP59" s="250" t="e">
        <f t="shared" si="37"/>
        <v>#DIV/0!</v>
      </c>
      <c r="AQ59" s="250" t="e">
        <f t="shared" si="37"/>
        <v>#DIV/0!</v>
      </c>
      <c r="AR59" s="250" t="e">
        <f t="shared" si="37"/>
        <v>#DIV/0!</v>
      </c>
      <c r="AS59" s="250" t="e">
        <f t="shared" si="37"/>
        <v>#DIV/0!</v>
      </c>
      <c r="AT59" s="250" t="e">
        <f t="shared" si="37"/>
        <v>#DIV/0!</v>
      </c>
      <c r="AU59" s="250" t="e">
        <f t="shared" si="37"/>
        <v>#DIV/0!</v>
      </c>
      <c r="AV59" s="250" t="e">
        <f t="shared" si="37"/>
        <v>#DIV/0!</v>
      </c>
      <c r="AW59" s="250" t="e">
        <f t="shared" si="37"/>
        <v>#DIV/0!</v>
      </c>
      <c r="AX59" s="250" t="e">
        <f t="shared" si="37"/>
        <v>#DIV/0!</v>
      </c>
      <c r="AY59" s="250" t="e">
        <f t="shared" si="37"/>
        <v>#DIV/0!</v>
      </c>
      <c r="AZ59" s="250" t="e">
        <f t="shared" si="37"/>
        <v>#DIV/0!</v>
      </c>
      <c r="BA59" s="250" t="e">
        <f t="shared" si="37"/>
        <v>#DIV/0!</v>
      </c>
      <c r="BB59" s="250" t="e">
        <f t="shared" si="37"/>
        <v>#DIV/0!</v>
      </c>
      <c r="BC59" s="250" t="e">
        <f>BC57/BC14</f>
        <v>#DIV/0!</v>
      </c>
      <c r="BD59" s="251">
        <f>BD57/BD14</f>
        <v>0.28406544870579353</v>
      </c>
    </row>
    <row r="60" ht="15" customHeight="1" spans="1:56" x14ac:dyDescent="0.25">
      <c r="A60" s="244" t="s">
        <v>99</v>
      </c>
      <c r="B60" s="245"/>
      <c r="C60" s="246">
        <f>'CF (нед)'!C38</f>
        <v>0</v>
      </c>
      <c r="D60" s="246">
        <f>'CF (нед)'!D38</f>
        <v>0</v>
      </c>
      <c r="E60" s="246">
        <f>'CF (нед)'!E38</f>
        <v>0</v>
      </c>
      <c r="F60" s="246">
        <f>'CF (нед)'!F38</f>
        <v>0</v>
      </c>
      <c r="G60" s="246">
        <f>'CF (нед)'!G38</f>
        <v>0</v>
      </c>
      <c r="H60" s="246">
        <f>'CF (нед)'!H38</f>
        <v>0</v>
      </c>
      <c r="I60" s="246">
        <f>'CF (нед)'!I38</f>
        <v>0</v>
      </c>
      <c r="J60" s="246">
        <f>'CF (нед)'!J38</f>
        <v>0</v>
      </c>
      <c r="K60" s="246">
        <f>'CF (нед)'!K38</f>
        <v>0</v>
      </c>
      <c r="L60" s="246">
        <f>'CF (нед)'!L38</f>
        <v>0</v>
      </c>
      <c r="M60" s="246">
        <f>'CF (нед)'!M38</f>
        <v>0</v>
      </c>
      <c r="N60" s="246">
        <f>'CF (нед)'!N38</f>
        <v>0</v>
      </c>
      <c r="O60" s="246">
        <f>'CF (нед)'!O38</f>
        <v>0</v>
      </c>
      <c r="P60" s="246">
        <f>'CF (нед)'!P38</f>
        <v>0</v>
      </c>
      <c r="Q60" s="246">
        <f>'CF (нед)'!Q38</f>
        <v>0</v>
      </c>
      <c r="R60" s="246">
        <f>'CF (нед)'!R38</f>
        <v>0</v>
      </c>
      <c r="S60" s="246">
        <f>'CF (нед)'!S38</f>
        <v>0</v>
      </c>
      <c r="T60" s="246">
        <f>'CF (нед)'!T38</f>
        <v>0</v>
      </c>
      <c r="U60" s="246">
        <f>'CF (нед)'!U38</f>
        <v>0</v>
      </c>
      <c r="V60" s="246">
        <f>'CF (нед)'!V38</f>
        <v>0</v>
      </c>
      <c r="W60" s="246">
        <f>'CF (нед)'!W38</f>
        <v>0</v>
      </c>
      <c r="X60" s="246">
        <f>'CF (нед)'!X38</f>
        <v>0</v>
      </c>
      <c r="Y60" s="246">
        <f>'CF (нед)'!Y38</f>
        <v>0</v>
      </c>
      <c r="Z60" s="246">
        <f>'CF (нед)'!Z38</f>
        <v>0</v>
      </c>
      <c r="AA60" s="246">
        <f>'CF (нед)'!AA38</f>
        <v>0</v>
      </c>
      <c r="AB60" s="246">
        <f>'CF (нед)'!AB38</f>
        <v>0</v>
      </c>
      <c r="AC60" s="246">
        <f>'CF (нед)'!AC38</f>
        <v>0</v>
      </c>
      <c r="AD60" s="246">
        <f>'CF (нед)'!AD38</f>
        <v>0</v>
      </c>
      <c r="AE60" s="246">
        <f>'CF (нед)'!AE38</f>
        <v>0</v>
      </c>
      <c r="AF60" s="246">
        <f>'CF (нед)'!AF38</f>
        <v>0</v>
      </c>
      <c r="AG60" s="246">
        <f>'CF (нед)'!AG38</f>
        <v>0</v>
      </c>
      <c r="AH60" s="246">
        <f>'CF (нед)'!AH38</f>
        <v>0</v>
      </c>
      <c r="AI60" s="246">
        <f>'CF (нед)'!AI38</f>
        <v>0</v>
      </c>
      <c r="AJ60" s="246">
        <f>'CF (нед)'!AJ38</f>
        <v>0</v>
      </c>
      <c r="AK60" s="246">
        <f>'CF (нед)'!AK38</f>
        <v>0</v>
      </c>
      <c r="AL60" s="246">
        <f>'CF (нед)'!AL38</f>
        <v>0</v>
      </c>
      <c r="AM60" s="246">
        <f>'CF (нед)'!AM38</f>
        <v>0</v>
      </c>
      <c r="AN60" s="246">
        <f>'CF (нед)'!AN38</f>
        <v>0</v>
      </c>
      <c r="AO60" s="246">
        <f>'CF (нед)'!AO38</f>
        <v>0</v>
      </c>
      <c r="AP60" s="246">
        <f>'CF (нед)'!AP38</f>
        <v>0</v>
      </c>
      <c r="AQ60" s="246">
        <f>'CF (нед)'!AQ38</f>
        <v>0</v>
      </c>
      <c r="AR60" s="246">
        <f>'CF (нед)'!AR38</f>
        <v>0</v>
      </c>
      <c r="AS60" s="246">
        <f>'CF (нед)'!AS38</f>
        <v>0</v>
      </c>
      <c r="AT60" s="246">
        <f>'CF (нед)'!AT38</f>
        <v>0</v>
      </c>
      <c r="AU60" s="246">
        <f>'CF (нед)'!AU38</f>
        <v>0</v>
      </c>
      <c r="AV60" s="246">
        <f>'CF (нед)'!AV38</f>
        <v>0</v>
      </c>
      <c r="AW60" s="246">
        <f>'CF (нед)'!AW38</f>
        <v>0</v>
      </c>
      <c r="AX60" s="246">
        <f>'CF (нед)'!AX38</f>
        <v>0</v>
      </c>
      <c r="AY60" s="246">
        <f>'CF (нед)'!AY38</f>
        <v>0</v>
      </c>
      <c r="AZ60" s="246">
        <f>'CF (нед)'!AZ38</f>
        <v>0</v>
      </c>
      <c r="BA60" s="246">
        <f>'CF (нед)'!BA38</f>
        <v>0</v>
      </c>
      <c r="BB60" s="246">
        <f>'CF (нед)'!BB38</f>
        <v>0</v>
      </c>
      <c r="BC60" s="246">
        <f>'CF (нед)'!BC38</f>
        <v>0</v>
      </c>
      <c r="BD60" s="168">
        <f>SUM(C60:BB60)</f>
        <v>0</v>
      </c>
    </row>
    <row r="61" ht="15" customHeight="1" spans="1:56" x14ac:dyDescent="0.25">
      <c r="A61" s="244"/>
      <c r="B61" s="252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  <c r="AO61" s="253"/>
      <c r="AP61" s="253"/>
      <c r="AQ61" s="253"/>
      <c r="AR61" s="253"/>
      <c r="AS61" s="253"/>
      <c r="AT61" s="253"/>
      <c r="AU61" s="253"/>
      <c r="AV61" s="253"/>
      <c r="AW61" s="253"/>
      <c r="AX61" s="253"/>
      <c r="AY61" s="253"/>
      <c r="AZ61" s="253"/>
      <c r="BA61" s="253"/>
      <c r="BB61" s="253"/>
      <c r="BC61" s="253"/>
      <c r="BD61" s="168"/>
    </row>
    <row r="62" ht="13.5" customHeight="1" spans="1:56" x14ac:dyDescent="0.25">
      <c r="A62" s="97" t="str">
        <f>'PL WB'!A62</f>
        <v>Остаток денежных средств на конец периода</v>
      </c>
      <c r="B62" s="242"/>
      <c r="C62" s="233">
        <f>'CF (нед)'!C42</f>
        <v>1994177.8957000005</v>
      </c>
      <c r="D62" s="233">
        <f>'CF (нед)'!D42</f>
        <v>2100356.7557000006</v>
      </c>
      <c r="E62" s="233">
        <f>'CF (нед)'!E42</f>
        <v>2234359.3557</v>
      </c>
      <c r="F62" s="233">
        <f>'CF (нед)'!F42</f>
        <v>2340085.2357000005</v>
      </c>
      <c r="G62" s="233">
        <f>'CF (нед)'!G42</f>
        <v>2444316.6157000004</v>
      </c>
      <c r="H62" s="233">
        <f>'CF (нед)'!H42</f>
        <v>2568251.9457000005</v>
      </c>
      <c r="I62" s="233">
        <f>'CF (нед)'!I42</f>
        <v>2701831.7657000003</v>
      </c>
      <c r="J62" s="233">
        <f>'CF (нед)'!J42</f>
        <v>2827470.9057000005</v>
      </c>
      <c r="K62" s="233">
        <f>'CF (нед)'!K42</f>
        <v>2951779.9657000005</v>
      </c>
      <c r="L62" s="233">
        <f>'CF (нед)'!L42</f>
        <v>3065041.8357000006</v>
      </c>
      <c r="M62" s="233">
        <f>'CF (нед)'!M42</f>
        <v>3166917.6157000004</v>
      </c>
      <c r="N62" s="233">
        <f>'CF (нед)'!N42</f>
        <v>3264799.0757000004</v>
      </c>
      <c r="O62" s="233">
        <f>'CF (нед)'!O42</f>
        <v>3357449.8957000007</v>
      </c>
      <c r="P62" s="233">
        <f>'CF (нед)'!P42</f>
        <v>3428328.6757000005</v>
      </c>
      <c r="Q62" s="233">
        <f>'CF (нед)'!Q42</f>
        <v>3485243.3357000006</v>
      </c>
      <c r="R62" s="233">
        <f>'CF (нед)'!R42</f>
        <v>3539892.4257000005</v>
      </c>
      <c r="S62" s="233">
        <f>'CF (нед)'!S42</f>
        <v>3539892.4257000005</v>
      </c>
      <c r="T62" s="233">
        <f>'CF (нед)'!T42</f>
        <v>3539892.4257000005</v>
      </c>
      <c r="U62" s="233">
        <f>'CF (нед)'!U42</f>
        <v>3539892.4257000005</v>
      </c>
      <c r="V62" s="233">
        <f>'CF (нед)'!V42</f>
        <v>3539892.4257000005</v>
      </c>
      <c r="W62" s="233">
        <f>'CF (нед)'!W42</f>
        <v>3539892.4257000005</v>
      </c>
      <c r="X62" s="233">
        <f>'CF (нед)'!X42</f>
        <v>3539892.4257000005</v>
      </c>
      <c r="Y62" s="233">
        <f>'CF (нед)'!Y42</f>
        <v>3539892.4257000005</v>
      </c>
      <c r="Z62" s="233">
        <f>'CF (нед)'!Z42</f>
        <v>3539892.4257000005</v>
      </c>
      <c r="AA62" s="233">
        <f>'CF (нед)'!AA42</f>
        <v>3539892.4257000005</v>
      </c>
      <c r="AB62" s="233">
        <f>'CF (нед)'!AB42</f>
        <v>3539892.4257000005</v>
      </c>
      <c r="AC62" s="233">
        <f>'CF (нед)'!AC42</f>
        <v>3539892.4257000005</v>
      </c>
      <c r="AD62" s="233">
        <f>'CF (нед)'!AD42</f>
        <v>3539892.4257000005</v>
      </c>
      <c r="AE62" s="233">
        <f>'CF (нед)'!AE42</f>
        <v>3539892.4257000005</v>
      </c>
      <c r="AF62" s="233">
        <f>'CF (нед)'!AF42</f>
        <v>3539892.4257000005</v>
      </c>
      <c r="AG62" s="233">
        <f>'CF (нед)'!AG42</f>
        <v>3539892.4257000005</v>
      </c>
      <c r="AH62" s="233">
        <f>'CF (нед)'!AH42</f>
        <v>3539892.4257000005</v>
      </c>
      <c r="AI62" s="233">
        <f>'CF (нед)'!AI42</f>
        <v>3539892.4257000005</v>
      </c>
      <c r="AJ62" s="233">
        <f>'CF (нед)'!AJ42</f>
        <v>3539892.4257000005</v>
      </c>
      <c r="AK62" s="233">
        <f>'CF (нед)'!AK42</f>
        <v>3539892.4257000005</v>
      </c>
      <c r="AL62" s="233">
        <f>'CF (нед)'!AL42</f>
        <v>3539892.4257000005</v>
      </c>
      <c r="AM62" s="233">
        <f>'CF (нед)'!AM42</f>
        <v>3539892.4257000005</v>
      </c>
      <c r="AN62" s="233">
        <f>'CF (нед)'!AN42</f>
        <v>3539892.4257000005</v>
      </c>
      <c r="AO62" s="233">
        <f>'CF (нед)'!AO42</f>
        <v>3539892.4257000005</v>
      </c>
      <c r="AP62" s="233">
        <f>'CF (нед)'!AP42</f>
        <v>3539892.4257000005</v>
      </c>
      <c r="AQ62" s="233">
        <f>'CF (нед)'!AQ42</f>
        <v>3539892.4257000005</v>
      </c>
      <c r="AR62" s="233">
        <f>'CF (нед)'!AR42</f>
        <v>3539892.4257000005</v>
      </c>
      <c r="AS62" s="233">
        <f>'CF (нед)'!AS42</f>
        <v>3539892.4257000005</v>
      </c>
      <c r="AT62" s="233">
        <f>'CF (нед)'!AT42</f>
        <v>3539892.4257000005</v>
      </c>
      <c r="AU62" s="233">
        <f>'CF (нед)'!AU42</f>
        <v>3539892.4257000005</v>
      </c>
      <c r="AV62" s="233">
        <f>'CF (нед)'!AV42</f>
        <v>3539892.4257000005</v>
      </c>
      <c r="AW62" s="233">
        <f>'CF (нед)'!AW42</f>
        <v>3539892.4257000005</v>
      </c>
      <c r="AX62" s="233">
        <f>'CF (нед)'!AX42</f>
        <v>3539892.4257000005</v>
      </c>
      <c r="AY62" s="233">
        <f>'CF (нед)'!AY42</f>
        <v>3539892.4257000005</v>
      </c>
      <c r="AZ62" s="233">
        <f>'CF (нед)'!AZ42</f>
        <v>3539892.4257000005</v>
      </c>
      <c r="BA62" s="233">
        <f>'CF (нед)'!BA42</f>
        <v>3539892.4257000005</v>
      </c>
      <c r="BB62" s="233">
        <f>'CF (нед)'!BB42</f>
        <v>3539892.4257000005</v>
      </c>
      <c r="BC62" s="233">
        <f>'CF (нед)'!BC42</f>
        <v>3539892.4257000005</v>
      </c>
      <c r="BD62" s="168"/>
    </row>
    <row r="63" ht="15" customHeight="1" spans="1:56" x14ac:dyDescent="0.25">
      <c r="A63" s="236"/>
      <c r="B63" s="237"/>
      <c r="C63" s="200"/>
      <c r="D63" s="224"/>
      <c r="E63" s="224"/>
      <c r="F63" s="224"/>
      <c r="G63" s="254">
        <f>G62-'PL WB'!C62</f>
        <v>17364.730000000447</v>
      </c>
      <c r="H63" s="200"/>
      <c r="I63" s="224"/>
      <c r="J63" s="224"/>
      <c r="K63" s="254">
        <f>K62-'PL WB'!D62</f>
        <v>31050.17000000039</v>
      </c>
      <c r="L63" s="200"/>
      <c r="M63" s="224"/>
      <c r="N63" s="224"/>
      <c r="O63" s="254">
        <f>O62-'PL WB'!E62</f>
        <v>39546.24000000022</v>
      </c>
      <c r="P63" s="200"/>
      <c r="Q63" s="224"/>
      <c r="R63" s="224"/>
      <c r="S63" s="254">
        <f>S62-'PL WB'!F62</f>
        <v>42310.91000000015</v>
      </c>
      <c r="T63" s="200"/>
      <c r="U63" s="224"/>
      <c r="V63" s="224"/>
      <c r="W63" s="255"/>
      <c r="X63" s="254">
        <f>X62-'PL WB'!G62</f>
        <v>42310.91000000015</v>
      </c>
      <c r="Y63" s="256"/>
      <c r="Z63" s="255"/>
      <c r="AA63" s="255"/>
      <c r="AB63" s="254">
        <f>AB62-'PL WB'!H62</f>
        <v>42310.91000000015</v>
      </c>
      <c r="AC63" s="256"/>
      <c r="AD63" s="255"/>
      <c r="AE63" s="255"/>
      <c r="AF63" s="254">
        <f>AF62-'PL WB'!I62</f>
        <v>42310.91000000015</v>
      </c>
      <c r="AG63" s="256"/>
      <c r="AH63" s="255"/>
      <c r="AI63" s="255"/>
      <c r="AJ63" s="255"/>
      <c r="AK63" s="254">
        <f>AK62-'PL WB'!J62</f>
        <v>42310.91000000015</v>
      </c>
      <c r="AL63" s="256"/>
      <c r="AM63" s="255"/>
      <c r="AN63" s="255"/>
      <c r="AO63" s="254">
        <f>AO62-'PL WB'!K62</f>
        <v>42310.91000000015</v>
      </c>
      <c r="AP63" s="256"/>
      <c r="AQ63" s="255"/>
      <c r="AR63" s="255"/>
      <c r="AS63" s="255"/>
      <c r="AT63" s="254">
        <f>AT62-'PL WB'!L62</f>
        <v>42310.91000000015</v>
      </c>
      <c r="AU63" s="256"/>
      <c r="AV63" s="255"/>
      <c r="AW63" s="255"/>
      <c r="AX63" s="257">
        <f>AX62-'PL WB'!M62</f>
        <v>42310.91000000015</v>
      </c>
      <c r="AY63" s="256"/>
      <c r="AZ63" s="255"/>
      <c r="BA63" s="255"/>
      <c r="BB63" s="258">
        <v>3023049.0733999987</v>
      </c>
      <c r="BC63" s="255">
        <f>BC62-'PL WB'!O62</f>
        <v>3539892.4257000005</v>
      </c>
      <c r="BD63" s="168"/>
    </row>
    <row r="64" ht="15" customHeight="1" spans="1:56" x14ac:dyDescent="0.25">
      <c r="A64" s="244" t="s">
        <v>101</v>
      </c>
      <c r="B64" s="245"/>
      <c r="C64" s="259">
        <f>C57+3023049.0734-C60</f>
        <v>3038282.9534</v>
      </c>
      <c r="D64" s="258">
        <f>D57+C64-D60</f>
        <v>3087501.6434</v>
      </c>
      <c r="E64" s="258">
        <f t="shared" ref="E64:BA64" si="38">E57+D64-E60</f>
        <v>3154504.4033999997</v>
      </c>
      <c r="F64" s="258">
        <f t="shared" si="38"/>
        <v>3195611.5034</v>
      </c>
      <c r="G64" s="260">
        <f>G57+F64-G60</f>
        <v>3244857.5133999996</v>
      </c>
      <c r="H64" s="246">
        <f t="shared" si="38"/>
        <v>3311764.3933999995</v>
      </c>
      <c r="I64" s="258">
        <f t="shared" si="38"/>
        <v>3388781.9533999995</v>
      </c>
      <c r="J64" s="258">
        <f t="shared" si="38"/>
        <v>3456204.5833999994</v>
      </c>
      <c r="K64" s="260">
        <f t="shared" si="38"/>
        <v>3526295.6533999993</v>
      </c>
      <c r="L64" s="246">
        <f t="shared" si="38"/>
        <v>3585660.6033999994</v>
      </c>
      <c r="M64" s="258">
        <f t="shared" si="38"/>
        <v>3638853.0233999994</v>
      </c>
      <c r="N64" s="258">
        <f t="shared" si="38"/>
        <v>3679812.553399999</v>
      </c>
      <c r="O64" s="260">
        <f t="shared" si="38"/>
        <v>3725032.613399999</v>
      </c>
      <c r="P64" s="246">
        <f>P57+O64-P60</f>
        <v>3762789.163399999</v>
      </c>
      <c r="Q64" s="258">
        <f t="shared" si="38"/>
        <v>3792585.893399999</v>
      </c>
      <c r="R64" s="258">
        <f t="shared" si="38"/>
        <v>3821520.973399999</v>
      </c>
      <c r="S64" s="260">
        <f t="shared" si="38"/>
        <v>3821520.973399999</v>
      </c>
      <c r="T64" s="246">
        <f t="shared" si="38"/>
        <v>3821520.973399999</v>
      </c>
      <c r="U64" s="258">
        <f t="shared" si="38"/>
        <v>3821520.973399999</v>
      </c>
      <c r="V64" s="258">
        <f t="shared" si="38"/>
        <v>3821520.973399999</v>
      </c>
      <c r="W64" s="258">
        <f t="shared" si="38"/>
        <v>3821520.973399999</v>
      </c>
      <c r="X64" s="260">
        <f t="shared" si="38"/>
        <v>3821520.973399999</v>
      </c>
      <c r="Y64" s="246">
        <f t="shared" si="38"/>
        <v>3821520.973399999</v>
      </c>
      <c r="Z64" s="258">
        <f t="shared" si="38"/>
        <v>3821520.973399999</v>
      </c>
      <c r="AA64" s="258">
        <f t="shared" si="38"/>
        <v>3821520.973399999</v>
      </c>
      <c r="AB64" s="260">
        <f t="shared" si="38"/>
        <v>3821520.973399999</v>
      </c>
      <c r="AC64" s="246">
        <f t="shared" si="38"/>
        <v>3821520.973399999</v>
      </c>
      <c r="AD64" s="258">
        <f t="shared" si="38"/>
        <v>3821520.973399999</v>
      </c>
      <c r="AE64" s="258">
        <f t="shared" si="38"/>
        <v>3821520.973399999</v>
      </c>
      <c r="AF64" s="260">
        <f t="shared" si="38"/>
        <v>3821520.973399999</v>
      </c>
      <c r="AG64" s="246">
        <f t="shared" si="38"/>
        <v>3821520.973399999</v>
      </c>
      <c r="AH64" s="258">
        <f t="shared" si="38"/>
        <v>3821520.973399999</v>
      </c>
      <c r="AI64" s="258">
        <f t="shared" si="38"/>
        <v>3821520.973399999</v>
      </c>
      <c r="AJ64" s="258">
        <f t="shared" si="38"/>
        <v>3821520.973399999</v>
      </c>
      <c r="AK64" s="260">
        <f t="shared" si="38"/>
        <v>3821520.973399999</v>
      </c>
      <c r="AL64" s="246">
        <f t="shared" si="38"/>
        <v>3821520.973399999</v>
      </c>
      <c r="AM64" s="258">
        <f t="shared" si="38"/>
        <v>3821520.973399999</v>
      </c>
      <c r="AN64" s="258">
        <f t="shared" si="38"/>
        <v>3821520.973399999</v>
      </c>
      <c r="AO64" s="260">
        <f t="shared" si="38"/>
        <v>3821520.973399999</v>
      </c>
      <c r="AP64" s="246">
        <f t="shared" si="38"/>
        <v>3821520.973399999</v>
      </c>
      <c r="AQ64" s="258">
        <f>AQ57+AP64-AQ60</f>
        <v>3821520.973399999</v>
      </c>
      <c r="AR64" s="258">
        <f t="shared" si="38"/>
        <v>3821520.973399999</v>
      </c>
      <c r="AS64" s="258">
        <f t="shared" si="38"/>
        <v>3821520.973399999</v>
      </c>
      <c r="AT64" s="260">
        <f t="shared" si="38"/>
        <v>3821520.973399999</v>
      </c>
      <c r="AU64" s="246">
        <f t="shared" si="38"/>
        <v>3821520.973399999</v>
      </c>
      <c r="AV64" s="258">
        <f t="shared" si="38"/>
        <v>3821520.973399999</v>
      </c>
      <c r="AW64" s="258">
        <f t="shared" si="38"/>
        <v>3821520.973399999</v>
      </c>
      <c r="AX64" s="261">
        <f t="shared" si="38"/>
        <v>3821520.973399999</v>
      </c>
      <c r="AY64" s="246">
        <f t="shared" si="38"/>
        <v>3821520.973399999</v>
      </c>
      <c r="AZ64" s="258">
        <f t="shared" si="38"/>
        <v>3821520.973399999</v>
      </c>
      <c r="BA64" s="258">
        <f t="shared" si="38"/>
        <v>3821520.973399999</v>
      </c>
      <c r="BB64" s="258">
        <f>BB57+BA64-BB60</f>
        <v>3821520.973399999</v>
      </c>
      <c r="BC64" s="258">
        <v>3023049.0734</v>
      </c>
      <c r="BD64" s="168"/>
    </row>
    <row r="65" ht="13.5" customHeight="1" spans="1:55" x14ac:dyDescent="0.25">
      <c r="A65" s="262"/>
      <c r="B65" s="161"/>
      <c r="C65" s="159"/>
      <c r="D65" s="157"/>
      <c r="E65" s="157"/>
      <c r="F65" s="157"/>
      <c r="G65" s="263">
        <f>G64-'PL WB'!C64</f>
        <v>0</v>
      </c>
      <c r="H65" s="264"/>
      <c r="I65" s="157"/>
      <c r="J65" s="157"/>
      <c r="K65" s="263">
        <f>K64-'PL WB'!D64</f>
        <v>5770.4399999994785</v>
      </c>
      <c r="L65" s="264"/>
      <c r="M65" s="157"/>
      <c r="N65" s="157"/>
      <c r="O65" s="263">
        <f>O64-'PL WB'!E64</f>
        <v>11049.50999999931</v>
      </c>
      <c r="P65" s="264"/>
      <c r="Q65" s="157"/>
      <c r="R65" s="157"/>
      <c r="S65" s="263">
        <f>S64-'PL WB'!F64</f>
        <v>13439.179999999236</v>
      </c>
      <c r="T65" s="264"/>
      <c r="U65" s="157"/>
      <c r="V65" s="157"/>
      <c r="W65" s="265"/>
      <c r="X65" s="263">
        <f>X64-'PL WB'!G64</f>
        <v>13439.179999999236</v>
      </c>
      <c r="Y65" s="266"/>
      <c r="Z65" s="265"/>
      <c r="AA65" s="265"/>
      <c r="AB65" s="263">
        <f>AB64-'PL WB'!H64</f>
        <v>13439.179999999236</v>
      </c>
      <c r="AC65" s="266"/>
      <c r="AD65" s="265"/>
      <c r="AE65" s="265"/>
      <c r="AF65" s="263">
        <f>AF64-'PL WB'!I64</f>
        <v>13439.179999999236</v>
      </c>
      <c r="AG65" s="266"/>
      <c r="AH65" s="265"/>
      <c r="AI65" s="265"/>
      <c r="AJ65" s="265"/>
      <c r="AK65" s="263">
        <f>AK64-'PL WB'!J64</f>
        <v>13439.179999999236</v>
      </c>
      <c r="AL65" s="266"/>
      <c r="AM65" s="265"/>
      <c r="AN65" s="265"/>
      <c r="AO65" s="263">
        <f>AO64-'PL WB'!K64</f>
        <v>13439.179999999236</v>
      </c>
      <c r="AP65" s="266"/>
      <c r="AQ65" s="265"/>
      <c r="AR65" s="265"/>
      <c r="AS65" s="265"/>
      <c r="AT65" s="263">
        <f>AT64-'PL WB'!L64</f>
        <v>13439.179999999236</v>
      </c>
      <c r="AU65" s="266"/>
      <c r="AV65" s="265"/>
      <c r="AW65" s="265"/>
      <c r="AX65" s="267">
        <f>AX64-'PL WB'!M64</f>
        <v>13439.179999999236</v>
      </c>
      <c r="AY65" s="266"/>
      <c r="AZ65" s="265"/>
      <c r="BA65" s="265"/>
      <c r="BB65" s="265">
        <f>BB64-'PL WB'!N64</f>
        <v>13439.179999999236</v>
      </c>
      <c r="BC65" s="265">
        <f>BC64-'PL WB'!O64</f>
        <v>3023049.0734</v>
      </c>
    </row>
    <row r="66" ht="13.5" customHeight="1" spans="1:55" x14ac:dyDescent="0.25">
      <c r="A66" s="268" t="s">
        <v>136</v>
      </c>
      <c r="B66" s="161"/>
      <c r="C66" s="159"/>
      <c r="D66" s="157"/>
      <c r="E66" s="157"/>
      <c r="F66" s="157"/>
      <c r="G66" s="158"/>
      <c r="H66" s="159"/>
      <c r="I66" s="157"/>
      <c r="J66" s="157"/>
      <c r="K66" s="158"/>
      <c r="L66" s="159"/>
      <c r="M66" s="157"/>
      <c r="N66" s="123"/>
      <c r="O66" s="269"/>
      <c r="P66" s="270"/>
      <c r="Q66" s="123"/>
      <c r="R66" s="123"/>
      <c r="S66" s="269"/>
      <c r="T66" s="270"/>
      <c r="U66" s="123"/>
      <c r="V66" s="123"/>
      <c r="W66" s="123"/>
      <c r="X66" s="269"/>
      <c r="Y66" s="270"/>
      <c r="Z66" s="123"/>
      <c r="AA66" s="123"/>
      <c r="AB66" s="269"/>
      <c r="AC66" s="270"/>
      <c r="AD66" s="123"/>
      <c r="AE66" s="123"/>
      <c r="AF66" s="269"/>
      <c r="AG66" s="270"/>
      <c r="AH66" s="123"/>
      <c r="AI66" s="123"/>
      <c r="AJ66" s="123"/>
      <c r="AK66" s="269"/>
      <c r="AL66" s="270"/>
      <c r="AM66" s="123"/>
      <c r="AN66" s="123"/>
      <c r="AO66" s="269"/>
      <c r="AP66" s="270"/>
      <c r="AQ66" s="123"/>
      <c r="AR66" s="123"/>
      <c r="AS66" s="123"/>
      <c r="AT66" s="269"/>
      <c r="AU66" s="270"/>
      <c r="AV66" s="123"/>
      <c r="AW66" s="123"/>
      <c r="AX66" s="271"/>
      <c r="AY66" s="270"/>
      <c r="AZ66" s="123"/>
      <c r="BA66" s="123"/>
      <c r="BB66" s="123"/>
      <c r="BC66" s="123"/>
    </row>
    <row r="67" ht="13.5" customHeight="1" spans="1:55" x14ac:dyDescent="0.25">
      <c r="A67" s="262"/>
      <c r="B67" s="161"/>
      <c r="C67" s="159"/>
      <c r="D67" s="157"/>
      <c r="E67" s="157"/>
      <c r="F67" s="157"/>
      <c r="G67" s="158"/>
      <c r="H67" s="159"/>
      <c r="I67" s="157"/>
      <c r="J67" s="157"/>
      <c r="K67" s="158"/>
      <c r="L67" s="159"/>
      <c r="M67" s="157"/>
      <c r="N67" s="123"/>
      <c r="O67" s="269"/>
      <c r="P67" s="270"/>
      <c r="Q67" s="123"/>
      <c r="R67" s="123"/>
      <c r="S67" s="269"/>
      <c r="T67" s="270"/>
      <c r="U67" s="123"/>
      <c r="V67" s="123"/>
      <c r="W67" s="123"/>
      <c r="X67" s="269"/>
      <c r="Y67" s="270"/>
      <c r="Z67" s="123"/>
      <c r="AA67" s="123"/>
      <c r="AB67" s="269"/>
      <c r="AC67" s="270"/>
      <c r="AD67" s="123"/>
      <c r="AE67" s="123"/>
      <c r="AF67" s="269"/>
      <c r="AG67" s="270"/>
      <c r="AH67" s="123"/>
      <c r="AI67" s="123"/>
      <c r="AJ67" s="123"/>
      <c r="AK67" s="269"/>
      <c r="AL67" s="270"/>
      <c r="AM67" s="123"/>
      <c r="AN67" s="123"/>
      <c r="AO67" s="269"/>
      <c r="AP67" s="270"/>
      <c r="AQ67" s="123"/>
      <c r="AR67" s="123"/>
      <c r="AS67" s="123"/>
      <c r="AT67" s="269"/>
      <c r="AU67" s="270"/>
      <c r="AV67" s="123"/>
      <c r="AW67" s="123"/>
      <c r="AX67" s="271"/>
      <c r="AY67" s="270"/>
      <c r="AZ67" s="123"/>
      <c r="BA67" s="123"/>
      <c r="BB67" s="123"/>
      <c r="BC67" s="123"/>
    </row>
    <row r="68" ht="13.5" customHeight="1" spans="1:55" x14ac:dyDescent="0.25">
      <c r="A68" s="262"/>
      <c r="B68" s="272" t="s">
        <v>137</v>
      </c>
      <c r="C68" s="159">
        <f>SUM('CF (нед)'!$C$29:C29)</f>
        <v>0</v>
      </c>
      <c r="D68" s="157">
        <f>SUM('CF (нед)'!$C$29:D29)</f>
        <v>0</v>
      </c>
      <c r="E68" s="157">
        <f>SUM('CF (нед)'!$C$29:E29)</f>
        <v>0</v>
      </c>
      <c r="F68" s="157">
        <f>SUM('CF (нед)'!$C$29:F29)</f>
        <v>0</v>
      </c>
      <c r="G68" s="158">
        <f>SUM('CF (нед)'!$C$29:G29)</f>
        <v>0</v>
      </c>
      <c r="H68" s="159">
        <f>SUM('CF (нед)'!$C$29:H29)</f>
        <v>0</v>
      </c>
      <c r="I68" s="157">
        <f>SUM('CF (нед)'!$C$29:I29)</f>
        <v>0</v>
      </c>
      <c r="J68" s="157">
        <f>SUM('CF (нед)'!$C$29:J29)</f>
        <v>0</v>
      </c>
      <c r="K68" s="158">
        <f>SUM('CF (нед)'!$C$29:K29)</f>
        <v>0</v>
      </c>
      <c r="L68" s="159">
        <f>SUM('CF (нед)'!$C$29:L29)</f>
        <v>0</v>
      </c>
      <c r="M68" s="157">
        <f>SUM('CF (нед)'!$C$29:M29)</f>
        <v>0</v>
      </c>
      <c r="N68" s="157">
        <f>SUM('CF (нед)'!$C$29:N29)</f>
        <v>0</v>
      </c>
      <c r="O68" s="158">
        <f>SUM('CF (нед)'!$C$29:O29)</f>
        <v>0</v>
      </c>
      <c r="P68" s="159">
        <f>SUM('CF (нед)'!$C$29:P29)</f>
        <v>0</v>
      </c>
      <c r="Q68" s="157">
        <f>SUM('CF (нед)'!$C$29:Q29)</f>
        <v>0</v>
      </c>
      <c r="R68" s="157">
        <f>SUM('CF (нед)'!$C$29:R29)</f>
        <v>0</v>
      </c>
      <c r="S68" s="158">
        <f>SUM('CF (нед)'!$C$29:S29)</f>
        <v>0</v>
      </c>
      <c r="T68" s="159">
        <f>SUM('CF (нед)'!$C$29:T29)</f>
        <v>0</v>
      </c>
      <c r="U68" s="157">
        <f>SUM('CF (нед)'!$C$29:U29)</f>
        <v>0</v>
      </c>
      <c r="V68" s="157">
        <f>SUM('CF (нед)'!$C$29:V29)</f>
        <v>0</v>
      </c>
      <c r="W68" s="157">
        <f>SUM('CF (нед)'!$C$29:W29)</f>
        <v>0</v>
      </c>
      <c r="X68" s="158">
        <f>SUM('CF (нед)'!$C$29:X29)</f>
        <v>0</v>
      </c>
      <c r="Y68" s="159">
        <f>SUM('CF (нед)'!$C$29:Y29)</f>
        <v>0</v>
      </c>
      <c r="Z68" s="157">
        <f>SUM('CF (нед)'!$C$29:Z29)</f>
        <v>0</v>
      </c>
      <c r="AA68" s="157">
        <f>SUM('CF (нед)'!$C$29:AA29)</f>
        <v>0</v>
      </c>
      <c r="AB68" s="158">
        <f>SUM('CF (нед)'!$C$29:AB29)</f>
        <v>0</v>
      </c>
      <c r="AC68" s="159">
        <f>SUM('CF (нед)'!$C$29:AC29)</f>
        <v>0</v>
      </c>
      <c r="AD68" s="157">
        <f>SUM('CF (нед)'!$C$29:AD29)</f>
        <v>0</v>
      </c>
      <c r="AE68" s="157">
        <f>SUM('CF (нед)'!$C$29:AE29)</f>
        <v>0</v>
      </c>
      <c r="AF68" s="158">
        <f>SUM('CF (нед)'!$C$29:AF29)</f>
        <v>0</v>
      </c>
      <c r="AG68" s="159">
        <f>SUM('CF (нед)'!$C$29:AG29)</f>
        <v>0</v>
      </c>
      <c r="AH68" s="157">
        <f>SUM('CF (нед)'!$C$29:AH29)</f>
        <v>0</v>
      </c>
      <c r="AI68" s="157">
        <f>SUM('CF (нед)'!$C$29:AI29)</f>
        <v>0</v>
      </c>
      <c r="AJ68" s="157">
        <f>SUM('CF (нед)'!$C$29:AJ29)</f>
        <v>0</v>
      </c>
      <c r="AK68" s="158">
        <f>SUM('CF (нед)'!$C$29:AK29)</f>
        <v>0</v>
      </c>
      <c r="AL68" s="159">
        <f>SUM('CF (нед)'!$C$29:AL29)</f>
        <v>0</v>
      </c>
      <c r="AM68" s="157">
        <f>SUM('CF (нед)'!$C$29:AM29)</f>
        <v>0</v>
      </c>
      <c r="AN68" s="157">
        <f>SUM('CF (нед)'!$C$29:AN29)</f>
        <v>0</v>
      </c>
      <c r="AO68" s="158">
        <f>SUM('CF (нед)'!$C$29:AO29)</f>
        <v>0</v>
      </c>
      <c r="AP68" s="159">
        <f>SUM('CF (нед)'!$C$29:AP29)</f>
        <v>0</v>
      </c>
      <c r="AQ68" s="157">
        <f>SUM('CF (нед)'!$C$29:AQ29)</f>
        <v>0</v>
      </c>
      <c r="AR68" s="157">
        <f>SUM('CF (нед)'!$C$29:AR29)</f>
        <v>0</v>
      </c>
      <c r="AS68" s="157">
        <f>SUM('CF (нед)'!$C$29:AS29)</f>
        <v>0</v>
      </c>
      <c r="AT68" s="158">
        <f>SUM('CF (нед)'!$C$29:AT29)</f>
        <v>0</v>
      </c>
      <c r="AU68" s="159">
        <f>SUM('CF (нед)'!$C$29:AU29)</f>
        <v>0</v>
      </c>
      <c r="AV68" s="157">
        <f>SUM('CF (нед)'!$C$29:AV29)</f>
        <v>0</v>
      </c>
      <c r="AW68" s="157">
        <f>SUM('CF (нед)'!$C$29:AW29)</f>
        <v>0</v>
      </c>
      <c r="AX68" s="155">
        <f>SUM('CF (нед)'!$C$29:AX29)</f>
        <v>0</v>
      </c>
      <c r="AY68" s="159">
        <f>SUM('CF (нед)'!$C$29:AY29)</f>
        <v>0</v>
      </c>
      <c r="AZ68" s="157">
        <f>SUM('CF (нед)'!$C$29:AZ29)</f>
        <v>0</v>
      </c>
      <c r="BA68" s="157">
        <f>SUM('CF (нед)'!$C$29:BA29)</f>
        <v>0</v>
      </c>
      <c r="BB68" s="157">
        <f>SUM('CF (нед)'!$C$29:BB29)</f>
        <v>0</v>
      </c>
      <c r="BC68" s="157">
        <f>SUM('CF (нед)'!$C$29:BC29)</f>
        <v>0</v>
      </c>
    </row>
    <row r="69" ht="13.5" customHeight="1" spans="1:55" x14ac:dyDescent="0.25">
      <c r="A69" s="262"/>
      <c r="B69" s="272" t="s">
        <v>138</v>
      </c>
      <c r="C69" s="159">
        <f t="shared" ref="C69:Q69" si="39">SUM($C$33:C33)</f>
        <v>9203</v>
      </c>
      <c r="D69" s="157">
        <f t="shared" si="39"/>
        <v>43268</v>
      </c>
      <c r="E69" s="157">
        <f t="shared" si="39"/>
        <v>89600.16</v>
      </c>
      <c r="F69" s="157">
        <f t="shared" si="39"/>
        <v>130053.36</v>
      </c>
      <c r="G69" s="158">
        <f t="shared" si="39"/>
        <v>168693.81</v>
      </c>
      <c r="H69" s="159">
        <f t="shared" si="39"/>
        <v>214671.81</v>
      </c>
      <c r="I69" s="157">
        <f t="shared" si="39"/>
        <v>260308.87</v>
      </c>
      <c r="J69" s="157">
        <f t="shared" si="39"/>
        <v>299508.11</v>
      </c>
      <c r="K69" s="158">
        <f t="shared" si="39"/>
        <v>340274.52999999997</v>
      </c>
      <c r="L69" s="159">
        <f t="shared" si="39"/>
        <v>380045.52999999997</v>
      </c>
      <c r="M69" s="157">
        <f t="shared" si="39"/>
        <v>418247.99</v>
      </c>
      <c r="N69" s="157">
        <f t="shared" si="39"/>
        <v>464230.74</v>
      </c>
      <c r="O69" s="158">
        <f t="shared" si="39"/>
        <v>500638.93</v>
      </c>
      <c r="P69" s="159">
        <f t="shared" si="39"/>
        <v>525142.47</v>
      </c>
      <c r="Q69" s="157">
        <f t="shared" si="39"/>
        <v>544702.03</v>
      </c>
      <c r="R69" s="157">
        <f t="shared" ref="R69:BA69" si="40">SUM(C33:R33)</f>
        <v>563696.8300000001</v>
      </c>
      <c r="S69" s="158">
        <f t="shared" si="40"/>
        <v>554493.8300000001</v>
      </c>
      <c r="T69" s="159">
        <f t="shared" si="40"/>
        <v>520428.82999999996</v>
      </c>
      <c r="U69" s="157">
        <f t="shared" si="40"/>
        <v>474096.67</v>
      </c>
      <c r="V69" s="157">
        <f t="shared" si="40"/>
        <v>433643.47</v>
      </c>
      <c r="W69" s="157">
        <f t="shared" si="40"/>
        <v>395003.0199999999</v>
      </c>
      <c r="X69" s="158">
        <f t="shared" si="40"/>
        <v>349025.01999999996</v>
      </c>
      <c r="Y69" s="159">
        <f t="shared" si="40"/>
        <v>303387.95999999996</v>
      </c>
      <c r="Z69" s="157">
        <f t="shared" si="40"/>
        <v>264188.72000000003</v>
      </c>
      <c r="AA69" s="157">
        <f t="shared" si="40"/>
        <v>223422.3</v>
      </c>
      <c r="AB69" s="158">
        <f t="shared" si="40"/>
        <v>183651.3</v>
      </c>
      <c r="AC69" s="159">
        <f t="shared" si="40"/>
        <v>145448.84</v>
      </c>
      <c r="AD69" s="157">
        <f t="shared" si="40"/>
        <v>99466.09000000001</v>
      </c>
      <c r="AE69" s="157">
        <f t="shared" si="40"/>
        <v>63057.90000000001</v>
      </c>
      <c r="AF69" s="158">
        <f t="shared" si="40"/>
        <v>38554.36</v>
      </c>
      <c r="AG69" s="159">
        <f t="shared" si="40"/>
        <v>18994.8</v>
      </c>
      <c r="AH69" s="157">
        <f t="shared" si="40"/>
        <v>0</v>
      </c>
      <c r="AI69" s="157">
        <f t="shared" si="40"/>
        <v>0</v>
      </c>
      <c r="AJ69" s="157">
        <f t="shared" si="40"/>
        <v>0</v>
      </c>
      <c r="AK69" s="158">
        <f t="shared" si="40"/>
        <v>0</v>
      </c>
      <c r="AL69" s="159">
        <f t="shared" si="40"/>
        <v>0</v>
      </c>
      <c r="AM69" s="157">
        <f t="shared" si="40"/>
        <v>0</v>
      </c>
      <c r="AN69" s="157">
        <f t="shared" si="40"/>
        <v>0</v>
      </c>
      <c r="AO69" s="158">
        <f t="shared" si="40"/>
        <v>0</v>
      </c>
      <c r="AP69" s="159">
        <f t="shared" si="40"/>
        <v>0</v>
      </c>
      <c r="AQ69" s="157">
        <f t="shared" si="40"/>
        <v>0</v>
      </c>
      <c r="AR69" s="157">
        <f t="shared" si="40"/>
        <v>0</v>
      </c>
      <c r="AS69" s="157">
        <f t="shared" si="40"/>
        <v>0</v>
      </c>
      <c r="AT69" s="158">
        <f t="shared" si="40"/>
        <v>0</v>
      </c>
      <c r="AU69" s="159">
        <f t="shared" si="40"/>
        <v>0</v>
      </c>
      <c r="AV69" s="157">
        <f t="shared" si="40"/>
        <v>0</v>
      </c>
      <c r="AW69" s="157">
        <f t="shared" si="40"/>
        <v>0</v>
      </c>
      <c r="AX69" s="155">
        <f t="shared" si="40"/>
        <v>0</v>
      </c>
      <c r="AY69" s="159">
        <f t="shared" si="40"/>
        <v>0</v>
      </c>
      <c r="AZ69" s="157">
        <f t="shared" si="40"/>
        <v>0</v>
      </c>
      <c r="BA69" s="157">
        <f t="shared" si="40"/>
        <v>0</v>
      </c>
      <c r="BB69" s="157">
        <f>SUM(AM33:BB33)</f>
        <v>0</v>
      </c>
      <c r="BC69" s="157">
        <f>SUM(AN33:BC33)</f>
        <v>0</v>
      </c>
    </row>
    <row r="70" ht="13.5" customHeight="1" spans="1:55" x14ac:dyDescent="0.25">
      <c r="A70" s="262"/>
      <c r="B70" s="272" t="s">
        <v>139</v>
      </c>
      <c r="C70" s="159">
        <f>SUM($C$57:C57)</f>
        <v>15233.880000000001</v>
      </c>
      <c r="D70" s="157">
        <f t="shared" ref="D70:Q70" si="41">SUM($C$57:D57)</f>
        <v>64452.57000000001</v>
      </c>
      <c r="E70" s="157">
        <f t="shared" si="41"/>
        <v>131455.33000000002</v>
      </c>
      <c r="F70" s="157">
        <f t="shared" si="41"/>
        <v>172562.43000000002</v>
      </c>
      <c r="G70" s="158">
        <f t="shared" si="41"/>
        <v>221808.44000000003</v>
      </c>
      <c r="H70" s="159">
        <f t="shared" si="41"/>
        <v>288715.32000000007</v>
      </c>
      <c r="I70" s="157">
        <f t="shared" si="41"/>
        <v>365732.88000000006</v>
      </c>
      <c r="J70" s="157">
        <f t="shared" si="41"/>
        <v>433155.51000000007</v>
      </c>
      <c r="K70" s="158">
        <f t="shared" si="41"/>
        <v>503246.5800000001</v>
      </c>
      <c r="L70" s="159">
        <f>SUM($C$57:L57)</f>
        <v>562611.53</v>
      </c>
      <c r="M70" s="157">
        <f t="shared" si="41"/>
        <v>615803.9500000001</v>
      </c>
      <c r="N70" s="157">
        <f t="shared" si="41"/>
        <v>656763.4800000001</v>
      </c>
      <c r="O70" s="158">
        <f t="shared" si="41"/>
        <v>701983.54</v>
      </c>
      <c r="P70" s="159">
        <f t="shared" si="41"/>
        <v>739740.0900000001</v>
      </c>
      <c r="Q70" s="157">
        <f t="shared" si="41"/>
        <v>769536.8200000001</v>
      </c>
      <c r="R70" s="157">
        <f t="shared" ref="R70:BA70" si="42">SUM(C57:R57)</f>
        <v>798471.9</v>
      </c>
      <c r="S70" s="158">
        <f t="shared" si="42"/>
        <v>783238.0200000001</v>
      </c>
      <c r="T70" s="159">
        <f t="shared" si="42"/>
        <v>734019.33</v>
      </c>
      <c r="U70" s="157">
        <f t="shared" si="42"/>
        <v>667016.5700000002</v>
      </c>
      <c r="V70" s="157">
        <f t="shared" si="42"/>
        <v>625909.4700000001</v>
      </c>
      <c r="W70" s="157">
        <f t="shared" si="42"/>
        <v>576663.4600000001</v>
      </c>
      <c r="X70" s="158">
        <f t="shared" si="42"/>
        <v>509756.5800000001</v>
      </c>
      <c r="Y70" s="159">
        <f t="shared" si="42"/>
        <v>432739.0200000001</v>
      </c>
      <c r="Z70" s="157">
        <f t="shared" si="42"/>
        <v>365316.3900000001</v>
      </c>
      <c r="AA70" s="157">
        <f t="shared" si="42"/>
        <v>295225.32000000007</v>
      </c>
      <c r="AB70" s="158">
        <f t="shared" si="42"/>
        <v>235860.37000000005</v>
      </c>
      <c r="AC70" s="159">
        <f t="shared" si="42"/>
        <v>182667.95</v>
      </c>
      <c r="AD70" s="157">
        <f t="shared" si="42"/>
        <v>141708.41999999998</v>
      </c>
      <c r="AE70" s="157">
        <f t="shared" si="42"/>
        <v>96488.35999999999</v>
      </c>
      <c r="AF70" s="158">
        <f t="shared" si="42"/>
        <v>58731.81</v>
      </c>
      <c r="AG70" s="159">
        <f t="shared" si="42"/>
        <v>28935.08</v>
      </c>
      <c r="AH70" s="157">
        <f t="shared" si="42"/>
        <v>0</v>
      </c>
      <c r="AI70" s="157">
        <f t="shared" si="42"/>
        <v>0</v>
      </c>
      <c r="AJ70" s="157">
        <f t="shared" si="42"/>
        <v>0</v>
      </c>
      <c r="AK70" s="158">
        <f t="shared" si="42"/>
        <v>0</v>
      </c>
      <c r="AL70" s="159">
        <f t="shared" si="42"/>
        <v>0</v>
      </c>
      <c r="AM70" s="157">
        <f t="shared" si="42"/>
        <v>0</v>
      </c>
      <c r="AN70" s="157">
        <f t="shared" si="42"/>
        <v>0</v>
      </c>
      <c r="AO70" s="158">
        <f t="shared" si="42"/>
        <v>0</v>
      </c>
      <c r="AP70" s="159">
        <f t="shared" si="42"/>
        <v>0</v>
      </c>
      <c r="AQ70" s="157">
        <f t="shared" si="42"/>
        <v>0</v>
      </c>
      <c r="AR70" s="157">
        <f t="shared" si="42"/>
        <v>0</v>
      </c>
      <c r="AS70" s="157">
        <f t="shared" si="42"/>
        <v>0</v>
      </c>
      <c r="AT70" s="158">
        <f t="shared" si="42"/>
        <v>0</v>
      </c>
      <c r="AU70" s="159">
        <f t="shared" si="42"/>
        <v>0</v>
      </c>
      <c r="AV70" s="157">
        <f t="shared" si="42"/>
        <v>0</v>
      </c>
      <c r="AW70" s="157">
        <f t="shared" si="42"/>
        <v>0</v>
      </c>
      <c r="AX70" s="155">
        <f t="shared" si="42"/>
        <v>0</v>
      </c>
      <c r="AY70" s="159">
        <f t="shared" si="42"/>
        <v>0</v>
      </c>
      <c r="AZ70" s="157">
        <f t="shared" si="42"/>
        <v>0</v>
      </c>
      <c r="BA70" s="157">
        <f t="shared" si="42"/>
        <v>0</v>
      </c>
      <c r="BB70" s="157">
        <f>SUM(AM57:BB57)</f>
        <v>0</v>
      </c>
      <c r="BC70" s="157">
        <f>SUM(AN57:BC57)</f>
        <v>0</v>
      </c>
    </row>
    <row r="71" ht="13.5" customHeight="1" spans="1:55" x14ac:dyDescent="0.25">
      <c r="A71" s="273"/>
      <c r="B71" s="274" t="s">
        <v>140</v>
      </c>
      <c r="C71" s="243">
        <f t="shared" ref="C71:BB71" si="43">C70/C69</f>
        <v>1.655316744539824</v>
      </c>
      <c r="D71" s="275">
        <f t="shared" si="43"/>
        <v>1.4896128778774154</v>
      </c>
      <c r="E71" s="275">
        <f t="shared" si="43"/>
        <v>1.467132759584358</v>
      </c>
      <c r="F71" s="275">
        <f t="shared" si="43"/>
        <v>1.3268586832358658</v>
      </c>
      <c r="G71" s="276">
        <f t="shared" si="43"/>
        <v>1.3148582037479624</v>
      </c>
      <c r="H71" s="243">
        <f t="shared" si="43"/>
        <v>1.3449149191968897</v>
      </c>
      <c r="I71" s="275">
        <f t="shared" si="43"/>
        <v>1.4049958420548638</v>
      </c>
      <c r="J71" s="275">
        <f t="shared" si="43"/>
        <v>1.4462229753978952</v>
      </c>
      <c r="K71" s="276">
        <f t="shared" si="43"/>
        <v>1.478942840652811</v>
      </c>
      <c r="L71" s="243">
        <f t="shared" si="43"/>
        <v>1.4803792850819744</v>
      </c>
      <c r="M71" s="275">
        <f t="shared" si="43"/>
        <v>1.4723416841764143</v>
      </c>
      <c r="N71" s="275">
        <f t="shared" si="43"/>
        <v>1.4147350087157091</v>
      </c>
      <c r="O71" s="276">
        <f t="shared" si="43"/>
        <v>1.4021752962759009</v>
      </c>
      <c r="P71" s="243">
        <f t="shared" si="43"/>
        <v>1.4086464764504767</v>
      </c>
      <c r="Q71" s="275">
        <f t="shared" si="43"/>
        <v>1.4127665725791403</v>
      </c>
      <c r="R71" s="275">
        <f t="shared" si="43"/>
        <v>1.4164917336859957</v>
      </c>
      <c r="S71" s="276">
        <f t="shared" si="43"/>
        <v>1.4125279265956847</v>
      </c>
      <c r="T71" s="243">
        <f t="shared" si="43"/>
        <v>1.41041250539483</v>
      </c>
      <c r="U71" s="275">
        <f t="shared" si="43"/>
        <v>1.4069210188715313</v>
      </c>
      <c r="V71" s="275">
        <f t="shared" si="43"/>
        <v>1.4433734468548556</v>
      </c>
      <c r="W71" s="275">
        <f t="shared" si="43"/>
        <v>1.4598963319318425</v>
      </c>
      <c r="X71" s="276">
        <f t="shared" si="43"/>
        <v>1.4605158678882109</v>
      </c>
      <c r="Y71" s="243">
        <f t="shared" si="43"/>
        <v>1.426355284501073</v>
      </c>
      <c r="Z71" s="275">
        <f t="shared" si="43"/>
        <v>1.382785722267022</v>
      </c>
      <c r="AA71" s="275">
        <f t="shared" si="43"/>
        <v>1.3213780361226255</v>
      </c>
      <c r="AB71" s="276">
        <f t="shared" si="43"/>
        <v>1.2842836941529958</v>
      </c>
      <c r="AC71" s="243">
        <f t="shared" si="43"/>
        <v>1.2558914185908943</v>
      </c>
      <c r="AD71" s="275">
        <f t="shared" si="43"/>
        <v>1.4246907664712665</v>
      </c>
      <c r="AE71" s="275">
        <f t="shared" si="43"/>
        <v>1.5301549845459486</v>
      </c>
      <c r="AF71" s="276">
        <f t="shared" si="43"/>
        <v>1.5233506664356509</v>
      </c>
      <c r="AG71" s="243">
        <f t="shared" si="43"/>
        <v>1.5233158548655423</v>
      </c>
      <c r="AH71" s="275" t="e">
        <f t="shared" si="43"/>
        <v>#DIV/0!</v>
      </c>
      <c r="AI71" s="275" t="e">
        <f t="shared" si="43"/>
        <v>#DIV/0!</v>
      </c>
      <c r="AJ71" s="275" t="e">
        <f t="shared" si="43"/>
        <v>#DIV/0!</v>
      </c>
      <c r="AK71" s="276" t="e">
        <f t="shared" si="43"/>
        <v>#DIV/0!</v>
      </c>
      <c r="AL71" s="243" t="e">
        <f t="shared" si="43"/>
        <v>#DIV/0!</v>
      </c>
      <c r="AM71" s="275" t="e">
        <f t="shared" si="43"/>
        <v>#DIV/0!</v>
      </c>
      <c r="AN71" s="275" t="e">
        <f t="shared" si="43"/>
        <v>#DIV/0!</v>
      </c>
      <c r="AO71" s="276" t="e">
        <f t="shared" si="43"/>
        <v>#DIV/0!</v>
      </c>
      <c r="AP71" s="243" t="e">
        <f t="shared" si="43"/>
        <v>#DIV/0!</v>
      </c>
      <c r="AQ71" s="275" t="e">
        <f t="shared" si="43"/>
        <v>#DIV/0!</v>
      </c>
      <c r="AR71" s="275" t="e">
        <f t="shared" si="43"/>
        <v>#DIV/0!</v>
      </c>
      <c r="AS71" s="275" t="e">
        <f t="shared" si="43"/>
        <v>#DIV/0!</v>
      </c>
      <c r="AT71" s="276" t="e">
        <f t="shared" si="43"/>
        <v>#DIV/0!</v>
      </c>
      <c r="AU71" s="243" t="e">
        <f t="shared" si="43"/>
        <v>#DIV/0!</v>
      </c>
      <c r="AV71" s="275" t="e">
        <f t="shared" si="43"/>
        <v>#DIV/0!</v>
      </c>
      <c r="AW71" s="275" t="e">
        <f t="shared" si="43"/>
        <v>#DIV/0!</v>
      </c>
      <c r="AX71" s="277" t="e">
        <f t="shared" si="43"/>
        <v>#DIV/0!</v>
      </c>
      <c r="AY71" s="243" t="e">
        <f t="shared" si="43"/>
        <v>#DIV/0!</v>
      </c>
      <c r="AZ71" s="275" t="e">
        <f t="shared" si="43"/>
        <v>#DIV/0!</v>
      </c>
      <c r="BA71" s="275" t="e">
        <f t="shared" si="43"/>
        <v>#DIV/0!</v>
      </c>
      <c r="BB71" s="275" t="e">
        <f t="shared" si="43"/>
        <v>#DIV/0!</v>
      </c>
      <c r="BC71" s="275" t="e">
        <f t="shared" ref="BC71" si="44">BC70/BC69</f>
        <v>#DIV/0!</v>
      </c>
    </row>
    <row r="72" ht="13.5" customHeight="1" spans="1:55" x14ac:dyDescent="0.25">
      <c r="A72" s="273"/>
      <c r="B72" s="274" t="s">
        <v>141</v>
      </c>
      <c r="C72" s="243" t="e">
        <f>C69/C68</f>
        <v>#DIV/0!</v>
      </c>
      <c r="D72" s="275" t="e">
        <f t="shared" ref="D72:BA72" si="45">D69/D68</f>
        <v>#DIV/0!</v>
      </c>
      <c r="E72" s="275" t="e">
        <f t="shared" si="45"/>
        <v>#DIV/0!</v>
      </c>
      <c r="F72" s="275" t="e">
        <f t="shared" si="45"/>
        <v>#DIV/0!</v>
      </c>
      <c r="G72" s="276" t="e">
        <f t="shared" si="45"/>
        <v>#DIV/0!</v>
      </c>
      <c r="H72" s="243" t="e">
        <f t="shared" si="45"/>
        <v>#DIV/0!</v>
      </c>
      <c r="I72" s="275" t="e">
        <f t="shared" si="45"/>
        <v>#DIV/0!</v>
      </c>
      <c r="J72" s="275" t="e">
        <f t="shared" si="45"/>
        <v>#DIV/0!</v>
      </c>
      <c r="K72" s="276" t="e">
        <f t="shared" si="45"/>
        <v>#DIV/0!</v>
      </c>
      <c r="L72" s="243" t="e">
        <f t="shared" si="45"/>
        <v>#DIV/0!</v>
      </c>
      <c r="M72" s="275" t="e">
        <f t="shared" si="45"/>
        <v>#DIV/0!</v>
      </c>
      <c r="N72" s="275" t="e">
        <f t="shared" si="45"/>
        <v>#DIV/0!</v>
      </c>
      <c r="O72" s="276" t="e">
        <f t="shared" si="45"/>
        <v>#DIV/0!</v>
      </c>
      <c r="P72" s="243" t="e">
        <f t="shared" si="45"/>
        <v>#DIV/0!</v>
      </c>
      <c r="Q72" s="275" t="e">
        <f t="shared" si="45"/>
        <v>#DIV/0!</v>
      </c>
      <c r="R72" s="275" t="e">
        <f t="shared" si="45"/>
        <v>#DIV/0!</v>
      </c>
      <c r="S72" s="276" t="e">
        <f t="shared" si="45"/>
        <v>#DIV/0!</v>
      </c>
      <c r="T72" s="243" t="e">
        <f t="shared" si="45"/>
        <v>#DIV/0!</v>
      </c>
      <c r="U72" s="275" t="e">
        <f t="shared" si="45"/>
        <v>#DIV/0!</v>
      </c>
      <c r="V72" s="275" t="e">
        <f t="shared" si="45"/>
        <v>#DIV/0!</v>
      </c>
      <c r="W72" s="275" t="e">
        <f t="shared" si="45"/>
        <v>#DIV/0!</v>
      </c>
      <c r="X72" s="276" t="e">
        <f t="shared" si="45"/>
        <v>#DIV/0!</v>
      </c>
      <c r="Y72" s="243" t="e">
        <f t="shared" si="45"/>
        <v>#DIV/0!</v>
      </c>
      <c r="Z72" s="275" t="e">
        <f t="shared" si="45"/>
        <v>#DIV/0!</v>
      </c>
      <c r="AA72" s="275" t="e">
        <f t="shared" si="45"/>
        <v>#DIV/0!</v>
      </c>
      <c r="AB72" s="276" t="e">
        <f t="shared" si="45"/>
        <v>#DIV/0!</v>
      </c>
      <c r="AC72" s="243" t="e">
        <f t="shared" si="45"/>
        <v>#DIV/0!</v>
      </c>
      <c r="AD72" s="275" t="e">
        <f t="shared" si="45"/>
        <v>#DIV/0!</v>
      </c>
      <c r="AE72" s="275" t="e">
        <f t="shared" si="45"/>
        <v>#DIV/0!</v>
      </c>
      <c r="AF72" s="276" t="e">
        <f t="shared" si="45"/>
        <v>#DIV/0!</v>
      </c>
      <c r="AG72" s="243" t="e">
        <f t="shared" si="45"/>
        <v>#DIV/0!</v>
      </c>
      <c r="AH72" s="275" t="e">
        <f t="shared" si="45"/>
        <v>#DIV/0!</v>
      </c>
      <c r="AI72" s="275" t="e">
        <f t="shared" si="45"/>
        <v>#DIV/0!</v>
      </c>
      <c r="AJ72" s="275" t="e">
        <f t="shared" si="45"/>
        <v>#DIV/0!</v>
      </c>
      <c r="AK72" s="276" t="e">
        <f t="shared" si="45"/>
        <v>#DIV/0!</v>
      </c>
      <c r="AL72" s="243" t="e">
        <f t="shared" si="45"/>
        <v>#DIV/0!</v>
      </c>
      <c r="AM72" s="275" t="e">
        <f t="shared" si="45"/>
        <v>#DIV/0!</v>
      </c>
      <c r="AN72" s="275" t="e">
        <f t="shared" si="45"/>
        <v>#DIV/0!</v>
      </c>
      <c r="AO72" s="276" t="e">
        <f>AO69/AO68</f>
        <v>#DIV/0!</v>
      </c>
      <c r="AP72" s="243" t="e">
        <f t="shared" si="45"/>
        <v>#DIV/0!</v>
      </c>
      <c r="AQ72" s="275" t="e">
        <f t="shared" si="45"/>
        <v>#DIV/0!</v>
      </c>
      <c r="AR72" s="275" t="e">
        <f t="shared" si="45"/>
        <v>#DIV/0!</v>
      </c>
      <c r="AS72" s="275" t="e">
        <f t="shared" si="45"/>
        <v>#DIV/0!</v>
      </c>
      <c r="AT72" s="276" t="e">
        <f t="shared" si="45"/>
        <v>#DIV/0!</v>
      </c>
      <c r="AU72" s="243" t="e">
        <f t="shared" si="45"/>
        <v>#DIV/0!</v>
      </c>
      <c r="AV72" s="275" t="e">
        <f t="shared" si="45"/>
        <v>#DIV/0!</v>
      </c>
      <c r="AW72" s="275" t="e">
        <f t="shared" si="45"/>
        <v>#DIV/0!</v>
      </c>
      <c r="AX72" s="277" t="e">
        <f t="shared" si="45"/>
        <v>#DIV/0!</v>
      </c>
      <c r="AY72" s="243" t="e">
        <f t="shared" si="45"/>
        <v>#DIV/0!</v>
      </c>
      <c r="AZ72" s="275" t="e">
        <f t="shared" si="45"/>
        <v>#DIV/0!</v>
      </c>
      <c r="BA72" s="275" t="e">
        <f t="shared" si="45"/>
        <v>#DIV/0!</v>
      </c>
      <c r="BB72" s="275" t="e">
        <f>BB69/BB68</f>
        <v>#DIV/0!</v>
      </c>
      <c r="BC72" s="275" t="e">
        <f>BC69/BC68</f>
        <v>#DIV/0!</v>
      </c>
    </row>
    <row r="73" ht="13.5" customHeight="1" spans="1:55" x14ac:dyDescent="0.25">
      <c r="A73" s="154"/>
      <c r="B73" s="161" t="s">
        <v>142</v>
      </c>
      <c r="C73" s="159" t="e">
        <f t="shared" ref="C73:Q73" si="46">(C74*7)/C72</f>
        <v>#DIV/0!</v>
      </c>
      <c r="D73" s="157" t="e">
        <f t="shared" si="46"/>
        <v>#DIV/0!</v>
      </c>
      <c r="E73" s="157" t="e">
        <f t="shared" si="46"/>
        <v>#DIV/0!</v>
      </c>
      <c r="F73" s="157" t="e">
        <f t="shared" si="46"/>
        <v>#DIV/0!</v>
      </c>
      <c r="G73" s="158" t="e">
        <f t="shared" si="46"/>
        <v>#DIV/0!</v>
      </c>
      <c r="H73" s="159" t="e">
        <f t="shared" si="46"/>
        <v>#DIV/0!</v>
      </c>
      <c r="I73" s="157" t="e">
        <f t="shared" si="46"/>
        <v>#DIV/0!</v>
      </c>
      <c r="J73" s="157" t="e">
        <f t="shared" si="46"/>
        <v>#DIV/0!</v>
      </c>
      <c r="K73" s="158" t="e">
        <f t="shared" si="46"/>
        <v>#DIV/0!</v>
      </c>
      <c r="L73" s="159" t="e">
        <f t="shared" si="46"/>
        <v>#DIV/0!</v>
      </c>
      <c r="M73" s="157" t="e">
        <f t="shared" si="46"/>
        <v>#DIV/0!</v>
      </c>
      <c r="N73" s="157" t="e">
        <f t="shared" si="46"/>
        <v>#DIV/0!</v>
      </c>
      <c r="O73" s="158" t="e">
        <f t="shared" si="46"/>
        <v>#DIV/0!</v>
      </c>
      <c r="P73" s="159" t="e">
        <f t="shared" si="46"/>
        <v>#DIV/0!</v>
      </c>
      <c r="Q73" s="157" t="e">
        <f t="shared" si="46"/>
        <v>#DIV/0!</v>
      </c>
      <c r="R73" s="157" t="e">
        <f t="shared" ref="R73:BA73" si="47">(16*7)/R72</f>
        <v>#DIV/0!</v>
      </c>
      <c r="S73" s="158" t="e">
        <f t="shared" si="47"/>
        <v>#DIV/0!</v>
      </c>
      <c r="T73" s="159" t="e">
        <f t="shared" si="47"/>
        <v>#DIV/0!</v>
      </c>
      <c r="U73" s="157" t="e">
        <f t="shared" si="47"/>
        <v>#DIV/0!</v>
      </c>
      <c r="V73" s="157" t="e">
        <f t="shared" si="47"/>
        <v>#DIV/0!</v>
      </c>
      <c r="W73" s="157" t="e">
        <f t="shared" si="47"/>
        <v>#DIV/0!</v>
      </c>
      <c r="X73" s="158" t="e">
        <f t="shared" si="47"/>
        <v>#DIV/0!</v>
      </c>
      <c r="Y73" s="159" t="e">
        <f t="shared" si="47"/>
        <v>#DIV/0!</v>
      </c>
      <c r="Z73" s="157" t="e">
        <f t="shared" si="47"/>
        <v>#DIV/0!</v>
      </c>
      <c r="AA73" s="157" t="e">
        <f t="shared" si="47"/>
        <v>#DIV/0!</v>
      </c>
      <c r="AB73" s="158" t="e">
        <f t="shared" si="47"/>
        <v>#DIV/0!</v>
      </c>
      <c r="AC73" s="159" t="e">
        <f t="shared" si="47"/>
        <v>#DIV/0!</v>
      </c>
      <c r="AD73" s="157" t="e">
        <f t="shared" si="47"/>
        <v>#DIV/0!</v>
      </c>
      <c r="AE73" s="157" t="e">
        <f t="shared" si="47"/>
        <v>#DIV/0!</v>
      </c>
      <c r="AF73" s="158" t="e">
        <f t="shared" si="47"/>
        <v>#DIV/0!</v>
      </c>
      <c r="AG73" s="159" t="e">
        <f t="shared" si="47"/>
        <v>#DIV/0!</v>
      </c>
      <c r="AH73" s="157" t="e">
        <f t="shared" si="47"/>
        <v>#DIV/0!</v>
      </c>
      <c r="AI73" s="157" t="e">
        <f t="shared" si="47"/>
        <v>#DIV/0!</v>
      </c>
      <c r="AJ73" s="157" t="e">
        <f t="shared" si="47"/>
        <v>#DIV/0!</v>
      </c>
      <c r="AK73" s="158" t="e">
        <f t="shared" si="47"/>
        <v>#DIV/0!</v>
      </c>
      <c r="AL73" s="159" t="e">
        <f t="shared" si="47"/>
        <v>#DIV/0!</v>
      </c>
      <c r="AM73" s="157" t="e">
        <f t="shared" si="47"/>
        <v>#DIV/0!</v>
      </c>
      <c r="AN73" s="157" t="e">
        <f t="shared" si="47"/>
        <v>#DIV/0!</v>
      </c>
      <c r="AO73" s="158" t="e">
        <f t="shared" si="47"/>
        <v>#DIV/0!</v>
      </c>
      <c r="AP73" s="159" t="e">
        <f t="shared" si="47"/>
        <v>#DIV/0!</v>
      </c>
      <c r="AQ73" s="157" t="e">
        <f t="shared" si="47"/>
        <v>#DIV/0!</v>
      </c>
      <c r="AR73" s="157" t="e">
        <f t="shared" si="47"/>
        <v>#DIV/0!</v>
      </c>
      <c r="AS73" s="157" t="e">
        <f t="shared" si="47"/>
        <v>#DIV/0!</v>
      </c>
      <c r="AT73" s="158" t="e">
        <f t="shared" si="47"/>
        <v>#DIV/0!</v>
      </c>
      <c r="AU73" s="159" t="e">
        <f t="shared" si="47"/>
        <v>#DIV/0!</v>
      </c>
      <c r="AV73" s="157" t="e">
        <f t="shared" si="47"/>
        <v>#DIV/0!</v>
      </c>
      <c r="AW73" s="157" t="e">
        <f t="shared" si="47"/>
        <v>#DIV/0!</v>
      </c>
      <c r="AX73" s="155" t="e">
        <f t="shared" si="47"/>
        <v>#DIV/0!</v>
      </c>
      <c r="AY73" s="159" t="e">
        <f t="shared" si="47"/>
        <v>#DIV/0!</v>
      </c>
      <c r="AZ73" s="157" t="e">
        <f t="shared" si="47"/>
        <v>#DIV/0!</v>
      </c>
      <c r="BA73" s="157" t="e">
        <f t="shared" si="47"/>
        <v>#DIV/0!</v>
      </c>
      <c r="BB73" s="157" t="e">
        <f>(16*7)/BB72</f>
        <v>#DIV/0!</v>
      </c>
      <c r="BC73" s="157" t="e">
        <f>(16*7)/BC72</f>
        <v>#DIV/0!</v>
      </c>
    </row>
    <row r="74" ht="13.5" customHeight="1" spans="1:55" x14ac:dyDescent="0.25">
      <c r="A74" s="278"/>
      <c r="B74" s="279"/>
      <c r="C74" s="280">
        <v>1</v>
      </c>
      <c r="D74" s="281">
        <v>2</v>
      </c>
      <c r="E74" s="281">
        <v>3</v>
      </c>
      <c r="F74" s="281">
        <v>4</v>
      </c>
      <c r="G74" s="282">
        <v>5</v>
      </c>
      <c r="H74" s="280">
        <v>6</v>
      </c>
      <c r="I74" s="281">
        <v>7</v>
      </c>
      <c r="J74" s="281">
        <v>8</v>
      </c>
      <c r="K74" s="282">
        <v>9</v>
      </c>
      <c r="L74" s="280">
        <v>10</v>
      </c>
      <c r="M74" s="281">
        <v>11</v>
      </c>
      <c r="N74" s="283">
        <v>12</v>
      </c>
      <c r="O74" s="284">
        <v>13</v>
      </c>
      <c r="P74" s="285">
        <v>14</v>
      </c>
      <c r="Q74" s="283">
        <v>15</v>
      </c>
      <c r="R74" s="283">
        <v>16</v>
      </c>
      <c r="S74" s="286" t="s">
        <v>143</v>
      </c>
      <c r="T74" s="285"/>
      <c r="U74" s="283"/>
      <c r="V74" s="283"/>
      <c r="W74" s="283"/>
      <c r="X74" s="284"/>
      <c r="Y74" s="285"/>
      <c r="Z74" s="283"/>
      <c r="AA74" s="283"/>
      <c r="AB74" s="284"/>
      <c r="AC74" s="285"/>
      <c r="AD74" s="283"/>
      <c r="AE74" s="283"/>
      <c r="AF74" s="284"/>
      <c r="AG74" s="285"/>
      <c r="AH74" s="283"/>
      <c r="AI74" s="283"/>
      <c r="AJ74" s="283"/>
      <c r="AK74" s="284"/>
      <c r="AL74" s="285"/>
      <c r="AM74" s="283"/>
      <c r="AN74" s="283"/>
      <c r="AO74" s="284"/>
      <c r="AP74" s="285"/>
      <c r="AQ74" s="283"/>
      <c r="AR74" s="283"/>
      <c r="AS74" s="283"/>
      <c r="AT74" s="284"/>
      <c r="AU74" s="285"/>
      <c r="AV74" s="283"/>
      <c r="AW74" s="283"/>
      <c r="AX74" s="287"/>
      <c r="AY74" s="285"/>
      <c r="AZ74" s="283"/>
      <c r="BA74" s="283"/>
      <c r="BB74" s="283"/>
      <c r="BC74" s="283"/>
    </row>
    <row r="75" ht="13.5" customHeight="1" spans="1:55" x14ac:dyDescent="0.25">
      <c r="A75" s="288"/>
      <c r="B75" s="289" t="s">
        <v>144</v>
      </c>
      <c r="C75" s="290">
        <f t="shared" ref="C75:R75" si="48">C12*C74*7/C69</f>
        <v>1152.3301119200262</v>
      </c>
      <c r="D75" s="291">
        <f t="shared" si="48"/>
        <v>479.1734778589258</v>
      </c>
      <c r="E75" s="291">
        <f t="shared" si="48"/>
        <v>336.2308917751933</v>
      </c>
      <c r="F75" s="291">
        <f>F12*F74*7/F69</f>
        <v>300.1519222571413</v>
      </c>
      <c r="G75" s="292">
        <f t="shared" si="48"/>
        <v>281.23315105634293</v>
      </c>
      <c r="H75" s="290">
        <f t="shared" si="48"/>
        <v>256.2035234155803</v>
      </c>
      <c r="I75" s="291">
        <f t="shared" si="48"/>
        <v>237.9099510131945</v>
      </c>
      <c r="J75" s="291">
        <f t="shared" si="48"/>
        <v>228.9823337338011</v>
      </c>
      <c r="K75" s="292">
        <f t="shared" si="48"/>
        <v>219.19518863195557</v>
      </c>
      <c r="L75" s="290">
        <f t="shared" si="48"/>
        <v>210.7378110722682</v>
      </c>
      <c r="M75" s="291">
        <f t="shared" si="48"/>
        <v>203.60497127553447</v>
      </c>
      <c r="N75" s="291">
        <f t="shared" si="48"/>
        <v>191.79341307729868</v>
      </c>
      <c r="O75" s="292">
        <f t="shared" si="48"/>
        <v>186.04816175601854</v>
      </c>
      <c r="P75" s="290">
        <f t="shared" si="48"/>
        <v>186.43787888646682</v>
      </c>
      <c r="Q75" s="291">
        <f t="shared" si="48"/>
        <v>188.8115088353903</v>
      </c>
      <c r="R75" s="291">
        <f t="shared" si="48"/>
        <v>190.83838977771086</v>
      </c>
      <c r="S75" s="292">
        <f t="shared" ref="S75:BB75" si="49">S12*16*7/S69</f>
        <v>194.00575721464747</v>
      </c>
      <c r="T75" s="290">
        <f t="shared" si="49"/>
        <v>206.7045274182832</v>
      </c>
      <c r="U75" s="291">
        <f t="shared" si="49"/>
        <v>226.90519079157428</v>
      </c>
      <c r="V75" s="291">
        <f t="shared" si="49"/>
        <v>248.07244384424845</v>
      </c>
      <c r="W75" s="291">
        <f t="shared" si="49"/>
        <v>272.3396782130933</v>
      </c>
      <c r="X75" s="292">
        <f t="shared" si="49"/>
        <v>308.2157129021869</v>
      </c>
      <c r="Y75" s="290">
        <f t="shared" si="49"/>
        <v>354.57898645681274</v>
      </c>
      <c r="Z75" s="291">
        <f t="shared" si="49"/>
        <v>407.1899639015626</v>
      </c>
      <c r="AA75" s="291">
        <f t="shared" si="49"/>
        <v>481.4872792912795</v>
      </c>
      <c r="AB75" s="292">
        <f t="shared" si="49"/>
        <v>585.756786693043</v>
      </c>
      <c r="AC75" s="290">
        <f t="shared" si="49"/>
        <v>739.607104188662</v>
      </c>
      <c r="AD75" s="291">
        <f t="shared" si="49"/>
        <v>1081.5243200974323</v>
      </c>
      <c r="AE75" s="291">
        <f t="shared" si="49"/>
        <v>1705.9717396234257</v>
      </c>
      <c r="AF75" s="292">
        <f t="shared" si="49"/>
        <v>2790.2160834727906</v>
      </c>
      <c r="AG75" s="290">
        <f t="shared" si="49"/>
        <v>5663.3918419778065</v>
      </c>
      <c r="AH75" s="291" t="e">
        <f t="shared" si="49"/>
        <v>#DIV/0!</v>
      </c>
      <c r="AI75" s="291" t="e">
        <f t="shared" si="49"/>
        <v>#DIV/0!</v>
      </c>
      <c r="AJ75" s="291" t="e">
        <f t="shared" si="49"/>
        <v>#DIV/0!</v>
      </c>
      <c r="AK75" s="292" t="e">
        <f t="shared" si="49"/>
        <v>#DIV/0!</v>
      </c>
      <c r="AL75" s="290" t="e">
        <f t="shared" si="49"/>
        <v>#DIV/0!</v>
      </c>
      <c r="AM75" s="291" t="e">
        <f t="shared" si="49"/>
        <v>#DIV/0!</v>
      </c>
      <c r="AN75" s="291" t="e">
        <f t="shared" si="49"/>
        <v>#DIV/0!</v>
      </c>
      <c r="AO75" s="292" t="e">
        <f t="shared" si="49"/>
        <v>#DIV/0!</v>
      </c>
      <c r="AP75" s="290" t="e">
        <f t="shared" si="49"/>
        <v>#DIV/0!</v>
      </c>
      <c r="AQ75" s="291" t="e">
        <f t="shared" si="49"/>
        <v>#DIV/0!</v>
      </c>
      <c r="AR75" s="291" t="e">
        <f t="shared" si="49"/>
        <v>#DIV/0!</v>
      </c>
      <c r="AS75" s="291" t="e">
        <f t="shared" si="49"/>
        <v>#DIV/0!</v>
      </c>
      <c r="AT75" s="292" t="e">
        <f t="shared" si="49"/>
        <v>#DIV/0!</v>
      </c>
      <c r="AU75" s="290" t="e">
        <f t="shared" si="49"/>
        <v>#DIV/0!</v>
      </c>
      <c r="AV75" s="291" t="e">
        <f t="shared" si="49"/>
        <v>#DIV/0!</v>
      </c>
      <c r="AW75" s="291" t="e">
        <f t="shared" si="49"/>
        <v>#DIV/0!</v>
      </c>
      <c r="AX75" s="293" t="e">
        <f t="shared" si="49"/>
        <v>#DIV/0!</v>
      </c>
      <c r="AY75" s="290" t="e">
        <f t="shared" si="49"/>
        <v>#DIV/0!</v>
      </c>
      <c r="AZ75" s="291" t="e">
        <f t="shared" si="49"/>
        <v>#DIV/0!</v>
      </c>
      <c r="BA75" s="291" t="e">
        <f t="shared" si="49"/>
        <v>#DIV/0!</v>
      </c>
      <c r="BB75" s="291" t="e">
        <f t="shared" si="49"/>
        <v>#DIV/0!</v>
      </c>
      <c r="BC75" s="291" t="e">
        <f t="shared" ref="BC75" si="50">BC12*16*7/BC69</f>
        <v>#DIV/0!</v>
      </c>
    </row>
    <row r="76" ht="13.5" customHeight="1" spans="1:56" x14ac:dyDescent="0.25">
      <c r="A76" s="294"/>
      <c r="B76" s="295" t="s">
        <v>145</v>
      </c>
      <c r="C76" s="296">
        <f t="shared" ref="C76:BB76" si="51">TODAY( )+C75</f>
        <v>47284.3301119213</v>
      </c>
      <c r="D76" s="297">
        <f t="shared" si="51"/>
        <v>46611.1734778588</v>
      </c>
      <c r="E76" s="297">
        <f t="shared" si="51"/>
        <v>46468.23089177083</v>
      </c>
      <c r="F76" s="297">
        <f>TODAY( )+F75</f>
        <v>46432.15192225695</v>
      </c>
      <c r="G76" s="298">
        <f t="shared" si="51"/>
        <v>46413.23315105324</v>
      </c>
      <c r="H76" s="296">
        <f t="shared" si="51"/>
        <v>46388.203523414355</v>
      </c>
      <c r="I76" s="297">
        <f t="shared" si="51"/>
        <v>46369.90995101852</v>
      </c>
      <c r="J76" s="297">
        <f t="shared" si="51"/>
        <v>46360.98233373843</v>
      </c>
      <c r="K76" s="298">
        <f t="shared" si="51"/>
        <v>46351.19518863426</v>
      </c>
      <c r="L76" s="296">
        <f t="shared" si="51"/>
        <v>46342.73781107639</v>
      </c>
      <c r="M76" s="297">
        <f t="shared" si="51"/>
        <v>46335.60497127315</v>
      </c>
      <c r="N76" s="297">
        <f t="shared" si="51"/>
        <v>46323.7934130787</v>
      </c>
      <c r="O76" s="298">
        <f t="shared" si="51"/>
        <v>46318.04816175926</v>
      </c>
      <c r="P76" s="296">
        <f t="shared" si="51"/>
        <v>46318.437878888886</v>
      </c>
      <c r="Q76" s="297">
        <f t="shared" si="51"/>
        <v>46320.811508831015</v>
      </c>
      <c r="R76" s="297">
        <f t="shared" si="51"/>
        <v>46322.838389780096</v>
      </c>
      <c r="S76" s="298">
        <f t="shared" si="51"/>
        <v>46326.005757210645</v>
      </c>
      <c r="T76" s="296">
        <f t="shared" si="51"/>
        <v>46338.70452741898</v>
      </c>
      <c r="U76" s="297">
        <f t="shared" si="51"/>
        <v>46358.90519078704</v>
      </c>
      <c r="V76" s="297">
        <f t="shared" si="51"/>
        <v>46380.0724438426</v>
      </c>
      <c r="W76" s="297">
        <f t="shared" si="51"/>
        <v>46404.33967821759</v>
      </c>
      <c r="X76" s="298">
        <f t="shared" si="51"/>
        <v>46440.21571290509</v>
      </c>
      <c r="Y76" s="296">
        <f t="shared" si="51"/>
        <v>46486.578986458335</v>
      </c>
      <c r="Z76" s="297">
        <f t="shared" si="51"/>
        <v>46539.18996390046</v>
      </c>
      <c r="AA76" s="297">
        <f t="shared" si="51"/>
        <v>46613.487279293986</v>
      </c>
      <c r="AB76" s="298">
        <f t="shared" si="51"/>
        <v>46717.75678668982</v>
      </c>
      <c r="AC76" s="296">
        <f t="shared" si="51"/>
        <v>46871.60710418981</v>
      </c>
      <c r="AD76" s="297">
        <f t="shared" si="51"/>
        <v>47213.52432009259</v>
      </c>
      <c r="AE76" s="297">
        <f t="shared" si="51"/>
        <v>47837.97173961806</v>
      </c>
      <c r="AF76" s="298">
        <f t="shared" si="51"/>
        <v>48922.21608347222</v>
      </c>
      <c r="AG76" s="296">
        <f t="shared" si="51"/>
        <v>51795.391841979166</v>
      </c>
      <c r="AH76" s="297">
        <f t="shared" si="51"/>
        <v>NaN</v>
      </c>
      <c r="AI76" s="297">
        <f t="shared" si="51"/>
        <v>NaN</v>
      </c>
      <c r="AJ76" s="297">
        <f t="shared" si="51"/>
        <v>NaN</v>
      </c>
      <c r="AK76" s="298">
        <f t="shared" si="51"/>
        <v>NaN</v>
      </c>
      <c r="AL76" s="296">
        <f t="shared" si="51"/>
        <v>NaN</v>
      </c>
      <c r="AM76" s="297">
        <f t="shared" si="51"/>
        <v>NaN</v>
      </c>
      <c r="AN76" s="297">
        <f t="shared" si="51"/>
        <v>NaN</v>
      </c>
      <c r="AO76" s="298">
        <f t="shared" si="51"/>
        <v>NaN</v>
      </c>
      <c r="AP76" s="296">
        <f t="shared" si="51"/>
        <v>NaN</v>
      </c>
      <c r="AQ76" s="297">
        <f t="shared" si="51"/>
        <v>NaN</v>
      </c>
      <c r="AR76" s="297">
        <f t="shared" si="51"/>
        <v>NaN</v>
      </c>
      <c r="AS76" s="297">
        <f t="shared" si="51"/>
        <v>NaN</v>
      </c>
      <c r="AT76" s="298">
        <f t="shared" si="51"/>
        <v>NaN</v>
      </c>
      <c r="AU76" s="296">
        <f t="shared" si="51"/>
        <v>NaN</v>
      </c>
      <c r="AV76" s="297">
        <f t="shared" si="51"/>
        <v>NaN</v>
      </c>
      <c r="AW76" s="297">
        <f t="shared" si="51"/>
        <v>NaN</v>
      </c>
      <c r="AX76" s="299">
        <f t="shared" si="51"/>
        <v>NaN</v>
      </c>
      <c r="AY76" s="296">
        <f t="shared" si="51"/>
        <v>NaN</v>
      </c>
      <c r="AZ76" s="297">
        <f t="shared" si="51"/>
        <v>NaN</v>
      </c>
      <c r="BA76" s="297">
        <f t="shared" si="51"/>
        <v>NaN</v>
      </c>
      <c r="BB76" s="297">
        <f t="shared" si="51"/>
        <v>NaN</v>
      </c>
      <c r="BC76" s="297">
        <f t="shared" ref="BC76" si="52">TODAY( )+BC75</f>
        <v>NaN</v>
      </c>
      <c r="BD76" s="123">
        <v>5</v>
      </c>
    </row>
  </sheetData>
  <mergeCells count="12">
    <mergeCell ref="A1:B1"/>
    <mergeCell ref="C2:G2"/>
    <mergeCell ref="H2:K2"/>
    <mergeCell ref="L2:O2"/>
    <mergeCell ref="P2:S2"/>
    <mergeCell ref="T2:X2"/>
    <mergeCell ref="Y2:AB2"/>
    <mergeCell ref="AC2:AF2"/>
    <mergeCell ref="AG2:AK2"/>
    <mergeCell ref="AL2:AO2"/>
    <mergeCell ref="AP2:AT2"/>
    <mergeCell ref="AU2:AX2"/>
  </mergeCells>
  <conditionalFormatting sqref="A10:A11">
    <cfRule type="cellIs" dxfId="3" priority="13" operator="greaterThan">
      <formula>0</formula>
    </cfRule>
  </conditionalFormatting>
  <conditionalFormatting sqref="A11:A13">
    <cfRule type="cellIs" dxfId="4" priority="14" operator="between">
      <formula>0</formula>
      <formula>1000000</formula>
    </cfRule>
  </conditionalFormatting>
  <conditionalFormatting sqref="A57:B58 A60 B60:B62 A62">
    <cfRule type="cellIs" dxfId="5" priority="15" operator="lessThan">
      <formula>0</formula>
    </cfRule>
  </conditionalFormatting>
  <conditionalFormatting sqref="C39:AZ39">
    <cfRule type="cellIs" dxfId="6" priority="11" operator="between">
      <formula>40</formula>
      <formula>100</formula>
    </cfRule>
  </conditionalFormatting>
  <conditionalFormatting sqref="C57:AZ57">
    <cfRule type="top10" dxfId="7" priority="10" rank="1"/>
  </conditionalFormatting>
  <conditionalFormatting sqref="C57:BC57">
    <cfRule type="top10" dxfId="8" priority="1" rank="1"/>
  </conditionalFormatting>
  <conditionalFormatting sqref="C34:BD34">
    <cfRule type="cellIs" dxfId="9" priority="3" operator="between">
      <formula>40</formula>
      <formula>100</formula>
    </cfRule>
  </conditionalFormatting>
  <conditionalFormatting sqref="BA39:BC39">
    <cfRule type="cellIs" dxfId="10" priority="2" operator="between">
      <formula>40</formula>
      <formula>100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2">
    <tablePart r:id="rId3"/>
    <tablePart r:id="rId4"/>
  </tablePart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00"/>
  </sheetPr>
  <dimension ref="A1:O45"/>
  <sheetViews>
    <sheetView workbookViewId="0" zoomScale="100" zoomScaleNormal="100">
      <pane xSplit="2" ySplit="5" topLeftCell="C6" activePane="bottomRight" state="frozen"/>
      <selection pane="bottomRight" activeCell="O11" sqref="O11"/>
    </sheetView>
  </sheetViews>
  <sheetFormatPr defaultRowHeight="15" outlineLevelRow="0" outlineLevelCol="0" x14ac:dyDescent="0.25" defaultColWidth="14.42578125"/>
  <cols>
    <col min="1" max="1" width="21.42578125" customWidth="1"/>
    <col min="2" max="2" width="27.140625" customWidth="1"/>
    <col min="3" max="14" width="10.85546875" customWidth="1"/>
    <col min="15" max="15" width="14.42578125" style="422" customWidth="1"/>
  </cols>
  <sheetData>
    <row r="1" ht="19.5" customHeight="1" spans="1:14" x14ac:dyDescent="0.25">
      <c r="A1" s="423" t="s">
        <v>49</v>
      </c>
      <c r="B1" s="424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</row>
    <row r="2" ht="13.5" customHeight="1" spans="1:14" x14ac:dyDescent="0.25">
      <c r="A2" s="426" t="s">
        <v>182</v>
      </c>
      <c r="B2" s="330"/>
      <c r="C2" s="427">
        <v>2023</v>
      </c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</row>
    <row r="3" ht="13.5" customHeight="1" spans="1:14" x14ac:dyDescent="0.25">
      <c r="A3" s="341"/>
      <c r="B3" s="428"/>
      <c r="C3" s="342" t="s">
        <v>51</v>
      </c>
      <c r="D3" s="342" t="s">
        <v>52</v>
      </c>
      <c r="E3" s="342" t="s">
        <v>53</v>
      </c>
      <c r="F3" s="342" t="s">
        <v>54</v>
      </c>
      <c r="G3" s="342" t="s">
        <v>39</v>
      </c>
      <c r="H3" s="342" t="s">
        <v>55</v>
      </c>
      <c r="I3" s="342" t="s">
        <v>56</v>
      </c>
      <c r="J3" s="342" t="s">
        <v>57</v>
      </c>
      <c r="K3" s="342" t="s">
        <v>58</v>
      </c>
      <c r="L3" s="342" t="s">
        <v>59</v>
      </c>
      <c r="M3" s="342" t="s">
        <v>60</v>
      </c>
      <c r="N3" s="342" t="s">
        <v>61</v>
      </c>
    </row>
    <row r="4" ht="13.5" customHeight="1" spans="1:15" x14ac:dyDescent="0.25">
      <c r="A4" s="345" t="s">
        <v>162</v>
      </c>
      <c r="B4" s="350"/>
      <c r="C4" s="346">
        <f>'PL WB'!C10+'PL OZON'!C10</f>
        <v>192398.77</v>
      </c>
      <c r="D4" s="346">
        <f>'PL WB'!D10+'PL OZON'!D10</f>
        <v>0</v>
      </c>
      <c r="E4" s="346">
        <f>'PL WB'!E10+'PL OZON'!E10</f>
        <v>0</v>
      </c>
      <c r="F4" s="346">
        <f>'PL WB'!F10+'PL OZON'!F10</f>
        <v>0</v>
      </c>
      <c r="G4" s="346">
        <f>'PL WB'!G10+'PL OZON'!G10</f>
        <v>0</v>
      </c>
      <c r="H4" s="346">
        <f>'PL WB'!H10+'PL OZON'!H10</f>
        <v>0</v>
      </c>
      <c r="I4" s="346">
        <f>'PL WB'!I10+'PL OZON'!I10</f>
        <v>0</v>
      </c>
      <c r="J4" s="346">
        <f>'PL WB'!J10+'PL OZON'!J10</f>
        <v>0</v>
      </c>
      <c r="K4" s="346">
        <f>'PL WB'!K10+'PL OZON'!K10</f>
        <v>0</v>
      </c>
      <c r="L4" s="346">
        <f>'PL WB'!L10+'PL OZON'!L10</f>
        <v>0</v>
      </c>
      <c r="M4" s="346">
        <f>'PL WB'!M10+'PL OZON'!M10</f>
        <v>0</v>
      </c>
      <c r="N4" s="346">
        <f>'PL WB'!N10+'PL OZON'!N10</f>
        <v>0</v>
      </c>
      <c r="O4" s="429">
        <f>SUM(C4:N4)</f>
        <v>192398.77</v>
      </c>
    </row>
    <row r="5" ht="13.5" customHeight="1" spans="1:15" x14ac:dyDescent="0.25">
      <c r="A5" s="347" t="s">
        <v>68</v>
      </c>
      <c r="B5" s="348"/>
      <c r="C5" s="430">
        <f>'PL WB'!C12+'PL OZON'!C12</f>
        <v>1522905.6300000001</v>
      </c>
      <c r="D5" s="430">
        <f>'PL WB'!D12+'PL OZON'!D12</f>
        <v>1301418.9100000001</v>
      </c>
      <c r="E5" s="430">
        <f>'PL WB'!E12+'PL OZON'!E12</f>
        <v>1109069.51</v>
      </c>
      <c r="F5" s="430">
        <f>'PL WB'!F12+'PL OZON'!F12</f>
        <v>1028078.61</v>
      </c>
      <c r="G5" s="430">
        <f>'PL WB'!G12+'PL OZON'!G12</f>
        <v>1028078.61</v>
      </c>
      <c r="H5" s="430">
        <f>'PL WB'!H12+'PL OZON'!H12</f>
        <v>1028078.61</v>
      </c>
      <c r="I5" s="430">
        <f>'PL WB'!I12+'PL OZON'!I12</f>
        <v>1028078.61</v>
      </c>
      <c r="J5" s="430">
        <f>'PL WB'!J12+'PL OZON'!J12</f>
        <v>1028078.61</v>
      </c>
      <c r="K5" s="430">
        <f>'PL WB'!K12+'PL OZON'!K12</f>
        <v>1028078.61</v>
      </c>
      <c r="L5" s="430">
        <f>'PL WB'!L12+'PL OZON'!L12</f>
        <v>1028078.61</v>
      </c>
      <c r="M5" s="430">
        <f>'PL WB'!M12+'PL OZON'!M12</f>
        <v>1028078.61</v>
      </c>
      <c r="N5" s="430">
        <f>'PL WB'!N12+'PL OZON'!N12</f>
        <v>1028078.61</v>
      </c>
      <c r="O5" s="429"/>
    </row>
    <row r="6" ht="13.5" customHeight="1" spans="1:15" x14ac:dyDescent="0.25">
      <c r="A6" s="345"/>
      <c r="B6" s="350"/>
      <c r="C6" s="346"/>
      <c r="D6" s="346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429"/>
    </row>
    <row r="7" ht="13.5" customHeight="1" spans="1:15" x14ac:dyDescent="0.25">
      <c r="A7" s="352" t="s">
        <v>163</v>
      </c>
      <c r="B7" s="353"/>
      <c r="C7" s="355">
        <f>'CF (нед)'!C7</f>
        <v>1967240.9357000005</v>
      </c>
      <c r="D7" s="355">
        <f t="shared" ref="D7:N7" si="0">C42</f>
        <v>2426951.8857</v>
      </c>
      <c r="E7" s="355">
        <f t="shared" si="0"/>
        <v>2920729.7957</v>
      </c>
      <c r="F7" s="355">
        <f t="shared" si="0"/>
        <v>3317903.6557000005</v>
      </c>
      <c r="G7" s="355">
        <f t="shared" si="0"/>
        <v>3497581.5157000003</v>
      </c>
      <c r="H7" s="355">
        <f t="shared" si="0"/>
        <v>3497581.5157000003</v>
      </c>
      <c r="I7" s="355">
        <f t="shared" si="0"/>
        <v>3497581.5157000003</v>
      </c>
      <c r="J7" s="355">
        <f t="shared" si="0"/>
        <v>3497581.5157000003</v>
      </c>
      <c r="K7" s="355">
        <f t="shared" si="0"/>
        <v>3497581.5157000003</v>
      </c>
      <c r="L7" s="355">
        <f t="shared" si="0"/>
        <v>3497581.5157000003</v>
      </c>
      <c r="M7" s="355">
        <f t="shared" si="0"/>
        <v>3497581.5157000003</v>
      </c>
      <c r="N7" s="355">
        <f t="shared" si="0"/>
        <v>3497581.5157000003</v>
      </c>
      <c r="O7" s="429"/>
    </row>
    <row r="8" ht="13.5" customHeight="1" spans="1:15" x14ac:dyDescent="0.25">
      <c r="A8" s="358"/>
      <c r="B8" s="359"/>
      <c r="C8" s="346"/>
      <c r="D8" s="346"/>
      <c r="E8" s="346"/>
      <c r="F8" s="346"/>
      <c r="G8" s="346"/>
      <c r="H8" s="346"/>
      <c r="I8" s="346"/>
      <c r="J8" s="346"/>
      <c r="K8" s="346"/>
      <c r="L8" s="346"/>
      <c r="M8" s="346"/>
      <c r="N8" s="346"/>
      <c r="O8" s="429"/>
    </row>
    <row r="9" ht="13.5" customHeight="1" spans="1:15" x14ac:dyDescent="0.25">
      <c r="A9" s="431" t="s">
        <v>81</v>
      </c>
      <c r="B9" s="359"/>
      <c r="C9" s="368">
        <f>'PL WB'!C30+'PL OZON'!C30</f>
        <v>538094.6299999999</v>
      </c>
      <c r="D9" s="368">
        <f>'PL WB'!D30+'PL OZON'!D30</f>
        <v>560103.5</v>
      </c>
      <c r="E9" s="368">
        <f>'PL WB'!E30+'PL OZON'!E30</f>
        <v>448883.7800000001</v>
      </c>
      <c r="F9" s="368">
        <f>'PL WB'!F30+'PL OZON'!F30</f>
        <v>201984.27999999997</v>
      </c>
      <c r="G9" s="368">
        <f>'PL WB'!G30+'PL OZON'!G30</f>
        <v>0</v>
      </c>
      <c r="H9" s="368">
        <f>'PL WB'!H30+'PL OZON'!H30</f>
        <v>0</v>
      </c>
      <c r="I9" s="368">
        <f>'PL WB'!I30+'PL OZON'!I30</f>
        <v>0</v>
      </c>
      <c r="J9" s="368">
        <f>'PL WB'!J30+'PL OZON'!J30</f>
        <v>0</v>
      </c>
      <c r="K9" s="368">
        <f>'PL WB'!K30+'PL OZON'!K30</f>
        <v>0</v>
      </c>
      <c r="L9" s="368">
        <f>'PL WB'!L30+'PL OZON'!L30</f>
        <v>0</v>
      </c>
      <c r="M9" s="368">
        <f>'PL WB'!M30+'PL OZON'!M30</f>
        <v>0</v>
      </c>
      <c r="N9" s="368">
        <f>'PL WB'!N30+'PL OZON'!N30</f>
        <v>0</v>
      </c>
      <c r="O9" s="429">
        <f t="shared" ref="O9:O40" si="1">SUM(C9:N9)</f>
        <v>1749066.19</v>
      </c>
    </row>
    <row r="10" ht="13.5" customHeight="1" spans="1:15" x14ac:dyDescent="0.25">
      <c r="A10" s="358"/>
      <c r="B10" s="359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429"/>
    </row>
    <row r="11" ht="13.5" customHeight="1" spans="1:15" x14ac:dyDescent="0.25">
      <c r="A11" s="432" t="s">
        <v>165</v>
      </c>
      <c r="B11" s="433"/>
      <c r="C11" s="434">
        <f>C7+C9</f>
        <v>2505335.5657</v>
      </c>
      <c r="D11" s="434">
        <f>D7+D9</f>
        <v>2987055.3857</v>
      </c>
      <c r="E11" s="434">
        <f t="shared" ref="E11:M11" si="2">E7+E9</f>
        <v>3369613.5757000004</v>
      </c>
      <c r="F11" s="434">
        <f t="shared" si="2"/>
        <v>3519887.9357000003</v>
      </c>
      <c r="G11" s="434">
        <f t="shared" si="2"/>
        <v>3497581.5157000003</v>
      </c>
      <c r="H11" s="434">
        <f t="shared" si="2"/>
        <v>3497581.5157000003</v>
      </c>
      <c r="I11" s="434">
        <f t="shared" si="2"/>
        <v>3497581.5157000003</v>
      </c>
      <c r="J11" s="434">
        <f t="shared" si="2"/>
        <v>3497581.5157000003</v>
      </c>
      <c r="K11" s="434">
        <f>K7+K9</f>
        <v>3497581.5157000003</v>
      </c>
      <c r="L11" s="434">
        <f t="shared" si="2"/>
        <v>3497581.5157000003</v>
      </c>
      <c r="M11" s="434">
        <f t="shared" si="2"/>
        <v>3497581.5157000003</v>
      </c>
      <c r="N11" s="434">
        <f>N7+N9</f>
        <v>3497581.5157000003</v>
      </c>
      <c r="O11" s="434"/>
    </row>
    <row r="12" ht="13.5" customHeight="1" spans="1:15" x14ac:dyDescent="0.25">
      <c r="A12" s="345"/>
      <c r="B12" s="350"/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429"/>
    </row>
    <row r="13" ht="13.5" customHeight="1" spans="1:15" x14ac:dyDescent="0.25">
      <c r="A13" s="352" t="s">
        <v>166</v>
      </c>
      <c r="B13" s="353"/>
      <c r="C13" s="435">
        <f t="shared" ref="C13:N13" si="3">SUM(C14:C19)</f>
        <v>11847</v>
      </c>
      <c r="D13" s="435">
        <f t="shared" si="3"/>
        <v>7915</v>
      </c>
      <c r="E13" s="435">
        <f t="shared" si="3"/>
        <v>3217</v>
      </c>
      <c r="F13" s="435">
        <f t="shared" si="3"/>
        <v>375</v>
      </c>
      <c r="G13" s="435">
        <f t="shared" si="3"/>
        <v>0</v>
      </c>
      <c r="H13" s="435">
        <f t="shared" si="3"/>
        <v>0</v>
      </c>
      <c r="I13" s="435">
        <f t="shared" si="3"/>
        <v>0</v>
      </c>
      <c r="J13" s="435">
        <f t="shared" si="3"/>
        <v>0</v>
      </c>
      <c r="K13" s="435">
        <f t="shared" si="3"/>
        <v>0</v>
      </c>
      <c r="L13" s="435">
        <f t="shared" si="3"/>
        <v>0</v>
      </c>
      <c r="M13" s="435">
        <f t="shared" si="3"/>
        <v>0</v>
      </c>
      <c r="N13" s="435">
        <f t="shared" si="3"/>
        <v>0</v>
      </c>
      <c r="O13" s="429">
        <f t="shared" si="1"/>
        <v>23354</v>
      </c>
    </row>
    <row r="14" ht="13.5" customHeight="1" spans="1:15" x14ac:dyDescent="0.25">
      <c r="A14" s="363" t="s">
        <v>90</v>
      </c>
      <c r="B14" s="364"/>
      <c r="C14" s="365">
        <f>'PL WB'!C47+'PL OZON'!C47</f>
        <v>0</v>
      </c>
      <c r="D14" s="365">
        <f>'PL WB'!D47+'PL OZON'!D47</f>
        <v>0</v>
      </c>
      <c r="E14" s="365">
        <f>'PL WB'!E47+'PL OZON'!E47</f>
        <v>0</v>
      </c>
      <c r="F14" s="365">
        <f>'PL WB'!F47+'PL OZON'!F47</f>
        <v>0</v>
      </c>
      <c r="G14" s="365">
        <f>'PL WB'!G47+'PL OZON'!G47</f>
        <v>0</v>
      </c>
      <c r="H14" s="365">
        <f>'PL WB'!H47+'PL OZON'!H47</f>
        <v>0</v>
      </c>
      <c r="I14" s="365">
        <f>'PL WB'!I47+'PL OZON'!I47</f>
        <v>0</v>
      </c>
      <c r="J14" s="365">
        <f>'PL WB'!J47+'PL OZON'!J47</f>
        <v>0</v>
      </c>
      <c r="K14" s="365">
        <f>'PL WB'!K47+'PL OZON'!K47</f>
        <v>0</v>
      </c>
      <c r="L14" s="365">
        <f>'PL WB'!L47+'PL OZON'!L47</f>
        <v>0</v>
      </c>
      <c r="M14" s="365">
        <f>'PL WB'!M47+'PL OZON'!M47</f>
        <v>0</v>
      </c>
      <c r="N14" s="365">
        <f>'PL WB'!N47+'PL OZON'!N47</f>
        <v>0</v>
      </c>
      <c r="O14" s="429">
        <f t="shared" si="1"/>
        <v>0</v>
      </c>
    </row>
    <row r="15" ht="13.5" customHeight="1" spans="1:15" x14ac:dyDescent="0.25">
      <c r="A15" s="363" t="s">
        <v>91</v>
      </c>
      <c r="B15" s="364"/>
      <c r="C15" s="365">
        <f>'PL WB'!C48+'PL OZON'!C48</f>
        <v>0</v>
      </c>
      <c r="D15" s="365">
        <f>'PL WB'!D48+'PL OZON'!D48</f>
        <v>0</v>
      </c>
      <c r="E15" s="365">
        <f>'PL WB'!E48+'PL OZON'!E48</f>
        <v>0</v>
      </c>
      <c r="F15" s="365">
        <f>'PL WB'!F48+'PL OZON'!F48</f>
        <v>0</v>
      </c>
      <c r="G15" s="365">
        <f>'PL WB'!G48+'PL OZON'!G48</f>
        <v>0</v>
      </c>
      <c r="H15" s="365">
        <f>'PL WB'!H48+'PL OZON'!H48</f>
        <v>0</v>
      </c>
      <c r="I15" s="365">
        <f>'PL WB'!I48+'PL OZON'!I48</f>
        <v>0</v>
      </c>
      <c r="J15" s="365">
        <f>'PL WB'!J48+'PL OZON'!J48</f>
        <v>0</v>
      </c>
      <c r="K15" s="365">
        <f>'PL WB'!K48+'PL OZON'!K48</f>
        <v>0</v>
      </c>
      <c r="L15" s="365">
        <f>'PL WB'!L48+'PL OZON'!L48</f>
        <v>0</v>
      </c>
      <c r="M15" s="365">
        <f>'PL WB'!M48+'PL OZON'!M48</f>
        <v>0</v>
      </c>
      <c r="N15" s="365">
        <f>'PL WB'!N48+'PL OZON'!N48</f>
        <v>0</v>
      </c>
      <c r="O15" s="429">
        <f t="shared" si="1"/>
        <v>0</v>
      </c>
    </row>
    <row r="16" ht="13.5" customHeight="1" spans="1:15" x14ac:dyDescent="0.25">
      <c r="A16" s="363" t="s">
        <v>92</v>
      </c>
      <c r="B16" s="364"/>
      <c r="C16" s="365">
        <f>'PL WB'!C49+'PL OZON'!C49</f>
        <v>0</v>
      </c>
      <c r="D16" s="365">
        <f>'PL WB'!D49+'PL OZON'!D49</f>
        <v>0</v>
      </c>
      <c r="E16" s="365">
        <f>'PL WB'!E49+'PL OZON'!E49</f>
        <v>0</v>
      </c>
      <c r="F16" s="365">
        <f>'PL WB'!F49+'PL OZON'!F49</f>
        <v>0</v>
      </c>
      <c r="G16" s="365">
        <f>'PL WB'!G49+'PL OZON'!G49</f>
        <v>0</v>
      </c>
      <c r="H16" s="365">
        <f>'PL WB'!H49+'PL OZON'!H49</f>
        <v>0</v>
      </c>
      <c r="I16" s="365">
        <f>'PL WB'!I49+'PL OZON'!I49</f>
        <v>0</v>
      </c>
      <c r="J16" s="365">
        <f>'PL WB'!J49+'PL OZON'!J49</f>
        <v>0</v>
      </c>
      <c r="K16" s="365">
        <f>'PL WB'!K49+'PL OZON'!K49</f>
        <v>0</v>
      </c>
      <c r="L16" s="365">
        <f>'PL WB'!L49+'PL OZON'!L49</f>
        <v>0</v>
      </c>
      <c r="M16" s="365">
        <f>'PL WB'!M49+'PL OZON'!M49</f>
        <v>0</v>
      </c>
      <c r="N16" s="365">
        <f>'PL WB'!N49+'PL OZON'!N49</f>
        <v>0</v>
      </c>
      <c r="O16" s="429">
        <f t="shared" si="1"/>
        <v>0</v>
      </c>
    </row>
    <row r="17" ht="13.5" customHeight="1" spans="1:15" x14ac:dyDescent="0.25">
      <c r="A17" s="363" t="s">
        <v>28</v>
      </c>
      <c r="B17" s="364"/>
      <c r="C17" s="365">
        <f>'PL WB'!C41+'PL OZON'!C41</f>
        <v>11847</v>
      </c>
      <c r="D17" s="365">
        <f>'PL WB'!D41+'PL OZON'!D41</f>
        <v>7915</v>
      </c>
      <c r="E17" s="365">
        <f>'PL WB'!E41+'PL OZON'!E41</f>
        <v>3217</v>
      </c>
      <c r="F17" s="365">
        <f>'PL WB'!F41+'PL OZON'!F41</f>
        <v>375</v>
      </c>
      <c r="G17" s="365">
        <f>'PL WB'!G41+'PL OZON'!G41</f>
        <v>0</v>
      </c>
      <c r="H17" s="365">
        <f>'PL WB'!H41+'PL OZON'!H41</f>
        <v>0</v>
      </c>
      <c r="I17" s="365">
        <f>'PL WB'!I41+'PL OZON'!I41</f>
        <v>0</v>
      </c>
      <c r="J17" s="365">
        <f>'PL WB'!J41+'PL OZON'!J41</f>
        <v>0</v>
      </c>
      <c r="K17" s="365">
        <f>'PL WB'!K41+'PL OZON'!K41</f>
        <v>0</v>
      </c>
      <c r="L17" s="365">
        <f>'PL WB'!L41+'PL OZON'!L41</f>
        <v>0</v>
      </c>
      <c r="M17" s="365">
        <f>'PL WB'!M41+'PL OZON'!M41</f>
        <v>0</v>
      </c>
      <c r="N17" s="365">
        <f>'PL WB'!N41+'PL OZON'!N41</f>
        <v>0</v>
      </c>
      <c r="O17" s="429">
        <f>SUM(C17:N17)</f>
        <v>23354</v>
      </c>
    </row>
    <row r="18" ht="13.5" customHeight="1" spans="1:15" x14ac:dyDescent="0.25">
      <c r="A18" s="363" t="s">
        <v>93</v>
      </c>
      <c r="B18" s="364"/>
      <c r="C18" s="365">
        <f>'PL WB'!C50+'PL OZON'!C50</f>
        <v>0</v>
      </c>
      <c r="D18" s="365">
        <f>'PL WB'!D50+'PL OZON'!D50</f>
        <v>0</v>
      </c>
      <c r="E18" s="365">
        <f>'PL WB'!E50+'PL OZON'!E50</f>
        <v>0</v>
      </c>
      <c r="F18" s="365">
        <f>'PL WB'!F50+'PL OZON'!F50</f>
        <v>0</v>
      </c>
      <c r="G18" s="365">
        <f>'PL WB'!G50+'PL OZON'!G50</f>
        <v>0</v>
      </c>
      <c r="H18" s="365">
        <f>'PL WB'!H50+'PL OZON'!H50</f>
        <v>0</v>
      </c>
      <c r="I18" s="365">
        <f>'PL WB'!I50+'PL OZON'!I50</f>
        <v>0</v>
      </c>
      <c r="J18" s="365">
        <f>'PL WB'!J50+'PL OZON'!J50</f>
        <v>0</v>
      </c>
      <c r="K18" s="365">
        <f>'PL WB'!K50+'PL OZON'!K50</f>
        <v>0</v>
      </c>
      <c r="L18" s="365">
        <f>'PL WB'!L50+'PL OZON'!L50</f>
        <v>0</v>
      </c>
      <c r="M18" s="365">
        <f>'PL WB'!M50+'PL OZON'!M50</f>
        <v>0</v>
      </c>
      <c r="N18" s="365">
        <f>'PL WB'!N50+'PL OZON'!N50</f>
        <v>0</v>
      </c>
      <c r="O18" s="429">
        <f t="shared" si="1"/>
        <v>0</v>
      </c>
    </row>
    <row r="19" ht="13.5" customHeight="1" spans="1:15" x14ac:dyDescent="0.25">
      <c r="A19" s="366"/>
      <c r="B19" s="367"/>
      <c r="C19" s="346">
        <f>'PL WB'!C51+'PL OZON'!C51</f>
        <v>0</v>
      </c>
      <c r="D19" s="346">
        <f>'PL WB'!D51+'PL OZON'!D51</f>
        <v>0</v>
      </c>
      <c r="E19" s="346">
        <f>'PL WB'!E51+'PL OZON'!E51</f>
        <v>0</v>
      </c>
      <c r="F19" s="346">
        <f>'PL WB'!F51+'PL OZON'!F51</f>
        <v>0</v>
      </c>
      <c r="G19" s="346">
        <f>'PL WB'!G51+'PL OZON'!G51</f>
        <v>0</v>
      </c>
      <c r="H19" s="346">
        <f>'PL WB'!H51+'PL OZON'!H51</f>
        <v>0</v>
      </c>
      <c r="I19" s="346">
        <f>'PL WB'!I51+'PL OZON'!I51</f>
        <v>0</v>
      </c>
      <c r="J19" s="346">
        <f>'PL WB'!J51+'PL OZON'!J51</f>
        <v>0</v>
      </c>
      <c r="K19" s="346">
        <f>'PL WB'!K51+'PL OZON'!K51</f>
        <v>0</v>
      </c>
      <c r="L19" s="346">
        <f>'PL WB'!L51+'PL OZON'!L51</f>
        <v>0</v>
      </c>
      <c r="M19" s="346">
        <f>'PL WB'!M51+'PL OZON'!M51</f>
        <v>0</v>
      </c>
      <c r="N19" s="346">
        <f>'PL WB'!N51+'PL OZON'!N51</f>
        <v>0</v>
      </c>
      <c r="O19" s="429">
        <f t="shared" si="1"/>
        <v>0</v>
      </c>
    </row>
    <row r="20" ht="13.5" customHeight="1" spans="1:15" x14ac:dyDescent="0.25">
      <c r="A20" s="366"/>
      <c r="B20" s="367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429"/>
    </row>
    <row r="21" ht="13.5" customHeight="1" spans="1:15" x14ac:dyDescent="0.25">
      <c r="A21" s="352" t="s">
        <v>168</v>
      </c>
      <c r="B21" s="353"/>
      <c r="C21" s="435">
        <f>'PL WB'!C55+'PL OZON'!C55</f>
        <v>66536.68000000001</v>
      </c>
      <c r="D21" s="435">
        <f>'PL WB'!D55+'PL OZON'!D55</f>
        <v>58410.590000000004</v>
      </c>
      <c r="E21" s="435">
        <f>'PL WB'!E55+'PL OZON'!E55</f>
        <v>48492.920000000006</v>
      </c>
      <c r="F21" s="435">
        <f>'PL WB'!F55+'PL OZON'!F55</f>
        <v>21931.420000000002</v>
      </c>
      <c r="G21" s="435">
        <f>'PL WB'!G55+'PL OZON'!G55</f>
        <v>0</v>
      </c>
      <c r="H21" s="435">
        <f>'PL WB'!H55+'PL OZON'!H55</f>
        <v>0</v>
      </c>
      <c r="I21" s="435">
        <f>'PL WB'!I55+'PL OZON'!I55</f>
        <v>0</v>
      </c>
      <c r="J21" s="435">
        <f>'PL WB'!J55+'PL OZON'!J55</f>
        <v>0</v>
      </c>
      <c r="K21" s="435">
        <f>'PL WB'!K55+'PL OZON'!K55</f>
        <v>0</v>
      </c>
      <c r="L21" s="435">
        <f>'PL WB'!L55+'PL OZON'!L55</f>
        <v>0</v>
      </c>
      <c r="M21" s="435">
        <f>'PL WB'!M55+'PL OZON'!M55</f>
        <v>0</v>
      </c>
      <c r="N21" s="435">
        <f>'PL WB'!N55+'PL OZON'!N55</f>
        <v>0</v>
      </c>
      <c r="O21" s="429">
        <f t="shared" si="1"/>
        <v>195371.61000000004</v>
      </c>
    </row>
    <row r="22" ht="13.5" customHeight="1" spans="1:15" x14ac:dyDescent="0.25">
      <c r="A22" s="345"/>
      <c r="B22" s="350"/>
      <c r="C22" s="365"/>
      <c r="D22" s="365"/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429"/>
    </row>
    <row r="23" ht="13.5" customHeight="1" spans="1:15" x14ac:dyDescent="0.25">
      <c r="A23" s="358" t="s">
        <v>169</v>
      </c>
      <c r="B23" s="359"/>
      <c r="C23" s="365">
        <f>SUM('CF (нед)'!C23:G23)</f>
        <v>0</v>
      </c>
      <c r="D23" s="365">
        <f>SUM('CF (нед)'!H23:K23)</f>
        <v>0</v>
      </c>
      <c r="E23" s="365">
        <f>SUM('CF (нед)'!L23:O23)</f>
        <v>0</v>
      </c>
      <c r="F23" s="365">
        <f>SUM('CF (нед)'!P23:S23)</f>
        <v>0</v>
      </c>
      <c r="G23" s="365">
        <f>SUM('CF (нед)'!T23:X23)</f>
        <v>0</v>
      </c>
      <c r="H23" s="365">
        <f>SUM('CF (нед)'!Y23:AB23)</f>
        <v>0</v>
      </c>
      <c r="I23" s="365">
        <f>SUM('CF (нед)'!AC23:AF23)</f>
        <v>0</v>
      </c>
      <c r="J23" s="365">
        <f>SUM('CF (нед)'!AG23:AK23)</f>
        <v>0</v>
      </c>
      <c r="K23" s="365">
        <f>SUM('CF (нед)'!AL23:AO23)</f>
        <v>0</v>
      </c>
      <c r="L23" s="365">
        <f>SUM('CF (нед)'!AP23:AT23)</f>
        <v>0</v>
      </c>
      <c r="M23" s="365">
        <f>SUM('CF (нед)'!AU23:AX23)</f>
        <v>0</v>
      </c>
      <c r="N23" s="365">
        <f>SUM('CF (нед)'!AY23:BB23)</f>
        <v>0</v>
      </c>
      <c r="O23" s="429">
        <f>SUM(C23:N23)</f>
        <v>0</v>
      </c>
    </row>
    <row r="24" ht="13.5" customHeight="1" spans="1:15" x14ac:dyDescent="0.25">
      <c r="A24" s="358" t="s">
        <v>170</v>
      </c>
      <c r="B24" s="359"/>
      <c r="C24" s="365">
        <f>SUM('CF (нед)'!C24:G24)</f>
        <v>0</v>
      </c>
      <c r="D24" s="365">
        <f>SUM('CF (нед)'!H24:K24)</f>
        <v>0</v>
      </c>
      <c r="E24" s="365">
        <f>SUM('CF (нед)'!L24:O24)</f>
        <v>0</v>
      </c>
      <c r="F24" s="365">
        <f>SUM('CF (нед)'!P24:S24)</f>
        <v>0</v>
      </c>
      <c r="G24" s="365">
        <f>SUM('CF (нед)'!T24:X24)</f>
        <v>0</v>
      </c>
      <c r="H24" s="365">
        <f>SUM('CF (нед)'!Y24:AB24)</f>
        <v>0</v>
      </c>
      <c r="I24" s="365">
        <f>SUM('CF (нед)'!AC24:AF24)</f>
        <v>0</v>
      </c>
      <c r="J24" s="365">
        <f>SUM('CF (нед)'!AG24:AK24)</f>
        <v>0</v>
      </c>
      <c r="K24" s="365">
        <f>SUM('CF (нед)'!AL24:AO24)</f>
        <v>0</v>
      </c>
      <c r="L24" s="365">
        <f>SUM('CF (нед)'!AP24:AT24)</f>
        <v>0</v>
      </c>
      <c r="M24" s="365">
        <f>SUM('CF (нед)'!AU24:AX24)</f>
        <v>0</v>
      </c>
      <c r="N24" s="365">
        <f>SUM('CF (нед)'!AY24:BB24)</f>
        <v>0</v>
      </c>
      <c r="O24" s="429">
        <f t="shared" si="1"/>
        <v>0</v>
      </c>
    </row>
    <row r="25" ht="13.5" customHeight="1" spans="1:15" x14ac:dyDescent="0.25">
      <c r="A25" s="358" t="s">
        <v>171</v>
      </c>
      <c r="B25" s="359"/>
      <c r="C25" s="365">
        <f>SUM('CF (нед)'!C25:G25)</f>
        <v>0</v>
      </c>
      <c r="D25" s="365">
        <f>SUM('CF (нед)'!H25:K25)</f>
        <v>0</v>
      </c>
      <c r="E25" s="365">
        <f>SUM('CF (нед)'!L25:O25)</f>
        <v>0</v>
      </c>
      <c r="F25" s="365">
        <f>SUM('CF (нед)'!P25:S25)</f>
        <v>0</v>
      </c>
      <c r="G25" s="365">
        <f>SUM('CF (нед)'!T25:X25)</f>
        <v>0</v>
      </c>
      <c r="H25" s="365">
        <f>SUM('CF (нед)'!Y25:AB25)</f>
        <v>0</v>
      </c>
      <c r="I25" s="365">
        <f>SUM('CF (нед)'!AC25:AF25)</f>
        <v>0</v>
      </c>
      <c r="J25" s="365">
        <f>SUM('CF (нед)'!AG25:AK25)</f>
        <v>0</v>
      </c>
      <c r="K25" s="365">
        <f>SUM('CF (нед)'!AL25:AO25)</f>
        <v>0</v>
      </c>
      <c r="L25" s="365">
        <f>SUM('CF (нед)'!AP25:AT25)</f>
        <v>0</v>
      </c>
      <c r="M25" s="365">
        <f>SUM('CF (нед)'!AU25:AX25)</f>
        <v>0</v>
      </c>
      <c r="N25" s="365">
        <f>SUM('CF (нед)'!AY25:BB25)</f>
        <v>0</v>
      </c>
      <c r="O25" s="429">
        <f t="shared" si="1"/>
        <v>0</v>
      </c>
    </row>
    <row r="26" ht="13.5" customHeight="1" spans="1:15" x14ac:dyDescent="0.25">
      <c r="A26" s="358" t="s">
        <v>172</v>
      </c>
      <c r="B26" s="359"/>
      <c r="C26" s="365">
        <f>SUM('CF (нед)'!C26:G26)</f>
        <v>0</v>
      </c>
      <c r="D26" s="365">
        <f>SUM('CF (нед)'!H26:K26)</f>
        <v>0</v>
      </c>
      <c r="E26" s="365">
        <f>SUM('CF (нед)'!L26:O26)</f>
        <v>0</v>
      </c>
      <c r="F26" s="365">
        <f>SUM('CF (нед)'!P26:S26)</f>
        <v>0</v>
      </c>
      <c r="G26" s="365">
        <f>SUM('CF (нед)'!T26:X26)</f>
        <v>0</v>
      </c>
      <c r="H26" s="365">
        <f>SUM('CF (нед)'!Y26:AB26)</f>
        <v>0</v>
      </c>
      <c r="I26" s="365">
        <f>SUM('CF (нед)'!AC26:AF26)</f>
        <v>0</v>
      </c>
      <c r="J26" s="365">
        <f>SUM('CF (нед)'!AG26:AK26)</f>
        <v>0</v>
      </c>
      <c r="K26" s="365">
        <f>SUM('CF (нед)'!AM26:AO26)</f>
        <v>0</v>
      </c>
      <c r="L26" s="365">
        <f>SUM('CF (нед)'!AP26:AT26)</f>
        <v>0</v>
      </c>
      <c r="M26" s="365">
        <f>SUM('CF (нед)'!AU26:AX26)</f>
        <v>0</v>
      </c>
      <c r="N26" s="365">
        <f>SUM('CF (нед)'!AY26:BB26)</f>
        <v>0</v>
      </c>
      <c r="O26" s="429">
        <f>SUM(C26:N26)</f>
        <v>0</v>
      </c>
    </row>
    <row r="27" ht="13.5" customHeight="1" spans="1:15" x14ac:dyDescent="0.25">
      <c r="A27" s="358" t="s">
        <v>173</v>
      </c>
      <c r="B27" s="359"/>
      <c r="C27" s="365">
        <f>SUM('CF (нед)'!C27:G27)</f>
        <v>0</v>
      </c>
      <c r="D27" s="365">
        <f>SUM('CF (нед)'!H27:K27)</f>
        <v>0</v>
      </c>
      <c r="E27" s="365">
        <f>SUM('CF (нед)'!L27:O27)</f>
        <v>0</v>
      </c>
      <c r="F27" s="365">
        <f>SUM('CF (нед)'!P27:S27)</f>
        <v>0</v>
      </c>
      <c r="G27" s="365">
        <f>SUM('CF (нед)'!T27:X27)</f>
        <v>0</v>
      </c>
      <c r="H27" s="365">
        <f>SUM('CF (нед)'!Y27:AB27)</f>
        <v>0</v>
      </c>
      <c r="I27" s="365">
        <f>SUM('CF (нед)'!AC27:AF27)</f>
        <v>0</v>
      </c>
      <c r="J27" s="365">
        <f>SUM('CF (нед)'!AG27:AK27)</f>
        <v>0</v>
      </c>
      <c r="K27" s="365">
        <f>SUM('CF (нед)'!AL27:AO27)</f>
        <v>0</v>
      </c>
      <c r="L27" s="365">
        <f>SUM('CF (нед)'!AP27:AT27)</f>
        <v>0</v>
      </c>
      <c r="M27" s="365">
        <f>SUM('CF (нед)'!AU27:AX27)</f>
        <v>0</v>
      </c>
      <c r="N27" s="365">
        <f>SUM('CF (нед)'!AY27:BB27)</f>
        <v>0</v>
      </c>
      <c r="O27" s="429">
        <f t="shared" si="1"/>
        <v>0</v>
      </c>
    </row>
    <row r="28" ht="13.5" customHeight="1" spans="1:15" x14ac:dyDescent="0.25">
      <c r="A28" s="358"/>
      <c r="B28" s="359"/>
      <c r="C28" s="365"/>
      <c r="D28" s="365"/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429"/>
    </row>
    <row r="29" ht="13.5" customHeight="1" spans="1:15" x14ac:dyDescent="0.25">
      <c r="A29" s="358" t="s">
        <v>174</v>
      </c>
      <c r="B29" s="359"/>
      <c r="C29" s="365">
        <f>SUM('CF (нед)'!C29:G29)</f>
        <v>0</v>
      </c>
      <c r="D29" s="365">
        <f>SUM('CF (нед)'!H29:K29)</f>
        <v>0</v>
      </c>
      <c r="E29" s="365">
        <f>SUM('CF (нед)'!L29:O29)</f>
        <v>0</v>
      </c>
      <c r="F29" s="365">
        <f>SUM('CF (нед)'!P29:S29)</f>
        <v>0</v>
      </c>
      <c r="G29" s="365">
        <f>SUM('CF (нед)'!T29:X29)</f>
        <v>0</v>
      </c>
      <c r="H29" s="365">
        <f>SUM('CF (нед)'!Y29:AB29)</f>
        <v>0</v>
      </c>
      <c r="I29" s="365">
        <f>SUM('CF (нед)'!AC29:AF29)</f>
        <v>0</v>
      </c>
      <c r="J29" s="365">
        <f>SUM('CF (нед)'!AG29:AK29)</f>
        <v>0</v>
      </c>
      <c r="K29" s="365">
        <f>SUM('CF (нед)'!AL29:AO29)</f>
        <v>0</v>
      </c>
      <c r="L29" s="365">
        <f>SUM('CF (нед)'!AP29:AT29)</f>
        <v>0</v>
      </c>
      <c r="M29" s="365">
        <f>SUM('CF (нед)'!AU29:AX29)</f>
        <v>0</v>
      </c>
      <c r="N29" s="365">
        <f>SUM('CF (нед)'!AY29:BB29)</f>
        <v>0</v>
      </c>
      <c r="O29" s="429">
        <f t="shared" si="1"/>
        <v>0</v>
      </c>
    </row>
    <row r="30" ht="13.5" customHeight="1" spans="1:15" x14ac:dyDescent="0.25">
      <c r="A30" s="63"/>
      <c r="B30" s="385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29"/>
    </row>
    <row r="31" ht="13.5" customHeight="1" spans="1:15" x14ac:dyDescent="0.25">
      <c r="A31" s="389" t="s">
        <v>175</v>
      </c>
      <c r="B31" s="390"/>
      <c r="C31" s="436">
        <f>SUM('CF (нед)'!C31:G31)</f>
        <v>0</v>
      </c>
      <c r="D31" s="436">
        <f>SUM('CF (нед)'!H31:K31)</f>
        <v>0</v>
      </c>
      <c r="E31" s="436">
        <f>SUM('CF (нед)'!L31:O31)</f>
        <v>0</v>
      </c>
      <c r="F31" s="436">
        <f>SUM('CF (нед)'!P31:S31)</f>
        <v>0</v>
      </c>
      <c r="G31" s="436">
        <f>SUM('CF (нед)'!T31:X31)</f>
        <v>0</v>
      </c>
      <c r="H31" s="436">
        <f>SUM('CF (нед)'!Y31:AB31)</f>
        <v>0</v>
      </c>
      <c r="I31" s="436">
        <f>SUM('CF (нед)'!AC31:AF31)</f>
        <v>0</v>
      </c>
      <c r="J31" s="436">
        <f>SUM('CF (нед)'!AG31:AK31)</f>
        <v>0</v>
      </c>
      <c r="K31" s="436">
        <f>SUM('CF (нед)'!AL31:AO31)</f>
        <v>0</v>
      </c>
      <c r="L31" s="436">
        <f>SUM('CF (нед)'!AP31:AT31)</f>
        <v>0</v>
      </c>
      <c r="M31" s="436">
        <f>SUM('CF (нед)'!AU31:AX31)</f>
        <v>0</v>
      </c>
      <c r="N31" s="436">
        <f>SUM('CF (нед)'!AY31:BB31)</f>
        <v>0</v>
      </c>
      <c r="O31" s="429">
        <f t="shared" si="1"/>
        <v>0</v>
      </c>
    </row>
    <row r="33" ht="13.5" customHeight="1" spans="1:15" x14ac:dyDescent="0.25">
      <c r="A33" s="394" t="s">
        <v>100</v>
      </c>
      <c r="B33" s="395"/>
      <c r="C33" s="396">
        <f>C11-C13-C21-SUM(C23:C27)+C29-C31</f>
        <v>2426951.8857</v>
      </c>
      <c r="D33" s="396">
        <f t="shared" ref="D33:N33" si="4">D11-D13-D21-SUM(D23:D27)+D29-D31</f>
        <v>2920729.7957</v>
      </c>
      <c r="E33" s="396">
        <f t="shared" si="4"/>
        <v>3317903.6557000005</v>
      </c>
      <c r="F33" s="396">
        <f t="shared" si="4"/>
        <v>3497581.5157000003</v>
      </c>
      <c r="G33" s="396">
        <f>G11-G13-G21-SUM(G23:G27)+G29-G31</f>
        <v>3497581.5157000003</v>
      </c>
      <c r="H33" s="396">
        <f t="shared" si="4"/>
        <v>3497581.5157000003</v>
      </c>
      <c r="I33" s="396">
        <f t="shared" si="4"/>
        <v>3497581.5157000003</v>
      </c>
      <c r="J33" s="396">
        <f t="shared" si="4"/>
        <v>3497581.5157000003</v>
      </c>
      <c r="K33" s="396">
        <f t="shared" si="4"/>
        <v>3497581.5157000003</v>
      </c>
      <c r="L33" s="396">
        <f t="shared" si="4"/>
        <v>3497581.5157000003</v>
      </c>
      <c r="M33" s="396">
        <f t="shared" si="4"/>
        <v>3497581.5157000003</v>
      </c>
      <c r="N33" s="396">
        <f t="shared" si="4"/>
        <v>3497581.5157000003</v>
      </c>
      <c r="O33" s="429"/>
    </row>
    <row r="34" ht="13.5" customHeight="1" spans="1:15" x14ac:dyDescent="0.25">
      <c r="A34" s="358"/>
      <c r="B34" s="398"/>
      <c r="C34" s="400"/>
      <c r="D34" s="400"/>
      <c r="E34" s="400"/>
      <c r="F34" s="400"/>
      <c r="G34" s="400"/>
      <c r="H34" s="400"/>
      <c r="I34" s="400"/>
      <c r="J34" s="400"/>
      <c r="K34" s="400"/>
      <c r="L34" s="400"/>
      <c r="M34" s="400"/>
      <c r="N34" s="400"/>
      <c r="O34" s="429"/>
    </row>
    <row r="35" ht="13.5" customHeight="1" spans="1:15" x14ac:dyDescent="0.25">
      <c r="A35" s="358"/>
      <c r="B35" s="398" t="s">
        <v>176</v>
      </c>
      <c r="C35" s="405">
        <f>283707+SUM(C23:C27)-C4</f>
        <v>91308.23000000001</v>
      </c>
      <c r="D35" s="405">
        <f t="shared" ref="D35:N35" si="5">C35+SUM(D23:D27)-D4</f>
        <v>91308.23000000001</v>
      </c>
      <c r="E35" s="405">
        <f t="shared" si="5"/>
        <v>91308.23000000001</v>
      </c>
      <c r="F35" s="405">
        <f t="shared" si="5"/>
        <v>91308.23000000001</v>
      </c>
      <c r="G35" s="405">
        <f t="shared" si="5"/>
        <v>91308.23000000001</v>
      </c>
      <c r="H35" s="405">
        <f t="shared" si="5"/>
        <v>91308.23000000001</v>
      </c>
      <c r="I35" s="405">
        <f t="shared" si="5"/>
        <v>91308.23000000001</v>
      </c>
      <c r="J35" s="405">
        <f t="shared" si="5"/>
        <v>91308.23000000001</v>
      </c>
      <c r="K35" s="405">
        <f t="shared" si="5"/>
        <v>91308.23000000001</v>
      </c>
      <c r="L35" s="405">
        <f t="shared" si="5"/>
        <v>91308.23000000001</v>
      </c>
      <c r="M35" s="405">
        <f t="shared" si="5"/>
        <v>91308.23000000001</v>
      </c>
      <c r="N35" s="405">
        <f t="shared" si="5"/>
        <v>91308.23000000001</v>
      </c>
      <c r="O35" s="429"/>
    </row>
    <row r="36" ht="13.5" customHeight="1" spans="1:15" x14ac:dyDescent="0.25">
      <c r="A36" s="358"/>
      <c r="B36" s="398" t="s">
        <v>177</v>
      </c>
      <c r="C36" s="405">
        <f t="shared" ref="C36:N36" si="6">C5+C35+C42</f>
        <v>4041165.7457</v>
      </c>
      <c r="D36" s="405">
        <f t="shared" si="6"/>
        <v>4313456.9357</v>
      </c>
      <c r="E36" s="405">
        <f t="shared" si="6"/>
        <v>4518281.3957</v>
      </c>
      <c r="F36" s="405">
        <f t="shared" si="6"/>
        <v>4616968.3557</v>
      </c>
      <c r="G36" s="405">
        <f t="shared" si="6"/>
        <v>4616968.3557</v>
      </c>
      <c r="H36" s="405">
        <f t="shared" si="6"/>
        <v>4616968.3557</v>
      </c>
      <c r="I36" s="405">
        <f t="shared" si="6"/>
        <v>4616968.3557</v>
      </c>
      <c r="J36" s="405">
        <f t="shared" si="6"/>
        <v>4616968.3557</v>
      </c>
      <c r="K36" s="405">
        <f t="shared" si="6"/>
        <v>4616968.3557</v>
      </c>
      <c r="L36" s="405">
        <f t="shared" si="6"/>
        <v>4616968.3557</v>
      </c>
      <c r="M36" s="405">
        <f t="shared" si="6"/>
        <v>4616968.3557</v>
      </c>
      <c r="N36" s="405">
        <f t="shared" si="6"/>
        <v>4616968.3557</v>
      </c>
      <c r="O36" s="429"/>
    </row>
    <row r="37" ht="13.5" customHeight="1" spans="1:15" x14ac:dyDescent="0.25">
      <c r="A37" s="358"/>
      <c r="B37" s="417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29"/>
    </row>
    <row r="38" ht="13.5" customHeight="1" spans="1:15" x14ac:dyDescent="0.25">
      <c r="A38" s="358" t="s">
        <v>183</v>
      </c>
      <c r="B38" s="398"/>
      <c r="C38" s="405">
        <f>SUM('CF (нед)'!C38:G38)</f>
        <v>0</v>
      </c>
      <c r="D38" s="405">
        <f>SUM('CF (нед)'!H38:K38)</f>
        <v>0</v>
      </c>
      <c r="E38" s="405">
        <f>SUM('CF (нед)'!L38:O38)</f>
        <v>0</v>
      </c>
      <c r="F38" s="405">
        <f>SUM('CF (нед)'!P38:S38)</f>
        <v>0</v>
      </c>
      <c r="G38" s="405">
        <f>SUM('CF (нед)'!T38:X38)</f>
        <v>0</v>
      </c>
      <c r="H38" s="405">
        <f>SUM('CF (нед)'!Y38:AB38)</f>
        <v>0</v>
      </c>
      <c r="I38" s="405">
        <f>SUM('CF (нед)'!AC38:AF38)</f>
        <v>0</v>
      </c>
      <c r="J38" s="405">
        <f>SUM('CF (нед)'!AG38:AK38)</f>
        <v>0</v>
      </c>
      <c r="K38" s="405">
        <f>SUM('CF (нед)'!AL38:AO38)</f>
        <v>0</v>
      </c>
      <c r="L38" s="405">
        <f>SUM('CF (нед)'!AP38:AT38)</f>
        <v>0</v>
      </c>
      <c r="M38" s="405">
        <f>SUM('CF (нед)'!AU38:AX38)</f>
        <v>0</v>
      </c>
      <c r="N38" s="405">
        <f>SUM('CF (нед)'!AY38:BB38)</f>
        <v>0</v>
      </c>
      <c r="O38" s="429">
        <f t="shared" si="1"/>
        <v>0</v>
      </c>
    </row>
    <row r="39" ht="32.25" customHeight="1" spans="1:15" x14ac:dyDescent="0.25">
      <c r="A39" s="358" t="s">
        <v>178</v>
      </c>
      <c r="B39" s="410" t="s">
        <v>179</v>
      </c>
      <c r="C39" s="346">
        <f>SUM('CF (нед)'!C39:G39)</f>
        <v>0</v>
      </c>
      <c r="D39" s="346">
        <f>SUM('CF (нед)'!H39:K39)</f>
        <v>0</v>
      </c>
      <c r="E39" s="346">
        <f>SUM('CF (нед)'!L39:O39)</f>
        <v>0</v>
      </c>
      <c r="F39" s="346">
        <f>SUM('CF (нед)'!P39:S39)</f>
        <v>0</v>
      </c>
      <c r="G39" s="346">
        <f>SUM('CF (нед)'!T39:X39)</f>
        <v>0</v>
      </c>
      <c r="H39" s="346">
        <f>SUM('CF (нед)'!Y39:AB39)</f>
        <v>0</v>
      </c>
      <c r="I39" s="346">
        <f>SUM('CF (нед)'!AC39:AF39)</f>
        <v>0</v>
      </c>
      <c r="J39" s="346">
        <f>SUM('CF (нед)'!AG39:AK39)</f>
        <v>0</v>
      </c>
      <c r="K39" s="346">
        <f>SUM('CF (нед)'!AL39:AO39)</f>
        <v>0</v>
      </c>
      <c r="L39" s="346">
        <f>SUM('CF (нед)'!AP39:AT39)</f>
        <v>0</v>
      </c>
      <c r="M39" s="346">
        <f>SUM('CF (нед)'!AU39:AX39)</f>
        <v>0</v>
      </c>
      <c r="N39" s="346">
        <f>SUM('CF (нед)'!AY39:BB39)</f>
        <v>0</v>
      </c>
      <c r="O39" s="429">
        <f t="shared" si="1"/>
        <v>0</v>
      </c>
    </row>
    <row r="40" ht="32.25" customHeight="1" spans="1:15" x14ac:dyDescent="0.25">
      <c r="A40" s="358" t="s">
        <v>180</v>
      </c>
      <c r="B40" s="333"/>
      <c r="C40" s="346">
        <f>SUM('CF (нед)'!C40:G40)</f>
        <v>0</v>
      </c>
      <c r="D40" s="346">
        <f>SUM('CF (нед)'!H40:K40)</f>
        <v>0</v>
      </c>
      <c r="E40" s="346">
        <f>SUM('CF (нед)'!L40:O40)</f>
        <v>0</v>
      </c>
      <c r="F40" s="346">
        <f>SUM('CF (нед)'!P40:S40)</f>
        <v>0</v>
      </c>
      <c r="G40" s="346">
        <f>SUM('CF (нед)'!T40:X40)</f>
        <v>0</v>
      </c>
      <c r="H40" s="346">
        <f>SUM('CF (нед)'!Y40:AB40)</f>
        <v>0</v>
      </c>
      <c r="I40" s="346">
        <f>SUM('CF (нед)'!AC40:AF40)</f>
        <v>0</v>
      </c>
      <c r="J40" s="346">
        <f>SUM('CF (нед)'!AG40:AK40)</f>
        <v>0</v>
      </c>
      <c r="K40" s="346">
        <f>SUM('CF (нед)'!AL40:AO40)</f>
        <v>0</v>
      </c>
      <c r="L40" s="346">
        <f>SUM('CF (нед)'!AP40:AT40)</f>
        <v>0</v>
      </c>
      <c r="M40" s="346">
        <f>SUM('CF (нед)'!AU40:AX40)</f>
        <v>0</v>
      </c>
      <c r="N40" s="346">
        <f>SUM('CF (нед)'!AY40:BB40)</f>
        <v>0</v>
      </c>
      <c r="O40" s="429">
        <f t="shared" si="1"/>
        <v>0</v>
      </c>
    </row>
    <row r="41" ht="13.5" customHeight="1" spans="1:15" x14ac:dyDescent="0.25">
      <c r="A41" s="412"/>
      <c r="B41" s="398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429"/>
    </row>
    <row r="42" ht="13.5" customHeight="1" spans="1:15" x14ac:dyDescent="0.25">
      <c r="A42" s="394" t="s">
        <v>100</v>
      </c>
      <c r="B42" s="416"/>
      <c r="C42" s="396">
        <f>C33-C38</f>
        <v>2426951.8857</v>
      </c>
      <c r="D42" s="396">
        <f>D33-D38</f>
        <v>2920729.7957</v>
      </c>
      <c r="E42" s="396">
        <f t="shared" ref="E42:N42" si="7">E33-E38</f>
        <v>3317903.6557000005</v>
      </c>
      <c r="F42" s="396">
        <f>F33-F38</f>
        <v>3497581.5157000003</v>
      </c>
      <c r="G42" s="396">
        <f>G33-G38</f>
        <v>3497581.5157000003</v>
      </c>
      <c r="H42" s="396">
        <f t="shared" si="7"/>
        <v>3497581.5157000003</v>
      </c>
      <c r="I42" s="396">
        <f t="shared" si="7"/>
        <v>3497581.5157000003</v>
      </c>
      <c r="J42" s="396">
        <f t="shared" si="7"/>
        <v>3497581.5157000003</v>
      </c>
      <c r="K42" s="396">
        <f t="shared" si="7"/>
        <v>3497581.5157000003</v>
      </c>
      <c r="L42" s="396">
        <f t="shared" si="7"/>
        <v>3497581.5157000003</v>
      </c>
      <c r="M42" s="396">
        <f t="shared" si="7"/>
        <v>3497581.5157000003</v>
      </c>
      <c r="N42" s="396">
        <f t="shared" si="7"/>
        <v>3497581.5157000003</v>
      </c>
      <c r="O42" s="429"/>
    </row>
    <row r="43" ht="13.5" customHeight="1" spans="1:15" x14ac:dyDescent="0.25">
      <c r="A43" s="358"/>
      <c r="B43" s="417" t="s">
        <v>101</v>
      </c>
      <c r="C43" s="405">
        <f>'PL WB'!C64+'PL OZON'!C64</f>
        <v>3564465.0233999994</v>
      </c>
      <c r="D43" s="405">
        <f>'PL WB'!D64+'PL OZON'!D64</f>
        <v>3852586.2134</v>
      </c>
      <c r="E43" s="405">
        <f>'PL WB'!E64+'PL OZON'!E64</f>
        <v>4063844.6733999997</v>
      </c>
      <c r="F43" s="405">
        <f>'PL WB'!F64+'PL OZON'!F64</f>
        <v>4163281.6333999997</v>
      </c>
      <c r="G43" s="405">
        <f>'PL WB'!G64+'PL OZON'!G64</f>
        <v>4163281.6333999997</v>
      </c>
      <c r="H43" s="405">
        <f>'PL WB'!H64+'PL OZON'!H64</f>
        <v>4163281.6333999997</v>
      </c>
      <c r="I43" s="405">
        <f>'PL WB'!I64+'PL OZON'!I64</f>
        <v>4163281.6333999997</v>
      </c>
      <c r="J43" s="405">
        <f>'PL WB'!J64+'PL OZON'!J64</f>
        <v>4163281.6333999997</v>
      </c>
      <c r="K43" s="405">
        <f>'PL WB'!K64+'PL OZON'!K64</f>
        <v>4163281.6333999997</v>
      </c>
      <c r="L43" s="405">
        <f>'PL WB'!L64+'PL OZON'!L64</f>
        <v>4163281.6333999997</v>
      </c>
      <c r="M43" s="405">
        <f>'PL WB'!M64+'PL OZON'!M64</f>
        <v>4163281.6333999997</v>
      </c>
      <c r="N43" s="405">
        <f>'PL WB'!N64+'PL OZON'!N64</f>
        <v>4163281.6333999997</v>
      </c>
      <c r="O43" s="429"/>
    </row>
    <row r="44" ht="13.5" customHeight="1" spans="1:15" x14ac:dyDescent="0.25">
      <c r="A44" s="412"/>
      <c r="B44" s="39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429"/>
    </row>
    <row r="45" ht="13.5" customHeight="1" spans="1:15" x14ac:dyDescent="0.25">
      <c r="A45" s="437" t="s">
        <v>184</v>
      </c>
      <c r="B45" s="438"/>
      <c r="C45" s="439">
        <f>C42-SUM(D23:D27)</f>
        <v>2426951.8857</v>
      </c>
      <c r="D45" s="439">
        <f t="shared" ref="D45:N45" si="8">D42-SUM(E23:E27)</f>
        <v>2920729.7957</v>
      </c>
      <c r="E45" s="439">
        <f t="shared" si="8"/>
        <v>3317903.6557000005</v>
      </c>
      <c r="F45" s="439">
        <f t="shared" si="8"/>
        <v>3497581.5157000003</v>
      </c>
      <c r="G45" s="439">
        <f>G42-SUM(H23:H27)</f>
        <v>3497581.5157000003</v>
      </c>
      <c r="H45" s="439">
        <f>H42-SUM(I23:I27)</f>
        <v>3497581.5157000003</v>
      </c>
      <c r="I45" s="439">
        <f t="shared" si="8"/>
        <v>3497581.5157000003</v>
      </c>
      <c r="J45" s="439">
        <f t="shared" si="8"/>
        <v>3497581.5157000003</v>
      </c>
      <c r="K45" s="439">
        <f t="shared" si="8"/>
        <v>3497581.5157000003</v>
      </c>
      <c r="L45" s="439">
        <f t="shared" si="8"/>
        <v>3497581.5157000003</v>
      </c>
      <c r="M45" s="439">
        <f t="shared" si="8"/>
        <v>3497581.5157000003</v>
      </c>
      <c r="N45" s="439">
        <f t="shared" si="8"/>
        <v>3497581.5157000003</v>
      </c>
      <c r="O45" s="429"/>
    </row>
  </sheetData>
  <mergeCells count="2">
    <mergeCell ref="C2:N2"/>
    <mergeCell ref="B39:B40"/>
  </mergeCells>
  <conditionalFormatting sqref="A5 C5:N5">
    <cfRule type="cellIs" dxfId="35" priority="2" operator="between">
      <formula>0</formula>
      <formula>1000000</formula>
    </cfRule>
  </conditionalFormatting>
  <conditionalFormatting sqref="A4:N4">
    <cfRule type="cellIs" dxfId="36" priority="1" operator="greaterThan">
      <formula>0</formula>
    </cfRule>
  </conditionalFormatting>
  <conditionalFormatting sqref="A31:N33 A42 C42:N42">
    <cfRule type="cellIs" dxfId="37" priority="3" operator="lessThan">
      <formula>0</formula>
    </cfRule>
  </conditionalFormatting>
  <conditionalFormatting sqref="C23:N29">
    <cfRule type="cellIs" dxfId="38" priority="4" operator="greaterThan">
      <formula>0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00"/>
  </sheetPr>
  <dimension ref="A1:BC45"/>
  <sheetViews>
    <sheetView workbookViewId="0" zoomScale="100" zoomScaleNormal="100">
      <pane xSplit="2" ySplit="5" topLeftCell="C6" activePane="bottomRight" state="frozen"/>
      <selection pane="bottomRight" activeCell="C23" sqref="C23"/>
    </sheetView>
  </sheetViews>
  <sheetFormatPr defaultRowHeight="15" outlineLevelRow="0" outlineLevelCol="0" x14ac:dyDescent="0.25" defaultColWidth="14.42578125"/>
  <cols>
    <col min="1" max="1" width="21.42578125" customWidth="1"/>
    <col min="2" max="2" width="27.140625" customWidth="1"/>
    <col min="3" max="3" width="12.140625" customWidth="1"/>
    <col min="4" max="20" width="10.85546875" customWidth="1"/>
    <col min="21" max="21" width="12.140625" customWidth="1"/>
    <col min="22" max="55" width="10.85546875" customWidth="1"/>
  </cols>
  <sheetData>
    <row r="1" ht="33.75" customHeight="1" spans="1:55" s="1" customFormat="1" x14ac:dyDescent="0.25">
      <c r="A1" s="325" t="s">
        <v>160</v>
      </c>
      <c r="B1" s="326"/>
      <c r="C1" s="327">
        <f>'PL WB (нед)'!C1</f>
        <v>1</v>
      </c>
      <c r="D1" s="327">
        <f>'PL WB (нед)'!D1</f>
        <v>2</v>
      </c>
      <c r="E1" s="327">
        <f>'PL WB (нед)'!E1</f>
        <v>3</v>
      </c>
      <c r="F1" s="327">
        <f>'PL WB (нед)'!F1</f>
        <v>4</v>
      </c>
      <c r="G1" s="327">
        <f>'PL WB (нед)'!G1</f>
        <v>5</v>
      </c>
      <c r="H1" s="327">
        <f>'PL WB (нед)'!H1</f>
        <v>6</v>
      </c>
      <c r="I1" s="327">
        <f>'PL WB (нед)'!I1</f>
        <v>7</v>
      </c>
      <c r="J1" s="327">
        <f>'PL WB (нед)'!J1</f>
        <v>8</v>
      </c>
      <c r="K1" s="327">
        <f>'PL WB (нед)'!K1</f>
        <v>9</v>
      </c>
      <c r="L1" s="327">
        <f>'PL WB (нед)'!L1</f>
        <v>10</v>
      </c>
      <c r="M1" s="327">
        <f>'PL WB (нед)'!M1</f>
        <v>11</v>
      </c>
      <c r="N1" s="327">
        <f>'PL WB (нед)'!N1</f>
        <v>12</v>
      </c>
      <c r="O1" s="327">
        <f>'PL WB (нед)'!O1</f>
        <v>13</v>
      </c>
      <c r="P1" s="327">
        <f>'PL WB (нед)'!P1</f>
        <v>14</v>
      </c>
      <c r="Q1" s="327">
        <f>'PL WB (нед)'!Q1</f>
        <v>15</v>
      </c>
      <c r="R1" s="327">
        <f>'PL WB (нед)'!R1</f>
        <v>16</v>
      </c>
      <c r="S1" s="327">
        <f>'PL WB (нед)'!S1</f>
        <v>17</v>
      </c>
      <c r="T1" s="327">
        <f>'PL WB (нед)'!T1</f>
        <v>18</v>
      </c>
      <c r="U1" s="327">
        <f>'PL WB (нед)'!U1</f>
        <v>19</v>
      </c>
      <c r="V1" s="327">
        <f>'PL WB (нед)'!V1</f>
        <v>20</v>
      </c>
      <c r="W1" s="327">
        <f>'PL WB (нед)'!W1</f>
        <v>21</v>
      </c>
      <c r="X1" s="327">
        <f>'PL WB (нед)'!X1</f>
        <v>22</v>
      </c>
      <c r="Y1" s="327">
        <f>'PL WB (нед)'!Y1</f>
        <v>23</v>
      </c>
      <c r="Z1" s="327">
        <f>'PL WB (нед)'!Z1</f>
        <v>24</v>
      </c>
      <c r="AA1" s="327">
        <f>'PL WB (нед)'!AA1</f>
        <v>25</v>
      </c>
      <c r="AB1" s="327">
        <f>'PL WB (нед)'!AB1</f>
        <v>26</v>
      </c>
      <c r="AC1" s="327">
        <f>'PL WB (нед)'!AC1</f>
        <v>27</v>
      </c>
      <c r="AD1" s="327">
        <f>'PL WB (нед)'!AD1</f>
        <v>28</v>
      </c>
      <c r="AE1" s="327">
        <f>'PL WB (нед)'!AE1</f>
        <v>29</v>
      </c>
      <c r="AF1" s="327">
        <f>'PL WB (нед)'!AF1</f>
        <v>30</v>
      </c>
      <c r="AG1" s="327">
        <f>'PL WB (нед)'!AG1</f>
        <v>31</v>
      </c>
      <c r="AH1" s="327">
        <f>'PL WB (нед)'!AH1</f>
        <v>32</v>
      </c>
      <c r="AI1" s="327">
        <f>'PL WB (нед)'!AI1</f>
        <v>33</v>
      </c>
      <c r="AJ1" s="327">
        <f>'PL WB (нед)'!AJ1</f>
        <v>34</v>
      </c>
      <c r="AK1" s="327">
        <f>'PL WB (нед)'!AK1</f>
        <v>35</v>
      </c>
      <c r="AL1" s="327">
        <f>'PL WB (нед)'!AL1</f>
        <v>36</v>
      </c>
      <c r="AM1" s="327">
        <f>'PL WB (нед)'!AM1</f>
        <v>37</v>
      </c>
      <c r="AN1" s="327">
        <f>'PL WB (нед)'!AN1</f>
        <v>38</v>
      </c>
      <c r="AO1" s="327">
        <f>'PL WB (нед)'!AO1</f>
        <v>39</v>
      </c>
      <c r="AP1" s="327">
        <f>'PL WB (нед)'!AP1</f>
        <v>40</v>
      </c>
      <c r="AQ1" s="327">
        <f>'PL WB (нед)'!AQ1</f>
        <v>41</v>
      </c>
      <c r="AR1" s="327">
        <f>'PL WB (нед)'!AR1</f>
        <v>42</v>
      </c>
      <c r="AS1" s="327">
        <f>'PL WB (нед)'!AS1</f>
        <v>43</v>
      </c>
      <c r="AT1" s="327">
        <f>'PL WB (нед)'!AT1</f>
        <v>44</v>
      </c>
      <c r="AU1" s="327">
        <f>'PL WB (нед)'!AU1</f>
        <v>45</v>
      </c>
      <c r="AV1" s="327">
        <f>'PL WB (нед)'!AV1</f>
        <v>46</v>
      </c>
      <c r="AW1" s="327">
        <f>'PL WB (нед)'!AW1</f>
        <v>47</v>
      </c>
      <c r="AX1" s="327">
        <f>'PL WB (нед)'!AX1</f>
        <v>48</v>
      </c>
      <c r="AY1" s="327">
        <f>'PL WB (нед)'!AY1</f>
        <v>49</v>
      </c>
      <c r="AZ1" s="327">
        <f>'PL WB (нед)'!AZ1</f>
        <v>50</v>
      </c>
      <c r="BA1" s="327">
        <f>'PL WB (нед)'!BA1</f>
        <v>51</v>
      </c>
      <c r="BB1" s="327">
        <f>'PL WB (нед)'!BB1</f>
        <v>52</v>
      </c>
      <c r="BC1" s="328" t="str">
        <f>'PL WB (нед)'!BC1</f>
        <v>Остаток года</v>
      </c>
    </row>
    <row r="2" ht="13.5" customHeight="1" spans="1:55" x14ac:dyDescent="0.25">
      <c r="A2" s="329" t="s">
        <v>161</v>
      </c>
      <c r="B2" s="330"/>
      <c r="C2" s="331" t="s">
        <v>51</v>
      </c>
      <c r="D2" s="332"/>
      <c r="E2" s="332"/>
      <c r="F2" s="332"/>
      <c r="G2" s="333"/>
      <c r="H2" s="331" t="s">
        <v>52</v>
      </c>
      <c r="I2" s="332"/>
      <c r="J2" s="332"/>
      <c r="K2" s="333"/>
      <c r="L2" s="331" t="s">
        <v>53</v>
      </c>
      <c r="M2" s="332"/>
      <c r="N2" s="332"/>
      <c r="O2" s="333"/>
      <c r="P2" s="334" t="s">
        <v>54</v>
      </c>
      <c r="Q2" s="335"/>
      <c r="R2" s="335"/>
      <c r="S2" s="336"/>
      <c r="T2" s="334" t="s">
        <v>39</v>
      </c>
      <c r="U2" s="335"/>
      <c r="V2" s="335"/>
      <c r="W2" s="335"/>
      <c r="X2" s="336"/>
      <c r="Y2" s="331" t="s">
        <v>55</v>
      </c>
      <c r="Z2" s="332"/>
      <c r="AA2" s="332"/>
      <c r="AB2" s="333"/>
      <c r="AC2" s="337" t="s">
        <v>56</v>
      </c>
      <c r="AD2" s="332"/>
      <c r="AE2" s="332"/>
      <c r="AF2" s="336"/>
      <c r="AG2" s="338" t="s">
        <v>57</v>
      </c>
      <c r="AH2" s="335"/>
      <c r="AI2" s="335"/>
      <c r="AJ2" s="335"/>
      <c r="AK2" s="336"/>
      <c r="AL2" s="339" t="s">
        <v>58</v>
      </c>
      <c r="AM2" s="335"/>
      <c r="AN2" s="335"/>
      <c r="AO2" s="336"/>
      <c r="AP2" s="338" t="s">
        <v>59</v>
      </c>
      <c r="AQ2" s="335"/>
      <c r="AR2" s="335"/>
      <c r="AS2" s="335"/>
      <c r="AT2" s="336"/>
      <c r="AU2" s="338" t="s">
        <v>60</v>
      </c>
      <c r="AV2" s="335"/>
      <c r="AW2" s="335"/>
      <c r="AX2" s="336"/>
      <c r="AY2" s="340" t="s">
        <v>61</v>
      </c>
      <c r="AZ2" s="335"/>
      <c r="BA2" s="335"/>
      <c r="BB2" s="335"/>
      <c r="BC2" s="335"/>
    </row>
    <row r="3" ht="13.5" customHeight="1" spans="1:55" x14ac:dyDescent="0.25">
      <c r="A3" s="341"/>
      <c r="B3" s="342"/>
      <c r="C3" s="343">
        <f>'PL WB (нед)'!C3</f>
        <v>NaN</v>
      </c>
      <c r="D3" s="343">
        <f>'PL WB (нед)'!D3</f>
        <v>NaN</v>
      </c>
      <c r="E3" s="343">
        <f>'PL WB (нед)'!E3</f>
        <v>NaN</v>
      </c>
      <c r="F3" s="343">
        <f>'PL WB (нед)'!F3</f>
        <v>NaN</v>
      </c>
      <c r="G3" s="343">
        <f>'PL WB (нед)'!G3</f>
        <v>NaN</v>
      </c>
      <c r="H3" s="343">
        <f>'PL WB (нед)'!H3</f>
        <v>NaN</v>
      </c>
      <c r="I3" s="343">
        <f>'PL WB (нед)'!I3</f>
        <v>NaN</v>
      </c>
      <c r="J3" s="343">
        <f>'PL WB (нед)'!J3</f>
        <v>NaN</v>
      </c>
      <c r="K3" s="343">
        <f>'PL WB (нед)'!K3</f>
        <v>NaN</v>
      </c>
      <c r="L3" s="343">
        <f>'PL WB (нед)'!L3</f>
        <v>NaN</v>
      </c>
      <c r="M3" s="343">
        <f>'PL WB (нед)'!M3</f>
        <v>NaN</v>
      </c>
      <c r="N3" s="343">
        <f>'PL WB (нед)'!N3</f>
        <v>NaN</v>
      </c>
      <c r="O3" s="343">
        <f>'PL WB (нед)'!O3</f>
        <v>NaN</v>
      </c>
      <c r="P3" s="343">
        <f>'PL WB (нед)'!P3</f>
        <v>NaN</v>
      </c>
      <c r="Q3" s="343">
        <f>'PL WB (нед)'!Q3</f>
        <v>NaN</v>
      </c>
      <c r="R3" s="343">
        <f>'PL WB (нед)'!R3</f>
        <v>NaN</v>
      </c>
      <c r="S3" s="343">
        <f>'PL WB (нед)'!S3</f>
        <v>0</v>
      </c>
      <c r="T3" s="344">
        <f>'PL WB (нед)'!T3</f>
        <v>0</v>
      </c>
      <c r="U3" s="344">
        <f>'PL WB (нед)'!U3</f>
        <v>0</v>
      </c>
      <c r="V3" s="344">
        <f>'PL WB (нед)'!V3</f>
        <v>0</v>
      </c>
      <c r="W3" s="344">
        <f>'PL WB (нед)'!W3</f>
        <v>0</v>
      </c>
      <c r="X3" s="344">
        <f>'PL WB (нед)'!X3</f>
        <v>0</v>
      </c>
      <c r="Y3" s="344">
        <f>'PL WB (нед)'!Y3</f>
        <v>0</v>
      </c>
      <c r="Z3" s="344">
        <f>'PL WB (нед)'!Z3</f>
        <v>0</v>
      </c>
      <c r="AA3" s="344">
        <f>'PL WB (нед)'!AA3</f>
        <v>0</v>
      </c>
      <c r="AB3" s="344">
        <f>'PL WB (нед)'!AB3</f>
        <v>0</v>
      </c>
      <c r="AC3" s="344">
        <f>'PL WB (нед)'!AC3</f>
        <v>0</v>
      </c>
      <c r="AD3" s="344">
        <f>'PL WB (нед)'!AD3</f>
        <v>0</v>
      </c>
      <c r="AE3" s="344">
        <f>'PL WB (нед)'!AE3</f>
        <v>0</v>
      </c>
      <c r="AF3" s="344">
        <f>'PL WB (нед)'!AF3</f>
        <v>0</v>
      </c>
      <c r="AG3" s="344">
        <f>'PL WB (нед)'!AG3</f>
        <v>0</v>
      </c>
      <c r="AH3" s="344">
        <f>'PL WB (нед)'!AH3</f>
        <v>0</v>
      </c>
      <c r="AI3" s="344">
        <f>'PL WB (нед)'!AI3</f>
        <v>0</v>
      </c>
      <c r="AJ3" s="344">
        <f>'PL WB (нед)'!AJ3</f>
        <v>0</v>
      </c>
      <c r="AK3" s="344">
        <f>'PL WB (нед)'!AK3</f>
        <v>0</v>
      </c>
      <c r="AL3" s="344">
        <f>'PL WB (нед)'!AL3</f>
        <v>0</v>
      </c>
      <c r="AM3" s="344">
        <f>'PL WB (нед)'!AM3</f>
        <v>0</v>
      </c>
      <c r="AN3" s="344">
        <f>'PL WB (нед)'!AN3</f>
        <v>0</v>
      </c>
      <c r="AO3" s="344">
        <f>'PL WB (нед)'!AO3</f>
        <v>0</v>
      </c>
      <c r="AP3" s="344">
        <f>'PL WB (нед)'!AP3</f>
        <v>0</v>
      </c>
      <c r="AQ3" s="344">
        <f>'PL WB (нед)'!AQ3</f>
        <v>0</v>
      </c>
      <c r="AR3" s="344">
        <f>'PL WB (нед)'!AR3</f>
        <v>0</v>
      </c>
      <c r="AS3" s="344">
        <f>'PL WB (нед)'!AS3</f>
        <v>0</v>
      </c>
      <c r="AT3" s="344">
        <f>'PL WB (нед)'!AT3</f>
        <v>0</v>
      </c>
      <c r="AU3" s="344">
        <f>'PL WB (нед)'!AU3</f>
        <v>0</v>
      </c>
      <c r="AV3" s="344">
        <f>'PL WB (нед)'!AV3</f>
        <v>0</v>
      </c>
      <c r="AW3" s="344">
        <f>'PL WB (нед)'!AW3</f>
        <v>0</v>
      </c>
      <c r="AX3" s="344">
        <f>'PL WB (нед)'!AX3</f>
        <v>0</v>
      </c>
      <c r="AY3" s="344">
        <f>'PL WB (нед)'!AY3</f>
        <v>0</v>
      </c>
      <c r="AZ3" s="344">
        <f>'PL WB (нед)'!AZ3</f>
        <v>0</v>
      </c>
      <c r="BA3" s="344">
        <f>'PL WB (нед)'!BA3</f>
        <v>0</v>
      </c>
      <c r="BB3" s="344">
        <f>'PL WB (нед)'!BB3</f>
        <v>0</v>
      </c>
      <c r="BC3" s="344" t="s">
        <v>146</v>
      </c>
    </row>
    <row r="4" ht="13.5" customHeight="1" spans="1:55" x14ac:dyDescent="0.25">
      <c r="A4" s="345" t="s">
        <v>162</v>
      </c>
      <c r="B4" s="346"/>
      <c r="C4" s="346">
        <f>'PL WB (нед)'!C10+'PL OZON (нед)'!C10</f>
        <v>192398.77</v>
      </c>
      <c r="D4" s="346">
        <f>'PL WB (нед)'!D10+'PL OZON (нед)'!D10</f>
        <v>0</v>
      </c>
      <c r="E4" s="346">
        <f>'PL WB (нед)'!E10+'PL OZON (нед)'!E10</f>
        <v>0</v>
      </c>
      <c r="F4" s="346">
        <f>'PL WB (нед)'!F10+'PL OZON (нед)'!F10</f>
        <v>0</v>
      </c>
      <c r="G4" s="346">
        <f>'PL WB (нед)'!G10+'PL OZON (нед)'!G10</f>
        <v>0</v>
      </c>
      <c r="H4" s="346">
        <f>'PL WB (нед)'!H10+'PL OZON (нед)'!H10</f>
        <v>0</v>
      </c>
      <c r="I4" s="346">
        <f>'PL WB (нед)'!I10+'PL OZON (нед)'!I10</f>
        <v>0</v>
      </c>
      <c r="J4" s="346">
        <f>'PL WB (нед)'!J10+'PL OZON (нед)'!J10</f>
        <v>0</v>
      </c>
      <c r="K4" s="346">
        <f>'PL WB (нед)'!K10+'PL OZON (нед)'!K10</f>
        <v>0</v>
      </c>
      <c r="L4" s="346">
        <f>'PL WB (нед)'!L10+'PL OZON (нед)'!L10</f>
        <v>0</v>
      </c>
      <c r="M4" s="346">
        <f>'PL WB (нед)'!M10+'PL OZON (нед)'!M10</f>
        <v>0</v>
      </c>
      <c r="N4" s="346">
        <f>'PL WB (нед)'!N10+'PL OZON (нед)'!N10</f>
        <v>0</v>
      </c>
      <c r="O4" s="346">
        <f>'PL WB (нед)'!O10+'PL OZON (нед)'!O10</f>
        <v>0</v>
      </c>
      <c r="P4" s="346">
        <f>'PL WB (нед)'!P10+'PL OZON (нед)'!P10</f>
        <v>0</v>
      </c>
      <c r="Q4" s="346">
        <f>'PL WB (нед)'!Q10+'PL OZON (нед)'!Q10</f>
        <v>0</v>
      </c>
      <c r="R4" s="346">
        <f>'PL WB (нед)'!R10+'PL OZON (нед)'!R10</f>
        <v>0</v>
      </c>
      <c r="S4" s="346">
        <f>'PL WB (нед)'!S10+'PL OZON (нед)'!S10</f>
        <v>0</v>
      </c>
      <c r="T4" s="346">
        <f>'PL WB (нед)'!T10+'PL OZON (нед)'!T10</f>
        <v>0</v>
      </c>
      <c r="U4" s="346">
        <f>'PL WB (нед)'!U10+'PL OZON (нед)'!U10</f>
        <v>0</v>
      </c>
      <c r="V4" s="346">
        <f>'PL WB (нед)'!V10+'PL OZON (нед)'!V10</f>
        <v>0</v>
      </c>
      <c r="W4" s="346">
        <f>'PL WB (нед)'!W10+'PL OZON (нед)'!W10</f>
        <v>0</v>
      </c>
      <c r="X4" s="346">
        <f>'PL WB (нед)'!X10+'PL OZON (нед)'!X10</f>
        <v>0</v>
      </c>
      <c r="Y4" s="346">
        <f>'PL WB (нед)'!Y10+'PL OZON (нед)'!Y10</f>
        <v>0</v>
      </c>
      <c r="Z4" s="346">
        <f>'PL WB (нед)'!Z10+'PL OZON (нед)'!Z10</f>
        <v>0</v>
      </c>
      <c r="AA4" s="346">
        <f>'PL WB (нед)'!AA10+'PL OZON (нед)'!AA10</f>
        <v>0</v>
      </c>
      <c r="AB4" s="346">
        <f>'PL WB (нед)'!AB10+'PL OZON (нед)'!AB10</f>
        <v>0</v>
      </c>
      <c r="AC4" s="346">
        <f>'PL WB (нед)'!AC10+'PL OZON (нед)'!AC10</f>
        <v>0</v>
      </c>
      <c r="AD4" s="346">
        <f>'PL WB (нед)'!AD10+'PL OZON (нед)'!AD10</f>
        <v>0</v>
      </c>
      <c r="AE4" s="346">
        <f>'PL WB (нед)'!AE10+'PL OZON (нед)'!AE10</f>
        <v>0</v>
      </c>
      <c r="AF4" s="346">
        <f>'PL WB (нед)'!AF10+'PL OZON (нед)'!AF10</f>
        <v>0</v>
      </c>
      <c r="AG4" s="346">
        <f>'PL WB (нед)'!AG10+'PL OZON (нед)'!AG10</f>
        <v>0</v>
      </c>
      <c r="AH4" s="346">
        <f>'PL WB (нед)'!AH10+'PL OZON (нед)'!AH10</f>
        <v>0</v>
      </c>
      <c r="AI4" s="346">
        <f>'PL WB (нед)'!AI10+'PL OZON (нед)'!AI10</f>
        <v>0</v>
      </c>
      <c r="AJ4" s="346">
        <f>'PL WB (нед)'!AJ10+'PL OZON (нед)'!AJ10</f>
        <v>0</v>
      </c>
      <c r="AK4" s="346">
        <f>'PL WB (нед)'!AK10+'PL OZON (нед)'!AK10</f>
        <v>0</v>
      </c>
      <c r="AL4" s="346">
        <f>'PL WB (нед)'!AL10+'PL OZON (нед)'!AL10</f>
        <v>0</v>
      </c>
      <c r="AM4" s="346">
        <f>'PL WB (нед)'!AM10+'PL OZON (нед)'!AM10</f>
        <v>0</v>
      </c>
      <c r="AN4" s="346">
        <f>'PL WB (нед)'!AN10+'PL OZON (нед)'!AN10</f>
        <v>0</v>
      </c>
      <c r="AO4" s="346">
        <f>'PL WB (нед)'!AO10+'PL OZON (нед)'!AO10</f>
        <v>0</v>
      </c>
      <c r="AP4" s="346">
        <f>'PL WB (нед)'!AP10+'PL OZON (нед)'!AP10</f>
        <v>0</v>
      </c>
      <c r="AQ4" s="346">
        <f>'PL WB (нед)'!AQ10+'PL OZON (нед)'!AQ10</f>
        <v>0</v>
      </c>
      <c r="AR4" s="346">
        <f>'PL WB (нед)'!AR10+'PL OZON (нед)'!AR10</f>
        <v>0</v>
      </c>
      <c r="AS4" s="346">
        <f>'PL WB (нед)'!AS10+'PL OZON (нед)'!AS10</f>
        <v>0</v>
      </c>
      <c r="AT4" s="346">
        <f>'PL WB (нед)'!AT10+'PL OZON (нед)'!AT10</f>
        <v>0</v>
      </c>
      <c r="AU4" s="346">
        <f>'PL WB (нед)'!AU10+'PL OZON (нед)'!AU10</f>
        <v>0</v>
      </c>
      <c r="AV4" s="346">
        <f>'PL WB (нед)'!AV10+'PL OZON (нед)'!AV10</f>
        <v>0</v>
      </c>
      <c r="AW4" s="346">
        <f>'PL WB (нед)'!AW10+'PL OZON (нед)'!AW10</f>
        <v>0</v>
      </c>
      <c r="AX4" s="346">
        <f>'PL WB (нед)'!AX10+'PL OZON (нед)'!AX10</f>
        <v>0</v>
      </c>
      <c r="AY4" s="346">
        <f>'PL WB (нед)'!AY10+'PL OZON (нед)'!AY10</f>
        <v>0</v>
      </c>
      <c r="AZ4" s="346">
        <f>'PL WB (нед)'!AZ10+'PL OZON (нед)'!AZ10</f>
        <v>0</v>
      </c>
      <c r="BA4" s="346">
        <f>'PL WB (нед)'!BA10+'PL OZON (нед)'!BA10</f>
        <v>0</v>
      </c>
      <c r="BB4" s="346">
        <f>'PL WB (нед)'!BB10+'PL OZON (нед)'!BB10</f>
        <v>0</v>
      </c>
      <c r="BC4" s="346">
        <f>'PL WB (нед)'!BC10+'PL OZON (нед)'!BC10</f>
        <v>0</v>
      </c>
    </row>
    <row r="5" ht="13.5" customHeight="1" spans="1:55" x14ac:dyDescent="0.25">
      <c r="A5" s="347" t="s">
        <v>68</v>
      </c>
      <c r="B5" s="348"/>
      <c r="C5" s="349">
        <f>'PL WB (нед)'!C12+'PL OZON (нед)'!C12</f>
        <v>1750051.4400000002</v>
      </c>
      <c r="D5" s="349">
        <f>'PL WB (нед)'!D12+'PL OZON (нед)'!D12</f>
        <v>1699921.4400000002</v>
      </c>
      <c r="E5" s="349">
        <f>'PL WB (нед)'!E12+'PL OZON (нед)'!E12</f>
        <v>1636488.2800000003</v>
      </c>
      <c r="F5" s="349">
        <f>'PL WB (нед)'!F12+'PL OZON (нед)'!F12</f>
        <v>1578712.0800000003</v>
      </c>
      <c r="G5" s="349">
        <f>'PL WB (нед)'!G12+'PL OZON (нед)'!G12</f>
        <v>1522905.6300000004</v>
      </c>
      <c r="H5" s="349">
        <f>'PL WB (нед)'!H12+'PL OZON (нед)'!H12</f>
        <v>1464964.6300000004</v>
      </c>
      <c r="I5" s="349">
        <f>'PL WB (нед)'!I12+'PL OZON (нед)'!I12</f>
        <v>1407602.5700000003</v>
      </c>
      <c r="J5" s="349">
        <f>'PL WB (нед)'!J12+'PL OZON (нед)'!J12</f>
        <v>1351365.3300000003</v>
      </c>
      <c r="K5" s="349">
        <f>'PL WB (нед)'!K12+'PL OZON (нед)'!K12</f>
        <v>1301418.9100000004</v>
      </c>
      <c r="L5" s="349">
        <f>'PL WB (нед)'!L12+'PL OZON (нед)'!L12</f>
        <v>1251606.9100000004</v>
      </c>
      <c r="M5" s="349">
        <f>'PL WB (нед)'!M12+'PL OZON (нед)'!M12</f>
        <v>1204146.4500000004</v>
      </c>
      <c r="N5" s="349">
        <f>'PL WB (нед)'!N12+'PL OZON (нед)'!N12</f>
        <v>1151058.7000000004</v>
      </c>
      <c r="O5" s="349">
        <f>'PL WB (нед)'!O12+'PL OZON (нед)'!O12</f>
        <v>1109069.5100000005</v>
      </c>
      <c r="P5" s="349">
        <f>'PL WB (нед)'!P12+'PL OZON (нед)'!P12</f>
        <v>1080080.9700000004</v>
      </c>
      <c r="Q5" s="349">
        <f>'PL WB (нед)'!Q12+'PL OZON (нед)'!Q12</f>
        <v>1054386.4100000004</v>
      </c>
      <c r="R5" s="349">
        <f>'PL WB (нед)'!R12+'PL OZON (нед)'!R12</f>
        <v>1028078.6100000002</v>
      </c>
      <c r="S5" s="349">
        <f>'PL WB (нед)'!S12+'PL OZON (нед)'!S12</f>
        <v>1028078.6100000002</v>
      </c>
      <c r="T5" s="349">
        <f>'PL WB (нед)'!T12+'PL OZON (нед)'!T12</f>
        <v>1028078.6100000002</v>
      </c>
      <c r="U5" s="349">
        <f>'PL WB (нед)'!U12+'PL OZON (нед)'!U12</f>
        <v>1028078.6100000002</v>
      </c>
      <c r="V5" s="349">
        <f>'PL WB (нед)'!V12+'PL OZON (нед)'!V12</f>
        <v>1028078.6100000002</v>
      </c>
      <c r="W5" s="349">
        <f>'PL WB (нед)'!W12+'PL OZON (нед)'!W12</f>
        <v>1028078.6100000002</v>
      </c>
      <c r="X5" s="349">
        <f>'PL WB (нед)'!X12+'PL OZON (нед)'!X12</f>
        <v>1028078.6100000002</v>
      </c>
      <c r="Y5" s="349">
        <f>'PL WB (нед)'!Y12+'PL OZON (нед)'!Y12</f>
        <v>1028078.6100000002</v>
      </c>
      <c r="Z5" s="349">
        <f>'PL WB (нед)'!Z12+'PL OZON (нед)'!Z12</f>
        <v>1028078.6100000002</v>
      </c>
      <c r="AA5" s="349">
        <f>'PL WB (нед)'!AA12+'PL OZON (нед)'!AA12</f>
        <v>1028078.6100000002</v>
      </c>
      <c r="AB5" s="349">
        <f>'PL WB (нед)'!AB12+'PL OZON (нед)'!AB12</f>
        <v>1028078.6100000002</v>
      </c>
      <c r="AC5" s="349">
        <f>'PL WB (нед)'!AC12+'PL OZON (нед)'!AC12</f>
        <v>1028078.6100000002</v>
      </c>
      <c r="AD5" s="349">
        <f>'PL WB (нед)'!AD12+'PL OZON (нед)'!AD12</f>
        <v>1028078.6100000002</v>
      </c>
      <c r="AE5" s="349">
        <f>'PL WB (нед)'!AE12+'PL OZON (нед)'!AE12</f>
        <v>1028078.6100000002</v>
      </c>
      <c r="AF5" s="349">
        <f>'PL WB (нед)'!AF12+'PL OZON (нед)'!AF12</f>
        <v>1028078.6100000002</v>
      </c>
      <c r="AG5" s="349">
        <f>'PL WB (нед)'!AG12+'PL OZON (нед)'!AG12</f>
        <v>1028078.6100000002</v>
      </c>
      <c r="AH5" s="349">
        <f>'PL WB (нед)'!AH12+'PL OZON (нед)'!AH12</f>
        <v>1028078.6100000002</v>
      </c>
      <c r="AI5" s="349">
        <f>'PL WB (нед)'!AI12+'PL OZON (нед)'!AI12</f>
        <v>1028078.6100000002</v>
      </c>
      <c r="AJ5" s="349">
        <f>'PL WB (нед)'!AJ12+'PL OZON (нед)'!AJ12</f>
        <v>1028078.6100000002</v>
      </c>
      <c r="AK5" s="349">
        <f>'PL WB (нед)'!AK12+'PL OZON (нед)'!AK12</f>
        <v>1028078.6100000002</v>
      </c>
      <c r="AL5" s="349">
        <f>'PL WB (нед)'!AL12+'PL OZON (нед)'!AL12</f>
        <v>1028078.6100000002</v>
      </c>
      <c r="AM5" s="349">
        <f>'PL WB (нед)'!AM12+'PL OZON (нед)'!AM12</f>
        <v>1028078.6100000002</v>
      </c>
      <c r="AN5" s="349">
        <f>'PL WB (нед)'!AN12+'PL OZON (нед)'!AN12</f>
        <v>1028078.6100000002</v>
      </c>
      <c r="AO5" s="349">
        <f>'PL WB (нед)'!AO12+'PL OZON (нед)'!AO12</f>
        <v>1028078.6100000002</v>
      </c>
      <c r="AP5" s="349">
        <f>'PL WB (нед)'!AP12+'PL OZON (нед)'!AP12</f>
        <v>1028078.6100000002</v>
      </c>
      <c r="AQ5" s="349">
        <f>'PL WB (нед)'!AQ12+'PL OZON (нед)'!AQ12</f>
        <v>1028078.6100000002</v>
      </c>
      <c r="AR5" s="349">
        <f>'PL WB (нед)'!AR12+'PL OZON (нед)'!AR12</f>
        <v>1028078.6100000002</v>
      </c>
      <c r="AS5" s="349">
        <f>'PL WB (нед)'!AS12+'PL OZON (нед)'!AS12</f>
        <v>1028078.6100000002</v>
      </c>
      <c r="AT5" s="349">
        <f>'PL WB (нед)'!AT12+'PL OZON (нед)'!AT12</f>
        <v>1028078.6100000002</v>
      </c>
      <c r="AU5" s="349">
        <f>'PL WB (нед)'!AU12+'PL OZON (нед)'!AU12</f>
        <v>1028078.6100000002</v>
      </c>
      <c r="AV5" s="349">
        <f>'PL WB (нед)'!AV12+'PL OZON (нед)'!AV12</f>
        <v>1028078.6100000002</v>
      </c>
      <c r="AW5" s="349">
        <f>'PL WB (нед)'!AW12+'PL OZON (нед)'!AW12</f>
        <v>1028078.6100000002</v>
      </c>
      <c r="AX5" s="349">
        <f>'PL WB (нед)'!AX12+'PL OZON (нед)'!AX12</f>
        <v>1028078.6100000002</v>
      </c>
      <c r="AY5" s="349">
        <f>'PL WB (нед)'!AY12+'PL OZON (нед)'!AY12</f>
        <v>1028078.6100000002</v>
      </c>
      <c r="AZ5" s="349">
        <f>'PL WB (нед)'!AZ12+'PL OZON (нед)'!AZ12</f>
        <v>1028078.6100000002</v>
      </c>
      <c r="BA5" s="349">
        <f>'PL WB (нед)'!BA12+'PL OZON (нед)'!BA12</f>
        <v>1028078.6100000002</v>
      </c>
      <c r="BB5" s="349">
        <f>'PL WB (нед)'!BB12+'PL OZON (нед)'!BB12</f>
        <v>1028078.6100000002</v>
      </c>
      <c r="BC5" s="349">
        <f>'PL WB (нед)'!BC12+'PL OZON (нед)'!BC12</f>
        <v>1399376.6700000002</v>
      </c>
    </row>
    <row r="6" ht="13.5" customHeight="1" spans="1:55" x14ac:dyDescent="0.25">
      <c r="A6" s="345"/>
      <c r="B6" s="350"/>
      <c r="C6" s="351"/>
      <c r="D6" s="346"/>
      <c r="E6" s="346"/>
      <c r="F6" s="346"/>
      <c r="G6" s="346"/>
      <c r="H6" s="351"/>
      <c r="I6" s="346"/>
      <c r="J6" s="346"/>
      <c r="K6" s="350"/>
      <c r="L6" s="346"/>
      <c r="M6" s="346"/>
      <c r="N6" s="346"/>
      <c r="O6" s="350"/>
      <c r="P6" s="346"/>
      <c r="Q6" s="346"/>
      <c r="R6" s="346"/>
      <c r="S6" s="350"/>
      <c r="T6" s="346"/>
      <c r="U6" s="346"/>
      <c r="V6" s="346"/>
      <c r="W6" s="346"/>
      <c r="X6" s="350"/>
      <c r="Y6" s="346"/>
      <c r="Z6" s="346"/>
      <c r="AA6" s="346"/>
      <c r="AB6" s="350"/>
      <c r="AC6" s="346"/>
      <c r="AD6" s="346"/>
      <c r="AE6" s="346"/>
      <c r="AF6" s="350"/>
      <c r="AG6" s="346"/>
      <c r="AH6" s="346"/>
      <c r="AI6" s="346"/>
      <c r="AJ6" s="346"/>
      <c r="AK6" s="350"/>
      <c r="AL6" s="346"/>
      <c r="AM6" s="346"/>
      <c r="AN6" s="346"/>
      <c r="AO6" s="350"/>
      <c r="AP6" s="346"/>
      <c r="AQ6" s="346"/>
      <c r="AR6" s="346"/>
      <c r="AS6" s="346"/>
      <c r="AT6" s="350"/>
      <c r="AU6" s="346"/>
      <c r="AV6" s="346"/>
      <c r="AW6" s="346"/>
      <c r="AX6" s="350"/>
      <c r="AY6" s="346"/>
      <c r="AZ6" s="346"/>
      <c r="BA6" s="346"/>
      <c r="BB6" s="346"/>
      <c r="BC6" s="346"/>
    </row>
    <row r="7" ht="13.5" customHeight="1" spans="1:55" x14ac:dyDescent="0.25">
      <c r="A7" s="352" t="s">
        <v>163</v>
      </c>
      <c r="B7" s="353"/>
      <c r="C7" s="354">
        <v>1967240.9357000005</v>
      </c>
      <c r="D7" s="355">
        <f>C42</f>
        <v>1994177.8957000005</v>
      </c>
      <c r="E7" s="355">
        <f t="shared" ref="E7:BC7" si="0">D42</f>
        <v>2100356.7557000006</v>
      </c>
      <c r="F7" s="355">
        <f t="shared" si="0"/>
        <v>2234359.3557</v>
      </c>
      <c r="G7" s="355">
        <f t="shared" si="0"/>
        <v>2340085.2357000005</v>
      </c>
      <c r="H7" s="356">
        <f t="shared" si="0"/>
        <v>2444316.6157000004</v>
      </c>
      <c r="I7" s="355">
        <f t="shared" si="0"/>
        <v>2568251.9457000005</v>
      </c>
      <c r="J7" s="355">
        <f t="shared" si="0"/>
        <v>2701831.7657000003</v>
      </c>
      <c r="K7" s="357">
        <f t="shared" si="0"/>
        <v>2827470.9057000005</v>
      </c>
      <c r="L7" s="355">
        <f t="shared" si="0"/>
        <v>2951779.9657000005</v>
      </c>
      <c r="M7" s="355">
        <f t="shared" si="0"/>
        <v>3065041.8357000006</v>
      </c>
      <c r="N7" s="355">
        <f t="shared" si="0"/>
        <v>3166917.6157000004</v>
      </c>
      <c r="O7" s="357">
        <f t="shared" si="0"/>
        <v>3264799.0757000004</v>
      </c>
      <c r="P7" s="355">
        <f t="shared" si="0"/>
        <v>3357449.8957000007</v>
      </c>
      <c r="Q7" s="355">
        <f t="shared" si="0"/>
        <v>3428328.6757000005</v>
      </c>
      <c r="R7" s="355">
        <f t="shared" si="0"/>
        <v>3485243.3357000006</v>
      </c>
      <c r="S7" s="357">
        <f t="shared" si="0"/>
        <v>3539892.4257000005</v>
      </c>
      <c r="T7" s="355">
        <f>S42</f>
        <v>3539892.4257000005</v>
      </c>
      <c r="U7" s="355">
        <f t="shared" si="0"/>
        <v>3539892.4257000005</v>
      </c>
      <c r="V7" s="355">
        <f t="shared" si="0"/>
        <v>3539892.4257000005</v>
      </c>
      <c r="W7" s="355">
        <f t="shared" si="0"/>
        <v>3539892.4257000005</v>
      </c>
      <c r="X7" s="357">
        <f t="shared" si="0"/>
        <v>3539892.4257000005</v>
      </c>
      <c r="Y7" s="355">
        <f t="shared" si="0"/>
        <v>3539892.4257000005</v>
      </c>
      <c r="Z7" s="355">
        <f t="shared" si="0"/>
        <v>3539892.4257000005</v>
      </c>
      <c r="AA7" s="355">
        <f t="shared" si="0"/>
        <v>3539892.4257000005</v>
      </c>
      <c r="AB7" s="357">
        <f t="shared" si="0"/>
        <v>3539892.4257000005</v>
      </c>
      <c r="AC7" s="355">
        <f t="shared" si="0"/>
        <v>3539892.4257000005</v>
      </c>
      <c r="AD7" s="355">
        <f t="shared" si="0"/>
        <v>3539892.4257000005</v>
      </c>
      <c r="AE7" s="355">
        <f t="shared" si="0"/>
        <v>3539892.4257000005</v>
      </c>
      <c r="AF7" s="357">
        <f t="shared" si="0"/>
        <v>3539892.4257000005</v>
      </c>
      <c r="AG7" s="355">
        <f t="shared" si="0"/>
        <v>3539892.4257000005</v>
      </c>
      <c r="AH7" s="355">
        <f t="shared" si="0"/>
        <v>3539892.4257000005</v>
      </c>
      <c r="AI7" s="355">
        <f t="shared" si="0"/>
        <v>3539892.4257000005</v>
      </c>
      <c r="AJ7" s="355">
        <f t="shared" si="0"/>
        <v>3539892.4257000005</v>
      </c>
      <c r="AK7" s="357">
        <f t="shared" si="0"/>
        <v>3539892.4257000005</v>
      </c>
      <c r="AL7" s="355">
        <f t="shared" si="0"/>
        <v>3539892.4257000005</v>
      </c>
      <c r="AM7" s="355">
        <f t="shared" si="0"/>
        <v>3539892.4257000005</v>
      </c>
      <c r="AN7" s="355">
        <f t="shared" si="0"/>
        <v>3539892.4257000005</v>
      </c>
      <c r="AO7" s="357">
        <f t="shared" si="0"/>
        <v>3539892.4257000005</v>
      </c>
      <c r="AP7" s="355">
        <f t="shared" si="0"/>
        <v>3539892.4257000005</v>
      </c>
      <c r="AQ7" s="355">
        <f t="shared" si="0"/>
        <v>3539892.4257000005</v>
      </c>
      <c r="AR7" s="355">
        <f t="shared" si="0"/>
        <v>3539892.4257000005</v>
      </c>
      <c r="AS7" s="355">
        <f t="shared" si="0"/>
        <v>3539892.4257000005</v>
      </c>
      <c r="AT7" s="357">
        <f t="shared" si="0"/>
        <v>3539892.4257000005</v>
      </c>
      <c r="AU7" s="355">
        <f t="shared" si="0"/>
        <v>3539892.4257000005</v>
      </c>
      <c r="AV7" s="355">
        <f t="shared" si="0"/>
        <v>3539892.4257000005</v>
      </c>
      <c r="AW7" s="355">
        <f t="shared" si="0"/>
        <v>3539892.4257000005</v>
      </c>
      <c r="AX7" s="357">
        <f t="shared" si="0"/>
        <v>3539892.4257000005</v>
      </c>
      <c r="AY7" s="355">
        <f t="shared" si="0"/>
        <v>3539892.4257000005</v>
      </c>
      <c r="AZ7" s="355">
        <f t="shared" si="0"/>
        <v>3539892.4257000005</v>
      </c>
      <c r="BA7" s="355">
        <f t="shared" si="0"/>
        <v>3539892.4257000005</v>
      </c>
      <c r="BB7" s="355">
        <f t="shared" si="0"/>
        <v>3539892.4257000005</v>
      </c>
      <c r="BC7" s="355">
        <f t="shared" si="0"/>
        <v>3539892.4257000005</v>
      </c>
    </row>
    <row r="8" ht="13.5" customHeight="1" spans="1:55" x14ac:dyDescent="0.25">
      <c r="A8" s="358"/>
      <c r="B8" s="359"/>
      <c r="C8" s="351"/>
      <c r="D8" s="346"/>
      <c r="E8" s="346"/>
      <c r="F8" s="346"/>
      <c r="G8" s="346"/>
      <c r="H8" s="351"/>
      <c r="I8" s="346"/>
      <c r="J8" s="346"/>
      <c r="K8" s="350"/>
      <c r="L8" s="346"/>
      <c r="M8" s="346"/>
      <c r="N8" s="346"/>
      <c r="O8" s="350"/>
      <c r="P8" s="346"/>
      <c r="Q8" s="346"/>
      <c r="R8" s="346"/>
      <c r="S8" s="350"/>
      <c r="T8" s="346"/>
      <c r="U8" s="346"/>
      <c r="V8" s="346"/>
      <c r="W8" s="346"/>
      <c r="X8" s="350"/>
      <c r="Y8" s="346"/>
      <c r="Z8" s="346"/>
      <c r="AA8" s="346"/>
      <c r="AB8" s="350"/>
      <c r="AC8" s="346"/>
      <c r="AD8" s="346"/>
      <c r="AE8" s="346"/>
      <c r="AF8" s="350"/>
      <c r="AG8" s="346"/>
      <c r="AH8" s="346"/>
      <c r="AI8" s="346"/>
      <c r="AJ8" s="346"/>
      <c r="AK8" s="350"/>
      <c r="AL8" s="346"/>
      <c r="AM8" s="346"/>
      <c r="AN8" s="346"/>
      <c r="AO8" s="350"/>
      <c r="AP8" s="346"/>
      <c r="AQ8" s="346"/>
      <c r="AR8" s="346"/>
      <c r="AS8" s="346"/>
      <c r="AT8" s="350"/>
      <c r="AU8" s="346"/>
      <c r="AV8" s="346"/>
      <c r="AW8" s="346"/>
      <c r="AX8" s="350"/>
      <c r="AY8" s="346"/>
      <c r="AZ8" s="346"/>
      <c r="BA8" s="346"/>
      <c r="BB8" s="346"/>
      <c r="BC8" s="346"/>
    </row>
    <row r="9" ht="13.5" customHeight="1" spans="1:55" x14ac:dyDescent="0.25">
      <c r="A9" s="360" t="s">
        <v>164</v>
      </c>
      <c r="B9" s="359"/>
      <c r="C9" s="361">
        <f>'PL WB (нед)'!C30+'PL OZON (нед)'!C30</f>
        <v>31286.58</v>
      </c>
      <c r="D9" s="361">
        <f>'PL WB (нед)'!D30+'PL OZON (нед)'!D30</f>
        <v>120536.43</v>
      </c>
      <c r="E9" s="361">
        <f>'PL WB (нед)'!E30+'PL OZON (нед)'!E30</f>
        <v>151466.28</v>
      </c>
      <c r="F9" s="361">
        <f>'PL WB (нед)'!F30+'PL OZON (нед)'!F30</f>
        <v>122932.22</v>
      </c>
      <c r="G9" s="361">
        <f>'PL WB (нед)'!G30+'PL OZON (нед)'!G30</f>
        <v>123720.12000000001</v>
      </c>
      <c r="H9" s="361">
        <f>'PL WB (нед)'!H30+'PL OZON (нед)'!H30</f>
        <v>139323.16</v>
      </c>
      <c r="I9" s="361">
        <f>'PL WB (нед)'!I30+'PL OZON (нед)'!I30</f>
        <v>150601.46</v>
      </c>
      <c r="J9" s="361">
        <f>'PL WB (нед)'!J30+'PL OZON (нед)'!J30</f>
        <v>141210.31</v>
      </c>
      <c r="K9" s="361">
        <f>'PL WB (нед)'!K30+'PL OZON (нед)'!K30</f>
        <v>136883.57</v>
      </c>
      <c r="L9" s="361">
        <f>'PL WB (нед)'!L30+'PL OZON (нед)'!L30</f>
        <v>127200.87000000001</v>
      </c>
      <c r="M9" s="361">
        <f>'PL WB (нед)'!M30+'PL OZON (нед)'!M30</f>
        <v>113873.4</v>
      </c>
      <c r="N9" s="361">
        <f>'PL WB (нед)'!N30+'PL OZON (нед)'!N30</f>
        <v>108573.58000000002</v>
      </c>
      <c r="O9" s="361">
        <f>'PL WB (нед)'!O30+'PL OZON (нед)'!O30</f>
        <v>102452.93</v>
      </c>
      <c r="P9" s="361">
        <f>'PL WB (нед)'!P30+'PL OZON (нед)'!P30</f>
        <v>78088.65</v>
      </c>
      <c r="Q9" s="361">
        <f>'PL WB (нед)'!Q30+'PL OZON (нед)'!Q30</f>
        <v>63328.28999999999</v>
      </c>
      <c r="R9" s="361">
        <f>'PL WB (нед)'!R30+'PL OZON (нед)'!R30</f>
        <v>60942.34</v>
      </c>
      <c r="S9" s="361">
        <f>'PL WB (нед)'!S30+'PL OZON (нед)'!S30</f>
        <v>0</v>
      </c>
      <c r="T9" s="361">
        <f>'PL WB (нед)'!T30+'PL OZON (нед)'!T30</f>
        <v>0</v>
      </c>
      <c r="U9" s="361">
        <f>'PL WB (нед)'!U30+'PL OZON (нед)'!U30</f>
        <v>0</v>
      </c>
      <c r="V9" s="361">
        <f>'PL WB (нед)'!V30+'PL OZON (нед)'!V30</f>
        <v>0</v>
      </c>
      <c r="W9" s="361">
        <f>'PL WB (нед)'!W30+'PL OZON (нед)'!W30</f>
        <v>0</v>
      </c>
      <c r="X9" s="361">
        <f>'PL WB (нед)'!X30+'PL OZON (нед)'!X30</f>
        <v>0</v>
      </c>
      <c r="Y9" s="361">
        <f>'PL WB (нед)'!Y30+'PL OZON (нед)'!Y30</f>
        <v>0</v>
      </c>
      <c r="Z9" s="361">
        <f>'PL WB (нед)'!Z30+'PL OZON (нед)'!Z30</f>
        <v>0</v>
      </c>
      <c r="AA9" s="361">
        <f>'PL WB (нед)'!AA30+'PL OZON (нед)'!AA30</f>
        <v>0</v>
      </c>
      <c r="AB9" s="361">
        <f>'PL WB (нед)'!AB30+'PL OZON (нед)'!AB30</f>
        <v>0</v>
      </c>
      <c r="AC9" s="361">
        <f>'PL WB (нед)'!AC30+'PL OZON (нед)'!AC30</f>
        <v>0</v>
      </c>
      <c r="AD9" s="361">
        <f>'PL WB (нед)'!AD30+'PL OZON (нед)'!AD30</f>
        <v>0</v>
      </c>
      <c r="AE9" s="361">
        <f>'PL WB (нед)'!AE30+'PL OZON (нед)'!AE30</f>
        <v>0</v>
      </c>
      <c r="AF9" s="361">
        <f>'PL WB (нед)'!AF30+'PL OZON (нед)'!AF30</f>
        <v>0</v>
      </c>
      <c r="AG9" s="361">
        <f>'PL WB (нед)'!AG30+'PL OZON (нед)'!AG30</f>
        <v>0</v>
      </c>
      <c r="AH9" s="361">
        <f>'PL WB (нед)'!AH30+'PL OZON (нед)'!AH30</f>
        <v>0</v>
      </c>
      <c r="AI9" s="361">
        <f>'PL WB (нед)'!AI30+'PL OZON (нед)'!AI30</f>
        <v>0</v>
      </c>
      <c r="AJ9" s="361">
        <f>'PL WB (нед)'!AJ30+'PL OZON (нед)'!AJ30</f>
        <v>0</v>
      </c>
      <c r="AK9" s="361">
        <f>'PL WB (нед)'!AK30+'PL OZON (нед)'!AK30</f>
        <v>0</v>
      </c>
      <c r="AL9" s="361">
        <f>'PL WB (нед)'!AL30+'PL OZON (нед)'!AL30</f>
        <v>0</v>
      </c>
      <c r="AM9" s="361">
        <f>'PL WB (нед)'!AM30+'PL OZON (нед)'!AM30</f>
        <v>0</v>
      </c>
      <c r="AN9" s="361">
        <f>'PL WB (нед)'!AN30+'PL OZON (нед)'!AN30</f>
        <v>0</v>
      </c>
      <c r="AO9" s="361">
        <f>'PL WB (нед)'!AO30+'PL OZON (нед)'!AO30</f>
        <v>0</v>
      </c>
      <c r="AP9" s="361">
        <f>'PL WB (нед)'!AP30+'PL OZON (нед)'!AP30</f>
        <v>0</v>
      </c>
      <c r="AQ9" s="361">
        <f>'PL WB (нед)'!AQ30+'PL OZON (нед)'!AQ30</f>
        <v>0</v>
      </c>
      <c r="AR9" s="361">
        <f>'PL WB (нед)'!AR30+'PL OZON (нед)'!AR30</f>
        <v>0</v>
      </c>
      <c r="AS9" s="361">
        <f>'PL WB (нед)'!AS30+'PL OZON (нед)'!AS30</f>
        <v>0</v>
      </c>
      <c r="AT9" s="361">
        <f>'PL WB (нед)'!AT30+'PL OZON (нед)'!AT30</f>
        <v>0</v>
      </c>
      <c r="AU9" s="361">
        <f>'PL WB (нед)'!AU30+'PL OZON (нед)'!AU30</f>
        <v>0</v>
      </c>
      <c r="AV9" s="361">
        <f>'PL WB (нед)'!AV30+'PL OZON (нед)'!AV30</f>
        <v>0</v>
      </c>
      <c r="AW9" s="361">
        <f>'PL WB (нед)'!AW30+'PL OZON (нед)'!AW30</f>
        <v>0</v>
      </c>
      <c r="AX9" s="361">
        <f>'PL WB (нед)'!AX30+'PL OZON (нед)'!AX30</f>
        <v>0</v>
      </c>
      <c r="AY9" s="361">
        <f>'PL WB (нед)'!AY30+'PL OZON (нед)'!AY30</f>
        <v>0</v>
      </c>
      <c r="AZ9" s="361">
        <f>'PL WB (нед)'!AZ30+'PL OZON (нед)'!AZ30</f>
        <v>0</v>
      </c>
      <c r="BA9" s="361">
        <f>'PL WB (нед)'!BA30+'PL OZON (нед)'!BA30</f>
        <v>0</v>
      </c>
      <c r="BB9" s="361">
        <f>'PL WB (нед)'!BB30+'PL OZON (нед)'!BB30</f>
        <v>0</v>
      </c>
      <c r="BC9" s="361">
        <f>'PL WB (нед)'!BC30+'PL OZON (нед)'!BC30</f>
        <v>0</v>
      </c>
    </row>
    <row r="10" ht="13.5" customHeight="1" spans="1:55" x14ac:dyDescent="0.25">
      <c r="A10" s="358"/>
      <c r="B10" s="359"/>
      <c r="C10" s="351"/>
      <c r="D10" s="346"/>
      <c r="E10" s="346"/>
      <c r="F10" s="346"/>
      <c r="G10" s="346"/>
      <c r="H10" s="351"/>
      <c r="I10" s="346"/>
      <c r="J10" s="346"/>
      <c r="K10" s="350"/>
      <c r="L10" s="346"/>
      <c r="M10" s="346"/>
      <c r="N10" s="346"/>
      <c r="O10" s="350"/>
      <c r="P10" s="346"/>
      <c r="Q10" s="346"/>
      <c r="R10" s="346"/>
      <c r="S10" s="350"/>
      <c r="T10" s="346"/>
      <c r="U10" s="346"/>
      <c r="V10" s="346"/>
      <c r="W10" s="346"/>
      <c r="X10" s="350"/>
      <c r="Y10" s="346"/>
      <c r="Z10" s="346"/>
      <c r="AA10" s="346"/>
      <c r="AB10" s="350"/>
      <c r="AC10" s="346"/>
      <c r="AD10" s="346"/>
      <c r="AE10" s="346"/>
      <c r="AF10" s="350"/>
      <c r="AG10" s="346"/>
      <c r="AH10" s="346"/>
      <c r="AI10" s="346"/>
      <c r="AJ10" s="346"/>
      <c r="AK10" s="350"/>
      <c r="AL10" s="346"/>
      <c r="AM10" s="346"/>
      <c r="AN10" s="346"/>
      <c r="AO10" s="350"/>
      <c r="AP10" s="346"/>
      <c r="AQ10" s="346"/>
      <c r="AR10" s="346"/>
      <c r="AS10" s="346"/>
      <c r="AT10" s="350"/>
      <c r="AU10" s="346"/>
      <c r="AV10" s="346"/>
      <c r="AW10" s="346"/>
      <c r="AX10" s="350"/>
      <c r="AY10" s="346"/>
      <c r="AZ10" s="346"/>
      <c r="BA10" s="346"/>
      <c r="BB10" s="346"/>
      <c r="BC10" s="346"/>
    </row>
    <row r="11" ht="13.5" customHeight="1" spans="1:55" x14ac:dyDescent="0.25">
      <c r="A11" s="352" t="s">
        <v>165</v>
      </c>
      <c r="B11" s="353"/>
      <c r="C11" s="356">
        <f>C7+C9</f>
        <v>1998527.5157000006</v>
      </c>
      <c r="D11" s="355">
        <f t="shared" ref="D11:BB11" si="1">D7+D9</f>
        <v>2114714.3257000004</v>
      </c>
      <c r="E11" s="355">
        <f t="shared" si="1"/>
        <v>2251823.0357000004</v>
      </c>
      <c r="F11" s="355">
        <f t="shared" si="1"/>
        <v>2357291.5757000004</v>
      </c>
      <c r="G11" s="355">
        <f t="shared" si="1"/>
        <v>2463805.3557000007</v>
      </c>
      <c r="H11" s="356">
        <f t="shared" si="1"/>
        <v>2583639.7757000006</v>
      </c>
      <c r="I11" s="355">
        <f t="shared" si="1"/>
        <v>2718853.4057000005</v>
      </c>
      <c r="J11" s="355">
        <f t="shared" si="1"/>
        <v>2843042.0757000004</v>
      </c>
      <c r="K11" s="357">
        <f t="shared" si="1"/>
        <v>2964354.4757000003</v>
      </c>
      <c r="L11" s="355">
        <f t="shared" si="1"/>
        <v>3078980.8357000006</v>
      </c>
      <c r="M11" s="355">
        <f t="shared" si="1"/>
        <v>3178915.2357000005</v>
      </c>
      <c r="N11" s="355">
        <f t="shared" si="1"/>
        <v>3275491.1957000005</v>
      </c>
      <c r="O11" s="357">
        <f t="shared" si="1"/>
        <v>3367252.0057000006</v>
      </c>
      <c r="P11" s="355">
        <f t="shared" si="1"/>
        <v>3435538.5457000006</v>
      </c>
      <c r="Q11" s="355">
        <f t="shared" si="1"/>
        <v>3491656.9657000005</v>
      </c>
      <c r="R11" s="355">
        <f t="shared" si="1"/>
        <v>3546185.6757000005</v>
      </c>
      <c r="S11" s="357">
        <f t="shared" si="1"/>
        <v>3539892.4257000005</v>
      </c>
      <c r="T11" s="355">
        <f>T7+T9</f>
        <v>3539892.4257000005</v>
      </c>
      <c r="U11" s="355">
        <f t="shared" si="1"/>
        <v>3539892.4257000005</v>
      </c>
      <c r="V11" s="355">
        <f t="shared" si="1"/>
        <v>3539892.4257000005</v>
      </c>
      <c r="W11" s="355">
        <f t="shared" si="1"/>
        <v>3539892.4257000005</v>
      </c>
      <c r="X11" s="357">
        <f t="shared" si="1"/>
        <v>3539892.4257000005</v>
      </c>
      <c r="Y11" s="355">
        <f t="shared" si="1"/>
        <v>3539892.4257000005</v>
      </c>
      <c r="Z11" s="355">
        <f t="shared" si="1"/>
        <v>3539892.4257000005</v>
      </c>
      <c r="AA11" s="355">
        <f t="shared" si="1"/>
        <v>3539892.4257000005</v>
      </c>
      <c r="AB11" s="357">
        <f t="shared" si="1"/>
        <v>3539892.4257000005</v>
      </c>
      <c r="AC11" s="355">
        <f t="shared" si="1"/>
        <v>3539892.4257000005</v>
      </c>
      <c r="AD11" s="355">
        <f t="shared" si="1"/>
        <v>3539892.4257000005</v>
      </c>
      <c r="AE11" s="355">
        <f t="shared" si="1"/>
        <v>3539892.4257000005</v>
      </c>
      <c r="AF11" s="357">
        <f t="shared" si="1"/>
        <v>3539892.4257000005</v>
      </c>
      <c r="AG11" s="355">
        <f t="shared" si="1"/>
        <v>3539892.4257000005</v>
      </c>
      <c r="AH11" s="355">
        <f t="shared" si="1"/>
        <v>3539892.4257000005</v>
      </c>
      <c r="AI11" s="355">
        <f t="shared" si="1"/>
        <v>3539892.4257000005</v>
      </c>
      <c r="AJ11" s="355">
        <f t="shared" si="1"/>
        <v>3539892.4257000005</v>
      </c>
      <c r="AK11" s="357">
        <f t="shared" si="1"/>
        <v>3539892.4257000005</v>
      </c>
      <c r="AL11" s="355">
        <f t="shared" si="1"/>
        <v>3539892.4257000005</v>
      </c>
      <c r="AM11" s="355">
        <f t="shared" si="1"/>
        <v>3539892.4257000005</v>
      </c>
      <c r="AN11" s="355">
        <f t="shared" si="1"/>
        <v>3539892.4257000005</v>
      </c>
      <c r="AO11" s="357">
        <f t="shared" si="1"/>
        <v>3539892.4257000005</v>
      </c>
      <c r="AP11" s="355">
        <f t="shared" si="1"/>
        <v>3539892.4257000005</v>
      </c>
      <c r="AQ11" s="355">
        <f t="shared" si="1"/>
        <v>3539892.4257000005</v>
      </c>
      <c r="AR11" s="355">
        <f t="shared" si="1"/>
        <v>3539892.4257000005</v>
      </c>
      <c r="AS11" s="355">
        <f t="shared" si="1"/>
        <v>3539892.4257000005</v>
      </c>
      <c r="AT11" s="357">
        <f t="shared" si="1"/>
        <v>3539892.4257000005</v>
      </c>
      <c r="AU11" s="355">
        <f t="shared" si="1"/>
        <v>3539892.4257000005</v>
      </c>
      <c r="AV11" s="355">
        <f t="shared" si="1"/>
        <v>3539892.4257000005</v>
      </c>
      <c r="AW11" s="355">
        <f t="shared" si="1"/>
        <v>3539892.4257000005</v>
      </c>
      <c r="AX11" s="357">
        <f t="shared" si="1"/>
        <v>3539892.4257000005</v>
      </c>
      <c r="AY11" s="355">
        <f t="shared" si="1"/>
        <v>3539892.4257000005</v>
      </c>
      <c r="AZ11" s="355">
        <f t="shared" si="1"/>
        <v>3539892.4257000005</v>
      </c>
      <c r="BA11" s="355">
        <f t="shared" si="1"/>
        <v>3539892.4257000005</v>
      </c>
      <c r="BB11" s="355">
        <f t="shared" si="1"/>
        <v>3539892.4257000005</v>
      </c>
      <c r="BC11" s="355">
        <f t="shared" ref="BC11" si="2">BC7+BC9</f>
        <v>3539892.4257000005</v>
      </c>
    </row>
    <row r="12" ht="13.5" customHeight="1" spans="1:55" x14ac:dyDescent="0.25">
      <c r="A12" s="345"/>
      <c r="B12" s="350"/>
      <c r="C12" s="351"/>
      <c r="D12" s="346"/>
      <c r="E12" s="346"/>
      <c r="F12" s="346"/>
      <c r="G12" s="346"/>
      <c r="H12" s="351"/>
      <c r="I12" s="346"/>
      <c r="J12" s="346"/>
      <c r="K12" s="350"/>
      <c r="L12" s="346"/>
      <c r="M12" s="346"/>
      <c r="N12" s="346"/>
      <c r="O12" s="350"/>
      <c r="P12" s="346"/>
      <c r="Q12" s="346"/>
      <c r="R12" s="346"/>
      <c r="S12" s="350"/>
      <c r="T12" s="346"/>
      <c r="U12" s="346"/>
      <c r="V12" s="346"/>
      <c r="W12" s="346"/>
      <c r="X12" s="350"/>
      <c r="Y12" s="346"/>
      <c r="Z12" s="346"/>
      <c r="AA12" s="346"/>
      <c r="AB12" s="350"/>
      <c r="AC12" s="346"/>
      <c r="AD12" s="346"/>
      <c r="AE12" s="346"/>
      <c r="AF12" s="350"/>
      <c r="AG12" s="346"/>
      <c r="AH12" s="346"/>
      <c r="AI12" s="346"/>
      <c r="AJ12" s="346"/>
      <c r="AK12" s="350"/>
      <c r="AL12" s="346"/>
      <c r="AM12" s="346"/>
      <c r="AN12" s="346"/>
      <c r="AO12" s="350"/>
      <c r="AP12" s="346"/>
      <c r="AQ12" s="346"/>
      <c r="AR12" s="346"/>
      <c r="AS12" s="346"/>
      <c r="AT12" s="350"/>
      <c r="AU12" s="346"/>
      <c r="AV12" s="346"/>
      <c r="AW12" s="346"/>
      <c r="AX12" s="350"/>
      <c r="AY12" s="346"/>
      <c r="AZ12" s="346"/>
      <c r="BA12" s="346"/>
      <c r="BB12" s="346"/>
      <c r="BC12" s="346"/>
    </row>
    <row r="13" ht="13.5" customHeight="1" spans="1:55" x14ac:dyDescent="0.25">
      <c r="A13" s="352" t="s">
        <v>166</v>
      </c>
      <c r="B13" s="353"/>
      <c r="C13" s="362">
        <f t="shared" ref="C13:AH13" si="3">SUM(C14:C19)</f>
        <v>634</v>
      </c>
      <c r="D13" s="362">
        <f t="shared" si="3"/>
        <v>1139</v>
      </c>
      <c r="E13" s="362">
        <f t="shared" si="3"/>
        <v>2225</v>
      </c>
      <c r="F13" s="362">
        <f t="shared" si="3"/>
        <v>2475</v>
      </c>
      <c r="G13" s="362">
        <f t="shared" si="3"/>
        <v>5374</v>
      </c>
      <c r="H13" s="362">
        <f t="shared" si="3"/>
        <v>2254</v>
      </c>
      <c r="I13" s="362">
        <f t="shared" si="3"/>
        <v>3404</v>
      </c>
      <c r="J13" s="362">
        <f t="shared" si="3"/>
        <v>1721</v>
      </c>
      <c r="K13" s="362">
        <f t="shared" si="3"/>
        <v>536</v>
      </c>
      <c r="L13" s="362">
        <f t="shared" si="3"/>
        <v>1608</v>
      </c>
      <c r="M13" s="362">
        <f t="shared" si="3"/>
        <v>840</v>
      </c>
      <c r="N13" s="362">
        <f t="shared" si="3"/>
        <v>330</v>
      </c>
      <c r="O13" s="362">
        <f t="shared" si="3"/>
        <v>439</v>
      </c>
      <c r="P13" s="362">
        <f t="shared" si="3"/>
        <v>108</v>
      </c>
      <c r="Q13" s="362">
        <f t="shared" si="3"/>
        <v>126</v>
      </c>
      <c r="R13" s="362">
        <f t="shared" si="3"/>
        <v>141</v>
      </c>
      <c r="S13" s="362">
        <f t="shared" si="3"/>
        <v>0</v>
      </c>
      <c r="T13" s="362">
        <f t="shared" si="3"/>
        <v>0</v>
      </c>
      <c r="U13" s="362">
        <f t="shared" si="3"/>
        <v>0</v>
      </c>
      <c r="V13" s="362">
        <f t="shared" si="3"/>
        <v>0</v>
      </c>
      <c r="W13" s="362">
        <f t="shared" si="3"/>
        <v>0</v>
      </c>
      <c r="X13" s="362">
        <f t="shared" si="3"/>
        <v>0</v>
      </c>
      <c r="Y13" s="362">
        <f t="shared" si="3"/>
        <v>0</v>
      </c>
      <c r="Z13" s="362">
        <f t="shared" si="3"/>
        <v>0</v>
      </c>
      <c r="AA13" s="362">
        <f t="shared" si="3"/>
        <v>0</v>
      </c>
      <c r="AB13" s="362">
        <f t="shared" si="3"/>
        <v>0</v>
      </c>
      <c r="AC13" s="362">
        <f t="shared" si="3"/>
        <v>0</v>
      </c>
      <c r="AD13" s="362">
        <f t="shared" si="3"/>
        <v>0</v>
      </c>
      <c r="AE13" s="362">
        <f t="shared" si="3"/>
        <v>0</v>
      </c>
      <c r="AF13" s="362">
        <f t="shared" si="3"/>
        <v>0</v>
      </c>
      <c r="AG13" s="362">
        <f t="shared" si="3"/>
        <v>0</v>
      </c>
      <c r="AH13" s="362">
        <f t="shared" si="3"/>
        <v>0</v>
      </c>
      <c r="AI13" s="362">
        <f t="shared" ref="AI13:BB13" si="4">SUM(AI14:AI19)</f>
        <v>0</v>
      </c>
      <c r="AJ13" s="362">
        <f t="shared" si="4"/>
        <v>0</v>
      </c>
      <c r="AK13" s="362">
        <f t="shared" si="4"/>
        <v>0</v>
      </c>
      <c r="AL13" s="362">
        <f t="shared" si="4"/>
        <v>0</v>
      </c>
      <c r="AM13" s="362">
        <f t="shared" si="4"/>
        <v>0</v>
      </c>
      <c r="AN13" s="362">
        <f t="shared" si="4"/>
        <v>0</v>
      </c>
      <c r="AO13" s="362">
        <f t="shared" si="4"/>
        <v>0</v>
      </c>
      <c r="AP13" s="362">
        <f t="shared" si="4"/>
        <v>0</v>
      </c>
      <c r="AQ13" s="362">
        <f t="shared" si="4"/>
        <v>0</v>
      </c>
      <c r="AR13" s="362">
        <f t="shared" si="4"/>
        <v>0</v>
      </c>
      <c r="AS13" s="362">
        <f t="shared" si="4"/>
        <v>0</v>
      </c>
      <c r="AT13" s="362">
        <f t="shared" si="4"/>
        <v>0</v>
      </c>
      <c r="AU13" s="362">
        <f t="shared" si="4"/>
        <v>0</v>
      </c>
      <c r="AV13" s="362">
        <f t="shared" si="4"/>
        <v>0</v>
      </c>
      <c r="AW13" s="362">
        <f t="shared" si="4"/>
        <v>0</v>
      </c>
      <c r="AX13" s="362">
        <f t="shared" si="4"/>
        <v>0</v>
      </c>
      <c r="AY13" s="362">
        <f t="shared" si="4"/>
        <v>0</v>
      </c>
      <c r="AZ13" s="362">
        <f t="shared" si="4"/>
        <v>0</v>
      </c>
      <c r="BA13" s="362">
        <f t="shared" si="4"/>
        <v>0</v>
      </c>
      <c r="BB13" s="362">
        <f t="shared" si="4"/>
        <v>0</v>
      </c>
      <c r="BC13" s="362">
        <f t="shared" ref="BC13" si="5">SUM(BC14:BC19)</f>
        <v>0</v>
      </c>
    </row>
    <row r="14" ht="13.5" customHeight="1" spans="1:55" x14ac:dyDescent="0.25">
      <c r="A14" s="363" t="s">
        <v>90</v>
      </c>
      <c r="B14" s="364"/>
      <c r="C14" s="365">
        <f>'PL WB (нед)'!C47+'PL OZON (нед)'!C47</f>
        <v>0</v>
      </c>
      <c r="D14" s="365">
        <f>'PL WB (нед)'!D47+'PL OZON (нед)'!D47</f>
        <v>0</v>
      </c>
      <c r="E14" s="365">
        <f>'PL WB (нед)'!E47+'PL OZON (нед)'!E47</f>
        <v>0</v>
      </c>
      <c r="F14" s="365">
        <f>'PL WB (нед)'!F47+'PL OZON (нед)'!F47</f>
        <v>0</v>
      </c>
      <c r="G14" s="365">
        <f>'PL WB (нед)'!G47+'PL OZON (нед)'!G47</f>
        <v>0</v>
      </c>
      <c r="H14" s="365">
        <f>'PL WB (нед)'!H47+'PL OZON (нед)'!H47</f>
        <v>0</v>
      </c>
      <c r="I14" s="365">
        <f>'PL WB (нед)'!I47+'PL OZON (нед)'!I47</f>
        <v>0</v>
      </c>
      <c r="J14" s="365">
        <f>'PL WB (нед)'!J47+'PL OZON (нед)'!J47</f>
        <v>0</v>
      </c>
      <c r="K14" s="365">
        <f>'PL WB (нед)'!K47+'PL OZON (нед)'!K47</f>
        <v>0</v>
      </c>
      <c r="L14" s="365">
        <f>'PL WB (нед)'!L47+'PL OZON (нед)'!L47</f>
        <v>0</v>
      </c>
      <c r="M14" s="365">
        <f>'PL WB (нед)'!M47+'PL OZON (нед)'!M47</f>
        <v>0</v>
      </c>
      <c r="N14" s="365">
        <f>'PL WB (нед)'!N47+'PL OZON (нед)'!N47</f>
        <v>0</v>
      </c>
      <c r="O14" s="365">
        <f>'PL WB (нед)'!O47+'PL OZON (нед)'!O47</f>
        <v>0</v>
      </c>
      <c r="P14" s="365">
        <f>'PL WB (нед)'!P47+'PL OZON (нед)'!P47</f>
        <v>0</v>
      </c>
      <c r="Q14" s="365">
        <f>'PL WB (нед)'!Q47+'PL OZON (нед)'!Q47</f>
        <v>0</v>
      </c>
      <c r="R14" s="365">
        <f>'PL WB (нед)'!R47+'PL OZON (нед)'!R47</f>
        <v>0</v>
      </c>
      <c r="S14" s="365">
        <f>'PL WB (нед)'!S47+'PL OZON (нед)'!S47</f>
        <v>0</v>
      </c>
      <c r="T14" s="365">
        <f>'PL WB (нед)'!T47+'PL OZON (нед)'!T47</f>
        <v>0</v>
      </c>
      <c r="U14" s="365">
        <f>'PL WB (нед)'!U47+'PL OZON (нед)'!U47</f>
        <v>0</v>
      </c>
      <c r="V14" s="365">
        <f>'PL WB (нед)'!V47+'PL OZON (нед)'!V47</f>
        <v>0</v>
      </c>
      <c r="W14" s="365">
        <f>'PL WB (нед)'!W47+'PL OZON (нед)'!W47</f>
        <v>0</v>
      </c>
      <c r="X14" s="365">
        <f>'PL WB (нед)'!X47+'PL OZON (нед)'!X47</f>
        <v>0</v>
      </c>
      <c r="Y14" s="365">
        <f>'PL WB (нед)'!Y47+'PL OZON (нед)'!Y47</f>
        <v>0</v>
      </c>
      <c r="Z14" s="365">
        <f>'PL WB (нед)'!Z47+'PL OZON (нед)'!Z47</f>
        <v>0</v>
      </c>
      <c r="AA14" s="365">
        <f>'PL WB (нед)'!AA47+'PL OZON (нед)'!AA47</f>
        <v>0</v>
      </c>
      <c r="AB14" s="365">
        <f>'PL WB (нед)'!AB47+'PL OZON (нед)'!AB47</f>
        <v>0</v>
      </c>
      <c r="AC14" s="365">
        <f>'PL WB (нед)'!AC47+'PL OZON (нед)'!AC47</f>
        <v>0</v>
      </c>
      <c r="AD14" s="365">
        <f>'PL WB (нед)'!AD47+'PL OZON (нед)'!AD47</f>
        <v>0</v>
      </c>
      <c r="AE14" s="365">
        <f>'PL WB (нед)'!AE47+'PL OZON (нед)'!AE47</f>
        <v>0</v>
      </c>
      <c r="AF14" s="365">
        <f>'PL WB (нед)'!AF47+'PL OZON (нед)'!AF47</f>
        <v>0</v>
      </c>
      <c r="AG14" s="365">
        <f>'PL WB (нед)'!AG47+'PL OZON (нед)'!AG47</f>
        <v>0</v>
      </c>
      <c r="AH14" s="365">
        <f>'PL WB (нед)'!AH47+'PL OZON (нед)'!AH47</f>
        <v>0</v>
      </c>
      <c r="AI14" s="365">
        <f>'PL WB (нед)'!AI47+'PL OZON (нед)'!AI47</f>
        <v>0</v>
      </c>
      <c r="AJ14" s="365">
        <f>'PL WB (нед)'!AJ47+'PL OZON (нед)'!AJ47</f>
        <v>0</v>
      </c>
      <c r="AK14" s="365">
        <f>'PL WB (нед)'!AK47+'PL OZON (нед)'!AK47</f>
        <v>0</v>
      </c>
      <c r="AL14" s="365">
        <f>'PL WB (нед)'!AL47+'PL OZON (нед)'!AL47</f>
        <v>0</v>
      </c>
      <c r="AM14" s="365">
        <f>'PL WB (нед)'!AM47+'PL OZON (нед)'!AM47</f>
        <v>0</v>
      </c>
      <c r="AN14" s="365">
        <f>'PL WB (нед)'!AN47+'PL OZON (нед)'!AN47</f>
        <v>0</v>
      </c>
      <c r="AO14" s="365">
        <f>'PL WB (нед)'!AO47+'PL OZON (нед)'!AO47</f>
        <v>0</v>
      </c>
      <c r="AP14" s="365">
        <f>'PL WB (нед)'!AP47+'PL OZON (нед)'!AP47</f>
        <v>0</v>
      </c>
      <c r="AQ14" s="365">
        <f>'PL WB (нед)'!AQ47+'PL OZON (нед)'!AQ47</f>
        <v>0</v>
      </c>
      <c r="AR14" s="365">
        <f>'PL WB (нед)'!AR47+'PL OZON (нед)'!AR47</f>
        <v>0</v>
      </c>
      <c r="AS14" s="365">
        <f>'PL WB (нед)'!AS47+'PL OZON (нед)'!AS47</f>
        <v>0</v>
      </c>
      <c r="AT14" s="365">
        <f>'PL WB (нед)'!AT47+'PL OZON (нед)'!AT47</f>
        <v>0</v>
      </c>
      <c r="AU14" s="365">
        <f>'PL WB (нед)'!AU47+'PL OZON (нед)'!AU47</f>
        <v>0</v>
      </c>
      <c r="AV14" s="365">
        <f>'PL WB (нед)'!AV47+'PL OZON (нед)'!AV47</f>
        <v>0</v>
      </c>
      <c r="AW14" s="365">
        <f>'PL WB (нед)'!AW47+'PL OZON (нед)'!AW47</f>
        <v>0</v>
      </c>
      <c r="AX14" s="365">
        <f>'PL WB (нед)'!AX47+'PL OZON (нед)'!AX47</f>
        <v>0</v>
      </c>
      <c r="AY14" s="365">
        <f>'PL WB (нед)'!AY47+'PL OZON (нед)'!AY47</f>
        <v>0</v>
      </c>
      <c r="AZ14" s="365">
        <f>'PL WB (нед)'!AZ47+'PL OZON (нед)'!AZ47</f>
        <v>0</v>
      </c>
      <c r="BA14" s="365">
        <f>'PL WB (нед)'!BA47+'PL OZON (нед)'!BA47</f>
        <v>0</v>
      </c>
      <c r="BB14" s="365">
        <f>'PL WB (нед)'!BB47+'PL OZON (нед)'!BB47</f>
        <v>0</v>
      </c>
      <c r="BC14" s="365">
        <f>'PL WB (нед)'!BC47+'PL OZON (нед)'!BC47</f>
        <v>0</v>
      </c>
    </row>
    <row r="15" ht="13.5" customHeight="1" spans="1:55" x14ac:dyDescent="0.25">
      <c r="A15" s="363" t="s">
        <v>91</v>
      </c>
      <c r="B15" s="364"/>
      <c r="C15" s="365">
        <f>'PL WB (нед)'!C48+'PL OZON (нед)'!C48</f>
        <v>0</v>
      </c>
      <c r="D15" s="365">
        <f>'PL WB (нед)'!D48+'PL OZON (нед)'!D48</f>
        <v>0</v>
      </c>
      <c r="E15" s="365">
        <f>'PL WB (нед)'!E48+'PL OZON (нед)'!E48</f>
        <v>0</v>
      </c>
      <c r="F15" s="365">
        <f>'PL WB (нед)'!F48+'PL OZON (нед)'!F48</f>
        <v>0</v>
      </c>
      <c r="G15" s="365">
        <f>'PL WB (нед)'!G48+'PL OZON (нед)'!G48</f>
        <v>0</v>
      </c>
      <c r="H15" s="365">
        <f>'PL WB (нед)'!H48+'PL OZON (нед)'!H48</f>
        <v>0</v>
      </c>
      <c r="I15" s="365">
        <f>'PL WB (нед)'!I48+'PL OZON (нед)'!I48</f>
        <v>0</v>
      </c>
      <c r="J15" s="365">
        <f>'PL WB (нед)'!J48+'PL OZON (нед)'!J48</f>
        <v>0</v>
      </c>
      <c r="K15" s="365">
        <f>'PL WB (нед)'!K48+'PL OZON (нед)'!K48</f>
        <v>0</v>
      </c>
      <c r="L15" s="365">
        <f>'PL WB (нед)'!L48+'PL OZON (нед)'!L48</f>
        <v>0</v>
      </c>
      <c r="M15" s="365">
        <f>'PL WB (нед)'!M48+'PL OZON (нед)'!M48</f>
        <v>0</v>
      </c>
      <c r="N15" s="365">
        <f>'PL WB (нед)'!N48+'PL OZON (нед)'!N48</f>
        <v>0</v>
      </c>
      <c r="O15" s="365">
        <f>'PL WB (нед)'!O48+'PL OZON (нед)'!O48</f>
        <v>0</v>
      </c>
      <c r="P15" s="365">
        <f>'PL WB (нед)'!P48+'PL OZON (нед)'!P48</f>
        <v>0</v>
      </c>
      <c r="Q15" s="365">
        <f>'PL WB (нед)'!Q48+'PL OZON (нед)'!Q48</f>
        <v>0</v>
      </c>
      <c r="R15" s="365">
        <f>'PL WB (нед)'!R48+'PL OZON (нед)'!R48</f>
        <v>0</v>
      </c>
      <c r="S15" s="365">
        <f>'PL WB (нед)'!S48+'PL OZON (нед)'!S48</f>
        <v>0</v>
      </c>
      <c r="T15" s="365">
        <f>'PL WB (нед)'!T48+'PL OZON (нед)'!T48</f>
        <v>0</v>
      </c>
      <c r="U15" s="365">
        <f>'PL WB (нед)'!U48+'PL OZON (нед)'!U48</f>
        <v>0</v>
      </c>
      <c r="V15" s="365">
        <f>'PL WB (нед)'!V48+'PL OZON (нед)'!V48</f>
        <v>0</v>
      </c>
      <c r="W15" s="365">
        <f>'PL WB (нед)'!W48+'PL OZON (нед)'!W48</f>
        <v>0</v>
      </c>
      <c r="X15" s="365">
        <f>'PL WB (нед)'!X48+'PL OZON (нед)'!X48</f>
        <v>0</v>
      </c>
      <c r="Y15" s="365">
        <f>'PL WB (нед)'!Y48+'PL OZON (нед)'!Y48</f>
        <v>0</v>
      </c>
      <c r="Z15" s="365">
        <f>'PL WB (нед)'!Z48+'PL OZON (нед)'!Z48</f>
        <v>0</v>
      </c>
      <c r="AA15" s="365">
        <f>'PL WB (нед)'!AA48+'PL OZON (нед)'!AA48</f>
        <v>0</v>
      </c>
      <c r="AB15" s="365">
        <f>'PL WB (нед)'!AB48+'PL OZON (нед)'!AB48</f>
        <v>0</v>
      </c>
      <c r="AC15" s="365">
        <f>'PL WB (нед)'!AC48+'PL OZON (нед)'!AC48</f>
        <v>0</v>
      </c>
      <c r="AD15" s="365">
        <f>'PL WB (нед)'!AD48+'PL OZON (нед)'!AD48</f>
        <v>0</v>
      </c>
      <c r="AE15" s="365">
        <f>'PL WB (нед)'!AE48+'PL OZON (нед)'!AE48</f>
        <v>0</v>
      </c>
      <c r="AF15" s="365">
        <f>'PL WB (нед)'!AF48+'PL OZON (нед)'!AF48</f>
        <v>0</v>
      </c>
      <c r="AG15" s="365">
        <f>'PL WB (нед)'!AG48+'PL OZON (нед)'!AG48</f>
        <v>0</v>
      </c>
      <c r="AH15" s="365">
        <f>'PL WB (нед)'!AH48+'PL OZON (нед)'!AH48</f>
        <v>0</v>
      </c>
      <c r="AI15" s="365">
        <f>'PL WB (нед)'!AI48+'PL OZON (нед)'!AI48</f>
        <v>0</v>
      </c>
      <c r="AJ15" s="365">
        <f>'PL WB (нед)'!AJ48+'PL OZON (нед)'!AJ48</f>
        <v>0</v>
      </c>
      <c r="AK15" s="365">
        <f>'PL WB (нед)'!AK48+'PL OZON (нед)'!AK48</f>
        <v>0</v>
      </c>
      <c r="AL15" s="365">
        <f>'PL WB (нед)'!AL48+'PL OZON (нед)'!AL48</f>
        <v>0</v>
      </c>
      <c r="AM15" s="365">
        <f>'PL WB (нед)'!AM48+'PL OZON (нед)'!AM48</f>
        <v>0</v>
      </c>
      <c r="AN15" s="365">
        <f>'PL WB (нед)'!AN48+'PL OZON (нед)'!AN48</f>
        <v>0</v>
      </c>
      <c r="AO15" s="365">
        <f>'PL WB (нед)'!AO48+'PL OZON (нед)'!AO48</f>
        <v>0</v>
      </c>
      <c r="AP15" s="365">
        <f>'PL WB (нед)'!AP48+'PL OZON (нед)'!AP48</f>
        <v>0</v>
      </c>
      <c r="AQ15" s="365">
        <f>'PL WB (нед)'!AQ48+'PL OZON (нед)'!AQ48</f>
        <v>0</v>
      </c>
      <c r="AR15" s="365">
        <f>'PL WB (нед)'!AR48+'PL OZON (нед)'!AR48</f>
        <v>0</v>
      </c>
      <c r="AS15" s="365">
        <f>'PL WB (нед)'!AS48+'PL OZON (нед)'!AS48</f>
        <v>0</v>
      </c>
      <c r="AT15" s="365">
        <f>'PL WB (нед)'!AT48+'PL OZON (нед)'!AT48</f>
        <v>0</v>
      </c>
      <c r="AU15" s="365">
        <f>'PL WB (нед)'!AU48+'PL OZON (нед)'!AU48</f>
        <v>0</v>
      </c>
      <c r="AV15" s="365">
        <f>'PL WB (нед)'!AV48+'PL OZON (нед)'!AV48</f>
        <v>0</v>
      </c>
      <c r="AW15" s="365">
        <f>'PL WB (нед)'!AW48+'PL OZON (нед)'!AW48</f>
        <v>0</v>
      </c>
      <c r="AX15" s="365">
        <f>'PL WB (нед)'!AX48+'PL OZON (нед)'!AX48</f>
        <v>0</v>
      </c>
      <c r="AY15" s="365">
        <f>'PL WB (нед)'!AY48+'PL OZON (нед)'!AY48</f>
        <v>0</v>
      </c>
      <c r="AZ15" s="365">
        <f>'PL WB (нед)'!AZ48+'PL OZON (нед)'!AZ48</f>
        <v>0</v>
      </c>
      <c r="BA15" s="365">
        <f>'PL WB (нед)'!BA48+'PL OZON (нед)'!BA48</f>
        <v>0</v>
      </c>
      <c r="BB15" s="365">
        <f>'PL WB (нед)'!BB48+'PL OZON (нед)'!BB48</f>
        <v>0</v>
      </c>
      <c r="BC15" s="365">
        <f>'PL WB (нед)'!BC48+'PL OZON (нед)'!BC48</f>
        <v>0</v>
      </c>
    </row>
    <row r="16" ht="13.5" customHeight="1" spans="1:55" x14ac:dyDescent="0.25">
      <c r="A16" s="363" t="s">
        <v>92</v>
      </c>
      <c r="B16" s="364"/>
      <c r="C16" s="365">
        <f>'PL WB (нед)'!C49+'PL OZON (нед)'!C49</f>
        <v>0</v>
      </c>
      <c r="D16" s="365">
        <f>'PL WB (нед)'!D49+'PL OZON (нед)'!D49</f>
        <v>0</v>
      </c>
      <c r="E16" s="365">
        <f>'PL WB (нед)'!E49+'PL OZON (нед)'!E49</f>
        <v>0</v>
      </c>
      <c r="F16" s="365">
        <f>'PL WB (нед)'!F49+'PL OZON (нед)'!F49</f>
        <v>0</v>
      </c>
      <c r="G16" s="365">
        <f>'PL WB (нед)'!G49+'PL OZON (нед)'!G49</f>
        <v>0</v>
      </c>
      <c r="H16" s="365">
        <f>'PL WB (нед)'!H49+'PL OZON (нед)'!H49</f>
        <v>0</v>
      </c>
      <c r="I16" s="365">
        <f>'PL WB (нед)'!I49+'PL OZON (нед)'!I49</f>
        <v>0</v>
      </c>
      <c r="J16" s="365">
        <f>'PL WB (нед)'!J49+'PL OZON (нед)'!J49</f>
        <v>0</v>
      </c>
      <c r="K16" s="365">
        <f>'PL WB (нед)'!K49+'PL OZON (нед)'!K49</f>
        <v>0</v>
      </c>
      <c r="L16" s="365">
        <f>'PL WB (нед)'!L49+'PL OZON (нед)'!L49</f>
        <v>0</v>
      </c>
      <c r="M16" s="365">
        <f>'PL WB (нед)'!M49+'PL OZON (нед)'!M49</f>
        <v>0</v>
      </c>
      <c r="N16" s="365">
        <f>'PL WB (нед)'!N49+'PL OZON (нед)'!N49</f>
        <v>0</v>
      </c>
      <c r="O16" s="365">
        <f>'PL WB (нед)'!O49+'PL OZON (нед)'!O49</f>
        <v>0</v>
      </c>
      <c r="P16" s="365">
        <f>'PL WB (нед)'!P49+'PL OZON (нед)'!P49</f>
        <v>0</v>
      </c>
      <c r="Q16" s="365">
        <f>'PL WB (нед)'!Q49+'PL OZON (нед)'!Q49</f>
        <v>0</v>
      </c>
      <c r="R16" s="365">
        <f>'PL WB (нед)'!R49+'PL OZON (нед)'!R49</f>
        <v>0</v>
      </c>
      <c r="S16" s="365">
        <f>'PL WB (нед)'!S49+'PL OZON (нед)'!S49</f>
        <v>0</v>
      </c>
      <c r="T16" s="365">
        <f>'PL WB (нед)'!T49+'PL OZON (нед)'!T49</f>
        <v>0</v>
      </c>
      <c r="U16" s="365">
        <f>'PL WB (нед)'!U49+'PL OZON (нед)'!U49</f>
        <v>0</v>
      </c>
      <c r="V16" s="365">
        <f>'PL WB (нед)'!V49+'PL OZON (нед)'!V49</f>
        <v>0</v>
      </c>
      <c r="W16" s="365">
        <f>'PL WB (нед)'!W49+'PL OZON (нед)'!W49</f>
        <v>0</v>
      </c>
      <c r="X16" s="365">
        <f>'PL WB (нед)'!X49+'PL OZON (нед)'!X49</f>
        <v>0</v>
      </c>
      <c r="Y16" s="365">
        <f>'PL WB (нед)'!Y49+'PL OZON (нед)'!Y49</f>
        <v>0</v>
      </c>
      <c r="Z16" s="365">
        <f>'PL WB (нед)'!Z49+'PL OZON (нед)'!Z49</f>
        <v>0</v>
      </c>
      <c r="AA16" s="365">
        <f>'PL WB (нед)'!AA49+'PL OZON (нед)'!AA49</f>
        <v>0</v>
      </c>
      <c r="AB16" s="365">
        <f>'PL WB (нед)'!AB49+'PL OZON (нед)'!AB49</f>
        <v>0</v>
      </c>
      <c r="AC16" s="365">
        <f>'PL WB (нед)'!AC49+'PL OZON (нед)'!AC49</f>
        <v>0</v>
      </c>
      <c r="AD16" s="365">
        <f>'PL WB (нед)'!AD49+'PL OZON (нед)'!AD49</f>
        <v>0</v>
      </c>
      <c r="AE16" s="365">
        <f>'PL WB (нед)'!AE49+'PL OZON (нед)'!AE49</f>
        <v>0</v>
      </c>
      <c r="AF16" s="365">
        <f>'PL WB (нед)'!AF49+'PL OZON (нед)'!AF49</f>
        <v>0</v>
      </c>
      <c r="AG16" s="365">
        <f>'PL WB (нед)'!AG49+'PL OZON (нед)'!AG49</f>
        <v>0</v>
      </c>
      <c r="AH16" s="365">
        <f>'PL WB (нед)'!AH49+'PL OZON (нед)'!AH49</f>
        <v>0</v>
      </c>
      <c r="AI16" s="365">
        <f>'PL WB (нед)'!AI49+'PL OZON (нед)'!AI49</f>
        <v>0</v>
      </c>
      <c r="AJ16" s="365">
        <f>'PL WB (нед)'!AJ49+'PL OZON (нед)'!AJ49</f>
        <v>0</v>
      </c>
      <c r="AK16" s="365">
        <f>'PL WB (нед)'!AK49+'PL OZON (нед)'!AK49</f>
        <v>0</v>
      </c>
      <c r="AL16" s="365">
        <f>'PL WB (нед)'!AL49+'PL OZON (нед)'!AL49</f>
        <v>0</v>
      </c>
      <c r="AM16" s="365">
        <f>'PL WB (нед)'!AM49+'PL OZON (нед)'!AM49</f>
        <v>0</v>
      </c>
      <c r="AN16" s="365">
        <f>'PL WB (нед)'!AN49+'PL OZON (нед)'!AN49</f>
        <v>0</v>
      </c>
      <c r="AO16" s="365">
        <f>'PL WB (нед)'!AO49+'PL OZON (нед)'!AO49</f>
        <v>0</v>
      </c>
      <c r="AP16" s="365">
        <f>'PL WB (нед)'!AP49+'PL OZON (нед)'!AP49</f>
        <v>0</v>
      </c>
      <c r="AQ16" s="365">
        <f>'PL WB (нед)'!AQ49+'PL OZON (нед)'!AQ49</f>
        <v>0</v>
      </c>
      <c r="AR16" s="365">
        <f>'PL WB (нед)'!AR49+'PL OZON (нед)'!AR49</f>
        <v>0</v>
      </c>
      <c r="AS16" s="365">
        <f>'PL WB (нед)'!AS49+'PL OZON (нед)'!AS49</f>
        <v>0</v>
      </c>
      <c r="AT16" s="365">
        <f>'PL WB (нед)'!AT49+'PL OZON (нед)'!AT49</f>
        <v>0</v>
      </c>
      <c r="AU16" s="365">
        <f>'PL WB (нед)'!AU49+'PL OZON (нед)'!AU49</f>
        <v>0</v>
      </c>
      <c r="AV16" s="365">
        <f>'PL WB (нед)'!AV49+'PL OZON (нед)'!AV49</f>
        <v>0</v>
      </c>
      <c r="AW16" s="365">
        <f>'PL WB (нед)'!AW49+'PL OZON (нед)'!AW49</f>
        <v>0</v>
      </c>
      <c r="AX16" s="365">
        <f>'PL WB (нед)'!AX49+'PL OZON (нед)'!AX49</f>
        <v>0</v>
      </c>
      <c r="AY16" s="365">
        <f>'PL WB (нед)'!AY49+'PL OZON (нед)'!AY49</f>
        <v>0</v>
      </c>
      <c r="AZ16" s="365">
        <f>'PL WB (нед)'!AZ49+'PL OZON (нед)'!AZ49</f>
        <v>0</v>
      </c>
      <c r="BA16" s="365">
        <f>'PL WB (нед)'!BA49+'PL OZON (нед)'!BA49</f>
        <v>0</v>
      </c>
      <c r="BB16" s="365">
        <f>'PL WB (нед)'!BB49+'PL OZON (нед)'!BB49</f>
        <v>0</v>
      </c>
      <c r="BC16" s="365">
        <f>'PL WB (нед)'!BC49+'PL OZON (нед)'!BC49</f>
        <v>0</v>
      </c>
    </row>
    <row r="17" ht="13.5" customHeight="1" spans="1:55" x14ac:dyDescent="0.25">
      <c r="A17" s="363" t="s">
        <v>28</v>
      </c>
      <c r="B17" s="364"/>
      <c r="C17" s="365">
        <f>'PL WB (нед)'!C41+'PL OZON (нед)'!C41</f>
        <v>634</v>
      </c>
      <c r="D17" s="365">
        <f>'PL WB (нед)'!D41+'PL OZON (нед)'!D41</f>
        <v>1139</v>
      </c>
      <c r="E17" s="365">
        <f>'PL WB (нед)'!E41+'PL OZON (нед)'!E41</f>
        <v>2225</v>
      </c>
      <c r="F17" s="365">
        <f>'PL WB (нед)'!F41+'PL OZON (нед)'!F41</f>
        <v>2475</v>
      </c>
      <c r="G17" s="365">
        <f>'PL WB (нед)'!G41+'PL OZON (нед)'!G41</f>
        <v>5374</v>
      </c>
      <c r="H17" s="365">
        <f>'PL WB (нед)'!H41+'PL OZON (нед)'!H41</f>
        <v>2254</v>
      </c>
      <c r="I17" s="365">
        <f>'PL WB (нед)'!I41+'PL OZON (нед)'!I41</f>
        <v>3404</v>
      </c>
      <c r="J17" s="365">
        <f>'PL WB (нед)'!J41+'PL OZON (нед)'!J41</f>
        <v>1721</v>
      </c>
      <c r="K17" s="365">
        <f>'PL WB (нед)'!K41+'PL OZON (нед)'!K41</f>
        <v>536</v>
      </c>
      <c r="L17" s="365">
        <f>'PL WB (нед)'!L41+'PL OZON (нед)'!L41</f>
        <v>1608</v>
      </c>
      <c r="M17" s="365">
        <f>'PL WB (нед)'!M41+'PL OZON (нед)'!M41</f>
        <v>840</v>
      </c>
      <c r="N17" s="365">
        <f>'PL WB (нед)'!N41+'PL OZON (нед)'!N41</f>
        <v>330</v>
      </c>
      <c r="O17" s="365">
        <f>'PL WB (нед)'!O41+'PL OZON (нед)'!O41</f>
        <v>439</v>
      </c>
      <c r="P17" s="365">
        <f>'PL WB (нед)'!P41+'PL OZON (нед)'!P41</f>
        <v>108</v>
      </c>
      <c r="Q17" s="365">
        <f>'PL WB (нед)'!Q41+'PL OZON (нед)'!Q41</f>
        <v>126</v>
      </c>
      <c r="R17" s="365">
        <f>'PL WB (нед)'!R41+'PL OZON (нед)'!R41</f>
        <v>141</v>
      </c>
      <c r="S17" s="365">
        <f>'PL WB (нед)'!S41+'PL OZON (нед)'!S41</f>
        <v>0</v>
      </c>
      <c r="T17" s="365">
        <f>'PL WB (нед)'!T41+'PL OZON (нед)'!T41</f>
        <v>0</v>
      </c>
      <c r="U17" s="365">
        <f>'PL WB (нед)'!U41+'PL OZON (нед)'!U41</f>
        <v>0</v>
      </c>
      <c r="V17" s="365">
        <f>'PL WB (нед)'!V41+'PL OZON (нед)'!V41</f>
        <v>0</v>
      </c>
      <c r="W17" s="365">
        <f>'PL WB (нед)'!W41+'PL OZON (нед)'!W41</f>
        <v>0</v>
      </c>
      <c r="X17" s="365">
        <f>'PL WB (нед)'!X41+'PL OZON (нед)'!X41</f>
        <v>0</v>
      </c>
      <c r="Y17" s="365">
        <f>'PL WB (нед)'!Y41+'PL OZON (нед)'!Y41</f>
        <v>0</v>
      </c>
      <c r="Z17" s="365">
        <f>'PL WB (нед)'!Z41+'PL OZON (нед)'!Z41</f>
        <v>0</v>
      </c>
      <c r="AA17" s="365">
        <f>'PL WB (нед)'!AA41+'PL OZON (нед)'!AA41</f>
        <v>0</v>
      </c>
      <c r="AB17" s="365">
        <f>'PL WB (нед)'!AB41+'PL OZON (нед)'!AB41</f>
        <v>0</v>
      </c>
      <c r="AC17" s="365">
        <f>'PL WB (нед)'!AC41+'PL OZON (нед)'!AC41</f>
        <v>0</v>
      </c>
      <c r="AD17" s="365">
        <f>'PL WB (нед)'!AD41+'PL OZON (нед)'!AD41</f>
        <v>0</v>
      </c>
      <c r="AE17" s="365">
        <f>'PL WB (нед)'!AE41+'PL OZON (нед)'!AE41</f>
        <v>0</v>
      </c>
      <c r="AF17" s="365">
        <f>'PL WB (нед)'!AF41+'PL OZON (нед)'!AF41</f>
        <v>0</v>
      </c>
      <c r="AG17" s="365">
        <f>'PL WB (нед)'!AG41+'PL OZON (нед)'!AG41</f>
        <v>0</v>
      </c>
      <c r="AH17" s="365">
        <f>'PL WB (нед)'!AH41+'PL OZON (нед)'!AH41</f>
        <v>0</v>
      </c>
      <c r="AI17" s="365">
        <f>'PL WB (нед)'!AI41+'PL OZON (нед)'!AI41</f>
        <v>0</v>
      </c>
      <c r="AJ17" s="365">
        <f>'PL WB (нед)'!AJ41+'PL OZON (нед)'!AJ41</f>
        <v>0</v>
      </c>
      <c r="AK17" s="365">
        <f>'PL WB (нед)'!AK41+'PL OZON (нед)'!AK41</f>
        <v>0</v>
      </c>
      <c r="AL17" s="365">
        <f>'PL WB (нед)'!AL41+'PL OZON (нед)'!AL41</f>
        <v>0</v>
      </c>
      <c r="AM17" s="365">
        <f>'PL WB (нед)'!AM41+'PL OZON (нед)'!AM41</f>
        <v>0</v>
      </c>
      <c r="AN17" s="365">
        <f>'PL WB (нед)'!AN41+'PL OZON (нед)'!AN41</f>
        <v>0</v>
      </c>
      <c r="AO17" s="365">
        <f>'PL WB (нед)'!AO41+'PL OZON (нед)'!AO41</f>
        <v>0</v>
      </c>
      <c r="AP17" s="365">
        <f>'PL WB (нед)'!AP41+'PL OZON (нед)'!AP41</f>
        <v>0</v>
      </c>
      <c r="AQ17" s="365">
        <f>'PL WB (нед)'!AQ41+'PL OZON (нед)'!AQ41</f>
        <v>0</v>
      </c>
      <c r="AR17" s="365">
        <f>'PL WB (нед)'!AR41+'PL OZON (нед)'!AR41</f>
        <v>0</v>
      </c>
      <c r="AS17" s="365">
        <f>'PL WB (нед)'!AS41+'PL OZON (нед)'!AS41</f>
        <v>0</v>
      </c>
      <c r="AT17" s="365">
        <f>'PL WB (нед)'!AT41+'PL OZON (нед)'!AT41</f>
        <v>0</v>
      </c>
      <c r="AU17" s="365">
        <f>'PL WB (нед)'!AU41+'PL OZON (нед)'!AU41</f>
        <v>0</v>
      </c>
      <c r="AV17" s="365">
        <f>'PL WB (нед)'!AV41+'PL OZON (нед)'!AV41</f>
        <v>0</v>
      </c>
      <c r="AW17" s="365">
        <f>'PL WB (нед)'!AW41+'PL OZON (нед)'!AW41</f>
        <v>0</v>
      </c>
      <c r="AX17" s="365">
        <f>'PL WB (нед)'!AX41+'PL OZON (нед)'!AX41</f>
        <v>0</v>
      </c>
      <c r="AY17" s="365">
        <f>'PL WB (нед)'!AY41+'PL OZON (нед)'!AY41</f>
        <v>0</v>
      </c>
      <c r="AZ17" s="365">
        <f>'PL WB (нед)'!AZ41+'PL OZON (нед)'!AZ41</f>
        <v>0</v>
      </c>
      <c r="BA17" s="365">
        <f>'PL WB (нед)'!BA41+'PL OZON (нед)'!BA41</f>
        <v>0</v>
      </c>
      <c r="BB17" s="365">
        <f>'PL WB (нед)'!BB41+'PL OZON (нед)'!BB41</f>
        <v>0</v>
      </c>
      <c r="BC17" s="365">
        <f>'PL WB (нед)'!BC41+'PL OZON (нед)'!BC41</f>
        <v>0</v>
      </c>
    </row>
    <row r="18" ht="13.5" customHeight="1" spans="1:55" x14ac:dyDescent="0.25">
      <c r="A18" s="363" t="s">
        <v>93</v>
      </c>
      <c r="B18" s="364"/>
      <c r="C18" s="365">
        <f>'PL WB (нед)'!C51+'PL OZON (нед)'!C51</f>
        <v>0</v>
      </c>
      <c r="D18" s="365">
        <f>'PL WB (нед)'!D51+'PL OZON (нед)'!D51</f>
        <v>0</v>
      </c>
      <c r="E18" s="365">
        <f>'PL WB (нед)'!E51+'PL OZON (нед)'!E51</f>
        <v>0</v>
      </c>
      <c r="F18" s="365">
        <f>'PL WB (нед)'!F51+'PL OZON (нед)'!F51</f>
        <v>0</v>
      </c>
      <c r="G18" s="365">
        <f>'PL WB (нед)'!G51+'PL OZON (нед)'!G51</f>
        <v>0</v>
      </c>
      <c r="H18" s="365">
        <f>'PL WB (нед)'!H51+'PL OZON (нед)'!H51</f>
        <v>0</v>
      </c>
      <c r="I18" s="365">
        <f>'PL WB (нед)'!I50+'PL OZON (нед)'!I50</f>
        <v>0</v>
      </c>
      <c r="J18" s="365">
        <f>'PL WB (нед)'!J50+'PL OZON (нед)'!J50</f>
        <v>0</v>
      </c>
      <c r="K18" s="365">
        <f>'PL WB (нед)'!K50+'PL OZON (нед)'!K50</f>
        <v>0</v>
      </c>
      <c r="L18" s="365">
        <f>'PL WB (нед)'!L50+'PL OZON (нед)'!L50</f>
        <v>0</v>
      </c>
      <c r="M18" s="365">
        <f>'PL WB (нед)'!M50+'PL OZON (нед)'!M50</f>
        <v>0</v>
      </c>
      <c r="N18" s="365">
        <f>'PL WB (нед)'!N50+'PL OZON (нед)'!N50</f>
        <v>0</v>
      </c>
      <c r="O18" s="365">
        <f>'PL WB (нед)'!O50+'PL OZON (нед)'!O50</f>
        <v>0</v>
      </c>
      <c r="P18" s="365">
        <f>'PL WB (нед)'!P50+'PL OZON (нед)'!P50</f>
        <v>0</v>
      </c>
      <c r="Q18" s="365">
        <f>'PL WB (нед)'!Q50+'PL OZON (нед)'!Q50</f>
        <v>0</v>
      </c>
      <c r="R18" s="365">
        <f>'PL WB (нед)'!R50+'PL OZON (нед)'!R50</f>
        <v>0</v>
      </c>
      <c r="S18" s="365">
        <f>'PL WB (нед)'!S50+'PL OZON (нед)'!S50</f>
        <v>0</v>
      </c>
      <c r="T18" s="365">
        <f>'PL WB (нед)'!T50+'PL OZON (нед)'!T50</f>
        <v>0</v>
      </c>
      <c r="U18" s="365">
        <f>'PL WB (нед)'!U50+'PL OZON (нед)'!U50</f>
        <v>0</v>
      </c>
      <c r="V18" s="365">
        <f>'PL WB (нед)'!V50+'PL OZON (нед)'!V50</f>
        <v>0</v>
      </c>
      <c r="W18" s="365">
        <f>'PL WB (нед)'!W50+'PL OZON (нед)'!W50</f>
        <v>0</v>
      </c>
      <c r="X18" s="365">
        <f>'PL WB (нед)'!X50+'PL OZON (нед)'!X50</f>
        <v>0</v>
      </c>
      <c r="Y18" s="365">
        <f>'PL WB (нед)'!Y50+'PL OZON (нед)'!Y50</f>
        <v>0</v>
      </c>
      <c r="Z18" s="365">
        <f>'PL WB (нед)'!Z50+'PL OZON (нед)'!Z50</f>
        <v>0</v>
      </c>
      <c r="AA18" s="365">
        <f>'PL WB (нед)'!AA50+'PL OZON (нед)'!AA50</f>
        <v>0</v>
      </c>
      <c r="AB18" s="365">
        <f>'PL WB (нед)'!AB50+'PL OZON (нед)'!AB50</f>
        <v>0</v>
      </c>
      <c r="AC18" s="365">
        <f>'PL WB (нед)'!AC50+'PL OZON (нед)'!AC50</f>
        <v>0</v>
      </c>
      <c r="AD18" s="365">
        <f>'PL WB (нед)'!AD50+'PL OZON (нед)'!AD50</f>
        <v>0</v>
      </c>
      <c r="AE18" s="365">
        <f>'PL WB (нед)'!AE50+'PL OZON (нед)'!AE50</f>
        <v>0</v>
      </c>
      <c r="AF18" s="365">
        <f>'PL WB (нед)'!AF50+'PL OZON (нед)'!AF50</f>
        <v>0</v>
      </c>
      <c r="AG18" s="365">
        <f>'PL WB (нед)'!AG50+'PL OZON (нед)'!AG50</f>
        <v>0</v>
      </c>
      <c r="AH18" s="365">
        <f>'PL WB (нед)'!AH50+'PL OZON (нед)'!AH50</f>
        <v>0</v>
      </c>
      <c r="AI18" s="365">
        <f>'PL WB (нед)'!AI50+'PL OZON (нед)'!AI50</f>
        <v>0</v>
      </c>
      <c r="AJ18" s="365">
        <f>'PL WB (нед)'!AJ50+'PL OZON (нед)'!AJ50</f>
        <v>0</v>
      </c>
      <c r="AK18" s="365">
        <f>'PL WB (нед)'!AK50+'PL OZON (нед)'!AK50</f>
        <v>0</v>
      </c>
      <c r="AL18" s="365">
        <f>'PL WB (нед)'!AL50+'PL OZON (нед)'!AL50</f>
        <v>0</v>
      </c>
      <c r="AM18" s="365">
        <f>'PL WB (нед)'!AM50+'PL OZON (нед)'!AM50</f>
        <v>0</v>
      </c>
      <c r="AN18" s="365">
        <f>'PL WB (нед)'!AN50+'PL OZON (нед)'!AN50</f>
        <v>0</v>
      </c>
      <c r="AO18" s="365">
        <f>'PL WB (нед)'!AO50+'PL OZON (нед)'!AO50</f>
        <v>0</v>
      </c>
      <c r="AP18" s="365">
        <f>'PL WB (нед)'!AP50+'PL OZON (нед)'!AP50</f>
        <v>0</v>
      </c>
      <c r="AQ18" s="365">
        <f>'PL WB (нед)'!AQ50+'PL OZON (нед)'!AQ50</f>
        <v>0</v>
      </c>
      <c r="AR18" s="365">
        <f>'PL WB (нед)'!AR50+'PL OZON (нед)'!AR50</f>
        <v>0</v>
      </c>
      <c r="AS18" s="365">
        <f>'PL WB (нед)'!AS50+'PL OZON (нед)'!AS50</f>
        <v>0</v>
      </c>
      <c r="AT18" s="365">
        <f>'PL WB (нед)'!AT50+'PL OZON (нед)'!AT50</f>
        <v>0</v>
      </c>
      <c r="AU18" s="365">
        <f>'PL WB (нед)'!AU50+'PL OZON (нед)'!AU50</f>
        <v>0</v>
      </c>
      <c r="AV18" s="365">
        <f>'PL WB (нед)'!AV50+'PL OZON (нед)'!AV50</f>
        <v>0</v>
      </c>
      <c r="AW18" s="365">
        <f>'PL WB (нед)'!AW50+'PL OZON (нед)'!AW50</f>
        <v>0</v>
      </c>
      <c r="AX18" s="365">
        <f>'PL WB (нед)'!AX50+'PL OZON (нед)'!AX50</f>
        <v>0</v>
      </c>
      <c r="AY18" s="365">
        <f>'PL WB (нед)'!AY50+'PL OZON (нед)'!AY50</f>
        <v>0</v>
      </c>
      <c r="AZ18" s="365">
        <f>'PL WB (нед)'!AZ50+'PL OZON (нед)'!AZ50</f>
        <v>0</v>
      </c>
      <c r="BA18" s="365">
        <f>'PL WB (нед)'!BA50+'PL OZON (нед)'!BA50</f>
        <v>0</v>
      </c>
      <c r="BB18" s="365">
        <f>'PL WB (нед)'!BB50+'PL OZON (нед)'!BB50</f>
        <v>0</v>
      </c>
      <c r="BC18" s="365">
        <f>'PL WB (нед)'!BC50+'PL OZON (нед)'!BC50</f>
        <v>0</v>
      </c>
    </row>
    <row r="19" ht="13.5" customHeight="1" spans="1:55" x14ac:dyDescent="0.25">
      <c r="A19" s="363" t="s">
        <v>167</v>
      </c>
      <c r="B19" s="364"/>
      <c r="C19" s="365">
        <f>'PL WB (нед)'!C51+'PL OZON (нед)'!C51</f>
        <v>0</v>
      </c>
      <c r="D19" s="365">
        <f>'PL WB (нед)'!D51+'PL OZON (нед)'!D51</f>
        <v>0</v>
      </c>
      <c r="E19" s="365">
        <f>'PL WB (нед)'!E51+'PL OZON (нед)'!E51</f>
        <v>0</v>
      </c>
      <c r="F19" s="365">
        <f>'PL WB (нед)'!F51+'PL OZON (нед)'!F51</f>
        <v>0</v>
      </c>
      <c r="G19" s="365">
        <f>'PL WB (нед)'!G51+'PL OZON (нед)'!G51</f>
        <v>0</v>
      </c>
      <c r="H19" s="365">
        <f>'PL WB (нед)'!H51+'PL OZON (нед)'!H51</f>
        <v>0</v>
      </c>
      <c r="I19" s="365">
        <f>'PL WB (нед)'!I51+'PL OZON (нед)'!I51</f>
        <v>0</v>
      </c>
      <c r="J19" s="365">
        <f>'PL WB (нед)'!J51+'PL OZON (нед)'!J51</f>
        <v>0</v>
      </c>
      <c r="K19" s="365">
        <f>'PL WB (нед)'!K51+'PL OZON (нед)'!K51</f>
        <v>0</v>
      </c>
      <c r="L19" s="365">
        <f>'PL WB (нед)'!L51+'PL OZON (нед)'!L51</f>
        <v>0</v>
      </c>
      <c r="M19" s="365">
        <f>'PL WB (нед)'!M51+'PL OZON (нед)'!M51</f>
        <v>0</v>
      </c>
      <c r="N19" s="365">
        <f>'PL WB (нед)'!N51+'PL OZON (нед)'!N51</f>
        <v>0</v>
      </c>
      <c r="O19" s="365">
        <f>'PL WB (нед)'!O51+'PL OZON (нед)'!O51</f>
        <v>0</v>
      </c>
      <c r="P19" s="365">
        <f>'PL WB (нед)'!P51+'PL OZON (нед)'!P51</f>
        <v>0</v>
      </c>
      <c r="Q19" s="365">
        <f>'PL WB (нед)'!Q51+'PL OZON (нед)'!Q51</f>
        <v>0</v>
      </c>
      <c r="R19" s="365">
        <f>'PL WB (нед)'!R51+'PL OZON (нед)'!R51</f>
        <v>0</v>
      </c>
      <c r="S19" s="365">
        <f>'PL WB (нед)'!S51+'PL OZON (нед)'!S51</f>
        <v>0</v>
      </c>
      <c r="T19" s="365">
        <f>'PL WB (нед)'!T51+'PL OZON (нед)'!T51</f>
        <v>0</v>
      </c>
      <c r="U19" s="365">
        <f>'PL WB (нед)'!U51+'PL OZON (нед)'!U51</f>
        <v>0</v>
      </c>
      <c r="V19" s="365">
        <f>'PL WB (нед)'!V51+'PL OZON (нед)'!V51</f>
        <v>0</v>
      </c>
      <c r="W19" s="365">
        <f>'PL WB (нед)'!W51+'PL OZON (нед)'!W51</f>
        <v>0</v>
      </c>
      <c r="X19" s="365">
        <f>'PL WB (нед)'!X51+'PL OZON (нед)'!X51</f>
        <v>0</v>
      </c>
      <c r="Y19" s="365">
        <f>'PL WB (нед)'!Y51+'PL OZON (нед)'!Y51</f>
        <v>0</v>
      </c>
      <c r="Z19" s="365">
        <f>'PL WB (нед)'!Z51+'PL OZON (нед)'!Z51</f>
        <v>0</v>
      </c>
      <c r="AA19" s="365">
        <f>'PL WB (нед)'!AA51+'PL OZON (нед)'!AA51</f>
        <v>0</v>
      </c>
      <c r="AB19" s="365">
        <f>'PL WB (нед)'!AB51+'PL OZON (нед)'!AB51</f>
        <v>0</v>
      </c>
      <c r="AC19" s="365">
        <f>'PL WB (нед)'!AC51+'PL OZON (нед)'!AC51</f>
        <v>0</v>
      </c>
      <c r="AD19" s="365">
        <f>'PL WB (нед)'!AD51+'PL OZON (нед)'!AD51</f>
        <v>0</v>
      </c>
      <c r="AE19" s="365">
        <f>'PL WB (нед)'!AE51+'PL OZON (нед)'!AE51</f>
        <v>0</v>
      </c>
      <c r="AF19" s="365">
        <f>'PL WB (нед)'!AF51+'PL OZON (нед)'!AF51</f>
        <v>0</v>
      </c>
      <c r="AG19" s="365">
        <f>'PL WB (нед)'!AG51+'PL OZON (нед)'!AG51</f>
        <v>0</v>
      </c>
      <c r="AH19" s="365">
        <f>'PL WB (нед)'!AH51+'PL OZON (нед)'!AH51</f>
        <v>0</v>
      </c>
      <c r="AI19" s="365">
        <f>'PL WB (нед)'!AI51+'PL OZON (нед)'!AI51</f>
        <v>0</v>
      </c>
      <c r="AJ19" s="365">
        <f>'PL WB (нед)'!AJ51+'PL OZON (нед)'!AJ51</f>
        <v>0</v>
      </c>
      <c r="AK19" s="365">
        <f>'PL WB (нед)'!AK51+'PL OZON (нед)'!AK51</f>
        <v>0</v>
      </c>
      <c r="AL19" s="365">
        <f>'PL WB (нед)'!AL51+'PL OZON (нед)'!AL51</f>
        <v>0</v>
      </c>
      <c r="AM19" s="365">
        <f>'PL WB (нед)'!AM51+'PL OZON (нед)'!AM51</f>
        <v>0</v>
      </c>
      <c r="AN19" s="365">
        <f>'PL WB (нед)'!AN51+'PL OZON (нед)'!AN51</f>
        <v>0</v>
      </c>
      <c r="AO19" s="365">
        <f>'PL WB (нед)'!AO51+'PL OZON (нед)'!AO51</f>
        <v>0</v>
      </c>
      <c r="AP19" s="365">
        <f>'PL WB (нед)'!AP51+'PL OZON (нед)'!AP51</f>
        <v>0</v>
      </c>
      <c r="AQ19" s="365">
        <f>'PL WB (нед)'!AQ51+'PL OZON (нед)'!AQ51</f>
        <v>0</v>
      </c>
      <c r="AR19" s="365">
        <f>'PL WB (нед)'!AR51+'PL OZON (нед)'!AR51</f>
        <v>0</v>
      </c>
      <c r="AS19" s="365">
        <f>'PL WB (нед)'!AS51+'PL OZON (нед)'!AS51</f>
        <v>0</v>
      </c>
      <c r="AT19" s="365">
        <f>'PL WB (нед)'!AT51+'PL OZON (нед)'!AT51</f>
        <v>0</v>
      </c>
      <c r="AU19" s="365">
        <f>'PL WB (нед)'!AU51+'PL OZON (нед)'!AU51</f>
        <v>0</v>
      </c>
      <c r="AV19" s="365">
        <f>'PL WB (нед)'!AV51+'PL OZON (нед)'!AV51</f>
        <v>0</v>
      </c>
      <c r="AW19" s="365">
        <f>'PL WB (нед)'!AW51+'PL OZON (нед)'!AW51</f>
        <v>0</v>
      </c>
      <c r="AX19" s="365">
        <f>'PL WB (нед)'!AX51+'PL OZON (нед)'!AX51</f>
        <v>0</v>
      </c>
      <c r="AY19" s="365">
        <f>'PL WB (нед)'!AY51+'PL OZON (нед)'!AY51</f>
        <v>0</v>
      </c>
      <c r="AZ19" s="365">
        <f>'PL WB (нед)'!AZ51+'PL OZON (нед)'!AZ51</f>
        <v>0</v>
      </c>
      <c r="BA19" s="365">
        <f>'PL WB (нед)'!BA51+'PL OZON (нед)'!BA51</f>
        <v>0</v>
      </c>
      <c r="BB19" s="365">
        <f>'PL WB (нед)'!BB51+'PL OZON (нед)'!BB51</f>
        <v>0</v>
      </c>
      <c r="BC19" s="365">
        <f>'PL WB (нед)'!BC51+'PL OZON (нед)'!BC51</f>
        <v>0</v>
      </c>
    </row>
    <row r="20" ht="13.5" customHeight="1" spans="1:55" x14ac:dyDescent="0.25">
      <c r="A20" s="366"/>
      <c r="B20" s="367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  <c r="AH20" s="346"/>
      <c r="AI20" s="346"/>
      <c r="AJ20" s="346"/>
      <c r="AK20" s="346"/>
      <c r="AL20" s="346"/>
      <c r="AM20" s="346"/>
      <c r="AN20" s="346"/>
      <c r="AO20" s="346"/>
      <c r="AP20" s="346"/>
      <c r="AQ20" s="346"/>
      <c r="AR20" s="346"/>
      <c r="AS20" s="346"/>
      <c r="AT20" s="346"/>
      <c r="AU20" s="346"/>
      <c r="AV20" s="346"/>
      <c r="AW20" s="346"/>
      <c r="AX20" s="346"/>
      <c r="AY20" s="346"/>
      <c r="AZ20" s="346"/>
      <c r="BA20" s="346"/>
      <c r="BB20" s="346"/>
      <c r="BC20" s="346"/>
    </row>
    <row r="21" ht="13.5" customHeight="1" spans="1:55" x14ac:dyDescent="0.25">
      <c r="A21" s="352" t="s">
        <v>168</v>
      </c>
      <c r="B21" s="353"/>
      <c r="C21" s="362">
        <f>'PL WB (нед)'!C55+'PL OZON (нед)'!C55</f>
        <v>3715.62</v>
      </c>
      <c r="D21" s="362">
        <f>'PL WB (нед)'!D55+'PL OZON (нед)'!D55</f>
        <v>13218.57</v>
      </c>
      <c r="E21" s="362">
        <f>'PL WB (нед)'!E55+'PL OZON (нед)'!E55</f>
        <v>15238.68</v>
      </c>
      <c r="F21" s="362">
        <f>'PL WB (нед)'!F55+'PL OZON (нед)'!F55</f>
        <v>14731.34</v>
      </c>
      <c r="G21" s="362">
        <f>'PL WB (нед)'!G55+'PL OZON (нед)'!G55</f>
        <v>14114.740000000002</v>
      </c>
      <c r="H21" s="362">
        <f>'PL WB (нед)'!H55+'PL OZON (нед)'!H55</f>
        <v>13133.829999999998</v>
      </c>
      <c r="I21" s="362">
        <f>'PL WB (нед)'!I55+'PL OZON (нед)'!I55</f>
        <v>13617.64</v>
      </c>
      <c r="J21" s="362">
        <f>'PL WB (нед)'!J55+'PL OZON (нед)'!J55</f>
        <v>13850.170000000002</v>
      </c>
      <c r="K21" s="362">
        <f>'PL WB (нед)'!K55+'PL OZON (нед)'!K55</f>
        <v>12038.51</v>
      </c>
      <c r="L21" s="362">
        <f>'PL WB (нед)'!L55+'PL OZON (нед)'!L55</f>
        <v>12331</v>
      </c>
      <c r="M21" s="362">
        <f>'PL WB (нед)'!M55+'PL OZON (нед)'!M55</f>
        <v>11157.619999999999</v>
      </c>
      <c r="N21" s="362">
        <f>'PL WB (нед)'!N55+'PL OZON (нед)'!N55</f>
        <v>10362.119999999999</v>
      </c>
      <c r="O21" s="362">
        <f>'PL WB (нед)'!O55+'PL OZON (нед)'!O55</f>
        <v>9363.11</v>
      </c>
      <c r="P21" s="362">
        <f>'PL WB (нед)'!P55+'PL OZON (нед)'!P55</f>
        <v>7101.87</v>
      </c>
      <c r="Q21" s="362">
        <f>'PL WB (нед)'!Q55+'PL OZON (нед)'!Q55</f>
        <v>6287.63</v>
      </c>
      <c r="R21" s="362">
        <f>'PL WB (нед)'!R55+'PL OZON (нед)'!R55</f>
        <v>6152.25</v>
      </c>
      <c r="S21" s="362">
        <f>'PL WB (нед)'!S55+'PL OZON (нед)'!S55</f>
        <v>0</v>
      </c>
      <c r="T21" s="362">
        <f>'PL WB (нед)'!T55+'PL OZON (нед)'!T55</f>
        <v>0</v>
      </c>
      <c r="U21" s="362">
        <f>'PL WB (нед)'!U55+'PL OZON (нед)'!U55</f>
        <v>0</v>
      </c>
      <c r="V21" s="362">
        <f>'PL WB (нед)'!V55+'PL OZON (нед)'!V55</f>
        <v>0</v>
      </c>
      <c r="W21" s="362">
        <f>'PL WB (нед)'!W55+'PL OZON (нед)'!W55</f>
        <v>0</v>
      </c>
      <c r="X21" s="362">
        <f>'PL WB (нед)'!X55+'PL OZON (нед)'!X55</f>
        <v>0</v>
      </c>
      <c r="Y21" s="362">
        <f>'PL WB (нед)'!Y55+'PL OZON (нед)'!Y55</f>
        <v>0</v>
      </c>
      <c r="Z21" s="362">
        <f>'PL WB (нед)'!Z55+'PL OZON (нед)'!Z55</f>
        <v>0</v>
      </c>
      <c r="AA21" s="362">
        <f>'PL WB (нед)'!AA55+'PL OZON (нед)'!AA55</f>
        <v>0</v>
      </c>
      <c r="AB21" s="362">
        <f>'PL WB (нед)'!AB55+'PL OZON (нед)'!AB55</f>
        <v>0</v>
      </c>
      <c r="AC21" s="362">
        <f>'PL WB (нед)'!AC55+'PL OZON (нед)'!AC55</f>
        <v>0</v>
      </c>
      <c r="AD21" s="362">
        <f>'PL WB (нед)'!AD55+'PL OZON (нед)'!AD55</f>
        <v>0</v>
      </c>
      <c r="AE21" s="362">
        <f>'PL WB (нед)'!AE55+'PL OZON (нед)'!AE55</f>
        <v>0</v>
      </c>
      <c r="AF21" s="362">
        <f>'PL WB (нед)'!AF55+'PL OZON (нед)'!AF55</f>
        <v>0</v>
      </c>
      <c r="AG21" s="362">
        <f>'PL WB (нед)'!AG55+'PL OZON (нед)'!AG55</f>
        <v>0</v>
      </c>
      <c r="AH21" s="362">
        <f>'PL WB (нед)'!AH55+'PL OZON (нед)'!AH55</f>
        <v>0</v>
      </c>
      <c r="AI21" s="362">
        <f>'PL WB (нед)'!AI55+'PL OZON (нед)'!AI55</f>
        <v>0</v>
      </c>
      <c r="AJ21" s="362">
        <f>'PL WB (нед)'!AJ55+'PL OZON (нед)'!AJ55</f>
        <v>0</v>
      </c>
      <c r="AK21" s="362">
        <f>'PL WB (нед)'!AK55+'PL OZON (нед)'!AK55</f>
        <v>0</v>
      </c>
      <c r="AL21" s="362">
        <f>'PL WB (нед)'!AL55+'PL OZON (нед)'!AL55</f>
        <v>0</v>
      </c>
      <c r="AM21" s="362">
        <f>'PL WB (нед)'!AM55+'PL OZON (нед)'!AM55</f>
        <v>0</v>
      </c>
      <c r="AN21" s="362">
        <f>'PL WB (нед)'!AN55+'PL OZON (нед)'!AN55</f>
        <v>0</v>
      </c>
      <c r="AO21" s="362">
        <f>'PL WB (нед)'!AO55+'PL OZON (нед)'!AO55</f>
        <v>0</v>
      </c>
      <c r="AP21" s="362">
        <f>'PL WB (нед)'!AP55+'PL OZON (нед)'!AP55</f>
        <v>0</v>
      </c>
      <c r="AQ21" s="362">
        <f>'PL WB (нед)'!AQ55+'PL OZON (нед)'!AQ55</f>
        <v>0</v>
      </c>
      <c r="AR21" s="362">
        <f>'PL WB (нед)'!AR55+'PL OZON (нед)'!AR55</f>
        <v>0</v>
      </c>
      <c r="AS21" s="362">
        <f>'PL WB (нед)'!AS55+'PL OZON (нед)'!AS55</f>
        <v>0</v>
      </c>
      <c r="AT21" s="362">
        <f>'PL WB (нед)'!AT55+'PL OZON (нед)'!AT55</f>
        <v>0</v>
      </c>
      <c r="AU21" s="362">
        <f>'PL WB (нед)'!AU55+'PL OZON (нед)'!AU55</f>
        <v>0</v>
      </c>
      <c r="AV21" s="362">
        <f>'PL WB (нед)'!AV55+'PL OZON (нед)'!AV55</f>
        <v>0</v>
      </c>
      <c r="AW21" s="362">
        <f>'PL WB (нед)'!AW55+'PL OZON (нед)'!AW55</f>
        <v>0</v>
      </c>
      <c r="AX21" s="362">
        <f>'PL WB (нед)'!AX55+'PL OZON (нед)'!AX55</f>
        <v>0</v>
      </c>
      <c r="AY21" s="362">
        <f>'PL WB (нед)'!AY55+'PL OZON (нед)'!AY55</f>
        <v>0</v>
      </c>
      <c r="AZ21" s="362">
        <f>'PL WB (нед)'!AZ55+'PL OZON (нед)'!AZ55</f>
        <v>0</v>
      </c>
      <c r="BA21" s="362">
        <f>'PL WB (нед)'!BA55+'PL OZON (нед)'!BA55</f>
        <v>0</v>
      </c>
      <c r="BB21" s="362">
        <f>'PL WB (нед)'!BB55+'PL OZON (нед)'!BB55</f>
        <v>0</v>
      </c>
      <c r="BC21" s="362">
        <f>'PL WB (нед)'!BC55+'PL OZON (нед)'!BC55</f>
        <v>0</v>
      </c>
    </row>
    <row r="22" ht="13.5" customHeight="1" spans="1:55" x14ac:dyDescent="0.25">
      <c r="A22" s="345"/>
      <c r="B22" s="350"/>
      <c r="C22" s="351"/>
      <c r="D22" s="346"/>
      <c r="E22" s="346"/>
      <c r="F22" s="346"/>
      <c r="G22" s="346"/>
      <c r="H22" s="351"/>
      <c r="I22" s="346"/>
      <c r="J22" s="346"/>
      <c r="K22" s="350"/>
      <c r="L22" s="346"/>
      <c r="M22" s="346"/>
      <c r="N22" s="346"/>
      <c r="O22" s="350"/>
      <c r="P22" s="346"/>
      <c r="Q22" s="346"/>
      <c r="R22" s="346"/>
      <c r="S22" s="350"/>
      <c r="T22" s="346"/>
      <c r="U22" s="346"/>
      <c r="V22" s="346"/>
      <c r="W22" s="346"/>
      <c r="X22" s="350"/>
      <c r="Y22" s="346"/>
      <c r="Z22" s="346"/>
      <c r="AA22" s="346"/>
      <c r="AB22" s="350"/>
      <c r="AC22" s="346"/>
      <c r="AD22" s="346"/>
      <c r="AE22" s="346"/>
      <c r="AF22" s="350"/>
      <c r="AG22" s="346"/>
      <c r="AH22" s="346"/>
      <c r="AI22" s="346"/>
      <c r="AJ22" s="346"/>
      <c r="AK22" s="350"/>
      <c r="AL22" s="346"/>
      <c r="AM22" s="346"/>
      <c r="AN22" s="346"/>
      <c r="AO22" s="350"/>
      <c r="AP22" s="346"/>
      <c r="AQ22" s="346"/>
      <c r="AR22" s="346"/>
      <c r="AS22" s="346"/>
      <c r="AT22" s="350"/>
      <c r="AU22" s="346"/>
      <c r="AV22" s="346"/>
      <c r="AW22" s="346"/>
      <c r="AX22" s="350"/>
      <c r="AY22" s="346"/>
      <c r="AZ22" s="346"/>
      <c r="BA22" s="346"/>
      <c r="BB22" s="346"/>
      <c r="BC22" s="346"/>
    </row>
    <row r="23" ht="13.5" customHeight="1" spans="1:55" x14ac:dyDescent="0.25">
      <c r="A23" s="358" t="s">
        <v>169</v>
      </c>
      <c r="B23" s="368"/>
      <c r="C23" s="369"/>
      <c r="D23" s="370"/>
      <c r="E23" s="370"/>
      <c r="F23" s="370"/>
      <c r="G23" s="370"/>
      <c r="H23" s="371"/>
      <c r="I23" s="372"/>
      <c r="J23" s="373"/>
      <c r="K23" s="374"/>
      <c r="L23" s="373"/>
      <c r="M23" s="373"/>
      <c r="N23" s="373"/>
      <c r="O23" s="374"/>
      <c r="P23" s="373"/>
      <c r="Q23" s="373"/>
      <c r="R23" s="373"/>
      <c r="S23" s="374"/>
      <c r="T23" s="373"/>
      <c r="U23" s="373"/>
      <c r="V23" s="373"/>
      <c r="W23" s="373"/>
      <c r="X23" s="374"/>
      <c r="Y23" s="373"/>
      <c r="Z23" s="373"/>
      <c r="AA23" s="373"/>
      <c r="AB23" s="374"/>
      <c r="AC23" s="373"/>
      <c r="AD23" s="373"/>
      <c r="AE23" s="373"/>
      <c r="AF23" s="374"/>
      <c r="AG23" s="373"/>
      <c r="AH23" s="373"/>
      <c r="AI23" s="373"/>
      <c r="AJ23" s="373"/>
      <c r="AK23" s="374"/>
      <c r="AL23" s="373"/>
      <c r="AM23" s="373"/>
      <c r="AN23" s="373"/>
      <c r="AO23" s="374"/>
      <c r="AP23" s="373"/>
      <c r="AQ23" s="373"/>
      <c r="AR23" s="373"/>
      <c r="AS23" s="373"/>
      <c r="AT23" s="374"/>
      <c r="AU23" s="373"/>
      <c r="AV23" s="372"/>
      <c r="AW23" s="373"/>
      <c r="AX23" s="373"/>
      <c r="AY23" s="375"/>
      <c r="AZ23" s="373"/>
      <c r="BA23" s="373"/>
      <c r="BB23" s="373"/>
      <c r="BC23" s="373"/>
    </row>
    <row r="24" ht="13.5" customHeight="1" spans="1:55" x14ac:dyDescent="0.25">
      <c r="A24" s="358" t="s">
        <v>170</v>
      </c>
      <c r="B24" s="359"/>
      <c r="C24" s="354"/>
      <c r="D24" s="376"/>
      <c r="E24" s="376"/>
      <c r="F24" s="376"/>
      <c r="G24" s="376"/>
      <c r="H24" s="377"/>
      <c r="I24" s="378"/>
      <c r="J24" s="378"/>
      <c r="K24" s="379"/>
      <c r="L24" s="378"/>
      <c r="M24" s="380"/>
      <c r="N24" s="378"/>
      <c r="O24" s="379"/>
      <c r="P24" s="380"/>
      <c r="Q24" s="380"/>
      <c r="R24" s="380"/>
      <c r="S24" s="381"/>
      <c r="T24" s="380"/>
      <c r="U24" s="380"/>
      <c r="V24" s="380"/>
      <c r="W24" s="380"/>
      <c r="X24" s="381"/>
      <c r="Y24" s="380"/>
      <c r="Z24" s="380"/>
      <c r="AA24" s="380"/>
      <c r="AB24" s="381"/>
      <c r="AC24" s="380"/>
      <c r="AD24" s="380"/>
      <c r="AE24" s="380"/>
      <c r="AF24" s="381"/>
      <c r="AG24" s="380"/>
      <c r="AH24" s="380"/>
      <c r="AI24" s="380"/>
      <c r="AJ24" s="380"/>
      <c r="AK24" s="381"/>
      <c r="AL24" s="380"/>
      <c r="AM24" s="380"/>
      <c r="AN24" s="380"/>
      <c r="AO24" s="381"/>
      <c r="AP24" s="380"/>
      <c r="AQ24" s="380"/>
      <c r="AR24" s="380"/>
      <c r="AS24" s="380"/>
      <c r="AT24" s="381"/>
      <c r="AU24" s="380"/>
      <c r="AV24" s="380"/>
      <c r="AW24" s="380"/>
      <c r="AX24" s="381"/>
      <c r="AY24" s="380"/>
      <c r="AZ24" s="380"/>
      <c r="BA24" s="380"/>
      <c r="BB24" s="380"/>
      <c r="BC24" s="380"/>
    </row>
    <row r="25" ht="13.5" customHeight="1" spans="1:55" x14ac:dyDescent="0.25">
      <c r="A25" s="358" t="s">
        <v>171</v>
      </c>
      <c r="B25" s="359"/>
      <c r="C25" s="354"/>
      <c r="D25" s="376"/>
      <c r="E25" s="376"/>
      <c r="F25" s="376"/>
      <c r="G25" s="376"/>
      <c r="H25" s="377"/>
      <c r="I25" s="380"/>
      <c r="J25" s="378"/>
      <c r="K25" s="379"/>
      <c r="L25" s="378"/>
      <c r="M25" s="380"/>
      <c r="N25" s="378"/>
      <c r="O25" s="379"/>
      <c r="P25" s="380"/>
      <c r="Q25" s="380"/>
      <c r="R25" s="380"/>
      <c r="S25" s="381"/>
      <c r="T25" s="380"/>
      <c r="U25" s="380"/>
      <c r="V25" s="380"/>
      <c r="W25" s="380"/>
      <c r="X25" s="381"/>
      <c r="Y25" s="380"/>
      <c r="Z25" s="380"/>
      <c r="AA25" s="380"/>
      <c r="AB25" s="381"/>
      <c r="AC25" s="380"/>
      <c r="AD25" s="380"/>
      <c r="AE25" s="380"/>
      <c r="AF25" s="381"/>
      <c r="AG25" s="380"/>
      <c r="AH25" s="380"/>
      <c r="AI25" s="380"/>
      <c r="AJ25" s="380"/>
      <c r="AK25" s="381"/>
      <c r="AL25" s="380"/>
      <c r="AM25" s="380"/>
      <c r="AN25" s="380"/>
      <c r="AO25" s="381"/>
      <c r="AP25" s="380"/>
      <c r="AQ25" s="380"/>
      <c r="AR25" s="380"/>
      <c r="AS25" s="380"/>
      <c r="AT25" s="381"/>
      <c r="AU25" s="380"/>
      <c r="AV25" s="380"/>
      <c r="AW25" s="380"/>
      <c r="AX25" s="381"/>
      <c r="AY25" s="380"/>
      <c r="AZ25" s="380"/>
      <c r="BA25" s="380"/>
      <c r="BB25" s="380"/>
      <c r="BC25" s="380"/>
    </row>
    <row r="26" ht="13.5" customHeight="1" spans="1:55" x14ac:dyDescent="0.25">
      <c r="A26" s="358" t="s">
        <v>172</v>
      </c>
      <c r="B26" s="368"/>
      <c r="C26" s="382"/>
      <c r="D26" s="370"/>
      <c r="E26" s="370"/>
      <c r="F26" s="370"/>
      <c r="G26" s="370"/>
      <c r="H26" s="383"/>
      <c r="I26" s="373"/>
      <c r="J26" s="373"/>
      <c r="K26" s="374"/>
      <c r="L26" s="373"/>
      <c r="M26" s="372"/>
      <c r="N26" s="373"/>
      <c r="O26" s="374"/>
      <c r="P26" s="372"/>
      <c r="Q26" s="372"/>
      <c r="R26" s="372"/>
      <c r="S26" s="384"/>
      <c r="T26" s="372"/>
      <c r="U26" s="372"/>
      <c r="V26" s="372"/>
      <c r="W26" s="372"/>
      <c r="X26" s="384"/>
      <c r="Y26" s="372"/>
      <c r="Z26" s="372"/>
      <c r="AA26" s="372"/>
      <c r="AB26" s="372"/>
      <c r="AC26" s="372"/>
      <c r="AD26" s="372"/>
      <c r="AE26" s="372"/>
      <c r="AF26" s="384"/>
      <c r="AG26" s="372"/>
      <c r="AH26" s="372"/>
      <c r="AI26" s="372"/>
      <c r="AJ26" s="372"/>
      <c r="AK26" s="384"/>
      <c r="AL26" s="372"/>
      <c r="AM26" s="372"/>
      <c r="AN26" s="372"/>
      <c r="AO26" s="384"/>
      <c r="AP26" s="372"/>
      <c r="AQ26" s="372"/>
      <c r="AR26" s="372"/>
      <c r="AS26" s="372"/>
      <c r="AT26" s="384"/>
      <c r="AU26" s="372"/>
      <c r="AV26" s="372"/>
      <c r="AW26" s="372"/>
      <c r="AX26" s="384"/>
      <c r="AY26" s="372"/>
      <c r="AZ26" s="372"/>
      <c r="BA26" s="372"/>
      <c r="BB26" s="372"/>
      <c r="BC26" s="372"/>
    </row>
    <row r="27" ht="13.5" customHeight="1" spans="1:55" x14ac:dyDescent="0.25">
      <c r="A27" s="358" t="s">
        <v>173</v>
      </c>
      <c r="B27" s="359"/>
      <c r="C27" s="354"/>
      <c r="D27" s="376"/>
      <c r="E27" s="376"/>
      <c r="F27" s="376"/>
      <c r="G27" s="376"/>
      <c r="H27" s="377"/>
      <c r="I27" s="378"/>
      <c r="J27" s="378"/>
      <c r="K27" s="379"/>
      <c r="L27" s="378"/>
      <c r="M27" s="380"/>
      <c r="N27" s="378"/>
      <c r="O27" s="379"/>
      <c r="P27" s="380"/>
      <c r="Q27" s="380"/>
      <c r="R27" s="380"/>
      <c r="S27" s="381"/>
      <c r="T27" s="380"/>
      <c r="U27" s="380"/>
      <c r="V27" s="380"/>
      <c r="W27" s="380"/>
      <c r="X27" s="381"/>
      <c r="Y27" s="380"/>
      <c r="Z27" s="380"/>
      <c r="AA27" s="380"/>
      <c r="AB27" s="381"/>
      <c r="AC27" s="380"/>
      <c r="AD27" s="380"/>
      <c r="AE27" s="380"/>
      <c r="AF27" s="381"/>
      <c r="AG27" s="380"/>
      <c r="AH27" s="380"/>
      <c r="AI27" s="380"/>
      <c r="AJ27" s="380"/>
      <c r="AK27" s="381"/>
      <c r="AL27" s="380"/>
      <c r="AM27" s="380"/>
      <c r="AN27" s="380"/>
      <c r="AO27" s="381"/>
      <c r="AP27" s="380"/>
      <c r="AQ27" s="380"/>
      <c r="AR27" s="380"/>
      <c r="AS27" s="380"/>
      <c r="AT27" s="381"/>
      <c r="AU27" s="380"/>
      <c r="AV27" s="380"/>
      <c r="AW27" s="380"/>
      <c r="AX27" s="381"/>
      <c r="AY27" s="380"/>
      <c r="AZ27" s="380"/>
      <c r="BA27" s="380"/>
      <c r="BB27" s="380"/>
      <c r="BC27" s="380"/>
    </row>
    <row r="28" ht="13.5" customHeight="1" spans="1:55" x14ac:dyDescent="0.25">
      <c r="A28" s="358"/>
      <c r="B28" s="359"/>
      <c r="C28" s="377"/>
      <c r="D28" s="380"/>
      <c r="E28" s="380"/>
      <c r="F28" s="380"/>
      <c r="G28" s="380"/>
      <c r="H28" s="377"/>
      <c r="I28" s="378"/>
      <c r="J28" s="378"/>
      <c r="K28" s="379"/>
      <c r="L28" s="378"/>
      <c r="M28" s="380"/>
      <c r="N28" s="378"/>
      <c r="O28" s="379"/>
      <c r="P28" s="380"/>
      <c r="Q28" s="380"/>
      <c r="R28" s="380"/>
      <c r="S28" s="381"/>
      <c r="T28" s="380"/>
      <c r="U28" s="380"/>
      <c r="V28" s="380"/>
      <c r="W28" s="380"/>
      <c r="X28" s="381"/>
      <c r="Y28" s="380"/>
      <c r="Z28" s="380"/>
      <c r="AA28" s="380"/>
      <c r="AB28" s="381"/>
      <c r="AC28" s="380"/>
      <c r="AD28" s="380"/>
      <c r="AE28" s="380"/>
      <c r="AF28" s="381"/>
      <c r="AG28" s="380"/>
      <c r="AH28" s="380"/>
      <c r="AI28" s="380"/>
      <c r="AJ28" s="380"/>
      <c r="AK28" s="381"/>
      <c r="AL28" s="380"/>
      <c r="AM28" s="380"/>
      <c r="AN28" s="380"/>
      <c r="AO28" s="381"/>
      <c r="AP28" s="380"/>
      <c r="AQ28" s="380"/>
      <c r="AR28" s="380"/>
      <c r="AS28" s="380"/>
      <c r="AT28" s="381"/>
      <c r="AU28" s="380"/>
      <c r="AV28" s="380"/>
      <c r="AW28" s="380"/>
      <c r="AX28" s="381"/>
      <c r="AY28" s="380"/>
      <c r="AZ28" s="380"/>
      <c r="BA28" s="380"/>
      <c r="BB28" s="380"/>
      <c r="BC28" s="380"/>
    </row>
    <row r="29" ht="13.5" customHeight="1" spans="1:55" x14ac:dyDescent="0.25">
      <c r="A29" s="358" t="s">
        <v>174</v>
      </c>
      <c r="B29" s="359"/>
      <c r="C29" s="354"/>
      <c r="D29" s="376"/>
      <c r="E29" s="376"/>
      <c r="F29" s="376"/>
      <c r="G29" s="376"/>
      <c r="H29" s="377"/>
      <c r="I29" s="378"/>
      <c r="J29" s="378"/>
      <c r="K29" s="381"/>
      <c r="L29" s="378"/>
      <c r="M29" s="380"/>
      <c r="N29" s="378"/>
      <c r="O29" s="379"/>
      <c r="P29" s="380"/>
      <c r="Q29" s="380"/>
      <c r="R29" s="380"/>
      <c r="S29" s="381"/>
      <c r="T29" s="380"/>
      <c r="U29" s="380"/>
      <c r="V29" s="380"/>
      <c r="W29" s="380"/>
      <c r="X29" s="381"/>
      <c r="Y29" s="380"/>
      <c r="Z29" s="380"/>
      <c r="AA29" s="380"/>
      <c r="AB29" s="381"/>
      <c r="AC29" s="380"/>
      <c r="AD29" s="380"/>
      <c r="AE29" s="380"/>
      <c r="AF29" s="381"/>
      <c r="AG29" s="380"/>
      <c r="AH29" s="380"/>
      <c r="AI29" s="380"/>
      <c r="AJ29" s="380"/>
      <c r="AK29" s="381"/>
      <c r="AL29" s="380"/>
      <c r="AM29" s="380"/>
      <c r="AN29" s="380"/>
      <c r="AO29" s="381"/>
      <c r="AP29" s="380"/>
      <c r="AQ29" s="380"/>
      <c r="AR29" s="380"/>
      <c r="AS29" s="380"/>
      <c r="AT29" s="381"/>
      <c r="AU29" s="380"/>
      <c r="AV29" s="380"/>
      <c r="AW29" s="380"/>
      <c r="AX29" s="381"/>
      <c r="AY29" s="380"/>
      <c r="AZ29" s="380"/>
      <c r="BA29" s="380"/>
      <c r="BB29" s="380"/>
      <c r="BC29" s="380"/>
    </row>
    <row r="30" ht="13.5" customHeight="1" spans="1:55" x14ac:dyDescent="0.25">
      <c r="A30" s="63"/>
      <c r="B30" s="385"/>
      <c r="C30" s="386"/>
      <c r="D30" s="387"/>
      <c r="E30" s="387"/>
      <c r="F30" s="387"/>
      <c r="G30" s="387"/>
      <c r="H30" s="386"/>
      <c r="I30" s="387"/>
      <c r="J30" s="387"/>
      <c r="K30" s="388"/>
      <c r="L30" s="387"/>
      <c r="M30" s="387"/>
      <c r="N30" s="387"/>
      <c r="O30" s="388"/>
      <c r="P30" s="387"/>
      <c r="Q30" s="387"/>
      <c r="R30" s="387"/>
      <c r="S30" s="388"/>
      <c r="T30" s="387"/>
      <c r="U30" s="387"/>
      <c r="V30" s="387"/>
      <c r="W30" s="387"/>
      <c r="X30" s="388"/>
      <c r="Y30" s="387"/>
      <c r="Z30" s="387"/>
      <c r="AA30" s="387"/>
      <c r="AB30" s="388"/>
      <c r="AC30" s="387"/>
      <c r="AD30" s="387"/>
      <c r="AE30" s="387"/>
      <c r="AF30" s="388"/>
      <c r="AG30" s="387"/>
      <c r="AH30" s="387"/>
      <c r="AI30" s="387"/>
      <c r="AJ30" s="387"/>
      <c r="AK30" s="388"/>
      <c r="AL30" s="387"/>
      <c r="AM30" s="387"/>
      <c r="AN30" s="387"/>
      <c r="AO30" s="388"/>
      <c r="AP30" s="387"/>
      <c r="AQ30" s="387"/>
      <c r="AR30" s="387"/>
      <c r="AS30" s="387"/>
      <c r="AT30" s="388"/>
      <c r="AU30" s="387"/>
      <c r="AV30" s="387"/>
      <c r="AW30" s="387"/>
      <c r="AX30" s="388"/>
      <c r="AY30" s="387"/>
      <c r="AZ30" s="387"/>
      <c r="BA30" s="387"/>
      <c r="BB30" s="387"/>
      <c r="BC30" s="387"/>
    </row>
    <row r="31" ht="13.5" customHeight="1" spans="1:55" x14ac:dyDescent="0.25">
      <c r="A31" s="389" t="s">
        <v>175</v>
      </c>
      <c r="B31" s="390"/>
      <c r="C31" s="391"/>
      <c r="D31" s="392"/>
      <c r="E31" s="392"/>
      <c r="F31" s="392"/>
      <c r="G31" s="392"/>
      <c r="H31" s="391"/>
      <c r="I31" s="392"/>
      <c r="J31" s="392"/>
      <c r="K31" s="393"/>
      <c r="L31" s="392"/>
      <c r="M31" s="392"/>
      <c r="N31" s="392"/>
      <c r="O31" s="393"/>
      <c r="P31" s="392"/>
      <c r="Q31" s="392"/>
      <c r="R31" s="392"/>
      <c r="S31" s="393"/>
      <c r="T31" s="392"/>
      <c r="U31" s="392"/>
      <c r="V31" s="392"/>
      <c r="W31" s="392"/>
      <c r="X31" s="393"/>
      <c r="Y31" s="392"/>
      <c r="Z31" s="392"/>
      <c r="AA31" s="392"/>
      <c r="AB31" s="393"/>
      <c r="AC31" s="392"/>
      <c r="AD31" s="392"/>
      <c r="AE31" s="392"/>
      <c r="AF31" s="393"/>
      <c r="AG31" s="392"/>
      <c r="AH31" s="392"/>
      <c r="AI31" s="392"/>
      <c r="AJ31" s="392"/>
      <c r="AK31" s="393"/>
      <c r="AL31" s="392"/>
      <c r="AM31" s="392"/>
      <c r="AN31" s="392"/>
      <c r="AO31" s="393"/>
      <c r="AP31" s="392"/>
      <c r="AQ31" s="392"/>
      <c r="AR31" s="392"/>
      <c r="AS31" s="392"/>
      <c r="AT31" s="393"/>
      <c r="AU31" s="392"/>
      <c r="AV31" s="392"/>
      <c r="AW31" s="392"/>
      <c r="AX31" s="393"/>
      <c r="AY31" s="392"/>
      <c r="AZ31" s="392"/>
      <c r="BA31" s="392"/>
      <c r="BB31" s="392"/>
      <c r="BC31" s="392"/>
    </row>
    <row r="33" ht="13.5" customHeight="1" spans="1:55" x14ac:dyDescent="0.25">
      <c r="A33" s="394" t="s">
        <v>100</v>
      </c>
      <c r="B33" s="395"/>
      <c r="C33" s="396">
        <f t="shared" ref="C33:AH33" si="6">C11-C13-C21-SUM(C23:C27)+C29-C31</f>
        <v>1994177.8957000005</v>
      </c>
      <c r="D33" s="396">
        <f t="shared" si="6"/>
        <v>2100356.7557000006</v>
      </c>
      <c r="E33" s="396">
        <f t="shared" si="6"/>
        <v>2234359.3557</v>
      </c>
      <c r="F33" s="396">
        <f t="shared" si="6"/>
        <v>2340085.2357000005</v>
      </c>
      <c r="G33" s="396">
        <f t="shared" si="6"/>
        <v>2444316.6157000004</v>
      </c>
      <c r="H33" s="397">
        <f t="shared" si="6"/>
        <v>2568251.9457000005</v>
      </c>
      <c r="I33" s="396">
        <f t="shared" si="6"/>
        <v>2701831.7657000003</v>
      </c>
      <c r="J33" s="396">
        <f t="shared" si="6"/>
        <v>2827470.9057000005</v>
      </c>
      <c r="K33" s="395">
        <f t="shared" si="6"/>
        <v>2951779.9657000005</v>
      </c>
      <c r="L33" s="396">
        <f t="shared" si="6"/>
        <v>3065041.8357000006</v>
      </c>
      <c r="M33" s="396">
        <f t="shared" si="6"/>
        <v>3166917.6157000004</v>
      </c>
      <c r="N33" s="396">
        <f t="shared" si="6"/>
        <v>3264799.0757000004</v>
      </c>
      <c r="O33" s="395">
        <f t="shared" si="6"/>
        <v>3357449.8957000007</v>
      </c>
      <c r="P33" s="396">
        <f t="shared" si="6"/>
        <v>3428328.6757000005</v>
      </c>
      <c r="Q33" s="396">
        <f t="shared" si="6"/>
        <v>3485243.3357000006</v>
      </c>
      <c r="R33" s="396">
        <f t="shared" si="6"/>
        <v>3539892.4257000005</v>
      </c>
      <c r="S33" s="395">
        <f t="shared" si="6"/>
        <v>3539892.4257000005</v>
      </c>
      <c r="T33" s="396">
        <f t="shared" si="6"/>
        <v>3539892.4257000005</v>
      </c>
      <c r="U33" s="396">
        <f t="shared" si="6"/>
        <v>3539892.4257000005</v>
      </c>
      <c r="V33" s="396">
        <f t="shared" si="6"/>
        <v>3539892.4257000005</v>
      </c>
      <c r="W33" s="396">
        <f t="shared" si="6"/>
        <v>3539892.4257000005</v>
      </c>
      <c r="X33" s="395">
        <f t="shared" si="6"/>
        <v>3539892.4257000005</v>
      </c>
      <c r="Y33" s="396">
        <f t="shared" si="6"/>
        <v>3539892.4257000005</v>
      </c>
      <c r="Z33" s="396">
        <f t="shared" si="6"/>
        <v>3539892.4257000005</v>
      </c>
      <c r="AA33" s="396">
        <f t="shared" si="6"/>
        <v>3539892.4257000005</v>
      </c>
      <c r="AB33" s="395">
        <f t="shared" si="6"/>
        <v>3539892.4257000005</v>
      </c>
      <c r="AC33" s="396">
        <f t="shared" si="6"/>
        <v>3539892.4257000005</v>
      </c>
      <c r="AD33" s="396">
        <f t="shared" si="6"/>
        <v>3539892.4257000005</v>
      </c>
      <c r="AE33" s="396">
        <f t="shared" si="6"/>
        <v>3539892.4257000005</v>
      </c>
      <c r="AF33" s="395">
        <f t="shared" si="6"/>
        <v>3539892.4257000005</v>
      </c>
      <c r="AG33" s="396">
        <f t="shared" si="6"/>
        <v>3539892.4257000005</v>
      </c>
      <c r="AH33" s="396">
        <f t="shared" si="6"/>
        <v>3539892.4257000005</v>
      </c>
      <c r="AI33" s="396">
        <f t="shared" ref="AI33:BB33" si="7">AI11-AI13-AI21-SUM(AI23:AI27)+AI29-AI31</f>
        <v>3539892.4257000005</v>
      </c>
      <c r="AJ33" s="396">
        <f t="shared" si="7"/>
        <v>3539892.4257000005</v>
      </c>
      <c r="AK33" s="395">
        <f t="shared" si="7"/>
        <v>3539892.4257000005</v>
      </c>
      <c r="AL33" s="396">
        <f t="shared" si="7"/>
        <v>3539892.4257000005</v>
      </c>
      <c r="AM33" s="396">
        <f t="shared" si="7"/>
        <v>3539892.4257000005</v>
      </c>
      <c r="AN33" s="396">
        <f t="shared" si="7"/>
        <v>3539892.4257000005</v>
      </c>
      <c r="AO33" s="395">
        <f t="shared" si="7"/>
        <v>3539892.4257000005</v>
      </c>
      <c r="AP33" s="396">
        <f t="shared" si="7"/>
        <v>3539892.4257000005</v>
      </c>
      <c r="AQ33" s="396">
        <f t="shared" si="7"/>
        <v>3539892.4257000005</v>
      </c>
      <c r="AR33" s="396">
        <f t="shared" si="7"/>
        <v>3539892.4257000005</v>
      </c>
      <c r="AS33" s="396">
        <f t="shared" si="7"/>
        <v>3539892.4257000005</v>
      </c>
      <c r="AT33" s="395">
        <f t="shared" si="7"/>
        <v>3539892.4257000005</v>
      </c>
      <c r="AU33" s="396">
        <f t="shared" si="7"/>
        <v>3539892.4257000005</v>
      </c>
      <c r="AV33" s="396">
        <f t="shared" si="7"/>
        <v>3539892.4257000005</v>
      </c>
      <c r="AW33" s="396">
        <f t="shared" si="7"/>
        <v>3539892.4257000005</v>
      </c>
      <c r="AX33" s="395">
        <f t="shared" si="7"/>
        <v>3539892.4257000005</v>
      </c>
      <c r="AY33" s="396">
        <f t="shared" si="7"/>
        <v>3539892.4257000005</v>
      </c>
      <c r="AZ33" s="396">
        <f t="shared" si="7"/>
        <v>3539892.4257000005</v>
      </c>
      <c r="BA33" s="396">
        <f t="shared" si="7"/>
        <v>3539892.4257000005</v>
      </c>
      <c r="BB33" s="396">
        <f t="shared" si="7"/>
        <v>3539892.4257000005</v>
      </c>
      <c r="BC33" s="396">
        <f t="shared" ref="BC33" si="8">BC11-BC13-BC21-SUM(BC23:BC27)+BC29-BC31</f>
        <v>3539892.4257000005</v>
      </c>
    </row>
    <row r="34" ht="13.5" customHeight="1" spans="1:55" x14ac:dyDescent="0.25">
      <c r="A34" s="358"/>
      <c r="B34" s="398"/>
      <c r="C34" s="399"/>
      <c r="D34" s="400"/>
      <c r="E34" s="400"/>
      <c r="F34" s="400"/>
      <c r="G34" s="401"/>
      <c r="H34" s="399"/>
      <c r="I34" s="400"/>
      <c r="J34" s="400"/>
      <c r="K34" s="402"/>
      <c r="L34" s="400"/>
      <c r="M34" s="400"/>
      <c r="N34" s="400"/>
      <c r="O34" s="403"/>
      <c r="P34" s="400"/>
      <c r="Q34" s="400"/>
      <c r="R34" s="400"/>
      <c r="S34" s="403"/>
      <c r="T34" s="400"/>
      <c r="U34" s="400"/>
      <c r="V34" s="400"/>
      <c r="W34" s="400"/>
      <c r="X34" s="403"/>
      <c r="Y34" s="400"/>
      <c r="Z34" s="400"/>
      <c r="AA34" s="400"/>
      <c r="AB34" s="403"/>
      <c r="AC34" s="400"/>
      <c r="AD34" s="400"/>
      <c r="AE34" s="400"/>
      <c r="AF34" s="403"/>
      <c r="AG34" s="400"/>
      <c r="AH34" s="400"/>
      <c r="AI34" s="400"/>
      <c r="AJ34" s="400"/>
      <c r="AK34" s="403"/>
      <c r="AL34" s="400"/>
      <c r="AM34" s="400"/>
      <c r="AN34" s="400"/>
      <c r="AO34" s="403"/>
      <c r="AP34" s="400"/>
      <c r="AQ34" s="400"/>
      <c r="AR34" s="400"/>
      <c r="AS34" s="400"/>
      <c r="AT34" s="403"/>
      <c r="AU34" s="400"/>
      <c r="AV34" s="400"/>
      <c r="AW34" s="400"/>
      <c r="AX34" s="403"/>
      <c r="AY34" s="400"/>
      <c r="AZ34" s="400"/>
      <c r="BA34" s="400"/>
      <c r="BB34" s="400"/>
      <c r="BC34" s="400"/>
    </row>
    <row r="35" ht="13.5" customHeight="1" spans="1:55" x14ac:dyDescent="0.25">
      <c r="A35" s="358"/>
      <c r="B35" s="398" t="s">
        <v>176</v>
      </c>
      <c r="C35" s="404">
        <f>283707+SUM(C23:C27)-C4</f>
        <v>91308.23000000001</v>
      </c>
      <c r="D35" s="405">
        <f t="shared" ref="D35:AI35" si="9">C35+SUM(D23:D27)-D4</f>
        <v>91308.23000000001</v>
      </c>
      <c r="E35" s="405">
        <f t="shared" si="9"/>
        <v>91308.23000000001</v>
      </c>
      <c r="F35" s="405">
        <f t="shared" si="9"/>
        <v>91308.23000000001</v>
      </c>
      <c r="G35" s="405">
        <f t="shared" si="9"/>
        <v>91308.23000000001</v>
      </c>
      <c r="H35" s="404">
        <f t="shared" si="9"/>
        <v>91308.23000000001</v>
      </c>
      <c r="I35" s="405">
        <f t="shared" si="9"/>
        <v>91308.23000000001</v>
      </c>
      <c r="J35" s="405">
        <f t="shared" si="9"/>
        <v>91308.23000000001</v>
      </c>
      <c r="K35" s="398">
        <f t="shared" si="9"/>
        <v>91308.23000000001</v>
      </c>
      <c r="L35" s="405">
        <f t="shared" si="9"/>
        <v>91308.23000000001</v>
      </c>
      <c r="M35" s="405">
        <f t="shared" si="9"/>
        <v>91308.23000000001</v>
      </c>
      <c r="N35" s="405">
        <f t="shared" si="9"/>
        <v>91308.23000000001</v>
      </c>
      <c r="O35" s="398">
        <f t="shared" si="9"/>
        <v>91308.23000000001</v>
      </c>
      <c r="P35" s="405">
        <f t="shared" si="9"/>
        <v>91308.23000000001</v>
      </c>
      <c r="Q35" s="405">
        <f t="shared" si="9"/>
        <v>91308.23000000001</v>
      </c>
      <c r="R35" s="405">
        <f t="shared" si="9"/>
        <v>91308.23000000001</v>
      </c>
      <c r="S35" s="398">
        <f t="shared" si="9"/>
        <v>91308.23000000001</v>
      </c>
      <c r="T35" s="405">
        <f t="shared" si="9"/>
        <v>91308.23000000001</v>
      </c>
      <c r="U35" s="405">
        <f t="shared" si="9"/>
        <v>91308.23000000001</v>
      </c>
      <c r="V35" s="405">
        <f t="shared" si="9"/>
        <v>91308.23000000001</v>
      </c>
      <c r="W35" s="405">
        <f t="shared" si="9"/>
        <v>91308.23000000001</v>
      </c>
      <c r="X35" s="398">
        <f t="shared" si="9"/>
        <v>91308.23000000001</v>
      </c>
      <c r="Y35" s="405">
        <f t="shared" si="9"/>
        <v>91308.23000000001</v>
      </c>
      <c r="Z35" s="405">
        <f t="shared" si="9"/>
        <v>91308.23000000001</v>
      </c>
      <c r="AA35" s="405">
        <f t="shared" si="9"/>
        <v>91308.23000000001</v>
      </c>
      <c r="AB35" s="398">
        <f t="shared" si="9"/>
        <v>91308.23000000001</v>
      </c>
      <c r="AC35" s="405">
        <f t="shared" si="9"/>
        <v>91308.23000000001</v>
      </c>
      <c r="AD35" s="405">
        <f t="shared" si="9"/>
        <v>91308.23000000001</v>
      </c>
      <c r="AE35" s="405">
        <f t="shared" si="9"/>
        <v>91308.23000000001</v>
      </c>
      <c r="AF35" s="398">
        <f t="shared" si="9"/>
        <v>91308.23000000001</v>
      </c>
      <c r="AG35" s="405">
        <f t="shared" si="9"/>
        <v>91308.23000000001</v>
      </c>
      <c r="AH35" s="405">
        <f t="shared" si="9"/>
        <v>91308.23000000001</v>
      </c>
      <c r="AI35" s="405">
        <f t="shared" si="9"/>
        <v>91308.23000000001</v>
      </c>
      <c r="AJ35" s="405">
        <f t="shared" ref="AJ35:BC35" si="10">AI35+SUM(AJ23:AJ27)-AJ4</f>
        <v>91308.23000000001</v>
      </c>
      <c r="AK35" s="398">
        <f t="shared" si="10"/>
        <v>91308.23000000001</v>
      </c>
      <c r="AL35" s="405">
        <f t="shared" si="10"/>
        <v>91308.23000000001</v>
      </c>
      <c r="AM35" s="405">
        <f t="shared" si="10"/>
        <v>91308.23000000001</v>
      </c>
      <c r="AN35" s="405">
        <f t="shared" si="10"/>
        <v>91308.23000000001</v>
      </c>
      <c r="AO35" s="398">
        <f t="shared" si="10"/>
        <v>91308.23000000001</v>
      </c>
      <c r="AP35" s="405">
        <f t="shared" si="10"/>
        <v>91308.23000000001</v>
      </c>
      <c r="AQ35" s="405">
        <f t="shared" si="10"/>
        <v>91308.23000000001</v>
      </c>
      <c r="AR35" s="405">
        <f t="shared" si="10"/>
        <v>91308.23000000001</v>
      </c>
      <c r="AS35" s="405">
        <f t="shared" si="10"/>
        <v>91308.23000000001</v>
      </c>
      <c r="AT35" s="398">
        <f t="shared" si="10"/>
        <v>91308.23000000001</v>
      </c>
      <c r="AU35" s="405">
        <f t="shared" si="10"/>
        <v>91308.23000000001</v>
      </c>
      <c r="AV35" s="405">
        <f t="shared" si="10"/>
        <v>91308.23000000001</v>
      </c>
      <c r="AW35" s="405">
        <f t="shared" si="10"/>
        <v>91308.23000000001</v>
      </c>
      <c r="AX35" s="398">
        <f t="shared" si="10"/>
        <v>91308.23000000001</v>
      </c>
      <c r="AY35" s="405">
        <f t="shared" si="10"/>
        <v>91308.23000000001</v>
      </c>
      <c r="AZ35" s="405">
        <f t="shared" si="10"/>
        <v>91308.23000000001</v>
      </c>
      <c r="BA35" s="405">
        <f t="shared" si="10"/>
        <v>91308.23000000001</v>
      </c>
      <c r="BB35" s="405">
        <f t="shared" si="10"/>
        <v>91308.23000000001</v>
      </c>
      <c r="BC35" s="405">
        <f t="shared" si="10"/>
        <v>91308.23000000001</v>
      </c>
    </row>
    <row r="36" ht="13.5" customHeight="1" spans="1:55" x14ac:dyDescent="0.25">
      <c r="A36" s="358"/>
      <c r="B36" s="398" t="s">
        <v>177</v>
      </c>
      <c r="C36" s="404">
        <f t="shared" ref="C36:AH36" si="11">C5+C42+C35</f>
        <v>3835537.5657000006</v>
      </c>
      <c r="D36" s="405">
        <f t="shared" si="11"/>
        <v>3891586.425700001</v>
      </c>
      <c r="E36" s="405">
        <f t="shared" si="11"/>
        <v>3962155.8657000004</v>
      </c>
      <c r="F36" s="405">
        <f t="shared" si="11"/>
        <v>4010105.545700001</v>
      </c>
      <c r="G36" s="405">
        <f t="shared" si="11"/>
        <v>4058530.4757000008</v>
      </c>
      <c r="H36" s="404">
        <f t="shared" si="11"/>
        <v>4124524.805700001</v>
      </c>
      <c r="I36" s="405">
        <f t="shared" si="11"/>
        <v>4200742.565700001</v>
      </c>
      <c r="J36" s="405">
        <f t="shared" si="11"/>
        <v>4270144.465700001</v>
      </c>
      <c r="K36" s="398">
        <f t="shared" si="11"/>
        <v>4344507.105700001</v>
      </c>
      <c r="L36" s="405">
        <f t="shared" si="11"/>
        <v>4407956.975700001</v>
      </c>
      <c r="M36" s="405">
        <f t="shared" si="11"/>
        <v>4462372.2957000015</v>
      </c>
      <c r="N36" s="405">
        <f t="shared" si="11"/>
        <v>4507166.0057000015</v>
      </c>
      <c r="O36" s="398">
        <f t="shared" si="11"/>
        <v>4557827.635700001</v>
      </c>
      <c r="P36" s="405">
        <f t="shared" si="11"/>
        <v>4599717.875700002</v>
      </c>
      <c r="Q36" s="405">
        <f t="shared" si="11"/>
        <v>4630937.975700001</v>
      </c>
      <c r="R36" s="405">
        <f t="shared" si="11"/>
        <v>4659279.265700001</v>
      </c>
      <c r="S36" s="398">
        <f t="shared" si="11"/>
        <v>4659279.265700001</v>
      </c>
      <c r="T36" s="405">
        <f t="shared" si="11"/>
        <v>4659279.265700001</v>
      </c>
      <c r="U36" s="405">
        <f t="shared" si="11"/>
        <v>4659279.265700001</v>
      </c>
      <c r="V36" s="405">
        <f t="shared" si="11"/>
        <v>4659279.265700001</v>
      </c>
      <c r="W36" s="405">
        <f t="shared" si="11"/>
        <v>4659279.265700001</v>
      </c>
      <c r="X36" s="398">
        <f t="shared" si="11"/>
        <v>4659279.265700001</v>
      </c>
      <c r="Y36" s="405">
        <f t="shared" si="11"/>
        <v>4659279.265700001</v>
      </c>
      <c r="Z36" s="405">
        <f t="shared" si="11"/>
        <v>4659279.265700001</v>
      </c>
      <c r="AA36" s="405">
        <f t="shared" si="11"/>
        <v>4659279.265700001</v>
      </c>
      <c r="AB36" s="398">
        <f t="shared" si="11"/>
        <v>4659279.265700001</v>
      </c>
      <c r="AC36" s="405">
        <f t="shared" si="11"/>
        <v>4659279.265700001</v>
      </c>
      <c r="AD36" s="405">
        <f t="shared" si="11"/>
        <v>4659279.265700001</v>
      </c>
      <c r="AE36" s="405">
        <f t="shared" si="11"/>
        <v>4659279.265700001</v>
      </c>
      <c r="AF36" s="398">
        <f t="shared" si="11"/>
        <v>4659279.265700001</v>
      </c>
      <c r="AG36" s="405">
        <f t="shared" si="11"/>
        <v>4659279.265700001</v>
      </c>
      <c r="AH36" s="405">
        <f t="shared" si="11"/>
        <v>4659279.265700001</v>
      </c>
      <c r="AI36" s="405">
        <f t="shared" ref="AI36:BA36" si="12">AI5+AI42+AI35</f>
        <v>4659279.265700001</v>
      </c>
      <c r="AJ36" s="405">
        <f t="shared" si="12"/>
        <v>4659279.265700001</v>
      </c>
      <c r="AK36" s="398">
        <f t="shared" si="12"/>
        <v>4659279.265700001</v>
      </c>
      <c r="AL36" s="405">
        <f t="shared" si="12"/>
        <v>4659279.265700001</v>
      </c>
      <c r="AM36" s="405">
        <f t="shared" si="12"/>
        <v>4659279.265700001</v>
      </c>
      <c r="AN36" s="405">
        <f t="shared" si="12"/>
        <v>4659279.265700001</v>
      </c>
      <c r="AO36" s="398">
        <f t="shared" si="12"/>
        <v>4659279.265700001</v>
      </c>
      <c r="AP36" s="405">
        <f t="shared" si="12"/>
        <v>4659279.265700001</v>
      </c>
      <c r="AQ36" s="405">
        <f t="shared" si="12"/>
        <v>4659279.265700001</v>
      </c>
      <c r="AR36" s="405">
        <f t="shared" si="12"/>
        <v>4659279.265700001</v>
      </c>
      <c r="AS36" s="405">
        <f t="shared" si="12"/>
        <v>4659279.265700001</v>
      </c>
      <c r="AT36" s="398">
        <f t="shared" si="12"/>
        <v>4659279.265700001</v>
      </c>
      <c r="AU36" s="405">
        <f t="shared" si="12"/>
        <v>4659279.265700001</v>
      </c>
      <c r="AV36" s="405">
        <f t="shared" si="12"/>
        <v>4659279.265700001</v>
      </c>
      <c r="AW36" s="405">
        <f t="shared" si="12"/>
        <v>4659279.265700001</v>
      </c>
      <c r="AX36" s="398">
        <f t="shared" si="12"/>
        <v>4659279.265700001</v>
      </c>
      <c r="AY36" s="405">
        <f t="shared" si="12"/>
        <v>4659279.265700001</v>
      </c>
      <c r="AZ36" s="405">
        <f t="shared" si="12"/>
        <v>4659279.265700001</v>
      </c>
      <c r="BA36" s="405">
        <f t="shared" si="12"/>
        <v>4659279.265700001</v>
      </c>
      <c r="BB36" s="405">
        <f>BB5+BB42+BB35</f>
        <v>4659279.265700001</v>
      </c>
      <c r="BC36" s="405">
        <f>BC5+BC42+BC35</f>
        <v>5030577.325700001</v>
      </c>
    </row>
    <row r="37" ht="13.5" customHeight="1" spans="1:55" x14ac:dyDescent="0.25">
      <c r="A37" s="406"/>
      <c r="B37" s="407"/>
      <c r="C37" s="408"/>
      <c r="D37" s="409"/>
      <c r="E37" s="409"/>
      <c r="F37" s="409"/>
      <c r="G37" s="409">
        <f>G36-CF!C36</f>
        <v>17364.730000000913</v>
      </c>
      <c r="H37" s="408"/>
      <c r="I37" s="409"/>
      <c r="J37" s="409"/>
      <c r="K37" s="407">
        <f>K36-CF!D36</f>
        <v>31050.170000000857</v>
      </c>
      <c r="L37" s="409"/>
      <c r="M37" s="409"/>
      <c r="N37" s="409"/>
      <c r="O37" s="407"/>
      <c r="P37" s="409"/>
      <c r="Q37" s="409"/>
      <c r="R37" s="409"/>
      <c r="S37" s="407"/>
      <c r="T37" s="409"/>
      <c r="U37" s="409"/>
      <c r="V37" s="409"/>
      <c r="W37" s="409"/>
      <c r="X37" s="407"/>
      <c r="Y37" s="409"/>
      <c r="Z37" s="409"/>
      <c r="AA37" s="409"/>
      <c r="AB37" s="407"/>
      <c r="AC37" s="409"/>
      <c r="AD37" s="409"/>
      <c r="AE37" s="409"/>
      <c r="AF37" s="407"/>
      <c r="AG37" s="409"/>
      <c r="AH37" s="409"/>
      <c r="AI37" s="409"/>
      <c r="AJ37" s="409"/>
      <c r="AK37" s="407"/>
      <c r="AL37" s="409"/>
      <c r="AM37" s="409"/>
      <c r="AN37" s="409"/>
      <c r="AO37" s="407"/>
      <c r="AP37" s="409"/>
      <c r="AQ37" s="409"/>
      <c r="AR37" s="409"/>
      <c r="AS37" s="409"/>
      <c r="AT37" s="407"/>
      <c r="AU37" s="409"/>
      <c r="AV37" s="409"/>
      <c r="AW37" s="409"/>
      <c r="AX37" s="407"/>
      <c r="AY37" s="409"/>
      <c r="AZ37" s="409"/>
      <c r="BA37" s="409"/>
      <c r="BB37" s="409"/>
      <c r="BC37" s="409"/>
    </row>
    <row r="38" ht="13.5" customHeight="1" spans="1:55" x14ac:dyDescent="0.25">
      <c r="A38" s="358" t="s">
        <v>99</v>
      </c>
      <c r="B38" s="398"/>
      <c r="C38" s="404">
        <f t="shared" ref="C38:BB38" si="13">C39+C40</f>
        <v>0</v>
      </c>
      <c r="D38" s="405">
        <f t="shared" si="13"/>
        <v>0</v>
      </c>
      <c r="E38" s="405">
        <f t="shared" si="13"/>
        <v>0</v>
      </c>
      <c r="F38" s="405">
        <f t="shared" si="13"/>
        <v>0</v>
      </c>
      <c r="G38" s="405">
        <f t="shared" si="13"/>
        <v>0</v>
      </c>
      <c r="H38" s="404">
        <f t="shared" si="13"/>
        <v>0</v>
      </c>
      <c r="I38" s="405">
        <f t="shared" si="13"/>
        <v>0</v>
      </c>
      <c r="J38" s="405">
        <f t="shared" si="13"/>
        <v>0</v>
      </c>
      <c r="K38" s="398">
        <f t="shared" si="13"/>
        <v>0</v>
      </c>
      <c r="L38" s="405">
        <f t="shared" si="13"/>
        <v>0</v>
      </c>
      <c r="M38" s="405">
        <f t="shared" si="13"/>
        <v>0</v>
      </c>
      <c r="N38" s="405">
        <f t="shared" si="13"/>
        <v>0</v>
      </c>
      <c r="O38" s="398">
        <f t="shared" si="13"/>
        <v>0</v>
      </c>
      <c r="P38" s="405">
        <f t="shared" si="13"/>
        <v>0</v>
      </c>
      <c r="Q38" s="405">
        <f t="shared" si="13"/>
        <v>0</v>
      </c>
      <c r="R38" s="405">
        <f t="shared" si="13"/>
        <v>0</v>
      </c>
      <c r="S38" s="398">
        <f t="shared" si="13"/>
        <v>0</v>
      </c>
      <c r="T38" s="405">
        <f t="shared" si="13"/>
        <v>0</v>
      </c>
      <c r="U38" s="405">
        <f t="shared" si="13"/>
        <v>0</v>
      </c>
      <c r="V38" s="405">
        <f t="shared" si="13"/>
        <v>0</v>
      </c>
      <c r="W38" s="405">
        <f t="shared" si="13"/>
        <v>0</v>
      </c>
      <c r="X38" s="398">
        <f t="shared" si="13"/>
        <v>0</v>
      </c>
      <c r="Y38" s="405">
        <f t="shared" si="13"/>
        <v>0</v>
      </c>
      <c r="Z38" s="405">
        <f t="shared" si="13"/>
        <v>0</v>
      </c>
      <c r="AA38" s="405">
        <f t="shared" si="13"/>
        <v>0</v>
      </c>
      <c r="AB38" s="398">
        <f t="shared" si="13"/>
        <v>0</v>
      </c>
      <c r="AC38" s="405">
        <f t="shared" si="13"/>
        <v>0</v>
      </c>
      <c r="AD38" s="405">
        <f t="shared" si="13"/>
        <v>0</v>
      </c>
      <c r="AE38" s="405">
        <f t="shared" si="13"/>
        <v>0</v>
      </c>
      <c r="AF38" s="398">
        <f t="shared" si="13"/>
        <v>0</v>
      </c>
      <c r="AG38" s="405">
        <f t="shared" si="13"/>
        <v>0</v>
      </c>
      <c r="AH38" s="405">
        <f t="shared" si="13"/>
        <v>0</v>
      </c>
      <c r="AI38" s="405">
        <f t="shared" si="13"/>
        <v>0</v>
      </c>
      <c r="AJ38" s="405">
        <f t="shared" si="13"/>
        <v>0</v>
      </c>
      <c r="AK38" s="398">
        <f t="shared" si="13"/>
        <v>0</v>
      </c>
      <c r="AL38" s="405">
        <f t="shared" si="13"/>
        <v>0</v>
      </c>
      <c r="AM38" s="405">
        <f t="shared" si="13"/>
        <v>0</v>
      </c>
      <c r="AN38" s="405">
        <f t="shared" si="13"/>
        <v>0</v>
      </c>
      <c r="AO38" s="398">
        <f t="shared" si="13"/>
        <v>0</v>
      </c>
      <c r="AP38" s="405">
        <f t="shared" si="13"/>
        <v>0</v>
      </c>
      <c r="AQ38" s="405">
        <f t="shared" si="13"/>
        <v>0</v>
      </c>
      <c r="AR38" s="405">
        <f t="shared" si="13"/>
        <v>0</v>
      </c>
      <c r="AS38" s="405">
        <f t="shared" si="13"/>
        <v>0</v>
      </c>
      <c r="AT38" s="398">
        <f t="shared" si="13"/>
        <v>0</v>
      </c>
      <c r="AU38" s="405">
        <f t="shared" si="13"/>
        <v>0</v>
      </c>
      <c r="AV38" s="405">
        <f t="shared" si="13"/>
        <v>0</v>
      </c>
      <c r="AW38" s="405">
        <f t="shared" si="13"/>
        <v>0</v>
      </c>
      <c r="AX38" s="398">
        <f t="shared" si="13"/>
        <v>0</v>
      </c>
      <c r="AY38" s="405">
        <f t="shared" si="13"/>
        <v>0</v>
      </c>
      <c r="AZ38" s="405">
        <f t="shared" si="13"/>
        <v>0</v>
      </c>
      <c r="BA38" s="405">
        <f t="shared" si="13"/>
        <v>0</v>
      </c>
      <c r="BB38" s="405">
        <f t="shared" si="13"/>
        <v>0</v>
      </c>
      <c r="BC38" s="405">
        <f t="shared" ref="BC38" si="14">BC39+BC40</f>
        <v>0</v>
      </c>
    </row>
    <row r="39" ht="32.25" customHeight="1" spans="1:55" x14ac:dyDescent="0.25">
      <c r="A39" s="358" t="s">
        <v>178</v>
      </c>
      <c r="B39" s="410" t="s">
        <v>179</v>
      </c>
      <c r="C39" s="354"/>
      <c r="D39" s="376"/>
      <c r="E39" s="376"/>
      <c r="F39" s="376"/>
      <c r="G39" s="376"/>
      <c r="H39" s="411"/>
      <c r="I39" s="378"/>
      <c r="J39" s="378"/>
      <c r="K39" s="379"/>
      <c r="L39" s="378"/>
      <c r="M39" s="378"/>
      <c r="N39" s="378"/>
      <c r="O39" s="379"/>
      <c r="P39" s="378"/>
      <c r="Q39" s="378"/>
      <c r="R39" s="378"/>
      <c r="S39" s="379"/>
      <c r="T39" s="378"/>
      <c r="U39" s="378"/>
      <c r="V39" s="378"/>
      <c r="W39" s="378"/>
      <c r="X39" s="379"/>
      <c r="Y39" s="378"/>
      <c r="Z39" s="378"/>
      <c r="AA39" s="378"/>
      <c r="AB39" s="379"/>
      <c r="AC39" s="378"/>
      <c r="AD39" s="378"/>
      <c r="AE39" s="378"/>
      <c r="AF39" s="379"/>
      <c r="AG39" s="378"/>
      <c r="AH39" s="378"/>
      <c r="AI39" s="378"/>
      <c r="AJ39" s="378"/>
      <c r="AK39" s="379"/>
      <c r="AL39" s="378"/>
      <c r="AM39" s="378"/>
      <c r="AN39" s="378"/>
      <c r="AO39" s="379"/>
      <c r="AP39" s="378"/>
      <c r="AQ39" s="378"/>
      <c r="AR39" s="378"/>
      <c r="AS39" s="378"/>
      <c r="AT39" s="379"/>
      <c r="AU39" s="378"/>
      <c r="AV39" s="378"/>
      <c r="AW39" s="378"/>
      <c r="AX39" s="379"/>
      <c r="AY39" s="378"/>
      <c r="AZ39" s="378"/>
      <c r="BA39" s="378"/>
      <c r="BB39" s="378"/>
      <c r="BC39" s="378"/>
    </row>
    <row r="40" ht="32.25" customHeight="1" spans="1:55" x14ac:dyDescent="0.25">
      <c r="A40" s="358" t="s">
        <v>180</v>
      </c>
      <c r="B40" s="333"/>
      <c r="C40" s="354"/>
      <c r="D40" s="376"/>
      <c r="E40" s="376"/>
      <c r="F40" s="376"/>
      <c r="G40" s="376"/>
      <c r="H40" s="411"/>
      <c r="I40" s="378"/>
      <c r="J40" s="378"/>
      <c r="K40" s="379"/>
      <c r="L40" s="378"/>
      <c r="M40" s="378"/>
      <c r="N40" s="378"/>
      <c r="O40" s="379"/>
      <c r="P40" s="378"/>
      <c r="Q40" s="378"/>
      <c r="R40" s="378"/>
      <c r="S40" s="379"/>
      <c r="T40" s="378"/>
      <c r="U40" s="378"/>
      <c r="V40" s="378"/>
      <c r="W40" s="378"/>
      <c r="X40" s="379"/>
      <c r="Y40" s="378"/>
      <c r="Z40" s="378"/>
      <c r="AA40" s="378"/>
      <c r="AB40" s="379"/>
      <c r="AC40" s="378"/>
      <c r="AD40" s="378"/>
      <c r="AE40" s="378"/>
      <c r="AF40" s="379"/>
      <c r="AG40" s="378"/>
      <c r="AH40" s="378"/>
      <c r="AI40" s="378"/>
      <c r="AJ40" s="378"/>
      <c r="AK40" s="379"/>
      <c r="AL40" s="378"/>
      <c r="AM40" s="378"/>
      <c r="AN40" s="378"/>
      <c r="AO40" s="379"/>
      <c r="AP40" s="378"/>
      <c r="AQ40" s="378"/>
      <c r="AR40" s="378"/>
      <c r="AS40" s="378"/>
      <c r="AT40" s="379"/>
      <c r="AU40" s="378"/>
      <c r="AV40" s="378"/>
      <c r="AW40" s="378"/>
      <c r="AX40" s="379"/>
      <c r="AY40" s="378"/>
      <c r="AZ40" s="378"/>
      <c r="BA40" s="378"/>
      <c r="BB40" s="378"/>
      <c r="BC40" s="378"/>
    </row>
    <row r="41" ht="13.5" customHeight="1" spans="1:55" x14ac:dyDescent="0.25">
      <c r="A41" s="412"/>
      <c r="B41" s="398"/>
      <c r="C41" s="399"/>
      <c r="D41" s="400"/>
      <c r="E41" s="400"/>
      <c r="F41" s="400"/>
      <c r="G41" s="413">
        <f>G42-CF!C42</f>
        <v>17364.730000000447</v>
      </c>
      <c r="H41" s="414"/>
      <c r="I41" s="400"/>
      <c r="J41" s="400"/>
      <c r="K41" s="415">
        <f>K42-CF!D42</f>
        <v>31050.17000000039</v>
      </c>
      <c r="L41" s="400"/>
      <c r="M41" s="413"/>
      <c r="N41" s="400"/>
      <c r="O41" s="415">
        <f>O42-CF!E42</f>
        <v>39546.24000000022</v>
      </c>
      <c r="P41" s="413"/>
      <c r="Q41" s="413"/>
      <c r="R41" s="413"/>
      <c r="S41" s="415">
        <f>S42-CF!F42</f>
        <v>42310.91000000015</v>
      </c>
      <c r="T41" s="413"/>
      <c r="U41" s="413"/>
      <c r="V41" s="413"/>
      <c r="W41" s="413"/>
      <c r="X41" s="415">
        <f>X42-CF!G42</f>
        <v>42310.91000000015</v>
      </c>
      <c r="Y41" s="413"/>
      <c r="Z41" s="413"/>
      <c r="AA41" s="413"/>
      <c r="AB41" s="415">
        <f>AB42-CF!H42</f>
        <v>42310.91000000015</v>
      </c>
      <c r="AC41" s="413"/>
      <c r="AD41" s="413"/>
      <c r="AE41" s="413"/>
      <c r="AF41" s="415">
        <f>AF42-CF!I42</f>
        <v>42310.91000000015</v>
      </c>
      <c r="AG41" s="413"/>
      <c r="AH41" s="413"/>
      <c r="AI41" s="413"/>
      <c r="AJ41" s="413"/>
      <c r="AK41" s="415">
        <f>AK42-CF!J42</f>
        <v>42310.91000000015</v>
      </c>
      <c r="AL41" s="413"/>
      <c r="AM41" s="413"/>
      <c r="AN41" s="413"/>
      <c r="AO41" s="415">
        <f>AO42-CF!K42</f>
        <v>42310.91000000015</v>
      </c>
      <c r="AP41" s="413"/>
      <c r="AQ41" s="413"/>
      <c r="AR41" s="413"/>
      <c r="AS41" s="413"/>
      <c r="AT41" s="415">
        <f>AT42-CF!L42</f>
        <v>42310.91000000015</v>
      </c>
      <c r="AU41" s="413"/>
      <c r="AV41" s="413"/>
      <c r="AW41" s="413"/>
      <c r="AX41" s="415">
        <f>AX42-CF!M42</f>
        <v>42310.91000000015</v>
      </c>
      <c r="AY41" s="413"/>
      <c r="AZ41" s="413"/>
      <c r="BA41" s="413"/>
      <c r="BB41" s="413">
        <f>BB42-CF!N42</f>
        <v>42310.91000000015</v>
      </c>
      <c r="BC41" s="413">
        <f>BC42-CF!O42</f>
        <v>3539892.4257000005</v>
      </c>
    </row>
    <row r="42" ht="13.5" customHeight="1" spans="1:55" x14ac:dyDescent="0.25">
      <c r="A42" s="394" t="s">
        <v>100</v>
      </c>
      <c r="B42" s="416"/>
      <c r="C42" s="397">
        <f t="shared" ref="C42:BA42" si="15">C33-C38</f>
        <v>1994177.8957000005</v>
      </c>
      <c r="D42" s="396">
        <f t="shared" si="15"/>
        <v>2100356.7557000006</v>
      </c>
      <c r="E42" s="396">
        <f t="shared" si="15"/>
        <v>2234359.3557</v>
      </c>
      <c r="F42" s="396">
        <f t="shared" si="15"/>
        <v>2340085.2357000005</v>
      </c>
      <c r="G42" s="396">
        <f t="shared" si="15"/>
        <v>2444316.6157000004</v>
      </c>
      <c r="H42" s="397">
        <f t="shared" si="15"/>
        <v>2568251.9457000005</v>
      </c>
      <c r="I42" s="396">
        <f t="shared" si="15"/>
        <v>2701831.7657000003</v>
      </c>
      <c r="J42" s="396">
        <f t="shared" si="15"/>
        <v>2827470.9057000005</v>
      </c>
      <c r="K42" s="395">
        <f t="shared" si="15"/>
        <v>2951779.9657000005</v>
      </c>
      <c r="L42" s="396">
        <f t="shared" si="15"/>
        <v>3065041.8357000006</v>
      </c>
      <c r="M42" s="396">
        <f t="shared" si="15"/>
        <v>3166917.6157000004</v>
      </c>
      <c r="N42" s="396">
        <f t="shared" si="15"/>
        <v>3264799.0757000004</v>
      </c>
      <c r="O42" s="395">
        <f t="shared" si="15"/>
        <v>3357449.8957000007</v>
      </c>
      <c r="P42" s="396">
        <f t="shared" si="15"/>
        <v>3428328.6757000005</v>
      </c>
      <c r="Q42" s="396">
        <f t="shared" si="15"/>
        <v>3485243.3357000006</v>
      </c>
      <c r="R42" s="396">
        <f t="shared" si="15"/>
        <v>3539892.4257000005</v>
      </c>
      <c r="S42" s="395">
        <f t="shared" si="15"/>
        <v>3539892.4257000005</v>
      </c>
      <c r="T42" s="396">
        <f>T33-T38</f>
        <v>3539892.4257000005</v>
      </c>
      <c r="U42" s="396">
        <f>U33-U38</f>
        <v>3539892.4257000005</v>
      </c>
      <c r="V42" s="396">
        <f t="shared" ref="V42:W42" si="16">V33-V38</f>
        <v>3539892.4257000005</v>
      </c>
      <c r="W42" s="396">
        <f t="shared" si="16"/>
        <v>3539892.4257000005</v>
      </c>
      <c r="X42" s="395">
        <f t="shared" si="15"/>
        <v>3539892.4257000005</v>
      </c>
      <c r="Y42" s="396">
        <f t="shared" si="15"/>
        <v>3539892.4257000005</v>
      </c>
      <c r="Z42" s="396">
        <f t="shared" si="15"/>
        <v>3539892.4257000005</v>
      </c>
      <c r="AA42" s="396">
        <f t="shared" si="15"/>
        <v>3539892.4257000005</v>
      </c>
      <c r="AB42" s="395">
        <f t="shared" si="15"/>
        <v>3539892.4257000005</v>
      </c>
      <c r="AC42" s="396">
        <f t="shared" si="15"/>
        <v>3539892.4257000005</v>
      </c>
      <c r="AD42" s="396">
        <f t="shared" si="15"/>
        <v>3539892.4257000005</v>
      </c>
      <c r="AE42" s="396">
        <f t="shared" si="15"/>
        <v>3539892.4257000005</v>
      </c>
      <c r="AF42" s="395">
        <f t="shared" si="15"/>
        <v>3539892.4257000005</v>
      </c>
      <c r="AG42" s="396">
        <f t="shared" si="15"/>
        <v>3539892.4257000005</v>
      </c>
      <c r="AH42" s="396">
        <f t="shared" si="15"/>
        <v>3539892.4257000005</v>
      </c>
      <c r="AI42" s="396">
        <f t="shared" si="15"/>
        <v>3539892.4257000005</v>
      </c>
      <c r="AJ42" s="396">
        <f t="shared" si="15"/>
        <v>3539892.4257000005</v>
      </c>
      <c r="AK42" s="395">
        <f t="shared" si="15"/>
        <v>3539892.4257000005</v>
      </c>
      <c r="AL42" s="396">
        <f t="shared" si="15"/>
        <v>3539892.4257000005</v>
      </c>
      <c r="AM42" s="396">
        <f t="shared" si="15"/>
        <v>3539892.4257000005</v>
      </c>
      <c r="AN42" s="396">
        <f t="shared" si="15"/>
        <v>3539892.4257000005</v>
      </c>
      <c r="AO42" s="395">
        <f t="shared" si="15"/>
        <v>3539892.4257000005</v>
      </c>
      <c r="AP42" s="396">
        <f t="shared" si="15"/>
        <v>3539892.4257000005</v>
      </c>
      <c r="AQ42" s="396">
        <f t="shared" si="15"/>
        <v>3539892.4257000005</v>
      </c>
      <c r="AR42" s="396">
        <f t="shared" si="15"/>
        <v>3539892.4257000005</v>
      </c>
      <c r="AS42" s="396">
        <f t="shared" si="15"/>
        <v>3539892.4257000005</v>
      </c>
      <c r="AT42" s="395">
        <f t="shared" si="15"/>
        <v>3539892.4257000005</v>
      </c>
      <c r="AU42" s="396">
        <f t="shared" si="15"/>
        <v>3539892.4257000005</v>
      </c>
      <c r="AV42" s="396">
        <f t="shared" si="15"/>
        <v>3539892.4257000005</v>
      </c>
      <c r="AW42" s="396">
        <f t="shared" si="15"/>
        <v>3539892.4257000005</v>
      </c>
      <c r="AX42" s="395">
        <f t="shared" si="15"/>
        <v>3539892.4257000005</v>
      </c>
      <c r="AY42" s="396">
        <f t="shared" si="15"/>
        <v>3539892.4257000005</v>
      </c>
      <c r="AZ42" s="396">
        <f t="shared" si="15"/>
        <v>3539892.4257000005</v>
      </c>
      <c r="BA42" s="396">
        <f t="shared" si="15"/>
        <v>3539892.4257000005</v>
      </c>
      <c r="BB42" s="396">
        <f>BB33-BB38</f>
        <v>3539892.4257000005</v>
      </c>
      <c r="BC42" s="396">
        <f>BC33-BC38</f>
        <v>3539892.4257000005</v>
      </c>
    </row>
    <row r="43" ht="13.5" customHeight="1" spans="1:55" x14ac:dyDescent="0.25">
      <c r="A43" s="358"/>
      <c r="B43" s="417" t="s">
        <v>101</v>
      </c>
      <c r="C43" s="404">
        <f>'PL WB (нед)'!C64+'PL OZON (нед)'!C64</f>
        <v>3330259.1134</v>
      </c>
      <c r="D43" s="404">
        <f>'PL WB (нед)'!D64+'PL OZON (нед)'!D64</f>
        <v>3387446.9734</v>
      </c>
      <c r="E43" s="404">
        <f>'PL WB (нед)'!E64+'PL OZON (нед)'!E64</f>
        <v>3460241.4134</v>
      </c>
      <c r="F43" s="404">
        <f>'PL WB (нед)'!F64+'PL OZON (нед)'!F64</f>
        <v>3510666.0933999997</v>
      </c>
      <c r="G43" s="404">
        <f>'PL WB (нед)'!G64+'PL OZON (нед)'!G64</f>
        <v>3564465.0233999994</v>
      </c>
      <c r="H43" s="404">
        <f>'PL WB (нед)'!H64+'PL OZON (нед)'!H64</f>
        <v>3632713.3533999994</v>
      </c>
      <c r="I43" s="404">
        <f>'PL WB (нед)'!I64+'PL OZON (нед)'!I64</f>
        <v>3712335.1133999997</v>
      </c>
      <c r="J43" s="404">
        <f>'PL WB (нед)'!J64+'PL OZON (нед)'!J64</f>
        <v>3783458.0133999996</v>
      </c>
      <c r="K43" s="404">
        <f>'PL WB (нед)'!K64+'PL OZON (нед)'!K64</f>
        <v>3858356.6533999993</v>
      </c>
      <c r="L43" s="404">
        <f>'PL WB (нед)'!L64+'PL OZON (нед)'!L64</f>
        <v>3923414.5233999994</v>
      </c>
      <c r="M43" s="404">
        <f>'PL WB (нед)'!M64+'PL OZON (нед)'!M64</f>
        <v>3978669.8433999997</v>
      </c>
      <c r="N43" s="404">
        <f>'PL WB (нед)'!N64+'PL OZON (нед)'!N64</f>
        <v>4023793.553399999</v>
      </c>
      <c r="O43" s="404">
        <f>'PL WB (нед)'!O64+'PL OZON (нед)'!O64</f>
        <v>4074894.1833999995</v>
      </c>
      <c r="P43" s="404">
        <f>'PL WB (нед)'!P64+'PL OZON (нед)'!P64</f>
        <v>4116892.4233999993</v>
      </c>
      <c r="Q43" s="404">
        <f>'PL WB (нед)'!Q64+'PL OZON (нед)'!Q64</f>
        <v>4148238.523399999</v>
      </c>
      <c r="R43" s="404">
        <f>'PL WB (нед)'!R64+'PL OZON (нед)'!R64</f>
        <v>4176720.8133999994</v>
      </c>
      <c r="S43" s="404">
        <f>'PL WB (нед)'!S64+'PL OZON (нед)'!S64</f>
        <v>4176720.8133999994</v>
      </c>
      <c r="T43" s="404">
        <f>'PL WB (нед)'!T64+'PL OZON (нед)'!T64</f>
        <v>4176720.8133999994</v>
      </c>
      <c r="U43" s="404">
        <f>'PL WB (нед)'!U64+'PL OZON (нед)'!U64</f>
        <v>4176720.8133999994</v>
      </c>
      <c r="V43" s="404">
        <f>'PL WB (нед)'!V64+'PL OZON (нед)'!V64</f>
        <v>4176720.8133999994</v>
      </c>
      <c r="W43" s="404">
        <f>'PL WB (нед)'!W64+'PL OZON (нед)'!W64</f>
        <v>4176720.8133999994</v>
      </c>
      <c r="X43" s="404">
        <f>'PL WB (нед)'!X64+'PL OZON (нед)'!X64</f>
        <v>4176720.8133999994</v>
      </c>
      <c r="Y43" s="404">
        <f>'PL WB (нед)'!Y64+'PL OZON (нед)'!Y64</f>
        <v>4176720.8133999994</v>
      </c>
      <c r="Z43" s="404">
        <f>'PL WB (нед)'!Z64+'PL OZON (нед)'!Z64</f>
        <v>4176720.8133999994</v>
      </c>
      <c r="AA43" s="404">
        <f>'PL WB (нед)'!AA64+'PL OZON (нед)'!AA64</f>
        <v>4176720.8133999994</v>
      </c>
      <c r="AB43" s="404">
        <f>'PL WB (нед)'!AB64+'PL OZON (нед)'!AB64</f>
        <v>4176720.8133999994</v>
      </c>
      <c r="AC43" s="404">
        <f>'PL WB (нед)'!AC64+'PL OZON (нед)'!AC64</f>
        <v>4176720.8133999994</v>
      </c>
      <c r="AD43" s="404">
        <f>'PL WB (нед)'!AD64+'PL OZON (нед)'!AD64</f>
        <v>4176720.8133999994</v>
      </c>
      <c r="AE43" s="404">
        <f>'PL WB (нед)'!AE64+'PL OZON (нед)'!AE64</f>
        <v>4176720.8133999994</v>
      </c>
      <c r="AF43" s="404">
        <f>'PL WB (нед)'!AF64+'PL OZON (нед)'!AF64</f>
        <v>4176720.8133999994</v>
      </c>
      <c r="AG43" s="404">
        <f>'PL WB (нед)'!AG64+'PL OZON (нед)'!AG64</f>
        <v>4176720.8133999994</v>
      </c>
      <c r="AH43" s="404">
        <f>'PL WB (нед)'!AH64+'PL OZON (нед)'!AH64</f>
        <v>4176720.8133999994</v>
      </c>
      <c r="AI43" s="404">
        <f>'PL WB (нед)'!AI64+'PL OZON (нед)'!AI64</f>
        <v>4176720.8133999994</v>
      </c>
      <c r="AJ43" s="404">
        <f>'PL WB (нед)'!AJ64+'PL OZON (нед)'!AJ64</f>
        <v>4176720.8133999994</v>
      </c>
      <c r="AK43" s="404">
        <f>'PL WB (нед)'!AK64+'PL OZON (нед)'!AK64</f>
        <v>4176720.8133999994</v>
      </c>
      <c r="AL43" s="404">
        <f>'PL WB (нед)'!AL64+'PL OZON (нед)'!AL64</f>
        <v>4176720.8133999994</v>
      </c>
      <c r="AM43" s="404">
        <f>'PL WB (нед)'!AM64+'PL OZON (нед)'!AM64</f>
        <v>4176720.8133999994</v>
      </c>
      <c r="AN43" s="404">
        <f>'PL WB (нед)'!AN64+'PL OZON (нед)'!AN64</f>
        <v>4176720.8133999994</v>
      </c>
      <c r="AO43" s="404">
        <f>'PL WB (нед)'!AO64+'PL OZON (нед)'!AO64</f>
        <v>4176720.8133999994</v>
      </c>
      <c r="AP43" s="404">
        <f>'PL WB (нед)'!AP64+'PL OZON (нед)'!AP64</f>
        <v>4176720.8133999994</v>
      </c>
      <c r="AQ43" s="404">
        <f>'PL WB (нед)'!AQ64+'PL OZON (нед)'!AQ64</f>
        <v>4176720.8133999994</v>
      </c>
      <c r="AR43" s="404">
        <f>'PL WB (нед)'!AR64+'PL OZON (нед)'!AR64</f>
        <v>4176720.8133999994</v>
      </c>
      <c r="AS43" s="404">
        <f>'PL WB (нед)'!AS64+'PL OZON (нед)'!AS64</f>
        <v>4176720.8133999994</v>
      </c>
      <c r="AT43" s="404">
        <f>'PL WB (нед)'!AT64+'PL OZON (нед)'!AT64</f>
        <v>4176720.8133999994</v>
      </c>
      <c r="AU43" s="404">
        <f>'PL WB (нед)'!AU64+'PL OZON (нед)'!AU64</f>
        <v>4176720.8133999994</v>
      </c>
      <c r="AV43" s="404">
        <f>'PL WB (нед)'!AV64+'PL OZON (нед)'!AV64</f>
        <v>4176720.8133999994</v>
      </c>
      <c r="AW43" s="404">
        <f>'PL WB (нед)'!AW64+'PL OZON (нед)'!AW64</f>
        <v>4176720.8133999994</v>
      </c>
      <c r="AX43" s="404">
        <f>'PL WB (нед)'!AX64+'PL OZON (нед)'!AX64</f>
        <v>4176720.8133999994</v>
      </c>
      <c r="AY43" s="404">
        <f>'PL WB (нед)'!AY64+'PL OZON (нед)'!AY64</f>
        <v>4176720.8133999994</v>
      </c>
      <c r="AZ43" s="404">
        <f>'PL WB (нед)'!AZ64+'PL OZON (нед)'!AZ64</f>
        <v>4176720.8133999994</v>
      </c>
      <c r="BA43" s="404">
        <f>'PL WB (нед)'!BA64+'PL OZON (нед)'!BA64</f>
        <v>4176720.8133999994</v>
      </c>
      <c r="BB43" s="404">
        <f>'PL WB (нед)'!BB64+'PL OZON (нед)'!BB64</f>
        <v>4176720.8133999994</v>
      </c>
      <c r="BC43" s="404">
        <f>'PL WB (нед)'!BC64+'PL OZON (нед)'!BC64</f>
        <v>3378248.9134</v>
      </c>
    </row>
    <row r="44" ht="13.5" customHeight="1" spans="1:55" x14ac:dyDescent="0.25">
      <c r="A44" s="412"/>
      <c r="B44" s="398"/>
      <c r="C44" s="399"/>
      <c r="D44" s="400"/>
      <c r="E44" s="400"/>
      <c r="F44" s="400"/>
      <c r="G44" s="413">
        <f>G43-'PL OZON'!C64</f>
        <v>3244857.5133999996</v>
      </c>
      <c r="H44" s="399"/>
      <c r="I44" s="400"/>
      <c r="J44" s="400"/>
      <c r="K44" s="415">
        <f>K43-CF!D43</f>
        <v>5770.4399999994785</v>
      </c>
      <c r="L44" s="400"/>
      <c r="M44" s="400"/>
      <c r="N44" s="400"/>
      <c r="O44" s="415">
        <f>O43-CF!E43</f>
        <v>11049.509999999776</v>
      </c>
      <c r="P44" s="400"/>
      <c r="Q44" s="400"/>
      <c r="R44" s="400"/>
      <c r="S44" s="415">
        <f>S43-CF!F43</f>
        <v>13439.179999999702</v>
      </c>
      <c r="T44" s="400"/>
      <c r="U44" s="400"/>
      <c r="V44" s="400"/>
      <c r="W44" s="400"/>
      <c r="X44" s="415">
        <f>X43-CF!G43</f>
        <v>13439.179999999702</v>
      </c>
      <c r="Y44" s="400"/>
      <c r="Z44" s="400"/>
      <c r="AA44" s="400"/>
      <c r="AB44" s="415">
        <f>AB43-CF!H43</f>
        <v>13439.179999999702</v>
      </c>
      <c r="AC44" s="400"/>
      <c r="AD44" s="400"/>
      <c r="AE44" s="400"/>
      <c r="AF44" s="415">
        <f>AF43-CF!I43</f>
        <v>13439.179999999702</v>
      </c>
      <c r="AG44" s="400"/>
      <c r="AH44" s="400"/>
      <c r="AI44" s="400"/>
      <c r="AJ44" s="400"/>
      <c r="AK44" s="415">
        <f>AK43-CF!J43</f>
        <v>13439.179999999702</v>
      </c>
      <c r="AL44" s="400"/>
      <c r="AM44" s="400"/>
      <c r="AN44" s="400"/>
      <c r="AO44" s="415">
        <f>AO43-CF!K43</f>
        <v>13439.179999999702</v>
      </c>
      <c r="AP44" s="400"/>
      <c r="AQ44" s="400"/>
      <c r="AR44" s="400"/>
      <c r="AS44" s="400"/>
      <c r="AT44" s="415">
        <f>AT43-CF!L43</f>
        <v>13439.179999999702</v>
      </c>
      <c r="AU44" s="400"/>
      <c r="AV44" s="400"/>
      <c r="AW44" s="400"/>
      <c r="AX44" s="415">
        <f>AX43-CF!M43</f>
        <v>13439.179999999702</v>
      </c>
      <c r="AY44" s="400"/>
      <c r="AZ44" s="400"/>
      <c r="BA44" s="400"/>
      <c r="BB44" s="400">
        <f>BB43-CF!N43</f>
        <v>13439.179999999702</v>
      </c>
      <c r="BC44" s="400"/>
    </row>
    <row r="45" ht="13.5" customHeight="1" spans="1:55" x14ac:dyDescent="0.25">
      <c r="A45" s="418" t="s">
        <v>181</v>
      </c>
      <c r="B45" s="398"/>
      <c r="C45" s="399"/>
      <c r="D45" s="400"/>
      <c r="E45" s="400"/>
      <c r="F45" s="400"/>
      <c r="G45" s="413"/>
      <c r="H45" s="419"/>
      <c r="I45" s="400"/>
      <c r="J45" s="400"/>
      <c r="K45" s="415"/>
      <c r="L45" s="400"/>
      <c r="M45" s="420"/>
      <c r="N45" s="400"/>
      <c r="O45" s="403"/>
      <c r="P45" s="420"/>
      <c r="Q45" s="420"/>
      <c r="R45" s="420"/>
      <c r="S45" s="421"/>
      <c r="T45" s="420"/>
      <c r="U45" s="420"/>
      <c r="V45" s="420"/>
      <c r="W45" s="420"/>
      <c r="X45" s="421"/>
      <c r="Y45" s="420"/>
      <c r="Z45" s="420"/>
      <c r="AA45" s="420"/>
      <c r="AB45" s="421"/>
      <c r="AC45" s="420"/>
      <c r="AD45" s="420"/>
      <c r="AE45" s="420"/>
      <c r="AF45" s="421"/>
      <c r="AG45" s="420"/>
      <c r="AH45" s="420"/>
      <c r="AI45" s="420"/>
      <c r="AJ45" s="420"/>
      <c r="AK45" s="421"/>
      <c r="AL45" s="420"/>
      <c r="AM45" s="420"/>
      <c r="AN45" s="420"/>
      <c r="AO45" s="421"/>
      <c r="AP45" s="420"/>
      <c r="AQ45" s="420"/>
      <c r="AR45" s="420"/>
      <c r="AS45" s="420"/>
      <c r="AT45" s="421"/>
      <c r="AU45" s="420"/>
      <c r="AV45" s="420"/>
      <c r="AW45" s="420"/>
      <c r="AX45" s="421"/>
      <c r="AY45" s="420"/>
      <c r="AZ45" s="420"/>
      <c r="BA45" s="420"/>
      <c r="BB45" s="420"/>
      <c r="BC45" s="420"/>
    </row>
  </sheetData>
  <mergeCells count="13">
    <mergeCell ref="A1:B1"/>
    <mergeCell ref="C2:G2"/>
    <mergeCell ref="H2:K2"/>
    <mergeCell ref="L2:O2"/>
    <mergeCell ref="P2:S2"/>
    <mergeCell ref="T2:X2"/>
    <mergeCell ref="Y2:AB2"/>
    <mergeCell ref="AC2:AF2"/>
    <mergeCell ref="AG2:AK2"/>
    <mergeCell ref="AL2:AO2"/>
    <mergeCell ref="AP2:AT2"/>
    <mergeCell ref="AU2:AX2"/>
    <mergeCell ref="B39:B40"/>
  </mergeCells>
  <conditionalFormatting sqref="A5">
    <cfRule type="cellIs" dxfId="25" priority="10" operator="between">
      <formula>0</formula>
      <formula>1000000</formula>
    </cfRule>
  </conditionalFormatting>
  <conditionalFormatting sqref="A42">
    <cfRule type="cellIs" dxfId="26" priority="11" operator="lessThan">
      <formula>0</formula>
    </cfRule>
  </conditionalFormatting>
  <conditionalFormatting sqref="A4:BC4">
    <cfRule type="cellIs" dxfId="27" priority="1" operator="greaterThan">
      <formula>0</formula>
    </cfRule>
  </conditionalFormatting>
  <conditionalFormatting sqref="A31:BC33 C42:BC42">
    <cfRule type="cellIs" dxfId="28" priority="3" operator="lessThan">
      <formula>0</formula>
    </cfRule>
  </conditionalFormatting>
  <conditionalFormatting sqref="C5:BC5">
    <cfRule type="cellIs" dxfId="29" priority="2" operator="between">
      <formula>0</formula>
      <formula>1000000</formula>
    </cfRule>
  </conditionalFormatting>
  <conditionalFormatting sqref="E24 K29">
    <cfRule type="notContainsBlanks" dxfId="30" priority="13" operator="notContainsBlanks">
      <formula>LEN(TRIM(I24))&gt;0</formula>
    </cfRule>
  </conditionalFormatting>
  <conditionalFormatting sqref="AF26">
    <cfRule type="notContainsBlanks" dxfId="31" priority="16" operator="notContainsBlanks">
      <formula>LEN(TRIM(AM26))&gt;0</formula>
    </cfRule>
  </conditionalFormatting>
  <conditionalFormatting sqref="AL26">
    <cfRule type="notContainsBlanks" dxfId="32" priority="8" operator="notContainsBlanks">
      <formula>LEN(TRIM(AR26))&gt;0</formula>
    </cfRule>
  </conditionalFormatting>
  <conditionalFormatting sqref="AM26">
    <cfRule type="notContainsBlanks" dxfId="33" priority="15" operator="notContainsBlanks">
      <formula>LEN(TRIM(AR26))&gt;0</formula>
    </cfRule>
  </conditionalFormatting>
  <conditionalFormatting sqref="AV23">
    <cfRule type="notContainsBlanks" dxfId="34" priority="7" operator="notContainsBlanks">
      <formula>LEN(TRIM(BB23))&gt;0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6"/>
  <sheetViews>
    <sheetView workbookViewId="0" zoomScale="100" zoomScaleNormal="100">
      <selection activeCell="C21" sqref="C21"/>
    </sheetView>
  </sheetViews>
  <sheetFormatPr defaultRowHeight="15" outlineLevelRow="0" outlineLevelCol="0" x14ac:dyDescent="0.25" defaultColWidth="14.42578125"/>
  <cols>
    <col min="1" max="1" width="85.85546875" customWidth="1"/>
  </cols>
  <sheetData>
    <row r="1" spans="1:1" x14ac:dyDescent="0.25">
      <c r="A1" s="440" t="s">
        <v>185</v>
      </c>
    </row>
    <row r="2" ht="15" customHeight="1" spans="1:1" x14ac:dyDescent="0.25">
      <c r="A2" s="440"/>
    </row>
    <row r="3" ht="15" customHeight="1" spans="1:1" x14ac:dyDescent="0.25">
      <c r="A3" s="440"/>
    </row>
    <row r="4" ht="15" customHeight="1" spans="1:1" x14ac:dyDescent="0.25">
      <c r="A4" s="440"/>
    </row>
    <row r="5" ht="15" customHeight="1" spans="1:1" x14ac:dyDescent="0.25">
      <c r="A5" s="440"/>
    </row>
    <row r="6" ht="15" customHeight="1" spans="1:1" x14ac:dyDescent="0.25">
      <c r="A6" s="440"/>
    </row>
    <row r="7" ht="15" customHeight="1" spans="1:1" x14ac:dyDescent="0.25">
      <c r="A7" s="440"/>
    </row>
    <row r="8" ht="15" customHeight="1" spans="1:1" x14ac:dyDescent="0.25">
      <c r="A8" s="440"/>
    </row>
    <row r="9" ht="15" customHeight="1" spans="1:1" x14ac:dyDescent="0.25">
      <c r="A9" s="440"/>
    </row>
    <row r="10" ht="15" customHeight="1" spans="1:1" x14ac:dyDescent="0.25">
      <c r="A10" s="440"/>
    </row>
    <row r="11" ht="15" customHeight="1" spans="1:1" x14ac:dyDescent="0.25">
      <c r="A11" s="440"/>
    </row>
    <row r="12" ht="15" customHeight="1" spans="1:1" x14ac:dyDescent="0.25">
      <c r="A12" s="440"/>
    </row>
    <row r="13" ht="15" customHeight="1" spans="1:1" x14ac:dyDescent="0.25">
      <c r="A13" s="440"/>
    </row>
    <row r="14" ht="15" customHeight="1" spans="1:1" x14ac:dyDescent="0.25">
      <c r="A14" s="440"/>
    </row>
    <row r="15" ht="15" customHeight="1" spans="1:1" x14ac:dyDescent="0.25">
      <c r="A15" s="440"/>
    </row>
    <row r="16" ht="15" customHeight="1" spans="1:1" x14ac:dyDescent="0.25">
      <c r="A16" s="440"/>
    </row>
    <row r="17" ht="15" customHeight="1" spans="1:1" x14ac:dyDescent="0.25">
      <c r="A17" s="440"/>
    </row>
    <row r="18" ht="15" customHeight="1" spans="1:1" x14ac:dyDescent="0.25">
      <c r="A18" s="440"/>
    </row>
    <row r="19" ht="15" customHeight="1" spans="1:1" x14ac:dyDescent="0.25">
      <c r="A19" s="440"/>
    </row>
    <row r="20" ht="15" customHeight="1" spans="1:1" x14ac:dyDescent="0.25">
      <c r="A20" s="440"/>
    </row>
    <row r="21" ht="15" customHeight="1" spans="1:1" x14ac:dyDescent="0.25">
      <c r="A21" s="440"/>
    </row>
    <row r="22" ht="15" customHeight="1" spans="1:1" x14ac:dyDescent="0.25">
      <c r="A22" s="440"/>
    </row>
    <row r="23" ht="15" customHeight="1" spans="1:1" x14ac:dyDescent="0.25">
      <c r="A23" s="440"/>
    </row>
    <row r="24" ht="15" customHeight="1" spans="1:1" x14ac:dyDescent="0.25">
      <c r="A24" s="440"/>
    </row>
    <row r="25" ht="15" customHeight="1" spans="1:1" x14ac:dyDescent="0.25">
      <c r="A25" s="440"/>
    </row>
    <row r="26" ht="15" customHeight="1" spans="1:1" x14ac:dyDescent="0.25">
      <c r="A26" s="440"/>
    </row>
  </sheetData>
  <mergeCells count="1">
    <mergeCell ref="A1:A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BD76"/>
  <sheetViews>
    <sheetView workbookViewId="0" zoomScale="100" zoomScaleNormal="100">
      <pane xSplit="2" ySplit="3" topLeftCell="K4" activePane="bottomRight" state="frozen"/>
      <selection pane="bottomRight" activeCell="R44" sqref="R44"/>
    </sheetView>
  </sheetViews>
  <sheetFormatPr defaultRowHeight="15" outlineLevelRow="0" outlineLevelCol="0" x14ac:dyDescent="0.25" defaultColWidth="14.42578125"/>
  <cols>
    <col min="1" max="1" width="24.42578125" style="122" customWidth="1"/>
    <col min="2" max="2" width="38.7109375" style="122" customWidth="1"/>
    <col min="3" max="15" width="10.85546875" style="122" customWidth="1"/>
    <col min="16" max="16" width="11.5703125" style="122" customWidth="1"/>
    <col min="17" max="19" width="10.85546875" style="122" customWidth="1"/>
    <col min="20" max="20" width="11.5703125" style="122" customWidth="1"/>
    <col min="21" max="55" width="10.85546875" style="122" customWidth="1"/>
    <col min="56" max="56" width="14.42578125" style="123" customWidth="1"/>
    <col min="57" max="16384" width="14.42578125" style="122" customWidth="1"/>
  </cols>
  <sheetData>
    <row r="1" ht="54" customHeight="1" spans="1:56" s="124" customFormat="1" x14ac:dyDescent="0.25">
      <c r="A1" s="125" t="s">
        <v>105</v>
      </c>
      <c r="B1" s="126"/>
      <c r="C1" s="127">
        <f>'PL WB (нед)'!C1</f>
        <v>1</v>
      </c>
      <c r="D1" s="127">
        <f>'PL WB (нед)'!D1</f>
        <v>2</v>
      </c>
      <c r="E1" s="127">
        <f>'PL WB (нед)'!E1</f>
        <v>3</v>
      </c>
      <c r="F1" s="127">
        <f>'PL WB (нед)'!F1</f>
        <v>4</v>
      </c>
      <c r="G1" s="127">
        <f>'PL WB (нед)'!G1</f>
        <v>5</v>
      </c>
      <c r="H1" s="127">
        <f>'PL WB (нед)'!H1</f>
        <v>6</v>
      </c>
      <c r="I1" s="127">
        <f>'PL WB (нед)'!I1</f>
        <v>7</v>
      </c>
      <c r="J1" s="127">
        <f>'PL WB (нед)'!J1</f>
        <v>8</v>
      </c>
      <c r="K1" s="127">
        <f>'PL WB (нед)'!K1</f>
        <v>9</v>
      </c>
      <c r="L1" s="127">
        <f>'PL WB (нед)'!L1</f>
        <v>10</v>
      </c>
      <c r="M1" s="127">
        <f>'PL WB (нед)'!M1</f>
        <v>11</v>
      </c>
      <c r="N1" s="127">
        <f>'PL WB (нед)'!N1</f>
        <v>12</v>
      </c>
      <c r="O1" s="127">
        <f>'PL WB (нед)'!O1</f>
        <v>13</v>
      </c>
      <c r="P1" s="127">
        <f>'PL WB (нед)'!P1</f>
        <v>14</v>
      </c>
      <c r="Q1" s="127">
        <f>'PL WB (нед)'!Q1</f>
        <v>15</v>
      </c>
      <c r="R1" s="127">
        <f>'PL WB (нед)'!R1</f>
        <v>16</v>
      </c>
      <c r="S1" s="127">
        <f>'PL WB (нед)'!S1</f>
        <v>17</v>
      </c>
      <c r="T1" s="127">
        <f>'PL WB (нед)'!T1</f>
        <v>18</v>
      </c>
      <c r="U1" s="127">
        <f>'PL WB (нед)'!U1</f>
        <v>19</v>
      </c>
      <c r="V1" s="127">
        <f>'PL WB (нед)'!V1</f>
        <v>20</v>
      </c>
      <c r="W1" s="127">
        <f>'PL WB (нед)'!W1</f>
        <v>21</v>
      </c>
      <c r="X1" s="127">
        <f>'PL WB (нед)'!X1</f>
        <v>22</v>
      </c>
      <c r="Y1" s="127">
        <f>'PL WB (нед)'!Y1</f>
        <v>23</v>
      </c>
      <c r="Z1" s="127">
        <f>'PL WB (нед)'!Z1</f>
        <v>24</v>
      </c>
      <c r="AA1" s="127">
        <f>'PL WB (нед)'!AA1</f>
        <v>25</v>
      </c>
      <c r="AB1" s="127">
        <f>'PL WB (нед)'!AB1</f>
        <v>26</v>
      </c>
      <c r="AC1" s="127">
        <f>'PL WB (нед)'!AC1</f>
        <v>27</v>
      </c>
      <c r="AD1" s="127">
        <f>'PL WB (нед)'!AD1</f>
        <v>28</v>
      </c>
      <c r="AE1" s="127">
        <f>'PL WB (нед)'!AE1</f>
        <v>29</v>
      </c>
      <c r="AF1" s="127">
        <f>'PL WB (нед)'!AF1</f>
        <v>30</v>
      </c>
      <c r="AG1" s="127">
        <f>'PL WB (нед)'!AG1</f>
        <v>31</v>
      </c>
      <c r="AH1" s="127">
        <f>'PL WB (нед)'!AH1</f>
        <v>32</v>
      </c>
      <c r="AI1" s="127">
        <f>'PL WB (нед)'!AI1</f>
        <v>33</v>
      </c>
      <c r="AJ1" s="127">
        <f>'PL WB (нед)'!AJ1</f>
        <v>34</v>
      </c>
      <c r="AK1" s="127">
        <f>'PL WB (нед)'!AK1</f>
        <v>35</v>
      </c>
      <c r="AL1" s="127">
        <f>'PL WB (нед)'!AL1</f>
        <v>36</v>
      </c>
      <c r="AM1" s="127">
        <f>'PL WB (нед)'!AM1</f>
        <v>37</v>
      </c>
      <c r="AN1" s="127">
        <f>'PL WB (нед)'!AN1</f>
        <v>38</v>
      </c>
      <c r="AO1" s="127">
        <f>'PL WB (нед)'!AO1</f>
        <v>39</v>
      </c>
      <c r="AP1" s="127">
        <f>'PL WB (нед)'!AP1</f>
        <v>40</v>
      </c>
      <c r="AQ1" s="127">
        <f>'PL WB (нед)'!AQ1</f>
        <v>41</v>
      </c>
      <c r="AR1" s="127">
        <f>'PL WB (нед)'!AR1</f>
        <v>42</v>
      </c>
      <c r="AS1" s="127">
        <f>'PL WB (нед)'!AS1</f>
        <v>43</v>
      </c>
      <c r="AT1" s="127">
        <f>'PL WB (нед)'!AT1</f>
        <v>44</v>
      </c>
      <c r="AU1" s="127">
        <f>'PL WB (нед)'!AU1</f>
        <v>45</v>
      </c>
      <c r="AV1" s="127">
        <f>'PL WB (нед)'!AV1</f>
        <v>46</v>
      </c>
      <c r="AW1" s="127">
        <f>'PL WB (нед)'!AW1</f>
        <v>47</v>
      </c>
      <c r="AX1" s="127">
        <f>'PL WB (нед)'!AX1</f>
        <v>48</v>
      </c>
      <c r="AY1" s="127">
        <f>'PL WB (нед)'!AY1</f>
        <v>49</v>
      </c>
      <c r="AZ1" s="127">
        <f>'PL WB (нед)'!AZ1</f>
        <v>50</v>
      </c>
      <c r="BA1" s="127">
        <f>'PL WB (нед)'!BA1</f>
        <v>51</v>
      </c>
      <c r="BB1" s="127">
        <f>'PL WB (нед)'!BB1</f>
        <v>52</v>
      </c>
      <c r="BC1" s="305" t="str">
        <f>'PL WB (нед)'!BC1</f>
        <v>Остаток года</v>
      </c>
      <c r="BD1" s="132"/>
    </row>
    <row r="2" ht="13.5" customHeight="1" spans="1:56" x14ac:dyDescent="0.25">
      <c r="A2" s="133" t="s">
        <v>107</v>
      </c>
      <c r="B2" s="134"/>
      <c r="C2" s="135" t="s">
        <v>51</v>
      </c>
      <c r="D2" s="136"/>
      <c r="E2" s="136"/>
      <c r="F2" s="136"/>
      <c r="G2" s="136"/>
      <c r="H2" s="135" t="s">
        <v>52</v>
      </c>
      <c r="I2" s="136"/>
      <c r="J2" s="136"/>
      <c r="K2" s="136"/>
      <c r="L2" s="135" t="s">
        <v>53</v>
      </c>
      <c r="M2" s="136"/>
      <c r="N2" s="136"/>
      <c r="O2" s="136"/>
      <c r="P2" s="137" t="s">
        <v>54</v>
      </c>
      <c r="Q2" s="138"/>
      <c r="R2" s="138"/>
      <c r="S2" s="139"/>
      <c r="T2" s="135" t="s">
        <v>39</v>
      </c>
      <c r="U2" s="136"/>
      <c r="V2" s="136"/>
      <c r="W2" s="136"/>
      <c r="X2" s="136"/>
      <c r="Y2" s="135" t="s">
        <v>55</v>
      </c>
      <c r="Z2" s="136"/>
      <c r="AA2" s="136"/>
      <c r="AB2" s="136"/>
      <c r="AC2" s="140" t="s">
        <v>56</v>
      </c>
      <c r="AD2" s="136"/>
      <c r="AE2" s="136"/>
      <c r="AF2" s="136"/>
      <c r="AG2" s="140" t="s">
        <v>57</v>
      </c>
      <c r="AH2" s="136"/>
      <c r="AI2" s="136"/>
      <c r="AJ2" s="136"/>
      <c r="AK2" s="136"/>
      <c r="AL2" s="140" t="s">
        <v>58</v>
      </c>
      <c r="AM2" s="136"/>
      <c r="AN2" s="136"/>
      <c r="AO2" s="136"/>
      <c r="AP2" s="140" t="s">
        <v>59</v>
      </c>
      <c r="AQ2" s="136"/>
      <c r="AR2" s="136"/>
      <c r="AS2" s="136"/>
      <c r="AT2" s="136"/>
      <c r="AU2" s="140" t="s">
        <v>60</v>
      </c>
      <c r="AV2" s="136"/>
      <c r="AW2" s="136"/>
      <c r="AX2" s="141"/>
      <c r="AY2" s="142" t="s">
        <v>61</v>
      </c>
      <c r="AZ2" s="136"/>
      <c r="BA2" s="136"/>
      <c r="BB2" s="136"/>
      <c r="BC2" s="136"/>
      <c r="BD2" s="143"/>
    </row>
    <row r="3" ht="13.5" customHeight="1" spans="2:56" s="144" customFormat="1" x14ac:dyDescent="0.25">
      <c r="B3" s="145"/>
      <c r="C3" s="146">
        <f>'PL WB (нед)'!C3</f>
        <v>NaN</v>
      </c>
      <c r="D3" s="146">
        <f>'PL WB (нед)'!D3</f>
        <v>NaN</v>
      </c>
      <c r="E3" s="146">
        <f>'PL WB (нед)'!E3</f>
        <v>NaN</v>
      </c>
      <c r="F3" s="146">
        <f>'PL WB (нед)'!F3</f>
        <v>NaN</v>
      </c>
      <c r="G3" s="146">
        <f>'PL WB (нед)'!G3</f>
        <v>NaN</v>
      </c>
      <c r="H3" s="146">
        <f>'PL WB (нед)'!H3</f>
        <v>NaN</v>
      </c>
      <c r="I3" s="146">
        <f>'PL WB (нед)'!I3</f>
        <v>NaN</v>
      </c>
      <c r="J3" s="146">
        <f>'PL WB (нед)'!J3</f>
        <v>NaN</v>
      </c>
      <c r="K3" s="146">
        <f>'PL WB (нед)'!K3</f>
        <v>NaN</v>
      </c>
      <c r="L3" s="146">
        <f>'PL WB (нед)'!L3</f>
        <v>NaN</v>
      </c>
      <c r="M3" s="146">
        <f>'PL WB (нед)'!M3</f>
        <v>NaN</v>
      </c>
      <c r="N3" s="146">
        <f>'PL WB (нед)'!N3</f>
        <v>NaN</v>
      </c>
      <c r="O3" s="146">
        <f>'PL WB (нед)'!O3</f>
        <v>NaN</v>
      </c>
      <c r="P3" s="146">
        <f>'PL WB (нед)'!P3</f>
        <v>NaN</v>
      </c>
      <c r="Q3" s="146">
        <f>'PL WB (нед)'!Q3</f>
        <v>NaN</v>
      </c>
      <c r="R3" s="146">
        <f>'PL WB (нед)'!R3</f>
        <v>NaN</v>
      </c>
      <c r="S3" s="146">
        <f>'PL WB (нед)'!S3</f>
        <v>0</v>
      </c>
      <c r="T3" s="146">
        <f>'PL WB (нед)'!T3</f>
        <v>0</v>
      </c>
      <c r="U3" s="146">
        <f>'PL WB (нед)'!U3</f>
        <v>0</v>
      </c>
      <c r="V3" s="146">
        <f>'PL WB (нед)'!V3</f>
        <v>0</v>
      </c>
      <c r="W3" s="146">
        <f>'PL WB (нед)'!W3</f>
        <v>0</v>
      </c>
      <c r="X3" s="146">
        <f>'PL WB (нед)'!X3</f>
        <v>0</v>
      </c>
      <c r="Y3" s="146">
        <f>'PL WB (нед)'!Y3</f>
        <v>0</v>
      </c>
      <c r="Z3" s="146">
        <f>'PL WB (нед)'!Z3</f>
        <v>0</v>
      </c>
      <c r="AA3" s="146">
        <f>'PL WB (нед)'!AA3</f>
        <v>0</v>
      </c>
      <c r="AB3" s="146">
        <f>'PL WB (нед)'!AB3</f>
        <v>0</v>
      </c>
      <c r="AC3" s="146">
        <f>'PL WB (нед)'!AC3</f>
        <v>0</v>
      </c>
      <c r="AD3" s="146">
        <f>'PL WB (нед)'!AD3</f>
        <v>0</v>
      </c>
      <c r="AE3" s="146">
        <f>'PL WB (нед)'!AE3</f>
        <v>0</v>
      </c>
      <c r="AF3" s="146">
        <f>'PL WB (нед)'!AF3</f>
        <v>0</v>
      </c>
      <c r="AG3" s="146">
        <f>'PL WB (нед)'!AG3</f>
        <v>0</v>
      </c>
      <c r="AH3" s="146">
        <f>'PL WB (нед)'!AH3</f>
        <v>0</v>
      </c>
      <c r="AI3" s="146">
        <f>'PL WB (нед)'!AI3</f>
        <v>0</v>
      </c>
      <c r="AJ3" s="146">
        <f>'PL WB (нед)'!AJ3</f>
        <v>0</v>
      </c>
      <c r="AK3" s="146">
        <f>'PL WB (нед)'!AK3</f>
        <v>0</v>
      </c>
      <c r="AL3" s="146">
        <f>'PL WB (нед)'!AL3</f>
        <v>0</v>
      </c>
      <c r="AM3" s="146">
        <f>'PL WB (нед)'!AM3</f>
        <v>0</v>
      </c>
      <c r="AN3" s="146">
        <f>'PL WB (нед)'!AN3</f>
        <v>0</v>
      </c>
      <c r="AO3" s="146">
        <f>'PL WB (нед)'!AO3</f>
        <v>0</v>
      </c>
      <c r="AP3" s="146">
        <f>'PL WB (нед)'!AP3</f>
        <v>0</v>
      </c>
      <c r="AQ3" s="146">
        <f>'PL WB (нед)'!AQ3</f>
        <v>0</v>
      </c>
      <c r="AR3" s="146">
        <f>'PL WB (нед)'!AR3</f>
        <v>0</v>
      </c>
      <c r="AS3" s="146">
        <f>'PL WB (нед)'!AS3</f>
        <v>0</v>
      </c>
      <c r="AT3" s="146">
        <f>'PL WB (нед)'!AT3</f>
        <v>0</v>
      </c>
      <c r="AU3" s="146">
        <f>'PL WB (нед)'!AU3</f>
        <v>0</v>
      </c>
      <c r="AV3" s="146">
        <f>'PL WB (нед)'!AV3</f>
        <v>0</v>
      </c>
      <c r="AW3" s="146">
        <f>'PL WB (нед)'!AW3</f>
        <v>0</v>
      </c>
      <c r="AX3" s="146">
        <f>'PL WB (нед)'!AX3</f>
        <v>0</v>
      </c>
      <c r="AY3" s="146">
        <f>'PL WB (нед)'!AY3</f>
        <v>0</v>
      </c>
      <c r="AZ3" s="146">
        <f>'PL WB (нед)'!AZ3</f>
        <v>0</v>
      </c>
      <c r="BA3" s="146">
        <f>'PL WB (нед)'!BA3</f>
        <v>0</v>
      </c>
      <c r="BB3" s="146">
        <f>'PL WB (нед)'!BB3</f>
        <v>0</v>
      </c>
      <c r="BC3" s="146" t="s">
        <v>146</v>
      </c>
      <c r="BD3" s="148"/>
    </row>
    <row r="4" ht="13.5" customHeight="1" spans="1:56" x14ac:dyDescent="0.25">
      <c r="A4" s="149" t="s">
        <v>62</v>
      </c>
      <c r="B4" s="150"/>
      <c r="C4" s="151"/>
      <c r="D4" s="152"/>
      <c r="E4" s="152"/>
      <c r="F4" s="152"/>
      <c r="G4" s="153"/>
      <c r="H4" s="151"/>
      <c r="I4" s="152"/>
      <c r="J4" s="152"/>
      <c r="K4" s="153"/>
      <c r="L4" s="151"/>
      <c r="M4" s="152"/>
      <c r="N4" s="152"/>
      <c r="O4" s="153"/>
      <c r="P4" s="151"/>
      <c r="Q4" s="152"/>
      <c r="R4" s="152"/>
      <c r="S4" s="153"/>
      <c r="T4" s="151"/>
      <c r="U4" s="152"/>
      <c r="V4" s="152"/>
      <c r="W4" s="152"/>
      <c r="X4" s="153"/>
      <c r="Y4" s="151"/>
      <c r="Z4" s="152"/>
      <c r="AA4" s="152"/>
      <c r="AB4" s="153"/>
      <c r="AC4" s="151"/>
      <c r="AD4" s="152"/>
      <c r="AE4" s="152"/>
      <c r="AF4" s="153"/>
      <c r="AG4" s="151"/>
      <c r="AH4" s="152"/>
      <c r="AI4" s="152"/>
      <c r="AJ4" s="152"/>
      <c r="AK4" s="153"/>
      <c r="AL4" s="151"/>
      <c r="AM4" s="152"/>
      <c r="AN4" s="152"/>
      <c r="AO4" s="153"/>
      <c r="AP4" s="151"/>
      <c r="AQ4" s="152"/>
      <c r="AR4" s="152"/>
      <c r="AS4" s="152"/>
      <c r="AT4" s="153"/>
      <c r="AU4" s="151"/>
      <c r="AV4" s="152"/>
      <c r="AW4" s="152"/>
      <c r="AX4" s="150"/>
      <c r="AY4" s="151"/>
      <c r="AZ4" s="152"/>
      <c r="BA4" s="152"/>
      <c r="BB4" s="152"/>
      <c r="BC4" s="152"/>
      <c r="BD4" s="143"/>
    </row>
    <row r="5" ht="13.5" customHeight="1" spans="1:56" x14ac:dyDescent="0.25">
      <c r="A5" s="154" t="s">
        <v>63</v>
      </c>
      <c r="B5" s="155"/>
      <c r="C5" s="156">
        <v>239068.58</v>
      </c>
      <c r="D5" s="157">
        <f>C12</f>
        <v>235066.58</v>
      </c>
      <c r="E5" s="157">
        <f t="shared" ref="E5:AZ5" si="0">D12</f>
        <v>219001.58</v>
      </c>
      <c r="F5" s="157">
        <f t="shared" si="0"/>
        <v>201900.58</v>
      </c>
      <c r="G5" s="158">
        <f t="shared" si="0"/>
        <v>184577.58</v>
      </c>
      <c r="H5" s="159">
        <f t="shared" si="0"/>
        <v>167411.58</v>
      </c>
      <c r="I5" s="157">
        <f t="shared" si="0"/>
        <v>155448.58</v>
      </c>
      <c r="J5" s="157">
        <f t="shared" si="0"/>
        <v>143723.58</v>
      </c>
      <c r="K5" s="158">
        <f t="shared" si="0"/>
        <v>126685.57999999999</v>
      </c>
      <c r="L5" s="159">
        <f t="shared" si="0"/>
        <v>117505.57999999999</v>
      </c>
      <c r="M5" s="157">
        <f t="shared" si="0"/>
        <v>107464.57999999999</v>
      </c>
      <c r="N5" s="157">
        <f t="shared" si="0"/>
        <v>98206.57999999999</v>
      </c>
      <c r="O5" s="158">
        <f t="shared" si="0"/>
        <v>91101.57999999999</v>
      </c>
      <c r="P5" s="159">
        <f t="shared" si="0"/>
        <v>85520.57999999999</v>
      </c>
      <c r="Q5" s="157">
        <f t="shared" si="0"/>
        <v>81035.57999999999</v>
      </c>
      <c r="R5" s="157">
        <f t="shared" si="0"/>
        <v>74900.57999999999</v>
      </c>
      <c r="S5" s="158">
        <f t="shared" si="0"/>
        <v>67587.57999999999</v>
      </c>
      <c r="T5" s="159">
        <f t="shared" si="0"/>
        <v>67587.57999999999</v>
      </c>
      <c r="U5" s="157">
        <f>T12</f>
        <v>67587.57999999999</v>
      </c>
      <c r="V5" s="157">
        <f>U12</f>
        <v>67587.57999999999</v>
      </c>
      <c r="W5" s="157">
        <f t="shared" si="0"/>
        <v>67587.57999999999</v>
      </c>
      <c r="X5" s="158">
        <f t="shared" si="0"/>
        <v>67587.57999999999</v>
      </c>
      <c r="Y5" s="159">
        <f t="shared" si="0"/>
        <v>67587.57999999999</v>
      </c>
      <c r="Z5" s="157">
        <f t="shared" si="0"/>
        <v>67587.57999999999</v>
      </c>
      <c r="AA5" s="157">
        <f t="shared" si="0"/>
        <v>67587.57999999999</v>
      </c>
      <c r="AB5" s="158">
        <f t="shared" si="0"/>
        <v>67587.57999999999</v>
      </c>
      <c r="AC5" s="159">
        <f t="shared" si="0"/>
        <v>67587.57999999999</v>
      </c>
      <c r="AD5" s="157">
        <f t="shared" si="0"/>
        <v>67587.57999999999</v>
      </c>
      <c r="AE5" s="157">
        <f t="shared" si="0"/>
        <v>67587.57999999999</v>
      </c>
      <c r="AF5" s="158">
        <f t="shared" si="0"/>
        <v>67587.57999999999</v>
      </c>
      <c r="AG5" s="159">
        <f t="shared" si="0"/>
        <v>67587.57999999999</v>
      </c>
      <c r="AH5" s="157">
        <f t="shared" si="0"/>
        <v>67587.57999999999</v>
      </c>
      <c r="AI5" s="157">
        <f t="shared" si="0"/>
        <v>67587.57999999999</v>
      </c>
      <c r="AJ5" s="157">
        <f t="shared" si="0"/>
        <v>67587.57999999999</v>
      </c>
      <c r="AK5" s="158">
        <f t="shared" si="0"/>
        <v>67587.57999999999</v>
      </c>
      <c r="AL5" s="159">
        <f t="shared" si="0"/>
        <v>67587.57999999999</v>
      </c>
      <c r="AM5" s="157">
        <f t="shared" si="0"/>
        <v>67587.57999999999</v>
      </c>
      <c r="AN5" s="157">
        <f t="shared" si="0"/>
        <v>67587.57999999999</v>
      </c>
      <c r="AO5" s="158">
        <f t="shared" si="0"/>
        <v>67587.57999999999</v>
      </c>
      <c r="AP5" s="159">
        <f t="shared" si="0"/>
        <v>67587.57999999999</v>
      </c>
      <c r="AQ5" s="157">
        <f t="shared" si="0"/>
        <v>67587.57999999999</v>
      </c>
      <c r="AR5" s="157">
        <f t="shared" si="0"/>
        <v>67587.57999999999</v>
      </c>
      <c r="AS5" s="157">
        <f t="shared" si="0"/>
        <v>67587.57999999999</v>
      </c>
      <c r="AT5" s="158">
        <f t="shared" si="0"/>
        <v>67587.57999999999</v>
      </c>
      <c r="AU5" s="159">
        <f t="shared" si="0"/>
        <v>67587.57999999999</v>
      </c>
      <c r="AV5" s="157">
        <f>AU12</f>
        <v>67587.57999999999</v>
      </c>
      <c r="AW5" s="157">
        <f t="shared" si="0"/>
        <v>67587.57999999999</v>
      </c>
      <c r="AX5" s="155">
        <f t="shared" si="0"/>
        <v>67587.57999999999</v>
      </c>
      <c r="AY5" s="159">
        <f t="shared" si="0"/>
        <v>67587.57999999999</v>
      </c>
      <c r="AZ5" s="157">
        <f t="shared" si="0"/>
        <v>67587.57999999999</v>
      </c>
      <c r="BA5" s="157">
        <f>AZ12</f>
        <v>67587.57999999999</v>
      </c>
      <c r="BB5" s="157">
        <f>BA12</f>
        <v>67587.57999999999</v>
      </c>
      <c r="BC5" s="157">
        <f>BB12</f>
        <v>67587.57999999999</v>
      </c>
      <c r="BD5" s="168"/>
    </row>
    <row r="6" ht="13.5" customHeight="1" spans="1:56" x14ac:dyDescent="0.25">
      <c r="A6" s="154"/>
      <c r="B6" s="160"/>
      <c r="C6" s="159"/>
      <c r="D6" s="157"/>
      <c r="E6" s="157"/>
      <c r="F6" s="157"/>
      <c r="G6" s="158"/>
      <c r="H6" s="159"/>
      <c r="I6" s="157"/>
      <c r="J6" s="157"/>
      <c r="K6" s="158"/>
      <c r="L6" s="159"/>
      <c r="M6" s="157"/>
      <c r="N6" s="157"/>
      <c r="O6" s="158"/>
      <c r="P6" s="159"/>
      <c r="Q6" s="157"/>
      <c r="R6" s="157"/>
      <c r="S6" s="158"/>
      <c r="T6" s="159"/>
      <c r="U6" s="157"/>
      <c r="V6" s="157"/>
      <c r="W6" s="157"/>
      <c r="X6" s="158"/>
      <c r="Y6" s="159"/>
      <c r="Z6" s="157"/>
      <c r="AA6" s="157"/>
      <c r="AB6" s="158"/>
      <c r="AC6" s="159"/>
      <c r="AD6" s="157"/>
      <c r="AE6" s="157"/>
      <c r="AF6" s="158"/>
      <c r="AG6" s="159"/>
      <c r="AH6" s="157"/>
      <c r="AI6" s="157"/>
      <c r="AJ6" s="157"/>
      <c r="AK6" s="158"/>
      <c r="AL6" s="159"/>
      <c r="AM6" s="157"/>
      <c r="AN6" s="157"/>
      <c r="AO6" s="158"/>
      <c r="AP6" s="159"/>
      <c r="AQ6" s="157"/>
      <c r="AR6" s="157"/>
      <c r="AS6" s="157"/>
      <c r="AT6" s="158"/>
      <c r="AU6" s="159"/>
      <c r="AV6" s="157"/>
      <c r="AW6" s="157"/>
      <c r="AX6" s="155"/>
      <c r="AY6" s="159"/>
      <c r="AZ6" s="157"/>
      <c r="BA6" s="157"/>
      <c r="BB6" s="157"/>
      <c r="BC6" s="157"/>
      <c r="BD6" s="168">
        <f t="shared" ref="BD6" si="1">SUM(C6:BC6)</f>
        <v>0</v>
      </c>
    </row>
    <row r="7" ht="13.5" customHeight="1" spans="1:56" x14ac:dyDescent="0.25">
      <c r="A7" s="161" t="s">
        <v>64</v>
      </c>
      <c r="C7" s="156">
        <v>0</v>
      </c>
      <c r="D7" s="162">
        <v>0</v>
      </c>
      <c r="E7" s="162">
        <v>0</v>
      </c>
      <c r="F7" s="162">
        <v>0</v>
      </c>
      <c r="G7" s="163">
        <v>0</v>
      </c>
      <c r="H7" s="164">
        <v>0</v>
      </c>
      <c r="I7" s="165">
        <v>0</v>
      </c>
      <c r="J7" s="165">
        <v>0</v>
      </c>
      <c r="K7" s="166">
        <v>0</v>
      </c>
      <c r="L7" s="164">
        <v>0</v>
      </c>
      <c r="M7" s="165">
        <v>0</v>
      </c>
      <c r="N7" s="165">
        <v>0</v>
      </c>
      <c r="O7" s="166">
        <v>0</v>
      </c>
      <c r="P7" s="164">
        <v>0</v>
      </c>
      <c r="Q7" s="165">
        <v>0</v>
      </c>
      <c r="R7" s="165">
        <v>0</v>
      </c>
      <c r="S7" s="166">
        <v>0</v>
      </c>
      <c r="T7" s="164">
        <v>0</v>
      </c>
      <c r="U7" s="165">
        <v>0</v>
      </c>
      <c r="V7" s="165">
        <v>0</v>
      </c>
      <c r="W7" s="165">
        <v>0</v>
      </c>
      <c r="X7" s="166">
        <v>0</v>
      </c>
      <c r="Y7" s="164">
        <v>0</v>
      </c>
      <c r="Z7" s="165">
        <v>0</v>
      </c>
      <c r="AA7" s="165">
        <v>0</v>
      </c>
      <c r="AB7" s="166">
        <v>0</v>
      </c>
      <c r="AC7" s="164">
        <v>0</v>
      </c>
      <c r="AD7" s="165">
        <v>0</v>
      </c>
      <c r="AE7" s="165">
        <v>0</v>
      </c>
      <c r="AF7" s="166">
        <v>0</v>
      </c>
      <c r="AG7" s="164">
        <v>0</v>
      </c>
      <c r="AH7" s="165">
        <v>0</v>
      </c>
      <c r="AI7" s="165">
        <v>0</v>
      </c>
      <c r="AJ7" s="165">
        <v>0</v>
      </c>
      <c r="AK7" s="166">
        <v>0</v>
      </c>
      <c r="AL7" s="164">
        <v>0</v>
      </c>
      <c r="AM7" s="165">
        <v>0</v>
      </c>
      <c r="AN7" s="165">
        <v>0</v>
      </c>
      <c r="AO7" s="166">
        <v>0</v>
      </c>
      <c r="AP7" s="164">
        <v>0</v>
      </c>
      <c r="AQ7" s="165">
        <v>0</v>
      </c>
      <c r="AR7" s="165">
        <v>0</v>
      </c>
      <c r="AS7" s="165">
        <v>0</v>
      </c>
      <c r="AT7" s="166">
        <v>0</v>
      </c>
      <c r="AU7" s="164">
        <v>0</v>
      </c>
      <c r="AV7" s="165">
        <v>0</v>
      </c>
      <c r="AW7" s="165">
        <v>0</v>
      </c>
      <c r="AX7" s="167">
        <v>0</v>
      </c>
      <c r="AY7" s="164">
        <v>0</v>
      </c>
      <c r="AZ7" s="165">
        <v>0</v>
      </c>
      <c r="BA7" s="165">
        <v>0</v>
      </c>
      <c r="BB7" s="165">
        <v>0</v>
      </c>
      <c r="BC7" s="165">
        <v>0</v>
      </c>
      <c r="BD7" s="168">
        <f>SUM(C7:BC7)</f>
        <v>1356</v>
      </c>
    </row>
    <row r="8" spans="1:56" x14ac:dyDescent="0.25">
      <c r="A8" s="160" t="s">
        <v>65</v>
      </c>
      <c r="C8" s="159">
        <f>C33</f>
        <v>4002</v>
      </c>
      <c r="D8" s="159">
        <f t="shared" ref="D8:BB8" si="2">D33</f>
        <v>16065</v>
      </c>
      <c r="E8" s="159">
        <f t="shared" si="2"/>
        <v>17101</v>
      </c>
      <c r="F8" s="159">
        <f t="shared" si="2"/>
        <v>17323</v>
      </c>
      <c r="G8" s="159">
        <f t="shared" si="2"/>
        <v>17166</v>
      </c>
      <c r="H8" s="159">
        <f t="shared" si="2"/>
        <v>11963</v>
      </c>
      <c r="I8" s="159">
        <f t="shared" si="2"/>
        <v>11725</v>
      </c>
      <c r="J8" s="159">
        <f t="shared" si="2"/>
        <v>17038</v>
      </c>
      <c r="K8" s="159">
        <f t="shared" si="2"/>
        <v>9180</v>
      </c>
      <c r="L8" s="159">
        <f>L33</f>
        <v>10041</v>
      </c>
      <c r="M8" s="159">
        <f t="shared" si="2"/>
        <v>9258</v>
      </c>
      <c r="N8" s="159">
        <f t="shared" si="2"/>
        <v>7105</v>
      </c>
      <c r="O8" s="159">
        <f t="shared" si="2"/>
        <v>5581</v>
      </c>
      <c r="P8" s="159">
        <f t="shared" si="2"/>
        <v>4485</v>
      </c>
      <c r="Q8" s="159">
        <f t="shared" si="2"/>
        <v>6135</v>
      </c>
      <c r="R8" s="159">
        <f t="shared" si="2"/>
        <v>7313</v>
      </c>
      <c r="S8" s="159">
        <f t="shared" si="2"/>
        <v>0</v>
      </c>
      <c r="T8" s="159">
        <f t="shared" si="2"/>
        <v>0</v>
      </c>
      <c r="U8" s="159">
        <f t="shared" si="2"/>
        <v>0</v>
      </c>
      <c r="V8" s="159">
        <f t="shared" si="2"/>
        <v>0</v>
      </c>
      <c r="W8" s="159">
        <f t="shared" si="2"/>
        <v>0</v>
      </c>
      <c r="X8" s="159">
        <f t="shared" si="2"/>
        <v>0</v>
      </c>
      <c r="Y8" s="159">
        <f t="shared" si="2"/>
        <v>0</v>
      </c>
      <c r="Z8" s="159">
        <f t="shared" si="2"/>
        <v>0</v>
      </c>
      <c r="AA8" s="159">
        <f t="shared" si="2"/>
        <v>0</v>
      </c>
      <c r="AB8" s="159">
        <f t="shared" si="2"/>
        <v>0</v>
      </c>
      <c r="AC8" s="159">
        <f t="shared" si="2"/>
        <v>0</v>
      </c>
      <c r="AD8" s="159">
        <f t="shared" si="2"/>
        <v>0</v>
      </c>
      <c r="AE8" s="159">
        <f t="shared" si="2"/>
        <v>0</v>
      </c>
      <c r="AF8" s="159">
        <f t="shared" si="2"/>
        <v>0</v>
      </c>
      <c r="AG8" s="159">
        <f t="shared" si="2"/>
        <v>0</v>
      </c>
      <c r="AH8" s="159">
        <f t="shared" si="2"/>
        <v>0</v>
      </c>
      <c r="AI8" s="159">
        <f t="shared" si="2"/>
        <v>0</v>
      </c>
      <c r="AJ8" s="159">
        <f t="shared" si="2"/>
        <v>0</v>
      </c>
      <c r="AK8" s="159">
        <f t="shared" si="2"/>
        <v>0</v>
      </c>
      <c r="AL8" s="159">
        <f t="shared" si="2"/>
        <v>0</v>
      </c>
      <c r="AM8" s="159">
        <f t="shared" si="2"/>
        <v>0</v>
      </c>
      <c r="AN8" s="159">
        <f t="shared" si="2"/>
        <v>0</v>
      </c>
      <c r="AO8" s="159">
        <f t="shared" si="2"/>
        <v>0</v>
      </c>
      <c r="AP8" s="159">
        <f t="shared" si="2"/>
        <v>0</v>
      </c>
      <c r="AQ8" s="159">
        <f t="shared" si="2"/>
        <v>0</v>
      </c>
      <c r="AR8" s="159">
        <f t="shared" si="2"/>
        <v>0</v>
      </c>
      <c r="AS8" s="159">
        <f t="shared" si="2"/>
        <v>0</v>
      </c>
      <c r="AT8" s="159">
        <f t="shared" si="2"/>
        <v>0</v>
      </c>
      <c r="AU8" s="159">
        <f t="shared" si="2"/>
        <v>0</v>
      </c>
      <c r="AV8" s="159">
        <f t="shared" si="2"/>
        <v>0</v>
      </c>
      <c r="AW8" s="159">
        <f t="shared" si="2"/>
        <v>0</v>
      </c>
      <c r="AX8" s="159">
        <f t="shared" si="2"/>
        <v>0</v>
      </c>
      <c r="AY8" s="159">
        <f t="shared" si="2"/>
        <v>0</v>
      </c>
      <c r="AZ8" s="159">
        <f t="shared" si="2"/>
        <v>0</v>
      </c>
      <c r="BA8" s="159">
        <f t="shared" si="2"/>
        <v>0</v>
      </c>
      <c r="BB8" s="159">
        <f t="shared" si="2"/>
        <v>0</v>
      </c>
      <c r="BC8" s="159">
        <f>BC33</f>
        <v>0</v>
      </c>
      <c r="BD8" s="168">
        <f t="shared" ref="BD8:BD71" si="3">SUM(C8:BC8)</f>
        <v>171481</v>
      </c>
    </row>
    <row r="9" ht="13.5" customHeight="1" spans="1:56" x14ac:dyDescent="0.25">
      <c r="A9" s="154"/>
      <c r="B9" s="155"/>
      <c r="C9" s="159"/>
      <c r="D9" s="157"/>
      <c r="E9" s="157"/>
      <c r="F9" s="157"/>
      <c r="G9" s="158"/>
      <c r="H9" s="159"/>
      <c r="I9" s="157"/>
      <c r="J9" s="157"/>
      <c r="K9" s="158"/>
      <c r="L9" s="159"/>
      <c r="M9" s="157"/>
      <c r="N9" s="157"/>
      <c r="O9" s="158"/>
      <c r="P9" s="159"/>
      <c r="Q9" s="157"/>
      <c r="R9" s="157"/>
      <c r="S9" s="158"/>
      <c r="T9" s="159"/>
      <c r="U9" s="157"/>
      <c r="V9" s="157"/>
      <c r="W9" s="157"/>
      <c r="X9" s="158"/>
      <c r="Y9" s="159"/>
      <c r="Z9" s="157"/>
      <c r="AA9" s="157"/>
      <c r="AB9" s="158"/>
      <c r="AC9" s="159"/>
      <c r="AD9" s="157"/>
      <c r="AE9" s="157"/>
      <c r="AF9" s="158"/>
      <c r="AG9" s="159"/>
      <c r="AH9" s="157"/>
      <c r="AI9" s="157"/>
      <c r="AJ9" s="157"/>
      <c r="AK9" s="158"/>
      <c r="AL9" s="159"/>
      <c r="AM9" s="157"/>
      <c r="AN9" s="157"/>
      <c r="AO9" s="158"/>
      <c r="AP9" s="159"/>
      <c r="AQ9" s="157"/>
      <c r="AR9" s="157"/>
      <c r="AS9" s="157"/>
      <c r="AT9" s="158"/>
      <c r="AU9" s="159"/>
      <c r="AV9" s="157"/>
      <c r="AW9" s="157"/>
      <c r="AX9" s="155"/>
      <c r="AY9" s="159"/>
      <c r="AZ9" s="157"/>
      <c r="BA9" s="157"/>
      <c r="BB9" s="157"/>
      <c r="BC9" s="157"/>
      <c r="BD9" s="168">
        <f t="shared" si="3"/>
        <v>0</v>
      </c>
    </row>
    <row r="10" ht="13.5" customHeight="1" spans="1:56" x14ac:dyDescent="0.25">
      <c r="A10" s="169" t="s">
        <v>66</v>
      </c>
      <c r="B10" s="170"/>
      <c r="C10" s="156"/>
      <c r="D10" s="162"/>
      <c r="E10" s="162"/>
      <c r="F10" s="162"/>
      <c r="G10" s="163"/>
      <c r="H10" s="171"/>
      <c r="I10" s="172"/>
      <c r="J10" s="172"/>
      <c r="K10" s="173"/>
      <c r="L10" s="171"/>
      <c r="M10" s="172"/>
      <c r="N10" s="172"/>
      <c r="O10" s="173"/>
      <c r="P10" s="171"/>
      <c r="Q10" s="172"/>
      <c r="R10" s="172"/>
      <c r="S10" s="173"/>
      <c r="T10" s="171"/>
      <c r="U10" s="172"/>
      <c r="V10" s="172"/>
      <c r="W10" s="172"/>
      <c r="X10" s="173"/>
      <c r="Y10" s="171"/>
      <c r="Z10" s="172"/>
      <c r="AA10" s="172"/>
      <c r="AB10" s="173"/>
      <c r="AC10" s="171"/>
      <c r="AD10" s="172"/>
      <c r="AE10" s="172"/>
      <c r="AF10" s="173"/>
      <c r="AG10" s="171"/>
      <c r="AH10" s="172"/>
      <c r="AI10" s="172"/>
      <c r="AJ10" s="172"/>
      <c r="AK10" s="173"/>
      <c r="AL10" s="171"/>
      <c r="AM10" s="172"/>
      <c r="AN10" s="172"/>
      <c r="AO10" s="173"/>
      <c r="AP10" s="171"/>
      <c r="AQ10" s="172"/>
      <c r="AR10" s="172"/>
      <c r="AS10" s="172"/>
      <c r="AT10" s="173"/>
      <c r="AU10" s="171"/>
      <c r="AV10" s="172"/>
      <c r="AW10" s="172"/>
      <c r="AX10" s="174"/>
      <c r="AY10" s="171"/>
      <c r="AZ10" s="172"/>
      <c r="BA10" s="172"/>
      <c r="BB10" s="172"/>
      <c r="BC10" s="306"/>
      <c r="BD10" s="168">
        <f t="shared" si="3"/>
        <v>0</v>
      </c>
    </row>
    <row r="11" ht="13.5" customHeight="1" spans="1:56" x14ac:dyDescent="0.25">
      <c r="A11" s="175" t="s">
        <v>67</v>
      </c>
      <c r="B11" s="155"/>
      <c r="C11" s="156"/>
      <c r="D11" s="162"/>
      <c r="E11" s="162"/>
      <c r="F11" s="162"/>
      <c r="G11" s="163"/>
      <c r="H11" s="164"/>
      <c r="I11" s="165"/>
      <c r="J11" s="165"/>
      <c r="K11" s="162"/>
      <c r="L11" s="164"/>
      <c r="M11" s="165"/>
      <c r="N11" s="165"/>
      <c r="O11" s="166"/>
      <c r="P11" s="164"/>
      <c r="Q11" s="165"/>
      <c r="R11" s="165"/>
      <c r="S11" s="166"/>
      <c r="T11" s="164"/>
      <c r="U11" s="165"/>
      <c r="V11" s="165"/>
      <c r="W11" s="165"/>
      <c r="X11" s="166"/>
      <c r="Y11" s="164"/>
      <c r="Z11" s="165"/>
      <c r="AA11" s="165"/>
      <c r="AB11" s="166"/>
      <c r="AC11" s="164"/>
      <c r="AD11" s="165"/>
      <c r="AE11" s="165"/>
      <c r="AF11" s="166"/>
      <c r="AG11" s="164"/>
      <c r="AH11" s="165"/>
      <c r="AI11" s="165"/>
      <c r="AJ11" s="165"/>
      <c r="AK11" s="166"/>
      <c r="AL11" s="164"/>
      <c r="AM11" s="165"/>
      <c r="AN11" s="165"/>
      <c r="AO11" s="166"/>
      <c r="AP11" s="164"/>
      <c r="AQ11" s="165"/>
      <c r="AR11" s="165"/>
      <c r="AS11" s="165"/>
      <c r="AT11" s="166"/>
      <c r="AU11" s="164"/>
      <c r="AV11" s="165"/>
      <c r="AW11" s="165"/>
      <c r="AX11" s="167"/>
      <c r="AY11" s="164"/>
      <c r="AZ11" s="165"/>
      <c r="BA11" s="165"/>
      <c r="BB11" s="165"/>
      <c r="BC11" s="307"/>
      <c r="BD11" s="168">
        <f t="shared" si="3"/>
        <v>0</v>
      </c>
    </row>
    <row r="12" ht="13.5" customHeight="1" spans="1:56" x14ac:dyDescent="0.25">
      <c r="A12" s="176" t="s">
        <v>68</v>
      </c>
      <c r="B12" s="177"/>
      <c r="C12" s="178">
        <f>C10-C8+C5</f>
        <v>235066.58</v>
      </c>
      <c r="D12" s="178">
        <f t="shared" ref="D12:BB12" si="4">D10-D8+D5</f>
        <v>219001.58</v>
      </c>
      <c r="E12" s="178">
        <f t="shared" si="4"/>
        <v>201900.58</v>
      </c>
      <c r="F12" s="178">
        <f t="shared" si="4"/>
        <v>184577.58</v>
      </c>
      <c r="G12" s="178">
        <f t="shared" si="4"/>
        <v>167411.58</v>
      </c>
      <c r="H12" s="178">
        <f t="shared" si="4"/>
        <v>155448.58</v>
      </c>
      <c r="I12" s="178">
        <f t="shared" si="4"/>
        <v>143723.58</v>
      </c>
      <c r="J12" s="178">
        <f t="shared" si="4"/>
        <v>126685.57999999999</v>
      </c>
      <c r="K12" s="178">
        <f t="shared" si="4"/>
        <v>117505.57999999999</v>
      </c>
      <c r="L12" s="178">
        <f t="shared" si="4"/>
        <v>107464.57999999999</v>
      </c>
      <c r="M12" s="178">
        <f t="shared" si="4"/>
        <v>98206.57999999999</v>
      </c>
      <c r="N12" s="178">
        <f t="shared" si="4"/>
        <v>91101.57999999999</v>
      </c>
      <c r="O12" s="178">
        <f t="shared" si="4"/>
        <v>85520.57999999999</v>
      </c>
      <c r="P12" s="178">
        <f t="shared" si="4"/>
        <v>81035.57999999999</v>
      </c>
      <c r="Q12" s="178">
        <f t="shared" si="4"/>
        <v>74900.57999999999</v>
      </c>
      <c r="R12" s="178">
        <f t="shared" si="4"/>
        <v>67587.57999999999</v>
      </c>
      <c r="S12" s="178">
        <f t="shared" si="4"/>
        <v>67587.57999999999</v>
      </c>
      <c r="T12" s="178">
        <f t="shared" si="4"/>
        <v>67587.57999999999</v>
      </c>
      <c r="U12" s="178">
        <f t="shared" si="4"/>
        <v>67587.57999999999</v>
      </c>
      <c r="V12" s="178">
        <f t="shared" si="4"/>
        <v>67587.57999999999</v>
      </c>
      <c r="W12" s="178">
        <f t="shared" si="4"/>
        <v>67587.57999999999</v>
      </c>
      <c r="X12" s="178">
        <f t="shared" si="4"/>
        <v>67587.57999999999</v>
      </c>
      <c r="Y12" s="178">
        <f t="shared" si="4"/>
        <v>67587.57999999999</v>
      </c>
      <c r="Z12" s="178">
        <f t="shared" si="4"/>
        <v>67587.57999999999</v>
      </c>
      <c r="AA12" s="178">
        <f t="shared" si="4"/>
        <v>67587.57999999999</v>
      </c>
      <c r="AB12" s="178">
        <f t="shared" si="4"/>
        <v>67587.57999999999</v>
      </c>
      <c r="AC12" s="178">
        <f t="shared" si="4"/>
        <v>67587.57999999999</v>
      </c>
      <c r="AD12" s="178">
        <f t="shared" si="4"/>
        <v>67587.57999999999</v>
      </c>
      <c r="AE12" s="178">
        <f t="shared" si="4"/>
        <v>67587.57999999999</v>
      </c>
      <c r="AF12" s="178">
        <f t="shared" si="4"/>
        <v>67587.57999999999</v>
      </c>
      <c r="AG12" s="178">
        <f t="shared" si="4"/>
        <v>67587.57999999999</v>
      </c>
      <c r="AH12" s="178">
        <f t="shared" si="4"/>
        <v>67587.57999999999</v>
      </c>
      <c r="AI12" s="178">
        <f t="shared" si="4"/>
        <v>67587.57999999999</v>
      </c>
      <c r="AJ12" s="178">
        <f t="shared" si="4"/>
        <v>67587.57999999999</v>
      </c>
      <c r="AK12" s="178">
        <f t="shared" si="4"/>
        <v>67587.57999999999</v>
      </c>
      <c r="AL12" s="178">
        <f t="shared" si="4"/>
        <v>67587.57999999999</v>
      </c>
      <c r="AM12" s="178">
        <f t="shared" si="4"/>
        <v>67587.57999999999</v>
      </c>
      <c r="AN12" s="178">
        <f t="shared" si="4"/>
        <v>67587.57999999999</v>
      </c>
      <c r="AO12" s="178">
        <f t="shared" si="4"/>
        <v>67587.57999999999</v>
      </c>
      <c r="AP12" s="178">
        <f t="shared" si="4"/>
        <v>67587.57999999999</v>
      </c>
      <c r="AQ12" s="178">
        <f t="shared" si="4"/>
        <v>67587.57999999999</v>
      </c>
      <c r="AR12" s="178">
        <f t="shared" si="4"/>
        <v>67587.57999999999</v>
      </c>
      <c r="AS12" s="178">
        <f t="shared" si="4"/>
        <v>67587.57999999999</v>
      </c>
      <c r="AT12" s="178">
        <f t="shared" si="4"/>
        <v>67587.57999999999</v>
      </c>
      <c r="AU12" s="178">
        <f t="shared" si="4"/>
        <v>67587.57999999999</v>
      </c>
      <c r="AV12" s="178">
        <f t="shared" si="4"/>
        <v>67587.57999999999</v>
      </c>
      <c r="AW12" s="178">
        <f t="shared" si="4"/>
        <v>67587.57999999999</v>
      </c>
      <c r="AX12" s="178">
        <f t="shared" si="4"/>
        <v>67587.57999999999</v>
      </c>
      <c r="AY12" s="178">
        <f t="shared" si="4"/>
        <v>67587.57999999999</v>
      </c>
      <c r="AZ12" s="178">
        <f t="shared" si="4"/>
        <v>67587.57999999999</v>
      </c>
      <c r="BA12" s="178">
        <f t="shared" si="4"/>
        <v>67587.57999999999</v>
      </c>
      <c r="BB12" s="178">
        <f t="shared" si="4"/>
        <v>67587.57999999999</v>
      </c>
      <c r="BC12" s="308">
        <f>BC10-BC8+BC5</f>
        <v>67587.57999999999</v>
      </c>
      <c r="BD12" s="168">
        <f t="shared" si="3"/>
        <v>4657878.740000003</v>
      </c>
    </row>
    <row r="13" ht="13.5" customHeight="1" spans="1:56" x14ac:dyDescent="0.25">
      <c r="A13" s="176" t="s">
        <v>69</v>
      </c>
      <c r="B13" s="177"/>
      <c r="C13" s="179">
        <f>1741-C7-C27+C11+C23</f>
        <v>1704</v>
      </c>
      <c r="D13" s="180">
        <f>C13-D7-D27+D11+D23</f>
        <v>1566</v>
      </c>
      <c r="E13" s="180">
        <f t="shared" ref="E13:BC13" si="5">D13-E7-E27+E11+E23</f>
        <v>1433</v>
      </c>
      <c r="F13" s="180">
        <f t="shared" si="5"/>
        <v>1288</v>
      </c>
      <c r="G13" s="181">
        <f t="shared" si="5"/>
        <v>1146</v>
      </c>
      <c r="H13" s="178">
        <f t="shared" si="5"/>
        <v>1042</v>
      </c>
      <c r="I13" s="180">
        <f t="shared" si="5"/>
        <v>942</v>
      </c>
      <c r="J13" s="180">
        <f t="shared" si="5"/>
        <v>829</v>
      </c>
      <c r="K13" s="181">
        <f t="shared" si="5"/>
        <v>760</v>
      </c>
      <c r="L13" s="178">
        <f t="shared" si="5"/>
        <v>684</v>
      </c>
      <c r="M13" s="180">
        <f t="shared" si="5"/>
        <v>619</v>
      </c>
      <c r="N13" s="180">
        <f t="shared" si="5"/>
        <v>570</v>
      </c>
      <c r="O13" s="181">
        <f t="shared" si="5"/>
        <v>530</v>
      </c>
      <c r="P13" s="178">
        <f t="shared" si="5"/>
        <v>497</v>
      </c>
      <c r="Q13" s="180">
        <f t="shared" si="5"/>
        <v>459</v>
      </c>
      <c r="R13" s="180">
        <f t="shared" si="5"/>
        <v>409</v>
      </c>
      <c r="S13" s="181">
        <f t="shared" si="5"/>
        <v>409</v>
      </c>
      <c r="T13" s="178">
        <f t="shared" si="5"/>
        <v>409</v>
      </c>
      <c r="U13" s="180">
        <f>T13-U7-U27+U11+U23</f>
        <v>409</v>
      </c>
      <c r="V13" s="180">
        <f t="shared" si="5"/>
        <v>409</v>
      </c>
      <c r="W13" s="180">
        <f t="shared" si="5"/>
        <v>409</v>
      </c>
      <c r="X13" s="181">
        <f t="shared" si="5"/>
        <v>409</v>
      </c>
      <c r="Y13" s="178">
        <f>X13-Y7-Y27+Y11+Y23</f>
        <v>409</v>
      </c>
      <c r="Z13" s="180">
        <f t="shared" si="5"/>
        <v>409</v>
      </c>
      <c r="AA13" s="180">
        <f t="shared" si="5"/>
        <v>409</v>
      </c>
      <c r="AB13" s="181">
        <f>AA13-AB7-AB27+AB11+AB23</f>
        <v>409</v>
      </c>
      <c r="AC13" s="178">
        <f t="shared" si="5"/>
        <v>409</v>
      </c>
      <c r="AD13" s="180">
        <f>AC13-AD7-AD27+AD11+AD23</f>
        <v>409</v>
      </c>
      <c r="AE13" s="180">
        <f>AD13-AE7-AE27+AE11+AE23</f>
        <v>409</v>
      </c>
      <c r="AF13" s="181">
        <f t="shared" si="5"/>
        <v>409</v>
      </c>
      <c r="AG13" s="178">
        <f t="shared" si="5"/>
        <v>409</v>
      </c>
      <c r="AH13" s="180">
        <f t="shared" si="5"/>
        <v>409</v>
      </c>
      <c r="AI13" s="180">
        <f t="shared" si="5"/>
        <v>409</v>
      </c>
      <c r="AJ13" s="180">
        <f t="shared" si="5"/>
        <v>409</v>
      </c>
      <c r="AK13" s="181">
        <f t="shared" si="5"/>
        <v>409</v>
      </c>
      <c r="AL13" s="178">
        <f t="shared" si="5"/>
        <v>409</v>
      </c>
      <c r="AM13" s="180">
        <f t="shared" si="5"/>
        <v>409</v>
      </c>
      <c r="AN13" s="180">
        <f t="shared" si="5"/>
        <v>409</v>
      </c>
      <c r="AO13" s="181">
        <f t="shared" si="5"/>
        <v>409</v>
      </c>
      <c r="AP13" s="178">
        <f t="shared" si="5"/>
        <v>409</v>
      </c>
      <c r="AQ13" s="180">
        <f t="shared" si="5"/>
        <v>409</v>
      </c>
      <c r="AR13" s="180">
        <f t="shared" si="5"/>
        <v>409</v>
      </c>
      <c r="AS13" s="180">
        <f t="shared" si="5"/>
        <v>409</v>
      </c>
      <c r="AT13" s="181">
        <f t="shared" si="5"/>
        <v>409</v>
      </c>
      <c r="AU13" s="178">
        <f t="shared" si="5"/>
        <v>409</v>
      </c>
      <c r="AV13" s="180">
        <f t="shared" si="5"/>
        <v>409</v>
      </c>
      <c r="AW13" s="180">
        <f t="shared" si="5"/>
        <v>409</v>
      </c>
      <c r="AX13" s="182">
        <f t="shared" si="5"/>
        <v>409</v>
      </c>
      <c r="AY13" s="178">
        <f t="shared" si="5"/>
        <v>409</v>
      </c>
      <c r="AZ13" s="180">
        <f t="shared" si="5"/>
        <v>409</v>
      </c>
      <c r="BA13" s="180">
        <f t="shared" si="5"/>
        <v>409</v>
      </c>
      <c r="BB13" s="180">
        <f t="shared" si="5"/>
        <v>409</v>
      </c>
      <c r="BC13" s="180">
        <f t="shared" si="5"/>
        <v>409</v>
      </c>
      <c r="BD13" s="168"/>
    </row>
    <row r="14" ht="13.5" customHeight="1" spans="1:56" s="183" customFormat="1" x14ac:dyDescent="0.25">
      <c r="A14" s="59" t="s">
        <v>147</v>
      </c>
      <c r="B14" s="184"/>
      <c r="C14" s="185">
        <v>23556</v>
      </c>
      <c r="D14" s="186">
        <v>92169</v>
      </c>
      <c r="E14" s="186">
        <v>91476</v>
      </c>
      <c r="F14" s="186">
        <v>98006</v>
      </c>
      <c r="G14" s="187">
        <v>93544</v>
      </c>
      <c r="H14" s="188">
        <v>65065</v>
      </c>
      <c r="I14" s="189">
        <v>64240</v>
      </c>
      <c r="J14" s="189">
        <v>80539</v>
      </c>
      <c r="K14" s="190">
        <v>47549</v>
      </c>
      <c r="L14" s="188">
        <v>54244</v>
      </c>
      <c r="M14" s="189">
        <v>46430</v>
      </c>
      <c r="N14" s="189">
        <v>34926</v>
      </c>
      <c r="O14" s="190">
        <v>29249</v>
      </c>
      <c r="P14" s="188">
        <v>21633</v>
      </c>
      <c r="Q14" s="189">
        <v>25109</v>
      </c>
      <c r="R14" s="189">
        <v>27597</v>
      </c>
      <c r="S14" s="190"/>
      <c r="T14" s="188"/>
      <c r="U14" s="189"/>
      <c r="V14" s="189"/>
      <c r="W14" s="189"/>
      <c r="X14" s="190"/>
      <c r="Y14" s="188"/>
      <c r="Z14" s="189"/>
      <c r="AA14" s="189"/>
      <c r="AB14" s="190"/>
      <c r="AC14" s="188"/>
      <c r="AD14" s="189"/>
      <c r="AE14" s="189"/>
      <c r="AF14" s="190"/>
      <c r="AG14" s="188"/>
      <c r="AH14" s="189"/>
      <c r="AI14" s="189"/>
      <c r="AJ14" s="189"/>
      <c r="AK14" s="190"/>
      <c r="AL14" s="188"/>
      <c r="AM14" s="189"/>
      <c r="AN14" s="189"/>
      <c r="AO14" s="190"/>
      <c r="AP14" s="188"/>
      <c r="AQ14" s="189"/>
      <c r="AR14" s="189"/>
      <c r="AS14" s="189"/>
      <c r="AT14" s="190"/>
      <c r="AU14" s="188"/>
      <c r="AV14" s="189"/>
      <c r="AW14" s="189"/>
      <c r="AX14" s="191"/>
      <c r="AY14" s="188"/>
      <c r="AZ14" s="189"/>
      <c r="BA14" s="189"/>
      <c r="BB14" s="189"/>
      <c r="BC14" s="309"/>
      <c r="BD14" s="168">
        <f t="shared" si="3"/>
        <v>895332</v>
      </c>
    </row>
    <row r="15" ht="13.5" customHeight="1" spans="1:56" s="183" customFormat="1" x14ac:dyDescent="0.25">
      <c r="A15" s="59"/>
      <c r="B15" s="192"/>
      <c r="C15" s="185"/>
      <c r="D15" s="186"/>
      <c r="E15" s="186"/>
      <c r="F15" s="186"/>
      <c r="G15" s="187"/>
      <c r="H15" s="188"/>
      <c r="I15" s="189"/>
      <c r="J15" s="189"/>
      <c r="K15" s="190"/>
      <c r="L15" s="188"/>
      <c r="M15" s="189"/>
      <c r="N15" s="189"/>
      <c r="O15" s="190"/>
      <c r="P15" s="188"/>
      <c r="Q15" s="189"/>
      <c r="R15" s="189"/>
      <c r="S15" s="190"/>
      <c r="T15" s="188"/>
      <c r="U15" s="189"/>
      <c r="V15" s="189"/>
      <c r="W15" s="189"/>
      <c r="X15" s="190"/>
      <c r="Y15" s="188"/>
      <c r="Z15" s="189"/>
      <c r="AA15" s="189"/>
      <c r="AB15" s="190"/>
      <c r="AC15" s="188"/>
      <c r="AD15" s="189"/>
      <c r="AE15" s="189"/>
      <c r="AF15" s="190"/>
      <c r="AG15" s="188"/>
      <c r="AH15" s="189"/>
      <c r="AI15" s="189"/>
      <c r="AJ15" s="189"/>
      <c r="AK15" s="190"/>
      <c r="AL15" s="188"/>
      <c r="AM15" s="189"/>
      <c r="AN15" s="189"/>
      <c r="AO15" s="190"/>
      <c r="AP15" s="188"/>
      <c r="AQ15" s="189"/>
      <c r="AR15" s="189"/>
      <c r="AS15" s="189"/>
      <c r="AT15" s="190"/>
      <c r="AU15" s="188"/>
      <c r="AV15" s="189"/>
      <c r="AW15" s="189"/>
      <c r="AX15" s="191"/>
      <c r="AY15" s="188"/>
      <c r="AZ15" s="189"/>
      <c r="BA15" s="189"/>
      <c r="BB15" s="189"/>
      <c r="BC15" s="309"/>
      <c r="BD15" s="168">
        <f t="shared" si="3"/>
        <v>0</v>
      </c>
    </row>
    <row r="16" ht="13.5" customHeight="1" spans="1:56" x14ac:dyDescent="0.25">
      <c r="A16" s="193"/>
      <c r="B16" s="194"/>
      <c r="C16" s="195"/>
      <c r="D16" s="196"/>
      <c r="E16" s="196"/>
      <c r="F16" s="196"/>
      <c r="G16" s="197"/>
      <c r="H16" s="195"/>
      <c r="I16" s="196"/>
      <c r="J16" s="196"/>
      <c r="K16" s="197"/>
      <c r="L16" s="195"/>
      <c r="M16" s="196"/>
      <c r="N16" s="196"/>
      <c r="O16" s="197"/>
      <c r="P16" s="195"/>
      <c r="Q16" s="196"/>
      <c r="R16" s="196"/>
      <c r="S16" s="197"/>
      <c r="T16" s="195"/>
      <c r="U16" s="196"/>
      <c r="V16" s="196"/>
      <c r="W16" s="196"/>
      <c r="X16" s="197"/>
      <c r="Y16" s="195"/>
      <c r="Z16" s="196"/>
      <c r="AA16" s="196"/>
      <c r="AB16" s="197"/>
      <c r="AC16" s="195"/>
      <c r="AD16" s="196"/>
      <c r="AE16" s="196"/>
      <c r="AF16" s="197"/>
      <c r="AG16" s="195"/>
      <c r="AH16" s="196"/>
      <c r="AI16" s="196"/>
      <c r="AJ16" s="196"/>
      <c r="AK16" s="197"/>
      <c r="AL16" s="195"/>
      <c r="AM16" s="196"/>
      <c r="AN16" s="196"/>
      <c r="AO16" s="197"/>
      <c r="AP16" s="195"/>
      <c r="AQ16" s="196"/>
      <c r="AR16" s="196"/>
      <c r="AS16" s="196"/>
      <c r="AT16" s="197"/>
      <c r="AU16" s="195"/>
      <c r="AV16" s="196"/>
      <c r="AW16" s="196"/>
      <c r="AX16" s="194"/>
      <c r="AY16" s="195"/>
      <c r="AZ16" s="196"/>
      <c r="BA16" s="196"/>
      <c r="BB16" s="196"/>
      <c r="BC16" s="310"/>
      <c r="BD16" s="168">
        <f t="shared" si="3"/>
        <v>0</v>
      </c>
    </row>
    <row r="17" ht="13.5" customHeight="1" spans="1:56" s="183" customFormat="1" x14ac:dyDescent="0.25">
      <c r="A17" s="59" t="s">
        <v>148</v>
      </c>
      <c r="B17" s="184"/>
      <c r="C17" s="311">
        <v>8844</v>
      </c>
      <c r="D17" s="311">
        <v>34710</v>
      </c>
      <c r="E17" s="311">
        <v>34473</v>
      </c>
      <c r="F17" s="311">
        <v>36913</v>
      </c>
      <c r="G17" s="311">
        <v>35355</v>
      </c>
      <c r="H17" s="311">
        <v>24418</v>
      </c>
      <c r="I17" s="311">
        <v>24277</v>
      </c>
      <c r="J17" s="311">
        <v>30783</v>
      </c>
      <c r="K17" s="311">
        <v>18081</v>
      </c>
      <c r="L17" s="311">
        <v>20446</v>
      </c>
      <c r="M17" s="311">
        <v>17665</v>
      </c>
      <c r="N17" s="311">
        <v>13238</v>
      </c>
      <c r="O17" s="311">
        <v>11142</v>
      </c>
      <c r="P17" s="311">
        <v>8115</v>
      </c>
      <c r="Q17" s="311">
        <v>9651</v>
      </c>
      <c r="R17" s="311">
        <v>11075</v>
      </c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  <c r="AN17" s="311"/>
      <c r="AO17" s="311"/>
      <c r="AP17" s="311"/>
      <c r="AQ17" s="311"/>
      <c r="AR17" s="311"/>
      <c r="AS17" s="311"/>
      <c r="AT17" s="311"/>
      <c r="AU17" s="311"/>
      <c r="AV17" s="311"/>
      <c r="AW17" s="311"/>
      <c r="AX17" s="311"/>
      <c r="AY17" s="311"/>
      <c r="AZ17" s="311"/>
      <c r="BA17" s="311"/>
      <c r="BB17" s="311"/>
      <c r="BC17" s="312"/>
      <c r="BD17" s="313">
        <v>1741</v>
      </c>
    </row>
    <row r="18" ht="13.5" customHeight="1" spans="1:56" x14ac:dyDescent="0.25">
      <c r="A18" s="193" t="s">
        <v>73</v>
      </c>
      <c r="B18" s="194"/>
      <c r="C18" s="201">
        <f>C17/C14</f>
        <v>0.37544574630667343</v>
      </c>
      <c r="D18" s="201">
        <f t="shared" ref="D18:BA18" si="6">D17/D14</f>
        <v>0.37659082771864727</v>
      </c>
      <c r="E18" s="201">
        <f t="shared" si="6"/>
        <v>0.37685294503476324</v>
      </c>
      <c r="F18" s="201">
        <f t="shared" si="6"/>
        <v>0.3766402057016917</v>
      </c>
      <c r="G18" s="201">
        <f t="shared" si="6"/>
        <v>0.37795048319507396</v>
      </c>
      <c r="H18" s="201">
        <f t="shared" si="6"/>
        <v>0.37528625220932915</v>
      </c>
      <c r="I18" s="201">
        <f t="shared" si="6"/>
        <v>0.3779109589041096</v>
      </c>
      <c r="J18" s="201">
        <f t="shared" si="6"/>
        <v>0.3822123443300761</v>
      </c>
      <c r="K18" s="201">
        <f t="shared" si="6"/>
        <v>0.3802603629939641</v>
      </c>
      <c r="L18" s="201">
        <f t="shared" si="6"/>
        <v>0.3769264803480569</v>
      </c>
      <c r="M18" s="201">
        <f>M17/M14</f>
        <v>0.3804652164548783</v>
      </c>
      <c r="N18" s="201">
        <f t="shared" si="6"/>
        <v>0.3790299490351028</v>
      </c>
      <c r="O18" s="201">
        <f t="shared" si="6"/>
        <v>0.38093610037950015</v>
      </c>
      <c r="P18" s="201">
        <f t="shared" si="6"/>
        <v>0.37512134239356537</v>
      </c>
      <c r="Q18" s="201">
        <f t="shared" si="6"/>
        <v>0.384364172209168</v>
      </c>
      <c r="R18" s="201">
        <f t="shared" si="6"/>
        <v>0.40131173678298365</v>
      </c>
      <c r="S18" s="201" t="e">
        <f t="shared" si="6"/>
        <v>#DIV/0!</v>
      </c>
      <c r="T18" s="201" t="e">
        <f t="shared" si="6"/>
        <v>#DIV/0!</v>
      </c>
      <c r="U18" s="201" t="e">
        <f t="shared" si="6"/>
        <v>#DIV/0!</v>
      </c>
      <c r="V18" s="201" t="e">
        <f t="shared" si="6"/>
        <v>#DIV/0!</v>
      </c>
      <c r="W18" s="201" t="e">
        <f t="shared" si="6"/>
        <v>#DIV/0!</v>
      </c>
      <c r="X18" s="201" t="e">
        <f t="shared" si="6"/>
        <v>#DIV/0!</v>
      </c>
      <c r="Y18" s="201" t="e">
        <f t="shared" si="6"/>
        <v>#DIV/0!</v>
      </c>
      <c r="Z18" s="201" t="e">
        <f t="shared" si="6"/>
        <v>#DIV/0!</v>
      </c>
      <c r="AA18" s="201" t="e">
        <f t="shared" si="6"/>
        <v>#DIV/0!</v>
      </c>
      <c r="AB18" s="201" t="e">
        <f t="shared" si="6"/>
        <v>#DIV/0!</v>
      </c>
      <c r="AC18" s="201" t="e">
        <f t="shared" si="6"/>
        <v>#DIV/0!</v>
      </c>
      <c r="AD18" s="201" t="e">
        <f t="shared" si="6"/>
        <v>#DIV/0!</v>
      </c>
      <c r="AE18" s="201" t="e">
        <f t="shared" si="6"/>
        <v>#DIV/0!</v>
      </c>
      <c r="AF18" s="201" t="e">
        <f t="shared" si="6"/>
        <v>#DIV/0!</v>
      </c>
      <c r="AG18" s="201" t="e">
        <f t="shared" si="6"/>
        <v>#DIV/0!</v>
      </c>
      <c r="AH18" s="201" t="e">
        <f t="shared" si="6"/>
        <v>#DIV/0!</v>
      </c>
      <c r="AI18" s="201" t="e">
        <f t="shared" si="6"/>
        <v>#DIV/0!</v>
      </c>
      <c r="AJ18" s="201" t="e">
        <f t="shared" si="6"/>
        <v>#DIV/0!</v>
      </c>
      <c r="AK18" s="201" t="e">
        <f t="shared" si="6"/>
        <v>#DIV/0!</v>
      </c>
      <c r="AL18" s="201" t="e">
        <f t="shared" si="6"/>
        <v>#DIV/0!</v>
      </c>
      <c r="AM18" s="201" t="e">
        <f t="shared" si="6"/>
        <v>#DIV/0!</v>
      </c>
      <c r="AN18" s="201" t="e">
        <f t="shared" si="6"/>
        <v>#DIV/0!</v>
      </c>
      <c r="AO18" s="201" t="e">
        <f t="shared" si="6"/>
        <v>#DIV/0!</v>
      </c>
      <c r="AP18" s="201" t="e">
        <f t="shared" si="6"/>
        <v>#DIV/0!</v>
      </c>
      <c r="AQ18" s="201" t="e">
        <f t="shared" si="6"/>
        <v>#DIV/0!</v>
      </c>
      <c r="AR18" s="201" t="e">
        <f t="shared" si="6"/>
        <v>#DIV/0!</v>
      </c>
      <c r="AS18" s="201" t="e">
        <f t="shared" si="6"/>
        <v>#DIV/0!</v>
      </c>
      <c r="AT18" s="201" t="e">
        <f t="shared" si="6"/>
        <v>#DIV/0!</v>
      </c>
      <c r="AU18" s="201" t="e">
        <f t="shared" si="6"/>
        <v>#DIV/0!</v>
      </c>
      <c r="AV18" s="201" t="e">
        <f t="shared" si="6"/>
        <v>#DIV/0!</v>
      </c>
      <c r="AW18" s="201" t="e">
        <f t="shared" si="6"/>
        <v>#DIV/0!</v>
      </c>
      <c r="AX18" s="201" t="e">
        <f t="shared" si="6"/>
        <v>#DIV/0!</v>
      </c>
      <c r="AY18" s="201" t="e">
        <f t="shared" si="6"/>
        <v>#DIV/0!</v>
      </c>
      <c r="AZ18" s="201" t="e">
        <f t="shared" si="6"/>
        <v>#DIV/0!</v>
      </c>
      <c r="BA18" s="201" t="e">
        <f t="shared" si="6"/>
        <v>#DIV/0!</v>
      </c>
      <c r="BB18" s="201" t="e">
        <f t="shared" ref="BB18:BC18" si="7">BB17/BB14</f>
        <v>#DIV/0!</v>
      </c>
      <c r="BC18" s="201" t="e">
        <f t="shared" si="7"/>
        <v>#DIV/0!</v>
      </c>
      <c r="BD18" s="168"/>
    </row>
    <row r="19" ht="13.5" customHeight="1" spans="1:56" x14ac:dyDescent="0.25">
      <c r="A19" s="193"/>
      <c r="B19" s="194"/>
      <c r="C19" s="195"/>
      <c r="D19" s="196"/>
      <c r="E19" s="196"/>
      <c r="F19" s="196"/>
      <c r="G19" s="197"/>
      <c r="H19" s="195"/>
      <c r="I19" s="196"/>
      <c r="J19" s="196"/>
      <c r="K19" s="197"/>
      <c r="L19" s="195"/>
      <c r="M19" s="196"/>
      <c r="N19" s="196"/>
      <c r="O19" s="197"/>
      <c r="P19" s="195"/>
      <c r="Q19" s="196"/>
      <c r="R19" s="196"/>
      <c r="S19" s="197"/>
      <c r="T19" s="195"/>
      <c r="U19" s="196"/>
      <c r="V19" s="196"/>
      <c r="W19" s="196"/>
      <c r="X19" s="197"/>
      <c r="Y19" s="195"/>
      <c r="Z19" s="196"/>
      <c r="AA19" s="196"/>
      <c r="AB19" s="197"/>
      <c r="AC19" s="195"/>
      <c r="AD19" s="196"/>
      <c r="AE19" s="196"/>
      <c r="AF19" s="197"/>
      <c r="AG19" s="195"/>
      <c r="AH19" s="196"/>
      <c r="AI19" s="196"/>
      <c r="AJ19" s="196"/>
      <c r="AK19" s="197"/>
      <c r="AL19" s="195"/>
      <c r="AM19" s="196"/>
      <c r="AN19" s="196"/>
      <c r="AO19" s="197"/>
      <c r="AP19" s="195"/>
      <c r="AQ19" s="196"/>
      <c r="AR19" s="196"/>
      <c r="AS19" s="196"/>
      <c r="AT19" s="197"/>
      <c r="AU19" s="195"/>
      <c r="AV19" s="196"/>
      <c r="AW19" s="196"/>
      <c r="AX19" s="194"/>
      <c r="AY19" s="195"/>
      <c r="AZ19" s="196"/>
      <c r="BA19" s="196"/>
      <c r="BB19" s="196"/>
      <c r="BC19" s="196"/>
      <c r="BD19" s="168">
        <f t="shared" si="3"/>
        <v>0</v>
      </c>
    </row>
    <row r="20" ht="13.5" customHeight="1" spans="1:56" x14ac:dyDescent="0.25">
      <c r="A20" s="202" t="s">
        <v>149</v>
      </c>
      <c r="B20" s="192"/>
      <c r="C20" s="189">
        <f t="shared" ref="C20:T20" si="8">C14-C17</f>
        <v>14712</v>
      </c>
      <c r="D20" s="189">
        <f t="shared" si="8"/>
        <v>57459</v>
      </c>
      <c r="E20" s="189">
        <f t="shared" si="8"/>
        <v>57003</v>
      </c>
      <c r="F20" s="189">
        <f t="shared" si="8"/>
        <v>61093</v>
      </c>
      <c r="G20" s="189">
        <f t="shared" si="8"/>
        <v>58189</v>
      </c>
      <c r="H20" s="189">
        <f t="shared" si="8"/>
        <v>40647</v>
      </c>
      <c r="I20" s="189">
        <f t="shared" si="8"/>
        <v>39963</v>
      </c>
      <c r="J20" s="189">
        <f t="shared" si="8"/>
        <v>49756</v>
      </c>
      <c r="K20" s="189">
        <f t="shared" si="8"/>
        <v>29468</v>
      </c>
      <c r="L20" s="189">
        <f t="shared" si="8"/>
        <v>33798</v>
      </c>
      <c r="M20" s="189">
        <f t="shared" si="8"/>
        <v>28765</v>
      </c>
      <c r="N20" s="189">
        <f t="shared" si="8"/>
        <v>21688</v>
      </c>
      <c r="O20" s="189">
        <f t="shared" si="8"/>
        <v>18107</v>
      </c>
      <c r="P20" s="189">
        <f t="shared" si="8"/>
        <v>13518</v>
      </c>
      <c r="Q20" s="189">
        <f t="shared" si="8"/>
        <v>15458</v>
      </c>
      <c r="R20" s="189">
        <f t="shared" si="8"/>
        <v>16522</v>
      </c>
      <c r="S20" s="189">
        <f t="shared" si="8"/>
        <v>0</v>
      </c>
      <c r="T20" s="189">
        <f t="shared" si="8"/>
        <v>0</v>
      </c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  <c r="BD20" s="168">
        <f t="shared" si="3"/>
        <v>556146</v>
      </c>
    </row>
    <row r="21" ht="13.5" customHeight="1" spans="1:56" x14ac:dyDescent="0.25">
      <c r="A21" s="202"/>
      <c r="B21" s="194"/>
      <c r="C21" s="195"/>
      <c r="D21" s="196"/>
      <c r="E21" s="196"/>
      <c r="F21" s="196"/>
      <c r="G21" s="197"/>
      <c r="H21" s="195"/>
      <c r="I21" s="196"/>
      <c r="J21" s="196"/>
      <c r="K21" s="197"/>
      <c r="L21" s="195"/>
      <c r="M21" s="196"/>
      <c r="N21" s="196"/>
      <c r="O21" s="197"/>
      <c r="P21" s="195"/>
      <c r="Q21" s="196"/>
      <c r="R21" s="196"/>
      <c r="S21" s="197"/>
      <c r="T21" s="195"/>
      <c r="U21" s="196"/>
      <c r="V21" s="196"/>
      <c r="W21" s="196"/>
      <c r="X21" s="197"/>
      <c r="Y21" s="195"/>
      <c r="Z21" s="196"/>
      <c r="AA21" s="196"/>
      <c r="AB21" s="197"/>
      <c r="AC21" s="195"/>
      <c r="AD21" s="196"/>
      <c r="AE21" s="196"/>
      <c r="AF21" s="197"/>
      <c r="AG21" s="195"/>
      <c r="AH21" s="196"/>
      <c r="AI21" s="196"/>
      <c r="AJ21" s="196"/>
      <c r="AK21" s="197"/>
      <c r="AL21" s="195"/>
      <c r="AM21" s="196"/>
      <c r="AN21" s="196"/>
      <c r="AO21" s="197"/>
      <c r="AP21" s="195"/>
      <c r="AQ21" s="196"/>
      <c r="AR21" s="196"/>
      <c r="AS21" s="196"/>
      <c r="AT21" s="197"/>
      <c r="AU21" s="195"/>
      <c r="AV21" s="196"/>
      <c r="AW21" s="196"/>
      <c r="AX21" s="194"/>
      <c r="AY21" s="195"/>
      <c r="AZ21" s="196"/>
      <c r="BA21" s="196"/>
      <c r="BB21" s="196"/>
      <c r="BC21" s="196"/>
      <c r="BD21" s="168">
        <f t="shared" si="3"/>
        <v>0</v>
      </c>
    </row>
    <row r="22" ht="13.5" customHeight="1" spans="1:56" x14ac:dyDescent="0.25">
      <c r="A22" s="193" t="s">
        <v>75</v>
      </c>
      <c r="B22" s="194"/>
      <c r="C22" s="203">
        <v>882</v>
      </c>
      <c r="D22" s="204">
        <v>3355</v>
      </c>
      <c r="E22" s="204">
        <v>471</v>
      </c>
      <c r="F22" s="204">
        <v>1771</v>
      </c>
      <c r="G22" s="205">
        <v>426</v>
      </c>
      <c r="H22" s="206">
        <v>1716</v>
      </c>
      <c r="I22" s="207">
        <v>635</v>
      </c>
      <c r="J22" s="207"/>
      <c r="K22" s="208">
        <v>700</v>
      </c>
      <c r="L22" s="206">
        <v>2455</v>
      </c>
      <c r="M22" s="207">
        <v>2991</v>
      </c>
      <c r="N22" s="207">
        <v>1804</v>
      </c>
      <c r="O22" s="208"/>
      <c r="P22" s="206"/>
      <c r="Q22" s="207"/>
      <c r="R22" s="207">
        <v>660</v>
      </c>
      <c r="S22" s="208"/>
      <c r="T22" s="206"/>
      <c r="U22" s="207"/>
      <c r="V22" s="207"/>
      <c r="W22" s="207"/>
      <c r="X22" s="208"/>
      <c r="Y22" s="206"/>
      <c r="Z22" s="207"/>
      <c r="AA22" s="207"/>
      <c r="AB22" s="208"/>
      <c r="AC22" s="206"/>
      <c r="AD22" s="207"/>
      <c r="AE22" s="207"/>
      <c r="AF22" s="208"/>
      <c r="AG22" s="206"/>
      <c r="AH22" s="207"/>
      <c r="AI22" s="207"/>
      <c r="AJ22" s="207"/>
      <c r="AK22" s="208"/>
      <c r="AL22" s="206"/>
      <c r="AM22" s="207"/>
      <c r="AN22" s="207"/>
      <c r="AO22" s="208"/>
      <c r="AP22" s="206"/>
      <c r="AQ22" s="207"/>
      <c r="AR22" s="207"/>
      <c r="AS22" s="207"/>
      <c r="AT22" s="208"/>
      <c r="AU22" s="206"/>
      <c r="AV22" s="207"/>
      <c r="AW22" s="207"/>
      <c r="AX22" s="209"/>
      <c r="AY22" s="206"/>
      <c r="AZ22" s="207"/>
      <c r="BA22" s="207"/>
      <c r="BB22" s="207"/>
      <c r="BC22" s="314"/>
      <c r="BD22" s="168">
        <f t="shared" si="3"/>
        <v>17866</v>
      </c>
    </row>
    <row r="23" ht="13.5" customHeight="1" spans="1:56" x14ac:dyDescent="0.25">
      <c r="A23" s="193" t="s">
        <v>76</v>
      </c>
      <c r="B23" s="194"/>
      <c r="C23" s="203">
        <v>1</v>
      </c>
      <c r="D23" s="204">
        <v>6</v>
      </c>
      <c r="E23" s="204">
        <v>1</v>
      </c>
      <c r="F23" s="204">
        <v>2</v>
      </c>
      <c r="G23" s="205">
        <v>1</v>
      </c>
      <c r="H23" s="206">
        <v>2</v>
      </c>
      <c r="I23" s="207">
        <v>1</v>
      </c>
      <c r="J23" s="207"/>
      <c r="K23" s="208">
        <v>1</v>
      </c>
      <c r="L23" s="206">
        <v>3</v>
      </c>
      <c r="M23" s="207">
        <v>3</v>
      </c>
      <c r="N23" s="207">
        <v>2</v>
      </c>
      <c r="O23" s="208"/>
      <c r="P23" s="206"/>
      <c r="Q23" s="207"/>
      <c r="R23" s="207">
        <v>1</v>
      </c>
      <c r="S23" s="208"/>
      <c r="T23" s="206"/>
      <c r="U23" s="207"/>
      <c r="V23" s="207"/>
      <c r="W23" s="207"/>
      <c r="X23" s="208"/>
      <c r="Y23" s="206"/>
      <c r="Z23" s="207"/>
      <c r="AA23" s="207"/>
      <c r="AB23" s="208"/>
      <c r="AC23" s="206"/>
      <c r="AD23" s="207"/>
      <c r="AE23" s="207"/>
      <c r="AF23" s="208"/>
      <c r="AG23" s="206"/>
      <c r="AH23" s="207"/>
      <c r="AI23" s="207"/>
      <c r="AJ23" s="207"/>
      <c r="AK23" s="208"/>
      <c r="AL23" s="206"/>
      <c r="AM23" s="207"/>
      <c r="AN23" s="207"/>
      <c r="AO23" s="208"/>
      <c r="AP23" s="206"/>
      <c r="AQ23" s="207"/>
      <c r="AR23" s="207"/>
      <c r="AS23" s="207"/>
      <c r="AT23" s="208"/>
      <c r="AU23" s="206"/>
      <c r="AV23" s="207"/>
      <c r="AW23" s="207"/>
      <c r="AX23" s="209"/>
      <c r="AY23" s="206"/>
      <c r="AZ23" s="207"/>
      <c r="BA23" s="207"/>
      <c r="BB23" s="207"/>
      <c r="BC23" s="314"/>
      <c r="BD23" s="168">
        <f t="shared" si="3"/>
        <v>24</v>
      </c>
    </row>
    <row r="24" ht="13.5" customHeight="1" spans="1:56" s="315" customFormat="1" x14ac:dyDescent="0.25">
      <c r="A24" s="316" t="s">
        <v>77</v>
      </c>
      <c r="B24" s="317"/>
      <c r="C24" s="318">
        <f>C22/(C14-C22)</f>
        <v>0.03889917967716327</v>
      </c>
      <c r="D24" s="318">
        <f t="shared" ref="D24:BC24" si="9">D22/(D14-D22)</f>
        <v>0.03777557592271489</v>
      </c>
      <c r="E24" s="318">
        <f t="shared" si="9"/>
        <v>0.005175539805505192</v>
      </c>
      <c r="F24" s="318">
        <f t="shared" si="9"/>
        <v>0.018402867979425364</v>
      </c>
      <c r="G24" s="318">
        <f t="shared" si="9"/>
        <v>0.004574840524925364</v>
      </c>
      <c r="H24" s="318">
        <f t="shared" si="9"/>
        <v>0.02708803611738149</v>
      </c>
      <c r="I24" s="318">
        <f t="shared" si="9"/>
        <v>0.009983491863847182</v>
      </c>
      <c r="J24" s="318">
        <f t="shared" si="9"/>
        <v>0</v>
      </c>
      <c r="K24" s="318">
        <f t="shared" si="9"/>
        <v>0.01494162095242161</v>
      </c>
      <c r="L24" s="318">
        <f t="shared" si="9"/>
        <v>0.04740388885670702</v>
      </c>
      <c r="M24" s="318">
        <f t="shared" si="9"/>
        <v>0.06885517622413038</v>
      </c>
      <c r="N24" s="318">
        <f t="shared" si="9"/>
        <v>0.05446531006581728</v>
      </c>
      <c r="O24" s="318">
        <f t="shared" si="9"/>
        <v>0</v>
      </c>
      <c r="P24" s="318">
        <f t="shared" si="9"/>
        <v>0</v>
      </c>
      <c r="Q24" s="318">
        <f t="shared" si="9"/>
        <v>0</v>
      </c>
      <c r="R24" s="318">
        <f t="shared" si="9"/>
        <v>0.02450161487916249</v>
      </c>
      <c r="S24" s="318" t="e">
        <f t="shared" si="9"/>
        <v>#DIV/0!</v>
      </c>
      <c r="T24" s="318" t="e">
        <f t="shared" si="9"/>
        <v>#DIV/0!</v>
      </c>
      <c r="U24" s="318" t="e">
        <f t="shared" si="9"/>
        <v>#DIV/0!</v>
      </c>
      <c r="V24" s="318" t="e">
        <f t="shared" si="9"/>
        <v>#DIV/0!</v>
      </c>
      <c r="W24" s="318" t="e">
        <f t="shared" si="9"/>
        <v>#DIV/0!</v>
      </c>
      <c r="X24" s="318" t="e">
        <f t="shared" si="9"/>
        <v>#DIV/0!</v>
      </c>
      <c r="Y24" s="318" t="e">
        <f t="shared" si="9"/>
        <v>#DIV/0!</v>
      </c>
      <c r="Z24" s="318" t="e">
        <f t="shared" si="9"/>
        <v>#DIV/0!</v>
      </c>
      <c r="AA24" s="318" t="e">
        <f t="shared" si="9"/>
        <v>#DIV/0!</v>
      </c>
      <c r="AB24" s="318" t="e">
        <f t="shared" si="9"/>
        <v>#DIV/0!</v>
      </c>
      <c r="AC24" s="318" t="e">
        <f t="shared" si="9"/>
        <v>#DIV/0!</v>
      </c>
      <c r="AD24" s="318" t="e">
        <f t="shared" si="9"/>
        <v>#DIV/0!</v>
      </c>
      <c r="AE24" s="318" t="e">
        <f t="shared" si="9"/>
        <v>#DIV/0!</v>
      </c>
      <c r="AF24" s="318" t="e">
        <f t="shared" si="9"/>
        <v>#DIV/0!</v>
      </c>
      <c r="AG24" s="318" t="e">
        <f t="shared" si="9"/>
        <v>#DIV/0!</v>
      </c>
      <c r="AH24" s="318" t="e">
        <f t="shared" si="9"/>
        <v>#DIV/0!</v>
      </c>
      <c r="AI24" s="318" t="e">
        <f t="shared" si="9"/>
        <v>#DIV/0!</v>
      </c>
      <c r="AJ24" s="318" t="e">
        <f t="shared" si="9"/>
        <v>#DIV/0!</v>
      </c>
      <c r="AK24" s="318" t="e">
        <f t="shared" si="9"/>
        <v>#DIV/0!</v>
      </c>
      <c r="AL24" s="318" t="e">
        <f t="shared" si="9"/>
        <v>#DIV/0!</v>
      </c>
      <c r="AM24" s="318" t="e">
        <f t="shared" si="9"/>
        <v>#DIV/0!</v>
      </c>
      <c r="AN24" s="318" t="e">
        <f t="shared" si="9"/>
        <v>#DIV/0!</v>
      </c>
      <c r="AO24" s="318" t="e">
        <f t="shared" si="9"/>
        <v>#DIV/0!</v>
      </c>
      <c r="AP24" s="318" t="e">
        <f t="shared" si="9"/>
        <v>#DIV/0!</v>
      </c>
      <c r="AQ24" s="318" t="e">
        <f t="shared" si="9"/>
        <v>#DIV/0!</v>
      </c>
      <c r="AR24" s="318" t="e">
        <f t="shared" si="9"/>
        <v>#DIV/0!</v>
      </c>
      <c r="AS24" s="318" t="e">
        <f t="shared" si="9"/>
        <v>#DIV/0!</v>
      </c>
      <c r="AT24" s="318" t="e">
        <f t="shared" si="9"/>
        <v>#DIV/0!</v>
      </c>
      <c r="AU24" s="318" t="e">
        <f t="shared" si="9"/>
        <v>#DIV/0!</v>
      </c>
      <c r="AV24" s="318" t="e">
        <f t="shared" si="9"/>
        <v>#DIV/0!</v>
      </c>
      <c r="AW24" s="318" t="e">
        <f t="shared" si="9"/>
        <v>#DIV/0!</v>
      </c>
      <c r="AX24" s="318" t="e">
        <f t="shared" si="9"/>
        <v>#DIV/0!</v>
      </c>
      <c r="AY24" s="318" t="e">
        <f t="shared" si="9"/>
        <v>#DIV/0!</v>
      </c>
      <c r="AZ24" s="318" t="e">
        <f t="shared" si="9"/>
        <v>#DIV/0!</v>
      </c>
      <c r="BA24" s="318" t="e">
        <f t="shared" si="9"/>
        <v>#DIV/0!</v>
      </c>
      <c r="BB24" s="318" t="e">
        <f t="shared" si="9"/>
        <v>#DIV/0!</v>
      </c>
      <c r="BC24" s="318" t="e">
        <f t="shared" si="9"/>
        <v>#DIV/0!</v>
      </c>
      <c r="BD24" s="319">
        <f t="shared" ref="BD24" si="10">BD23/(BD7-BD23)</f>
        <v>0.018018018018018018</v>
      </c>
    </row>
    <row r="25" ht="13.5" customHeight="1" spans="1:56" x14ac:dyDescent="0.25">
      <c r="A25" s="202"/>
      <c r="B25" s="192"/>
      <c r="C25" s="211"/>
      <c r="D25" s="212"/>
      <c r="E25" s="212"/>
      <c r="F25" s="212"/>
      <c r="G25" s="213"/>
      <c r="H25" s="211"/>
      <c r="I25" s="212"/>
      <c r="J25" s="212"/>
      <c r="K25" s="213"/>
      <c r="L25" s="211"/>
      <c r="M25" s="212"/>
      <c r="N25" s="212"/>
      <c r="O25" s="213"/>
      <c r="P25" s="211"/>
      <c r="Q25" s="212"/>
      <c r="R25" s="212"/>
      <c r="S25" s="213"/>
      <c r="T25" s="211"/>
      <c r="U25" s="212"/>
      <c r="V25" s="212"/>
      <c r="W25" s="212"/>
      <c r="X25" s="213"/>
      <c r="Y25" s="211"/>
      <c r="Z25" s="212"/>
      <c r="AA25" s="212"/>
      <c r="AB25" s="213"/>
      <c r="AC25" s="211"/>
      <c r="AD25" s="212"/>
      <c r="AE25" s="212"/>
      <c r="AF25" s="213"/>
      <c r="AG25" s="211"/>
      <c r="AH25" s="212"/>
      <c r="AI25" s="212"/>
      <c r="AJ25" s="212"/>
      <c r="AK25" s="213"/>
      <c r="AL25" s="211"/>
      <c r="AM25" s="212"/>
      <c r="AN25" s="212"/>
      <c r="AO25" s="213"/>
      <c r="AP25" s="211"/>
      <c r="AQ25" s="212"/>
      <c r="AR25" s="212"/>
      <c r="AS25" s="212"/>
      <c r="AT25" s="213"/>
      <c r="AU25" s="211"/>
      <c r="AV25" s="212"/>
      <c r="AW25" s="212"/>
      <c r="AX25" s="192"/>
      <c r="AY25" s="211"/>
      <c r="AZ25" s="212"/>
      <c r="BA25" s="212"/>
      <c r="BB25" s="212"/>
      <c r="BC25" s="212"/>
      <c r="BD25" s="168">
        <f t="shared" si="3"/>
        <v>0</v>
      </c>
    </row>
    <row r="26" ht="13.5" customHeight="1" spans="1:56" x14ac:dyDescent="0.25">
      <c r="A26" s="214" t="s">
        <v>78</v>
      </c>
      <c r="B26" s="194"/>
      <c r="C26" s="195"/>
      <c r="D26" s="196"/>
      <c r="E26" s="196"/>
      <c r="F26" s="196"/>
      <c r="G26" s="197"/>
      <c r="H26" s="195"/>
      <c r="I26" s="196"/>
      <c r="J26" s="196"/>
      <c r="K26" s="197"/>
      <c r="L26" s="195"/>
      <c r="M26" s="196"/>
      <c r="N26" s="196"/>
      <c r="O26" s="197"/>
      <c r="P26" s="195"/>
      <c r="Q26" s="196"/>
      <c r="R26" s="196"/>
      <c r="S26" s="197"/>
      <c r="T26" s="195"/>
      <c r="U26" s="196"/>
      <c r="V26" s="196"/>
      <c r="W26" s="196"/>
      <c r="X26" s="197"/>
      <c r="Y26" s="195"/>
      <c r="Z26" s="196"/>
      <c r="AA26" s="196"/>
      <c r="AB26" s="197"/>
      <c r="AC26" s="195"/>
      <c r="AD26" s="196"/>
      <c r="AE26" s="196"/>
      <c r="AF26" s="197"/>
      <c r="AG26" s="195"/>
      <c r="AH26" s="196"/>
      <c r="AI26" s="196"/>
      <c r="AJ26" s="196"/>
      <c r="AK26" s="197"/>
      <c r="AL26" s="195"/>
      <c r="AM26" s="196"/>
      <c r="AN26" s="196"/>
      <c r="AO26" s="197"/>
      <c r="AP26" s="195"/>
      <c r="AQ26" s="196"/>
      <c r="AR26" s="196"/>
      <c r="AS26" s="196"/>
      <c r="AT26" s="197"/>
      <c r="AU26" s="195"/>
      <c r="AV26" s="196"/>
      <c r="AW26" s="196"/>
      <c r="AX26" s="194"/>
      <c r="AY26" s="195"/>
      <c r="AZ26" s="196"/>
      <c r="BA26" s="196"/>
      <c r="BB26" s="196"/>
      <c r="BC26" s="196"/>
      <c r="BD26" s="168">
        <f t="shared" si="3"/>
        <v>0</v>
      </c>
    </row>
    <row r="27" ht="13.5" customHeight="1" spans="1:56" x14ac:dyDescent="0.25">
      <c r="A27" s="214" t="s">
        <v>79</v>
      </c>
      <c r="B27" s="194"/>
      <c r="C27" s="203"/>
      <c r="D27" s="204"/>
      <c r="E27" s="204"/>
      <c r="F27" s="204"/>
      <c r="G27" s="205"/>
      <c r="H27" s="206"/>
      <c r="I27" s="207"/>
      <c r="J27" s="207"/>
      <c r="K27" s="208"/>
      <c r="L27" s="206"/>
      <c r="M27" s="207"/>
      <c r="N27" s="207"/>
      <c r="O27" s="208"/>
      <c r="P27" s="206"/>
      <c r="Q27" s="207"/>
      <c r="R27" s="207"/>
      <c r="S27" s="208"/>
      <c r="T27" s="206"/>
      <c r="U27" s="207"/>
      <c r="V27" s="207"/>
      <c r="W27" s="207"/>
      <c r="X27" s="208"/>
      <c r="Y27" s="206"/>
      <c r="Z27" s="207"/>
      <c r="AA27" s="207"/>
      <c r="AB27" s="208"/>
      <c r="AC27" s="206"/>
      <c r="AD27" s="207"/>
      <c r="AE27" s="207"/>
      <c r="AF27" s="208"/>
      <c r="AG27" s="206"/>
      <c r="AH27" s="207"/>
      <c r="AI27" s="207"/>
      <c r="AJ27" s="207"/>
      <c r="AK27" s="208"/>
      <c r="AL27" s="206"/>
      <c r="AM27" s="207"/>
      <c r="AN27" s="207"/>
      <c r="AO27" s="208"/>
      <c r="AP27" s="206"/>
      <c r="AQ27" s="207"/>
      <c r="AR27" s="207"/>
      <c r="AS27" s="207"/>
      <c r="AT27" s="208"/>
      <c r="AU27" s="206"/>
      <c r="AV27" s="207"/>
      <c r="AW27" s="207"/>
      <c r="AX27" s="209"/>
      <c r="AY27" s="206"/>
      <c r="AZ27" s="207"/>
      <c r="BA27" s="207"/>
      <c r="BB27" s="207"/>
      <c r="BC27" s="314"/>
      <c r="BD27" s="168">
        <f t="shared" si="3"/>
        <v>0</v>
      </c>
    </row>
    <row r="28" ht="13.5" customHeight="1" spans="1:56" x14ac:dyDescent="0.25">
      <c r="A28" s="215" t="s">
        <v>80</v>
      </c>
      <c r="B28" s="216"/>
      <c r="C28" s="201">
        <f>C27/C7</f>
        <v>0</v>
      </c>
      <c r="D28" s="217">
        <f t="shared" ref="D28:AB28" si="11">D27/D7</f>
        <v>0</v>
      </c>
      <c r="E28" s="217">
        <f t="shared" si="11"/>
        <v>0</v>
      </c>
      <c r="F28" s="217">
        <f t="shared" si="11"/>
        <v>0</v>
      </c>
      <c r="G28" s="218">
        <f t="shared" si="11"/>
        <v>0</v>
      </c>
      <c r="H28" s="201">
        <f t="shared" si="11"/>
        <v>0</v>
      </c>
      <c r="I28" s="217">
        <f t="shared" si="11"/>
        <v>0</v>
      </c>
      <c r="J28" s="217">
        <f t="shared" si="11"/>
        <v>0</v>
      </c>
      <c r="K28" s="218">
        <f t="shared" si="11"/>
        <v>0</v>
      </c>
      <c r="L28" s="201">
        <f t="shared" si="11"/>
        <v>0</v>
      </c>
      <c r="M28" s="217">
        <f t="shared" si="11"/>
        <v>0</v>
      </c>
      <c r="N28" s="217">
        <f t="shared" si="11"/>
        <v>0</v>
      </c>
      <c r="O28" s="218">
        <f t="shared" si="11"/>
        <v>0</v>
      </c>
      <c r="P28" s="201">
        <f t="shared" si="11"/>
        <v>0</v>
      </c>
      <c r="Q28" s="201">
        <f t="shared" si="11"/>
        <v>0</v>
      </c>
      <c r="R28" s="201">
        <f t="shared" si="11"/>
        <v>0</v>
      </c>
      <c r="S28" s="201" t="e">
        <f t="shared" si="11"/>
        <v>#DIV/0!</v>
      </c>
      <c r="T28" s="201" t="e">
        <f t="shared" si="11"/>
        <v>#DIV/0!</v>
      </c>
      <c r="U28" s="201" t="e">
        <f t="shared" si="11"/>
        <v>#DIV/0!</v>
      </c>
      <c r="V28" s="201" t="e">
        <f t="shared" si="11"/>
        <v>#DIV/0!</v>
      </c>
      <c r="W28" s="201" t="e">
        <f t="shared" si="11"/>
        <v>#DIV/0!</v>
      </c>
      <c r="X28" s="201" t="e">
        <f t="shared" si="11"/>
        <v>#DIV/0!</v>
      </c>
      <c r="Y28" s="201" t="e">
        <f t="shared" si="11"/>
        <v>#DIV/0!</v>
      </c>
      <c r="Z28" s="201" t="e">
        <f t="shared" si="11"/>
        <v>#DIV/0!</v>
      </c>
      <c r="AA28" s="201" t="e">
        <f t="shared" si="11"/>
        <v>#DIV/0!</v>
      </c>
      <c r="AB28" s="201" t="e">
        <f t="shared" si="11"/>
        <v>#DIV/0!</v>
      </c>
      <c r="AC28" s="201" t="e">
        <f>AC27/AC7</f>
        <v>#DIV/0!</v>
      </c>
      <c r="AD28" s="201" t="e">
        <f t="shared" ref="AD28:BA28" si="12">AD27/AD7</f>
        <v>#DIV/0!</v>
      </c>
      <c r="AE28" s="201" t="e">
        <f t="shared" si="12"/>
        <v>#DIV/0!</v>
      </c>
      <c r="AF28" s="201" t="e">
        <f t="shared" si="12"/>
        <v>#DIV/0!</v>
      </c>
      <c r="AG28" s="201" t="e">
        <f t="shared" si="12"/>
        <v>#DIV/0!</v>
      </c>
      <c r="AH28" s="201" t="e">
        <f t="shared" si="12"/>
        <v>#DIV/0!</v>
      </c>
      <c r="AI28" s="201" t="e">
        <f t="shared" si="12"/>
        <v>#DIV/0!</v>
      </c>
      <c r="AJ28" s="201" t="e">
        <f t="shared" si="12"/>
        <v>#DIV/0!</v>
      </c>
      <c r="AK28" s="201" t="e">
        <f t="shared" si="12"/>
        <v>#DIV/0!</v>
      </c>
      <c r="AL28" s="201" t="e">
        <f t="shared" si="12"/>
        <v>#DIV/0!</v>
      </c>
      <c r="AM28" s="201" t="e">
        <f t="shared" si="12"/>
        <v>#DIV/0!</v>
      </c>
      <c r="AN28" s="201" t="e">
        <f t="shared" si="12"/>
        <v>#DIV/0!</v>
      </c>
      <c r="AO28" s="201" t="e">
        <f t="shared" si="12"/>
        <v>#DIV/0!</v>
      </c>
      <c r="AP28" s="201" t="e">
        <f t="shared" si="12"/>
        <v>#DIV/0!</v>
      </c>
      <c r="AQ28" s="201" t="e">
        <f t="shared" si="12"/>
        <v>#DIV/0!</v>
      </c>
      <c r="AR28" s="201" t="e">
        <f t="shared" si="12"/>
        <v>#DIV/0!</v>
      </c>
      <c r="AS28" s="201" t="e">
        <f t="shared" si="12"/>
        <v>#DIV/0!</v>
      </c>
      <c r="AT28" s="201" t="e">
        <f t="shared" si="12"/>
        <v>#DIV/0!</v>
      </c>
      <c r="AU28" s="201" t="e">
        <f t="shared" si="12"/>
        <v>#DIV/0!</v>
      </c>
      <c r="AV28" s="201" t="e">
        <f t="shared" si="12"/>
        <v>#DIV/0!</v>
      </c>
      <c r="AW28" s="201" t="e">
        <f t="shared" si="12"/>
        <v>#DIV/0!</v>
      </c>
      <c r="AX28" s="201" t="e">
        <f t="shared" si="12"/>
        <v>#DIV/0!</v>
      </c>
      <c r="AY28" s="201" t="e">
        <f t="shared" si="12"/>
        <v>#DIV/0!</v>
      </c>
      <c r="AZ28" s="201" t="e">
        <f t="shared" si="12"/>
        <v>#DIV/0!</v>
      </c>
      <c r="BA28" s="201" t="e">
        <f t="shared" si="12"/>
        <v>#DIV/0!</v>
      </c>
      <c r="BB28" s="201" t="e">
        <f t="shared" ref="BB28:BD28" si="13">BB27/BB7</f>
        <v>#DIV/0!</v>
      </c>
      <c r="BC28" s="201" t="e">
        <f t="shared" si="13"/>
        <v>#DIV/0!</v>
      </c>
      <c r="BD28" s="210">
        <f t="shared" si="13"/>
        <v>0</v>
      </c>
    </row>
    <row r="29" ht="13.5" customHeight="1" spans="1:56" x14ac:dyDescent="0.25">
      <c r="A29" s="202"/>
      <c r="B29" s="192"/>
      <c r="C29" s="211"/>
      <c r="D29" s="212"/>
      <c r="E29" s="212"/>
      <c r="F29" s="212"/>
      <c r="G29" s="213"/>
      <c r="H29" s="211"/>
      <c r="I29" s="212"/>
      <c r="J29" s="212"/>
      <c r="K29" s="213"/>
      <c r="L29" s="211"/>
      <c r="M29" s="212"/>
      <c r="N29" s="212"/>
      <c r="O29" s="213"/>
      <c r="P29" s="211"/>
      <c r="Q29" s="212"/>
      <c r="R29" s="212"/>
      <c r="S29" s="213"/>
      <c r="T29" s="211"/>
      <c r="U29" s="212"/>
      <c r="V29" s="212"/>
      <c r="W29" s="212"/>
      <c r="X29" s="213"/>
      <c r="Y29" s="211"/>
      <c r="Z29" s="212"/>
      <c r="AA29" s="212"/>
      <c r="AB29" s="213"/>
      <c r="AC29" s="211"/>
      <c r="AD29" s="212"/>
      <c r="AE29" s="212"/>
      <c r="AF29" s="213"/>
      <c r="AG29" s="211"/>
      <c r="AH29" s="212"/>
      <c r="AI29" s="212"/>
      <c r="AJ29" s="212"/>
      <c r="AK29" s="213"/>
      <c r="AL29" s="211"/>
      <c r="AM29" s="212"/>
      <c r="AN29" s="212"/>
      <c r="AO29" s="213"/>
      <c r="AP29" s="211"/>
      <c r="AQ29" s="212"/>
      <c r="AR29" s="212"/>
      <c r="AS29" s="212"/>
      <c r="AT29" s="213"/>
      <c r="AU29" s="211"/>
      <c r="AV29" s="212"/>
      <c r="AW29" s="212"/>
      <c r="AX29" s="192"/>
      <c r="AY29" s="211"/>
      <c r="AZ29" s="212"/>
      <c r="BA29" s="212"/>
      <c r="BB29" s="212"/>
      <c r="BC29" s="212"/>
      <c r="BD29" s="168">
        <f t="shared" si="3"/>
        <v>0</v>
      </c>
    </row>
    <row r="30" ht="13.5" customHeight="1" spans="1:56" x14ac:dyDescent="0.25">
      <c r="A30" s="219" t="s">
        <v>150</v>
      </c>
      <c r="B30" s="220"/>
      <c r="C30" s="221">
        <f>C20+C31-C38</f>
        <v>4783</v>
      </c>
      <c r="D30" s="221">
        <f t="shared" ref="D30:G30" si="14">D20+D31-D38</f>
        <v>30486</v>
      </c>
      <c r="E30" s="221">
        <f t="shared" si="14"/>
        <v>29296</v>
      </c>
      <c r="F30" s="221">
        <f t="shared" si="14"/>
        <v>33501</v>
      </c>
      <c r="G30" s="221">
        <f t="shared" si="14"/>
        <v>28267</v>
      </c>
      <c r="H30" s="221">
        <f t="shared" ref="H30" si="15">H20+H31-H38</f>
        <v>17859</v>
      </c>
      <c r="I30" s="221">
        <f t="shared" ref="I30" si="16">I20+I31-I38</f>
        <v>18826</v>
      </c>
      <c r="J30" s="221">
        <f t="shared" ref="J30" si="17">J20+J31-J38</f>
        <v>26376</v>
      </c>
      <c r="K30" s="221">
        <f t="shared" ref="K30" si="18">K20+K31-K38</f>
        <v>17316</v>
      </c>
      <c r="L30" s="221">
        <f t="shared" ref="L30" si="19">L20+L31-L38</f>
        <v>19531</v>
      </c>
      <c r="M30" s="221">
        <f t="shared" ref="M30" si="20">M20+M31-M38</f>
        <v>14571</v>
      </c>
      <c r="N30" s="221">
        <f t="shared" ref="N30" si="21">N20+N31-N38</f>
        <v>13714</v>
      </c>
      <c r="O30" s="221">
        <f t="shared" ref="O30" si="22">O20+O31-O38</f>
        <v>13509</v>
      </c>
      <c r="P30" s="221">
        <f t="shared" ref="P30" si="23">P20+P31-P38</f>
        <v>10241</v>
      </c>
      <c r="Q30" s="221">
        <f t="shared" ref="Q30" si="24">Q20+Q31-Q38</f>
        <v>9442</v>
      </c>
      <c r="R30" s="221">
        <f t="shared" ref="R30" si="25">R20+R31-R38</f>
        <v>8792</v>
      </c>
      <c r="S30" s="221">
        <f t="shared" ref="S30" si="26">S20+S31-S38</f>
        <v>0</v>
      </c>
      <c r="T30" s="221">
        <f t="shared" ref="T30" si="27">T20+T31-T38</f>
        <v>0</v>
      </c>
      <c r="U30" s="221">
        <f t="shared" ref="U30" si="28">U20+U31-U38</f>
        <v>0</v>
      </c>
      <c r="V30" s="221">
        <f t="shared" ref="V30" si="29">V20+V31-V38</f>
        <v>0</v>
      </c>
      <c r="W30" s="221">
        <f t="shared" ref="W30" si="30">W20+W31-W38</f>
        <v>0</v>
      </c>
      <c r="X30" s="221">
        <f t="shared" ref="X30" si="31">X20+X31-X38</f>
        <v>0</v>
      </c>
      <c r="Y30" s="221">
        <f t="shared" ref="Y30" si="32">Y20+Y31-Y38</f>
        <v>0</v>
      </c>
      <c r="Z30" s="221">
        <f t="shared" ref="Z30" si="33">Z20+Z31-Z38</f>
        <v>0</v>
      </c>
      <c r="AA30" s="221">
        <f t="shared" ref="AA30" si="34">AA20+AA31-AA38</f>
        <v>0</v>
      </c>
      <c r="AB30" s="221">
        <f t="shared" ref="AB30" si="35">AB20+AB31-AB38</f>
        <v>0</v>
      </c>
      <c r="AC30" s="221">
        <f t="shared" ref="AC30" si="36">AC20+AC31-AC38</f>
        <v>0</v>
      </c>
      <c r="AD30" s="221">
        <f t="shared" ref="AD30" si="37">AD20+AD31-AD38</f>
        <v>0</v>
      </c>
      <c r="AE30" s="221">
        <f t="shared" ref="AE30" si="38">AE20+AE31-AE38</f>
        <v>0</v>
      </c>
      <c r="AF30" s="221">
        <f t="shared" ref="AF30" si="39">AF20+AF31-AF38</f>
        <v>0</v>
      </c>
      <c r="AG30" s="221">
        <f t="shared" ref="AG30" si="40">AG20+AG31-AG38</f>
        <v>0</v>
      </c>
      <c r="AH30" s="221">
        <f t="shared" ref="AH30" si="41">AH20+AH31-AH38</f>
        <v>0</v>
      </c>
      <c r="AI30" s="221">
        <f t="shared" ref="AI30" si="42">AI20+AI31-AI38</f>
        <v>0</v>
      </c>
      <c r="AJ30" s="221">
        <f t="shared" ref="AJ30" si="43">AJ20+AJ31-AJ38</f>
        <v>0</v>
      </c>
      <c r="AK30" s="221">
        <f t="shared" ref="AK30" si="44">AK20+AK31-AK38</f>
        <v>0</v>
      </c>
      <c r="AL30" s="221">
        <f t="shared" ref="AL30" si="45">AL20+AL31-AL38</f>
        <v>0</v>
      </c>
      <c r="AM30" s="221">
        <f t="shared" ref="AM30" si="46">AM20+AM31-AM38</f>
        <v>0</v>
      </c>
      <c r="AN30" s="221">
        <f t="shared" ref="AN30" si="47">AN20+AN31-AN38</f>
        <v>0</v>
      </c>
      <c r="AO30" s="221">
        <f t="shared" ref="AO30" si="48">AO20+AO31-AO38</f>
        <v>0</v>
      </c>
      <c r="AP30" s="221">
        <f t="shared" ref="AP30" si="49">AP20+AP31-AP38</f>
        <v>0</v>
      </c>
      <c r="AQ30" s="221">
        <f t="shared" ref="AQ30" si="50">AQ20+AQ31-AQ38</f>
        <v>0</v>
      </c>
      <c r="AR30" s="221">
        <f t="shared" ref="AR30" si="51">AR20+AR31-AR38</f>
        <v>0</v>
      </c>
      <c r="AS30" s="221">
        <f t="shared" ref="AS30" si="52">AS20+AS31-AS38</f>
        <v>0</v>
      </c>
      <c r="AT30" s="221">
        <f t="shared" ref="AT30" si="53">AT20+AT31-AT38</f>
        <v>0</v>
      </c>
      <c r="AU30" s="221">
        <f t="shared" ref="AU30" si="54">AU20+AU31-AU38</f>
        <v>0</v>
      </c>
      <c r="AV30" s="221">
        <f t="shared" ref="AV30" si="55">AV20+AV31-AV38</f>
        <v>0</v>
      </c>
      <c r="AW30" s="221">
        <f t="shared" ref="AW30" si="56">AW20+AW31-AW38</f>
        <v>0</v>
      </c>
      <c r="AX30" s="221">
        <f t="shared" ref="AX30" si="57">AX20+AX31-AX38</f>
        <v>0</v>
      </c>
      <c r="AY30" s="221">
        <f t="shared" ref="AY30" si="58">AY20+AY31-AY38</f>
        <v>0</v>
      </c>
      <c r="AZ30" s="221">
        <f t="shared" ref="AZ30" si="59">AZ20+AZ31-AZ38</f>
        <v>0</v>
      </c>
      <c r="BA30" s="221">
        <f t="shared" ref="BA30" si="60">BA20+BA31-BA38</f>
        <v>0</v>
      </c>
      <c r="BB30" s="221">
        <f t="shared" ref="BB30" si="61">BB20+BB31-BB38</f>
        <v>0</v>
      </c>
      <c r="BC30" s="221">
        <f t="shared" ref="BC30" si="62">BC20+BC31-BC38</f>
        <v>0</v>
      </c>
      <c r="BD30" s="168">
        <f>SUM(C30:BC30)</f>
        <v>296510</v>
      </c>
    </row>
    <row r="31" ht="13.5" customHeight="1" spans="1:56" x14ac:dyDescent="0.25">
      <c r="A31" s="122" t="s">
        <v>82</v>
      </c>
      <c r="B31" s="199"/>
      <c r="C31" s="156"/>
      <c r="D31" s="162"/>
      <c r="E31" s="162"/>
      <c r="F31" s="162"/>
      <c r="G31" s="163"/>
      <c r="H31" s="171"/>
      <c r="I31" s="172"/>
      <c r="J31" s="172"/>
      <c r="K31" s="173"/>
      <c r="L31" s="171"/>
      <c r="M31" s="172"/>
      <c r="N31" s="172"/>
      <c r="O31" s="173"/>
      <c r="P31" s="171"/>
      <c r="Q31" s="172"/>
      <c r="R31" s="172"/>
      <c r="S31" s="173"/>
      <c r="T31" s="171"/>
      <c r="U31" s="172"/>
      <c r="V31" s="172"/>
      <c r="W31" s="172"/>
      <c r="X31" s="173"/>
      <c r="Y31" s="171"/>
      <c r="Z31" s="172"/>
      <c r="AA31" s="172"/>
      <c r="AB31" s="173"/>
      <c r="AC31" s="171"/>
      <c r="AD31" s="172"/>
      <c r="AE31" s="172"/>
      <c r="AF31" s="173"/>
      <c r="AG31" s="171"/>
      <c r="AH31" s="172"/>
      <c r="AI31" s="172"/>
      <c r="AJ31" s="172"/>
      <c r="AK31" s="173"/>
      <c r="AL31" s="171"/>
      <c r="AM31" s="172"/>
      <c r="AN31" s="172"/>
      <c r="AO31" s="173"/>
      <c r="AP31" s="171"/>
      <c r="AQ31" s="172"/>
      <c r="AR31" s="172"/>
      <c r="AS31" s="172"/>
      <c r="AT31" s="173"/>
      <c r="AU31" s="171"/>
      <c r="AV31" s="172"/>
      <c r="AW31" s="172"/>
      <c r="AX31" s="174"/>
      <c r="AY31" s="171"/>
      <c r="AZ31" s="172"/>
      <c r="BA31" s="172"/>
      <c r="BB31" s="172"/>
      <c r="BC31" s="306"/>
      <c r="BD31" s="168">
        <f t="shared" si="3"/>
        <v>0</v>
      </c>
    </row>
    <row r="32" ht="13.5" customHeight="1" spans="1:56" x14ac:dyDescent="0.25">
      <c r="A32" s="59"/>
      <c r="B32" s="199"/>
      <c r="C32" s="200"/>
      <c r="D32" s="224"/>
      <c r="E32" s="224"/>
      <c r="F32" s="224"/>
      <c r="G32" s="225"/>
      <c r="H32" s="200"/>
      <c r="I32" s="224"/>
      <c r="J32" s="224"/>
      <c r="K32" s="225"/>
      <c r="L32" s="200"/>
      <c r="M32" s="224"/>
      <c r="N32" s="224"/>
      <c r="O32" s="225"/>
      <c r="P32" s="200"/>
      <c r="Q32" s="224"/>
      <c r="R32" s="224"/>
      <c r="S32" s="225"/>
      <c r="T32" s="200"/>
      <c r="U32" s="224"/>
      <c r="V32" s="224"/>
      <c r="W32" s="224"/>
      <c r="X32" s="225"/>
      <c r="Y32" s="200"/>
      <c r="Z32" s="224"/>
      <c r="AA32" s="224"/>
      <c r="AB32" s="225"/>
      <c r="AC32" s="200"/>
      <c r="AD32" s="224"/>
      <c r="AE32" s="224"/>
      <c r="AF32" s="225"/>
      <c r="AG32" s="200"/>
      <c r="AH32" s="224"/>
      <c r="AI32" s="224"/>
      <c r="AJ32" s="224"/>
      <c r="AK32" s="225"/>
      <c r="AL32" s="200"/>
      <c r="AM32" s="224"/>
      <c r="AN32" s="224"/>
      <c r="AO32" s="225"/>
      <c r="AP32" s="200"/>
      <c r="AQ32" s="224"/>
      <c r="AR32" s="224"/>
      <c r="AS32" s="224"/>
      <c r="AT32" s="225"/>
      <c r="AU32" s="200"/>
      <c r="AV32" s="224"/>
      <c r="AW32" s="224"/>
      <c r="AX32" s="170"/>
      <c r="AY32" s="200"/>
      <c r="AZ32" s="224"/>
      <c r="BA32" s="224"/>
      <c r="BB32" s="224"/>
      <c r="BC32" s="224"/>
      <c r="BD32" s="168">
        <f t="shared" si="3"/>
        <v>0</v>
      </c>
    </row>
    <row r="33" ht="13.5" customHeight="1" spans="1:56" s="175" customFormat="1" x14ac:dyDescent="0.25">
      <c r="A33" s="202" t="s">
        <v>29</v>
      </c>
      <c r="B33" s="192"/>
      <c r="C33" s="185">
        <v>4002</v>
      </c>
      <c r="D33" s="186">
        <v>16065</v>
      </c>
      <c r="E33" s="186">
        <v>17101</v>
      </c>
      <c r="F33" s="186">
        <v>17323</v>
      </c>
      <c r="G33" s="187">
        <v>17166</v>
      </c>
      <c r="H33" s="188">
        <v>11963</v>
      </c>
      <c r="I33" s="189">
        <v>11725</v>
      </c>
      <c r="J33" s="189">
        <v>17038</v>
      </c>
      <c r="K33" s="190">
        <v>9180</v>
      </c>
      <c r="L33" s="188">
        <v>10041</v>
      </c>
      <c r="M33" s="189">
        <v>9258</v>
      </c>
      <c r="N33" s="189">
        <v>7105</v>
      </c>
      <c r="O33" s="190">
        <v>5581</v>
      </c>
      <c r="P33" s="188">
        <v>4485</v>
      </c>
      <c r="Q33" s="189">
        <v>6135</v>
      </c>
      <c r="R33" s="189">
        <v>7313</v>
      </c>
      <c r="S33" s="190"/>
      <c r="T33" s="188"/>
      <c r="U33" s="189"/>
      <c r="V33" s="189"/>
      <c r="W33" s="189"/>
      <c r="X33" s="190"/>
      <c r="Y33" s="188"/>
      <c r="Z33" s="189"/>
      <c r="AA33" s="189"/>
      <c r="AB33" s="190"/>
      <c r="AC33" s="188"/>
      <c r="AD33" s="189"/>
      <c r="AE33" s="189"/>
      <c r="AF33" s="190"/>
      <c r="AG33" s="188"/>
      <c r="AH33" s="189"/>
      <c r="AI33" s="189"/>
      <c r="AJ33" s="189"/>
      <c r="AK33" s="190"/>
      <c r="AL33" s="188"/>
      <c r="AM33" s="189"/>
      <c r="AN33" s="189"/>
      <c r="AO33" s="190"/>
      <c r="AP33" s="188"/>
      <c r="AQ33" s="189"/>
      <c r="AR33" s="189"/>
      <c r="AS33" s="189"/>
      <c r="AT33" s="190"/>
      <c r="AU33" s="188"/>
      <c r="AV33" s="189"/>
      <c r="AW33" s="189"/>
      <c r="AX33" s="191"/>
      <c r="AY33" s="188"/>
      <c r="AZ33" s="189"/>
      <c r="BA33" s="189"/>
      <c r="BB33" s="189"/>
      <c r="BC33" s="309"/>
      <c r="BD33" s="168">
        <f>SUM(C33:BC33)</f>
        <v>171481</v>
      </c>
    </row>
    <row r="34" ht="13.5" customHeight="1" spans="1:56" x14ac:dyDescent="0.25">
      <c r="A34" s="215" t="s">
        <v>128</v>
      </c>
      <c r="B34" s="216"/>
      <c r="C34" s="201">
        <f>C33/C14</f>
        <v>0.16989302088639838</v>
      </c>
      <c r="D34" s="201">
        <f t="shared" ref="D34:BA34" si="63">D33/D14</f>
        <v>0.17429938482570062</v>
      </c>
      <c r="E34" s="201">
        <f t="shared" si="63"/>
        <v>0.1869452096724824</v>
      </c>
      <c r="F34" s="201">
        <f t="shared" si="63"/>
        <v>0.17675448441932126</v>
      </c>
      <c r="G34" s="201">
        <f t="shared" si="63"/>
        <v>0.18350722654579663</v>
      </c>
      <c r="H34" s="201">
        <f t="shared" si="63"/>
        <v>0.18386229155459924</v>
      </c>
      <c r="I34" s="201">
        <f t="shared" si="63"/>
        <v>0.1825186799501868</v>
      </c>
      <c r="J34" s="201">
        <f t="shared" si="63"/>
        <v>0.2115496840040229</v>
      </c>
      <c r="K34" s="201">
        <f t="shared" si="63"/>
        <v>0.19306399713979264</v>
      </c>
      <c r="L34" s="201">
        <f t="shared" si="63"/>
        <v>0.18510803038124032</v>
      </c>
      <c r="M34" s="201">
        <f>M33/M14</f>
        <v>0.19939694163256516</v>
      </c>
      <c r="N34" s="201">
        <f t="shared" si="63"/>
        <v>0.20343010937410524</v>
      </c>
      <c r="O34" s="201">
        <f t="shared" si="63"/>
        <v>0.19080994222024686</v>
      </c>
      <c r="P34" s="201">
        <f t="shared" si="63"/>
        <v>0.20732214672028845</v>
      </c>
      <c r="Q34" s="201">
        <f t="shared" si="63"/>
        <v>0.24433470070492652</v>
      </c>
      <c r="R34" s="201">
        <f t="shared" si="63"/>
        <v>0.26499257165633944</v>
      </c>
      <c r="S34" s="201" t="e">
        <f t="shared" si="63"/>
        <v>#DIV/0!</v>
      </c>
      <c r="T34" s="201" t="e">
        <f t="shared" si="63"/>
        <v>#DIV/0!</v>
      </c>
      <c r="U34" s="201" t="e">
        <f t="shared" si="63"/>
        <v>#DIV/0!</v>
      </c>
      <c r="V34" s="201" t="e">
        <f t="shared" si="63"/>
        <v>#DIV/0!</v>
      </c>
      <c r="W34" s="201" t="e">
        <f t="shared" si="63"/>
        <v>#DIV/0!</v>
      </c>
      <c r="X34" s="201" t="e">
        <f t="shared" si="63"/>
        <v>#DIV/0!</v>
      </c>
      <c r="Y34" s="201" t="e">
        <f t="shared" si="63"/>
        <v>#DIV/0!</v>
      </c>
      <c r="Z34" s="201" t="e">
        <f t="shared" si="63"/>
        <v>#DIV/0!</v>
      </c>
      <c r="AA34" s="201" t="e">
        <f t="shared" si="63"/>
        <v>#DIV/0!</v>
      </c>
      <c r="AB34" s="201" t="e">
        <f t="shared" si="63"/>
        <v>#DIV/0!</v>
      </c>
      <c r="AC34" s="201" t="e">
        <f t="shared" si="63"/>
        <v>#DIV/0!</v>
      </c>
      <c r="AD34" s="201" t="e">
        <f t="shared" si="63"/>
        <v>#DIV/0!</v>
      </c>
      <c r="AE34" s="201" t="e">
        <f t="shared" si="63"/>
        <v>#DIV/0!</v>
      </c>
      <c r="AF34" s="201" t="e">
        <f t="shared" si="63"/>
        <v>#DIV/0!</v>
      </c>
      <c r="AG34" s="201" t="e">
        <f t="shared" si="63"/>
        <v>#DIV/0!</v>
      </c>
      <c r="AH34" s="201" t="e">
        <f t="shared" si="63"/>
        <v>#DIV/0!</v>
      </c>
      <c r="AI34" s="201" t="e">
        <f t="shared" si="63"/>
        <v>#DIV/0!</v>
      </c>
      <c r="AJ34" s="201" t="e">
        <f t="shared" si="63"/>
        <v>#DIV/0!</v>
      </c>
      <c r="AK34" s="201" t="e">
        <f t="shared" si="63"/>
        <v>#DIV/0!</v>
      </c>
      <c r="AL34" s="201" t="e">
        <f t="shared" si="63"/>
        <v>#DIV/0!</v>
      </c>
      <c r="AM34" s="201" t="e">
        <f t="shared" si="63"/>
        <v>#DIV/0!</v>
      </c>
      <c r="AN34" s="201" t="e">
        <f t="shared" si="63"/>
        <v>#DIV/0!</v>
      </c>
      <c r="AO34" s="201" t="e">
        <f t="shared" si="63"/>
        <v>#DIV/0!</v>
      </c>
      <c r="AP34" s="201" t="e">
        <f t="shared" si="63"/>
        <v>#DIV/0!</v>
      </c>
      <c r="AQ34" s="201" t="e">
        <f t="shared" si="63"/>
        <v>#DIV/0!</v>
      </c>
      <c r="AR34" s="201" t="e">
        <f t="shared" si="63"/>
        <v>#DIV/0!</v>
      </c>
      <c r="AS34" s="201" t="e">
        <f t="shared" si="63"/>
        <v>#DIV/0!</v>
      </c>
      <c r="AT34" s="201" t="e">
        <f t="shared" si="63"/>
        <v>#DIV/0!</v>
      </c>
      <c r="AU34" s="201" t="e">
        <f t="shared" si="63"/>
        <v>#DIV/0!</v>
      </c>
      <c r="AV34" s="201" t="e">
        <f t="shared" si="63"/>
        <v>#DIV/0!</v>
      </c>
      <c r="AW34" s="201" t="e">
        <f t="shared" si="63"/>
        <v>#DIV/0!</v>
      </c>
      <c r="AX34" s="201" t="e">
        <f t="shared" si="63"/>
        <v>#DIV/0!</v>
      </c>
      <c r="AY34" s="201" t="e">
        <f t="shared" si="63"/>
        <v>#DIV/0!</v>
      </c>
      <c r="AZ34" s="201" t="e">
        <f t="shared" si="63"/>
        <v>#DIV/0!</v>
      </c>
      <c r="BA34" s="201" t="e">
        <f t="shared" si="63"/>
        <v>#DIV/0!</v>
      </c>
      <c r="BB34" s="201" t="e">
        <f t="shared" ref="BB34:BD34" si="64">BB33/BB14</f>
        <v>#DIV/0!</v>
      </c>
      <c r="BC34" s="201" t="e">
        <f t="shared" si="64"/>
        <v>#DIV/0!</v>
      </c>
      <c r="BD34" s="210">
        <f t="shared" si="64"/>
        <v>0.19152783548449068</v>
      </c>
    </row>
    <row r="35" ht="13.5" customHeight="1" spans="1:56" x14ac:dyDescent="0.25">
      <c r="A35" s="59"/>
      <c r="B35" s="184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168">
        <f t="shared" si="3"/>
        <v>0</v>
      </c>
    </row>
    <row r="36" ht="13.5" customHeight="1" spans="1:56" x14ac:dyDescent="0.25">
      <c r="A36" s="202" t="s">
        <v>10</v>
      </c>
      <c r="B36" s="192"/>
      <c r="C36" s="211">
        <f>C20-C33</f>
        <v>10710</v>
      </c>
      <c r="D36" s="211">
        <f>D20-D33</f>
        <v>41394</v>
      </c>
      <c r="E36" s="211">
        <f t="shared" ref="E36:BA36" si="65">E20-E33</f>
        <v>39902</v>
      </c>
      <c r="F36" s="211">
        <f t="shared" si="65"/>
        <v>43770</v>
      </c>
      <c r="G36" s="211">
        <f t="shared" si="65"/>
        <v>41023</v>
      </c>
      <c r="H36" s="211">
        <f t="shared" si="65"/>
        <v>28684</v>
      </c>
      <c r="I36" s="211">
        <f t="shared" si="65"/>
        <v>28238</v>
      </c>
      <c r="J36" s="211">
        <f t="shared" si="65"/>
        <v>32718</v>
      </c>
      <c r="K36" s="211">
        <f t="shared" si="65"/>
        <v>20288</v>
      </c>
      <c r="L36" s="211">
        <f t="shared" si="65"/>
        <v>23757</v>
      </c>
      <c r="M36" s="211">
        <f t="shared" si="65"/>
        <v>19507</v>
      </c>
      <c r="N36" s="211">
        <f t="shared" si="65"/>
        <v>14583</v>
      </c>
      <c r="O36" s="211">
        <f t="shared" si="65"/>
        <v>12526</v>
      </c>
      <c r="P36" s="211">
        <f t="shared" si="65"/>
        <v>9033</v>
      </c>
      <c r="Q36" s="211">
        <f t="shared" si="65"/>
        <v>9323</v>
      </c>
      <c r="R36" s="211">
        <f t="shared" si="65"/>
        <v>9209</v>
      </c>
      <c r="S36" s="211">
        <f t="shared" si="65"/>
        <v>0</v>
      </c>
      <c r="T36" s="211">
        <f t="shared" si="65"/>
        <v>0</v>
      </c>
      <c r="U36" s="211">
        <f>U20-U33</f>
        <v>0</v>
      </c>
      <c r="V36" s="211">
        <f t="shared" si="65"/>
        <v>0</v>
      </c>
      <c r="W36" s="211">
        <f t="shared" si="65"/>
        <v>0</v>
      </c>
      <c r="X36" s="211">
        <f t="shared" si="65"/>
        <v>0</v>
      </c>
      <c r="Y36" s="211">
        <f t="shared" si="65"/>
        <v>0</v>
      </c>
      <c r="Z36" s="211">
        <f t="shared" si="65"/>
        <v>0</v>
      </c>
      <c r="AA36" s="211">
        <f t="shared" si="65"/>
        <v>0</v>
      </c>
      <c r="AB36" s="211">
        <f t="shared" si="65"/>
        <v>0</v>
      </c>
      <c r="AC36" s="211">
        <f t="shared" si="65"/>
        <v>0</v>
      </c>
      <c r="AD36" s="211">
        <f t="shared" si="65"/>
        <v>0</v>
      </c>
      <c r="AE36" s="211">
        <f t="shared" si="65"/>
        <v>0</v>
      </c>
      <c r="AF36" s="211">
        <f t="shared" si="65"/>
        <v>0</v>
      </c>
      <c r="AG36" s="211">
        <f t="shared" si="65"/>
        <v>0</v>
      </c>
      <c r="AH36" s="211">
        <f t="shared" si="65"/>
        <v>0</v>
      </c>
      <c r="AI36" s="211">
        <f t="shared" si="65"/>
        <v>0</v>
      </c>
      <c r="AJ36" s="211">
        <f t="shared" si="65"/>
        <v>0</v>
      </c>
      <c r="AK36" s="211">
        <f t="shared" si="65"/>
        <v>0</v>
      </c>
      <c r="AL36" s="211">
        <f t="shared" si="65"/>
        <v>0</v>
      </c>
      <c r="AM36" s="211">
        <f t="shared" si="65"/>
        <v>0</v>
      </c>
      <c r="AN36" s="211">
        <f t="shared" si="65"/>
        <v>0</v>
      </c>
      <c r="AO36" s="211">
        <f t="shared" si="65"/>
        <v>0</v>
      </c>
      <c r="AP36" s="211">
        <f t="shared" si="65"/>
        <v>0</v>
      </c>
      <c r="AQ36" s="211">
        <f t="shared" si="65"/>
        <v>0</v>
      </c>
      <c r="AR36" s="211">
        <f t="shared" si="65"/>
        <v>0</v>
      </c>
      <c r="AS36" s="211">
        <f t="shared" si="65"/>
        <v>0</v>
      </c>
      <c r="AT36" s="211">
        <f t="shared" si="65"/>
        <v>0</v>
      </c>
      <c r="AU36" s="211">
        <f t="shared" si="65"/>
        <v>0</v>
      </c>
      <c r="AV36" s="211">
        <f t="shared" si="65"/>
        <v>0</v>
      </c>
      <c r="AW36" s="211">
        <f t="shared" si="65"/>
        <v>0</v>
      </c>
      <c r="AX36" s="211">
        <f>AX20-AX33</f>
        <v>0</v>
      </c>
      <c r="AY36" s="211">
        <f t="shared" si="65"/>
        <v>0</v>
      </c>
      <c r="AZ36" s="211">
        <f t="shared" si="65"/>
        <v>0</v>
      </c>
      <c r="BA36" s="211">
        <f t="shared" si="65"/>
        <v>0</v>
      </c>
      <c r="BB36" s="211">
        <f t="shared" ref="BB36:BC36" si="66">BB20-BB33</f>
        <v>0</v>
      </c>
      <c r="BC36" s="211">
        <f t="shared" si="66"/>
        <v>0</v>
      </c>
      <c r="BD36" s="168">
        <f t="shared" si="3"/>
        <v>384665</v>
      </c>
    </row>
    <row r="37" ht="13.5" customHeight="1" spans="1:56" x14ac:dyDescent="0.25">
      <c r="A37" s="202"/>
      <c r="B37" s="192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168">
        <f t="shared" si="3"/>
        <v>0</v>
      </c>
    </row>
    <row r="38" ht="13.5" customHeight="1" spans="1:56" x14ac:dyDescent="0.25">
      <c r="A38" s="202" t="s">
        <v>84</v>
      </c>
      <c r="B38" s="192"/>
      <c r="C38" s="211">
        <f t="shared" ref="C38" si="67">SUM(C40:C51)</f>
        <v>9929</v>
      </c>
      <c r="D38" s="211">
        <f t="shared" ref="D38:BA38" si="68">SUM(D40:D51)</f>
        <v>26973</v>
      </c>
      <c r="E38" s="211">
        <f t="shared" si="68"/>
        <v>27707</v>
      </c>
      <c r="F38" s="211">
        <f>SUM(F40:F51)</f>
        <v>27592</v>
      </c>
      <c r="G38" s="211">
        <f t="shared" si="68"/>
        <v>29922</v>
      </c>
      <c r="H38" s="211">
        <f t="shared" si="68"/>
        <v>22788</v>
      </c>
      <c r="I38" s="211">
        <f t="shared" si="68"/>
        <v>21137</v>
      </c>
      <c r="J38" s="211">
        <f t="shared" si="68"/>
        <v>23380</v>
      </c>
      <c r="K38" s="211">
        <f t="shared" si="68"/>
        <v>12152</v>
      </c>
      <c r="L38" s="211">
        <f t="shared" si="68"/>
        <v>14267</v>
      </c>
      <c r="M38" s="211">
        <f t="shared" si="68"/>
        <v>14194</v>
      </c>
      <c r="N38" s="211">
        <f t="shared" si="68"/>
        <v>7974</v>
      </c>
      <c r="O38" s="211">
        <f t="shared" si="68"/>
        <v>4598</v>
      </c>
      <c r="P38" s="211">
        <f t="shared" si="68"/>
        <v>3277</v>
      </c>
      <c r="Q38" s="211">
        <f t="shared" si="68"/>
        <v>6016</v>
      </c>
      <c r="R38" s="211">
        <f t="shared" si="68"/>
        <v>7730</v>
      </c>
      <c r="S38" s="211">
        <f t="shared" si="68"/>
        <v>0</v>
      </c>
      <c r="T38" s="211">
        <f t="shared" si="68"/>
        <v>0</v>
      </c>
      <c r="U38" s="211">
        <f>SUM(U40:U51)</f>
        <v>0</v>
      </c>
      <c r="V38" s="211">
        <f t="shared" si="68"/>
        <v>0</v>
      </c>
      <c r="W38" s="211">
        <f t="shared" si="68"/>
        <v>0</v>
      </c>
      <c r="X38" s="211">
        <f t="shared" si="68"/>
        <v>0</v>
      </c>
      <c r="Y38" s="211">
        <f t="shared" si="68"/>
        <v>0</v>
      </c>
      <c r="Z38" s="211">
        <f t="shared" si="68"/>
        <v>0</v>
      </c>
      <c r="AA38" s="211">
        <f t="shared" si="68"/>
        <v>0</v>
      </c>
      <c r="AB38" s="211">
        <f t="shared" si="68"/>
        <v>0</v>
      </c>
      <c r="AC38" s="211">
        <f t="shared" si="68"/>
        <v>0</v>
      </c>
      <c r="AD38" s="211">
        <f t="shared" si="68"/>
        <v>0</v>
      </c>
      <c r="AE38" s="211">
        <f t="shared" si="68"/>
        <v>0</v>
      </c>
      <c r="AF38" s="211">
        <f t="shared" si="68"/>
        <v>0</v>
      </c>
      <c r="AG38" s="211">
        <f t="shared" si="68"/>
        <v>0</v>
      </c>
      <c r="AH38" s="211">
        <f t="shared" si="68"/>
        <v>0</v>
      </c>
      <c r="AI38" s="211">
        <f t="shared" si="68"/>
        <v>0</v>
      </c>
      <c r="AJ38" s="211">
        <f t="shared" si="68"/>
        <v>0</v>
      </c>
      <c r="AK38" s="211">
        <f t="shared" si="68"/>
        <v>0</v>
      </c>
      <c r="AL38" s="211">
        <f t="shared" si="68"/>
        <v>0</v>
      </c>
      <c r="AM38" s="211">
        <f t="shared" si="68"/>
        <v>0</v>
      </c>
      <c r="AN38" s="211">
        <f t="shared" si="68"/>
        <v>0</v>
      </c>
      <c r="AO38" s="211">
        <f t="shared" si="68"/>
        <v>0</v>
      </c>
      <c r="AP38" s="211">
        <f t="shared" si="68"/>
        <v>0</v>
      </c>
      <c r="AQ38" s="211">
        <f t="shared" si="68"/>
        <v>0</v>
      </c>
      <c r="AR38" s="211">
        <f t="shared" si="68"/>
        <v>0</v>
      </c>
      <c r="AS38" s="211">
        <f t="shared" si="68"/>
        <v>0</v>
      </c>
      <c r="AT38" s="211">
        <f t="shared" si="68"/>
        <v>0</v>
      </c>
      <c r="AU38" s="211">
        <f t="shared" si="68"/>
        <v>0</v>
      </c>
      <c r="AV38" s="211">
        <f t="shared" si="68"/>
        <v>0</v>
      </c>
      <c r="AW38" s="211">
        <f t="shared" si="68"/>
        <v>0</v>
      </c>
      <c r="AX38" s="211">
        <f>SUM(AX40:AX51)</f>
        <v>0</v>
      </c>
      <c r="AY38" s="211">
        <f t="shared" si="68"/>
        <v>0</v>
      </c>
      <c r="AZ38" s="211">
        <f t="shared" si="68"/>
        <v>0</v>
      </c>
      <c r="BA38" s="211">
        <f t="shared" si="68"/>
        <v>0</v>
      </c>
      <c r="BB38" s="211">
        <f t="shared" ref="BB38:BC38" si="69">SUM(BB40:BB51)</f>
        <v>0</v>
      </c>
      <c r="BC38" s="211">
        <f t="shared" si="69"/>
        <v>0</v>
      </c>
      <c r="BD38" s="168">
        <f t="shared" si="3"/>
        <v>259636</v>
      </c>
    </row>
    <row r="39" ht="13.5" customHeight="1" spans="1:56" x14ac:dyDescent="0.25">
      <c r="A39" s="215" t="s">
        <v>85</v>
      </c>
      <c r="B39" s="216"/>
      <c r="C39" s="201">
        <f>C38/C14</f>
        <v>0.4215061979962642</v>
      </c>
      <c r="D39" s="201">
        <f t="shared" ref="D39:BA39" si="70">D38/D14</f>
        <v>0.2926472024216385</v>
      </c>
      <c r="E39" s="201">
        <f t="shared" si="70"/>
        <v>0.3028881892518256</v>
      </c>
      <c r="F39" s="201">
        <f t="shared" si="70"/>
        <v>0.2815337836458992</v>
      </c>
      <c r="G39" s="201">
        <f t="shared" si="70"/>
        <v>0.319870862909433</v>
      </c>
      <c r="H39" s="201">
        <f t="shared" si="70"/>
        <v>0.35023438100361176</v>
      </c>
      <c r="I39" s="201">
        <f t="shared" si="70"/>
        <v>0.3290317559153176</v>
      </c>
      <c r="J39" s="201">
        <f t="shared" si="70"/>
        <v>0.2902941432101218</v>
      </c>
      <c r="K39" s="201">
        <f t="shared" si="70"/>
        <v>0.25556794044038783</v>
      </c>
      <c r="L39" s="201">
        <f t="shared" si="70"/>
        <v>0.26301526436103534</v>
      </c>
      <c r="M39" s="201">
        <f>M38/M14</f>
        <v>0.3057075166917941</v>
      </c>
      <c r="N39" s="201">
        <f t="shared" si="70"/>
        <v>0.22831128672049475</v>
      </c>
      <c r="O39" s="201">
        <f t="shared" si="70"/>
        <v>0.15720195562241443</v>
      </c>
      <c r="P39" s="201">
        <f t="shared" si="70"/>
        <v>0.1514815328433412</v>
      </c>
      <c r="Q39" s="201">
        <f t="shared" si="70"/>
        <v>0.23959536421203553</v>
      </c>
      <c r="R39" s="201">
        <f t="shared" si="70"/>
        <v>0.28010290973656554</v>
      </c>
      <c r="S39" s="201" t="e">
        <f t="shared" si="70"/>
        <v>#DIV/0!</v>
      </c>
      <c r="T39" s="201" t="e">
        <f t="shared" si="70"/>
        <v>#DIV/0!</v>
      </c>
      <c r="U39" s="201" t="e">
        <f t="shared" si="70"/>
        <v>#DIV/0!</v>
      </c>
      <c r="V39" s="201" t="e">
        <f t="shared" si="70"/>
        <v>#DIV/0!</v>
      </c>
      <c r="W39" s="201" t="e">
        <f t="shared" si="70"/>
        <v>#DIV/0!</v>
      </c>
      <c r="X39" s="201" t="e">
        <f t="shared" si="70"/>
        <v>#DIV/0!</v>
      </c>
      <c r="Y39" s="201" t="e">
        <f t="shared" si="70"/>
        <v>#DIV/0!</v>
      </c>
      <c r="Z39" s="201" t="e">
        <f t="shared" si="70"/>
        <v>#DIV/0!</v>
      </c>
      <c r="AA39" s="201" t="e">
        <f t="shared" si="70"/>
        <v>#DIV/0!</v>
      </c>
      <c r="AB39" s="201" t="e">
        <f t="shared" si="70"/>
        <v>#DIV/0!</v>
      </c>
      <c r="AC39" s="201" t="e">
        <f t="shared" si="70"/>
        <v>#DIV/0!</v>
      </c>
      <c r="AD39" s="201" t="e">
        <f t="shared" si="70"/>
        <v>#DIV/0!</v>
      </c>
      <c r="AE39" s="201" t="e">
        <f t="shared" si="70"/>
        <v>#DIV/0!</v>
      </c>
      <c r="AF39" s="201" t="e">
        <f t="shared" si="70"/>
        <v>#DIV/0!</v>
      </c>
      <c r="AG39" s="201" t="e">
        <f t="shared" si="70"/>
        <v>#DIV/0!</v>
      </c>
      <c r="AH39" s="201" t="e">
        <f t="shared" si="70"/>
        <v>#DIV/0!</v>
      </c>
      <c r="AI39" s="201" t="e">
        <f t="shared" si="70"/>
        <v>#DIV/0!</v>
      </c>
      <c r="AJ39" s="201" t="e">
        <f t="shared" si="70"/>
        <v>#DIV/0!</v>
      </c>
      <c r="AK39" s="201" t="e">
        <f t="shared" si="70"/>
        <v>#DIV/0!</v>
      </c>
      <c r="AL39" s="201" t="e">
        <f t="shared" si="70"/>
        <v>#DIV/0!</v>
      </c>
      <c r="AM39" s="201" t="e">
        <f t="shared" si="70"/>
        <v>#DIV/0!</v>
      </c>
      <c r="AN39" s="201" t="e">
        <f t="shared" si="70"/>
        <v>#DIV/0!</v>
      </c>
      <c r="AO39" s="201" t="e">
        <f t="shared" si="70"/>
        <v>#DIV/0!</v>
      </c>
      <c r="AP39" s="201" t="e">
        <f t="shared" si="70"/>
        <v>#DIV/0!</v>
      </c>
      <c r="AQ39" s="201" t="e">
        <f t="shared" si="70"/>
        <v>#DIV/0!</v>
      </c>
      <c r="AR39" s="201" t="e">
        <f t="shared" si="70"/>
        <v>#DIV/0!</v>
      </c>
      <c r="AS39" s="201" t="e">
        <f t="shared" si="70"/>
        <v>#DIV/0!</v>
      </c>
      <c r="AT39" s="201" t="e">
        <f t="shared" si="70"/>
        <v>#DIV/0!</v>
      </c>
      <c r="AU39" s="201" t="e">
        <f t="shared" si="70"/>
        <v>#DIV/0!</v>
      </c>
      <c r="AV39" s="201" t="e">
        <f t="shared" si="70"/>
        <v>#DIV/0!</v>
      </c>
      <c r="AW39" s="201" t="e">
        <f t="shared" si="70"/>
        <v>#DIV/0!</v>
      </c>
      <c r="AX39" s="201" t="e">
        <f t="shared" si="70"/>
        <v>#DIV/0!</v>
      </c>
      <c r="AY39" s="201" t="e">
        <f t="shared" si="70"/>
        <v>#DIV/0!</v>
      </c>
      <c r="AZ39" s="201" t="e">
        <f t="shared" si="70"/>
        <v>#DIV/0!</v>
      </c>
      <c r="BA39" s="201" t="e">
        <f t="shared" si="70"/>
        <v>#DIV/0!</v>
      </c>
      <c r="BB39" s="201" t="e">
        <f t="shared" ref="BB39:BD39" si="71">BB38/BB14</f>
        <v>#DIV/0!</v>
      </c>
      <c r="BC39" s="201" t="e">
        <f t="shared" si="71"/>
        <v>#DIV/0!</v>
      </c>
      <c r="BD39" s="210">
        <f t="shared" si="71"/>
        <v>0.2899885182256414</v>
      </c>
    </row>
    <row r="40" ht="13.5" customHeight="1" spans="1:56" x14ac:dyDescent="0.25">
      <c r="A40" s="97" t="s">
        <v>151</v>
      </c>
      <c r="B40" s="226"/>
      <c r="C40" s="203">
        <v>4293</v>
      </c>
      <c r="D40" s="204">
        <v>16303</v>
      </c>
      <c r="E40" s="204">
        <v>18182</v>
      </c>
      <c r="F40" s="204">
        <v>18525</v>
      </c>
      <c r="G40" s="205">
        <v>18491</v>
      </c>
      <c r="H40" s="227">
        <v>15069</v>
      </c>
      <c r="I40" s="228">
        <v>13395</v>
      </c>
      <c r="J40" s="228">
        <v>18957</v>
      </c>
      <c r="K40" s="229">
        <v>9535</v>
      </c>
      <c r="L40" s="227">
        <v>10909</v>
      </c>
      <c r="M40" s="228">
        <v>11342</v>
      </c>
      <c r="N40" s="228">
        <v>6615</v>
      </c>
      <c r="O40" s="229">
        <v>3286</v>
      </c>
      <c r="P40" s="227">
        <v>2314</v>
      </c>
      <c r="Q40" s="228">
        <v>3054</v>
      </c>
      <c r="R40" s="228">
        <v>4228</v>
      </c>
      <c r="S40" s="229"/>
      <c r="T40" s="227"/>
      <c r="U40" s="228"/>
      <c r="V40" s="228"/>
      <c r="W40" s="228"/>
      <c r="X40" s="229"/>
      <c r="Y40" s="227"/>
      <c r="Z40" s="228"/>
      <c r="AA40" s="228"/>
      <c r="AB40" s="229"/>
      <c r="AC40" s="227"/>
      <c r="AD40" s="228"/>
      <c r="AE40" s="228"/>
      <c r="AF40" s="229"/>
      <c r="AG40" s="227"/>
      <c r="AH40" s="228"/>
      <c r="AI40" s="228"/>
      <c r="AJ40" s="228"/>
      <c r="AK40" s="229"/>
      <c r="AL40" s="227"/>
      <c r="AM40" s="228"/>
      <c r="AN40" s="228"/>
      <c r="AO40" s="229"/>
      <c r="AP40" s="227"/>
      <c r="AQ40" s="228"/>
      <c r="AR40" s="228"/>
      <c r="AS40" s="228"/>
      <c r="AT40" s="229"/>
      <c r="AU40" s="227"/>
      <c r="AV40" s="228"/>
      <c r="AW40" s="228"/>
      <c r="AX40" s="230"/>
      <c r="AY40" s="227"/>
      <c r="AZ40" s="228"/>
      <c r="BA40" s="228"/>
      <c r="BB40" s="228"/>
      <c r="BC40" s="320"/>
      <c r="BD40" s="168">
        <f t="shared" si="3"/>
        <v>174498</v>
      </c>
    </row>
    <row r="41" ht="12.75" customHeight="1" spans="1:56" x14ac:dyDescent="0.25">
      <c r="A41" s="97" t="s">
        <v>152</v>
      </c>
      <c r="B41" s="226"/>
      <c r="C41" s="203">
        <v>634</v>
      </c>
      <c r="D41" s="204">
        <v>1139</v>
      </c>
      <c r="E41" s="204">
        <v>2225</v>
      </c>
      <c r="F41" s="204">
        <v>2475</v>
      </c>
      <c r="G41" s="205">
        <v>5374</v>
      </c>
      <c r="H41" s="227">
        <v>2254</v>
      </c>
      <c r="I41" s="228">
        <v>3404</v>
      </c>
      <c r="J41" s="228">
        <v>1721</v>
      </c>
      <c r="K41" s="229">
        <v>536</v>
      </c>
      <c r="L41" s="227">
        <v>1608</v>
      </c>
      <c r="M41" s="228">
        <v>840</v>
      </c>
      <c r="N41" s="228">
        <v>330</v>
      </c>
      <c r="O41" s="229">
        <v>439</v>
      </c>
      <c r="P41" s="227">
        <v>108</v>
      </c>
      <c r="Q41" s="228">
        <v>126</v>
      </c>
      <c r="R41" s="228">
        <v>141</v>
      </c>
      <c r="S41" s="229"/>
      <c r="T41" s="227"/>
      <c r="U41" s="231"/>
      <c r="V41" s="231"/>
      <c r="W41" s="231"/>
      <c r="X41" s="231"/>
      <c r="Y41" s="232"/>
      <c r="Z41" s="231"/>
      <c r="AA41" s="228"/>
      <c r="AB41" s="229"/>
      <c r="AC41" s="227"/>
      <c r="AD41" s="228"/>
      <c r="AE41" s="228"/>
      <c r="AF41" s="229"/>
      <c r="AG41" s="227"/>
      <c r="AH41" s="228"/>
      <c r="AI41" s="228"/>
      <c r="AJ41" s="228"/>
      <c r="AK41" s="229"/>
      <c r="AL41" s="227"/>
      <c r="AM41" s="228"/>
      <c r="AN41" s="228"/>
      <c r="AO41" s="229"/>
      <c r="AP41" s="227"/>
      <c r="AQ41" s="228"/>
      <c r="AR41" s="228"/>
      <c r="AS41" s="228"/>
      <c r="AT41" s="229"/>
      <c r="AU41" s="227"/>
      <c r="AV41" s="228"/>
      <c r="AW41" s="228"/>
      <c r="AX41" s="230"/>
      <c r="AY41" s="227"/>
      <c r="AZ41" s="228"/>
      <c r="BA41" s="228"/>
      <c r="BB41" s="228"/>
      <c r="BC41" s="320"/>
      <c r="BD41" s="168">
        <f t="shared" si="3"/>
        <v>23354</v>
      </c>
    </row>
    <row r="42" ht="13.5" customHeight="1" spans="1:56" x14ac:dyDescent="0.25">
      <c r="A42" s="97" t="s">
        <v>153</v>
      </c>
      <c r="C42" s="203">
        <v>346</v>
      </c>
      <c r="D42" s="204">
        <v>848</v>
      </c>
      <c r="E42" s="204">
        <v>790</v>
      </c>
      <c r="F42" s="204">
        <v>884</v>
      </c>
      <c r="G42" s="205">
        <v>745</v>
      </c>
      <c r="H42" s="227">
        <v>524</v>
      </c>
      <c r="I42" s="228">
        <v>617</v>
      </c>
      <c r="J42" s="228">
        <v>749</v>
      </c>
      <c r="K42" s="229">
        <v>501</v>
      </c>
      <c r="L42" s="227">
        <v>383</v>
      </c>
      <c r="M42" s="228">
        <v>414</v>
      </c>
      <c r="N42" s="228">
        <v>241</v>
      </c>
      <c r="O42" s="229">
        <v>283</v>
      </c>
      <c r="P42" s="227">
        <v>252</v>
      </c>
      <c r="Q42" s="228">
        <v>223</v>
      </c>
      <c r="R42" s="228">
        <v>298</v>
      </c>
      <c r="S42" s="229"/>
      <c r="T42" s="227"/>
      <c r="U42" s="228"/>
      <c r="V42" s="228"/>
      <c r="W42" s="228"/>
      <c r="X42" s="229"/>
      <c r="Y42" s="227"/>
      <c r="Z42" s="228"/>
      <c r="AA42" s="228"/>
      <c r="AB42" s="229"/>
      <c r="AC42" s="227"/>
      <c r="AD42" s="228"/>
      <c r="AE42" s="228"/>
      <c r="AF42" s="229"/>
      <c r="AG42" s="227"/>
      <c r="AH42" s="228"/>
      <c r="AI42" s="228"/>
      <c r="AJ42" s="228"/>
      <c r="AK42" s="229"/>
      <c r="AL42" s="227"/>
      <c r="AM42" s="228"/>
      <c r="AN42" s="228"/>
      <c r="AO42" s="229"/>
      <c r="AP42" s="227"/>
      <c r="AQ42" s="228"/>
      <c r="AR42" s="228"/>
      <c r="AS42" s="228"/>
      <c r="AT42" s="229"/>
      <c r="AU42" s="227"/>
      <c r="AV42" s="228"/>
      <c r="AW42" s="228"/>
      <c r="AX42" s="230"/>
      <c r="AY42" s="227"/>
      <c r="AZ42" s="228"/>
      <c r="BA42" s="228"/>
      <c r="BB42" s="228"/>
      <c r="BC42" s="320"/>
      <c r="BD42" s="168">
        <f t="shared" si="3"/>
        <v>8098</v>
      </c>
    </row>
    <row r="43" ht="13.5" customHeight="1" spans="1:56" x14ac:dyDescent="0.25">
      <c r="A43" s="97" t="s">
        <v>154</v>
      </c>
      <c r="B43" s="226"/>
      <c r="C43" s="203">
        <v>4656</v>
      </c>
      <c r="D43" s="204">
        <v>7883</v>
      </c>
      <c r="E43" s="204">
        <v>6510</v>
      </c>
      <c r="F43" s="204">
        <v>5708</v>
      </c>
      <c r="G43" s="205">
        <v>5312</v>
      </c>
      <c r="H43" s="227">
        <v>4941</v>
      </c>
      <c r="I43" s="228">
        <v>3721</v>
      </c>
      <c r="J43" s="228">
        <v>1953</v>
      </c>
      <c r="K43" s="229">
        <v>1580</v>
      </c>
      <c r="L43" s="227">
        <v>1367</v>
      </c>
      <c r="M43" s="228">
        <v>1598</v>
      </c>
      <c r="N43" s="228">
        <v>788</v>
      </c>
      <c r="O43" s="229">
        <v>590</v>
      </c>
      <c r="P43" s="227">
        <v>603</v>
      </c>
      <c r="Q43" s="228">
        <v>2613</v>
      </c>
      <c r="R43" s="228">
        <v>3063</v>
      </c>
      <c r="S43" s="229"/>
      <c r="T43" s="227"/>
      <c r="U43" s="228"/>
      <c r="V43" s="228"/>
      <c r="W43" s="228"/>
      <c r="X43" s="229"/>
      <c r="Y43" s="227"/>
      <c r="Z43" s="228"/>
      <c r="AA43" s="231"/>
      <c r="AB43" s="231"/>
      <c r="AC43" s="232"/>
      <c r="AD43" s="231"/>
      <c r="AE43" s="231"/>
      <c r="AF43" s="231"/>
      <c r="AG43" s="232"/>
      <c r="AH43" s="231"/>
      <c r="AI43" s="231"/>
      <c r="AJ43" s="231"/>
      <c r="AK43" s="231"/>
      <c r="AL43" s="232"/>
      <c r="AM43" s="231"/>
      <c r="AN43" s="231"/>
      <c r="AO43" s="231"/>
      <c r="AP43" s="227"/>
      <c r="AQ43" s="228"/>
      <c r="AR43" s="228"/>
      <c r="AS43" s="228"/>
      <c r="AT43" s="229"/>
      <c r="AU43" s="227"/>
      <c r="AV43" s="228"/>
      <c r="AW43" s="228"/>
      <c r="AX43" s="230"/>
      <c r="AY43" s="227"/>
      <c r="AZ43" s="228"/>
      <c r="BA43" s="228"/>
      <c r="BB43" s="228"/>
      <c r="BC43" s="320"/>
      <c r="BD43" s="168">
        <f t="shared" si="3"/>
        <v>52886</v>
      </c>
    </row>
    <row r="44" ht="13.5" customHeight="1" spans="1:56" x14ac:dyDescent="0.25">
      <c r="A44" s="97" t="s">
        <v>155</v>
      </c>
      <c r="B44" s="226"/>
      <c r="C44" s="203"/>
      <c r="D44" s="204"/>
      <c r="E44" s="204"/>
      <c r="F44" s="204"/>
      <c r="G44" s="205"/>
      <c r="H44" s="227"/>
      <c r="I44" s="228"/>
      <c r="J44" s="228"/>
      <c r="K44" s="229"/>
      <c r="L44" s="227"/>
      <c r="M44" s="228"/>
      <c r="N44" s="228"/>
      <c r="O44" s="229"/>
      <c r="P44" s="227"/>
      <c r="Q44" s="228"/>
      <c r="R44" s="228"/>
      <c r="S44" s="229"/>
      <c r="T44" s="227"/>
      <c r="U44" s="228"/>
      <c r="V44" s="228"/>
      <c r="W44" s="228"/>
      <c r="X44" s="229"/>
      <c r="Y44" s="227"/>
      <c r="Z44" s="228"/>
      <c r="AA44" s="228"/>
      <c r="AB44" s="229"/>
      <c r="AC44" s="227"/>
      <c r="AD44" s="228"/>
      <c r="AE44" s="228"/>
      <c r="AF44" s="229"/>
      <c r="AG44" s="227"/>
      <c r="AH44" s="228"/>
      <c r="AI44" s="228"/>
      <c r="AJ44" s="228"/>
      <c r="AK44" s="229"/>
      <c r="AL44" s="227"/>
      <c r="AM44" s="228"/>
      <c r="AN44" s="228"/>
      <c r="AO44" s="229"/>
      <c r="AP44" s="227"/>
      <c r="AQ44" s="228"/>
      <c r="AR44" s="228"/>
      <c r="AS44" s="228"/>
      <c r="AT44" s="229"/>
      <c r="AU44" s="227"/>
      <c r="AV44" s="228"/>
      <c r="AW44" s="228"/>
      <c r="AX44" s="230"/>
      <c r="AY44" s="227"/>
      <c r="AZ44" s="228"/>
      <c r="BA44" s="228"/>
      <c r="BB44" s="228"/>
      <c r="BC44" s="320"/>
      <c r="BD44" s="168">
        <f t="shared" si="3"/>
        <v>0</v>
      </c>
    </row>
    <row r="45" ht="13.5" customHeight="1" spans="1:56" x14ac:dyDescent="0.25">
      <c r="A45" s="97" t="s">
        <v>156</v>
      </c>
      <c r="B45" s="226"/>
      <c r="C45" s="203"/>
      <c r="D45" s="204">
        <v>800</v>
      </c>
      <c r="E45" s="204"/>
      <c r="F45" s="204"/>
      <c r="G45" s="205"/>
      <c r="H45" s="227"/>
      <c r="I45" s="228"/>
      <c r="J45" s="228"/>
      <c r="K45" s="229"/>
      <c r="L45" s="227"/>
      <c r="M45" s="228"/>
      <c r="N45" s="228"/>
      <c r="O45" s="229"/>
      <c r="P45" s="227"/>
      <c r="Q45" s="228"/>
      <c r="R45" s="228"/>
      <c r="S45" s="229"/>
      <c r="T45" s="227"/>
      <c r="U45" s="228"/>
      <c r="V45" s="228"/>
      <c r="W45" s="228"/>
      <c r="X45" s="229"/>
      <c r="Y45" s="227"/>
      <c r="Z45" s="228"/>
      <c r="AA45" s="228"/>
      <c r="AB45" s="229"/>
      <c r="AC45" s="227"/>
      <c r="AD45" s="228"/>
      <c r="AE45" s="228"/>
      <c r="AF45" s="229"/>
      <c r="AG45" s="227"/>
      <c r="AH45" s="228"/>
      <c r="AI45" s="228"/>
      <c r="AJ45" s="228"/>
      <c r="AK45" s="229"/>
      <c r="AL45" s="227"/>
      <c r="AM45" s="228"/>
      <c r="AN45" s="228"/>
      <c r="AO45" s="229"/>
      <c r="AP45" s="227"/>
      <c r="AQ45" s="228"/>
      <c r="AR45" s="228"/>
      <c r="AS45" s="228"/>
      <c r="AT45" s="229"/>
      <c r="AU45" s="227"/>
      <c r="AV45" s="228"/>
      <c r="AW45" s="228"/>
      <c r="AX45" s="230"/>
      <c r="AY45" s="227"/>
      <c r="AZ45" s="228"/>
      <c r="BA45" s="228"/>
      <c r="BB45" s="228"/>
      <c r="BC45" s="320"/>
      <c r="BD45" s="168">
        <f t="shared" si="3"/>
        <v>800</v>
      </c>
    </row>
    <row r="46" ht="13.5" customHeight="1" spans="1:56" x14ac:dyDescent="0.25">
      <c r="A46" s="97" t="s">
        <v>89</v>
      </c>
      <c r="B46" s="226"/>
      <c r="C46" s="203"/>
      <c r="D46" s="204"/>
      <c r="E46" s="204"/>
      <c r="F46" s="204"/>
      <c r="G46" s="205"/>
      <c r="H46" s="227"/>
      <c r="I46" s="228"/>
      <c r="J46" s="228"/>
      <c r="K46" s="229"/>
      <c r="L46" s="227"/>
      <c r="M46" s="228"/>
      <c r="N46" s="228"/>
      <c r="O46" s="229"/>
      <c r="P46" s="227"/>
      <c r="Q46" s="228"/>
      <c r="R46" s="228"/>
      <c r="S46" s="229"/>
      <c r="T46" s="227"/>
      <c r="U46" s="228"/>
      <c r="V46" s="228"/>
      <c r="W46" s="228"/>
      <c r="X46" s="229"/>
      <c r="Y46" s="227"/>
      <c r="Z46" s="228"/>
      <c r="AA46" s="228"/>
      <c r="AB46" s="229"/>
      <c r="AC46" s="227"/>
      <c r="AD46" s="228"/>
      <c r="AE46" s="228"/>
      <c r="AF46" s="229"/>
      <c r="AG46" s="227"/>
      <c r="AH46" s="228"/>
      <c r="AI46" s="228"/>
      <c r="AJ46" s="228"/>
      <c r="AK46" s="229"/>
      <c r="AL46" s="227"/>
      <c r="AM46" s="228"/>
      <c r="AN46" s="228"/>
      <c r="AO46" s="229"/>
      <c r="AP46" s="227"/>
      <c r="AQ46" s="228"/>
      <c r="AR46" s="228"/>
      <c r="AS46" s="228"/>
      <c r="AT46" s="229"/>
      <c r="AU46" s="227"/>
      <c r="AV46" s="228"/>
      <c r="AW46" s="228"/>
      <c r="AX46" s="230"/>
      <c r="AY46" s="227"/>
      <c r="AZ46" s="228"/>
      <c r="BA46" s="228"/>
      <c r="BB46" s="228"/>
      <c r="BC46" s="320"/>
      <c r="BD46" s="168">
        <f t="shared" si="3"/>
        <v>0</v>
      </c>
    </row>
    <row r="47" ht="13.5" customHeight="1" spans="1:56" x14ac:dyDescent="0.25">
      <c r="A47" s="97" t="s">
        <v>90</v>
      </c>
      <c r="B47" s="226"/>
      <c r="C47" s="203"/>
      <c r="D47" s="204"/>
      <c r="E47" s="204"/>
      <c r="F47" s="204"/>
      <c r="G47" s="205"/>
      <c r="H47" s="227"/>
      <c r="I47" s="228"/>
      <c r="J47" s="228"/>
      <c r="K47" s="229"/>
      <c r="L47" s="227"/>
      <c r="M47" s="228"/>
      <c r="N47" s="228"/>
      <c r="O47" s="229"/>
      <c r="P47" s="227"/>
      <c r="Q47" s="228"/>
      <c r="R47" s="228"/>
      <c r="S47" s="229"/>
      <c r="T47" s="227"/>
      <c r="U47" s="228"/>
      <c r="V47" s="228"/>
      <c r="W47" s="228"/>
      <c r="X47" s="229"/>
      <c r="Y47" s="227"/>
      <c r="Z47" s="228"/>
      <c r="AA47" s="228"/>
      <c r="AB47" s="229"/>
      <c r="AC47" s="227"/>
      <c r="AD47" s="228"/>
      <c r="AE47" s="228"/>
      <c r="AF47" s="229"/>
      <c r="AG47" s="227"/>
      <c r="AH47" s="228"/>
      <c r="AI47" s="228"/>
      <c r="AJ47" s="228"/>
      <c r="AK47" s="229"/>
      <c r="AL47" s="227"/>
      <c r="AM47" s="228"/>
      <c r="AN47" s="228"/>
      <c r="AO47" s="229"/>
      <c r="AP47" s="227"/>
      <c r="AQ47" s="228"/>
      <c r="AR47" s="228"/>
      <c r="AS47" s="228"/>
      <c r="AT47" s="229"/>
      <c r="AU47" s="227"/>
      <c r="AV47" s="228"/>
      <c r="AW47" s="228"/>
      <c r="AX47" s="230"/>
      <c r="AY47" s="227"/>
      <c r="AZ47" s="228"/>
      <c r="BA47" s="228"/>
      <c r="BB47" s="228"/>
      <c r="BC47" s="228"/>
      <c r="BD47" s="168">
        <f t="shared" si="3"/>
        <v>0</v>
      </c>
    </row>
    <row r="48" ht="13.5" customHeight="1" spans="1:56" x14ac:dyDescent="0.25">
      <c r="A48" s="97" t="s">
        <v>91</v>
      </c>
      <c r="B48" s="226"/>
      <c r="C48" s="203"/>
      <c r="D48" s="204"/>
      <c r="E48" s="204"/>
      <c r="F48" s="204"/>
      <c r="G48" s="205"/>
      <c r="H48" s="227"/>
      <c r="I48" s="228"/>
      <c r="J48" s="228"/>
      <c r="K48" s="229"/>
      <c r="L48" s="227"/>
      <c r="M48" s="228"/>
      <c r="N48" s="228"/>
      <c r="O48" s="229"/>
      <c r="P48" s="227"/>
      <c r="Q48" s="228"/>
      <c r="R48" s="228"/>
      <c r="S48" s="229"/>
      <c r="T48" s="227"/>
      <c r="U48" s="228"/>
      <c r="V48" s="228"/>
      <c r="W48" s="228"/>
      <c r="X48" s="229"/>
      <c r="Y48" s="227"/>
      <c r="Z48" s="228"/>
      <c r="AA48" s="228"/>
      <c r="AB48" s="229"/>
      <c r="AC48" s="227"/>
      <c r="AD48" s="228"/>
      <c r="AE48" s="228"/>
      <c r="AF48" s="229"/>
      <c r="AG48" s="227"/>
      <c r="AH48" s="228"/>
      <c r="AI48" s="228"/>
      <c r="AJ48" s="228"/>
      <c r="AK48" s="229"/>
      <c r="AL48" s="227"/>
      <c r="AM48" s="228"/>
      <c r="AN48" s="228"/>
      <c r="AO48" s="229"/>
      <c r="AP48" s="227"/>
      <c r="AQ48" s="228"/>
      <c r="AR48" s="228"/>
      <c r="AS48" s="228"/>
      <c r="AT48" s="229"/>
      <c r="AU48" s="227"/>
      <c r="AV48" s="228"/>
      <c r="AW48" s="228"/>
      <c r="AX48" s="230"/>
      <c r="AY48" s="227"/>
      <c r="AZ48" s="228"/>
      <c r="BA48" s="228"/>
      <c r="BB48" s="228"/>
      <c r="BC48" s="228"/>
      <c r="BD48" s="168">
        <f t="shared" si="3"/>
        <v>0</v>
      </c>
    </row>
    <row r="49" ht="13.5" customHeight="1" spans="1:56" x14ac:dyDescent="0.25">
      <c r="A49" s="97" t="s">
        <v>92</v>
      </c>
      <c r="B49" s="226"/>
      <c r="C49" s="203"/>
      <c r="D49" s="204"/>
      <c r="E49" s="204"/>
      <c r="F49" s="204"/>
      <c r="G49" s="205"/>
      <c r="H49" s="227"/>
      <c r="I49" s="228"/>
      <c r="J49" s="228"/>
      <c r="K49" s="229"/>
      <c r="L49" s="227"/>
      <c r="M49" s="228"/>
      <c r="N49" s="228"/>
      <c r="O49" s="229"/>
      <c r="P49" s="227"/>
      <c r="Q49" s="228"/>
      <c r="R49" s="228"/>
      <c r="S49" s="229"/>
      <c r="T49" s="227"/>
      <c r="U49" s="228"/>
      <c r="V49" s="228"/>
      <c r="W49" s="228"/>
      <c r="X49" s="229"/>
      <c r="Y49" s="227"/>
      <c r="Z49" s="228"/>
      <c r="AA49" s="228"/>
      <c r="AB49" s="229"/>
      <c r="AC49" s="227"/>
      <c r="AD49" s="228"/>
      <c r="AE49" s="228"/>
      <c r="AF49" s="229"/>
      <c r="AG49" s="227"/>
      <c r="AH49" s="228"/>
      <c r="AI49" s="228"/>
      <c r="AJ49" s="228"/>
      <c r="AK49" s="229"/>
      <c r="AL49" s="227"/>
      <c r="AM49" s="228"/>
      <c r="AN49" s="228"/>
      <c r="AO49" s="229"/>
      <c r="AP49" s="227"/>
      <c r="AQ49" s="228"/>
      <c r="AR49" s="228"/>
      <c r="AS49" s="228"/>
      <c r="AT49" s="229"/>
      <c r="AU49" s="227"/>
      <c r="AV49" s="228"/>
      <c r="AW49" s="228"/>
      <c r="AX49" s="230"/>
      <c r="AY49" s="227"/>
      <c r="AZ49" s="228"/>
      <c r="BA49" s="228"/>
      <c r="BB49" s="228"/>
      <c r="BC49" s="228"/>
      <c r="BD49" s="168">
        <f t="shared" si="3"/>
        <v>0</v>
      </c>
    </row>
    <row r="50" ht="13.5" customHeight="1" spans="1:56" x14ac:dyDescent="0.25">
      <c r="A50" s="97" t="s">
        <v>93</v>
      </c>
      <c r="B50" s="226"/>
      <c r="C50" s="203"/>
      <c r="D50" s="204"/>
      <c r="E50" s="204"/>
      <c r="F50" s="204"/>
      <c r="G50" s="205"/>
      <c r="H50" s="227"/>
      <c r="I50" s="228"/>
      <c r="J50" s="228"/>
      <c r="K50" s="229"/>
      <c r="L50" s="227"/>
      <c r="M50" s="228"/>
      <c r="N50" s="228"/>
      <c r="O50" s="229"/>
      <c r="P50" s="227"/>
      <c r="Q50" s="228"/>
      <c r="R50" s="228"/>
      <c r="S50" s="229"/>
      <c r="T50" s="227"/>
      <c r="U50" s="228"/>
      <c r="V50" s="228"/>
      <c r="W50" s="228"/>
      <c r="X50" s="229"/>
      <c r="Y50" s="227"/>
      <c r="Z50" s="228"/>
      <c r="AA50" s="228"/>
      <c r="AB50" s="229"/>
      <c r="AC50" s="227"/>
      <c r="AD50" s="228"/>
      <c r="AE50" s="228"/>
      <c r="AF50" s="229"/>
      <c r="AG50" s="227"/>
      <c r="AH50" s="228"/>
      <c r="AI50" s="228"/>
      <c r="AJ50" s="228"/>
      <c r="AK50" s="229"/>
      <c r="AL50" s="227"/>
      <c r="AM50" s="228"/>
      <c r="AN50" s="228"/>
      <c r="AO50" s="229"/>
      <c r="AP50" s="227"/>
      <c r="AQ50" s="228"/>
      <c r="AR50" s="228"/>
      <c r="AS50" s="228"/>
      <c r="AT50" s="229"/>
      <c r="AU50" s="227"/>
      <c r="AV50" s="228"/>
      <c r="AW50" s="228"/>
      <c r="AX50" s="230"/>
      <c r="AY50" s="227"/>
      <c r="AZ50" s="228"/>
      <c r="BA50" s="228"/>
      <c r="BB50" s="228"/>
      <c r="BC50" s="228"/>
      <c r="BD50" s="168">
        <f t="shared" si="3"/>
        <v>0</v>
      </c>
    </row>
    <row r="51" ht="13.5" customHeight="1" spans="1:56" x14ac:dyDescent="0.25">
      <c r="A51" s="97" t="s">
        <v>94</v>
      </c>
      <c r="B51" s="226"/>
      <c r="C51" s="203"/>
      <c r="D51" s="204"/>
      <c r="E51" s="204"/>
      <c r="F51" s="204"/>
      <c r="G51" s="205"/>
      <c r="H51" s="227"/>
      <c r="I51" s="228"/>
      <c r="J51" s="228"/>
      <c r="K51" s="229"/>
      <c r="L51" s="227"/>
      <c r="M51" s="228"/>
      <c r="N51" s="228"/>
      <c r="O51" s="229"/>
      <c r="P51" s="227"/>
      <c r="Q51" s="228"/>
      <c r="R51" s="228"/>
      <c r="S51" s="229"/>
      <c r="T51" s="227"/>
      <c r="U51" s="228"/>
      <c r="V51" s="228"/>
      <c r="W51" s="228"/>
      <c r="X51" s="229"/>
      <c r="Y51" s="227"/>
      <c r="Z51" s="228"/>
      <c r="AA51" s="228"/>
      <c r="AB51" s="229"/>
      <c r="AC51" s="227"/>
      <c r="AD51" s="228"/>
      <c r="AE51" s="228"/>
      <c r="AF51" s="229"/>
      <c r="AG51" s="227"/>
      <c r="AH51" s="228"/>
      <c r="AI51" s="228"/>
      <c r="AJ51" s="228"/>
      <c r="AK51" s="229"/>
      <c r="AL51" s="227"/>
      <c r="AM51" s="228"/>
      <c r="AN51" s="228"/>
      <c r="AO51" s="229"/>
      <c r="AP51" s="227"/>
      <c r="AQ51" s="228"/>
      <c r="AR51" s="228"/>
      <c r="AS51" s="228"/>
      <c r="AT51" s="229"/>
      <c r="AU51" s="227"/>
      <c r="AV51" s="228"/>
      <c r="AW51" s="228"/>
      <c r="AX51" s="230"/>
      <c r="AY51" s="227"/>
      <c r="AZ51" s="228"/>
      <c r="BA51" s="228"/>
      <c r="BB51" s="228"/>
      <c r="BC51" s="228"/>
      <c r="BD51" s="168">
        <f t="shared" si="3"/>
        <v>0</v>
      </c>
    </row>
    <row r="52" ht="13.5" customHeight="1" spans="1:56" x14ac:dyDescent="0.25">
      <c r="A52" s="236"/>
      <c r="B52" s="237"/>
      <c r="C52" s="159"/>
      <c r="D52" s="157"/>
      <c r="E52" s="157"/>
      <c r="F52" s="157"/>
      <c r="G52" s="158"/>
      <c r="H52" s="159"/>
      <c r="I52" s="157"/>
      <c r="J52" s="157"/>
      <c r="K52" s="158"/>
      <c r="L52" s="159"/>
      <c r="M52" s="157"/>
      <c r="N52" s="157"/>
      <c r="O52" s="158"/>
      <c r="P52" s="159"/>
      <c r="Q52" s="157"/>
      <c r="R52" s="157"/>
      <c r="S52" s="158"/>
      <c r="T52" s="159"/>
      <c r="U52" s="157"/>
      <c r="V52" s="157"/>
      <c r="W52" s="157"/>
      <c r="X52" s="158"/>
      <c r="Y52" s="159"/>
      <c r="Z52" s="157"/>
      <c r="AA52" s="157"/>
      <c r="AB52" s="158"/>
      <c r="AC52" s="159"/>
      <c r="AD52" s="157"/>
      <c r="AE52" s="157"/>
      <c r="AF52" s="158"/>
      <c r="AG52" s="159"/>
      <c r="AH52" s="157"/>
      <c r="AI52" s="157"/>
      <c r="AJ52" s="157"/>
      <c r="AK52" s="158"/>
      <c r="AL52" s="159"/>
      <c r="AM52" s="157"/>
      <c r="AN52" s="157"/>
      <c r="AO52" s="158"/>
      <c r="AP52" s="159"/>
      <c r="AQ52" s="157"/>
      <c r="AR52" s="157"/>
      <c r="AS52" s="157"/>
      <c r="AT52" s="158"/>
      <c r="AU52" s="159"/>
      <c r="AV52" s="157"/>
      <c r="AW52" s="157"/>
      <c r="AX52" s="155"/>
      <c r="AY52" s="159"/>
      <c r="AZ52" s="157"/>
      <c r="BA52" s="157"/>
      <c r="BB52" s="157"/>
      <c r="BC52" s="157"/>
      <c r="BD52" s="168">
        <f t="shared" si="3"/>
        <v>0</v>
      </c>
    </row>
    <row r="53" ht="15" customHeight="1" spans="1:56" x14ac:dyDescent="0.25">
      <c r="A53" s="244" t="s">
        <v>95</v>
      </c>
      <c r="B53" s="245"/>
      <c r="C53" s="253">
        <f>C36+C31-C38</f>
        <v>781</v>
      </c>
      <c r="D53" s="253">
        <f>D36+D31-D38</f>
        <v>14421</v>
      </c>
      <c r="E53" s="253">
        <f t="shared" ref="E53:BA53" si="72">E36+E31-E38</f>
        <v>12195</v>
      </c>
      <c r="F53" s="253">
        <f t="shared" si="72"/>
        <v>16178</v>
      </c>
      <c r="G53" s="253">
        <f t="shared" si="72"/>
        <v>11101</v>
      </c>
      <c r="H53" s="253">
        <f t="shared" si="72"/>
        <v>5896</v>
      </c>
      <c r="I53" s="253">
        <f t="shared" si="72"/>
        <v>7101</v>
      </c>
      <c r="J53" s="253">
        <f t="shared" si="72"/>
        <v>9338</v>
      </c>
      <c r="K53" s="253">
        <f t="shared" si="72"/>
        <v>8136</v>
      </c>
      <c r="L53" s="253">
        <f t="shared" si="72"/>
        <v>9490</v>
      </c>
      <c r="M53" s="253">
        <f t="shared" si="72"/>
        <v>5313</v>
      </c>
      <c r="N53" s="253">
        <f t="shared" si="72"/>
        <v>6609</v>
      </c>
      <c r="O53" s="253">
        <f t="shared" si="72"/>
        <v>7928</v>
      </c>
      <c r="P53" s="253">
        <f t="shared" si="72"/>
        <v>5756</v>
      </c>
      <c r="Q53" s="253">
        <f t="shared" si="72"/>
        <v>3307</v>
      </c>
      <c r="R53" s="253">
        <f t="shared" si="72"/>
        <v>1479</v>
      </c>
      <c r="S53" s="253">
        <f t="shared" si="72"/>
        <v>0</v>
      </c>
      <c r="T53" s="253">
        <f t="shared" si="72"/>
        <v>0</v>
      </c>
      <c r="U53" s="253">
        <f t="shared" si="72"/>
        <v>0</v>
      </c>
      <c r="V53" s="253">
        <f t="shared" si="72"/>
        <v>0</v>
      </c>
      <c r="W53" s="253">
        <f t="shared" si="72"/>
        <v>0</v>
      </c>
      <c r="X53" s="253">
        <f t="shared" si="72"/>
        <v>0</v>
      </c>
      <c r="Y53" s="253">
        <f t="shared" si="72"/>
        <v>0</v>
      </c>
      <c r="Z53" s="253">
        <f t="shared" si="72"/>
        <v>0</v>
      </c>
      <c r="AA53" s="253">
        <f t="shared" si="72"/>
        <v>0</v>
      </c>
      <c r="AB53" s="253">
        <f t="shared" si="72"/>
        <v>0</v>
      </c>
      <c r="AC53" s="253">
        <f t="shared" si="72"/>
        <v>0</v>
      </c>
      <c r="AD53" s="253">
        <f t="shared" si="72"/>
        <v>0</v>
      </c>
      <c r="AE53" s="253">
        <f t="shared" si="72"/>
        <v>0</v>
      </c>
      <c r="AF53" s="253">
        <f t="shared" si="72"/>
        <v>0</v>
      </c>
      <c r="AG53" s="253">
        <f t="shared" si="72"/>
        <v>0</v>
      </c>
      <c r="AH53" s="253">
        <f t="shared" si="72"/>
        <v>0</v>
      </c>
      <c r="AI53" s="253">
        <f t="shared" si="72"/>
        <v>0</v>
      </c>
      <c r="AJ53" s="253">
        <f t="shared" si="72"/>
        <v>0</v>
      </c>
      <c r="AK53" s="253">
        <f t="shared" si="72"/>
        <v>0</v>
      </c>
      <c r="AL53" s="253">
        <f t="shared" si="72"/>
        <v>0</v>
      </c>
      <c r="AM53" s="253">
        <f t="shared" si="72"/>
        <v>0</v>
      </c>
      <c r="AN53" s="253">
        <f t="shared" si="72"/>
        <v>0</v>
      </c>
      <c r="AO53" s="253">
        <f t="shared" si="72"/>
        <v>0</v>
      </c>
      <c r="AP53" s="253">
        <f t="shared" si="72"/>
        <v>0</v>
      </c>
      <c r="AQ53" s="253">
        <f t="shared" si="72"/>
        <v>0</v>
      </c>
      <c r="AR53" s="253">
        <f t="shared" si="72"/>
        <v>0</v>
      </c>
      <c r="AS53" s="253">
        <f t="shared" si="72"/>
        <v>0</v>
      </c>
      <c r="AT53" s="253">
        <f t="shared" si="72"/>
        <v>0</v>
      </c>
      <c r="AU53" s="253">
        <f t="shared" si="72"/>
        <v>0</v>
      </c>
      <c r="AV53" s="253">
        <f t="shared" si="72"/>
        <v>0</v>
      </c>
      <c r="AW53" s="253">
        <f t="shared" si="72"/>
        <v>0</v>
      </c>
      <c r="AX53" s="253">
        <f>AX36+AX31-AX38</f>
        <v>0</v>
      </c>
      <c r="AY53" s="253">
        <f t="shared" si="72"/>
        <v>0</v>
      </c>
      <c r="AZ53" s="253">
        <f t="shared" si="72"/>
        <v>0</v>
      </c>
      <c r="BA53" s="253">
        <f t="shared" si="72"/>
        <v>0</v>
      </c>
      <c r="BB53" s="253">
        <f t="shared" ref="BB53:BC53" si="73">BB36+BB31-BB38</f>
        <v>0</v>
      </c>
      <c r="BC53" s="253">
        <f t="shared" si="73"/>
        <v>0</v>
      </c>
      <c r="BD53" s="168">
        <f t="shared" si="3"/>
        <v>125029</v>
      </c>
    </row>
    <row r="54" ht="13.5" customHeight="1" spans="1:56" x14ac:dyDescent="0.25">
      <c r="A54" s="236"/>
      <c r="B54" s="160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68">
        <f t="shared" si="3"/>
        <v>0</v>
      </c>
    </row>
    <row r="55" ht="13.5" customHeight="1" spans="1:56" x14ac:dyDescent="0.25">
      <c r="A55" s="97" t="s">
        <v>96</v>
      </c>
      <c r="B55" s="242" t="s">
        <v>135</v>
      </c>
      <c r="C55" s="233">
        <f>C14*7%</f>
        <v>1648.92</v>
      </c>
      <c r="D55" s="233">
        <f t="shared" ref="D55:BC55" si="74">D14*7%</f>
        <v>6451.830000000001</v>
      </c>
      <c r="E55" s="233">
        <f t="shared" si="74"/>
        <v>6403.320000000001</v>
      </c>
      <c r="F55" s="233">
        <f t="shared" si="74"/>
        <v>6860.420000000001</v>
      </c>
      <c r="G55" s="233">
        <f t="shared" si="74"/>
        <v>6548.080000000001</v>
      </c>
      <c r="H55" s="233">
        <f t="shared" si="74"/>
        <v>4554.55</v>
      </c>
      <c r="I55" s="233">
        <f t="shared" si="74"/>
        <v>4496.8</v>
      </c>
      <c r="J55" s="233">
        <f t="shared" si="74"/>
        <v>5637.7300000000005</v>
      </c>
      <c r="K55" s="233">
        <f t="shared" si="74"/>
        <v>3328.4300000000003</v>
      </c>
      <c r="L55" s="233">
        <f t="shared" si="74"/>
        <v>3797.0800000000004</v>
      </c>
      <c r="M55" s="233">
        <f t="shared" si="74"/>
        <v>3250.1000000000004</v>
      </c>
      <c r="N55" s="233">
        <f t="shared" si="74"/>
        <v>2444.82</v>
      </c>
      <c r="O55" s="233">
        <f t="shared" si="74"/>
        <v>2047.4300000000003</v>
      </c>
      <c r="P55" s="233">
        <f t="shared" si="74"/>
        <v>1514.3100000000002</v>
      </c>
      <c r="Q55" s="233">
        <f t="shared" si="74"/>
        <v>1757.63</v>
      </c>
      <c r="R55" s="233">
        <f t="shared" si="74"/>
        <v>1931.7900000000002</v>
      </c>
      <c r="S55" s="233">
        <f t="shared" si="74"/>
        <v>0</v>
      </c>
      <c r="T55" s="233">
        <f t="shared" si="74"/>
        <v>0</v>
      </c>
      <c r="U55" s="233">
        <f t="shared" si="74"/>
        <v>0</v>
      </c>
      <c r="V55" s="233">
        <f t="shared" si="74"/>
        <v>0</v>
      </c>
      <c r="W55" s="233">
        <f t="shared" si="74"/>
        <v>0</v>
      </c>
      <c r="X55" s="233">
        <f t="shared" si="74"/>
        <v>0</v>
      </c>
      <c r="Y55" s="233">
        <f t="shared" si="74"/>
        <v>0</v>
      </c>
      <c r="Z55" s="233">
        <f t="shared" si="74"/>
        <v>0</v>
      </c>
      <c r="AA55" s="233">
        <f t="shared" si="74"/>
        <v>0</v>
      </c>
      <c r="AB55" s="233">
        <f t="shared" si="74"/>
        <v>0</v>
      </c>
      <c r="AC55" s="233">
        <f t="shared" si="74"/>
        <v>0</v>
      </c>
      <c r="AD55" s="233">
        <f t="shared" si="74"/>
        <v>0</v>
      </c>
      <c r="AE55" s="233">
        <f t="shared" si="74"/>
        <v>0</v>
      </c>
      <c r="AF55" s="233">
        <f t="shared" si="74"/>
        <v>0</v>
      </c>
      <c r="AG55" s="233">
        <f t="shared" si="74"/>
        <v>0</v>
      </c>
      <c r="AH55" s="233">
        <f t="shared" si="74"/>
        <v>0</v>
      </c>
      <c r="AI55" s="233">
        <f t="shared" si="74"/>
        <v>0</v>
      </c>
      <c r="AJ55" s="233">
        <f t="shared" si="74"/>
        <v>0</v>
      </c>
      <c r="AK55" s="233">
        <f t="shared" si="74"/>
        <v>0</v>
      </c>
      <c r="AL55" s="233">
        <f t="shared" si="74"/>
        <v>0</v>
      </c>
      <c r="AM55" s="233">
        <f t="shared" si="74"/>
        <v>0</v>
      </c>
      <c r="AN55" s="233">
        <f t="shared" si="74"/>
        <v>0</v>
      </c>
      <c r="AO55" s="233">
        <f t="shared" si="74"/>
        <v>0</v>
      </c>
      <c r="AP55" s="233">
        <f t="shared" si="74"/>
        <v>0</v>
      </c>
      <c r="AQ55" s="233">
        <f t="shared" si="74"/>
        <v>0</v>
      </c>
      <c r="AR55" s="233">
        <f t="shared" si="74"/>
        <v>0</v>
      </c>
      <c r="AS55" s="233">
        <f t="shared" si="74"/>
        <v>0</v>
      </c>
      <c r="AT55" s="233">
        <f t="shared" si="74"/>
        <v>0</v>
      </c>
      <c r="AU55" s="233">
        <f t="shared" si="74"/>
        <v>0</v>
      </c>
      <c r="AV55" s="233">
        <f t="shared" si="74"/>
        <v>0</v>
      </c>
      <c r="AW55" s="233">
        <f t="shared" si="74"/>
        <v>0</v>
      </c>
      <c r="AX55" s="233">
        <f t="shared" si="74"/>
        <v>0</v>
      </c>
      <c r="AY55" s="233">
        <f t="shared" si="74"/>
        <v>0</v>
      </c>
      <c r="AZ55" s="233">
        <f t="shared" si="74"/>
        <v>0</v>
      </c>
      <c r="BA55" s="233">
        <f t="shared" si="74"/>
        <v>0</v>
      </c>
      <c r="BB55" s="233">
        <f t="shared" si="74"/>
        <v>0</v>
      </c>
      <c r="BC55" s="233">
        <f t="shared" si="74"/>
        <v>0</v>
      </c>
      <c r="BD55" s="168">
        <f t="shared" si="3"/>
        <v>62673.240000000005</v>
      </c>
    </row>
    <row r="56" ht="13.5" customHeight="1" spans="1:56" x14ac:dyDescent="0.25">
      <c r="A56" s="236"/>
      <c r="B56" s="237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168">
        <f t="shared" si="3"/>
        <v>0</v>
      </c>
    </row>
    <row r="57" ht="15" customHeight="1" spans="1:56" x14ac:dyDescent="0.25">
      <c r="A57" s="321" t="s">
        <v>6</v>
      </c>
      <c r="B57" s="322"/>
      <c r="C57" s="323">
        <f>C53-C55</f>
        <v>-867.9200000000001</v>
      </c>
      <c r="D57" s="323">
        <f t="shared" ref="D57:BC57" si="75">D53-D55</f>
        <v>7969.169999999999</v>
      </c>
      <c r="E57" s="323">
        <f t="shared" si="75"/>
        <v>5791.679999999999</v>
      </c>
      <c r="F57" s="323">
        <f t="shared" si="75"/>
        <v>9317.579999999998</v>
      </c>
      <c r="G57" s="323">
        <f t="shared" si="75"/>
        <v>4552.919999999999</v>
      </c>
      <c r="H57" s="323">
        <f t="shared" si="75"/>
        <v>1341.4499999999998</v>
      </c>
      <c r="I57" s="323">
        <f t="shared" si="75"/>
        <v>2604.2</v>
      </c>
      <c r="J57" s="323">
        <f t="shared" si="75"/>
        <v>3700.2699999999995</v>
      </c>
      <c r="K57" s="323">
        <f t="shared" si="75"/>
        <v>4807.57</v>
      </c>
      <c r="L57" s="323">
        <f t="shared" si="75"/>
        <v>5692.92</v>
      </c>
      <c r="M57" s="323">
        <f t="shared" si="75"/>
        <v>2062.8999999999996</v>
      </c>
      <c r="N57" s="323">
        <f t="shared" si="75"/>
        <v>4164.18</v>
      </c>
      <c r="O57" s="323">
        <f t="shared" si="75"/>
        <v>5880.57</v>
      </c>
      <c r="P57" s="323">
        <f t="shared" si="75"/>
        <v>4241.69</v>
      </c>
      <c r="Q57" s="323">
        <f t="shared" si="75"/>
        <v>1549.37</v>
      </c>
      <c r="R57" s="323">
        <f t="shared" si="75"/>
        <v>-452.7900000000002</v>
      </c>
      <c r="S57" s="323">
        <f t="shared" si="75"/>
        <v>0</v>
      </c>
      <c r="T57" s="323">
        <f t="shared" si="75"/>
        <v>0</v>
      </c>
      <c r="U57" s="323">
        <f t="shared" si="75"/>
        <v>0</v>
      </c>
      <c r="V57" s="323">
        <f t="shared" si="75"/>
        <v>0</v>
      </c>
      <c r="W57" s="323">
        <f t="shared" si="75"/>
        <v>0</v>
      </c>
      <c r="X57" s="323">
        <f t="shared" si="75"/>
        <v>0</v>
      </c>
      <c r="Y57" s="323">
        <f t="shared" si="75"/>
        <v>0</v>
      </c>
      <c r="Z57" s="323">
        <f t="shared" si="75"/>
        <v>0</v>
      </c>
      <c r="AA57" s="323">
        <f t="shared" si="75"/>
        <v>0</v>
      </c>
      <c r="AB57" s="323">
        <f t="shared" si="75"/>
        <v>0</v>
      </c>
      <c r="AC57" s="323">
        <f t="shared" si="75"/>
        <v>0</v>
      </c>
      <c r="AD57" s="323">
        <f t="shared" si="75"/>
        <v>0</v>
      </c>
      <c r="AE57" s="323">
        <f t="shared" si="75"/>
        <v>0</v>
      </c>
      <c r="AF57" s="323">
        <f t="shared" si="75"/>
        <v>0</v>
      </c>
      <c r="AG57" s="323">
        <f t="shared" si="75"/>
        <v>0</v>
      </c>
      <c r="AH57" s="323">
        <f t="shared" si="75"/>
        <v>0</v>
      </c>
      <c r="AI57" s="323">
        <f t="shared" si="75"/>
        <v>0</v>
      </c>
      <c r="AJ57" s="323">
        <f t="shared" si="75"/>
        <v>0</v>
      </c>
      <c r="AK57" s="323">
        <f t="shared" si="75"/>
        <v>0</v>
      </c>
      <c r="AL57" s="323">
        <f t="shared" si="75"/>
        <v>0</v>
      </c>
      <c r="AM57" s="323">
        <f t="shared" si="75"/>
        <v>0</v>
      </c>
      <c r="AN57" s="323">
        <f t="shared" si="75"/>
        <v>0</v>
      </c>
      <c r="AO57" s="323">
        <f t="shared" si="75"/>
        <v>0</v>
      </c>
      <c r="AP57" s="323">
        <f t="shared" si="75"/>
        <v>0</v>
      </c>
      <c r="AQ57" s="323">
        <f t="shared" si="75"/>
        <v>0</v>
      </c>
      <c r="AR57" s="323">
        <f t="shared" si="75"/>
        <v>0</v>
      </c>
      <c r="AS57" s="323">
        <f t="shared" si="75"/>
        <v>0</v>
      </c>
      <c r="AT57" s="323">
        <f t="shared" si="75"/>
        <v>0</v>
      </c>
      <c r="AU57" s="323">
        <f t="shared" si="75"/>
        <v>0</v>
      </c>
      <c r="AV57" s="323">
        <f t="shared" si="75"/>
        <v>0</v>
      </c>
      <c r="AW57" s="323">
        <f t="shared" si="75"/>
        <v>0</v>
      </c>
      <c r="AX57" s="323">
        <f t="shared" si="75"/>
        <v>0</v>
      </c>
      <c r="AY57" s="323">
        <f>AY53-AY55</f>
        <v>0</v>
      </c>
      <c r="AZ57" s="323">
        <f t="shared" si="75"/>
        <v>0</v>
      </c>
      <c r="BA57" s="323">
        <f t="shared" si="75"/>
        <v>0</v>
      </c>
      <c r="BB57" s="323">
        <f t="shared" si="75"/>
        <v>0</v>
      </c>
      <c r="BC57" s="323">
        <f t="shared" si="75"/>
        <v>0</v>
      </c>
      <c r="BD57" s="168">
        <f t="shared" si="3"/>
        <v>62355.759999999995</v>
      </c>
    </row>
    <row r="58" ht="13.5" customHeight="1" spans="1:56" x14ac:dyDescent="0.25">
      <c r="A58" s="247" t="s">
        <v>98</v>
      </c>
      <c r="B58" s="248"/>
      <c r="C58" s="249">
        <f>C57/C33</f>
        <v>-0.21687156421789108</v>
      </c>
      <c r="D58" s="249">
        <f t="shared" ref="D58:BA58" si="76">D57/D33</f>
        <v>0.49605788982259563</v>
      </c>
      <c r="E58" s="249">
        <f t="shared" si="76"/>
        <v>0.33867493129056775</v>
      </c>
      <c r="F58" s="249">
        <f t="shared" si="76"/>
        <v>0.5378733475725912</v>
      </c>
      <c r="G58" s="249">
        <f t="shared" si="76"/>
        <v>0.2652289409297448</v>
      </c>
      <c r="H58" s="249">
        <f t="shared" si="76"/>
        <v>0.11213324416952268</v>
      </c>
      <c r="I58" s="249">
        <f t="shared" si="76"/>
        <v>0.22210660980810232</v>
      </c>
      <c r="J58" s="249">
        <f t="shared" si="76"/>
        <v>0.21717748562037795</v>
      </c>
      <c r="K58" s="249">
        <f t="shared" si="76"/>
        <v>0.5237004357298475</v>
      </c>
      <c r="L58" s="249">
        <f t="shared" si="76"/>
        <v>0.5669674335225575</v>
      </c>
      <c r="M58" s="249">
        <f t="shared" si="76"/>
        <v>0.2228235039965435</v>
      </c>
      <c r="N58" s="249">
        <f t="shared" si="76"/>
        <v>0.58609148486981</v>
      </c>
      <c r="O58" s="249">
        <f t="shared" si="76"/>
        <v>1.0536767604371975</v>
      </c>
      <c r="P58" s="249">
        <f t="shared" si="76"/>
        <v>0.9457502787068004</v>
      </c>
      <c r="Q58" s="249">
        <f t="shared" si="76"/>
        <v>0.25254604726976365</v>
      </c>
      <c r="R58" s="249">
        <f t="shared" si="76"/>
        <v>-0.06191576644332014</v>
      </c>
      <c r="S58" s="249" t="e">
        <f t="shared" si="76"/>
        <v>#DIV/0!</v>
      </c>
      <c r="T58" s="249" t="e">
        <f t="shared" si="76"/>
        <v>#DIV/0!</v>
      </c>
      <c r="U58" s="249" t="e">
        <f>U57/U33</f>
        <v>#DIV/0!</v>
      </c>
      <c r="V58" s="249" t="e">
        <f t="shared" si="76"/>
        <v>#DIV/0!</v>
      </c>
      <c r="W58" s="249" t="e">
        <f t="shared" si="76"/>
        <v>#DIV/0!</v>
      </c>
      <c r="X58" s="249" t="e">
        <f t="shared" si="76"/>
        <v>#DIV/0!</v>
      </c>
      <c r="Y58" s="249" t="e">
        <f t="shared" si="76"/>
        <v>#DIV/0!</v>
      </c>
      <c r="Z58" s="249" t="e">
        <f t="shared" si="76"/>
        <v>#DIV/0!</v>
      </c>
      <c r="AA58" s="249" t="e">
        <f t="shared" si="76"/>
        <v>#DIV/0!</v>
      </c>
      <c r="AB58" s="249" t="e">
        <f t="shared" si="76"/>
        <v>#DIV/0!</v>
      </c>
      <c r="AC58" s="249" t="e">
        <f t="shared" si="76"/>
        <v>#DIV/0!</v>
      </c>
      <c r="AD58" s="249" t="e">
        <f t="shared" si="76"/>
        <v>#DIV/0!</v>
      </c>
      <c r="AE58" s="249" t="e">
        <f t="shared" si="76"/>
        <v>#DIV/0!</v>
      </c>
      <c r="AF58" s="249" t="e">
        <f t="shared" si="76"/>
        <v>#DIV/0!</v>
      </c>
      <c r="AG58" s="249" t="e">
        <f t="shared" si="76"/>
        <v>#DIV/0!</v>
      </c>
      <c r="AH58" s="249" t="e">
        <f t="shared" si="76"/>
        <v>#DIV/0!</v>
      </c>
      <c r="AI58" s="249" t="e">
        <f t="shared" si="76"/>
        <v>#DIV/0!</v>
      </c>
      <c r="AJ58" s="249" t="e">
        <f t="shared" si="76"/>
        <v>#DIV/0!</v>
      </c>
      <c r="AK58" s="249" t="e">
        <f t="shared" si="76"/>
        <v>#DIV/0!</v>
      </c>
      <c r="AL58" s="249" t="e">
        <f t="shared" si="76"/>
        <v>#DIV/0!</v>
      </c>
      <c r="AM58" s="249" t="e">
        <f t="shared" si="76"/>
        <v>#DIV/0!</v>
      </c>
      <c r="AN58" s="249" t="e">
        <f t="shared" si="76"/>
        <v>#DIV/0!</v>
      </c>
      <c r="AO58" s="249" t="e">
        <f t="shared" si="76"/>
        <v>#DIV/0!</v>
      </c>
      <c r="AP58" s="249" t="e">
        <f t="shared" si="76"/>
        <v>#DIV/0!</v>
      </c>
      <c r="AQ58" s="249" t="e">
        <f t="shared" si="76"/>
        <v>#DIV/0!</v>
      </c>
      <c r="AR58" s="249" t="e">
        <f t="shared" si="76"/>
        <v>#DIV/0!</v>
      </c>
      <c r="AS58" s="249" t="e">
        <f t="shared" si="76"/>
        <v>#DIV/0!</v>
      </c>
      <c r="AT58" s="249" t="e">
        <f t="shared" si="76"/>
        <v>#DIV/0!</v>
      </c>
      <c r="AU58" s="249" t="e">
        <f t="shared" si="76"/>
        <v>#DIV/0!</v>
      </c>
      <c r="AV58" s="249" t="e">
        <f t="shared" si="76"/>
        <v>#DIV/0!</v>
      </c>
      <c r="AW58" s="249" t="e">
        <f t="shared" si="76"/>
        <v>#DIV/0!</v>
      </c>
      <c r="AX58" s="249" t="e">
        <f t="shared" si="76"/>
        <v>#DIV/0!</v>
      </c>
      <c r="AY58" s="249" t="e">
        <f t="shared" si="76"/>
        <v>#DIV/0!</v>
      </c>
      <c r="AZ58" s="249" t="e">
        <f t="shared" si="76"/>
        <v>#DIV/0!</v>
      </c>
      <c r="BA58" s="249" t="e">
        <f t="shared" si="76"/>
        <v>#DIV/0!</v>
      </c>
      <c r="BB58" s="249" t="e">
        <f t="shared" ref="BB58:BC58" si="77">BB57/BB33</f>
        <v>#DIV/0!</v>
      </c>
      <c r="BC58" s="249" t="e">
        <f t="shared" si="77"/>
        <v>#DIV/0!</v>
      </c>
      <c r="BD58" s="324">
        <f t="shared" ref="BD58" si="78">BD57/BD33</f>
        <v>0.363630722937235</v>
      </c>
    </row>
    <row r="59" ht="13.5" customHeight="1" spans="1:56" x14ac:dyDescent="0.25">
      <c r="A59" s="122" t="s">
        <v>8</v>
      </c>
      <c r="B59" s="250"/>
      <c r="C59" s="250">
        <f>C57/C14</f>
        <v>-0.036844965189336054</v>
      </c>
      <c r="D59" s="250">
        <f t="shared" ref="D59:BA59" si="79">D57/D14</f>
        <v>0.08646258503401359</v>
      </c>
      <c r="E59" s="250">
        <f t="shared" si="79"/>
        <v>0.06331365604092876</v>
      </c>
      <c r="F59" s="250">
        <f t="shared" si="79"/>
        <v>0.09507152623308775</v>
      </c>
      <c r="G59" s="250">
        <f t="shared" si="79"/>
        <v>0.04867142734969639</v>
      </c>
      <c r="H59" s="250">
        <f t="shared" si="79"/>
        <v>0.020617075232459845</v>
      </c>
      <c r="I59" s="250">
        <f t="shared" si="79"/>
        <v>0.04053860523038605</v>
      </c>
      <c r="J59" s="250">
        <f t="shared" si="79"/>
        <v>0.045943828455779184</v>
      </c>
      <c r="K59" s="250">
        <f t="shared" si="79"/>
        <v>0.10110769942585543</v>
      </c>
      <c r="L59" s="250">
        <f t="shared" si="79"/>
        <v>0.10495022490966743</v>
      </c>
      <c r="M59" s="250">
        <f>M57/M14</f>
        <v>0.04443032522076243</v>
      </c>
      <c r="N59" s="250">
        <f t="shared" si="79"/>
        <v>0.11922865487029721</v>
      </c>
      <c r="O59" s="250">
        <f t="shared" si="79"/>
        <v>0.20105200177783855</v>
      </c>
      <c r="P59" s="250">
        <f t="shared" si="79"/>
        <v>0.19607497804280496</v>
      </c>
      <c r="Q59" s="250">
        <f t="shared" si="79"/>
        <v>0.061705762873869925</v>
      </c>
      <c r="R59" s="250">
        <f t="shared" si="79"/>
        <v>-0.01640721817588869</v>
      </c>
      <c r="S59" s="250" t="e">
        <f t="shared" si="79"/>
        <v>#DIV/0!</v>
      </c>
      <c r="T59" s="250" t="e">
        <f t="shared" si="79"/>
        <v>#DIV/0!</v>
      </c>
      <c r="U59" s="250" t="e">
        <f t="shared" si="79"/>
        <v>#DIV/0!</v>
      </c>
      <c r="V59" s="250" t="e">
        <f t="shared" si="79"/>
        <v>#DIV/0!</v>
      </c>
      <c r="W59" s="250" t="e">
        <f t="shared" si="79"/>
        <v>#DIV/0!</v>
      </c>
      <c r="X59" s="250" t="e">
        <f t="shared" si="79"/>
        <v>#DIV/0!</v>
      </c>
      <c r="Y59" s="250" t="e">
        <f t="shared" si="79"/>
        <v>#DIV/0!</v>
      </c>
      <c r="Z59" s="250" t="e">
        <f t="shared" si="79"/>
        <v>#DIV/0!</v>
      </c>
      <c r="AA59" s="250" t="e">
        <f t="shared" si="79"/>
        <v>#DIV/0!</v>
      </c>
      <c r="AB59" s="250" t="e">
        <f t="shared" si="79"/>
        <v>#DIV/0!</v>
      </c>
      <c r="AC59" s="250" t="e">
        <f t="shared" si="79"/>
        <v>#DIV/0!</v>
      </c>
      <c r="AD59" s="250" t="e">
        <f t="shared" si="79"/>
        <v>#DIV/0!</v>
      </c>
      <c r="AE59" s="250" t="e">
        <f t="shared" si="79"/>
        <v>#DIV/0!</v>
      </c>
      <c r="AF59" s="250" t="e">
        <f t="shared" si="79"/>
        <v>#DIV/0!</v>
      </c>
      <c r="AG59" s="250" t="e">
        <f t="shared" si="79"/>
        <v>#DIV/0!</v>
      </c>
      <c r="AH59" s="250" t="e">
        <f t="shared" si="79"/>
        <v>#DIV/0!</v>
      </c>
      <c r="AI59" s="250" t="e">
        <f t="shared" si="79"/>
        <v>#DIV/0!</v>
      </c>
      <c r="AJ59" s="250" t="e">
        <f t="shared" si="79"/>
        <v>#DIV/0!</v>
      </c>
      <c r="AK59" s="250" t="e">
        <f t="shared" si="79"/>
        <v>#DIV/0!</v>
      </c>
      <c r="AL59" s="250" t="e">
        <f t="shared" si="79"/>
        <v>#DIV/0!</v>
      </c>
      <c r="AM59" s="250" t="e">
        <f t="shared" si="79"/>
        <v>#DIV/0!</v>
      </c>
      <c r="AN59" s="250" t="e">
        <f t="shared" si="79"/>
        <v>#DIV/0!</v>
      </c>
      <c r="AO59" s="250" t="e">
        <f t="shared" si="79"/>
        <v>#DIV/0!</v>
      </c>
      <c r="AP59" s="250" t="e">
        <f t="shared" si="79"/>
        <v>#DIV/0!</v>
      </c>
      <c r="AQ59" s="250" t="e">
        <f t="shared" si="79"/>
        <v>#DIV/0!</v>
      </c>
      <c r="AR59" s="250" t="e">
        <f t="shared" si="79"/>
        <v>#DIV/0!</v>
      </c>
      <c r="AS59" s="250" t="e">
        <f t="shared" si="79"/>
        <v>#DIV/0!</v>
      </c>
      <c r="AT59" s="250" t="e">
        <f t="shared" si="79"/>
        <v>#DIV/0!</v>
      </c>
      <c r="AU59" s="250" t="e">
        <f t="shared" si="79"/>
        <v>#DIV/0!</v>
      </c>
      <c r="AV59" s="250" t="e">
        <f t="shared" si="79"/>
        <v>#DIV/0!</v>
      </c>
      <c r="AW59" s="250" t="e">
        <f t="shared" si="79"/>
        <v>#DIV/0!</v>
      </c>
      <c r="AX59" s="250" t="e">
        <f t="shared" si="79"/>
        <v>#DIV/0!</v>
      </c>
      <c r="AY59" s="250" t="e">
        <f t="shared" si="79"/>
        <v>#DIV/0!</v>
      </c>
      <c r="AZ59" s="250" t="e">
        <f t="shared" si="79"/>
        <v>#DIV/0!</v>
      </c>
      <c r="BA59" s="250" t="e">
        <f t="shared" si="79"/>
        <v>#DIV/0!</v>
      </c>
      <c r="BB59" s="250" t="e">
        <f t="shared" ref="BB59:BC59" si="80">BB57/BB14</f>
        <v>#DIV/0!</v>
      </c>
      <c r="BC59" s="250" t="e">
        <f t="shared" si="80"/>
        <v>#DIV/0!</v>
      </c>
      <c r="BD59" s="251">
        <f t="shared" ref="BD59" si="81">BD57/BD14</f>
        <v>0.06964540527982915</v>
      </c>
    </row>
    <row r="60" ht="15" customHeight="1" spans="1:56" x14ac:dyDescent="0.25">
      <c r="A60" s="244" t="s">
        <v>99</v>
      </c>
      <c r="B60" s="245"/>
      <c r="C60" s="246">
        <f>'CF (нед)'!C38</f>
        <v>0</v>
      </c>
      <c r="D60" s="246">
        <f>'CF (нед)'!D38</f>
        <v>0</v>
      </c>
      <c r="E60" s="246">
        <f>'CF (нед)'!E38</f>
        <v>0</v>
      </c>
      <c r="F60" s="246">
        <f>'CF (нед)'!F38</f>
        <v>0</v>
      </c>
      <c r="G60" s="246">
        <f>'CF (нед)'!G38</f>
        <v>0</v>
      </c>
      <c r="H60" s="246">
        <f>'CF (нед)'!H38</f>
        <v>0</v>
      </c>
      <c r="I60" s="246">
        <f>'CF (нед)'!I38</f>
        <v>0</v>
      </c>
      <c r="J60" s="246">
        <f>'CF (нед)'!J38</f>
        <v>0</v>
      </c>
      <c r="K60" s="246">
        <f>'CF (нед)'!K38</f>
        <v>0</v>
      </c>
      <c r="L60" s="246">
        <f>'CF (нед)'!L38</f>
        <v>0</v>
      </c>
      <c r="M60" s="246">
        <f>'CF (нед)'!M38</f>
        <v>0</v>
      </c>
      <c r="N60" s="246">
        <f>'CF (нед)'!N38</f>
        <v>0</v>
      </c>
      <c r="O60" s="246">
        <f>'CF (нед)'!O38</f>
        <v>0</v>
      </c>
      <c r="P60" s="246">
        <f>'CF (нед)'!P38</f>
        <v>0</v>
      </c>
      <c r="Q60" s="246">
        <f>'CF (нед)'!Q38</f>
        <v>0</v>
      </c>
      <c r="R60" s="246">
        <f>'CF (нед)'!R38</f>
        <v>0</v>
      </c>
      <c r="S60" s="246">
        <f>'CF (нед)'!S38</f>
        <v>0</v>
      </c>
      <c r="T60" s="246">
        <f>'CF (нед)'!T38</f>
        <v>0</v>
      </c>
      <c r="U60" s="246">
        <f>'CF (нед)'!U38</f>
        <v>0</v>
      </c>
      <c r="V60" s="246">
        <f>'CF (нед)'!V38</f>
        <v>0</v>
      </c>
      <c r="W60" s="246">
        <f>'CF (нед)'!W38</f>
        <v>0</v>
      </c>
      <c r="X60" s="246">
        <f>'CF (нед)'!X38</f>
        <v>0</v>
      </c>
      <c r="Y60" s="246">
        <f>'CF (нед)'!Y38</f>
        <v>0</v>
      </c>
      <c r="Z60" s="246">
        <f>'CF (нед)'!Z38</f>
        <v>0</v>
      </c>
      <c r="AA60" s="246">
        <f>'CF (нед)'!AA38</f>
        <v>0</v>
      </c>
      <c r="AB60" s="246">
        <f>'CF (нед)'!AB38</f>
        <v>0</v>
      </c>
      <c r="AC60" s="246">
        <f>'CF (нед)'!AC38</f>
        <v>0</v>
      </c>
      <c r="AD60" s="246">
        <f>'CF (нед)'!AD38</f>
        <v>0</v>
      </c>
      <c r="AE60" s="246">
        <f>'CF (нед)'!AE38</f>
        <v>0</v>
      </c>
      <c r="AF60" s="246">
        <f>'CF (нед)'!AF38</f>
        <v>0</v>
      </c>
      <c r="AG60" s="246">
        <f>'CF (нед)'!AG38</f>
        <v>0</v>
      </c>
      <c r="AH60" s="246">
        <f>'CF (нед)'!AH38</f>
        <v>0</v>
      </c>
      <c r="AI60" s="246">
        <f>'CF (нед)'!AI38</f>
        <v>0</v>
      </c>
      <c r="AJ60" s="246">
        <f>'CF (нед)'!AJ38</f>
        <v>0</v>
      </c>
      <c r="AK60" s="246">
        <f>'CF (нед)'!AK38</f>
        <v>0</v>
      </c>
      <c r="AL60" s="246">
        <f>'CF (нед)'!AL38</f>
        <v>0</v>
      </c>
      <c r="AM60" s="246">
        <f>'CF (нед)'!AM38</f>
        <v>0</v>
      </c>
      <c r="AN60" s="246">
        <f>'CF (нед)'!AN38</f>
        <v>0</v>
      </c>
      <c r="AO60" s="246">
        <f>'CF (нед)'!AO38</f>
        <v>0</v>
      </c>
      <c r="AP60" s="246">
        <f>'CF (нед)'!AP38</f>
        <v>0</v>
      </c>
      <c r="AQ60" s="246">
        <f>'CF (нед)'!AQ38</f>
        <v>0</v>
      </c>
      <c r="AR60" s="246">
        <f>'CF (нед)'!AR38</f>
        <v>0</v>
      </c>
      <c r="AS60" s="246">
        <f>'CF (нед)'!AS38</f>
        <v>0</v>
      </c>
      <c r="AT60" s="246">
        <f>'CF (нед)'!AT38</f>
        <v>0</v>
      </c>
      <c r="AU60" s="246">
        <f>'CF (нед)'!AU38</f>
        <v>0</v>
      </c>
      <c r="AV60" s="246">
        <f>'CF (нед)'!AV38</f>
        <v>0</v>
      </c>
      <c r="AW60" s="246">
        <f>'CF (нед)'!AW38</f>
        <v>0</v>
      </c>
      <c r="AX60" s="246">
        <f>'CF (нед)'!AX38</f>
        <v>0</v>
      </c>
      <c r="AY60" s="246">
        <f>'CF (нед)'!AY38</f>
        <v>0</v>
      </c>
      <c r="AZ60" s="246">
        <f>'CF (нед)'!AZ38</f>
        <v>0</v>
      </c>
      <c r="BA60" s="246">
        <f>'CF (нед)'!BA38</f>
        <v>0</v>
      </c>
      <c r="BB60" s="246">
        <f>'CF (нед)'!BB38</f>
        <v>0</v>
      </c>
      <c r="BC60" s="246">
        <f>'CF (нед)'!BC38</f>
        <v>0</v>
      </c>
      <c r="BD60" s="168">
        <f t="shared" si="3"/>
        <v>0</v>
      </c>
    </row>
    <row r="61" ht="15" customHeight="1" spans="1:56" x14ac:dyDescent="0.25">
      <c r="A61" s="244"/>
      <c r="B61" s="252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  <c r="AO61" s="253"/>
      <c r="AP61" s="253"/>
      <c r="AQ61" s="253"/>
      <c r="AR61" s="253"/>
      <c r="AS61" s="253"/>
      <c r="AT61" s="253"/>
      <c r="AU61" s="253"/>
      <c r="AV61" s="253"/>
      <c r="AW61" s="253"/>
      <c r="AX61" s="253"/>
      <c r="AY61" s="253"/>
      <c r="AZ61" s="253"/>
      <c r="BA61" s="253"/>
      <c r="BB61" s="253"/>
      <c r="BC61" s="253"/>
      <c r="BD61" s="168">
        <f t="shared" si="3"/>
        <v>0</v>
      </c>
    </row>
    <row r="62" ht="13.5" customHeight="1" spans="1:56" x14ac:dyDescent="0.25">
      <c r="A62" s="97" t="str">
        <f>'PL WB'!A62</f>
        <v>Остаток денежных средств на конец периода</v>
      </c>
      <c r="B62" s="242"/>
      <c r="C62" s="233">
        <f>'CF (нед)'!C42</f>
        <v>1994177.8957000005</v>
      </c>
      <c r="D62" s="233">
        <f>'CF (нед)'!D42</f>
        <v>2100356.7557000006</v>
      </c>
      <c r="E62" s="233">
        <f>'CF (нед)'!E42</f>
        <v>2234359.3557</v>
      </c>
      <c r="F62" s="233">
        <f>'CF (нед)'!F42</f>
        <v>2340085.2357000005</v>
      </c>
      <c r="G62" s="233">
        <f>'CF (нед)'!G42</f>
        <v>2444316.6157000004</v>
      </c>
      <c r="H62" s="233">
        <f>'CF (нед)'!H42</f>
        <v>2568251.9457000005</v>
      </c>
      <c r="I62" s="233">
        <f>'CF (нед)'!I42</f>
        <v>2701831.7657000003</v>
      </c>
      <c r="J62" s="233">
        <f>'CF (нед)'!J42</f>
        <v>2827470.9057000005</v>
      </c>
      <c r="K62" s="233">
        <f>'CF (нед)'!K42</f>
        <v>2951779.9657000005</v>
      </c>
      <c r="L62" s="233">
        <f>'CF (нед)'!L42</f>
        <v>3065041.8357000006</v>
      </c>
      <c r="M62" s="233">
        <f>'CF (нед)'!M42</f>
        <v>3166917.6157000004</v>
      </c>
      <c r="N62" s="233">
        <f>'CF (нед)'!N42</f>
        <v>3264799.0757000004</v>
      </c>
      <c r="O62" s="233">
        <f>'CF (нед)'!O42</f>
        <v>3357449.8957000007</v>
      </c>
      <c r="P62" s="233">
        <f>'CF (нед)'!P42</f>
        <v>3428328.6757000005</v>
      </c>
      <c r="Q62" s="233">
        <f>'CF (нед)'!Q42</f>
        <v>3485243.3357000006</v>
      </c>
      <c r="R62" s="233">
        <f>'CF (нед)'!R42</f>
        <v>3539892.4257000005</v>
      </c>
      <c r="S62" s="233">
        <f>'CF (нед)'!S42</f>
        <v>3539892.4257000005</v>
      </c>
      <c r="T62" s="233">
        <f>'CF (нед)'!T42</f>
        <v>3539892.4257000005</v>
      </c>
      <c r="U62" s="233">
        <f>'CF (нед)'!U42</f>
        <v>3539892.4257000005</v>
      </c>
      <c r="V62" s="233">
        <f>'CF (нед)'!V42</f>
        <v>3539892.4257000005</v>
      </c>
      <c r="W62" s="233">
        <f>'CF (нед)'!W42</f>
        <v>3539892.4257000005</v>
      </c>
      <c r="X62" s="233">
        <f>'CF (нед)'!X42</f>
        <v>3539892.4257000005</v>
      </c>
      <c r="Y62" s="233">
        <f>'CF (нед)'!Y42</f>
        <v>3539892.4257000005</v>
      </c>
      <c r="Z62" s="233">
        <f>'CF (нед)'!Z42</f>
        <v>3539892.4257000005</v>
      </c>
      <c r="AA62" s="233">
        <f>'CF (нед)'!AA42</f>
        <v>3539892.4257000005</v>
      </c>
      <c r="AB62" s="233">
        <f>'CF (нед)'!AB42</f>
        <v>3539892.4257000005</v>
      </c>
      <c r="AC62" s="233">
        <f>'CF (нед)'!AC42</f>
        <v>3539892.4257000005</v>
      </c>
      <c r="AD62" s="233">
        <f>'CF (нед)'!AD42</f>
        <v>3539892.4257000005</v>
      </c>
      <c r="AE62" s="233">
        <f>'CF (нед)'!AE42</f>
        <v>3539892.4257000005</v>
      </c>
      <c r="AF62" s="233">
        <f>'CF (нед)'!AF42</f>
        <v>3539892.4257000005</v>
      </c>
      <c r="AG62" s="233">
        <f>'CF (нед)'!AG42</f>
        <v>3539892.4257000005</v>
      </c>
      <c r="AH62" s="233">
        <f>'CF (нед)'!AH42</f>
        <v>3539892.4257000005</v>
      </c>
      <c r="AI62" s="233">
        <f>'CF (нед)'!AI42</f>
        <v>3539892.4257000005</v>
      </c>
      <c r="AJ62" s="233">
        <f>'CF (нед)'!AJ42</f>
        <v>3539892.4257000005</v>
      </c>
      <c r="AK62" s="233">
        <f>'CF (нед)'!AK42</f>
        <v>3539892.4257000005</v>
      </c>
      <c r="AL62" s="233">
        <f>'CF (нед)'!AL42</f>
        <v>3539892.4257000005</v>
      </c>
      <c r="AM62" s="233">
        <f>'CF (нед)'!AM42</f>
        <v>3539892.4257000005</v>
      </c>
      <c r="AN62" s="233">
        <f>'CF (нед)'!AN42</f>
        <v>3539892.4257000005</v>
      </c>
      <c r="AO62" s="233">
        <f>'CF (нед)'!AO42</f>
        <v>3539892.4257000005</v>
      </c>
      <c r="AP62" s="233">
        <f>'CF (нед)'!AP42</f>
        <v>3539892.4257000005</v>
      </c>
      <c r="AQ62" s="233">
        <f>'CF (нед)'!AQ42</f>
        <v>3539892.4257000005</v>
      </c>
      <c r="AR62" s="233">
        <f>'CF (нед)'!AR42</f>
        <v>3539892.4257000005</v>
      </c>
      <c r="AS62" s="233">
        <f>'CF (нед)'!AS42</f>
        <v>3539892.4257000005</v>
      </c>
      <c r="AT62" s="233">
        <f>'CF (нед)'!AT42</f>
        <v>3539892.4257000005</v>
      </c>
      <c r="AU62" s="233">
        <f>'CF (нед)'!AU42</f>
        <v>3539892.4257000005</v>
      </c>
      <c r="AV62" s="233">
        <f>'CF (нед)'!AV42</f>
        <v>3539892.4257000005</v>
      </c>
      <c r="AW62" s="233">
        <f>'CF (нед)'!AW42</f>
        <v>3539892.4257000005</v>
      </c>
      <c r="AX62" s="233">
        <f>'CF (нед)'!AX42</f>
        <v>3539892.4257000005</v>
      </c>
      <c r="AY62" s="233">
        <f>'CF (нед)'!AY42</f>
        <v>3539892.4257000005</v>
      </c>
      <c r="AZ62" s="233">
        <f>'CF (нед)'!AZ42</f>
        <v>3539892.4257000005</v>
      </c>
      <c r="BA62" s="233">
        <f>'CF (нед)'!BA42</f>
        <v>3539892.4257000005</v>
      </c>
      <c r="BB62" s="233">
        <f>'CF (нед)'!BB42</f>
        <v>3539892.4257000005</v>
      </c>
      <c r="BC62" s="233">
        <f>'CF (нед)'!BC42</f>
        <v>3539892.4257000005</v>
      </c>
      <c r="BD62" s="168">
        <f t="shared" si="3"/>
        <v>176446323.0521</v>
      </c>
    </row>
    <row r="63" ht="15" customHeight="1" spans="1:56" x14ac:dyDescent="0.25">
      <c r="A63" s="236"/>
      <c r="B63" s="237"/>
      <c r="C63" s="200"/>
      <c r="D63" s="224"/>
      <c r="E63" s="224"/>
      <c r="F63" s="224"/>
      <c r="G63" s="254">
        <f>G62-'PL OZON'!C62</f>
        <v>17364.730000000447</v>
      </c>
      <c r="H63" s="200"/>
      <c r="I63" s="224"/>
      <c r="J63" s="224"/>
      <c r="K63" s="254">
        <f>K62-'PL OZON'!D62</f>
        <v>31050.17000000039</v>
      </c>
      <c r="L63" s="200"/>
      <c r="M63" s="224"/>
      <c r="N63" s="224"/>
      <c r="O63" s="254">
        <f>O62-'PL OZON'!E62</f>
        <v>39546.24000000022</v>
      </c>
      <c r="P63" s="200"/>
      <c r="Q63" s="224"/>
      <c r="R63" s="224"/>
      <c r="S63" s="254">
        <f>S62-'PL OZON'!F62</f>
        <v>42310.91000000015</v>
      </c>
      <c r="T63" s="200"/>
      <c r="U63" s="224"/>
      <c r="V63" s="224"/>
      <c r="W63" s="255"/>
      <c r="X63" s="254">
        <f>X62-'PL OZON'!G62</f>
        <v>42310.91000000015</v>
      </c>
      <c r="Y63" s="256"/>
      <c r="Z63" s="255"/>
      <c r="AA63" s="255"/>
      <c r="AB63" s="254">
        <f>AB62-'PL OZON'!H62</f>
        <v>42310.91000000015</v>
      </c>
      <c r="AC63" s="256"/>
      <c r="AD63" s="255"/>
      <c r="AE63" s="255"/>
      <c r="AF63" s="254">
        <f>AF62-'PL OZON'!I62</f>
        <v>42310.91000000015</v>
      </c>
      <c r="AG63" s="256"/>
      <c r="AH63" s="255"/>
      <c r="AI63" s="255"/>
      <c r="AJ63" s="255"/>
      <c r="AK63" s="254">
        <f>AK62-'PL OZON'!J62</f>
        <v>42310.91000000015</v>
      </c>
      <c r="AL63" s="256"/>
      <c r="AM63" s="255"/>
      <c r="AN63" s="255"/>
      <c r="AO63" s="254">
        <f>AO62-'PL OZON'!K62</f>
        <v>42310.91000000015</v>
      </c>
      <c r="AP63" s="256"/>
      <c r="AQ63" s="255"/>
      <c r="AR63" s="255"/>
      <c r="AS63" s="255"/>
      <c r="AT63" s="254">
        <f>AT62-'PL OZON'!L62</f>
        <v>42310.91000000015</v>
      </c>
      <c r="AU63" s="256"/>
      <c r="AV63" s="255"/>
      <c r="AW63" s="255"/>
      <c r="AX63" s="257">
        <f>AX62-'PL OZON'!M62</f>
        <v>42310.91000000015</v>
      </c>
      <c r="AY63" s="256"/>
      <c r="AZ63" s="255"/>
      <c r="BA63" s="255"/>
      <c r="BB63" s="255"/>
      <c r="BC63" s="255"/>
      <c r="BD63" s="168"/>
    </row>
    <row r="64" ht="15" customHeight="1" spans="1:56" x14ac:dyDescent="0.25">
      <c r="A64" s="244" t="s">
        <v>101</v>
      </c>
      <c r="B64" s="245"/>
      <c r="C64" s="259">
        <f>C57+292844.08-C60</f>
        <v>291976.16000000003</v>
      </c>
      <c r="D64" s="258">
        <f>D57+C64-D60</f>
        <v>299945.33</v>
      </c>
      <c r="E64" s="258">
        <f t="shared" ref="E64:BA64" si="82">E57+D64-E60</f>
        <v>305737.01</v>
      </c>
      <c r="F64" s="258">
        <f t="shared" si="82"/>
        <v>315054.59</v>
      </c>
      <c r="G64" s="260">
        <f>G57+F64-G60</f>
        <v>319607.51</v>
      </c>
      <c r="H64" s="246">
        <f t="shared" si="82"/>
        <v>320948.96</v>
      </c>
      <c r="I64" s="258">
        <f t="shared" si="82"/>
        <v>323553.16000000003</v>
      </c>
      <c r="J64" s="258">
        <f t="shared" si="82"/>
        <v>327253.43000000005</v>
      </c>
      <c r="K64" s="260">
        <f t="shared" si="82"/>
        <v>332061.00000000006</v>
      </c>
      <c r="L64" s="246">
        <f t="shared" si="82"/>
        <v>337753.92000000004</v>
      </c>
      <c r="M64" s="258">
        <f t="shared" si="82"/>
        <v>339816.82000000007</v>
      </c>
      <c r="N64" s="258">
        <f t="shared" si="82"/>
        <v>343981.00000000006</v>
      </c>
      <c r="O64" s="260">
        <f t="shared" si="82"/>
        <v>349861.57000000007</v>
      </c>
      <c r="P64" s="246">
        <f t="shared" si="82"/>
        <v>354103.26000000007</v>
      </c>
      <c r="Q64" s="258">
        <f t="shared" si="82"/>
        <v>355652.63000000006</v>
      </c>
      <c r="R64" s="258">
        <f t="shared" si="82"/>
        <v>355199.8400000001</v>
      </c>
      <c r="S64" s="260">
        <f t="shared" si="82"/>
        <v>355199.8400000001</v>
      </c>
      <c r="T64" s="246">
        <f t="shared" si="82"/>
        <v>355199.8400000001</v>
      </c>
      <c r="U64" s="258">
        <f t="shared" si="82"/>
        <v>355199.8400000001</v>
      </c>
      <c r="V64" s="258">
        <f t="shared" si="82"/>
        <v>355199.8400000001</v>
      </c>
      <c r="W64" s="258">
        <f t="shared" si="82"/>
        <v>355199.8400000001</v>
      </c>
      <c r="X64" s="260">
        <f t="shared" si="82"/>
        <v>355199.8400000001</v>
      </c>
      <c r="Y64" s="246">
        <f t="shared" si="82"/>
        <v>355199.8400000001</v>
      </c>
      <c r="Z64" s="258">
        <f t="shared" si="82"/>
        <v>355199.8400000001</v>
      </c>
      <c r="AA64" s="258">
        <f t="shared" si="82"/>
        <v>355199.8400000001</v>
      </c>
      <c r="AB64" s="260">
        <f t="shared" si="82"/>
        <v>355199.8400000001</v>
      </c>
      <c r="AC64" s="246">
        <f t="shared" si="82"/>
        <v>355199.8400000001</v>
      </c>
      <c r="AD64" s="258">
        <f t="shared" si="82"/>
        <v>355199.8400000001</v>
      </c>
      <c r="AE64" s="258">
        <f t="shared" si="82"/>
        <v>355199.8400000001</v>
      </c>
      <c r="AF64" s="260">
        <f t="shared" si="82"/>
        <v>355199.8400000001</v>
      </c>
      <c r="AG64" s="246">
        <f t="shared" si="82"/>
        <v>355199.8400000001</v>
      </c>
      <c r="AH64" s="258">
        <f t="shared" si="82"/>
        <v>355199.8400000001</v>
      </c>
      <c r="AI64" s="258">
        <f t="shared" si="82"/>
        <v>355199.8400000001</v>
      </c>
      <c r="AJ64" s="258">
        <f t="shared" si="82"/>
        <v>355199.8400000001</v>
      </c>
      <c r="AK64" s="260">
        <f t="shared" si="82"/>
        <v>355199.8400000001</v>
      </c>
      <c r="AL64" s="246">
        <f t="shared" si="82"/>
        <v>355199.8400000001</v>
      </c>
      <c r="AM64" s="258">
        <f t="shared" si="82"/>
        <v>355199.8400000001</v>
      </c>
      <c r="AN64" s="258">
        <f t="shared" si="82"/>
        <v>355199.8400000001</v>
      </c>
      <c r="AO64" s="260">
        <f t="shared" si="82"/>
        <v>355199.8400000001</v>
      </c>
      <c r="AP64" s="246">
        <f t="shared" si="82"/>
        <v>355199.8400000001</v>
      </c>
      <c r="AQ64" s="258">
        <f>AQ57+AP64-AQ60</f>
        <v>355199.8400000001</v>
      </c>
      <c r="AR64" s="258">
        <f t="shared" si="82"/>
        <v>355199.8400000001</v>
      </c>
      <c r="AS64" s="258">
        <f t="shared" si="82"/>
        <v>355199.8400000001</v>
      </c>
      <c r="AT64" s="260">
        <f t="shared" si="82"/>
        <v>355199.8400000001</v>
      </c>
      <c r="AU64" s="246">
        <f t="shared" si="82"/>
        <v>355199.8400000001</v>
      </c>
      <c r="AV64" s="258">
        <f t="shared" si="82"/>
        <v>355199.8400000001</v>
      </c>
      <c r="AW64" s="258">
        <f t="shared" si="82"/>
        <v>355199.8400000001</v>
      </c>
      <c r="AX64" s="261">
        <f t="shared" si="82"/>
        <v>355199.8400000001</v>
      </c>
      <c r="AY64" s="246">
        <f t="shared" si="82"/>
        <v>355199.8400000001</v>
      </c>
      <c r="AZ64" s="258">
        <f t="shared" si="82"/>
        <v>355199.8400000001</v>
      </c>
      <c r="BA64" s="258">
        <f t="shared" si="82"/>
        <v>355199.8400000001</v>
      </c>
      <c r="BB64" s="258">
        <f t="shared" ref="BB64" si="83">BB57+BA64-BB60</f>
        <v>355199.8400000001</v>
      </c>
      <c r="BC64" s="258">
        <f t="shared" ref="BC64" si="84">BC57+BB64-BC60</f>
        <v>355199.8400000001</v>
      </c>
      <c r="BD64" s="168">
        <f>SUM(C64:BC64)/33</f>
        <v>558027.2809090908</v>
      </c>
    </row>
    <row r="65" ht="13.5" customHeight="1" spans="1:56" x14ac:dyDescent="0.25">
      <c r="A65" s="262"/>
      <c r="B65" s="161"/>
      <c r="C65" s="159"/>
      <c r="D65" s="157"/>
      <c r="E65" s="157"/>
      <c r="F65" s="157"/>
      <c r="G65" s="263">
        <f>G64-'PL OZON'!C64</f>
        <v>0</v>
      </c>
      <c r="H65" s="264"/>
      <c r="I65" s="157"/>
      <c r="J65" s="157"/>
      <c r="K65" s="263">
        <f>K64-'PL OZON'!D64</f>
        <v>0</v>
      </c>
      <c r="L65" s="264"/>
      <c r="M65" s="157"/>
      <c r="N65" s="157"/>
      <c r="O65" s="263">
        <f>O64-'PL OZON'!E64</f>
        <v>0</v>
      </c>
      <c r="P65" s="264"/>
      <c r="Q65" s="157"/>
      <c r="R65" s="157"/>
      <c r="S65" s="263">
        <f>S64-'PL OZON'!F64</f>
        <v>0</v>
      </c>
      <c r="T65" s="264"/>
      <c r="U65" s="157"/>
      <c r="V65" s="157"/>
      <c r="W65" s="265"/>
      <c r="X65" s="263">
        <f>X64-'PL OZON'!G64</f>
        <v>0</v>
      </c>
      <c r="Y65" s="266"/>
      <c r="Z65" s="265"/>
      <c r="AA65" s="265"/>
      <c r="AB65" s="263">
        <f>AB64-'PL OZON'!H64</f>
        <v>0</v>
      </c>
      <c r="AC65" s="266"/>
      <c r="AD65" s="265"/>
      <c r="AE65" s="265"/>
      <c r="AF65" s="263">
        <f>AF64-'PL OZON'!I64</f>
        <v>0</v>
      </c>
      <c r="AG65" s="266"/>
      <c r="AH65" s="265"/>
      <c r="AI65" s="265"/>
      <c r="AJ65" s="265"/>
      <c r="AK65" s="263">
        <f>AK64-'PL OZON'!J64</f>
        <v>0</v>
      </c>
      <c r="AL65" s="266"/>
      <c r="AM65" s="265"/>
      <c r="AN65" s="265"/>
      <c r="AO65" s="263">
        <f>AO64-'PL OZON'!K64</f>
        <v>0</v>
      </c>
      <c r="AP65" s="266"/>
      <c r="AQ65" s="265"/>
      <c r="AR65" s="265"/>
      <c r="AS65" s="265"/>
      <c r="AT65" s="263">
        <f>AT64-'PL OZON'!L64</f>
        <v>0</v>
      </c>
      <c r="AU65" s="266"/>
      <c r="AV65" s="265"/>
      <c r="AW65" s="265"/>
      <c r="AX65" s="267">
        <f>AX64-'PL OZON'!M64</f>
        <v>0</v>
      </c>
      <c r="AY65" s="266"/>
      <c r="AZ65" s="265"/>
      <c r="BA65" s="265"/>
      <c r="BB65" s="265"/>
      <c r="BC65" s="265"/>
      <c r="BD65" s="168"/>
    </row>
    <row r="66" ht="13.5" customHeight="1" spans="1:56" x14ac:dyDescent="0.25">
      <c r="A66" s="268" t="s">
        <v>136</v>
      </c>
      <c r="B66" s="161"/>
      <c r="C66" s="159"/>
      <c r="D66" s="157"/>
      <c r="E66" s="157"/>
      <c r="F66" s="157"/>
      <c r="G66" s="158"/>
      <c r="H66" s="159"/>
      <c r="I66" s="157"/>
      <c r="J66" s="157"/>
      <c r="K66" s="158"/>
      <c r="L66" s="159"/>
      <c r="M66" s="157"/>
      <c r="N66" s="123"/>
      <c r="O66" s="269"/>
      <c r="P66" s="270"/>
      <c r="Q66" s="123"/>
      <c r="R66" s="123"/>
      <c r="S66" s="269"/>
      <c r="T66" s="270"/>
      <c r="U66" s="123"/>
      <c r="V66" s="123"/>
      <c r="W66" s="123"/>
      <c r="X66" s="269"/>
      <c r="Y66" s="270"/>
      <c r="Z66" s="123"/>
      <c r="AA66" s="123"/>
      <c r="AB66" s="269"/>
      <c r="AC66" s="270"/>
      <c r="AD66" s="123"/>
      <c r="AE66" s="123"/>
      <c r="AF66" s="269"/>
      <c r="AG66" s="270"/>
      <c r="AH66" s="123"/>
      <c r="AI66" s="123"/>
      <c r="AJ66" s="123"/>
      <c r="AK66" s="269"/>
      <c r="AL66" s="270"/>
      <c r="AM66" s="123"/>
      <c r="AN66" s="123"/>
      <c r="AO66" s="269"/>
      <c r="AP66" s="270"/>
      <c r="AQ66" s="123"/>
      <c r="AR66" s="123"/>
      <c r="AS66" s="123"/>
      <c r="AT66" s="269"/>
      <c r="AU66" s="270"/>
      <c r="AV66" s="123"/>
      <c r="AW66" s="123"/>
      <c r="AX66" s="271"/>
      <c r="AY66" s="270"/>
      <c r="AZ66" s="123"/>
      <c r="BA66" s="123"/>
      <c r="BB66" s="123"/>
      <c r="BC66" s="123"/>
      <c r="BD66" s="168">
        <f t="shared" si="3"/>
        <v>0</v>
      </c>
    </row>
    <row r="67" ht="13.5" customHeight="1" spans="1:56" x14ac:dyDescent="0.25">
      <c r="A67" s="262"/>
      <c r="B67" s="161"/>
      <c r="C67" s="159"/>
      <c r="D67" s="157"/>
      <c r="E67" s="157"/>
      <c r="F67" s="157"/>
      <c r="G67" s="158"/>
      <c r="H67" s="159"/>
      <c r="I67" s="157"/>
      <c r="J67" s="157"/>
      <c r="K67" s="158"/>
      <c r="L67" s="159"/>
      <c r="M67" s="157"/>
      <c r="N67" s="123"/>
      <c r="O67" s="269"/>
      <c r="P67" s="270"/>
      <c r="Q67" s="123"/>
      <c r="R67" s="123"/>
      <c r="S67" s="269"/>
      <c r="T67" s="270"/>
      <c r="U67" s="123"/>
      <c r="V67" s="123"/>
      <c r="W67" s="123"/>
      <c r="X67" s="269"/>
      <c r="Y67" s="270"/>
      <c r="Z67" s="123"/>
      <c r="AA67" s="123"/>
      <c r="AB67" s="269"/>
      <c r="AC67" s="270"/>
      <c r="AD67" s="123"/>
      <c r="AE67" s="123"/>
      <c r="AF67" s="269"/>
      <c r="AG67" s="270"/>
      <c r="AH67" s="123"/>
      <c r="AI67" s="123"/>
      <c r="AJ67" s="123"/>
      <c r="AK67" s="269"/>
      <c r="AL67" s="270"/>
      <c r="AM67" s="123"/>
      <c r="AN67" s="123"/>
      <c r="AO67" s="269"/>
      <c r="AP67" s="270"/>
      <c r="AQ67" s="123"/>
      <c r="AR67" s="123"/>
      <c r="AS67" s="123"/>
      <c r="AT67" s="269"/>
      <c r="AU67" s="270"/>
      <c r="AV67" s="123"/>
      <c r="AW67" s="123"/>
      <c r="AX67" s="271"/>
      <c r="AY67" s="270"/>
      <c r="AZ67" s="123"/>
      <c r="BA67" s="123"/>
      <c r="BB67" s="123"/>
      <c r="BC67" s="123"/>
      <c r="BD67" s="258">
        <f t="shared" ref="BD67" si="85">BD60+BC67-BD63</f>
        <v>0</v>
      </c>
    </row>
    <row r="68" ht="13.5" customHeight="1" spans="1:56" x14ac:dyDescent="0.25">
      <c r="A68" s="262"/>
      <c r="B68" s="272" t="s">
        <v>137</v>
      </c>
      <c r="C68" s="159">
        <f>SUM('CF (нед)'!$C$29:C29)</f>
        <v>0</v>
      </c>
      <c r="D68" s="157">
        <f>SUM('CF (нед)'!$C$29:D29)</f>
        <v>0</v>
      </c>
      <c r="E68" s="157">
        <f>SUM('CF (нед)'!$C$29:E29)</f>
        <v>0</v>
      </c>
      <c r="F68" s="157">
        <f>SUM('CF (нед)'!$C$29:F29)</f>
        <v>0</v>
      </c>
      <c r="G68" s="158">
        <f>SUM('CF (нед)'!$C$29:G29)</f>
        <v>0</v>
      </c>
      <c r="H68" s="159">
        <f>SUM('CF (нед)'!$C$29:H29)</f>
        <v>0</v>
      </c>
      <c r="I68" s="157">
        <f>SUM('CF (нед)'!$C$29:I29)</f>
        <v>0</v>
      </c>
      <c r="J68" s="157">
        <f>SUM('CF (нед)'!$C$29:J29)</f>
        <v>0</v>
      </c>
      <c r="K68" s="158">
        <f>SUM('CF (нед)'!$C$29:K29)</f>
        <v>0</v>
      </c>
      <c r="L68" s="159">
        <f>SUM('CF (нед)'!$C$29:L29)</f>
        <v>0</v>
      </c>
      <c r="M68" s="157">
        <f>SUM('CF (нед)'!$C$29:M29)</f>
        <v>0</v>
      </c>
      <c r="N68" s="157">
        <f>SUM('CF (нед)'!$C$29:N29)</f>
        <v>0</v>
      </c>
      <c r="O68" s="158">
        <f>SUM('CF (нед)'!$C$29:O29)</f>
        <v>0</v>
      </c>
      <c r="P68" s="159">
        <f>SUM('CF (нед)'!$C$29:P29)</f>
        <v>0</v>
      </c>
      <c r="Q68" s="157">
        <f>SUM('CF (нед)'!$C$29:Q29)</f>
        <v>0</v>
      </c>
      <c r="R68" s="157">
        <f>SUM('CF (нед)'!$C$29:R29)</f>
        <v>0</v>
      </c>
      <c r="S68" s="158">
        <f>SUM('CF (нед)'!$C$29:S29)</f>
        <v>0</v>
      </c>
      <c r="T68" s="159">
        <f>SUM('CF (нед)'!$C$29:T29)</f>
        <v>0</v>
      </c>
      <c r="U68" s="157">
        <f>SUM('CF (нед)'!$C$29:U29)</f>
        <v>0</v>
      </c>
      <c r="V68" s="157">
        <f>SUM('CF (нед)'!$C$29:V29)</f>
        <v>0</v>
      </c>
      <c r="W68" s="157">
        <f>SUM('CF (нед)'!$C$29:W29)</f>
        <v>0</v>
      </c>
      <c r="X68" s="158">
        <f>SUM('CF (нед)'!$C$29:X29)</f>
        <v>0</v>
      </c>
      <c r="Y68" s="159">
        <f>SUM('CF (нед)'!$C$29:Y29)</f>
        <v>0</v>
      </c>
      <c r="Z68" s="157">
        <f>SUM('CF (нед)'!$C$29:Z29)</f>
        <v>0</v>
      </c>
      <c r="AA68" s="157">
        <f>SUM('CF (нед)'!$C$29:AA29)</f>
        <v>0</v>
      </c>
      <c r="AB68" s="158">
        <f>SUM('CF (нед)'!$C$29:AB29)</f>
        <v>0</v>
      </c>
      <c r="AC68" s="159">
        <f>SUM('CF (нед)'!$C$29:AC29)</f>
        <v>0</v>
      </c>
      <c r="AD68" s="157">
        <f>SUM('CF (нед)'!$C$29:AD29)</f>
        <v>0</v>
      </c>
      <c r="AE68" s="157">
        <f>SUM('CF (нед)'!$C$29:AE29)</f>
        <v>0</v>
      </c>
      <c r="AF68" s="158">
        <f>SUM('CF (нед)'!$C$29:AF29)</f>
        <v>0</v>
      </c>
      <c r="AG68" s="159">
        <f>SUM('CF (нед)'!$C$29:AG29)</f>
        <v>0</v>
      </c>
      <c r="AH68" s="157">
        <f>SUM('CF (нед)'!$C$29:AH29)</f>
        <v>0</v>
      </c>
      <c r="AI68" s="157">
        <f>SUM('CF (нед)'!$C$29:AI29)</f>
        <v>0</v>
      </c>
      <c r="AJ68" s="157">
        <f>SUM('CF (нед)'!$C$29:AJ29)</f>
        <v>0</v>
      </c>
      <c r="AK68" s="158">
        <f>SUM('CF (нед)'!$C$29:AK29)</f>
        <v>0</v>
      </c>
      <c r="AL68" s="159">
        <f>SUM('CF (нед)'!$C$29:AL29)</f>
        <v>0</v>
      </c>
      <c r="AM68" s="157">
        <f>SUM('CF (нед)'!$C$29:AM29)</f>
        <v>0</v>
      </c>
      <c r="AN68" s="157">
        <f>SUM('CF (нед)'!$C$29:AN29)</f>
        <v>0</v>
      </c>
      <c r="AO68" s="158">
        <f>SUM('CF (нед)'!$C$29:AO29)</f>
        <v>0</v>
      </c>
      <c r="AP68" s="159">
        <f>SUM('CF (нед)'!$C$29:AP29)</f>
        <v>0</v>
      </c>
      <c r="AQ68" s="157">
        <f>SUM('CF (нед)'!$C$29:AQ29)</f>
        <v>0</v>
      </c>
      <c r="AR68" s="157">
        <f>SUM('CF (нед)'!$C$29:AR29)</f>
        <v>0</v>
      </c>
      <c r="AS68" s="157">
        <f>SUM('CF (нед)'!$C$29:AS29)</f>
        <v>0</v>
      </c>
      <c r="AT68" s="158">
        <f>SUM('CF (нед)'!$C$29:AT29)</f>
        <v>0</v>
      </c>
      <c r="AU68" s="159">
        <f>SUM('CF (нед)'!$C$29:AU29)</f>
        <v>0</v>
      </c>
      <c r="AV68" s="157">
        <f>SUM('CF (нед)'!$C$29:AV29)</f>
        <v>0</v>
      </c>
      <c r="AW68" s="157">
        <f>SUM('CF (нед)'!$C$29:AW29)</f>
        <v>0</v>
      </c>
      <c r="AX68" s="155">
        <f>SUM('CF (нед)'!$C$29:AX29)</f>
        <v>0</v>
      </c>
      <c r="AY68" s="159">
        <f>SUM('CF (нед)'!$C$29:AY29)</f>
        <v>0</v>
      </c>
      <c r="AZ68" s="157">
        <f>SUM('CF (нед)'!$C$29:AZ29)</f>
        <v>0</v>
      </c>
      <c r="BA68" s="157">
        <f>SUM('CF (нед)'!$C$29:BA29)</f>
        <v>0</v>
      </c>
      <c r="BB68" s="157">
        <f>SUM('CF (нед)'!$C$29:BB29)</f>
        <v>0</v>
      </c>
      <c r="BC68" s="157">
        <f>SUM('CF (нед)'!$C$29:BC29)</f>
        <v>0</v>
      </c>
      <c r="BD68" s="168">
        <f t="shared" si="3"/>
        <v>0</v>
      </c>
    </row>
    <row r="69" ht="13.5" customHeight="1" spans="1:56" x14ac:dyDescent="0.25">
      <c r="A69" s="262"/>
      <c r="B69" s="272" t="s">
        <v>138</v>
      </c>
      <c r="C69" s="159">
        <f t="shared" ref="C69:Q69" si="86">SUM($C$33:C33)</f>
        <v>4002</v>
      </c>
      <c r="D69" s="157">
        <f t="shared" si="86"/>
        <v>20067</v>
      </c>
      <c r="E69" s="157">
        <f t="shared" si="86"/>
        <v>37168</v>
      </c>
      <c r="F69" s="157">
        <f t="shared" si="86"/>
        <v>54491</v>
      </c>
      <c r="G69" s="158">
        <f t="shared" si="86"/>
        <v>71657</v>
      </c>
      <c r="H69" s="159">
        <f t="shared" si="86"/>
        <v>83620</v>
      </c>
      <c r="I69" s="157">
        <f t="shared" si="86"/>
        <v>95345</v>
      </c>
      <c r="J69" s="157">
        <f t="shared" si="86"/>
        <v>112383</v>
      </c>
      <c r="K69" s="158">
        <f t="shared" si="86"/>
        <v>121563</v>
      </c>
      <c r="L69" s="159">
        <f t="shared" si="86"/>
        <v>131604</v>
      </c>
      <c r="M69" s="157">
        <f t="shared" si="86"/>
        <v>140862</v>
      </c>
      <c r="N69" s="157">
        <f t="shared" si="86"/>
        <v>147967</v>
      </c>
      <c r="O69" s="158">
        <f t="shared" si="86"/>
        <v>153548</v>
      </c>
      <c r="P69" s="159">
        <f t="shared" si="86"/>
        <v>158033</v>
      </c>
      <c r="Q69" s="157">
        <f t="shared" si="86"/>
        <v>164168</v>
      </c>
      <c r="R69" s="157">
        <f t="shared" ref="R69:BA69" si="87">SUM(C33:R33)</f>
        <v>171481</v>
      </c>
      <c r="S69" s="158">
        <f t="shared" si="87"/>
        <v>167479</v>
      </c>
      <c r="T69" s="159">
        <f t="shared" si="87"/>
        <v>151414</v>
      </c>
      <c r="U69" s="157">
        <f t="shared" si="87"/>
        <v>134313</v>
      </c>
      <c r="V69" s="157">
        <f t="shared" si="87"/>
        <v>116990</v>
      </c>
      <c r="W69" s="157">
        <f t="shared" si="87"/>
        <v>99824</v>
      </c>
      <c r="X69" s="158">
        <f t="shared" si="87"/>
        <v>87861</v>
      </c>
      <c r="Y69" s="159">
        <f t="shared" si="87"/>
        <v>76136</v>
      </c>
      <c r="Z69" s="157">
        <f t="shared" si="87"/>
        <v>59098</v>
      </c>
      <c r="AA69" s="157">
        <f t="shared" si="87"/>
        <v>49918</v>
      </c>
      <c r="AB69" s="158">
        <f t="shared" si="87"/>
        <v>39877</v>
      </c>
      <c r="AC69" s="159">
        <f t="shared" si="87"/>
        <v>30619</v>
      </c>
      <c r="AD69" s="157">
        <f t="shared" si="87"/>
        <v>23514</v>
      </c>
      <c r="AE69" s="157">
        <f t="shared" si="87"/>
        <v>17933</v>
      </c>
      <c r="AF69" s="158">
        <f t="shared" si="87"/>
        <v>13448</v>
      </c>
      <c r="AG69" s="159">
        <f t="shared" si="87"/>
        <v>7313</v>
      </c>
      <c r="AH69" s="157">
        <f t="shared" si="87"/>
        <v>0</v>
      </c>
      <c r="AI69" s="157">
        <f t="shared" si="87"/>
        <v>0</v>
      </c>
      <c r="AJ69" s="157">
        <f t="shared" si="87"/>
        <v>0</v>
      </c>
      <c r="AK69" s="158">
        <f t="shared" si="87"/>
        <v>0</v>
      </c>
      <c r="AL69" s="159">
        <f t="shared" si="87"/>
        <v>0</v>
      </c>
      <c r="AM69" s="157">
        <f t="shared" si="87"/>
        <v>0</v>
      </c>
      <c r="AN69" s="157">
        <f t="shared" si="87"/>
        <v>0</v>
      </c>
      <c r="AO69" s="158">
        <f t="shared" si="87"/>
        <v>0</v>
      </c>
      <c r="AP69" s="159">
        <f t="shared" si="87"/>
        <v>0</v>
      </c>
      <c r="AQ69" s="157">
        <f t="shared" si="87"/>
        <v>0</v>
      </c>
      <c r="AR69" s="157">
        <f t="shared" si="87"/>
        <v>0</v>
      </c>
      <c r="AS69" s="157">
        <f t="shared" si="87"/>
        <v>0</v>
      </c>
      <c r="AT69" s="158">
        <f t="shared" si="87"/>
        <v>0</v>
      </c>
      <c r="AU69" s="159">
        <f t="shared" si="87"/>
        <v>0</v>
      </c>
      <c r="AV69" s="157">
        <f t="shared" si="87"/>
        <v>0</v>
      </c>
      <c r="AW69" s="157">
        <f t="shared" si="87"/>
        <v>0</v>
      </c>
      <c r="AX69" s="155">
        <f t="shared" si="87"/>
        <v>0</v>
      </c>
      <c r="AY69" s="159">
        <f t="shared" si="87"/>
        <v>0</v>
      </c>
      <c r="AZ69" s="157">
        <f t="shared" si="87"/>
        <v>0</v>
      </c>
      <c r="BA69" s="157">
        <f t="shared" si="87"/>
        <v>0</v>
      </c>
      <c r="BB69" s="157">
        <f t="shared" ref="BB69" si="88">SUM(AM33:BB33)</f>
        <v>0</v>
      </c>
      <c r="BC69" s="157">
        <f t="shared" ref="BC69" si="89">SUM(AN33:BC33)</f>
        <v>0</v>
      </c>
      <c r="BD69" s="168">
        <f t="shared" si="3"/>
        <v>2743696</v>
      </c>
    </row>
    <row r="70" ht="13.5" customHeight="1" spans="1:56" x14ac:dyDescent="0.25">
      <c r="A70" s="262"/>
      <c r="B70" s="272" t="s">
        <v>139</v>
      </c>
      <c r="C70" s="159">
        <f>SUM($C$57:C57)</f>
        <v>-867.9200000000001</v>
      </c>
      <c r="D70" s="157">
        <f t="shared" ref="D70:Q70" si="90">SUM($C$57:D57)</f>
        <v>7101.249999999999</v>
      </c>
      <c r="E70" s="157">
        <f t="shared" si="90"/>
        <v>12892.929999999998</v>
      </c>
      <c r="F70" s="157">
        <f t="shared" si="90"/>
        <v>22210.509999999995</v>
      </c>
      <c r="G70" s="158">
        <f t="shared" si="90"/>
        <v>26763.429999999993</v>
      </c>
      <c r="H70" s="159">
        <f t="shared" si="90"/>
        <v>28104.879999999994</v>
      </c>
      <c r="I70" s="157">
        <f t="shared" si="90"/>
        <v>30709.079999999994</v>
      </c>
      <c r="J70" s="157">
        <f t="shared" si="90"/>
        <v>34409.34999999999</v>
      </c>
      <c r="K70" s="158">
        <f t="shared" si="90"/>
        <v>39216.91999999999</v>
      </c>
      <c r="L70" s="159">
        <f>SUM($C$57:L57)</f>
        <v>44909.83999999999</v>
      </c>
      <c r="M70" s="157">
        <f t="shared" si="90"/>
        <v>46972.73999999999</v>
      </c>
      <c r="N70" s="157">
        <f t="shared" si="90"/>
        <v>51136.91999999999</v>
      </c>
      <c r="O70" s="158">
        <f t="shared" si="90"/>
        <v>57017.48999999999</v>
      </c>
      <c r="P70" s="159">
        <f t="shared" si="90"/>
        <v>61259.17999999999</v>
      </c>
      <c r="Q70" s="157">
        <f t="shared" si="90"/>
        <v>62808.549999999996</v>
      </c>
      <c r="R70" s="157">
        <f t="shared" ref="R70:BA70" si="91">SUM(C57:R57)</f>
        <v>62355.759999999995</v>
      </c>
      <c r="S70" s="158">
        <f t="shared" si="91"/>
        <v>63223.68</v>
      </c>
      <c r="T70" s="159">
        <f t="shared" si="91"/>
        <v>55254.51</v>
      </c>
      <c r="U70" s="157">
        <f t="shared" si="91"/>
        <v>49462.83</v>
      </c>
      <c r="V70" s="157">
        <f t="shared" si="91"/>
        <v>40145.25000000001</v>
      </c>
      <c r="W70" s="157">
        <f t="shared" si="91"/>
        <v>35592.33</v>
      </c>
      <c r="X70" s="158">
        <f t="shared" si="91"/>
        <v>34250.880000000005</v>
      </c>
      <c r="Y70" s="159">
        <f t="shared" si="91"/>
        <v>31646.679999999997</v>
      </c>
      <c r="Z70" s="157">
        <f t="shared" si="91"/>
        <v>27946.409999999996</v>
      </c>
      <c r="AA70" s="157">
        <f t="shared" si="91"/>
        <v>23138.839999999997</v>
      </c>
      <c r="AB70" s="158">
        <f t="shared" si="91"/>
        <v>17445.92</v>
      </c>
      <c r="AC70" s="159">
        <f t="shared" si="91"/>
        <v>15383.019999999997</v>
      </c>
      <c r="AD70" s="157">
        <f t="shared" si="91"/>
        <v>11218.839999999997</v>
      </c>
      <c r="AE70" s="157">
        <f t="shared" si="91"/>
        <v>5338.2699999999995</v>
      </c>
      <c r="AF70" s="158">
        <f t="shared" si="91"/>
        <v>1096.5799999999997</v>
      </c>
      <c r="AG70" s="159">
        <f t="shared" si="91"/>
        <v>-452.7900000000002</v>
      </c>
      <c r="AH70" s="157">
        <f t="shared" si="91"/>
        <v>0</v>
      </c>
      <c r="AI70" s="157">
        <f t="shared" si="91"/>
        <v>0</v>
      </c>
      <c r="AJ70" s="157">
        <f t="shared" si="91"/>
        <v>0</v>
      </c>
      <c r="AK70" s="158">
        <f t="shared" si="91"/>
        <v>0</v>
      </c>
      <c r="AL70" s="159">
        <f t="shared" si="91"/>
        <v>0</v>
      </c>
      <c r="AM70" s="157">
        <f t="shared" si="91"/>
        <v>0</v>
      </c>
      <c r="AN70" s="157">
        <f t="shared" si="91"/>
        <v>0</v>
      </c>
      <c r="AO70" s="158">
        <f t="shared" si="91"/>
        <v>0</v>
      </c>
      <c r="AP70" s="159">
        <f t="shared" si="91"/>
        <v>0</v>
      </c>
      <c r="AQ70" s="157">
        <f t="shared" si="91"/>
        <v>0</v>
      </c>
      <c r="AR70" s="157">
        <f t="shared" si="91"/>
        <v>0</v>
      </c>
      <c r="AS70" s="157">
        <f t="shared" si="91"/>
        <v>0</v>
      </c>
      <c r="AT70" s="158">
        <f t="shared" si="91"/>
        <v>0</v>
      </c>
      <c r="AU70" s="159">
        <f t="shared" si="91"/>
        <v>0</v>
      </c>
      <c r="AV70" s="157">
        <f t="shared" si="91"/>
        <v>0</v>
      </c>
      <c r="AW70" s="157">
        <f t="shared" si="91"/>
        <v>0</v>
      </c>
      <c r="AX70" s="155">
        <f t="shared" si="91"/>
        <v>0</v>
      </c>
      <c r="AY70" s="159">
        <f t="shared" si="91"/>
        <v>0</v>
      </c>
      <c r="AZ70" s="157">
        <f t="shared" si="91"/>
        <v>0</v>
      </c>
      <c r="BA70" s="157">
        <f t="shared" si="91"/>
        <v>0</v>
      </c>
      <c r="BB70" s="157">
        <f t="shared" ref="BB70" si="92">SUM(AM57:BB57)</f>
        <v>0</v>
      </c>
      <c r="BC70" s="157">
        <f t="shared" ref="BC70" si="93">SUM(AN57:BC57)</f>
        <v>0</v>
      </c>
      <c r="BD70" s="168">
        <f t="shared" si="3"/>
        <v>997692.1599999999</v>
      </c>
    </row>
    <row r="71" ht="13.5" customHeight="1" spans="1:56" x14ac:dyDescent="0.25">
      <c r="A71" s="273"/>
      <c r="B71" s="274" t="s">
        <v>140</v>
      </c>
      <c r="C71" s="243">
        <f t="shared" ref="C71:BA71" si="94">C70/C69</f>
        <v>-0.21687156421789108</v>
      </c>
      <c r="D71" s="275">
        <f t="shared" si="94"/>
        <v>0.35387701200976723</v>
      </c>
      <c r="E71" s="275">
        <f t="shared" si="94"/>
        <v>0.34688253336203184</v>
      </c>
      <c r="F71" s="275">
        <f t="shared" si="94"/>
        <v>0.40759960360426484</v>
      </c>
      <c r="G71" s="276">
        <f t="shared" si="94"/>
        <v>0.373493587507152</v>
      </c>
      <c r="H71" s="243">
        <f t="shared" si="94"/>
        <v>0.33610236785458014</v>
      </c>
      <c r="I71" s="275">
        <f t="shared" si="94"/>
        <v>0.3220838009334521</v>
      </c>
      <c r="J71" s="275">
        <f t="shared" si="94"/>
        <v>0.30617931537688076</v>
      </c>
      <c r="K71" s="276">
        <f t="shared" si="94"/>
        <v>0.32260572707155954</v>
      </c>
      <c r="L71" s="243">
        <f t="shared" si="94"/>
        <v>0.34124981003616905</v>
      </c>
      <c r="M71" s="275">
        <f t="shared" si="94"/>
        <v>0.3334663713421646</v>
      </c>
      <c r="N71" s="275">
        <f t="shared" si="94"/>
        <v>0.34559678847310543</v>
      </c>
      <c r="O71" s="276">
        <f t="shared" si="94"/>
        <v>0.3713333289915856</v>
      </c>
      <c r="P71" s="243">
        <f t="shared" si="94"/>
        <v>0.3876353672967038</v>
      </c>
      <c r="Q71" s="275">
        <f t="shared" si="94"/>
        <v>0.38258704497831486</v>
      </c>
      <c r="R71" s="275">
        <f t="shared" si="94"/>
        <v>0.363630722937235</v>
      </c>
      <c r="S71" s="276">
        <f t="shared" si="94"/>
        <v>0.3775021345959792</v>
      </c>
      <c r="T71" s="243">
        <f t="shared" si="94"/>
        <v>0.36492338885439923</v>
      </c>
      <c r="U71" s="275">
        <f t="shared" si="94"/>
        <v>0.36826539501016287</v>
      </c>
      <c r="V71" s="275">
        <f t="shared" si="94"/>
        <v>0.3431511240276947</v>
      </c>
      <c r="W71" s="275">
        <f t="shared" si="94"/>
        <v>0.35655082945984934</v>
      </c>
      <c r="X71" s="276">
        <f t="shared" si="94"/>
        <v>0.38983030013316494</v>
      </c>
      <c r="Y71" s="243">
        <f t="shared" si="94"/>
        <v>0.4156598718083429</v>
      </c>
      <c r="Z71" s="275">
        <f t="shared" si="94"/>
        <v>0.4728825002538156</v>
      </c>
      <c r="AA71" s="275">
        <f t="shared" si="94"/>
        <v>0.463537000681117</v>
      </c>
      <c r="AB71" s="276">
        <f t="shared" si="94"/>
        <v>0.4374932918725079</v>
      </c>
      <c r="AC71" s="243">
        <f t="shared" si="94"/>
        <v>0.5024011234854174</v>
      </c>
      <c r="AD71" s="275">
        <f t="shared" si="94"/>
        <v>0.4771132091519944</v>
      </c>
      <c r="AE71" s="275">
        <f t="shared" si="94"/>
        <v>0.29767858138627107</v>
      </c>
      <c r="AF71" s="276">
        <f t="shared" si="94"/>
        <v>0.08154223676383103</v>
      </c>
      <c r="AG71" s="243">
        <f t="shared" si="94"/>
        <v>-0.06191576644332014</v>
      </c>
      <c r="AH71" s="275" t="e">
        <f t="shared" si="94"/>
        <v>#DIV/0!</v>
      </c>
      <c r="AI71" s="275" t="e">
        <f t="shared" si="94"/>
        <v>#DIV/0!</v>
      </c>
      <c r="AJ71" s="275" t="e">
        <f t="shared" si="94"/>
        <v>#DIV/0!</v>
      </c>
      <c r="AK71" s="276" t="e">
        <f t="shared" si="94"/>
        <v>#DIV/0!</v>
      </c>
      <c r="AL71" s="243" t="e">
        <f t="shared" si="94"/>
        <v>#DIV/0!</v>
      </c>
      <c r="AM71" s="275" t="e">
        <f t="shared" si="94"/>
        <v>#DIV/0!</v>
      </c>
      <c r="AN71" s="275" t="e">
        <f t="shared" si="94"/>
        <v>#DIV/0!</v>
      </c>
      <c r="AO71" s="276" t="e">
        <f t="shared" si="94"/>
        <v>#DIV/0!</v>
      </c>
      <c r="AP71" s="243" t="e">
        <f t="shared" si="94"/>
        <v>#DIV/0!</v>
      </c>
      <c r="AQ71" s="275" t="e">
        <f t="shared" si="94"/>
        <v>#DIV/0!</v>
      </c>
      <c r="AR71" s="275" t="e">
        <f t="shared" si="94"/>
        <v>#DIV/0!</v>
      </c>
      <c r="AS71" s="275" t="e">
        <f t="shared" si="94"/>
        <v>#DIV/0!</v>
      </c>
      <c r="AT71" s="276" t="e">
        <f t="shared" si="94"/>
        <v>#DIV/0!</v>
      </c>
      <c r="AU71" s="243" t="e">
        <f t="shared" si="94"/>
        <v>#DIV/0!</v>
      </c>
      <c r="AV71" s="275" t="e">
        <f t="shared" si="94"/>
        <v>#DIV/0!</v>
      </c>
      <c r="AW71" s="275" t="e">
        <f t="shared" si="94"/>
        <v>#DIV/0!</v>
      </c>
      <c r="AX71" s="277" t="e">
        <f t="shared" si="94"/>
        <v>#DIV/0!</v>
      </c>
      <c r="AY71" s="243" t="e">
        <f t="shared" si="94"/>
        <v>#DIV/0!</v>
      </c>
      <c r="AZ71" s="275" t="e">
        <f t="shared" si="94"/>
        <v>#DIV/0!</v>
      </c>
      <c r="BA71" s="275" t="e">
        <f t="shared" si="94"/>
        <v>#DIV/0!</v>
      </c>
      <c r="BB71" s="275" t="e">
        <f t="shared" ref="BB71:BC71" si="95">BB70/BB69</f>
        <v>#DIV/0!</v>
      </c>
      <c r="BC71" s="275" t="e">
        <f t="shared" si="95"/>
        <v>#DIV/0!</v>
      </c>
      <c r="BD71" s="168" t="e">
        <f t="shared" si="3"/>
        <v>#DIV/0!</v>
      </c>
    </row>
    <row r="72" ht="13.5" customHeight="1" spans="1:56" x14ac:dyDescent="0.25">
      <c r="A72" s="273"/>
      <c r="B72" s="274" t="s">
        <v>141</v>
      </c>
      <c r="C72" s="243" t="e">
        <f>C69/C68</f>
        <v>#DIV/0!</v>
      </c>
      <c r="D72" s="275" t="e">
        <f t="shared" ref="D72:BA72" si="96">D69/D68</f>
        <v>#DIV/0!</v>
      </c>
      <c r="E72" s="275" t="e">
        <f t="shared" si="96"/>
        <v>#DIV/0!</v>
      </c>
      <c r="F72" s="275" t="e">
        <f t="shared" si="96"/>
        <v>#DIV/0!</v>
      </c>
      <c r="G72" s="276" t="e">
        <f t="shared" si="96"/>
        <v>#DIV/0!</v>
      </c>
      <c r="H72" s="243" t="e">
        <f t="shared" si="96"/>
        <v>#DIV/0!</v>
      </c>
      <c r="I72" s="275" t="e">
        <f t="shared" si="96"/>
        <v>#DIV/0!</v>
      </c>
      <c r="J72" s="275" t="e">
        <f t="shared" si="96"/>
        <v>#DIV/0!</v>
      </c>
      <c r="K72" s="276" t="e">
        <f t="shared" si="96"/>
        <v>#DIV/0!</v>
      </c>
      <c r="L72" s="243" t="e">
        <f t="shared" si="96"/>
        <v>#DIV/0!</v>
      </c>
      <c r="M72" s="275" t="e">
        <f t="shared" si="96"/>
        <v>#DIV/0!</v>
      </c>
      <c r="N72" s="275" t="e">
        <f t="shared" si="96"/>
        <v>#DIV/0!</v>
      </c>
      <c r="O72" s="276" t="e">
        <f t="shared" si="96"/>
        <v>#DIV/0!</v>
      </c>
      <c r="P72" s="243" t="e">
        <f t="shared" si="96"/>
        <v>#DIV/0!</v>
      </c>
      <c r="Q72" s="275" t="e">
        <f t="shared" si="96"/>
        <v>#DIV/0!</v>
      </c>
      <c r="R72" s="275" t="e">
        <f t="shared" si="96"/>
        <v>#DIV/0!</v>
      </c>
      <c r="S72" s="276" t="e">
        <f t="shared" si="96"/>
        <v>#DIV/0!</v>
      </c>
      <c r="T72" s="243" t="e">
        <f t="shared" si="96"/>
        <v>#DIV/0!</v>
      </c>
      <c r="U72" s="275" t="e">
        <f t="shared" si="96"/>
        <v>#DIV/0!</v>
      </c>
      <c r="V72" s="275" t="e">
        <f t="shared" si="96"/>
        <v>#DIV/0!</v>
      </c>
      <c r="W72" s="275" t="e">
        <f t="shared" si="96"/>
        <v>#DIV/0!</v>
      </c>
      <c r="X72" s="276" t="e">
        <f t="shared" si="96"/>
        <v>#DIV/0!</v>
      </c>
      <c r="Y72" s="243" t="e">
        <f t="shared" si="96"/>
        <v>#DIV/0!</v>
      </c>
      <c r="Z72" s="275" t="e">
        <f t="shared" si="96"/>
        <v>#DIV/0!</v>
      </c>
      <c r="AA72" s="275" t="e">
        <f t="shared" si="96"/>
        <v>#DIV/0!</v>
      </c>
      <c r="AB72" s="276" t="e">
        <f t="shared" si="96"/>
        <v>#DIV/0!</v>
      </c>
      <c r="AC72" s="243" t="e">
        <f t="shared" si="96"/>
        <v>#DIV/0!</v>
      </c>
      <c r="AD72" s="275" t="e">
        <f t="shared" si="96"/>
        <v>#DIV/0!</v>
      </c>
      <c r="AE72" s="275" t="e">
        <f t="shared" si="96"/>
        <v>#DIV/0!</v>
      </c>
      <c r="AF72" s="276" t="e">
        <f t="shared" si="96"/>
        <v>#DIV/0!</v>
      </c>
      <c r="AG72" s="243" t="e">
        <f t="shared" si="96"/>
        <v>#DIV/0!</v>
      </c>
      <c r="AH72" s="275" t="e">
        <f t="shared" si="96"/>
        <v>#DIV/0!</v>
      </c>
      <c r="AI72" s="275" t="e">
        <f t="shared" si="96"/>
        <v>#DIV/0!</v>
      </c>
      <c r="AJ72" s="275" t="e">
        <f t="shared" si="96"/>
        <v>#DIV/0!</v>
      </c>
      <c r="AK72" s="276" t="e">
        <f t="shared" si="96"/>
        <v>#DIV/0!</v>
      </c>
      <c r="AL72" s="243" t="e">
        <f t="shared" si="96"/>
        <v>#DIV/0!</v>
      </c>
      <c r="AM72" s="275" t="e">
        <f t="shared" si="96"/>
        <v>#DIV/0!</v>
      </c>
      <c r="AN72" s="275" t="e">
        <f t="shared" si="96"/>
        <v>#DIV/0!</v>
      </c>
      <c r="AO72" s="276" t="e">
        <f>AO69/AO68</f>
        <v>#DIV/0!</v>
      </c>
      <c r="AP72" s="243" t="e">
        <f t="shared" si="96"/>
        <v>#DIV/0!</v>
      </c>
      <c r="AQ72" s="275" t="e">
        <f t="shared" si="96"/>
        <v>#DIV/0!</v>
      </c>
      <c r="AR72" s="275" t="e">
        <f t="shared" si="96"/>
        <v>#DIV/0!</v>
      </c>
      <c r="AS72" s="275" t="e">
        <f t="shared" si="96"/>
        <v>#DIV/0!</v>
      </c>
      <c r="AT72" s="276" t="e">
        <f t="shared" si="96"/>
        <v>#DIV/0!</v>
      </c>
      <c r="AU72" s="243" t="e">
        <f t="shared" si="96"/>
        <v>#DIV/0!</v>
      </c>
      <c r="AV72" s="275" t="e">
        <f t="shared" si="96"/>
        <v>#DIV/0!</v>
      </c>
      <c r="AW72" s="275" t="e">
        <f t="shared" si="96"/>
        <v>#DIV/0!</v>
      </c>
      <c r="AX72" s="277" t="e">
        <f t="shared" si="96"/>
        <v>#DIV/0!</v>
      </c>
      <c r="AY72" s="243" t="e">
        <f t="shared" si="96"/>
        <v>#DIV/0!</v>
      </c>
      <c r="AZ72" s="275" t="e">
        <f t="shared" si="96"/>
        <v>#DIV/0!</v>
      </c>
      <c r="BA72" s="275" t="e">
        <f t="shared" si="96"/>
        <v>#DIV/0!</v>
      </c>
      <c r="BB72" s="275" t="e">
        <f t="shared" ref="BB72:BC72" si="97">BB69/BB68</f>
        <v>#DIV/0!</v>
      </c>
      <c r="BC72" s="275" t="e">
        <f t="shared" si="97"/>
        <v>#DIV/0!</v>
      </c>
      <c r="BD72" s="168" t="e">
        <f t="shared" ref="BD72:BD76" si="98">SUM(C72:BC72)</f>
        <v>#DIV/0!</v>
      </c>
    </row>
    <row r="73" ht="13.5" customHeight="1" spans="1:56" x14ac:dyDescent="0.25">
      <c r="A73" s="154"/>
      <c r="B73" s="161" t="s">
        <v>142</v>
      </c>
      <c r="C73" s="159" t="e">
        <f t="shared" ref="C73:Q73" si="99">(C74*7)/C72</f>
        <v>#DIV/0!</v>
      </c>
      <c r="D73" s="157" t="e">
        <f t="shared" si="99"/>
        <v>#DIV/0!</v>
      </c>
      <c r="E73" s="157" t="e">
        <f t="shared" si="99"/>
        <v>#DIV/0!</v>
      </c>
      <c r="F73" s="157" t="e">
        <f t="shared" si="99"/>
        <v>#DIV/0!</v>
      </c>
      <c r="G73" s="158" t="e">
        <f t="shared" si="99"/>
        <v>#DIV/0!</v>
      </c>
      <c r="H73" s="159" t="e">
        <f t="shared" si="99"/>
        <v>#DIV/0!</v>
      </c>
      <c r="I73" s="157" t="e">
        <f t="shared" si="99"/>
        <v>#DIV/0!</v>
      </c>
      <c r="J73" s="157" t="e">
        <f t="shared" si="99"/>
        <v>#DIV/0!</v>
      </c>
      <c r="K73" s="158" t="e">
        <f t="shared" si="99"/>
        <v>#DIV/0!</v>
      </c>
      <c r="L73" s="159" t="e">
        <f t="shared" si="99"/>
        <v>#DIV/0!</v>
      </c>
      <c r="M73" s="157" t="e">
        <f t="shared" si="99"/>
        <v>#DIV/0!</v>
      </c>
      <c r="N73" s="157" t="e">
        <f t="shared" si="99"/>
        <v>#DIV/0!</v>
      </c>
      <c r="O73" s="158" t="e">
        <f t="shared" si="99"/>
        <v>#DIV/0!</v>
      </c>
      <c r="P73" s="159" t="e">
        <f t="shared" si="99"/>
        <v>#DIV/0!</v>
      </c>
      <c r="Q73" s="157" t="e">
        <f t="shared" si="99"/>
        <v>#DIV/0!</v>
      </c>
      <c r="R73" s="157" t="e">
        <f t="shared" ref="R73:BA73" si="100">(16*7)/R72</f>
        <v>#DIV/0!</v>
      </c>
      <c r="S73" s="158" t="e">
        <f t="shared" si="100"/>
        <v>#DIV/0!</v>
      </c>
      <c r="T73" s="159" t="e">
        <f t="shared" si="100"/>
        <v>#DIV/0!</v>
      </c>
      <c r="U73" s="157" t="e">
        <f t="shared" si="100"/>
        <v>#DIV/0!</v>
      </c>
      <c r="V73" s="157" t="e">
        <f t="shared" si="100"/>
        <v>#DIV/0!</v>
      </c>
      <c r="W73" s="157" t="e">
        <f t="shared" si="100"/>
        <v>#DIV/0!</v>
      </c>
      <c r="X73" s="158" t="e">
        <f t="shared" si="100"/>
        <v>#DIV/0!</v>
      </c>
      <c r="Y73" s="159" t="e">
        <f t="shared" si="100"/>
        <v>#DIV/0!</v>
      </c>
      <c r="Z73" s="157" t="e">
        <f t="shared" si="100"/>
        <v>#DIV/0!</v>
      </c>
      <c r="AA73" s="157" t="e">
        <f t="shared" si="100"/>
        <v>#DIV/0!</v>
      </c>
      <c r="AB73" s="158" t="e">
        <f t="shared" si="100"/>
        <v>#DIV/0!</v>
      </c>
      <c r="AC73" s="159" t="e">
        <f t="shared" si="100"/>
        <v>#DIV/0!</v>
      </c>
      <c r="AD73" s="157" t="e">
        <f t="shared" si="100"/>
        <v>#DIV/0!</v>
      </c>
      <c r="AE73" s="157" t="e">
        <f t="shared" si="100"/>
        <v>#DIV/0!</v>
      </c>
      <c r="AF73" s="158" t="e">
        <f t="shared" si="100"/>
        <v>#DIV/0!</v>
      </c>
      <c r="AG73" s="159" t="e">
        <f t="shared" si="100"/>
        <v>#DIV/0!</v>
      </c>
      <c r="AH73" s="157" t="e">
        <f t="shared" si="100"/>
        <v>#DIV/0!</v>
      </c>
      <c r="AI73" s="157" t="e">
        <f t="shared" si="100"/>
        <v>#DIV/0!</v>
      </c>
      <c r="AJ73" s="157" t="e">
        <f t="shared" si="100"/>
        <v>#DIV/0!</v>
      </c>
      <c r="AK73" s="158" t="e">
        <f t="shared" si="100"/>
        <v>#DIV/0!</v>
      </c>
      <c r="AL73" s="159" t="e">
        <f t="shared" si="100"/>
        <v>#DIV/0!</v>
      </c>
      <c r="AM73" s="157" t="e">
        <f t="shared" si="100"/>
        <v>#DIV/0!</v>
      </c>
      <c r="AN73" s="157" t="e">
        <f t="shared" si="100"/>
        <v>#DIV/0!</v>
      </c>
      <c r="AO73" s="158" t="e">
        <f t="shared" si="100"/>
        <v>#DIV/0!</v>
      </c>
      <c r="AP73" s="159" t="e">
        <f t="shared" si="100"/>
        <v>#DIV/0!</v>
      </c>
      <c r="AQ73" s="157" t="e">
        <f t="shared" si="100"/>
        <v>#DIV/0!</v>
      </c>
      <c r="AR73" s="157" t="e">
        <f t="shared" si="100"/>
        <v>#DIV/0!</v>
      </c>
      <c r="AS73" s="157" t="e">
        <f t="shared" si="100"/>
        <v>#DIV/0!</v>
      </c>
      <c r="AT73" s="158" t="e">
        <f t="shared" si="100"/>
        <v>#DIV/0!</v>
      </c>
      <c r="AU73" s="159" t="e">
        <f t="shared" si="100"/>
        <v>#DIV/0!</v>
      </c>
      <c r="AV73" s="157" t="e">
        <f t="shared" si="100"/>
        <v>#DIV/0!</v>
      </c>
      <c r="AW73" s="157" t="e">
        <f t="shared" si="100"/>
        <v>#DIV/0!</v>
      </c>
      <c r="AX73" s="155" t="e">
        <f t="shared" si="100"/>
        <v>#DIV/0!</v>
      </c>
      <c r="AY73" s="159" t="e">
        <f t="shared" si="100"/>
        <v>#DIV/0!</v>
      </c>
      <c r="AZ73" s="157" t="e">
        <f t="shared" si="100"/>
        <v>#DIV/0!</v>
      </c>
      <c r="BA73" s="157" t="e">
        <f t="shared" si="100"/>
        <v>#DIV/0!</v>
      </c>
      <c r="BB73" s="157" t="e">
        <f t="shared" ref="BB73:BC73" si="101">(16*7)/BB72</f>
        <v>#DIV/0!</v>
      </c>
      <c r="BC73" s="157" t="e">
        <f t="shared" si="101"/>
        <v>#DIV/0!</v>
      </c>
      <c r="BD73" s="168" t="e">
        <f t="shared" si="98"/>
        <v>#DIV/0!</v>
      </c>
    </row>
    <row r="74" ht="13.5" customHeight="1" spans="1:56" x14ac:dyDescent="0.25">
      <c r="A74" s="278"/>
      <c r="B74" s="279"/>
      <c r="C74" s="280">
        <v>1</v>
      </c>
      <c r="D74" s="281">
        <v>2</v>
      </c>
      <c r="E74" s="281">
        <v>3</v>
      </c>
      <c r="F74" s="281">
        <v>4</v>
      </c>
      <c r="G74" s="282">
        <v>5</v>
      </c>
      <c r="H74" s="280">
        <v>6</v>
      </c>
      <c r="I74" s="281">
        <v>7</v>
      </c>
      <c r="J74" s="281">
        <v>8</v>
      </c>
      <c r="K74" s="282">
        <v>9</v>
      </c>
      <c r="L74" s="280">
        <v>10</v>
      </c>
      <c r="M74" s="281">
        <v>11</v>
      </c>
      <c r="N74" s="283">
        <v>12</v>
      </c>
      <c r="O74" s="284">
        <v>13</v>
      </c>
      <c r="P74" s="285">
        <v>14</v>
      </c>
      <c r="Q74" s="283">
        <v>15</v>
      </c>
      <c r="R74" s="283">
        <v>16</v>
      </c>
      <c r="S74" s="286" t="s">
        <v>143</v>
      </c>
      <c r="T74" s="285"/>
      <c r="U74" s="283"/>
      <c r="V74" s="283"/>
      <c r="W74" s="283"/>
      <c r="X74" s="284"/>
      <c r="Y74" s="285"/>
      <c r="Z74" s="283"/>
      <c r="AA74" s="283"/>
      <c r="AB74" s="284"/>
      <c r="AC74" s="285"/>
      <c r="AD74" s="283"/>
      <c r="AE74" s="283"/>
      <c r="AF74" s="284"/>
      <c r="AG74" s="285"/>
      <c r="AH74" s="283"/>
      <c r="AI74" s="283"/>
      <c r="AJ74" s="283"/>
      <c r="AK74" s="284"/>
      <c r="AL74" s="285"/>
      <c r="AM74" s="283"/>
      <c r="AN74" s="283"/>
      <c r="AO74" s="284"/>
      <c r="AP74" s="285"/>
      <c r="AQ74" s="283"/>
      <c r="AR74" s="283"/>
      <c r="AS74" s="283"/>
      <c r="AT74" s="284"/>
      <c r="AU74" s="285"/>
      <c r="AV74" s="283"/>
      <c r="AW74" s="283"/>
      <c r="AX74" s="287"/>
      <c r="AY74" s="285"/>
      <c r="AZ74" s="283"/>
      <c r="BA74" s="283"/>
      <c r="BB74" s="283"/>
      <c r="BC74" s="283"/>
      <c r="BD74" s="168">
        <f t="shared" si="98"/>
        <v>136</v>
      </c>
    </row>
    <row r="75" ht="13.5" customHeight="1" spans="1:56" x14ac:dyDescent="0.25">
      <c r="A75" s="288"/>
      <c r="B75" s="289" t="s">
        <v>144</v>
      </c>
      <c r="C75" s="290">
        <f t="shared" ref="C75:R75" si="102">C12*C74*7/C69</f>
        <v>411.16093453273356</v>
      </c>
      <c r="D75" s="291">
        <f t="shared" si="102"/>
        <v>152.78926197239247</v>
      </c>
      <c r="E75" s="291">
        <f t="shared" si="102"/>
        <v>114.07426226861816</v>
      </c>
      <c r="F75" s="291">
        <f>F12*F74*7/F69</f>
        <v>94.8445108366519</v>
      </c>
      <c r="G75" s="292">
        <f t="shared" si="102"/>
        <v>81.77017318615067</v>
      </c>
      <c r="H75" s="290">
        <f t="shared" si="102"/>
        <v>78.07749772781631</v>
      </c>
      <c r="I75" s="291">
        <f t="shared" si="102"/>
        <v>73.86287083748492</v>
      </c>
      <c r="J75" s="291">
        <f t="shared" si="102"/>
        <v>63.12691848411236</v>
      </c>
      <c r="K75" s="292">
        <f t="shared" si="102"/>
        <v>60.89724291108314</v>
      </c>
      <c r="L75" s="290">
        <f t="shared" si="102"/>
        <v>57.16027324397434</v>
      </c>
      <c r="M75" s="291">
        <f t="shared" si="102"/>
        <v>53.68308457923357</v>
      </c>
      <c r="N75" s="291">
        <f t="shared" si="102"/>
        <v>51.71783384132949</v>
      </c>
      <c r="O75" s="292">
        <f t="shared" si="102"/>
        <v>50.683647979784816</v>
      </c>
      <c r="P75" s="290">
        <f t="shared" si="102"/>
        <v>50.252079249270714</v>
      </c>
      <c r="Q75" s="291">
        <f t="shared" si="102"/>
        <v>47.90556564007601</v>
      </c>
      <c r="R75" s="291">
        <f t="shared" si="102"/>
        <v>44.14371831281599</v>
      </c>
      <c r="S75" s="292">
        <f t="shared" ref="S75:BA75" si="103">S12*16*7/S69</f>
        <v>45.19855599806542</v>
      </c>
      <c r="T75" s="290">
        <f t="shared" si="103"/>
        <v>49.9941152073124</v>
      </c>
      <c r="U75" s="291">
        <f t="shared" si="103"/>
        <v>56.35946602339311</v>
      </c>
      <c r="V75" s="291">
        <f t="shared" si="103"/>
        <v>64.70475220104282</v>
      </c>
      <c r="W75" s="291">
        <f t="shared" si="103"/>
        <v>75.83155313351497</v>
      </c>
      <c r="X75" s="292">
        <f t="shared" si="103"/>
        <v>86.15664470015136</v>
      </c>
      <c r="Y75" s="290">
        <f t="shared" si="103"/>
        <v>99.4248313544184</v>
      </c>
      <c r="Z75" s="291">
        <f t="shared" si="103"/>
        <v>128.08908863244102</v>
      </c>
      <c r="AA75" s="291">
        <f t="shared" si="103"/>
        <v>151.64487679794863</v>
      </c>
      <c r="AB75" s="292">
        <f t="shared" si="103"/>
        <v>189.82894801514655</v>
      </c>
      <c r="AC75" s="290">
        <f t="shared" si="103"/>
        <v>247.22587151768508</v>
      </c>
      <c r="AD75" s="291">
        <f t="shared" si="103"/>
        <v>321.9277434719741</v>
      </c>
      <c r="AE75" s="291">
        <f t="shared" si="103"/>
        <v>422.11615234483907</v>
      </c>
      <c r="AF75" s="292">
        <f t="shared" si="103"/>
        <v>562.8947769185008</v>
      </c>
      <c r="AG75" s="290">
        <f t="shared" si="103"/>
        <v>1035.116772870231</v>
      </c>
      <c r="AH75" s="291" t="e">
        <f t="shared" si="103"/>
        <v>#DIV/0!</v>
      </c>
      <c r="AI75" s="291" t="e">
        <f t="shared" si="103"/>
        <v>#DIV/0!</v>
      </c>
      <c r="AJ75" s="291" t="e">
        <f t="shared" si="103"/>
        <v>#DIV/0!</v>
      </c>
      <c r="AK75" s="292" t="e">
        <f t="shared" si="103"/>
        <v>#DIV/0!</v>
      </c>
      <c r="AL75" s="290" t="e">
        <f t="shared" si="103"/>
        <v>#DIV/0!</v>
      </c>
      <c r="AM75" s="291" t="e">
        <f t="shared" si="103"/>
        <v>#DIV/0!</v>
      </c>
      <c r="AN75" s="291" t="e">
        <f t="shared" si="103"/>
        <v>#DIV/0!</v>
      </c>
      <c r="AO75" s="292" t="e">
        <f t="shared" si="103"/>
        <v>#DIV/0!</v>
      </c>
      <c r="AP75" s="290" t="e">
        <f t="shared" si="103"/>
        <v>#DIV/0!</v>
      </c>
      <c r="AQ75" s="291" t="e">
        <f t="shared" si="103"/>
        <v>#DIV/0!</v>
      </c>
      <c r="AR75" s="291" t="e">
        <f t="shared" si="103"/>
        <v>#DIV/0!</v>
      </c>
      <c r="AS75" s="291" t="e">
        <f t="shared" si="103"/>
        <v>#DIV/0!</v>
      </c>
      <c r="AT75" s="292" t="e">
        <f t="shared" si="103"/>
        <v>#DIV/0!</v>
      </c>
      <c r="AU75" s="290" t="e">
        <f t="shared" si="103"/>
        <v>#DIV/0!</v>
      </c>
      <c r="AV75" s="291" t="e">
        <f t="shared" si="103"/>
        <v>#DIV/0!</v>
      </c>
      <c r="AW75" s="291" t="e">
        <f t="shared" si="103"/>
        <v>#DIV/0!</v>
      </c>
      <c r="AX75" s="293" t="e">
        <f t="shared" si="103"/>
        <v>#DIV/0!</v>
      </c>
      <c r="AY75" s="290" t="e">
        <f t="shared" si="103"/>
        <v>#DIV/0!</v>
      </c>
      <c r="AZ75" s="291" t="e">
        <f t="shared" si="103"/>
        <v>#DIV/0!</v>
      </c>
      <c r="BA75" s="291" t="e">
        <f t="shared" si="103"/>
        <v>#DIV/0!</v>
      </c>
      <c r="BB75" s="291" t="e">
        <f t="shared" ref="BB75:BC75" si="104">BB12*16*7/BB69</f>
        <v>#DIV/0!</v>
      </c>
      <c r="BC75" s="291" t="e">
        <f t="shared" si="104"/>
        <v>#DIV/0!</v>
      </c>
      <c r="BD75" s="168" t="e">
        <f t="shared" si="98"/>
        <v>#DIV/0!</v>
      </c>
    </row>
    <row r="76" ht="13.5" customHeight="1" spans="1:56" x14ac:dyDescent="0.25">
      <c r="A76" s="294"/>
      <c r="B76" s="295" t="s">
        <v>145</v>
      </c>
      <c r="C76" s="296">
        <f t="shared" ref="C76:BA76" si="105">TODAY( )+C75</f>
        <v>46543.16093453704</v>
      </c>
      <c r="D76" s="297">
        <f t="shared" si="105"/>
        <v>46284.78926196759</v>
      </c>
      <c r="E76" s="297">
        <f t="shared" si="105"/>
        <v>46246.07426226852</v>
      </c>
      <c r="F76" s="297">
        <f>TODAY( )+F75</f>
        <v>46226.84451083333</v>
      </c>
      <c r="G76" s="298">
        <f t="shared" si="105"/>
        <v>46213.77017318287</v>
      </c>
      <c r="H76" s="296">
        <f t="shared" si="105"/>
        <v>46210.07749773149</v>
      </c>
      <c r="I76" s="297">
        <f t="shared" si="105"/>
        <v>46205.862870833334</v>
      </c>
      <c r="J76" s="297">
        <f t="shared" si="105"/>
        <v>46195.126918483795</v>
      </c>
      <c r="K76" s="298">
        <f t="shared" si="105"/>
        <v>46192.89724291667</v>
      </c>
      <c r="L76" s="296">
        <f t="shared" si="105"/>
        <v>46189.16027324074</v>
      </c>
      <c r="M76" s="297">
        <f t="shared" si="105"/>
        <v>46185.68308458333</v>
      </c>
      <c r="N76" s="297">
        <f t="shared" si="105"/>
        <v>46183.71783384259</v>
      </c>
      <c r="O76" s="298">
        <f t="shared" si="105"/>
        <v>46182.68364797454</v>
      </c>
      <c r="P76" s="296">
        <f t="shared" si="105"/>
        <v>46182.252079247686</v>
      </c>
      <c r="Q76" s="297">
        <f t="shared" si="105"/>
        <v>46179.905565636574</v>
      </c>
      <c r="R76" s="297">
        <f t="shared" si="105"/>
        <v>46176.14371831018</v>
      </c>
      <c r="S76" s="298">
        <f t="shared" si="105"/>
        <v>46177.198555995376</v>
      </c>
      <c r="T76" s="296">
        <f t="shared" si="105"/>
        <v>46181.994115208334</v>
      </c>
      <c r="U76" s="297">
        <f t="shared" si="105"/>
        <v>46188.35946601852</v>
      </c>
      <c r="V76" s="297">
        <f t="shared" si="105"/>
        <v>46196.704752199075</v>
      </c>
      <c r="W76" s="297">
        <f t="shared" si="105"/>
        <v>46207.83155313657</v>
      </c>
      <c r="X76" s="298">
        <f t="shared" si="105"/>
        <v>46218.15664469908</v>
      </c>
      <c r="Y76" s="296">
        <f t="shared" si="105"/>
        <v>46231.42483135417</v>
      </c>
      <c r="Z76" s="297">
        <f t="shared" si="105"/>
        <v>46260.08908863426</v>
      </c>
      <c r="AA76" s="297">
        <f t="shared" si="105"/>
        <v>46283.64487679398</v>
      </c>
      <c r="AB76" s="298">
        <f t="shared" si="105"/>
        <v>46321.82894802083</v>
      </c>
      <c r="AC76" s="296">
        <f t="shared" si="105"/>
        <v>46379.2258715162</v>
      </c>
      <c r="AD76" s="297">
        <f t="shared" si="105"/>
        <v>46453.92774347222</v>
      </c>
      <c r="AE76" s="297">
        <f t="shared" si="105"/>
        <v>46554.11615234954</v>
      </c>
      <c r="AF76" s="298">
        <f t="shared" si="105"/>
        <v>46694.8947769213</v>
      </c>
      <c r="AG76" s="296">
        <f t="shared" si="105"/>
        <v>47167.11677287037</v>
      </c>
      <c r="AH76" s="297">
        <f t="shared" si="105"/>
        <v>NaN</v>
      </c>
      <c r="AI76" s="297">
        <f t="shared" si="105"/>
        <v>NaN</v>
      </c>
      <c r="AJ76" s="297">
        <f t="shared" si="105"/>
        <v>NaN</v>
      </c>
      <c r="AK76" s="298">
        <f t="shared" si="105"/>
        <v>NaN</v>
      </c>
      <c r="AL76" s="296">
        <f t="shared" si="105"/>
        <v>NaN</v>
      </c>
      <c r="AM76" s="297">
        <f t="shared" si="105"/>
        <v>NaN</v>
      </c>
      <c r="AN76" s="297">
        <f t="shared" si="105"/>
        <v>NaN</v>
      </c>
      <c r="AO76" s="298">
        <f t="shared" si="105"/>
        <v>NaN</v>
      </c>
      <c r="AP76" s="296">
        <f t="shared" si="105"/>
        <v>NaN</v>
      </c>
      <c r="AQ76" s="297">
        <f t="shared" si="105"/>
        <v>NaN</v>
      </c>
      <c r="AR76" s="297">
        <f t="shared" si="105"/>
        <v>NaN</v>
      </c>
      <c r="AS76" s="297">
        <f t="shared" si="105"/>
        <v>NaN</v>
      </c>
      <c r="AT76" s="298">
        <f t="shared" si="105"/>
        <v>NaN</v>
      </c>
      <c r="AU76" s="296">
        <f t="shared" si="105"/>
        <v>NaN</v>
      </c>
      <c r="AV76" s="297">
        <f t="shared" si="105"/>
        <v>NaN</v>
      </c>
      <c r="AW76" s="297">
        <f t="shared" si="105"/>
        <v>NaN</v>
      </c>
      <c r="AX76" s="299">
        <f t="shared" si="105"/>
        <v>NaN</v>
      </c>
      <c r="AY76" s="296">
        <f t="shared" si="105"/>
        <v>NaN</v>
      </c>
      <c r="AZ76" s="297">
        <f t="shared" si="105"/>
        <v>NaN</v>
      </c>
      <c r="BA76" s="297">
        <f t="shared" si="105"/>
        <v>NaN</v>
      </c>
      <c r="BB76" s="297">
        <f t="shared" ref="BB76:BC76" si="106">TODAY( )+BB75</f>
        <v>NaN</v>
      </c>
      <c r="BC76" s="297">
        <f t="shared" si="106"/>
        <v>NaN</v>
      </c>
      <c r="BD76" s="168" t="e">
        <f t="shared" si="98"/>
        <v>#DIV/0!</v>
      </c>
    </row>
  </sheetData>
  <mergeCells count="12">
    <mergeCell ref="A1:B1"/>
    <mergeCell ref="C2:G2"/>
    <mergeCell ref="H2:K2"/>
    <mergeCell ref="L2:O2"/>
    <mergeCell ref="P2:S2"/>
    <mergeCell ref="T2:X2"/>
    <mergeCell ref="Y2:AB2"/>
    <mergeCell ref="AC2:AF2"/>
    <mergeCell ref="AG2:AK2"/>
    <mergeCell ref="AL2:AO2"/>
    <mergeCell ref="AP2:AT2"/>
    <mergeCell ref="AU2:AX2"/>
  </mergeCells>
  <conditionalFormatting sqref="A10:A11">
    <cfRule type="cellIs" dxfId="15" priority="7" operator="greaterThan">
      <formula>0</formula>
    </cfRule>
  </conditionalFormatting>
  <conditionalFormatting sqref="A11:A13">
    <cfRule type="cellIs" dxfId="16" priority="8" operator="between">
      <formula>0</formula>
      <formula>1000000</formula>
    </cfRule>
  </conditionalFormatting>
  <conditionalFormatting sqref="A57:B58 A60 B60:B62 A62">
    <cfRule type="cellIs" dxfId="17" priority="9" operator="lessThan">
      <formula>0</formula>
    </cfRule>
  </conditionalFormatting>
  <conditionalFormatting sqref="C57:BA57">
    <cfRule type="top10" dxfId="18" priority="4" rank="1"/>
  </conditionalFormatting>
  <conditionalFormatting sqref="C34:BD34">
    <cfRule type="cellIs" dxfId="19" priority="6" operator="between">
      <formula>40</formula>
      <formula>100</formula>
    </cfRule>
  </conditionalFormatting>
  <conditionalFormatting sqref="C39:BD39">
    <cfRule type="cellIs" dxfId="20" priority="5" operator="between">
      <formula>40</formula>
      <formula>100</formula>
    </cfRule>
  </conditionalFormatting>
  <conditionalFormatting sqref="BB57:BC57">
    <cfRule type="top10" dxfId="21" priority="1" rank="1"/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2">
    <tablePart r:id="rId3"/>
    <tablePart r:id="rId4"/>
  </tablePart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O68"/>
  <sheetViews>
    <sheetView workbookViewId="0" zoomScale="100" zoomScaleNormal="100">
      <pane xSplit="2" ySplit="3" topLeftCell="C68" activePane="bottomRight" state="frozen"/>
      <selection pane="bottomRight" activeCell="O1" sqref="O1"/>
    </sheetView>
  </sheetViews>
  <sheetFormatPr defaultRowHeight="15" outlineLevelRow="0" outlineLevelCol="0" x14ac:dyDescent="0.25" defaultColWidth="14.42578125"/>
  <cols>
    <col min="1" max="1" width="24.42578125" style="1" customWidth="1"/>
    <col min="2" max="2" width="20.140625" style="1" customWidth="1"/>
    <col min="3" max="14" width="11.140625" style="1" customWidth="1"/>
    <col min="15" max="16384" width="14.42578125" style="1" customWidth="1"/>
  </cols>
  <sheetData>
    <row r="1" ht="21.75" customHeight="1" spans="1:14" x14ac:dyDescent="0.25">
      <c r="A1" s="29" t="s">
        <v>49</v>
      </c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ht="14.25" customHeight="1" spans="1:14" x14ac:dyDescent="0.25">
      <c r="A2" s="33" t="s">
        <v>50</v>
      </c>
      <c r="B2" s="34"/>
      <c r="C2" s="35">
        <v>2025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ht="13.5" customHeight="1" spans="1:14" x14ac:dyDescent="0.25">
      <c r="A3" s="38"/>
      <c r="B3" s="39"/>
      <c r="C3" s="40" t="s">
        <v>51</v>
      </c>
      <c r="D3" s="40" t="s">
        <v>52</v>
      </c>
      <c r="E3" s="40" t="s">
        <v>53</v>
      </c>
      <c r="F3" s="40" t="s">
        <v>54</v>
      </c>
      <c r="G3" s="40" t="s">
        <v>39</v>
      </c>
      <c r="H3" s="40" t="s">
        <v>55</v>
      </c>
      <c r="I3" s="40" t="s">
        <v>56</v>
      </c>
      <c r="J3" s="40" t="s">
        <v>57</v>
      </c>
      <c r="K3" s="40" t="s">
        <v>58</v>
      </c>
      <c r="L3" s="40" t="s">
        <v>59</v>
      </c>
      <c r="M3" s="40" t="s">
        <v>60</v>
      </c>
      <c r="N3" s="40" t="s">
        <v>61</v>
      </c>
    </row>
    <row r="4" ht="13.5" customHeight="1" spans="1:14" x14ac:dyDescent="0.25">
      <c r="A4" s="42" t="s">
        <v>62</v>
      </c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ht="13.5" customHeight="1" spans="1:14" x14ac:dyDescent="0.25">
      <c r="A5" s="46" t="s">
        <v>63</v>
      </c>
      <c r="B5" s="47"/>
      <c r="C5" s="48">
        <f>'PL OZON (нед)'!C5</f>
        <v>239068.58</v>
      </c>
      <c r="D5" s="51">
        <f t="shared" ref="D5:N5" si="0">C12</f>
        <v>167411.58</v>
      </c>
      <c r="E5" s="51">
        <f t="shared" si="0"/>
        <v>117505.57999999999</v>
      </c>
      <c r="F5" s="51">
        <f t="shared" si="0"/>
        <v>85520.57999999999</v>
      </c>
      <c r="G5" s="51">
        <f t="shared" si="0"/>
        <v>67587.57999999999</v>
      </c>
      <c r="H5" s="51">
        <f t="shared" si="0"/>
        <v>67587.57999999999</v>
      </c>
      <c r="I5" s="51">
        <f t="shared" si="0"/>
        <v>67587.57999999999</v>
      </c>
      <c r="J5" s="51">
        <f t="shared" si="0"/>
        <v>67587.57999999999</v>
      </c>
      <c r="K5" s="51">
        <f t="shared" si="0"/>
        <v>67587.57999999999</v>
      </c>
      <c r="L5" s="51">
        <f t="shared" si="0"/>
        <v>67587.57999999999</v>
      </c>
      <c r="M5" s="51">
        <f t="shared" si="0"/>
        <v>67587.57999999999</v>
      </c>
      <c r="N5" s="51">
        <f t="shared" si="0"/>
        <v>67587.57999999999</v>
      </c>
    </row>
    <row r="6" ht="13.5" customHeight="1" spans="1:14" x14ac:dyDescent="0.25">
      <c r="A6" s="46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ht="13.5" customHeight="1" spans="1:15" x14ac:dyDescent="0.25">
      <c r="A7" s="46"/>
      <c r="B7" s="53" t="s">
        <v>64</v>
      </c>
      <c r="C7" s="51">
        <f>SUM('PL OZON (нед)'!C7:G7)</f>
        <v>606</v>
      </c>
      <c r="D7" s="51">
        <f>SUM('PL OZON (нед)'!H7:K7)</f>
        <v>390</v>
      </c>
      <c r="E7" s="51">
        <f>SUM('PL OZON (нед)'!L7:O7)</f>
        <v>238</v>
      </c>
      <c r="F7" s="51">
        <f>SUM('PL OZON (нед)'!P7:S7)</f>
        <v>122</v>
      </c>
      <c r="G7" s="51">
        <f>SUM('PL OZON (нед)'!T7:X7)</f>
        <v>0</v>
      </c>
      <c r="H7" s="51">
        <f>SUM('PL OZON (нед)'!Y7:AB7)</f>
        <v>0</v>
      </c>
      <c r="I7" s="51">
        <f>SUM('PL OZON (нед)'!AC7:AF7)</f>
        <v>0</v>
      </c>
      <c r="J7" s="51">
        <f>SUM('PL OZON (нед)'!AG7:AK7)</f>
        <v>0</v>
      </c>
      <c r="K7" s="51">
        <f>SUM('PL OZON (нед)'!AL7:AO7)</f>
        <v>0</v>
      </c>
      <c r="L7" s="51">
        <f>SUM('PL OZON (нед)'!AP7:AT7)</f>
        <v>0</v>
      </c>
      <c r="M7" s="51">
        <f>SUM('PL OZON (нед)'!AU7:AX7)</f>
        <v>0</v>
      </c>
      <c r="N7" s="51">
        <f>SUM('PL OZON (нед)'!AY7:BB7)</f>
        <v>0</v>
      </c>
      <c r="O7" s="1">
        <f>SUM(C7:N7)</f>
        <v>1356</v>
      </c>
    </row>
    <row r="8" ht="13.5" customHeight="1" spans="1:15" x14ac:dyDescent="0.25">
      <c r="A8" s="46"/>
      <c r="B8" s="53" t="s">
        <v>65</v>
      </c>
      <c r="C8" s="51">
        <f t="shared" ref="C8:N8" si="1">C33</f>
        <v>71657</v>
      </c>
      <c r="D8" s="51">
        <f t="shared" si="1"/>
        <v>49906</v>
      </c>
      <c r="E8" s="51">
        <f t="shared" si="1"/>
        <v>31985</v>
      </c>
      <c r="F8" s="51">
        <f t="shared" si="1"/>
        <v>17933</v>
      </c>
      <c r="G8" s="51">
        <f>G33</f>
        <v>0</v>
      </c>
      <c r="H8" s="51">
        <f t="shared" si="1"/>
        <v>0</v>
      </c>
      <c r="I8" s="51">
        <f t="shared" si="1"/>
        <v>0</v>
      </c>
      <c r="J8" s="51">
        <f t="shared" si="1"/>
        <v>0</v>
      </c>
      <c r="K8" s="51">
        <f t="shared" si="1"/>
        <v>0</v>
      </c>
      <c r="L8" s="51">
        <f t="shared" si="1"/>
        <v>0</v>
      </c>
      <c r="M8" s="51">
        <f t="shared" si="1"/>
        <v>0</v>
      </c>
      <c r="N8" s="51">
        <f t="shared" si="1"/>
        <v>0</v>
      </c>
      <c r="O8" s="1">
        <f>SUM(C8:N8)</f>
        <v>171481</v>
      </c>
    </row>
    <row r="9" ht="13.5" customHeight="1" spans="1:14" x14ac:dyDescent="0.25">
      <c r="A9" s="46"/>
      <c r="B9" s="47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ht="13.5" customHeight="1" spans="1:15" x14ac:dyDescent="0.25">
      <c r="A10" s="46" t="s">
        <v>66</v>
      </c>
      <c r="B10" s="47"/>
      <c r="C10" s="51">
        <f>SUM('PL OZON (нед)'!C10:G10)</f>
        <v>0</v>
      </c>
      <c r="D10" s="51">
        <f>SUM('PL OZON (нед)'!H10:K10)</f>
        <v>0</v>
      </c>
      <c r="E10" s="51">
        <f>SUM('PL OZON (нед)'!L10:O10)</f>
        <v>0</v>
      </c>
      <c r="F10" s="51">
        <f>SUM('PL OZON (нед)'!P10:S10)</f>
        <v>0</v>
      </c>
      <c r="G10" s="51">
        <f>SUM('PL OZON (нед)'!T10:X10)</f>
        <v>0</v>
      </c>
      <c r="H10" s="51">
        <f>SUM('PL OZON (нед)'!Y10:AB10)</f>
        <v>0</v>
      </c>
      <c r="I10" s="51">
        <f>SUM('PL OZON (нед)'!AC10:AF10)</f>
        <v>0</v>
      </c>
      <c r="J10" s="51">
        <f>SUM('PL OZON (нед)'!AG10:AK10)</f>
        <v>0</v>
      </c>
      <c r="K10" s="51">
        <f>SUM('PL OZON (нед)'!AL10:AO10)</f>
        <v>0</v>
      </c>
      <c r="L10" s="51">
        <f>SUM('PL OZON (нед)'!AP10:AT10)</f>
        <v>0</v>
      </c>
      <c r="M10" s="51">
        <f>SUM('PL OZON (нед)'!AU10:AX10)</f>
        <v>0</v>
      </c>
      <c r="N10" s="51">
        <f>SUM('PL OZON (нед)'!AY10:BB10)</f>
        <v>0</v>
      </c>
      <c r="O10" s="1">
        <f t="shared" ref="O10:O11" si="2">SUM(C10:N10)</f>
        <v>0</v>
      </c>
    </row>
    <row r="11" ht="13.5" customHeight="1" spans="1:15" x14ac:dyDescent="0.25">
      <c r="A11" s="54" t="s">
        <v>67</v>
      </c>
      <c r="B11" s="55"/>
      <c r="C11" s="48">
        <f>SUM('PL OZON (нед)'!C11:G11)</f>
        <v>0</v>
      </c>
      <c r="D11" s="48">
        <f>SUM('PL OZON (нед)'!H11:K11)</f>
        <v>0</v>
      </c>
      <c r="E11" s="48">
        <f>SUM('PL OZON (нед)'!L11:O11)</f>
        <v>0</v>
      </c>
      <c r="F11" s="48">
        <f>SUM('PL OZON (нед)'!P11:S11)</f>
        <v>0</v>
      </c>
      <c r="G11" s="48">
        <f>SUM('PL OZON (нед)'!T11:X11)</f>
        <v>0</v>
      </c>
      <c r="H11" s="48">
        <f>SUM('PL OZON (нед)'!Y11:AB11)</f>
        <v>0</v>
      </c>
      <c r="I11" s="48">
        <f>SUM('PL OZON (нед)'!AC11:AF11)</f>
        <v>0</v>
      </c>
      <c r="J11" s="48">
        <f>SUM('PL OZON (нед)'!AG11:AK11)</f>
        <v>0</v>
      </c>
      <c r="K11" s="48">
        <f>SUM('PL OZON (нед)'!AL11:AO11)</f>
        <v>0</v>
      </c>
      <c r="L11" s="48">
        <f>SUM('PL OZON (нед)'!AP11:AT11)</f>
        <v>0</v>
      </c>
      <c r="M11" s="48">
        <f>SUM('PL OZON (нед)'!AU11:AX11)</f>
        <v>0</v>
      </c>
      <c r="N11" s="48">
        <f>SUM('PL OZON (нед)'!AY11:BB11)</f>
        <v>0</v>
      </c>
      <c r="O11" s="1">
        <f t="shared" si="2"/>
        <v>0</v>
      </c>
    </row>
    <row r="12" ht="13.5" customHeight="1" spans="1:14" x14ac:dyDescent="0.25">
      <c r="A12" s="56" t="s">
        <v>68</v>
      </c>
      <c r="B12" s="57"/>
      <c r="C12" s="302">
        <f>C10-C8+C5</f>
        <v>167411.58</v>
      </c>
      <c r="D12" s="302">
        <f t="shared" ref="D12:N12" si="3">D10-D8+D5</f>
        <v>117505.57999999999</v>
      </c>
      <c r="E12" s="302">
        <f t="shared" si="3"/>
        <v>85520.57999999999</v>
      </c>
      <c r="F12" s="302">
        <f t="shared" si="3"/>
        <v>67587.57999999999</v>
      </c>
      <c r="G12" s="302">
        <f t="shared" si="3"/>
        <v>67587.57999999999</v>
      </c>
      <c r="H12" s="302">
        <f t="shared" si="3"/>
        <v>67587.57999999999</v>
      </c>
      <c r="I12" s="302">
        <f t="shared" si="3"/>
        <v>67587.57999999999</v>
      </c>
      <c r="J12" s="302">
        <f t="shared" si="3"/>
        <v>67587.57999999999</v>
      </c>
      <c r="K12" s="302">
        <f t="shared" si="3"/>
        <v>67587.57999999999</v>
      </c>
      <c r="L12" s="302">
        <f t="shared" si="3"/>
        <v>67587.57999999999</v>
      </c>
      <c r="M12" s="302">
        <f t="shared" si="3"/>
        <v>67587.57999999999</v>
      </c>
      <c r="N12" s="302">
        <f t="shared" si="3"/>
        <v>67587.57999999999</v>
      </c>
    </row>
    <row r="13" ht="13.5" customHeight="1" spans="1:14" x14ac:dyDescent="0.25">
      <c r="A13" s="56" t="s">
        <v>69</v>
      </c>
      <c r="B13" s="58"/>
      <c r="C13" s="302">
        <f>'PL OZON (нед)'!G13</f>
        <v>1146</v>
      </c>
      <c r="D13" s="302">
        <f t="shared" ref="D13:N13" si="4">C13-D7-D27+D11+D23</f>
        <v>760</v>
      </c>
      <c r="E13" s="302">
        <f t="shared" si="4"/>
        <v>530</v>
      </c>
      <c r="F13" s="302">
        <f t="shared" si="4"/>
        <v>409</v>
      </c>
      <c r="G13" s="302">
        <f t="shared" si="4"/>
        <v>409</v>
      </c>
      <c r="H13" s="302">
        <f t="shared" si="4"/>
        <v>409</v>
      </c>
      <c r="I13" s="302">
        <f t="shared" si="4"/>
        <v>409</v>
      </c>
      <c r="J13" s="302">
        <f t="shared" si="4"/>
        <v>409</v>
      </c>
      <c r="K13" s="302">
        <f t="shared" si="4"/>
        <v>409</v>
      </c>
      <c r="L13" s="302">
        <f t="shared" si="4"/>
        <v>409</v>
      </c>
      <c r="M13" s="302">
        <f t="shared" si="4"/>
        <v>409</v>
      </c>
      <c r="N13" s="302">
        <f t="shared" si="4"/>
        <v>409</v>
      </c>
    </row>
    <row r="14" ht="13.5" customHeight="1" spans="1:15" x14ac:dyDescent="0.25">
      <c r="A14" s="59" t="s">
        <v>157</v>
      </c>
      <c r="B14" s="50"/>
      <c r="C14" s="60">
        <f>SUM('PL OZON (нед)'!C14:G14)</f>
        <v>398751</v>
      </c>
      <c r="D14" s="60">
        <f>SUM('PL OZON (нед)'!H14:K14)</f>
        <v>257393</v>
      </c>
      <c r="E14" s="60">
        <f>SUM('PL OZON (нед)'!L14:O14)</f>
        <v>164849</v>
      </c>
      <c r="F14" s="60">
        <f>SUM('PL OZON (нед)'!P14:S14)</f>
        <v>74339</v>
      </c>
      <c r="G14" s="60">
        <f>SUM('PL OZON (нед)'!T14:X14)</f>
        <v>0</v>
      </c>
      <c r="H14" s="60">
        <f>SUM('PL OZON (нед)'!Y14:AB14)</f>
        <v>0</v>
      </c>
      <c r="I14" s="60">
        <f>SUM('PL OZON (нед)'!AC14:AF14)</f>
        <v>0</v>
      </c>
      <c r="J14" s="60">
        <f>SUM('PL OZON (нед)'!AG14:AK14)</f>
        <v>0</v>
      </c>
      <c r="K14" s="60">
        <f>SUM('PL OZON (нед)'!AL14:AO14)</f>
        <v>0</v>
      </c>
      <c r="L14" s="60">
        <f>SUM('PL OZON (нед)'!AP14:AT14)</f>
        <v>0</v>
      </c>
      <c r="M14" s="60">
        <f>SUM('PL OZON (нед)'!AU14:AX14)</f>
        <v>0</v>
      </c>
      <c r="N14" s="60">
        <f>SUM('PL OZON (нед)'!AY14:BB14)</f>
        <v>0</v>
      </c>
      <c r="O14" s="1">
        <f>SUM(C14:N14)</f>
        <v>895332</v>
      </c>
    </row>
    <row r="15" ht="13.5" customHeight="1" spans="1:15" x14ac:dyDescent="0.25">
      <c r="A15" s="59"/>
      <c r="B15" s="62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1">
        <f t="shared" ref="O15:O17" si="5">SUM(C15:N15)</f>
        <v>0</v>
      </c>
    </row>
    <row r="16" ht="13.5" customHeight="1" spans="1:15" x14ac:dyDescent="0.25">
      <c r="A16" s="63"/>
      <c r="B16" s="47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1">
        <f t="shared" si="5"/>
        <v>0</v>
      </c>
    </row>
    <row r="17" ht="13.5" customHeight="1" spans="1:15" x14ac:dyDescent="0.25">
      <c r="A17" s="63" t="s">
        <v>148</v>
      </c>
      <c r="B17" s="47"/>
      <c r="C17" s="60">
        <f>C14-C20</f>
        <v>150295</v>
      </c>
      <c r="D17" s="60">
        <f t="shared" ref="D17:N17" si="6">D14-D20</f>
        <v>97559</v>
      </c>
      <c r="E17" s="60">
        <f t="shared" si="6"/>
        <v>62491</v>
      </c>
      <c r="F17" s="60">
        <f t="shared" si="6"/>
        <v>28841</v>
      </c>
      <c r="G17" s="60">
        <f t="shared" si="6"/>
        <v>0</v>
      </c>
      <c r="H17" s="60">
        <f t="shared" si="6"/>
        <v>0</v>
      </c>
      <c r="I17" s="60">
        <f t="shared" si="6"/>
        <v>0</v>
      </c>
      <c r="J17" s="60">
        <f t="shared" si="6"/>
        <v>0</v>
      </c>
      <c r="K17" s="60">
        <f t="shared" si="6"/>
        <v>0</v>
      </c>
      <c r="L17" s="60">
        <f t="shared" si="6"/>
        <v>0</v>
      </c>
      <c r="M17" s="60">
        <f t="shared" si="6"/>
        <v>0</v>
      </c>
      <c r="N17" s="60">
        <f t="shared" si="6"/>
        <v>0</v>
      </c>
      <c r="O17" s="1">
        <f t="shared" si="5"/>
        <v>339186</v>
      </c>
    </row>
    <row r="18" ht="13.5" customHeight="1" spans="1:15" x14ac:dyDescent="0.25">
      <c r="A18" s="63" t="s">
        <v>73</v>
      </c>
      <c r="B18" s="47"/>
      <c r="C18" s="66">
        <f>IFERROR(C17/C14,0)</f>
        <v>0.37691441526165453</v>
      </c>
      <c r="D18" s="66">
        <f t="shared" ref="D18:O18" si="7">IFERROR(D17/D14,0)</f>
        <v>0.3790274016775903</v>
      </c>
      <c r="E18" s="66">
        <f t="shared" si="7"/>
        <v>0.3790802491977507</v>
      </c>
      <c r="F18" s="66">
        <f t="shared" si="7"/>
        <v>0.3879659398162472</v>
      </c>
      <c r="G18" s="66">
        <f t="shared" si="7"/>
        <v>0</v>
      </c>
      <c r="H18" s="66">
        <f t="shared" si="7"/>
        <v>0</v>
      </c>
      <c r="I18" s="66">
        <f t="shared" si="7"/>
        <v>0</v>
      </c>
      <c r="J18" s="66">
        <f t="shared" si="7"/>
        <v>0</v>
      </c>
      <c r="K18" s="66">
        <f t="shared" si="7"/>
        <v>0</v>
      </c>
      <c r="L18" s="66">
        <f t="shared" si="7"/>
        <v>0</v>
      </c>
      <c r="M18" s="66">
        <f t="shared" si="7"/>
        <v>0</v>
      </c>
      <c r="N18" s="66">
        <f t="shared" si="7"/>
        <v>0</v>
      </c>
      <c r="O18" s="1">
        <f t="shared" si="7"/>
        <v>0.3788382410100387</v>
      </c>
    </row>
    <row r="19" ht="13.5" customHeight="1" spans="1:14" x14ac:dyDescent="0.25">
      <c r="A19" s="63"/>
      <c r="B19" s="47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ht="13.5" customHeight="1" spans="1:15" x14ac:dyDescent="0.25">
      <c r="A20" s="68" t="s">
        <v>74</v>
      </c>
      <c r="B20" s="62"/>
      <c r="C20" s="60">
        <f>SUM('PL OZON (нед)'!C20:G20)</f>
        <v>248456</v>
      </c>
      <c r="D20" s="60">
        <f>SUM('PL OZON (нед)'!H20:K20)</f>
        <v>159834</v>
      </c>
      <c r="E20" s="60">
        <f>SUM('PL OZON (нед)'!L20:O20)</f>
        <v>102358</v>
      </c>
      <c r="F20" s="60">
        <f>SUM('PL OZON (нед)'!P20:S20)</f>
        <v>45498</v>
      </c>
      <c r="G20" s="60">
        <f>SUM('PL OZON (нед)'!T20:X20)</f>
        <v>0</v>
      </c>
      <c r="H20" s="60">
        <f>SUM('PL OZON (нед)'!Y20:AB20)</f>
        <v>0</v>
      </c>
      <c r="I20" s="60">
        <f>SUM('PL OZON (нед)'!AC20:AF20)</f>
        <v>0</v>
      </c>
      <c r="J20" s="60">
        <f>SUM('PL OZON (нед)'!AG20:AK20)</f>
        <v>0</v>
      </c>
      <c r="K20" s="60">
        <f>SUM('PL OZON (нед)'!AL20:AO20)</f>
        <v>0</v>
      </c>
      <c r="L20" s="60">
        <f>SUM('PL OZON (нед)'!AP20:AT20)</f>
        <v>0</v>
      </c>
      <c r="M20" s="60">
        <f>SUM('PL OZON (нед)'!AU20:AX20)</f>
        <v>0</v>
      </c>
      <c r="N20" s="60">
        <f>SUM('PL OZON (нед)'!AY20:BB20)</f>
        <v>0</v>
      </c>
      <c r="O20" s="1">
        <f>SUM(C20:N20)</f>
        <v>556146</v>
      </c>
    </row>
    <row r="21" ht="13.5" customHeight="1" spans="1:15" x14ac:dyDescent="0.25">
      <c r="A21" s="69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1">
        <f t="shared" ref="O21:O23" si="8">SUM(C21:N21)</f>
        <v>0</v>
      </c>
    </row>
    <row r="22" ht="13.5" customHeight="1" spans="1:15" x14ac:dyDescent="0.25">
      <c r="A22" s="63" t="s">
        <v>75</v>
      </c>
      <c r="B22" s="73"/>
      <c r="C22" s="64">
        <f>SUM('PL OZON (нед)'!C22:G22)</f>
        <v>6905</v>
      </c>
      <c r="D22" s="64">
        <f>SUM('PL OZON (нед)'!H22:K22)</f>
        <v>3051</v>
      </c>
      <c r="E22" s="64">
        <f>SUM('PL OZON (нед)'!L22:O22)</f>
        <v>7250</v>
      </c>
      <c r="F22" s="64">
        <f>SUM('PL OZON (нед)'!P22:S22)</f>
        <v>660</v>
      </c>
      <c r="G22" s="64">
        <f>SUM('PL OZON (нед)'!T22:X22)</f>
        <v>0</v>
      </c>
      <c r="H22" s="64">
        <f>SUM('PL OZON (нед)'!Y22:AB22)</f>
        <v>0</v>
      </c>
      <c r="I22" s="64">
        <f>SUM('PL OZON (нед)'!AC22:AF22)</f>
        <v>0</v>
      </c>
      <c r="J22" s="64">
        <f>SUM('PL OZON (нед)'!AG22:AK22)</f>
        <v>0</v>
      </c>
      <c r="K22" s="64">
        <f>SUM('PL WB (нед)'!AL22:AO22)</f>
        <v>0</v>
      </c>
      <c r="L22" s="64">
        <f>SUM('PL WB (нед)'!AP22:AT22)</f>
        <v>0</v>
      </c>
      <c r="M22" s="64">
        <f>SUM('PL WB (нед)'!AU22:AX22)</f>
        <v>0</v>
      </c>
      <c r="N22" s="64">
        <f>SUM('PL WB (нед)'!AY22:BB22)</f>
        <v>0</v>
      </c>
      <c r="O22" s="1">
        <f t="shared" si="8"/>
        <v>17866</v>
      </c>
    </row>
    <row r="23" ht="13.5" customHeight="1" spans="1:15" x14ac:dyDescent="0.25">
      <c r="A23" s="63" t="s">
        <v>76</v>
      </c>
      <c r="B23" s="73"/>
      <c r="C23" s="64">
        <f>SUM('PL OZON (нед)'!C23:G23)</f>
        <v>11</v>
      </c>
      <c r="D23" s="64">
        <f>SUM('PL OZON (нед)'!H23:K23)</f>
        <v>4</v>
      </c>
      <c r="E23" s="64">
        <f>SUM('PL OZON (нед)'!L23:O23)</f>
        <v>8</v>
      </c>
      <c r="F23" s="64">
        <f>SUM('PL OZON (нед)'!P23:S23)</f>
        <v>1</v>
      </c>
      <c r="G23" s="64">
        <f>SUM('PL OZON (нед)'!T23:X23)</f>
        <v>0</v>
      </c>
      <c r="H23" s="64">
        <f>SUM('PL WB (нед)'!Y23:AB23)</f>
        <v>0</v>
      </c>
      <c r="I23" s="64">
        <f>SUM('PL WB (нед)'!AC23:AF23)</f>
        <v>0</v>
      </c>
      <c r="J23" s="64">
        <f>SUM('PL WB (нед)'!AG23:AK23)</f>
        <v>0</v>
      </c>
      <c r="K23" s="64">
        <f>SUM('PL OZON (нед)'!AL23:AO23)</f>
        <v>0</v>
      </c>
      <c r="L23" s="64">
        <f>SUM('PL OZON (нед)'!AP23:AT23)</f>
        <v>0</v>
      </c>
      <c r="M23" s="64">
        <f>SUM('PL OZON (нед)'!AU23:AX23)</f>
        <v>0</v>
      </c>
      <c r="N23" s="64">
        <f>SUM('PL OZON (нед)'!AY23:BB23)</f>
        <v>0</v>
      </c>
      <c r="O23" s="1">
        <f t="shared" si="8"/>
        <v>24</v>
      </c>
    </row>
    <row r="24" ht="13.5" customHeight="1" spans="1:15" x14ac:dyDescent="0.25">
      <c r="A24" s="63" t="s">
        <v>77</v>
      </c>
      <c r="B24" s="73"/>
      <c r="C24" s="74">
        <f>IFERROR(C22/C14,0)</f>
        <v>0.01731657099292541</v>
      </c>
      <c r="D24" s="74">
        <f t="shared" ref="D24:O24" si="9">IFERROR(D22/D14,0)</f>
        <v>0.011853469208564336</v>
      </c>
      <c r="E24" s="74">
        <f t="shared" si="9"/>
        <v>0.04397964197538353</v>
      </c>
      <c r="F24" s="74">
        <f t="shared" si="9"/>
        <v>0.008878246949784098</v>
      </c>
      <c r="G24" s="74">
        <f t="shared" si="9"/>
        <v>0</v>
      </c>
      <c r="H24" s="74">
        <f t="shared" si="9"/>
        <v>0</v>
      </c>
      <c r="I24" s="74">
        <f t="shared" si="9"/>
        <v>0</v>
      </c>
      <c r="J24" s="74">
        <f t="shared" si="9"/>
        <v>0</v>
      </c>
      <c r="K24" s="74">
        <f t="shared" si="9"/>
        <v>0</v>
      </c>
      <c r="L24" s="74">
        <f t="shared" si="9"/>
        <v>0</v>
      </c>
      <c r="M24" s="74">
        <f t="shared" si="9"/>
        <v>0</v>
      </c>
      <c r="N24" s="74">
        <f t="shared" si="9"/>
        <v>0</v>
      </c>
      <c r="O24" s="1">
        <f t="shared" si="9"/>
        <v>0.019954609016543584</v>
      </c>
    </row>
    <row r="25" ht="13.5" customHeight="1" spans="1:14" x14ac:dyDescent="0.25">
      <c r="A25" s="69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</row>
    <row r="26" ht="13.5" customHeight="1" hidden="1" spans="1:14" x14ac:dyDescent="0.25">
      <c r="A26" s="76" t="s">
        <v>78</v>
      </c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ht="13.5" customHeight="1" spans="1:14" x14ac:dyDescent="0.25">
      <c r="A27" s="76" t="s">
        <v>79</v>
      </c>
      <c r="B27" s="70"/>
      <c r="C27" s="64">
        <f>SUM('PL OZON (нед)'!C27:G27)</f>
        <v>0</v>
      </c>
      <c r="D27" s="64">
        <f>SUM('PL OZON (нед)'!H27:K27)</f>
        <v>0</v>
      </c>
      <c r="E27" s="64">
        <f>SUM('PL OZON (нед)'!L27:O27)</f>
        <v>0</v>
      </c>
      <c r="F27" s="64">
        <f>SUM('PL OZON (нед)'!P27:S27)</f>
        <v>0</v>
      </c>
      <c r="G27" s="64">
        <f>SUM('PL OZON (нед)'!T27:X27)</f>
        <v>0</v>
      </c>
      <c r="H27" s="64">
        <f>SUM('PL OZON (нед)'!Y27:AB27)</f>
        <v>0</v>
      </c>
      <c r="I27" s="64">
        <f>SUM('PL OZON (нед)'!AC27:AF27)</f>
        <v>0</v>
      </c>
      <c r="J27" s="64">
        <f>SUM('PL OZON (нед)'!AG27:AK27)</f>
        <v>0</v>
      </c>
      <c r="K27" s="64">
        <f>SUM('PL OZON (нед)'!AL27:AO27)</f>
        <v>0</v>
      </c>
      <c r="L27" s="64">
        <f>SUM('PL OZON (нед)'!AP27:AT27)</f>
        <v>0</v>
      </c>
      <c r="M27" s="64">
        <f>SUM('PL OZON (нед)'!AU27:AX27)</f>
        <v>0</v>
      </c>
      <c r="N27" s="64">
        <f>SUM('PL OZON (нед)'!AY27:BB27)</f>
        <v>0</v>
      </c>
    </row>
    <row r="28" ht="13.5" customHeight="1" spans="1:14" x14ac:dyDescent="0.25">
      <c r="A28" s="76" t="s">
        <v>80</v>
      </c>
      <c r="B28" s="70"/>
      <c r="C28" s="74">
        <f>IFERROR(C27/C7,0)</f>
        <v>0</v>
      </c>
      <c r="D28" s="74">
        <f t="shared" ref="D28:N28" si="10">IFERROR(D27/D7,0)</f>
        <v>0</v>
      </c>
      <c r="E28" s="74">
        <f t="shared" si="10"/>
        <v>0</v>
      </c>
      <c r="F28" s="74">
        <f t="shared" si="10"/>
        <v>0</v>
      </c>
      <c r="G28" s="74">
        <f t="shared" si="10"/>
        <v>0</v>
      </c>
      <c r="H28" s="74">
        <f t="shared" si="10"/>
        <v>0</v>
      </c>
      <c r="I28" s="74">
        <f t="shared" si="10"/>
        <v>0</v>
      </c>
      <c r="J28" s="74">
        <f t="shared" si="10"/>
        <v>0</v>
      </c>
      <c r="K28" s="74">
        <f t="shared" si="10"/>
        <v>0</v>
      </c>
      <c r="L28" s="74">
        <f t="shared" si="10"/>
        <v>0</v>
      </c>
      <c r="M28" s="74">
        <f t="shared" si="10"/>
        <v>0</v>
      </c>
      <c r="N28" s="74">
        <f t="shared" si="10"/>
        <v>0</v>
      </c>
    </row>
    <row r="29" ht="13.5" customHeight="1" spans="1:14" x14ac:dyDescent="0.25">
      <c r="A29" s="69"/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</row>
    <row r="30" ht="13.5" customHeight="1" spans="1:15" x14ac:dyDescent="0.25">
      <c r="A30" s="77" t="s">
        <v>127</v>
      </c>
      <c r="B30" s="78"/>
      <c r="C30" s="79">
        <f t="shared" ref="C30:N30" si="11">C20+C31-SUM(C40:C45)-C41</f>
        <v>114486</v>
      </c>
      <c r="D30" s="79">
        <f t="shared" si="11"/>
        <v>72462</v>
      </c>
      <c r="E30" s="79">
        <f t="shared" si="11"/>
        <v>58108</v>
      </c>
      <c r="F30" s="79">
        <f t="shared" si="11"/>
        <v>28100</v>
      </c>
      <c r="G30" s="79">
        <f t="shared" si="11"/>
        <v>0</v>
      </c>
      <c r="H30" s="79">
        <f t="shared" si="11"/>
        <v>0</v>
      </c>
      <c r="I30" s="79">
        <f t="shared" si="11"/>
        <v>0</v>
      </c>
      <c r="J30" s="79">
        <f t="shared" si="11"/>
        <v>0</v>
      </c>
      <c r="K30" s="79">
        <f t="shared" si="11"/>
        <v>0</v>
      </c>
      <c r="L30" s="79">
        <f t="shared" si="11"/>
        <v>0</v>
      </c>
      <c r="M30" s="79">
        <f t="shared" si="11"/>
        <v>0</v>
      </c>
      <c r="N30" s="79">
        <f t="shared" si="11"/>
        <v>0</v>
      </c>
      <c r="O30" s="1">
        <f>SUM(C30:N30)</f>
        <v>273156</v>
      </c>
    </row>
    <row r="31" ht="13.5" customHeight="1" spans="1:14" x14ac:dyDescent="0.25">
      <c r="A31" s="1" t="s">
        <v>82</v>
      </c>
      <c r="B31" s="70"/>
      <c r="C31" s="51">
        <f>SUM('PL OZON (нед)'!C31:G31)</f>
        <v>0</v>
      </c>
      <c r="D31" s="51">
        <f>SUM('PL OZON (нед)'!H31:K31)</f>
        <v>0</v>
      </c>
      <c r="E31" s="51">
        <f>SUM('PL OZON (нед)'!L31:O31)</f>
        <v>0</v>
      </c>
      <c r="F31" s="51">
        <f>SUM('PL OZON (нед)'!P31:S31)</f>
        <v>0</v>
      </c>
      <c r="G31" s="51">
        <f>SUM('PL OZON (нед)'!T31:X31)</f>
        <v>0</v>
      </c>
      <c r="H31" s="51">
        <f>SUM('PL OZON (нед)'!Y31:AB31)</f>
        <v>0</v>
      </c>
      <c r="I31" s="51">
        <f>SUM('PL OZON (нед)'!AC31:AF31)</f>
        <v>0</v>
      </c>
      <c r="J31" s="51">
        <f>SUM('PL OZON (нед)'!AG31:AK31)</f>
        <v>0</v>
      </c>
      <c r="K31" s="51">
        <f>SUM('PL OZON (нед)'!AL31:AO31)</f>
        <v>0</v>
      </c>
      <c r="L31" s="51">
        <f>SUM('PL OZON (нед)'!AP31:AT31)</f>
        <v>0</v>
      </c>
      <c r="M31" s="51">
        <f>SUM('PL OZON (нед)'!AU31:AX31)</f>
        <v>0</v>
      </c>
      <c r="N31" s="51">
        <f>SUM('PL OZON (нед)'!AY31:BB31)</f>
        <v>0</v>
      </c>
    </row>
    <row r="33" ht="13.5" customHeight="1" spans="1:15" x14ac:dyDescent="0.25">
      <c r="A33" s="68" t="s">
        <v>29</v>
      </c>
      <c r="B33" s="84"/>
      <c r="C33" s="60">
        <f>SUM('PL OZON (нед)'!C33:G33)</f>
        <v>71657</v>
      </c>
      <c r="D33" s="60">
        <f>SUM('PL OZON (нед)'!H33:K33)</f>
        <v>49906</v>
      </c>
      <c r="E33" s="60">
        <f>SUM('PL OZON (нед)'!L33:O33)</f>
        <v>31985</v>
      </c>
      <c r="F33" s="60">
        <f>SUM('PL OZON (нед)'!P33:S33)</f>
        <v>17933</v>
      </c>
      <c r="G33" s="60">
        <f>SUM('PL OZON (нед)'!T33:X33)</f>
        <v>0</v>
      </c>
      <c r="H33" s="60">
        <f>SUM('PL OZON (нед)'!Y33:AB33)</f>
        <v>0</v>
      </c>
      <c r="I33" s="60">
        <f>SUM('PL OZON (нед)'!AC33:AF33)</f>
        <v>0</v>
      </c>
      <c r="J33" s="60">
        <f>SUM('PL OZON (нед)'!AG33:AK33)</f>
        <v>0</v>
      </c>
      <c r="K33" s="60">
        <f>SUM('PL OZON (нед)'!AL33:AO33)</f>
        <v>0</v>
      </c>
      <c r="L33" s="60">
        <f>SUM('PL OZON (нед)'!AP33:AT33)</f>
        <v>0</v>
      </c>
      <c r="M33" s="60">
        <f>SUM('PL OZON (нед)'!AU33:AX33)</f>
        <v>0</v>
      </c>
      <c r="N33" s="60">
        <f>SUM('PL OZON (нед)'!AY33:BB33)</f>
        <v>0</v>
      </c>
      <c r="O33" s="1">
        <f>SUM('PL OZON (нед)'!AZ33:BC33)</f>
        <v>0</v>
      </c>
    </row>
    <row r="34" ht="13.5" customHeight="1" spans="1:15" x14ac:dyDescent="0.25">
      <c r="A34" s="85" t="s">
        <v>83</v>
      </c>
      <c r="B34" s="86"/>
      <c r="C34" s="87">
        <f>IFERROR(C33/C14,0)</f>
        <v>0.1797036245677127</v>
      </c>
      <c r="D34" s="87">
        <f t="shared" ref="D34:O34" si="12">IFERROR(D33/D14,0)</f>
        <v>0.1938902767363526</v>
      </c>
      <c r="E34" s="87">
        <f t="shared" si="12"/>
        <v>0.19402604808036444</v>
      </c>
      <c r="F34" s="87">
        <f t="shared" si="12"/>
        <v>0.2412327311370882</v>
      </c>
      <c r="G34" s="87">
        <f t="shared" si="12"/>
        <v>0</v>
      </c>
      <c r="H34" s="87">
        <f t="shared" si="12"/>
        <v>0</v>
      </c>
      <c r="I34" s="87">
        <f t="shared" si="12"/>
        <v>0</v>
      </c>
      <c r="J34" s="87">
        <f t="shared" si="12"/>
        <v>0</v>
      </c>
      <c r="K34" s="87">
        <f t="shared" si="12"/>
        <v>0</v>
      </c>
      <c r="L34" s="87">
        <f t="shared" si="12"/>
        <v>0</v>
      </c>
      <c r="M34" s="87">
        <f t="shared" si="12"/>
        <v>0</v>
      </c>
      <c r="N34" s="87">
        <f t="shared" si="12"/>
        <v>0</v>
      </c>
      <c r="O34" s="1">
        <f t="shared" si="12"/>
        <v>0</v>
      </c>
    </row>
    <row r="35" ht="13.5" customHeight="1" spans="1:14" x14ac:dyDescent="0.25">
      <c r="A35" s="81"/>
      <c r="B35" s="89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</row>
    <row r="36" ht="13.5" customHeight="1" spans="1:15" x14ac:dyDescent="0.25">
      <c r="A36" s="68" t="s">
        <v>10</v>
      </c>
      <c r="B36" s="84"/>
      <c r="C36" s="60">
        <f>C20-C33</f>
        <v>176799</v>
      </c>
      <c r="D36" s="60">
        <f t="shared" ref="D36:O36" si="13">D20-D33</f>
        <v>109928</v>
      </c>
      <c r="E36" s="60">
        <f t="shared" si="13"/>
        <v>70373</v>
      </c>
      <c r="F36" s="60">
        <f t="shared" si="13"/>
        <v>27565</v>
      </c>
      <c r="G36" s="60">
        <f t="shared" si="13"/>
        <v>0</v>
      </c>
      <c r="H36" s="60">
        <f t="shared" si="13"/>
        <v>0</v>
      </c>
      <c r="I36" s="60">
        <f t="shared" si="13"/>
        <v>0</v>
      </c>
      <c r="J36" s="60">
        <f t="shared" si="13"/>
        <v>0</v>
      </c>
      <c r="K36" s="60">
        <f t="shared" si="13"/>
        <v>0</v>
      </c>
      <c r="L36" s="60">
        <f t="shared" si="13"/>
        <v>0</v>
      </c>
      <c r="M36" s="60">
        <f t="shared" si="13"/>
        <v>0</v>
      </c>
      <c r="N36" s="60">
        <f t="shared" si="13"/>
        <v>0</v>
      </c>
      <c r="O36" s="1">
        <f t="shared" si="13"/>
        <v>556146</v>
      </c>
    </row>
    <row r="37" ht="13.5" customHeight="1" spans="1:14" x14ac:dyDescent="0.25">
      <c r="A37" s="90"/>
      <c r="B37" s="39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</row>
    <row r="38" ht="13.5" customHeight="1" spans="1:15" x14ac:dyDescent="0.25">
      <c r="A38" s="68" t="s">
        <v>84</v>
      </c>
      <c r="B38" s="84"/>
      <c r="C38" s="60">
        <f t="shared" ref="C38:N38" si="14">SUM(C40:C51)</f>
        <v>122123</v>
      </c>
      <c r="D38" s="60">
        <f t="shared" si="14"/>
        <v>79457</v>
      </c>
      <c r="E38" s="60">
        <f t="shared" si="14"/>
        <v>41033</v>
      </c>
      <c r="F38" s="60">
        <f t="shared" si="14"/>
        <v>17023</v>
      </c>
      <c r="G38" s="60">
        <f t="shared" si="14"/>
        <v>0</v>
      </c>
      <c r="H38" s="60">
        <f t="shared" si="14"/>
        <v>0</v>
      </c>
      <c r="I38" s="60">
        <f t="shared" si="14"/>
        <v>0</v>
      </c>
      <c r="J38" s="60">
        <f t="shared" si="14"/>
        <v>0</v>
      </c>
      <c r="K38" s="60">
        <f t="shared" si="14"/>
        <v>0</v>
      </c>
      <c r="L38" s="60">
        <f t="shared" si="14"/>
        <v>0</v>
      </c>
      <c r="M38" s="60">
        <f t="shared" si="14"/>
        <v>0</v>
      </c>
      <c r="N38" s="60">
        <f t="shared" si="14"/>
        <v>0</v>
      </c>
      <c r="O38" s="1">
        <f>SUM(C38:N38)</f>
        <v>259636</v>
      </c>
    </row>
    <row r="39" ht="13.5" customHeight="1" spans="1:14" x14ac:dyDescent="0.25">
      <c r="A39" s="91" t="s">
        <v>85</v>
      </c>
      <c r="B39" s="92"/>
      <c r="C39" s="87">
        <f>IFERROR(C38/C14,0)</f>
        <v>0.3062638087427994</v>
      </c>
      <c r="D39" s="87">
        <f t="shared" ref="D39:N39" si="15">IFERROR(D38/D14,0)</f>
        <v>0.30869914877249965</v>
      </c>
      <c r="E39" s="87">
        <f t="shared" si="15"/>
        <v>0.2489126412656431</v>
      </c>
      <c r="F39" s="87">
        <f t="shared" si="15"/>
        <v>0.22899151185784045</v>
      </c>
      <c r="G39" s="87">
        <f t="shared" si="15"/>
        <v>0</v>
      </c>
      <c r="H39" s="87">
        <f t="shared" si="15"/>
        <v>0</v>
      </c>
      <c r="I39" s="87">
        <f t="shared" si="15"/>
        <v>0</v>
      </c>
      <c r="J39" s="87">
        <f t="shared" si="15"/>
        <v>0</v>
      </c>
      <c r="K39" s="87">
        <f t="shared" si="15"/>
        <v>0</v>
      </c>
      <c r="L39" s="87">
        <f t="shared" si="15"/>
        <v>0</v>
      </c>
      <c r="M39" s="87">
        <f t="shared" si="15"/>
        <v>0</v>
      </c>
      <c r="N39" s="87">
        <f t="shared" si="15"/>
        <v>0</v>
      </c>
    </row>
    <row r="40" ht="13.5" customHeight="1" spans="1:15" x14ac:dyDescent="0.25">
      <c r="A40" s="97" t="s">
        <v>151</v>
      </c>
      <c r="B40" s="94"/>
      <c r="C40" s="95">
        <f>SUM('PL OZON (нед)'!C40:G40)</f>
        <v>75794</v>
      </c>
      <c r="D40" s="95">
        <f>SUM('PL OZON (нед)'!H40:K40)</f>
        <v>56956</v>
      </c>
      <c r="E40" s="95">
        <f>SUM('PL OZON (нед)'!L40:O40)</f>
        <v>32152</v>
      </c>
      <c r="F40" s="95">
        <f>SUM('PL OZON (нед)'!P40:S40)</f>
        <v>9596</v>
      </c>
      <c r="G40" s="95">
        <f>SUM('PL OZON (нед)'!T40:X40)</f>
        <v>0</v>
      </c>
      <c r="H40" s="95">
        <f>SUM('PL OZON (нед)'!Y40:AB40)</f>
        <v>0</v>
      </c>
      <c r="I40" s="95">
        <f>SUM('PL OZON (нед)'!AC40:AF40)</f>
        <v>0</v>
      </c>
      <c r="J40" s="95">
        <f>SUM('PL OZON (нед)'!AG40:AK40)</f>
        <v>0</v>
      </c>
      <c r="K40" s="95">
        <f>SUM('PL OZON (нед)'!AL40:AO40)</f>
        <v>0</v>
      </c>
      <c r="L40" s="95">
        <f>SUM('PL OZON (нед)'!AP40:AT40)</f>
        <v>0</v>
      </c>
      <c r="M40" s="95">
        <f>SUM('PL OZON (нед)'!AU40:AX40)</f>
        <v>0</v>
      </c>
      <c r="N40" s="95">
        <f>SUM('PL OZON (нед)'!AY40:BB40)</f>
        <v>0</v>
      </c>
      <c r="O40" s="1">
        <f t="shared" ref="O40:O51" si="16">SUM(C40:N40)</f>
        <v>174498</v>
      </c>
    </row>
    <row r="41" ht="13.5" customHeight="1" spans="1:15" x14ac:dyDescent="0.25">
      <c r="A41" s="97" t="s">
        <v>152</v>
      </c>
      <c r="B41" s="94"/>
      <c r="C41" s="95">
        <f>SUM('PL OZON (нед)'!C41:G41)</f>
        <v>11847</v>
      </c>
      <c r="D41" s="95">
        <f>SUM('PL OZON (нед)'!H41:K41)</f>
        <v>7915</v>
      </c>
      <c r="E41" s="95">
        <f>SUM('PL OZON (нед)'!L41:O41)</f>
        <v>3217</v>
      </c>
      <c r="F41" s="95">
        <f>SUM('PL OZON (нед)'!P41:S41)</f>
        <v>375</v>
      </c>
      <c r="G41" s="95">
        <f>SUM('PL OZON (нед)'!T41:X41)</f>
        <v>0</v>
      </c>
      <c r="H41" s="95">
        <f>SUM('PL OZON (нед)'!Y41:AB41)</f>
        <v>0</v>
      </c>
      <c r="I41" s="95">
        <f>SUM('PL OZON (нед)'!AC41:AF41)</f>
        <v>0</v>
      </c>
      <c r="J41" s="95">
        <f>SUM('PL OZON (нед)'!AG41:AK41)</f>
        <v>0</v>
      </c>
      <c r="K41" s="95">
        <f>SUM('PL OZON (нед)'!AL41:AO41)</f>
        <v>0</v>
      </c>
      <c r="L41" s="95">
        <f>SUM('PL OZON (нед)'!AP41:AT41)</f>
        <v>0</v>
      </c>
      <c r="M41" s="95">
        <f>SUM('PL OZON (нед)'!AU41:AX41)</f>
        <v>0</v>
      </c>
      <c r="N41" s="95">
        <f>SUM('PL OZON (нед)'!AY41:BB41)</f>
        <v>0</v>
      </c>
      <c r="O41" s="1">
        <f>SUM(C41:N41)</f>
        <v>23354</v>
      </c>
    </row>
    <row r="42" ht="13.5" customHeight="1" spans="1:15" x14ac:dyDescent="0.25">
      <c r="A42" s="97" t="s">
        <v>153</v>
      </c>
      <c r="B42" s="94"/>
      <c r="C42" s="95">
        <f>SUM('PL OZON (нед)'!C42:G42)</f>
        <v>3613</v>
      </c>
      <c r="D42" s="95">
        <f>SUM('PL OZON (нед)'!H42:K42)</f>
        <v>2391</v>
      </c>
      <c r="E42" s="95">
        <f>SUM('PL OZON (нед)'!L42:O42)</f>
        <v>1321</v>
      </c>
      <c r="F42" s="95">
        <f>SUM('PL OZON (нед)'!P42:S42)</f>
        <v>773</v>
      </c>
      <c r="G42" s="95">
        <f>SUM('PL OZON (нед)'!T42:X42)</f>
        <v>0</v>
      </c>
      <c r="H42" s="95">
        <f>SUM('PL OZON (нед)'!Y42:AB42)</f>
        <v>0</v>
      </c>
      <c r="I42" s="95">
        <f>SUM('PL OZON (нед)'!AC42:AF42)</f>
        <v>0</v>
      </c>
      <c r="J42" s="95">
        <f>SUM('PL OZON (нед)'!AG42:AK42)</f>
        <v>0</v>
      </c>
      <c r="K42" s="95">
        <f>SUM('PL OZON (нед)'!AL42:AO42)</f>
        <v>0</v>
      </c>
      <c r="L42" s="95">
        <f>SUM('PL OZON (нед)'!AP42:AT42)</f>
        <v>0</v>
      </c>
      <c r="M42" s="95">
        <f>SUM('PL OZON (нед)'!AU42:AX42)</f>
        <v>0</v>
      </c>
      <c r="N42" s="95">
        <f>SUM('PL OZON (нед)'!AY42:BB42)</f>
        <v>0</v>
      </c>
      <c r="O42" s="1">
        <f t="shared" si="16"/>
        <v>8098</v>
      </c>
    </row>
    <row r="43" ht="13.5" customHeight="1" spans="1:15" x14ac:dyDescent="0.25">
      <c r="A43" s="97" t="s">
        <v>154</v>
      </c>
      <c r="B43" s="94"/>
      <c r="C43" s="95">
        <f>SUM('PL OZON (нед)'!C43:G43)</f>
        <v>30069</v>
      </c>
      <c r="D43" s="95">
        <f>SUM('PL OZON (нед)'!H43:K43)</f>
        <v>12195</v>
      </c>
      <c r="E43" s="95">
        <f>SUM('PL OZON (нед)'!L43:O43)</f>
        <v>4343</v>
      </c>
      <c r="F43" s="95">
        <f>SUM('PL OZON (нед)'!P43:S43)</f>
        <v>6279</v>
      </c>
      <c r="G43" s="95">
        <f>SUM('PL OZON (нед)'!T43:X43)</f>
        <v>0</v>
      </c>
      <c r="H43" s="95">
        <f>SUM('PL OZON (нед)'!Y43:AB43)</f>
        <v>0</v>
      </c>
      <c r="I43" s="95">
        <f>SUM('PL OZON (нед)'!AC43:AF43)</f>
        <v>0</v>
      </c>
      <c r="J43" s="95">
        <f>SUM('PL OZON (нед)'!AG43:AK43)</f>
        <v>0</v>
      </c>
      <c r="K43" s="95">
        <f>SUM('PL OZON (нед)'!AL43:AO43)</f>
        <v>0</v>
      </c>
      <c r="L43" s="95">
        <f>SUM('PL OZON (нед)'!AP43:AT43)</f>
        <v>0</v>
      </c>
      <c r="M43" s="95">
        <f>SUM('PL OZON (нед)'!AU43:AX43)</f>
        <v>0</v>
      </c>
      <c r="N43" s="95">
        <f>SUM('PL OZON (нед)'!AY43:BB43)</f>
        <v>0</v>
      </c>
      <c r="O43" s="1">
        <f t="shared" si="16"/>
        <v>52886</v>
      </c>
    </row>
    <row r="44" ht="13.5" customHeight="1" spans="1:15" x14ac:dyDescent="0.25">
      <c r="A44" s="97" t="s">
        <v>155</v>
      </c>
      <c r="B44" s="94"/>
      <c r="C44" s="95">
        <f>SUM('PL OZON (нед)'!C44:G44)</f>
        <v>0</v>
      </c>
      <c r="D44" s="95">
        <f>SUM('PL OZON (нед)'!H44:K44)</f>
        <v>0</v>
      </c>
      <c r="E44" s="95">
        <f>SUM('PL OZON (нед)'!L44:O44)</f>
        <v>0</v>
      </c>
      <c r="F44" s="95">
        <f>SUM('PL OZON (нед)'!P44:S44)</f>
        <v>0</v>
      </c>
      <c r="G44" s="95">
        <f>SUM('PL OZON (нед)'!T44:X44)</f>
        <v>0</v>
      </c>
      <c r="H44" s="95">
        <f>SUM('PL OZON (нед)'!Y44:AB44)</f>
        <v>0</v>
      </c>
      <c r="I44" s="95">
        <f>SUM('PL OZON (нед)'!AC44:AF44)</f>
        <v>0</v>
      </c>
      <c r="J44" s="95">
        <f>SUM('PL OZON (нед)'!AG44:AK44)</f>
        <v>0</v>
      </c>
      <c r="K44" s="95">
        <f>SUM('PL OZON (нед)'!AL44:AO44)</f>
        <v>0</v>
      </c>
      <c r="L44" s="95">
        <f>SUM('PL OZON (нед)'!AP44:AT44)</f>
        <v>0</v>
      </c>
      <c r="M44" s="95">
        <f>SUM('PL OZON (нед)'!AU44:AX44)</f>
        <v>0</v>
      </c>
      <c r="N44" s="95">
        <f>SUM('PL OZON (нед)'!AY44:BB44)</f>
        <v>0</v>
      </c>
      <c r="O44" s="1">
        <f t="shared" si="16"/>
        <v>0</v>
      </c>
    </row>
    <row r="45" ht="13.5" customHeight="1" spans="1:15" x14ac:dyDescent="0.25">
      <c r="A45" s="97" t="s">
        <v>156</v>
      </c>
      <c r="B45" s="94"/>
      <c r="C45" s="95">
        <f>SUM('PL OZON (нед)'!C45:G45)</f>
        <v>800</v>
      </c>
      <c r="D45" s="95">
        <f>SUM('PL OZON (нед)'!H45:K45)</f>
        <v>0</v>
      </c>
      <c r="E45" s="95">
        <f>SUM('PL OZON (нед)'!L45:O45)</f>
        <v>0</v>
      </c>
      <c r="F45" s="95">
        <f>SUM('PL OZON (нед)'!P45:S45)</f>
        <v>0</v>
      </c>
      <c r="G45" s="95">
        <f>SUM('PL OZON (нед)'!T45:X45)</f>
        <v>0</v>
      </c>
      <c r="H45" s="95">
        <f>SUM('PL OZON (нед)'!Y45:AB45)</f>
        <v>0</v>
      </c>
      <c r="I45" s="95">
        <f>SUM('PL OZON (нед)'!AC45:AF45)</f>
        <v>0</v>
      </c>
      <c r="J45" s="95">
        <f>SUM('PL OZON (нед)'!AG45:AK45)</f>
        <v>0</v>
      </c>
      <c r="K45" s="95">
        <f>SUM('PL OZON (нед)'!AL45:AO45)</f>
        <v>0</v>
      </c>
      <c r="L45" s="95">
        <f>SUM('PL OZON (нед)'!AP45:AT45)</f>
        <v>0</v>
      </c>
      <c r="M45" s="95">
        <f>SUM('PL OZON (нед)'!AU45:AX45)</f>
        <v>0</v>
      </c>
      <c r="N45" s="95">
        <f>SUM('PL OZON (нед)'!AY45:BB45)</f>
        <v>0</v>
      </c>
      <c r="O45" s="1">
        <f t="shared" si="16"/>
        <v>800</v>
      </c>
    </row>
    <row r="46" ht="13.5" customHeight="1" spans="1:15" x14ac:dyDescent="0.25">
      <c r="A46" s="97" t="s">
        <v>89</v>
      </c>
      <c r="B46" s="94"/>
      <c r="C46" s="95">
        <f>SUM('PL OZON (нед)'!C46:G46)</f>
        <v>0</v>
      </c>
      <c r="D46" s="95">
        <f>SUM('PL OZON (нед)'!H46:K46)</f>
        <v>0</v>
      </c>
      <c r="E46" s="95">
        <f>SUM('PL OZON (нед)'!L46:O46)</f>
        <v>0</v>
      </c>
      <c r="F46" s="95">
        <f>SUM('PL OZON (нед)'!P46:S46)</f>
        <v>0</v>
      </c>
      <c r="G46" s="95">
        <f>SUM('PL OZON (нед)'!T46:X46)</f>
        <v>0</v>
      </c>
      <c r="H46" s="95">
        <f>SUM('PL OZON (нед)'!Y46:AB46)</f>
        <v>0</v>
      </c>
      <c r="I46" s="95">
        <f>SUM('PL OZON (нед)'!AC46:AF46)</f>
        <v>0</v>
      </c>
      <c r="J46" s="95">
        <f>SUM('PL OZON (нед)'!AG46:AK46)</f>
        <v>0</v>
      </c>
      <c r="K46" s="95">
        <f>SUM('PL OZON (нед)'!AL46:AO46)</f>
        <v>0</v>
      </c>
      <c r="L46" s="95">
        <f>SUM('PL OZON (нед)'!AP46:AT46)</f>
        <v>0</v>
      </c>
      <c r="M46" s="95">
        <f>SUM('PL OZON (нед)'!AU46:AX46)</f>
        <v>0</v>
      </c>
      <c r="N46" s="95">
        <f>SUM('PL OZON (нед)'!AY46:BB46)</f>
        <v>0</v>
      </c>
      <c r="O46" s="1">
        <f t="shared" si="16"/>
        <v>0</v>
      </c>
    </row>
    <row r="47" ht="13.5" customHeight="1" spans="1:15" x14ac:dyDescent="0.25">
      <c r="A47" s="97" t="s">
        <v>90</v>
      </c>
      <c r="B47" s="94"/>
      <c r="C47" s="95">
        <f>SUM('PL OZON (нед)'!C47:G47)</f>
        <v>0</v>
      </c>
      <c r="D47" s="95">
        <f>SUM('PL OZON (нед)'!H47:K47)</f>
        <v>0</v>
      </c>
      <c r="E47" s="95">
        <f>SUM('PL OZON (нед)'!L47:O47)</f>
        <v>0</v>
      </c>
      <c r="F47" s="95">
        <f>SUM('PL OZON (нед)'!P47:S47)</f>
        <v>0</v>
      </c>
      <c r="G47" s="95">
        <f>SUM('PL OZON (нед)'!T47:X47)</f>
        <v>0</v>
      </c>
      <c r="H47" s="95">
        <f>SUM('PL OZON (нед)'!Y47:AB47)</f>
        <v>0</v>
      </c>
      <c r="I47" s="95">
        <f>SUM('PL OZON (нед)'!AC47:AF47)</f>
        <v>0</v>
      </c>
      <c r="J47" s="95">
        <f>SUM('PL OZON (нед)'!AG47:AK47)</f>
        <v>0</v>
      </c>
      <c r="K47" s="95">
        <f>SUM('PL OZON (нед)'!AL47:AO47)</f>
        <v>0</v>
      </c>
      <c r="L47" s="95">
        <f>SUM('PL OZON (нед)'!AP47:AT47)</f>
        <v>0</v>
      </c>
      <c r="M47" s="95">
        <f>SUM('PL OZON (нед)'!AU47:AX47)</f>
        <v>0</v>
      </c>
      <c r="N47" s="95">
        <f>SUM('PL OZON (нед)'!AY47:BB47)</f>
        <v>0</v>
      </c>
      <c r="O47" s="1">
        <f t="shared" si="16"/>
        <v>0</v>
      </c>
    </row>
    <row r="48" ht="13.5" customHeight="1" spans="1:15" x14ac:dyDescent="0.25">
      <c r="A48" s="97" t="s">
        <v>91</v>
      </c>
      <c r="B48" s="94"/>
      <c r="C48" s="95">
        <f>SUM('PL OZON (нед)'!C48:G48)</f>
        <v>0</v>
      </c>
      <c r="D48" s="95">
        <f>SUM('PL OZON (нед)'!H48:K48)</f>
        <v>0</v>
      </c>
      <c r="E48" s="95">
        <f>SUM('PL OZON (нед)'!L48:O48)</f>
        <v>0</v>
      </c>
      <c r="F48" s="95">
        <f>SUM('PL OZON (нед)'!P48:S48)</f>
        <v>0</v>
      </c>
      <c r="G48" s="95">
        <f>SUM('PL OZON (нед)'!T48:X48)</f>
        <v>0</v>
      </c>
      <c r="H48" s="95">
        <f>SUM('PL OZON (нед)'!Y48:AB48)</f>
        <v>0</v>
      </c>
      <c r="I48" s="95">
        <f>SUM('PL OZON (нед)'!AC48:AF48)</f>
        <v>0</v>
      </c>
      <c r="J48" s="95">
        <f>SUM('PL OZON (нед)'!AG48:AK48)</f>
        <v>0</v>
      </c>
      <c r="K48" s="95">
        <f>SUM('PL OZON (нед)'!AL48:AO48)</f>
        <v>0</v>
      </c>
      <c r="L48" s="95">
        <f>SUM('PL OZON (нед)'!AP48:AT48)</f>
        <v>0</v>
      </c>
      <c r="M48" s="95">
        <f>SUM('PL OZON (нед)'!AU48:AX48)</f>
        <v>0</v>
      </c>
      <c r="N48" s="95">
        <f>SUM('PL OZON (нед)'!AY48:BB48)</f>
        <v>0</v>
      </c>
      <c r="O48" s="1">
        <f t="shared" si="16"/>
        <v>0</v>
      </c>
    </row>
    <row r="49" ht="13.5" customHeight="1" spans="1:15" x14ac:dyDescent="0.25">
      <c r="A49" s="97" t="s">
        <v>92</v>
      </c>
      <c r="B49" s="94"/>
      <c r="C49" s="95">
        <f>SUM('PL OZON (нед)'!C49:G49)</f>
        <v>0</v>
      </c>
      <c r="D49" s="95">
        <f>SUM('PL OZON (нед)'!H49:K49)</f>
        <v>0</v>
      </c>
      <c r="E49" s="95">
        <f>SUM('PL OZON (нед)'!L49:O49)</f>
        <v>0</v>
      </c>
      <c r="F49" s="95">
        <f>SUM('PL OZON (нед)'!P49:S49)</f>
        <v>0</v>
      </c>
      <c r="G49" s="95">
        <f>SUM('PL OZON (нед)'!T49:X49)</f>
        <v>0</v>
      </c>
      <c r="H49" s="95">
        <f>SUM('PL OZON (нед)'!Y49:AB49)</f>
        <v>0</v>
      </c>
      <c r="I49" s="95">
        <f>SUM('PL OZON (нед)'!AC49:AF49)</f>
        <v>0</v>
      </c>
      <c r="J49" s="95">
        <f>SUM('PL OZON (нед)'!AG49:AK49)</f>
        <v>0</v>
      </c>
      <c r="K49" s="95">
        <f>SUM('PL OZON (нед)'!AL49:AO49)</f>
        <v>0</v>
      </c>
      <c r="L49" s="95">
        <f>SUM('PL OZON (нед)'!AP49:AT49)</f>
        <v>0</v>
      </c>
      <c r="M49" s="95">
        <f>SUM('PL OZON (нед)'!AU49:AX49)</f>
        <v>0</v>
      </c>
      <c r="N49" s="95">
        <f>SUM('PL OZON (нед)'!AY49:BB49)</f>
        <v>0</v>
      </c>
      <c r="O49" s="1">
        <f t="shared" si="16"/>
        <v>0</v>
      </c>
    </row>
    <row r="50" ht="13.5" customHeight="1" spans="1:15" x14ac:dyDescent="0.25">
      <c r="A50" s="97" t="s">
        <v>93</v>
      </c>
      <c r="B50" s="94"/>
      <c r="C50" s="95">
        <f>SUM('PL OZON (нед)'!C50:G50)</f>
        <v>0</v>
      </c>
      <c r="D50" s="95">
        <f>SUM('PL OZON (нед)'!H50:K50)</f>
        <v>0</v>
      </c>
      <c r="E50" s="95">
        <f>SUM('PL OZON (нед)'!L50:O50)</f>
        <v>0</v>
      </c>
      <c r="F50" s="95">
        <f>SUM('PL OZON (нед)'!P50:S50)</f>
        <v>0</v>
      </c>
      <c r="G50" s="95">
        <f>SUM('PL OZON (нед)'!T50:X50)</f>
        <v>0</v>
      </c>
      <c r="H50" s="95">
        <f>SUM('PL OZON (нед)'!Y50:AB50)</f>
        <v>0</v>
      </c>
      <c r="I50" s="95">
        <f>SUM('PL OZON (нед)'!AC50:AF50)</f>
        <v>0</v>
      </c>
      <c r="J50" s="95">
        <f>SUM('PL OZON (нед)'!AG50:AK50)</f>
        <v>0</v>
      </c>
      <c r="K50" s="95">
        <f>SUM('PL OZON (нед)'!AL50:AO50)</f>
        <v>0</v>
      </c>
      <c r="L50" s="95">
        <f>SUM('PL OZON (нед)'!AP50:AT50)</f>
        <v>0</v>
      </c>
      <c r="M50" s="95">
        <f>SUM('PL OZON (нед)'!AU50:AX50)</f>
        <v>0</v>
      </c>
      <c r="N50" s="95">
        <f>SUM('PL OZON (нед)'!AY50:BB50)</f>
        <v>0</v>
      </c>
      <c r="O50" s="1">
        <f t="shared" si="16"/>
        <v>0</v>
      </c>
    </row>
    <row r="51" ht="13.5" customHeight="1" spans="1:15" x14ac:dyDescent="0.25">
      <c r="A51" s="97" t="s">
        <v>94</v>
      </c>
      <c r="B51" s="94"/>
      <c r="C51" s="95">
        <f>SUM('PL OZON (нед)'!C51:G51)</f>
        <v>0</v>
      </c>
      <c r="D51" s="95">
        <f>SUM('PL OZON (нед)'!H51:K51)</f>
        <v>0</v>
      </c>
      <c r="E51" s="95">
        <f>SUM('PL OZON (нед)'!L51:O51)</f>
        <v>0</v>
      </c>
      <c r="F51" s="95">
        <f>SUM('PL OZON (нед)'!P51:S51)</f>
        <v>0</v>
      </c>
      <c r="G51" s="95">
        <f>SUM('PL OZON (нед)'!T51:X51)</f>
        <v>0</v>
      </c>
      <c r="H51" s="95">
        <f>SUM('PL OZON (нед)'!Y51:AB51)</f>
        <v>0</v>
      </c>
      <c r="I51" s="95">
        <f>SUM('PL OZON (нед)'!AC51:AF51)</f>
        <v>0</v>
      </c>
      <c r="J51" s="95">
        <f>SUM('PL OZON (нед)'!AG51:AK51)</f>
        <v>0</v>
      </c>
      <c r="K51" s="95">
        <f>SUM('PL OZON (нед)'!AL51:AO51)</f>
        <v>0</v>
      </c>
      <c r="L51" s="95">
        <f>SUM('PL OZON (нед)'!AP51:AT51)</f>
        <v>0</v>
      </c>
      <c r="M51" s="95">
        <f>SUM('PL OZON (нед)'!AU51:AX51)</f>
        <v>0</v>
      </c>
      <c r="N51" s="95">
        <f>SUM('PL OZON (нед)'!AY51:BB51)</f>
        <v>0</v>
      </c>
      <c r="O51" s="1">
        <f t="shared" si="16"/>
        <v>0</v>
      </c>
    </row>
    <row r="52" ht="13.5" customHeight="1" spans="2:14" x14ac:dyDescent="0.25">
      <c r="B52" s="39"/>
      <c r="C52" s="95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ht="15" customHeight="1" spans="1:15" x14ac:dyDescent="0.25">
      <c r="A53" s="98" t="s">
        <v>95</v>
      </c>
      <c r="B53" s="99"/>
      <c r="C53" s="100">
        <f t="shared" ref="C53:N53" si="17">C36+C31-C38</f>
        <v>54676</v>
      </c>
      <c r="D53" s="100">
        <f t="shared" si="17"/>
        <v>30471</v>
      </c>
      <c r="E53" s="100">
        <f t="shared" si="17"/>
        <v>29340</v>
      </c>
      <c r="F53" s="100">
        <f t="shared" si="17"/>
        <v>10542</v>
      </c>
      <c r="G53" s="100">
        <f t="shared" si="17"/>
        <v>0</v>
      </c>
      <c r="H53" s="100">
        <f t="shared" si="17"/>
        <v>0</v>
      </c>
      <c r="I53" s="100">
        <f t="shared" si="17"/>
        <v>0</v>
      </c>
      <c r="J53" s="100">
        <f t="shared" si="17"/>
        <v>0</v>
      </c>
      <c r="K53" s="100">
        <f t="shared" si="17"/>
        <v>0</v>
      </c>
      <c r="L53" s="100">
        <f t="shared" si="17"/>
        <v>0</v>
      </c>
      <c r="M53" s="100">
        <f t="shared" si="17"/>
        <v>0</v>
      </c>
      <c r="N53" s="100">
        <f t="shared" si="17"/>
        <v>0</v>
      </c>
      <c r="O53" s="1">
        <f>SUM(C53:N53)</f>
        <v>125029</v>
      </c>
    </row>
    <row r="54" ht="13.5" customHeight="1" spans="1:14" x14ac:dyDescent="0.25">
      <c r="A54" s="38"/>
      <c r="B54" s="50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</row>
    <row r="55" ht="13.5" customHeight="1" spans="1:15" x14ac:dyDescent="0.25">
      <c r="A55" s="93" t="s">
        <v>96</v>
      </c>
      <c r="B55" s="102" t="s">
        <v>97</v>
      </c>
      <c r="C55" s="60">
        <f t="shared" ref="C55:N55" si="18">C14*7%</f>
        <v>27912.570000000003</v>
      </c>
      <c r="D55" s="60">
        <f t="shared" si="18"/>
        <v>18017.510000000002</v>
      </c>
      <c r="E55" s="60">
        <f t="shared" si="18"/>
        <v>11539.43</v>
      </c>
      <c r="F55" s="60">
        <f t="shared" si="18"/>
        <v>5203.7300000000005</v>
      </c>
      <c r="G55" s="60">
        <f t="shared" si="18"/>
        <v>0</v>
      </c>
      <c r="H55" s="60">
        <f t="shared" si="18"/>
        <v>0</v>
      </c>
      <c r="I55" s="60">
        <f t="shared" si="18"/>
        <v>0</v>
      </c>
      <c r="J55" s="60">
        <f t="shared" si="18"/>
        <v>0</v>
      </c>
      <c r="K55" s="60">
        <f t="shared" si="18"/>
        <v>0</v>
      </c>
      <c r="L55" s="60">
        <f t="shared" si="18"/>
        <v>0</v>
      </c>
      <c r="M55" s="60">
        <f t="shared" si="18"/>
        <v>0</v>
      </c>
      <c r="N55" s="60">
        <f t="shared" si="18"/>
        <v>0</v>
      </c>
      <c r="O55" s="1">
        <f t="shared" ref="O55" si="19">SUM(C55:N55)</f>
        <v>62673.240000000005</v>
      </c>
    </row>
    <row r="56" ht="13.5" customHeight="1" spans="1:14" x14ac:dyDescent="0.25">
      <c r="A56" s="38"/>
      <c r="B56" s="39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</row>
    <row r="57" ht="15" customHeight="1" spans="1:15" x14ac:dyDescent="0.25">
      <c r="A57" s="103" t="s">
        <v>6</v>
      </c>
      <c r="B57" s="104"/>
      <c r="C57" s="100">
        <f t="shared" ref="C57:N57" si="20">C53-C55</f>
        <v>26763.429999999997</v>
      </c>
      <c r="D57" s="100">
        <f t="shared" si="20"/>
        <v>12453.489999999998</v>
      </c>
      <c r="E57" s="100">
        <f t="shared" si="20"/>
        <v>17800.57</v>
      </c>
      <c r="F57" s="100">
        <f t="shared" si="20"/>
        <v>5338.2699999999995</v>
      </c>
      <c r="G57" s="100">
        <f t="shared" si="20"/>
        <v>0</v>
      </c>
      <c r="H57" s="100">
        <f t="shared" si="20"/>
        <v>0</v>
      </c>
      <c r="I57" s="100">
        <f t="shared" si="20"/>
        <v>0</v>
      </c>
      <c r="J57" s="100">
        <f t="shared" si="20"/>
        <v>0</v>
      </c>
      <c r="K57" s="100">
        <f t="shared" si="20"/>
        <v>0</v>
      </c>
      <c r="L57" s="100">
        <f t="shared" si="20"/>
        <v>0</v>
      </c>
      <c r="M57" s="100">
        <f t="shared" si="20"/>
        <v>0</v>
      </c>
      <c r="N57" s="100">
        <f t="shared" si="20"/>
        <v>0</v>
      </c>
      <c r="O57" s="1">
        <f>SUM(C57:N57)</f>
        <v>62355.759999999995</v>
      </c>
    </row>
    <row r="58" ht="13.5" customHeight="1" spans="1:15" x14ac:dyDescent="0.25">
      <c r="A58" s="105" t="s">
        <v>98</v>
      </c>
      <c r="B58" s="106"/>
      <c r="C58" s="107">
        <f t="shared" ref="C58:O58" si="21">IFERROR(C38/C14,0)</f>
        <v>0.3062638087427994</v>
      </c>
      <c r="D58" s="107">
        <f t="shared" si="21"/>
        <v>0.30869914877249965</v>
      </c>
      <c r="E58" s="107">
        <f t="shared" si="21"/>
        <v>0.2489126412656431</v>
      </c>
      <c r="F58" s="107">
        <f t="shared" si="21"/>
        <v>0.22899151185784045</v>
      </c>
      <c r="G58" s="107">
        <f t="shared" si="21"/>
        <v>0</v>
      </c>
      <c r="H58" s="107">
        <f t="shared" si="21"/>
        <v>0</v>
      </c>
      <c r="I58" s="107">
        <f t="shared" si="21"/>
        <v>0</v>
      </c>
      <c r="J58" s="107">
        <f t="shared" si="21"/>
        <v>0</v>
      </c>
      <c r="K58" s="107">
        <f t="shared" si="21"/>
        <v>0</v>
      </c>
      <c r="L58" s="107">
        <f t="shared" si="21"/>
        <v>0</v>
      </c>
      <c r="M58" s="107">
        <f t="shared" si="21"/>
        <v>0</v>
      </c>
      <c r="N58" s="107">
        <f t="shared" si="21"/>
        <v>0</v>
      </c>
      <c r="O58" s="1">
        <f t="shared" si="21"/>
        <v>0.2899885182256414</v>
      </c>
    </row>
    <row r="59" ht="13.5" customHeight="1" spans="1:15" x14ac:dyDescent="0.25">
      <c r="A59" s="1" t="s">
        <v>8</v>
      </c>
      <c r="B59" s="109"/>
      <c r="C59" s="107">
        <f t="shared" ref="C59:O59" si="22">IFERROR(C57/C14,0)</f>
        <v>0.0671181514278334</v>
      </c>
      <c r="D59" s="107">
        <f t="shared" si="22"/>
        <v>0.04838317281355747</v>
      </c>
      <c r="E59" s="107">
        <f t="shared" si="22"/>
        <v>0.10798106145624177</v>
      </c>
      <c r="F59" s="107">
        <f t="shared" si="22"/>
        <v>0.07180981718882416</v>
      </c>
      <c r="G59" s="107">
        <f t="shared" si="22"/>
        <v>0</v>
      </c>
      <c r="H59" s="107">
        <f t="shared" si="22"/>
        <v>0</v>
      </c>
      <c r="I59" s="107">
        <f t="shared" si="22"/>
        <v>0</v>
      </c>
      <c r="J59" s="107">
        <f t="shared" si="22"/>
        <v>0</v>
      </c>
      <c r="K59" s="107">
        <f t="shared" si="22"/>
        <v>0</v>
      </c>
      <c r="L59" s="107">
        <f t="shared" si="22"/>
        <v>0</v>
      </c>
      <c r="M59" s="107">
        <f t="shared" si="22"/>
        <v>0</v>
      </c>
      <c r="N59" s="107">
        <f t="shared" si="22"/>
        <v>0</v>
      </c>
      <c r="O59" s="1">
        <f t="shared" si="22"/>
        <v>0.06964540527982915</v>
      </c>
    </row>
    <row r="60" ht="15" customHeight="1" spans="1:14" x14ac:dyDescent="0.25">
      <c r="A60" s="98" t="s">
        <v>99</v>
      </c>
      <c r="B60" s="110"/>
      <c r="C60" s="100">
        <f>CF!C38</f>
        <v>0</v>
      </c>
      <c r="D60" s="100">
        <f>CF!D38</f>
        <v>0</v>
      </c>
      <c r="E60" s="100">
        <f>CF!E38</f>
        <v>0</v>
      </c>
      <c r="F60" s="100">
        <f>CF!F38</f>
        <v>0</v>
      </c>
      <c r="G60" s="100">
        <f>CF!G38</f>
        <v>0</v>
      </c>
      <c r="H60" s="100">
        <f>CF!H38</f>
        <v>0</v>
      </c>
      <c r="I60" s="100">
        <f>CF!I38</f>
        <v>0</v>
      </c>
      <c r="J60" s="100">
        <f>CF!J38</f>
        <v>0</v>
      </c>
      <c r="K60" s="100">
        <f>CF!K38</f>
        <v>0</v>
      </c>
      <c r="L60" s="100">
        <f>CF!L38</f>
        <v>0</v>
      </c>
      <c r="M60" s="100">
        <f>CF!M38</f>
        <v>0</v>
      </c>
      <c r="N60" s="100">
        <f>CF!N38</f>
        <v>0</v>
      </c>
    </row>
    <row r="61" ht="15.75" customHeight="1" spans="1:14" x14ac:dyDescent="0.25">
      <c r="A61" s="81"/>
      <c r="B61" s="89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</row>
    <row r="62" ht="13.5" customHeight="1" spans="1:14" x14ac:dyDescent="0.25">
      <c r="A62" s="113" t="s">
        <v>158</v>
      </c>
      <c r="B62" s="114"/>
      <c r="C62" s="115">
        <f>CF!C42</f>
        <v>2426951.8857</v>
      </c>
      <c r="D62" s="115">
        <f>CF!D42</f>
        <v>2920729.7957</v>
      </c>
      <c r="E62" s="115">
        <f>CF!E42</f>
        <v>3317903.6557000005</v>
      </c>
      <c r="F62" s="115">
        <f>CF!F42</f>
        <v>3497581.5157000003</v>
      </c>
      <c r="G62" s="115">
        <f>CF!G42</f>
        <v>3497581.5157000003</v>
      </c>
      <c r="H62" s="115">
        <f>CF!H42</f>
        <v>3497581.5157000003</v>
      </c>
      <c r="I62" s="115">
        <f>CF!I42</f>
        <v>3497581.5157000003</v>
      </c>
      <c r="J62" s="115">
        <f>CF!J42</f>
        <v>3497581.5157000003</v>
      </c>
      <c r="K62" s="115">
        <f>CF!K42</f>
        <v>3497581.5157000003</v>
      </c>
      <c r="L62" s="115">
        <f>CF!L42</f>
        <v>3497581.5157000003</v>
      </c>
      <c r="M62" s="115">
        <f>CF!M42</f>
        <v>3497581.5157000003</v>
      </c>
      <c r="N62" s="115">
        <f>CF!N42</f>
        <v>3497581.5157000003</v>
      </c>
    </row>
    <row r="63" spans="1:14" x14ac:dyDescent="0.25">
      <c r="A63" s="81"/>
      <c r="B63" s="89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</row>
    <row r="64" ht="15.75" customHeight="1" spans="1:14" x14ac:dyDescent="0.25">
      <c r="A64" s="98" t="s">
        <v>101</v>
      </c>
      <c r="B64" s="99"/>
      <c r="C64" s="117">
        <f>'PL OZON (нед)'!G64</f>
        <v>319607.51</v>
      </c>
      <c r="D64" s="100">
        <f t="shared" ref="D64:N64" si="23">D57+C64-D60</f>
        <v>332061</v>
      </c>
      <c r="E64" s="100">
        <f t="shared" si="23"/>
        <v>349861.57</v>
      </c>
      <c r="F64" s="100">
        <f t="shared" si="23"/>
        <v>355199.84</v>
      </c>
      <c r="G64" s="100">
        <f t="shared" si="23"/>
        <v>355199.84</v>
      </c>
      <c r="H64" s="100">
        <f t="shared" si="23"/>
        <v>355199.84</v>
      </c>
      <c r="I64" s="100">
        <f t="shared" si="23"/>
        <v>355199.84</v>
      </c>
      <c r="J64" s="100">
        <f t="shared" si="23"/>
        <v>355199.84</v>
      </c>
      <c r="K64" s="100">
        <f t="shared" si="23"/>
        <v>355199.84</v>
      </c>
      <c r="L64" s="100">
        <f t="shared" si="23"/>
        <v>355199.84</v>
      </c>
      <c r="M64" s="100">
        <f t="shared" si="23"/>
        <v>355199.84</v>
      </c>
      <c r="N64" s="100">
        <f t="shared" si="23"/>
        <v>355199.84</v>
      </c>
    </row>
    <row r="66" ht="13.5" customHeight="1" spans="1:14" x14ac:dyDescent="0.25">
      <c r="A66" s="90" t="s">
        <v>102</v>
      </c>
      <c r="B66" s="53"/>
      <c r="C66" s="119">
        <f t="shared" ref="C66:N66" si="24">IFERROR(C41/C7, )</f>
        <v>19.54950495049505</v>
      </c>
      <c r="D66" s="119">
        <f t="shared" si="24"/>
        <v>20.294871794871796</v>
      </c>
      <c r="E66" s="119">
        <f t="shared" si="24"/>
        <v>13.516806722689076</v>
      </c>
      <c r="F66" s="119">
        <f t="shared" si="24"/>
        <v>3.0737704918032787</v>
      </c>
      <c r="G66" s="119">
        <f t="shared" si="24"/>
        <v>0</v>
      </c>
      <c r="H66" s="119">
        <f t="shared" si="24"/>
        <v>0</v>
      </c>
      <c r="I66" s="119">
        <f t="shared" si="24"/>
        <v>0</v>
      </c>
      <c r="J66" s="119">
        <f t="shared" si="24"/>
        <v>0</v>
      </c>
      <c r="K66" s="119">
        <f t="shared" si="24"/>
        <v>0</v>
      </c>
      <c r="L66" s="119">
        <f t="shared" si="24"/>
        <v>0</v>
      </c>
      <c r="M66" s="119">
        <f t="shared" si="24"/>
        <v>0</v>
      </c>
      <c r="N66" s="119">
        <f t="shared" si="24"/>
        <v>0</v>
      </c>
    </row>
    <row r="67" ht="13.5" customHeight="1" spans="1:14" x14ac:dyDescent="0.25">
      <c r="A67" s="90" t="s">
        <v>103</v>
      </c>
      <c r="B67" s="53"/>
      <c r="C67" s="87">
        <f t="shared" ref="C67:N67" si="25">IFERROR(C41/C15, )</f>
        <v>0</v>
      </c>
      <c r="D67" s="87">
        <f t="shared" si="25"/>
        <v>0</v>
      </c>
      <c r="E67" s="87">
        <f t="shared" si="25"/>
        <v>0</v>
      </c>
      <c r="F67" s="87">
        <f t="shared" si="25"/>
        <v>0</v>
      </c>
      <c r="G67" s="87">
        <f t="shared" si="25"/>
        <v>0</v>
      </c>
      <c r="H67" s="87">
        <f t="shared" si="25"/>
        <v>0</v>
      </c>
      <c r="I67" s="87">
        <f t="shared" si="25"/>
        <v>0</v>
      </c>
      <c r="J67" s="87">
        <f t="shared" si="25"/>
        <v>0</v>
      </c>
      <c r="K67" s="87">
        <f t="shared" si="25"/>
        <v>0</v>
      </c>
      <c r="L67" s="87">
        <f t="shared" si="25"/>
        <v>0</v>
      </c>
      <c r="M67" s="87">
        <f t="shared" si="25"/>
        <v>0</v>
      </c>
      <c r="N67" s="87">
        <f t="shared" si="25"/>
        <v>0</v>
      </c>
    </row>
    <row r="68" ht="13.5" customHeight="1" spans="1:14" x14ac:dyDescent="0.25">
      <c r="A68" s="90" t="s">
        <v>159</v>
      </c>
      <c r="B68" s="53"/>
      <c r="C68" s="51">
        <f t="shared" ref="C68:N68" si="26">IFERROR(C57/(C7-C23), )</f>
        <v>44.98055462184873</v>
      </c>
      <c r="D68" s="51">
        <f t="shared" si="26"/>
        <v>32.26292746113989</v>
      </c>
      <c r="E68" s="51">
        <f t="shared" si="26"/>
        <v>77.39378260869564</v>
      </c>
      <c r="F68" s="51">
        <f t="shared" si="26"/>
        <v>44.117933884297514</v>
      </c>
      <c r="G68" s="51">
        <f t="shared" si="26"/>
        <v>0</v>
      </c>
      <c r="H68" s="51">
        <f t="shared" si="26"/>
        <v>0</v>
      </c>
      <c r="I68" s="51">
        <f t="shared" si="26"/>
        <v>0</v>
      </c>
      <c r="J68" s="51">
        <f t="shared" si="26"/>
        <v>0</v>
      </c>
      <c r="K68" s="51">
        <f t="shared" si="26"/>
        <v>0</v>
      </c>
      <c r="L68" s="51">
        <f t="shared" si="26"/>
        <v>0</v>
      </c>
      <c r="M68" s="51">
        <f t="shared" si="26"/>
        <v>0</v>
      </c>
      <c r="N68" s="51">
        <f t="shared" si="26"/>
        <v>0</v>
      </c>
    </row>
  </sheetData>
  <mergeCells count="1">
    <mergeCell ref="C2:N2"/>
  </mergeCells>
  <conditionalFormatting sqref="A9:N11 B13:B20 A62">
    <cfRule type="cellIs" dxfId="22" priority="17" operator="greaterThan">
      <formula>0</formula>
    </cfRule>
  </conditionalFormatting>
  <conditionalFormatting sqref="A53:N53 A57:N58 C60:N60 A60:B64">
    <cfRule type="cellIs" dxfId="23" priority="18" operator="lessThan">
      <formula>0</formula>
    </cfRule>
  </conditionalFormatting>
  <conditionalFormatting sqref="C7:N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8:N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N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N62">
    <cfRule type="cellIs" dxfId="24" priority="16" operator="lessThan">
      <formula>0</formula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68"/>
  <sheetViews>
    <sheetView workbookViewId="0" zoomScale="100" zoomScaleNormal="100">
      <pane xSplit="2" ySplit="3" topLeftCell="C70" activePane="bottomRight" state="frozen"/>
      <selection pane="bottomRight" activeCell="C53" sqref="C53"/>
    </sheetView>
  </sheetViews>
  <sheetFormatPr defaultRowHeight="15" outlineLevelRow="0" outlineLevelCol="0" x14ac:dyDescent="0.25" defaultColWidth="14.42578125"/>
  <cols>
    <col min="1" max="1" width="24.42578125" style="1" customWidth="1"/>
    <col min="2" max="2" width="20.140625" style="1" customWidth="1"/>
    <col min="3" max="15" width="11.140625" style="1" customWidth="1"/>
    <col min="16" max="16384" width="14.42578125" style="1" customWidth="1"/>
  </cols>
  <sheetData>
    <row r="1" ht="21.75" customHeight="1" spans="1:15" x14ac:dyDescent="0.25">
      <c r="A1" s="29" t="s">
        <v>49</v>
      </c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ht="14.25" customHeight="1" spans="1:15" x14ac:dyDescent="0.25">
      <c r="A2" s="33" t="s">
        <v>50</v>
      </c>
      <c r="B2" s="34"/>
      <c r="C2" s="35">
        <v>2025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ht="13.5" customHeight="1" spans="1:15" x14ac:dyDescent="0.25">
      <c r="A3" s="38"/>
      <c r="B3" s="39"/>
      <c r="C3" s="40" t="s">
        <v>51</v>
      </c>
      <c r="D3" s="40" t="s">
        <v>52</v>
      </c>
      <c r="E3" s="40" t="s">
        <v>53</v>
      </c>
      <c r="F3" s="40" t="s">
        <v>54</v>
      </c>
      <c r="G3" s="40" t="s">
        <v>39</v>
      </c>
      <c r="H3" s="40" t="s">
        <v>55</v>
      </c>
      <c r="I3" s="40" t="s">
        <v>56</v>
      </c>
      <c r="J3" s="40" t="s">
        <v>57</v>
      </c>
      <c r="K3" s="40" t="s">
        <v>58</v>
      </c>
      <c r="L3" s="40" t="s">
        <v>59</v>
      </c>
      <c r="M3" s="40" t="s">
        <v>60</v>
      </c>
      <c r="N3" s="40" t="s">
        <v>61</v>
      </c>
      <c r="O3" s="41"/>
    </row>
    <row r="4" ht="13.5" customHeight="1" spans="1:15" x14ac:dyDescent="0.25">
      <c r="A4" s="42" t="s">
        <v>62</v>
      </c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ht="13.5" customHeight="1" spans="1:15" x14ac:dyDescent="0.25">
      <c r="A5" s="46" t="s">
        <v>63</v>
      </c>
      <c r="B5" s="47"/>
      <c r="C5" s="48">
        <f>'PL WB'!C5+'PL OZON'!C5</f>
        <v>1570857.6700000002</v>
      </c>
      <c r="D5" s="48">
        <f>'PL WB'!D5+'PL OZON'!D5</f>
        <v>1522905.6300000001</v>
      </c>
      <c r="E5" s="48">
        <f>'PL WB'!E5+'PL OZON'!E5</f>
        <v>1301418.9100000001</v>
      </c>
      <c r="F5" s="48">
        <f>'PL WB'!F5+'PL OZON'!F5</f>
        <v>1109069.51</v>
      </c>
      <c r="G5" s="48">
        <f>'PL WB'!G5+'PL OZON'!G5</f>
        <v>1028078.61</v>
      </c>
      <c r="H5" s="48">
        <f>'PL WB'!H5+'PL OZON'!H5</f>
        <v>1028078.61</v>
      </c>
      <c r="I5" s="48">
        <f>'PL WB'!I5+'PL OZON'!I5</f>
        <v>1028078.61</v>
      </c>
      <c r="J5" s="48">
        <f>'PL WB'!J5+'PL OZON'!J5</f>
        <v>1028078.61</v>
      </c>
      <c r="K5" s="48">
        <f>'PL WB'!K5+'PL OZON'!K5</f>
        <v>1028078.61</v>
      </c>
      <c r="L5" s="48">
        <f>'PL WB'!L5+'PL OZON'!L5</f>
        <v>1028078.61</v>
      </c>
      <c r="M5" s="48">
        <f>'PL WB'!M5+'PL OZON'!M5</f>
        <v>1028078.61</v>
      </c>
      <c r="N5" s="48">
        <f>'PL WB'!N5+'PL OZON'!N5</f>
        <v>1028078.61</v>
      </c>
      <c r="O5" s="49"/>
    </row>
    <row r="6" ht="13.5" customHeight="1" spans="1:15" x14ac:dyDescent="0.25">
      <c r="A6" s="46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2"/>
    </row>
    <row r="7" ht="13.5" customHeight="1" spans="1:15" x14ac:dyDescent="0.25">
      <c r="A7" s="46"/>
      <c r="B7" s="53" t="s">
        <v>64</v>
      </c>
      <c r="C7" s="51">
        <f>'PL WB'!C7+'PL OZON'!C7</f>
        <v>1965</v>
      </c>
      <c r="D7" s="51">
        <f>'PL WB'!D7+'PL OZON'!D7</f>
        <v>1719</v>
      </c>
      <c r="E7" s="51">
        <f>'PL WB'!E7+'PL OZON'!E7</f>
        <v>1545</v>
      </c>
      <c r="F7" s="51">
        <f>'PL WB'!F7+'PL OZON'!F7</f>
        <v>603</v>
      </c>
      <c r="G7" s="51">
        <f>'PL WB'!G7+'PL OZON'!G7</f>
        <v>0</v>
      </c>
      <c r="H7" s="51">
        <f>'PL WB'!H7+'PL OZON'!H7</f>
        <v>0</v>
      </c>
      <c r="I7" s="51">
        <f>'PL WB'!I7+'PL OZON'!I7</f>
        <v>0</v>
      </c>
      <c r="J7" s="51">
        <f>'PL WB'!J7+'PL OZON'!J7</f>
        <v>0</v>
      </c>
      <c r="K7" s="51">
        <f>'PL WB'!K7+'PL OZON'!K7</f>
        <v>0</v>
      </c>
      <c r="L7" s="51">
        <f>'PL WB'!L7+'PL OZON'!L7</f>
        <v>0</v>
      </c>
      <c r="M7" s="51">
        <f>'PL WB'!M7+'PL OZON'!M7</f>
        <v>0</v>
      </c>
      <c r="N7" s="51">
        <f>'PL WB'!N7+'PL OZON'!N7</f>
        <v>0</v>
      </c>
      <c r="O7" s="52">
        <f>SUM(C7:N7)</f>
        <v>5832</v>
      </c>
    </row>
    <row r="8" ht="13.5" customHeight="1" spans="1:15" x14ac:dyDescent="0.25">
      <c r="A8" s="46"/>
      <c r="B8" s="53" t="s">
        <v>65</v>
      </c>
      <c r="C8" s="51">
        <f>C33</f>
        <v>240350.81</v>
      </c>
      <c r="D8" s="51">
        <f t="shared" ref="D8:N8" si="0">D33</f>
        <v>221486.71999999997</v>
      </c>
      <c r="E8" s="51">
        <f t="shared" si="0"/>
        <v>192349.4</v>
      </c>
      <c r="F8" s="51">
        <f t="shared" si="0"/>
        <v>80990.90000000001</v>
      </c>
      <c r="G8" s="51">
        <f t="shared" si="0"/>
        <v>0</v>
      </c>
      <c r="H8" s="51">
        <f t="shared" si="0"/>
        <v>0</v>
      </c>
      <c r="I8" s="51">
        <f t="shared" si="0"/>
        <v>0</v>
      </c>
      <c r="J8" s="51">
        <f t="shared" si="0"/>
        <v>0</v>
      </c>
      <c r="K8" s="51">
        <f t="shared" si="0"/>
        <v>0</v>
      </c>
      <c r="L8" s="51">
        <f t="shared" si="0"/>
        <v>0</v>
      </c>
      <c r="M8" s="51">
        <f t="shared" si="0"/>
        <v>0</v>
      </c>
      <c r="N8" s="51">
        <f t="shared" si="0"/>
        <v>0</v>
      </c>
      <c r="O8" s="52">
        <f>SUM(C8:N8)</f>
        <v>735177.83</v>
      </c>
    </row>
    <row r="9" ht="13.5" customHeight="1" spans="1:15" x14ac:dyDescent="0.25">
      <c r="A9" s="46"/>
      <c r="B9" s="47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2"/>
    </row>
    <row r="10" ht="13.5" customHeight="1" spans="1:15" x14ac:dyDescent="0.25">
      <c r="A10" s="46" t="s">
        <v>66</v>
      </c>
      <c r="B10" s="47"/>
      <c r="C10" s="51">
        <f>'PL WB'!C10+'PL OZON'!C10</f>
        <v>192398.77</v>
      </c>
      <c r="D10" s="51">
        <f>'PL WB'!D10+'PL OZON'!D10</f>
        <v>0</v>
      </c>
      <c r="E10" s="51">
        <f>'PL WB'!E10+'PL OZON'!E10</f>
        <v>0</v>
      </c>
      <c r="F10" s="51">
        <f>'PL WB'!F10+'PL OZON'!F10</f>
        <v>0</v>
      </c>
      <c r="G10" s="51">
        <f>'PL WB'!G10+'PL OZON'!G10</f>
        <v>0</v>
      </c>
      <c r="H10" s="51">
        <f>'PL WB'!H10+'PL OZON'!H10</f>
        <v>0</v>
      </c>
      <c r="I10" s="51">
        <f>'PL WB'!I10+'PL OZON'!I10</f>
        <v>0</v>
      </c>
      <c r="J10" s="51">
        <f>'PL WB'!J10+'PL OZON'!J10</f>
        <v>0</v>
      </c>
      <c r="K10" s="51">
        <f>'PL WB'!K10+'PL OZON'!K10</f>
        <v>0</v>
      </c>
      <c r="L10" s="51">
        <f>'PL WB'!L10+'PL OZON'!L10</f>
        <v>0</v>
      </c>
      <c r="M10" s="51">
        <f>'PL WB'!M10+'PL OZON'!M10</f>
        <v>0</v>
      </c>
      <c r="N10" s="51">
        <f>'PL WB'!N10+'PL OZON'!N10</f>
        <v>0</v>
      </c>
      <c r="O10" s="52">
        <f t="shared" ref="O10:O11" si="1">SUM(C10:N10)</f>
        <v>192398.77</v>
      </c>
    </row>
    <row r="11" ht="13.5" customHeight="1" spans="1:15" x14ac:dyDescent="0.25">
      <c r="A11" s="54" t="s">
        <v>67</v>
      </c>
      <c r="B11" s="55"/>
      <c r="C11" s="48">
        <f>'PL WB'!C11+'PL OZON'!C11</f>
        <v>1294</v>
      </c>
      <c r="D11" s="48">
        <f>'PL WB'!D11+'PL OZON'!D11</f>
        <v>0</v>
      </c>
      <c r="E11" s="48">
        <f>'PL WB'!E11+'PL OZON'!E11</f>
        <v>0</v>
      </c>
      <c r="F11" s="48">
        <f>'PL WB'!F11+'PL OZON'!F11</f>
        <v>0</v>
      </c>
      <c r="G11" s="48">
        <f>'PL WB'!G11+'PL OZON'!G11</f>
        <v>0</v>
      </c>
      <c r="H11" s="48">
        <f>'PL WB'!H11+'PL OZON'!H11</f>
        <v>0</v>
      </c>
      <c r="I11" s="48">
        <f>'PL WB'!I11+'PL OZON'!I11</f>
        <v>0</v>
      </c>
      <c r="J11" s="48">
        <f>'PL WB'!J11+'PL OZON'!J11</f>
        <v>0</v>
      </c>
      <c r="K11" s="48">
        <f>'PL WB'!K11+'PL OZON'!K11</f>
        <v>0</v>
      </c>
      <c r="L11" s="48">
        <f>'PL WB'!L11+'PL OZON'!L11</f>
        <v>0</v>
      </c>
      <c r="M11" s="48">
        <f>'PL WB'!M11+'PL OZON'!M11</f>
        <v>0</v>
      </c>
      <c r="N11" s="48">
        <f>'PL WB'!N11+'PL OZON'!N11</f>
        <v>0</v>
      </c>
      <c r="O11" s="49">
        <f t="shared" si="1"/>
        <v>1294</v>
      </c>
    </row>
    <row r="12" ht="13.5" customHeight="1" spans="1:15" x14ac:dyDescent="0.25">
      <c r="A12" s="56" t="s">
        <v>68</v>
      </c>
      <c r="B12" s="57"/>
      <c r="C12" s="48">
        <f>'PL WB'!C12+'PL OZON'!C12</f>
        <v>1522905.6300000001</v>
      </c>
      <c r="D12" s="48">
        <f>'PL WB'!D12+'PL OZON'!D12</f>
        <v>1301418.9100000001</v>
      </c>
      <c r="E12" s="48">
        <f>'PL WB'!E12+'PL OZON'!E12</f>
        <v>1109069.51</v>
      </c>
      <c r="F12" s="48">
        <f>'PL WB'!F12+'PL OZON'!F12</f>
        <v>1028078.61</v>
      </c>
      <c r="G12" s="48">
        <f>'PL WB'!G12+'PL OZON'!G12</f>
        <v>1028078.61</v>
      </c>
      <c r="H12" s="48">
        <f>'PL WB'!H12+'PL OZON'!H12</f>
        <v>1028078.61</v>
      </c>
      <c r="I12" s="48">
        <f>'PL WB'!I12+'PL OZON'!I12</f>
        <v>1028078.61</v>
      </c>
      <c r="J12" s="48">
        <f>'PL WB'!J12+'PL OZON'!J12</f>
        <v>1028078.61</v>
      </c>
      <c r="K12" s="48">
        <f>'PL WB'!K12+'PL OZON'!K12</f>
        <v>1028078.61</v>
      </c>
      <c r="L12" s="48">
        <f>'PL WB'!L12+'PL OZON'!L12</f>
        <v>1028078.61</v>
      </c>
      <c r="M12" s="48">
        <f>'PL WB'!M12+'PL OZON'!M12</f>
        <v>1028078.61</v>
      </c>
      <c r="N12" s="48">
        <f>'PL WB'!N12+'PL OZON'!N12</f>
        <v>1028078.61</v>
      </c>
      <c r="O12" s="49"/>
    </row>
    <row r="13" ht="13.5" customHeight="1" spans="1:15" x14ac:dyDescent="0.25">
      <c r="A13" s="56" t="s">
        <v>69</v>
      </c>
      <c r="B13" s="58"/>
      <c r="C13" s="48">
        <f>'PL WB'!C13+'PL OZON'!C13</f>
        <v>10153</v>
      </c>
      <c r="D13" s="48">
        <f>'PL WB'!D13+'PL OZON'!D13</f>
        <v>8438</v>
      </c>
      <c r="E13" s="48">
        <f>'PL WB'!E13+'PL OZON'!E13</f>
        <v>6908</v>
      </c>
      <c r="F13" s="48">
        <f>'PL WB'!F13+'PL OZON'!F13</f>
        <v>6309</v>
      </c>
      <c r="G13" s="48">
        <f>'PL WB'!G13+'PL OZON'!G13</f>
        <v>6309</v>
      </c>
      <c r="H13" s="48">
        <f>'PL WB'!H13+'PL OZON'!H13</f>
        <v>6306</v>
      </c>
      <c r="I13" s="48">
        <f>'PL WB'!I13+'PL OZON'!I13</f>
        <v>6306</v>
      </c>
      <c r="J13" s="48">
        <f>'PL WB'!J13+'PL OZON'!J13</f>
        <v>6306</v>
      </c>
      <c r="K13" s="48">
        <f>'PL WB'!K13+'PL OZON'!K13</f>
        <v>6306</v>
      </c>
      <c r="L13" s="48">
        <f>'PL WB'!L13+'PL OZON'!L13</f>
        <v>6306</v>
      </c>
      <c r="M13" s="48">
        <f>'PL WB'!M13+'PL OZON'!M13</f>
        <v>6306</v>
      </c>
      <c r="N13" s="48">
        <f>'PL WB'!N13+'PL OZON'!N13</f>
        <v>6306</v>
      </c>
      <c r="O13" s="49"/>
    </row>
    <row r="14" ht="13.5" customHeight="1" spans="1:15" x14ac:dyDescent="0.25">
      <c r="A14" s="59" t="s">
        <v>70</v>
      </c>
      <c r="B14" s="50"/>
      <c r="C14" s="60">
        <f>'PL WB'!C14+'PL OZON'!C14</f>
        <v>1213007</v>
      </c>
      <c r="D14" s="60">
        <f>'PL WB'!D14+'PL OZON'!D14</f>
        <v>1136792</v>
      </c>
      <c r="E14" s="60">
        <f>'PL WB'!E14+'PL OZON'!E14</f>
        <v>937183</v>
      </c>
      <c r="F14" s="60">
        <f>'PL WB'!F14+'PL OZON'!F14</f>
        <v>419223</v>
      </c>
      <c r="G14" s="60">
        <f>'PL WB'!G14+'PL OZON'!G14</f>
        <v>0</v>
      </c>
      <c r="H14" s="60">
        <f>'PL WB'!H14+'PL OZON'!H14</f>
        <v>0</v>
      </c>
      <c r="I14" s="60">
        <f>'PL WB'!I14+'PL OZON'!I14</f>
        <v>0</v>
      </c>
      <c r="J14" s="60">
        <f>'PL WB'!J14+'PL OZON'!J14</f>
        <v>0</v>
      </c>
      <c r="K14" s="60">
        <f>'PL WB'!K14+'PL OZON'!K14</f>
        <v>0</v>
      </c>
      <c r="L14" s="60">
        <f>'PL WB'!L14+'PL OZON'!L14</f>
        <v>0</v>
      </c>
      <c r="M14" s="60">
        <f>'PL WB'!M14+'PL OZON'!M14</f>
        <v>0</v>
      </c>
      <c r="N14" s="60">
        <f>'PL WB'!N14+'PL OZON'!N14</f>
        <v>0</v>
      </c>
      <c r="O14" s="61">
        <f>SUM(C14:N14)</f>
        <v>3706205</v>
      </c>
    </row>
    <row r="15" ht="13.5" customHeight="1" spans="1:15" x14ac:dyDescent="0.25">
      <c r="A15" s="59" t="s">
        <v>71</v>
      </c>
      <c r="B15" s="62"/>
      <c r="C15" s="60">
        <f>'PL WB'!C15+'PL OZON'!C14</f>
        <v>950524</v>
      </c>
      <c r="D15" s="60">
        <f>'PL WB'!D15+'PL OZON'!D14</f>
        <v>834437</v>
      </c>
      <c r="E15" s="60">
        <f>'PL WB'!E15+'PL OZON'!E14</f>
        <v>692756</v>
      </c>
      <c r="F15" s="60">
        <f>'PL WB'!F15+'PL OZON'!F14</f>
        <v>313306</v>
      </c>
      <c r="G15" s="60">
        <f>'PL WB'!G15+'PL OZON'!G14</f>
        <v>0</v>
      </c>
      <c r="H15" s="60">
        <f>'PL WB'!H15+'PL OZON'!H14</f>
        <v>0</v>
      </c>
      <c r="I15" s="60">
        <f>'PL WB'!I15+'PL OZON'!I14</f>
        <v>0</v>
      </c>
      <c r="J15" s="60">
        <f>'PL WB'!J15+'PL OZON'!J14</f>
        <v>0</v>
      </c>
      <c r="K15" s="60">
        <f>'PL WB'!K15+'PL OZON'!K14</f>
        <v>0</v>
      </c>
      <c r="L15" s="60">
        <f>'PL WB'!L15+'PL OZON'!L14</f>
        <v>0</v>
      </c>
      <c r="M15" s="60">
        <f>'PL WB'!M15+'PL OZON'!M14</f>
        <v>0</v>
      </c>
      <c r="N15" s="60">
        <f>'PL WB'!N15+'PL OZON'!N14</f>
        <v>0</v>
      </c>
      <c r="O15" s="61">
        <f>SUM(C15:N15)</f>
        <v>2791023</v>
      </c>
    </row>
    <row r="16" ht="13.5" customHeight="1" spans="1:15" x14ac:dyDescent="0.25">
      <c r="A16" s="63"/>
      <c r="B16" s="47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>
        <f t="shared" ref="O16:O17" si="2">SUM(C16:N16)</f>
        <v>0</v>
      </c>
    </row>
    <row r="17" ht="13.5" customHeight="1" spans="1:15" x14ac:dyDescent="0.25">
      <c r="A17" s="63" t="s">
        <v>72</v>
      </c>
      <c r="B17" s="47"/>
      <c r="C17" s="60">
        <f>C14-C20</f>
        <v>395838.8400000001</v>
      </c>
      <c r="D17" s="60">
        <f t="shared" ref="D17:M17" si="3">D14-D20</f>
        <v>369766.81000000006</v>
      </c>
      <c r="E17" s="60">
        <f t="shared" si="3"/>
        <v>307275.58999999997</v>
      </c>
      <c r="F17" s="60">
        <f t="shared" si="3"/>
        <v>136873.54000000004</v>
      </c>
      <c r="G17" s="60">
        <f t="shared" si="3"/>
        <v>0</v>
      </c>
      <c r="H17" s="60">
        <f t="shared" si="3"/>
        <v>0</v>
      </c>
      <c r="I17" s="60">
        <f t="shared" si="3"/>
        <v>0</v>
      </c>
      <c r="J17" s="60">
        <f t="shared" si="3"/>
        <v>0</v>
      </c>
      <c r="K17" s="60">
        <f t="shared" si="3"/>
        <v>0</v>
      </c>
      <c r="L17" s="60">
        <f t="shared" si="3"/>
        <v>0</v>
      </c>
      <c r="M17" s="60">
        <f t="shared" si="3"/>
        <v>0</v>
      </c>
      <c r="N17" s="60">
        <f t="shared" ref="N17" si="4">N15-N20</f>
        <v>0</v>
      </c>
      <c r="O17" s="61">
        <f t="shared" si="2"/>
        <v>1209754.7800000003</v>
      </c>
    </row>
    <row r="18" ht="13.5" customHeight="1" spans="1:15" x14ac:dyDescent="0.25">
      <c r="A18" s="63" t="s">
        <v>73</v>
      </c>
      <c r="B18" s="47"/>
      <c r="C18" s="66">
        <f>C17/C14</f>
        <v>0.3263285702390836</v>
      </c>
      <c r="D18" s="66">
        <f t="shared" ref="D18:O18" si="5">D17/D15</f>
        <v>0.44313328627565657</v>
      </c>
      <c r="E18" s="66">
        <f t="shared" si="5"/>
        <v>0.44355529219523177</v>
      </c>
      <c r="F18" s="66">
        <f t="shared" si="5"/>
        <v>0.436868556618769</v>
      </c>
      <c r="G18" s="66" t="e">
        <f t="shared" si="5"/>
        <v>#DIV/0!</v>
      </c>
      <c r="H18" s="66" t="e">
        <f t="shared" si="5"/>
        <v>#DIV/0!</v>
      </c>
      <c r="I18" s="66" t="e">
        <f t="shared" si="5"/>
        <v>#DIV/0!</v>
      </c>
      <c r="J18" s="66" t="e">
        <f t="shared" si="5"/>
        <v>#DIV/0!</v>
      </c>
      <c r="K18" s="66" t="e">
        <f t="shared" si="5"/>
        <v>#DIV/0!</v>
      </c>
      <c r="L18" s="66" t="e">
        <f t="shared" si="5"/>
        <v>#DIV/0!</v>
      </c>
      <c r="M18" s="66" t="e">
        <f t="shared" si="5"/>
        <v>#DIV/0!</v>
      </c>
      <c r="N18" s="66" t="e">
        <f t="shared" si="5"/>
        <v>#DIV/0!</v>
      </c>
      <c r="O18" s="67">
        <f t="shared" si="5"/>
        <v>0.43344493399015355</v>
      </c>
    </row>
    <row r="19" ht="13.5" customHeight="1" spans="1:15" x14ac:dyDescent="0.25">
      <c r="A19" s="63"/>
      <c r="B19" s="47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</row>
    <row r="20" ht="13.5" customHeight="1" spans="1:15" x14ac:dyDescent="0.25">
      <c r="A20" s="68" t="s">
        <v>74</v>
      </c>
      <c r="B20" s="62"/>
      <c r="C20" s="60">
        <f>'PL WB'!C20+'PL OZON'!C20</f>
        <v>817168.1599999999</v>
      </c>
      <c r="D20" s="60">
        <f>'PL WB'!D20+'PL OZON'!D20</f>
        <v>767025.19</v>
      </c>
      <c r="E20" s="60">
        <f>'PL WB'!E20+'PL OZON'!E20</f>
        <v>629907.41</v>
      </c>
      <c r="F20" s="60">
        <f>'PL WB'!F20+'PL OZON'!F20</f>
        <v>282349.45999999996</v>
      </c>
      <c r="G20" s="60">
        <f>'PL WB'!G20+'PL OZON'!G20</f>
        <v>0</v>
      </c>
      <c r="H20" s="60">
        <f>'PL WB'!H20+'PL OZON'!H20</f>
        <v>0</v>
      </c>
      <c r="I20" s="60">
        <f>'PL WB'!I20+'PL OZON'!I20</f>
        <v>0</v>
      </c>
      <c r="J20" s="60">
        <f>'PL WB'!J20+'PL OZON'!J20</f>
        <v>0</v>
      </c>
      <c r="K20" s="60">
        <f>'PL WB'!K20+'PL OZON'!K20</f>
        <v>0</v>
      </c>
      <c r="L20" s="60">
        <f>'PL WB'!L20+'PL OZON'!L20</f>
        <v>0</v>
      </c>
      <c r="M20" s="60">
        <f>'PL WB'!M20+'PL OZON'!M20</f>
        <v>0</v>
      </c>
      <c r="N20" s="60">
        <f>'PL WB'!N20+'PL OZON'!N20</f>
        <v>0</v>
      </c>
      <c r="O20" s="61">
        <f>SUM(C20:N20)</f>
        <v>2496450.2199999997</v>
      </c>
    </row>
    <row r="21" ht="13.5" customHeight="1" spans="1:15" x14ac:dyDescent="0.25">
      <c r="A21" s="69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>
        <f t="shared" ref="O21:O23" si="6">SUM(C21:N21)</f>
        <v>0</v>
      </c>
    </row>
    <row r="22" ht="13.5" customHeight="1" spans="1:15" x14ac:dyDescent="0.25">
      <c r="A22" s="63" t="s">
        <v>75</v>
      </c>
      <c r="B22" s="73"/>
      <c r="C22" s="64">
        <f>'PL WB'!C22+'PL OZON'!C22</f>
        <v>6905</v>
      </c>
      <c r="D22" s="64">
        <f>'PL WB'!D22+'PL OZON'!D22</f>
        <v>3051</v>
      </c>
      <c r="E22" s="64">
        <f>'PL WB'!E22+'PL OZON'!E22</f>
        <v>11540</v>
      </c>
      <c r="F22" s="64">
        <f>'PL WB'!F22+'PL OZON'!F22</f>
        <v>2705</v>
      </c>
      <c r="G22" s="64">
        <f>'PL WB'!G22+'PL OZON'!G22</f>
        <v>0</v>
      </c>
      <c r="H22" s="64">
        <f>'PL WB'!H22+'PL OZON'!H22</f>
        <v>0</v>
      </c>
      <c r="I22" s="64">
        <f>'PL WB'!I22+'PL OZON'!I22</f>
        <v>0</v>
      </c>
      <c r="J22" s="64">
        <f>'PL WB'!J22+'PL OZON'!J22</f>
        <v>0</v>
      </c>
      <c r="K22" s="64">
        <f>'PL WB'!K22+'PL OZON'!K22</f>
        <v>0</v>
      </c>
      <c r="L22" s="64">
        <f>'PL WB'!L22+'PL OZON'!L22</f>
        <v>0</v>
      </c>
      <c r="M22" s="64">
        <f>'PL WB'!M22+'PL OZON'!M22</f>
        <v>0</v>
      </c>
      <c r="N22" s="64">
        <f>'PL WB'!N22+'PL OZON'!N22</f>
        <v>0</v>
      </c>
      <c r="O22" s="65">
        <f t="shared" si="6"/>
        <v>24201</v>
      </c>
    </row>
    <row r="23" ht="13.5" customHeight="1" spans="1:15" x14ac:dyDescent="0.25">
      <c r="A23" s="63" t="s">
        <v>76</v>
      </c>
      <c r="B23" s="73"/>
      <c r="C23" s="64">
        <f>'PL WB'!C23+'PL OZON'!C23</f>
        <v>11</v>
      </c>
      <c r="D23" s="64">
        <f>'PL WB'!D23+'PL OZON'!D23</f>
        <v>4</v>
      </c>
      <c r="E23" s="64">
        <f>'PL WB'!E23+'PL OZON'!E23</f>
        <v>15</v>
      </c>
      <c r="F23" s="64">
        <f>'PL WB'!F23+'PL OZON'!F23</f>
        <v>5</v>
      </c>
      <c r="G23" s="64">
        <f>'PL WB'!G23+'PL OZON'!G23</f>
        <v>0</v>
      </c>
      <c r="H23" s="64">
        <f>'PL WB'!H23+'PL OZON'!H23</f>
        <v>0</v>
      </c>
      <c r="I23" s="64">
        <f>'PL WB'!I23+'PL OZON'!I23</f>
        <v>0</v>
      </c>
      <c r="J23" s="64">
        <f>'PL WB'!J23+'PL OZON'!J23</f>
        <v>0</v>
      </c>
      <c r="K23" s="64">
        <f>'PL WB'!K23+'PL OZON'!K23</f>
        <v>0</v>
      </c>
      <c r="L23" s="64">
        <f>'PL WB'!L23+'PL OZON'!L23</f>
        <v>0</v>
      </c>
      <c r="M23" s="64">
        <f>'PL WB'!M23+'PL OZON'!M23</f>
        <v>0</v>
      </c>
      <c r="N23" s="64">
        <f>'PL WB'!N23+'PL OZON'!N23</f>
        <v>0</v>
      </c>
      <c r="O23" s="65">
        <f t="shared" si="6"/>
        <v>35</v>
      </c>
    </row>
    <row r="24" ht="13.5" customHeight="1" spans="1:15" x14ac:dyDescent="0.25">
      <c r="A24" s="63" t="s">
        <v>77</v>
      </c>
      <c r="B24" s="73"/>
      <c r="C24" s="64">
        <f>'PL WB'!C24+'PL OZON'!C24</f>
        <v>0.01731657099292541</v>
      </c>
      <c r="D24" s="74">
        <f t="shared" ref="D24:O24" si="7">D22/D20</f>
        <v>0.003977705086843367</v>
      </c>
      <c r="E24" s="74">
        <f t="shared" si="7"/>
        <v>0.01832015279832952</v>
      </c>
      <c r="F24" s="74">
        <f t="shared" si="7"/>
        <v>0.009580326450774867</v>
      </c>
      <c r="G24" s="74" t="e">
        <f t="shared" si="7"/>
        <v>#DIV/0!</v>
      </c>
      <c r="H24" s="74" t="e">
        <f t="shared" si="7"/>
        <v>#DIV/0!</v>
      </c>
      <c r="I24" s="74" t="e">
        <f t="shared" si="7"/>
        <v>#DIV/0!</v>
      </c>
      <c r="J24" s="74" t="e">
        <f t="shared" si="7"/>
        <v>#DIV/0!</v>
      </c>
      <c r="K24" s="74" t="e">
        <f t="shared" si="7"/>
        <v>#DIV/0!</v>
      </c>
      <c r="L24" s="74" t="e">
        <f t="shared" si="7"/>
        <v>#DIV/0!</v>
      </c>
      <c r="M24" s="74" t="e">
        <f t="shared" si="7"/>
        <v>#DIV/0!</v>
      </c>
      <c r="N24" s="74" t="e">
        <f t="shared" si="7"/>
        <v>#DIV/0!</v>
      </c>
      <c r="O24" s="75">
        <f t="shared" si="7"/>
        <v>0.009694164861016137</v>
      </c>
    </row>
    <row r="25" ht="13.5" customHeight="1" spans="1:15" x14ac:dyDescent="0.25">
      <c r="A25" s="69"/>
      <c r="B25" s="70"/>
      <c r="C25" s="64">
        <f>'PL WB'!C25+'PL OZON'!C25</f>
        <v>0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2"/>
    </row>
    <row r="26" ht="13.5" customHeight="1" hidden="1" spans="1:15" x14ac:dyDescent="0.25">
      <c r="A26" s="76" t="s">
        <v>78</v>
      </c>
      <c r="B26" s="70"/>
      <c r="C26" s="64">
        <f>'PL WB'!C26+'PL OZON'!C26</f>
        <v>0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2"/>
    </row>
    <row r="27" ht="13.5" customHeight="1" spans="1:15" x14ac:dyDescent="0.25">
      <c r="A27" s="76" t="s">
        <v>79</v>
      </c>
      <c r="B27" s="70"/>
      <c r="C27" s="64">
        <f>'PL WB'!C27+'PL OZON'!C27</f>
        <v>0</v>
      </c>
      <c r="D27" s="64">
        <f>SUM('PL WB (нед)'!H27:K27)</f>
        <v>0</v>
      </c>
      <c r="E27" s="64">
        <f>SUM('PL WB (нед)'!L27:O27)</f>
        <v>0</v>
      </c>
      <c r="F27" s="64">
        <f>SUM('PL WB (нед)'!P27:S27)</f>
        <v>1</v>
      </c>
      <c r="G27" s="64">
        <f>SUM('PL WB (нед)'!T27:X27)</f>
        <v>0</v>
      </c>
      <c r="H27" s="64">
        <f>SUM('PL WB (нед)'!Y27:AB27)</f>
        <v>3</v>
      </c>
      <c r="I27" s="64">
        <f>SUM('PL WB (нед)'!AC27:AF27)</f>
        <v>0</v>
      </c>
      <c r="J27" s="64">
        <f>SUM('PL WB (нед)'!AG27:AK27)</f>
        <v>0</v>
      </c>
      <c r="K27" s="64">
        <f>SUM('PL WB (нед)'!AL27:AO27)</f>
        <v>0</v>
      </c>
      <c r="L27" s="64">
        <f>SUM('PL WB (нед)'!AP27:AT27)</f>
        <v>0</v>
      </c>
      <c r="M27" s="64">
        <f>SUM('PL WB (нед)'!AU27:AX27)</f>
        <v>0</v>
      </c>
      <c r="N27" s="64">
        <f>SUM('PL WB (нед)'!AY27:BB27)</f>
        <v>0</v>
      </c>
      <c r="O27" s="65"/>
    </row>
    <row r="28" ht="13.5" customHeight="1" spans="1:15" x14ac:dyDescent="0.25">
      <c r="A28" s="76" t="s">
        <v>80</v>
      </c>
      <c r="B28" s="70"/>
      <c r="C28" s="64">
        <f>'PL WB'!C28+'PL OZON'!C28</f>
        <v>0</v>
      </c>
      <c r="D28" s="66">
        <f t="shared" ref="D28:N28" si="8">D27/D7</f>
        <v>0</v>
      </c>
      <c r="E28" s="66">
        <f t="shared" si="8"/>
        <v>0</v>
      </c>
      <c r="F28" s="66">
        <f t="shared" si="8"/>
        <v>0.001658374792703151</v>
      </c>
      <c r="G28" s="66" t="e">
        <f t="shared" si="8"/>
        <v>#DIV/0!</v>
      </c>
      <c r="H28" s="66" t="e">
        <f t="shared" si="8"/>
        <v>#DIV/0!</v>
      </c>
      <c r="I28" s="66" t="e">
        <f t="shared" si="8"/>
        <v>#DIV/0!</v>
      </c>
      <c r="J28" s="66" t="e">
        <f t="shared" si="8"/>
        <v>#DIV/0!</v>
      </c>
      <c r="K28" s="66" t="e">
        <f t="shared" si="8"/>
        <v>#DIV/0!</v>
      </c>
      <c r="L28" s="66" t="e">
        <f t="shared" si="8"/>
        <v>#DIV/0!</v>
      </c>
      <c r="M28" s="66" t="e">
        <f t="shared" si="8"/>
        <v>#DIV/0!</v>
      </c>
      <c r="N28" s="66" t="e">
        <f t="shared" si="8"/>
        <v>#DIV/0!</v>
      </c>
      <c r="O28" s="67"/>
    </row>
    <row r="29" ht="13.5" customHeight="1" spans="1:15" x14ac:dyDescent="0.25">
      <c r="A29" s="69"/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</row>
    <row r="30" ht="13.5" customHeight="1" spans="1:15" x14ac:dyDescent="0.25">
      <c r="A30" s="77" t="s">
        <v>81</v>
      </c>
      <c r="B30" s="78"/>
      <c r="C30" s="79">
        <f>'PL WB'!C30+'PL OZON'!C30</f>
        <v>538094.6299999999</v>
      </c>
      <c r="D30" s="79">
        <f>'PL WB'!D30+'PL OZON'!D30</f>
        <v>560103.5</v>
      </c>
      <c r="E30" s="79">
        <f>'PL WB'!E30+'PL OZON'!E30</f>
        <v>448883.7800000001</v>
      </c>
      <c r="F30" s="79">
        <f>'PL WB'!F30+'PL OZON'!F30</f>
        <v>201984.27999999997</v>
      </c>
      <c r="G30" s="79">
        <f>'PL WB'!G30+'PL OZON'!G30</f>
        <v>0</v>
      </c>
      <c r="H30" s="79">
        <f>'PL WB'!H30+'PL OZON'!H30</f>
        <v>0</v>
      </c>
      <c r="I30" s="79">
        <f>'PL WB'!I30+'PL OZON'!I30</f>
        <v>0</v>
      </c>
      <c r="J30" s="79">
        <f>'PL WB'!J30+'PL OZON'!J30</f>
        <v>0</v>
      </c>
      <c r="K30" s="79">
        <f>'PL WB'!K30+'PL OZON'!K30</f>
        <v>0</v>
      </c>
      <c r="L30" s="79">
        <f>'PL WB'!L30+'PL OZON'!L30</f>
        <v>0</v>
      </c>
      <c r="M30" s="79">
        <f>'PL WB'!M30+'PL OZON'!M30</f>
        <v>0</v>
      </c>
      <c r="N30" s="79">
        <f>'PL WB'!N30+'PL OZON'!N30</f>
        <v>0</v>
      </c>
      <c r="O30" s="80">
        <f>SUM(C30:N30)</f>
        <v>1749066.19</v>
      </c>
    </row>
    <row r="31" ht="13.5" customHeight="1" spans="1:15" x14ac:dyDescent="0.25">
      <c r="A31" s="1" t="s">
        <v>82</v>
      </c>
      <c r="B31" s="70"/>
      <c r="C31" s="51">
        <f>SUM('PL WB (нед)'!C31:G31)</f>
        <v>0</v>
      </c>
      <c r="D31" s="51">
        <f>SUM('PL WB (нед)'!H31:K31)</f>
        <v>0</v>
      </c>
      <c r="E31" s="51">
        <f>SUM('PL WB (нед)'!L31:O31)</f>
        <v>352.3</v>
      </c>
      <c r="F31" s="51">
        <f>SUM('PL WB (нед)'!P31:S31)</f>
        <v>66.37</v>
      </c>
      <c r="G31" s="51">
        <f>SUM('PL WB (нед)'!T31:X31)</f>
        <v>0</v>
      </c>
      <c r="H31" s="51">
        <f>SUM('PL WB (нед)'!Y31:AB31)</f>
        <v>0</v>
      </c>
      <c r="I31" s="51">
        <f>SUM('PL WB (нед)'!AC31:AF31)</f>
        <v>0</v>
      </c>
      <c r="J31" s="51">
        <f>SUM('PL WB (нед)'!AG31:AK31)</f>
        <v>0</v>
      </c>
      <c r="K31" s="51">
        <f>SUM('PL WB (нед)'!AL31:AO31)</f>
        <v>0</v>
      </c>
      <c r="L31" s="51">
        <f>SUM('PL WB (нед)'!AP31:AT31)</f>
        <v>0</v>
      </c>
      <c r="M31" s="51">
        <f>SUM('PL WB (нед)'!AU31:AX31)</f>
        <v>0</v>
      </c>
      <c r="N31" s="51">
        <f>SUM('PL WB (нед)'!AY31:BB31)</f>
        <v>0</v>
      </c>
      <c r="O31" s="52">
        <f t="shared" ref="O31:O32" si="9">SUM(C31:N31)</f>
        <v>418.67</v>
      </c>
    </row>
    <row r="32" ht="13.5" customHeight="1" spans="1:15" x14ac:dyDescent="0.25">
      <c r="A32" s="81"/>
      <c r="B32" s="70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3">
        <f t="shared" si="9"/>
        <v>0</v>
      </c>
    </row>
    <row r="33" ht="13.5" customHeight="1" spans="1:15" x14ac:dyDescent="0.25">
      <c r="A33" s="68" t="s">
        <v>29</v>
      </c>
      <c r="B33" s="84"/>
      <c r="C33" s="60">
        <f>'PL WB'!C33+'PL OZON'!C33</f>
        <v>240350.81</v>
      </c>
      <c r="D33" s="60">
        <f>'PL WB'!D33+'PL OZON'!D33</f>
        <v>221486.71999999997</v>
      </c>
      <c r="E33" s="60">
        <f>'PL WB'!E33+'PL OZON'!E33</f>
        <v>192349.4</v>
      </c>
      <c r="F33" s="60">
        <f>'PL WB'!F33+'PL OZON'!F33</f>
        <v>80990.90000000001</v>
      </c>
      <c r="G33" s="60">
        <f>'PL WB'!G33+'PL OZON'!G33</f>
        <v>0</v>
      </c>
      <c r="H33" s="60">
        <f>'PL WB'!H33+'PL OZON'!H33</f>
        <v>0</v>
      </c>
      <c r="I33" s="60">
        <f>'PL WB'!I33+'PL OZON'!I33</f>
        <v>0</v>
      </c>
      <c r="J33" s="60">
        <f>'PL WB'!J33+'PL OZON'!J33</f>
        <v>0</v>
      </c>
      <c r="K33" s="60">
        <f>'PL WB'!K33+'PL OZON'!K33</f>
        <v>0</v>
      </c>
      <c r="L33" s="60">
        <f>'PL WB'!L33+'PL OZON'!L33</f>
        <v>0</v>
      </c>
      <c r="M33" s="60">
        <f>'PL WB'!M33+'PL OZON'!M33</f>
        <v>0</v>
      </c>
      <c r="N33" s="60">
        <f>'PL WB'!N33+'PL OZON'!N33</f>
        <v>0</v>
      </c>
      <c r="O33" s="61">
        <f>SUM(C33:N33)</f>
        <v>735177.83</v>
      </c>
    </row>
    <row r="34" ht="13.5" customHeight="1" spans="1:15" x14ac:dyDescent="0.25">
      <c r="A34" s="85" t="s">
        <v>83</v>
      </c>
      <c r="B34" s="86"/>
      <c r="C34" s="87">
        <f>C33/C14</f>
        <v>0.19814461911596554</v>
      </c>
      <c r="D34" s="87">
        <f t="shared" ref="D34:O34" si="10">D33/D15</f>
        <v>0.2654325251636732</v>
      </c>
      <c r="E34" s="87">
        <f t="shared" si="10"/>
        <v>0.27765822309730986</v>
      </c>
      <c r="F34" s="87">
        <f t="shared" si="10"/>
        <v>0.2585041461063625</v>
      </c>
      <c r="G34" s="87" t="e">
        <f t="shared" si="10"/>
        <v>#DIV/0!</v>
      </c>
      <c r="H34" s="87" t="e">
        <f t="shared" si="10"/>
        <v>#DIV/0!</v>
      </c>
      <c r="I34" s="87" t="e">
        <f t="shared" si="10"/>
        <v>#DIV/0!</v>
      </c>
      <c r="J34" s="87" t="e">
        <f t="shared" si="10"/>
        <v>#DIV/0!</v>
      </c>
      <c r="K34" s="87" t="e">
        <f t="shared" si="10"/>
        <v>#DIV/0!</v>
      </c>
      <c r="L34" s="87" t="e">
        <f t="shared" si="10"/>
        <v>#DIV/0!</v>
      </c>
      <c r="M34" s="87" t="e">
        <f t="shared" si="10"/>
        <v>#DIV/0!</v>
      </c>
      <c r="N34" s="87" t="e">
        <f t="shared" si="10"/>
        <v>#DIV/0!</v>
      </c>
      <c r="O34" s="88">
        <f t="shared" si="10"/>
        <v>0.2634080156272449</v>
      </c>
    </row>
    <row r="35" ht="13.5" customHeight="1" spans="1:15" x14ac:dyDescent="0.25">
      <c r="A35" s="81"/>
      <c r="B35" s="89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</row>
    <row r="36" ht="13.5" customHeight="1" spans="1:15" x14ac:dyDescent="0.25">
      <c r="A36" s="68" t="s">
        <v>10</v>
      </c>
      <c r="B36" s="84"/>
      <c r="C36" s="60">
        <f>'PL WB'!C36+'PL OZON'!C36</f>
        <v>576817.3499999999</v>
      </c>
      <c r="D36" s="60">
        <f>'PL WB'!D36+'PL OZON'!D36</f>
        <v>545538.47</v>
      </c>
      <c r="E36" s="60">
        <f>'PL WB'!E36+'PL OZON'!E36</f>
        <v>437558.01</v>
      </c>
      <c r="F36" s="60">
        <f>'PL WB'!F36+'PL OZON'!F36</f>
        <v>201358.55999999994</v>
      </c>
      <c r="G36" s="60">
        <f>'PL WB'!G36+'PL OZON'!G36</f>
        <v>0</v>
      </c>
      <c r="H36" s="60">
        <f>'PL WB'!H36+'PL OZON'!H36</f>
        <v>0</v>
      </c>
      <c r="I36" s="60">
        <f>'PL WB'!I36+'PL OZON'!I36</f>
        <v>0</v>
      </c>
      <c r="J36" s="60">
        <f>'PL WB'!J36+'PL OZON'!J36</f>
        <v>0</v>
      </c>
      <c r="K36" s="60">
        <f>'PL WB'!K36+'PL OZON'!K36</f>
        <v>0</v>
      </c>
      <c r="L36" s="60">
        <f t="shared" ref="L36:N36" si="11">L20-L33</f>
        <v>0</v>
      </c>
      <c r="M36" s="60">
        <f t="shared" si="11"/>
        <v>0</v>
      </c>
      <c r="N36" s="60">
        <f t="shared" si="11"/>
        <v>0</v>
      </c>
      <c r="O36" s="61">
        <f t="shared" ref="O36:O37" si="12">SUM(C36:N36)</f>
        <v>1761272.3899999997</v>
      </c>
    </row>
    <row r="37" ht="13.5" customHeight="1" spans="1:15" x14ac:dyDescent="0.25">
      <c r="A37" s="90"/>
      <c r="B37" s="39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>
        <f t="shared" si="12"/>
        <v>0</v>
      </c>
    </row>
    <row r="38" ht="13.5" customHeight="1" spans="1:15" x14ac:dyDescent="0.25">
      <c r="A38" s="68" t="s">
        <v>84</v>
      </c>
      <c r="B38" s="84"/>
      <c r="C38" s="60">
        <f>'PL WB'!C38+'PL OZON'!C38</f>
        <v>267226.53</v>
      </c>
      <c r="D38" s="60">
        <f>'PL WB'!D38+'PL OZON'!D38</f>
        <v>199006.69</v>
      </c>
      <c r="E38" s="60">
        <f>'PL WB'!E38+'PL OZON'!E38</f>
        <v>178158.93</v>
      </c>
      <c r="F38" s="60">
        <f>'PL WB'!F38+'PL OZON'!F38</f>
        <v>80056.55</v>
      </c>
      <c r="G38" s="60">
        <f>'PL WB'!G38+'PL OZON'!G38</f>
        <v>0</v>
      </c>
      <c r="H38" s="60">
        <f>'PL WB'!H38+'PL OZON'!H38</f>
        <v>0</v>
      </c>
      <c r="I38" s="60">
        <f>'PL WB'!I38+'PL OZON'!I38</f>
        <v>0</v>
      </c>
      <c r="J38" s="60">
        <f>'PL WB'!J38+'PL OZON'!J38</f>
        <v>0</v>
      </c>
      <c r="K38" s="60">
        <f>'PL WB'!K38+'PL OZON'!K38</f>
        <v>0</v>
      </c>
      <c r="L38" s="60">
        <f>'PL WB'!L38+'PL OZON'!L38</f>
        <v>0</v>
      </c>
      <c r="M38" s="60">
        <f>'PL WB'!M38+'PL OZON'!M38</f>
        <v>0</v>
      </c>
      <c r="N38" s="60">
        <f>'PL WB'!N38+'PL OZON'!N38</f>
        <v>0</v>
      </c>
      <c r="O38" s="61">
        <f>SUM(C38:N38)</f>
        <v>724448.7000000001</v>
      </c>
    </row>
    <row r="39" ht="13.5" customHeight="1" spans="1:15" x14ac:dyDescent="0.25">
      <c r="A39" s="91" t="s">
        <v>85</v>
      </c>
      <c r="B39" s="92"/>
      <c r="C39" s="87">
        <f>C38/C14</f>
        <v>0.2203008968620956</v>
      </c>
      <c r="D39" s="87">
        <f t="shared" ref="D39:N39" si="13">D38/D14</f>
        <v>0.17505989662136962</v>
      </c>
      <c r="E39" s="87">
        <f t="shared" si="13"/>
        <v>0.19010047130603094</v>
      </c>
      <c r="F39" s="87">
        <f t="shared" si="13"/>
        <v>0.19096411694969026</v>
      </c>
      <c r="G39" s="87" t="e">
        <f t="shared" si="13"/>
        <v>#DIV/0!</v>
      </c>
      <c r="H39" s="87" t="e">
        <f t="shared" si="13"/>
        <v>#DIV/0!</v>
      </c>
      <c r="I39" s="87" t="e">
        <f t="shared" si="13"/>
        <v>#DIV/0!</v>
      </c>
      <c r="J39" s="87" t="e">
        <f t="shared" si="13"/>
        <v>#DIV/0!</v>
      </c>
      <c r="K39" s="87" t="e">
        <f t="shared" si="13"/>
        <v>#DIV/0!</v>
      </c>
      <c r="L39" s="87" t="e">
        <f t="shared" si="13"/>
        <v>#DIV/0!</v>
      </c>
      <c r="M39" s="87" t="e">
        <f t="shared" si="13"/>
        <v>#DIV/0!</v>
      </c>
      <c r="N39" s="87" t="e">
        <f t="shared" si="13"/>
        <v>#DIV/0!</v>
      </c>
      <c r="O39" s="88"/>
    </row>
    <row r="40" ht="13.5" customHeight="1" spans="1:15" x14ac:dyDescent="0.25">
      <c r="A40" s="93" t="s">
        <v>27</v>
      </c>
      <c r="B40" s="94"/>
      <c r="C40" s="95">
        <f>'PL WB'!C40+'PL OZON'!C40</f>
        <v>183264</v>
      </c>
      <c r="D40" s="95">
        <f>'PL WB'!D40+'PL OZON'!D40</f>
        <v>153195</v>
      </c>
      <c r="E40" s="95">
        <f>'PL WB'!E40+'PL OZON'!E40</f>
        <v>134317</v>
      </c>
      <c r="F40" s="95">
        <f>'PL WB'!F40+'PL OZON'!F40</f>
        <v>48829</v>
      </c>
      <c r="G40" s="95">
        <f>'PL WB'!G40+'PL OZON'!G40</f>
        <v>0</v>
      </c>
      <c r="H40" s="95">
        <f>'PL WB'!H40+'PL OZON'!H40</f>
        <v>0</v>
      </c>
      <c r="I40" s="95">
        <f>'PL WB'!I40+'PL OZON'!I40</f>
        <v>0</v>
      </c>
      <c r="J40" s="95">
        <f>'PL WB'!J40+'PL OZON'!J40</f>
        <v>0</v>
      </c>
      <c r="K40" s="95">
        <f>'PL WB'!K40+'PL OZON'!K40</f>
        <v>0</v>
      </c>
      <c r="L40" s="95">
        <f>'PL WB'!L40+'PL OZON'!L40</f>
        <v>0</v>
      </c>
      <c r="M40" s="95">
        <f>'PL WB'!M40+'PL OZON'!M40</f>
        <v>0</v>
      </c>
      <c r="N40" s="95">
        <f>'PL WB'!N40+'PL OZON'!N40</f>
        <v>0</v>
      </c>
      <c r="O40" s="96">
        <f t="shared" ref="O40:O52" si="14">SUM(C40:N40)</f>
        <v>519605</v>
      </c>
    </row>
    <row r="41" ht="13.5" customHeight="1" spans="1:15" x14ac:dyDescent="0.25">
      <c r="A41" s="93" t="s">
        <v>28</v>
      </c>
      <c r="B41" s="94"/>
      <c r="C41" s="95">
        <f>'PL WB'!C41+'PL OZON'!C41</f>
        <v>11847</v>
      </c>
      <c r="D41" s="95">
        <f>'PL WB'!D41+'PL OZON'!D41</f>
        <v>7915</v>
      </c>
      <c r="E41" s="95">
        <f>'PL WB'!E41+'PL OZON'!E41</f>
        <v>3217</v>
      </c>
      <c r="F41" s="95">
        <f>'PL WB'!F41+'PL OZON'!F41</f>
        <v>375</v>
      </c>
      <c r="G41" s="95">
        <f>'PL WB'!G41+'PL OZON'!G41</f>
        <v>0</v>
      </c>
      <c r="H41" s="95">
        <f>'PL WB'!H41+'PL OZON'!H41</f>
        <v>0</v>
      </c>
      <c r="I41" s="95">
        <f>'PL WB'!I41+'PL OZON'!I41</f>
        <v>0</v>
      </c>
      <c r="J41" s="95">
        <f>'PL WB'!J41+'PL OZON'!J41</f>
        <v>0</v>
      </c>
      <c r="K41" s="95">
        <f>'PL WB'!K41+'PL OZON'!K41</f>
        <v>0</v>
      </c>
      <c r="L41" s="95">
        <f>'PL WB'!L41+'PL OZON'!L41</f>
        <v>0</v>
      </c>
      <c r="M41" s="95">
        <f>'PL WB'!M41+'PL OZON'!M41</f>
        <v>0</v>
      </c>
      <c r="N41" s="95">
        <f>'PL WB'!N41+'PL OZON'!N41</f>
        <v>0</v>
      </c>
      <c r="O41" s="96">
        <f t="shared" si="14"/>
        <v>23354</v>
      </c>
    </row>
    <row r="42" ht="13.5" customHeight="1" spans="1:15" x14ac:dyDescent="0.25">
      <c r="A42" s="93" t="s">
        <v>86</v>
      </c>
      <c r="B42" s="94"/>
      <c r="C42" s="95">
        <f>'PL WB'!C42+'PL OZON'!C42</f>
        <v>3613</v>
      </c>
      <c r="D42" s="95">
        <f>'PL WB'!D42+'PL OZON'!D42</f>
        <v>2391</v>
      </c>
      <c r="E42" s="95">
        <f>'PL WB'!E42+'PL OZON'!E42</f>
        <v>1321</v>
      </c>
      <c r="F42" s="95">
        <f>'PL WB'!F42+'PL OZON'!F42</f>
        <v>773</v>
      </c>
      <c r="G42" s="95">
        <f>'PL WB'!G42+'PL OZON'!G42</f>
        <v>0</v>
      </c>
      <c r="H42" s="95">
        <f>'PL WB'!H42+'PL OZON'!H42</f>
        <v>0</v>
      </c>
      <c r="I42" s="95">
        <f>'PL WB'!I42+'PL OZON'!I42</f>
        <v>0</v>
      </c>
      <c r="J42" s="95">
        <f>'PL WB'!J42+'PL OZON'!J42</f>
        <v>0</v>
      </c>
      <c r="K42" s="95">
        <f>'PL WB'!K42+'PL OZON'!K42</f>
        <v>0</v>
      </c>
      <c r="L42" s="95">
        <f>'PL WB'!L42+'PL OZON'!L42</f>
        <v>0</v>
      </c>
      <c r="M42" s="95">
        <f>'PL WB'!M42+'PL OZON'!M42</f>
        <v>0</v>
      </c>
      <c r="N42" s="95">
        <f>'PL WB'!N42+'PL OZON'!N42</f>
        <v>0</v>
      </c>
      <c r="O42" s="96">
        <f t="shared" si="14"/>
        <v>8098</v>
      </c>
    </row>
    <row r="43" ht="13.5" customHeight="1" spans="1:15" x14ac:dyDescent="0.25">
      <c r="A43" s="93" t="s">
        <v>30</v>
      </c>
      <c r="B43" s="94"/>
      <c r="C43" s="95">
        <f>'PL WB'!C43+'PL OZON'!C43</f>
        <v>53680.72</v>
      </c>
      <c r="D43" s="95">
        <f>'PL WB'!D43+'PL OZON'!D43</f>
        <v>35505.69</v>
      </c>
      <c r="E43" s="95">
        <f>'PL WB'!E43+'PL OZON'!E43</f>
        <v>39303.93</v>
      </c>
      <c r="F43" s="95">
        <f>'PL WB'!F43+'PL OZON'!F43</f>
        <v>30039.55</v>
      </c>
      <c r="G43" s="95">
        <f>'PL WB'!G43+'PL OZON'!G43</f>
        <v>0</v>
      </c>
      <c r="H43" s="95">
        <f>'PL WB'!H43+'PL OZON'!H43</f>
        <v>0</v>
      </c>
      <c r="I43" s="95">
        <f>'PL WB'!I43+'PL OZON'!I43</f>
        <v>0</v>
      </c>
      <c r="J43" s="95">
        <f>'PL WB'!J43+'PL OZON'!J43</f>
        <v>0</v>
      </c>
      <c r="K43" s="95">
        <f>'PL WB'!K43+'PL OZON'!K43</f>
        <v>0</v>
      </c>
      <c r="L43" s="95">
        <f>'PL WB'!L43+'PL OZON'!L43</f>
        <v>0</v>
      </c>
      <c r="M43" s="95">
        <f>'PL WB'!M43+'PL OZON'!M43</f>
        <v>0</v>
      </c>
      <c r="N43" s="95">
        <f>'PL WB'!N43+'PL OZON'!N43</f>
        <v>0</v>
      </c>
      <c r="O43" s="96">
        <f t="shared" si="14"/>
        <v>158529.88999999998</v>
      </c>
    </row>
    <row r="44" ht="13.5" customHeight="1" spans="1:15" x14ac:dyDescent="0.25">
      <c r="A44" s="93" t="s">
        <v>87</v>
      </c>
      <c r="B44" s="94"/>
      <c r="C44" s="95">
        <f>'PL WB'!C44+'PL OZON'!C44</f>
        <v>741</v>
      </c>
      <c r="D44" s="95">
        <f>'PL WB'!D44+'PL OZON'!D44</f>
        <v>0</v>
      </c>
      <c r="E44" s="95">
        <f>'PL WB'!E44+'PL OZON'!E44</f>
        <v>0</v>
      </c>
      <c r="F44" s="95">
        <f>'PL WB'!F44+'PL OZON'!F44</f>
        <v>40</v>
      </c>
      <c r="G44" s="95">
        <f>'PL WB'!G44+'PL OZON'!G44</f>
        <v>0</v>
      </c>
      <c r="H44" s="95">
        <f>'PL WB'!H44+'PL OZON'!H44</f>
        <v>0</v>
      </c>
      <c r="I44" s="95">
        <f>'PL WB'!I44+'PL OZON'!I44</f>
        <v>0</v>
      </c>
      <c r="J44" s="95">
        <f>'PL WB'!J44+'PL OZON'!J44</f>
        <v>0</v>
      </c>
      <c r="K44" s="95">
        <f>'PL WB'!K44+'PL OZON'!K44</f>
        <v>0</v>
      </c>
      <c r="L44" s="95">
        <f>'PL WB'!L44+'PL OZON'!L44</f>
        <v>0</v>
      </c>
      <c r="M44" s="95">
        <f>'PL WB'!M44+'PL OZON'!M44</f>
        <v>0</v>
      </c>
      <c r="N44" s="95">
        <f>'PL WB'!N44+'PL OZON'!N44</f>
        <v>0</v>
      </c>
      <c r="O44" s="96">
        <f t="shared" si="14"/>
        <v>781</v>
      </c>
    </row>
    <row r="45" ht="13.5" customHeight="1" spans="1:15" x14ac:dyDescent="0.25">
      <c r="A45" s="93" t="s">
        <v>88</v>
      </c>
      <c r="B45" s="94"/>
      <c r="C45" s="95">
        <f>'PL WB'!C45+'PL OZON'!C45</f>
        <v>14080.81</v>
      </c>
      <c r="D45" s="95">
        <f>'PL WB'!D45+'PL OZON'!D45</f>
        <v>0</v>
      </c>
      <c r="E45" s="95">
        <f>'PL WB'!E45+'PL OZON'!E45</f>
        <v>0</v>
      </c>
      <c r="F45" s="95">
        <f>'PL WB'!F45+'PL OZON'!F45</f>
        <v>0</v>
      </c>
      <c r="G45" s="95">
        <f>'PL WB'!G45+'PL OZON'!G45</f>
        <v>0</v>
      </c>
      <c r="H45" s="95">
        <f>'PL WB'!H45+'PL OZON'!H45</f>
        <v>0</v>
      </c>
      <c r="I45" s="95">
        <f>'PL WB'!I45+'PL OZON'!I45</f>
        <v>0</v>
      </c>
      <c r="J45" s="95">
        <f>'PL WB'!J45+'PL OZON'!J45</f>
        <v>0</v>
      </c>
      <c r="K45" s="95">
        <f>'PL WB'!K45+'PL OZON'!K45</f>
        <v>0</v>
      </c>
      <c r="L45" s="95">
        <f>'PL WB'!L45+'PL OZON'!L45</f>
        <v>0</v>
      </c>
      <c r="M45" s="95">
        <f>'PL WB'!M45+'PL OZON'!M45</f>
        <v>0</v>
      </c>
      <c r="N45" s="95">
        <f>'PL WB'!N45+'PL OZON'!N45</f>
        <v>0</v>
      </c>
      <c r="O45" s="96">
        <f t="shared" si="14"/>
        <v>14080.81</v>
      </c>
    </row>
    <row r="46" ht="13.5" customHeight="1" spans="1:15" x14ac:dyDescent="0.25">
      <c r="A46" s="93" t="s">
        <v>89</v>
      </c>
      <c r="B46" s="94"/>
      <c r="C46" s="95">
        <f>'PL WB'!C46+'PL OZON'!C46</f>
        <v>0</v>
      </c>
      <c r="D46" s="95">
        <f>'PL WB'!D46+'PL OZON'!D46</f>
        <v>0</v>
      </c>
      <c r="E46" s="95">
        <f>'PL WB'!E46+'PL OZON'!E46</f>
        <v>0</v>
      </c>
      <c r="F46" s="95">
        <f>'PL WB'!F46+'PL OZON'!F46</f>
        <v>0</v>
      </c>
      <c r="G46" s="95">
        <f>'PL WB'!G46+'PL OZON'!G46</f>
        <v>0</v>
      </c>
      <c r="H46" s="95">
        <f>'PL WB'!H46+'PL OZON'!H46</f>
        <v>0</v>
      </c>
      <c r="I46" s="95">
        <f>'PL WB'!I46+'PL OZON'!I46</f>
        <v>0</v>
      </c>
      <c r="J46" s="95">
        <f>'PL WB'!J46+'PL OZON'!J46</f>
        <v>0</v>
      </c>
      <c r="K46" s="95">
        <f>'PL WB'!K46+'PL OZON'!K46</f>
        <v>0</v>
      </c>
      <c r="L46" s="95">
        <f>'PL WB'!L46+'PL OZON'!L46</f>
        <v>0</v>
      </c>
      <c r="M46" s="95">
        <f>'PL WB'!M46+'PL OZON'!M46</f>
        <v>0</v>
      </c>
      <c r="N46" s="95">
        <f>'PL WB'!N46+'PL OZON'!N46</f>
        <v>0</v>
      </c>
      <c r="O46" s="96">
        <f t="shared" si="14"/>
        <v>0</v>
      </c>
    </row>
    <row r="47" ht="13.5" customHeight="1" spans="1:15" x14ac:dyDescent="0.25">
      <c r="A47" s="93" t="s">
        <v>90</v>
      </c>
      <c r="B47" s="94"/>
      <c r="C47" s="95">
        <f>'PL WB'!C47+'PL OZON'!C47</f>
        <v>0</v>
      </c>
      <c r="D47" s="95">
        <f>'PL WB'!D47+'PL OZON'!D47</f>
        <v>0</v>
      </c>
      <c r="E47" s="95">
        <f>'PL WB'!E47+'PL OZON'!E47</f>
        <v>0</v>
      </c>
      <c r="F47" s="95">
        <f>'PL WB'!F47+'PL OZON'!F47</f>
        <v>0</v>
      </c>
      <c r="G47" s="95">
        <f>'PL WB'!G47+'PL OZON'!G47</f>
        <v>0</v>
      </c>
      <c r="H47" s="95">
        <f>'PL WB'!H47+'PL OZON'!H47</f>
        <v>0</v>
      </c>
      <c r="I47" s="95">
        <f>'PL WB'!I47+'PL OZON'!I47</f>
        <v>0</v>
      </c>
      <c r="J47" s="95">
        <f>'PL WB'!J47+'PL OZON'!J47</f>
        <v>0</v>
      </c>
      <c r="K47" s="95">
        <f>'PL WB'!K47+'PL OZON'!K47</f>
        <v>0</v>
      </c>
      <c r="L47" s="95">
        <f>'PL WB'!L47+'PL OZON'!L47</f>
        <v>0</v>
      </c>
      <c r="M47" s="95">
        <f>'PL WB'!M47+'PL OZON'!M47</f>
        <v>0</v>
      </c>
      <c r="N47" s="95">
        <f>'PL WB'!N47+'PL OZON'!N47</f>
        <v>0</v>
      </c>
      <c r="O47" s="96">
        <f t="shared" si="14"/>
        <v>0</v>
      </c>
    </row>
    <row r="48" ht="13.5" customHeight="1" spans="1:15" x14ac:dyDescent="0.25">
      <c r="A48" s="93" t="s">
        <v>91</v>
      </c>
      <c r="B48" s="94"/>
      <c r="C48" s="95">
        <f>'PL WB'!C48+'PL OZON'!C48</f>
        <v>0</v>
      </c>
      <c r="D48" s="95">
        <f>'PL WB'!D48+'PL OZON'!D48</f>
        <v>0</v>
      </c>
      <c r="E48" s="95">
        <f>'PL WB'!E48+'PL OZON'!E48</f>
        <v>0</v>
      </c>
      <c r="F48" s="95">
        <f>'PL WB'!F48+'PL OZON'!F48</f>
        <v>0</v>
      </c>
      <c r="G48" s="95">
        <f>'PL WB'!G48+'PL OZON'!G48</f>
        <v>0</v>
      </c>
      <c r="H48" s="95">
        <f>'PL WB'!H48+'PL OZON'!H48</f>
        <v>0</v>
      </c>
      <c r="I48" s="95">
        <f>'PL WB'!I48+'PL OZON'!I48</f>
        <v>0</v>
      </c>
      <c r="J48" s="95">
        <f>'PL WB'!J48+'PL OZON'!J48</f>
        <v>0</v>
      </c>
      <c r="K48" s="95">
        <f>'PL WB'!K48+'PL OZON'!K48</f>
        <v>0</v>
      </c>
      <c r="L48" s="95">
        <f>'PL WB'!L48+'PL OZON'!L48</f>
        <v>0</v>
      </c>
      <c r="M48" s="95">
        <f>'PL WB'!M48+'PL OZON'!M48</f>
        <v>0</v>
      </c>
      <c r="N48" s="95">
        <f>'PL WB'!N48+'PL OZON'!N48</f>
        <v>0</v>
      </c>
      <c r="O48" s="96">
        <f t="shared" si="14"/>
        <v>0</v>
      </c>
    </row>
    <row r="49" ht="13.5" customHeight="1" spans="1:15" x14ac:dyDescent="0.25">
      <c r="A49" s="93" t="s">
        <v>92</v>
      </c>
      <c r="B49" s="94"/>
      <c r="C49" s="95">
        <f>'PL WB'!C49+'PL OZON'!C49</f>
        <v>0</v>
      </c>
      <c r="D49" s="95">
        <f>'PL WB'!D49+'PL OZON'!D49</f>
        <v>0</v>
      </c>
      <c r="E49" s="95">
        <f>'PL WB'!E49+'PL OZON'!E49</f>
        <v>0</v>
      </c>
      <c r="F49" s="95">
        <f>'PL WB'!F49+'PL OZON'!F49</f>
        <v>0</v>
      </c>
      <c r="G49" s="95">
        <f>'PL WB'!G49+'PL OZON'!G49</f>
        <v>0</v>
      </c>
      <c r="H49" s="95">
        <f>'PL WB'!H49+'PL OZON'!H49</f>
        <v>0</v>
      </c>
      <c r="I49" s="95">
        <f>'PL WB'!I49+'PL OZON'!I49</f>
        <v>0</v>
      </c>
      <c r="J49" s="95">
        <f>'PL WB'!J49+'PL OZON'!J49</f>
        <v>0</v>
      </c>
      <c r="K49" s="95">
        <f>'PL WB'!K49+'PL OZON'!K49</f>
        <v>0</v>
      </c>
      <c r="L49" s="95">
        <f>'PL WB'!L49+'PL OZON'!L49</f>
        <v>0</v>
      </c>
      <c r="M49" s="95">
        <f>'PL WB'!M49+'PL OZON'!M49</f>
        <v>0</v>
      </c>
      <c r="N49" s="95">
        <f>'PL WB'!N49+'PL OZON'!N49</f>
        <v>0</v>
      </c>
      <c r="O49" s="96">
        <f t="shared" si="14"/>
        <v>0</v>
      </c>
    </row>
    <row r="50" ht="13.5" customHeight="1" spans="1:15" x14ac:dyDescent="0.25">
      <c r="A50" s="97" t="s">
        <v>93</v>
      </c>
      <c r="B50" s="94"/>
      <c r="C50" s="95">
        <f>'PL WB'!C50+'PL OZON'!C50</f>
        <v>0</v>
      </c>
      <c r="D50" s="95">
        <f>'PL WB'!D50+'PL OZON'!D50</f>
        <v>0</v>
      </c>
      <c r="E50" s="95">
        <f>'PL WB'!E50+'PL OZON'!E50</f>
        <v>0</v>
      </c>
      <c r="F50" s="95">
        <f>'PL WB'!F50+'PL OZON'!F50</f>
        <v>0</v>
      </c>
      <c r="G50" s="95">
        <f>'PL WB'!G50+'PL OZON'!G50</f>
        <v>0</v>
      </c>
      <c r="H50" s="95">
        <f>'PL WB'!H50+'PL OZON'!H50</f>
        <v>0</v>
      </c>
      <c r="I50" s="95">
        <f>'PL WB'!I50+'PL OZON'!I50</f>
        <v>0</v>
      </c>
      <c r="J50" s="95">
        <f>'PL WB'!J50+'PL OZON'!J50</f>
        <v>0</v>
      </c>
      <c r="K50" s="95">
        <f>'PL WB'!K50+'PL OZON'!K50</f>
        <v>0</v>
      </c>
      <c r="L50" s="95">
        <f>'PL WB'!L50+'PL OZON'!L50</f>
        <v>0</v>
      </c>
      <c r="M50" s="95">
        <f>'PL WB'!M50+'PL OZON'!M50</f>
        <v>0</v>
      </c>
      <c r="N50" s="95">
        <f>'PL WB'!N50+'PL OZON'!N50</f>
        <v>0</v>
      </c>
      <c r="O50" s="96">
        <f t="shared" si="14"/>
        <v>0</v>
      </c>
    </row>
    <row r="51" ht="13.5" customHeight="1" spans="1:15" x14ac:dyDescent="0.25">
      <c r="A51" s="93" t="s">
        <v>94</v>
      </c>
      <c r="B51" s="94"/>
      <c r="C51" s="95">
        <f>'PL WB'!C51+'PL OZON'!C51</f>
        <v>0</v>
      </c>
      <c r="D51" s="95">
        <f>'PL WB'!D51+'PL OZON'!D51</f>
        <v>0</v>
      </c>
      <c r="E51" s="95">
        <f>'PL WB'!E51+'PL OZON'!E51</f>
        <v>0</v>
      </c>
      <c r="F51" s="95">
        <f>'PL WB'!F51+'PL OZON'!F51</f>
        <v>0</v>
      </c>
      <c r="G51" s="95">
        <f>'PL WB'!G51+'PL OZON'!G51</f>
        <v>0</v>
      </c>
      <c r="H51" s="95">
        <f>'PL WB'!H51+'PL OZON'!H51</f>
        <v>0</v>
      </c>
      <c r="I51" s="95">
        <f>'PL WB'!I51+'PL OZON'!I51</f>
        <v>0</v>
      </c>
      <c r="J51" s="95">
        <f>'PL WB'!J51+'PL OZON'!J51</f>
        <v>0</v>
      </c>
      <c r="K51" s="95">
        <f>'PL WB'!K51+'PL OZON'!K51</f>
        <v>0</v>
      </c>
      <c r="L51" s="95">
        <f>'PL WB'!L51+'PL OZON'!L51</f>
        <v>0</v>
      </c>
      <c r="M51" s="95">
        <f>'PL WB'!M51+'PL OZON'!M51</f>
        <v>0</v>
      </c>
      <c r="N51" s="95">
        <f>'PL WB'!N51+'PL OZON'!N51</f>
        <v>0</v>
      </c>
      <c r="O51" s="96">
        <f t="shared" si="14"/>
        <v>0</v>
      </c>
    </row>
    <row r="52" ht="13.5" customHeight="1" spans="1:15" x14ac:dyDescent="0.25">
      <c r="A52" s="38"/>
      <c r="B52" s="39"/>
      <c r="C52" s="95">
        <f>'PL WB'!C52+'PL OZON'!C52</f>
        <v>0</v>
      </c>
      <c r="D52" s="95">
        <f>'PL WB'!D52+'PL OZON'!D52</f>
        <v>0</v>
      </c>
      <c r="E52" s="95">
        <f>'PL WB'!E52+'PL OZON'!E52</f>
        <v>0</v>
      </c>
      <c r="F52" s="95">
        <f>'PL WB'!F52+'PL OZON'!F52</f>
        <v>0</v>
      </c>
      <c r="G52" s="95">
        <f>'PL WB'!G52+'PL OZON'!G52</f>
        <v>0</v>
      </c>
      <c r="H52" s="95">
        <f>'PL WB'!H52+'PL OZON'!H52</f>
        <v>0</v>
      </c>
      <c r="I52" s="95">
        <f>'PL WB'!I52+'PL OZON'!I52</f>
        <v>0</v>
      </c>
      <c r="J52" s="95">
        <f>'PL WB'!J52+'PL OZON'!J52</f>
        <v>0</v>
      </c>
      <c r="K52" s="95">
        <f>'PL WB'!K52+'PL OZON'!K52</f>
        <v>0</v>
      </c>
      <c r="L52" s="95">
        <f>'PL WB'!L52+'PL OZON'!L52</f>
        <v>0</v>
      </c>
      <c r="M52" s="95">
        <f>'PL WB'!M52+'PL OZON'!M52</f>
        <v>0</v>
      </c>
      <c r="N52" s="95">
        <f>'PL WB'!N52+'PL OZON'!N52</f>
        <v>0</v>
      </c>
      <c r="O52" s="96">
        <f t="shared" si="14"/>
        <v>0</v>
      </c>
    </row>
    <row r="53" ht="15" customHeight="1" spans="1:15" x14ac:dyDescent="0.25">
      <c r="A53" s="98" t="s">
        <v>95</v>
      </c>
      <c r="B53" s="99"/>
      <c r="C53" s="100">
        <f>'PL WB'!C53+'PL OZON'!C53</f>
        <v>309590.81999999995</v>
      </c>
      <c r="D53" s="100">
        <f>'PL WB'!D53+'PL OZON'!D53</f>
        <v>346531.77999999997</v>
      </c>
      <c r="E53" s="100">
        <f>'PL WB'!E53+'PL OZON'!E53</f>
        <v>259751.38</v>
      </c>
      <c r="F53" s="100">
        <f>'PL WB'!F53+'PL OZON'!F53</f>
        <v>121368.37999999993</v>
      </c>
      <c r="G53" s="100">
        <f>'PL WB'!G53+'PL OZON'!G53</f>
        <v>0</v>
      </c>
      <c r="H53" s="100">
        <f>'PL WB'!H53+'PL OZON'!H53</f>
        <v>0</v>
      </c>
      <c r="I53" s="100">
        <f>'PL WB'!I53+'PL OZON'!I53</f>
        <v>0</v>
      </c>
      <c r="J53" s="100">
        <f>'PL WB'!J53+'PL OZON'!J53</f>
        <v>0</v>
      </c>
      <c r="K53" s="100">
        <f>'PL WB'!K53+'PL OZON'!K53</f>
        <v>0</v>
      </c>
      <c r="L53" s="100">
        <f>'PL WB'!L53+'PL OZON'!L53</f>
        <v>0</v>
      </c>
      <c r="M53" s="100">
        <f>'PL WB'!M53+'PL OZON'!M53</f>
        <v>0</v>
      </c>
      <c r="N53" s="100">
        <f>'PL WB'!N53+'PL OZON'!N53</f>
        <v>0</v>
      </c>
      <c r="O53" s="101">
        <f>SUM(C53:N53)</f>
        <v>1037242.3599999998</v>
      </c>
    </row>
    <row r="54" ht="13.5" customHeight="1" spans="1:15" x14ac:dyDescent="0.25">
      <c r="A54" s="38"/>
      <c r="B54" s="50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</row>
    <row r="55" ht="13.5" customHeight="1" spans="1:15" x14ac:dyDescent="0.25">
      <c r="A55" s="93" t="s">
        <v>96</v>
      </c>
      <c r="B55" s="102" t="s">
        <v>97</v>
      </c>
      <c r="C55" s="60">
        <f>C15*7%</f>
        <v>66536.68000000001</v>
      </c>
      <c r="D55" s="60">
        <f t="shared" ref="D55:N55" si="15">D15*7%</f>
        <v>58410.590000000004</v>
      </c>
      <c r="E55" s="60">
        <f t="shared" si="15"/>
        <v>48492.920000000006</v>
      </c>
      <c r="F55" s="60">
        <f t="shared" si="15"/>
        <v>21931.420000000002</v>
      </c>
      <c r="G55" s="60">
        <f t="shared" si="15"/>
        <v>0</v>
      </c>
      <c r="H55" s="60">
        <f t="shared" si="15"/>
        <v>0</v>
      </c>
      <c r="I55" s="60">
        <f t="shared" si="15"/>
        <v>0</v>
      </c>
      <c r="J55" s="60">
        <f t="shared" si="15"/>
        <v>0</v>
      </c>
      <c r="K55" s="60">
        <f t="shared" si="15"/>
        <v>0</v>
      </c>
      <c r="L55" s="60">
        <f t="shared" si="15"/>
        <v>0</v>
      </c>
      <c r="M55" s="60">
        <f t="shared" si="15"/>
        <v>0</v>
      </c>
      <c r="N55" s="60">
        <f t="shared" si="15"/>
        <v>0</v>
      </c>
      <c r="O55" s="61">
        <f t="shared" ref="O55" si="16">SUM(C55:N55)</f>
        <v>195371.61000000004</v>
      </c>
    </row>
    <row r="56" ht="13.5" customHeight="1" spans="1:15" x14ac:dyDescent="0.25">
      <c r="A56" s="38"/>
      <c r="B56" s="39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8"/>
    </row>
    <row r="57" ht="15" customHeight="1" spans="1:15" x14ac:dyDescent="0.25">
      <c r="A57" s="103" t="s">
        <v>6</v>
      </c>
      <c r="B57" s="104"/>
      <c r="C57" s="100">
        <f>'PL WB'!C57+'PL OZON'!C57</f>
        <v>243054.1399999999</v>
      </c>
      <c r="D57" s="100">
        <f>'PL WB'!D57+'PL OZON'!D57</f>
        <v>288121.18999999994</v>
      </c>
      <c r="E57" s="100">
        <f>'PL WB'!E57+'PL OZON'!E57</f>
        <v>211258.46000000002</v>
      </c>
      <c r="F57" s="100">
        <f>'PL WB'!F57+'PL OZON'!F57</f>
        <v>99436.95999999993</v>
      </c>
      <c r="G57" s="100">
        <f>'PL WB'!G57+'PL OZON'!G57</f>
        <v>0</v>
      </c>
      <c r="H57" s="100">
        <f>'PL WB'!H57+'PL OZON'!H57</f>
        <v>0</v>
      </c>
      <c r="I57" s="100">
        <f>'PL WB'!I57+'PL OZON'!I57</f>
        <v>0</v>
      </c>
      <c r="J57" s="100">
        <f>'PL WB'!J57+'PL OZON'!J57</f>
        <v>0</v>
      </c>
      <c r="K57" s="100">
        <f>'PL WB'!K57+'PL OZON'!K57</f>
        <v>0</v>
      </c>
      <c r="L57" s="100">
        <f>'PL WB'!L57+'PL OZON'!L57</f>
        <v>0</v>
      </c>
      <c r="M57" s="100">
        <f>'PL WB'!M57+'PL OZON'!M57</f>
        <v>0</v>
      </c>
      <c r="N57" s="100">
        <f>'PL WB'!N57+'PL OZON'!N57</f>
        <v>0</v>
      </c>
      <c r="O57" s="101">
        <f>SUM(C57:N57)</f>
        <v>841870.7499999998</v>
      </c>
    </row>
    <row r="58" ht="13.5" customHeight="1" spans="1:15" x14ac:dyDescent="0.25">
      <c r="A58" s="105" t="s">
        <v>98</v>
      </c>
      <c r="B58" s="106"/>
      <c r="C58" s="107">
        <f>C57/C33</f>
        <v>1.0112474345312168</v>
      </c>
      <c r="D58" s="107">
        <f t="shared" ref="D58:O58" si="17">D57/D33</f>
        <v>1.3008508591395456</v>
      </c>
      <c r="E58" s="107">
        <f t="shared" si="17"/>
        <v>1.0983057914399526</v>
      </c>
      <c r="F58" s="107">
        <f t="shared" si="17"/>
        <v>1.2277547230614787</v>
      </c>
      <c r="G58" s="107" t="e">
        <f t="shared" si="17"/>
        <v>#DIV/0!</v>
      </c>
      <c r="H58" s="107" t="e">
        <f t="shared" si="17"/>
        <v>#DIV/0!</v>
      </c>
      <c r="I58" s="107" t="e">
        <f t="shared" si="17"/>
        <v>#DIV/0!</v>
      </c>
      <c r="J58" s="107" t="e">
        <f t="shared" si="17"/>
        <v>#DIV/0!</v>
      </c>
      <c r="K58" s="107" t="e">
        <f t="shared" si="17"/>
        <v>#DIV/0!</v>
      </c>
      <c r="L58" s="107" t="e">
        <f t="shared" si="17"/>
        <v>#DIV/0!</v>
      </c>
      <c r="M58" s="107" t="e">
        <f t="shared" si="17"/>
        <v>#DIV/0!</v>
      </c>
      <c r="N58" s="107" t="e">
        <f t="shared" si="17"/>
        <v>#DIV/0!</v>
      </c>
      <c r="O58" s="108">
        <f t="shared" si="17"/>
        <v>1.1451253229439737</v>
      </c>
    </row>
    <row r="59" ht="13.5" customHeight="1" spans="1:15" x14ac:dyDescent="0.25">
      <c r="A59" s="1" t="s">
        <v>8</v>
      </c>
      <c r="B59" s="109"/>
      <c r="C59" s="107">
        <f>C57/C14</f>
        <v>0.2003732377471852</v>
      </c>
      <c r="D59" s="107">
        <f t="shared" ref="D59:O59" si="18">D57/D14</f>
        <v>0.25345110627098005</v>
      </c>
      <c r="E59" s="107">
        <f t="shared" si="18"/>
        <v>0.22541857886880154</v>
      </c>
      <c r="F59" s="107">
        <f t="shared" si="18"/>
        <v>0.23719347459466664</v>
      </c>
      <c r="G59" s="107" t="e">
        <f t="shared" si="18"/>
        <v>#DIV/0!</v>
      </c>
      <c r="H59" s="107" t="e">
        <f t="shared" si="18"/>
        <v>#DIV/0!</v>
      </c>
      <c r="I59" s="107" t="e">
        <f t="shared" si="18"/>
        <v>#DIV/0!</v>
      </c>
      <c r="J59" s="107" t="e">
        <f t="shared" si="18"/>
        <v>#DIV/0!</v>
      </c>
      <c r="K59" s="107" t="e">
        <f t="shared" si="18"/>
        <v>#DIV/0!</v>
      </c>
      <c r="L59" s="107" t="e">
        <f t="shared" si="18"/>
        <v>#DIV/0!</v>
      </c>
      <c r="M59" s="107" t="e">
        <f t="shared" si="18"/>
        <v>#DIV/0!</v>
      </c>
      <c r="N59" s="107" t="e">
        <f t="shared" si="18"/>
        <v>#DIV/0!</v>
      </c>
      <c r="O59" s="108">
        <f t="shared" si="18"/>
        <v>0.2271516956023749</v>
      </c>
    </row>
    <row r="60" ht="15" customHeight="1" spans="1:15" x14ac:dyDescent="0.25">
      <c r="A60" s="98" t="s">
        <v>99</v>
      </c>
      <c r="B60" s="110"/>
      <c r="C60" s="100">
        <f>CF!C38</f>
        <v>0</v>
      </c>
      <c r="D60" s="100">
        <f>CF!D38</f>
        <v>0</v>
      </c>
      <c r="E60" s="100">
        <f>CF!E38</f>
        <v>0</v>
      </c>
      <c r="F60" s="100">
        <f>CF!F38</f>
        <v>0</v>
      </c>
      <c r="G60" s="100">
        <f>CF!G38</f>
        <v>0</v>
      </c>
      <c r="H60" s="100">
        <f>CF!H38</f>
        <v>0</v>
      </c>
      <c r="I60" s="100">
        <f>CF!I38</f>
        <v>0</v>
      </c>
      <c r="J60" s="100">
        <f>CF!J38</f>
        <v>0</v>
      </c>
      <c r="K60" s="100">
        <f>CF!K38</f>
        <v>0</v>
      </c>
      <c r="L60" s="100">
        <f>CF!L38</f>
        <v>0</v>
      </c>
      <c r="M60" s="100">
        <f>CF!M38</f>
        <v>0</v>
      </c>
      <c r="N60" s="100">
        <f>CF!N38</f>
        <v>0</v>
      </c>
      <c r="O60" s="101"/>
    </row>
    <row r="61" ht="15.75" customHeight="1" spans="1:15" x14ac:dyDescent="0.25">
      <c r="A61" s="81"/>
      <c r="B61" s="89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2"/>
    </row>
    <row r="62" ht="13.5" customHeight="1" spans="1:15" x14ac:dyDescent="0.25">
      <c r="A62" s="113" t="s">
        <v>100</v>
      </c>
      <c r="B62" s="114"/>
      <c r="C62" s="115">
        <f>CF!C42</f>
        <v>2426951.8857</v>
      </c>
      <c r="D62" s="115">
        <f>CF!D42</f>
        <v>2920729.7957</v>
      </c>
      <c r="E62" s="115">
        <f>CF!E42</f>
        <v>3317903.6557000005</v>
      </c>
      <c r="F62" s="115">
        <f>CF!F42</f>
        <v>3497581.5157000003</v>
      </c>
      <c r="G62" s="115">
        <f>CF!G42</f>
        <v>3497581.5157000003</v>
      </c>
      <c r="H62" s="115">
        <f>CF!H42</f>
        <v>3497581.5157000003</v>
      </c>
      <c r="I62" s="115">
        <f>CF!I42</f>
        <v>3497581.5157000003</v>
      </c>
      <c r="J62" s="115">
        <f>CF!J42</f>
        <v>3497581.5157000003</v>
      </c>
      <c r="K62" s="115">
        <f>CF!K42</f>
        <v>3497581.5157000003</v>
      </c>
      <c r="L62" s="115">
        <f>CF!L42</f>
        <v>3497581.5157000003</v>
      </c>
      <c r="M62" s="115">
        <f>CF!M42</f>
        <v>3497581.5157000003</v>
      </c>
      <c r="N62" s="115">
        <f>CF!N42</f>
        <v>3497581.5157000003</v>
      </c>
      <c r="O62" s="116"/>
    </row>
    <row r="63" spans="1:15" x14ac:dyDescent="0.25">
      <c r="A63" s="81"/>
      <c r="B63" s="89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2"/>
    </row>
    <row r="64" ht="15.75" customHeight="1" spans="1:15" x14ac:dyDescent="0.25">
      <c r="A64" s="98" t="s">
        <v>101</v>
      </c>
      <c r="B64" s="99"/>
      <c r="C64" s="117">
        <f>'PL WB'!C64+'PL OZON'!C64</f>
        <v>3564465.0233999994</v>
      </c>
      <c r="D64" s="117">
        <f>'PL WB'!D64+'PL OZON'!D64</f>
        <v>3852586.2134</v>
      </c>
      <c r="E64" s="117">
        <f>'PL WB'!E64+'PL OZON'!E64</f>
        <v>4063844.6733999997</v>
      </c>
      <c r="F64" s="117">
        <f>'PL WB'!F64+'PL OZON'!F64</f>
        <v>4163281.6333999997</v>
      </c>
      <c r="G64" s="117">
        <f>'PL WB'!G64+'PL OZON'!G64</f>
        <v>4163281.6333999997</v>
      </c>
      <c r="H64" s="117">
        <f>'PL WB'!H64+'PL OZON'!H64</f>
        <v>4163281.6333999997</v>
      </c>
      <c r="I64" s="117">
        <f>'PL WB'!I64+'PL OZON'!I64</f>
        <v>4163281.6333999997</v>
      </c>
      <c r="J64" s="117">
        <f>'PL WB'!J64+'PL OZON'!J64</f>
        <v>4163281.6333999997</v>
      </c>
      <c r="K64" s="117">
        <f>'PL WB'!K64+'PL OZON'!K64</f>
        <v>4163281.6333999997</v>
      </c>
      <c r="L64" s="117">
        <f>'PL WB'!L64+'PL OZON'!L64</f>
        <v>4163281.6333999997</v>
      </c>
      <c r="M64" s="117">
        <f>'PL WB'!M64+'PL OZON'!M64</f>
        <v>4163281.6333999997</v>
      </c>
      <c r="N64" s="117">
        <f>'PL WB'!N64+'PL OZON'!N64</f>
        <v>4163281.6333999997</v>
      </c>
      <c r="O64" s="118"/>
    </row>
    <row r="66" ht="13.5" customHeight="1" spans="1:15" x14ac:dyDescent="0.25">
      <c r="A66" s="90" t="s">
        <v>102</v>
      </c>
      <c r="B66" s="53"/>
      <c r="C66" s="119">
        <f>IFERROR(C41/C7, )</f>
        <v>6.029007633587787</v>
      </c>
      <c r="D66" s="119">
        <f t="shared" ref="D66:O66" si="19">IFERROR(D41/D7, )</f>
        <v>4.604421175101804</v>
      </c>
      <c r="E66" s="119">
        <f t="shared" si="19"/>
        <v>2.082200647249191</v>
      </c>
      <c r="F66" s="119">
        <f t="shared" si="19"/>
        <v>0.6218905472636815</v>
      </c>
      <c r="G66" s="119">
        <f t="shared" si="19"/>
        <v>0</v>
      </c>
      <c r="H66" s="119">
        <f t="shared" si="19"/>
        <v>0</v>
      </c>
      <c r="I66" s="119">
        <f t="shared" si="19"/>
        <v>0</v>
      </c>
      <c r="J66" s="119">
        <f t="shared" si="19"/>
        <v>0</v>
      </c>
      <c r="K66" s="119">
        <f t="shared" si="19"/>
        <v>0</v>
      </c>
      <c r="L66" s="119">
        <f t="shared" si="19"/>
        <v>0</v>
      </c>
      <c r="M66" s="119">
        <f t="shared" si="19"/>
        <v>0</v>
      </c>
      <c r="N66" s="119">
        <f t="shared" si="19"/>
        <v>0</v>
      </c>
      <c r="O66" s="120">
        <f t="shared" si="19"/>
        <v>4.0044581618655695</v>
      </c>
    </row>
    <row r="67" ht="13.5" customHeight="1" spans="1:15" x14ac:dyDescent="0.25">
      <c r="A67" s="90" t="s">
        <v>103</v>
      </c>
      <c r="B67" s="53"/>
      <c r="C67" s="87">
        <f>IFERROR(C41/C14, )</f>
        <v>0.009766637785272467</v>
      </c>
      <c r="D67" s="87">
        <f t="shared" ref="D67:O67" si="20">IFERROR(D41/D14, )</f>
        <v>0.0069625753875818975</v>
      </c>
      <c r="E67" s="87">
        <f t="shared" si="20"/>
        <v>0.0034326273523954233</v>
      </c>
      <c r="F67" s="87">
        <f t="shared" si="20"/>
        <v>0.0008945119900387145</v>
      </c>
      <c r="G67" s="87">
        <f t="shared" si="20"/>
        <v>0</v>
      </c>
      <c r="H67" s="87">
        <f t="shared" si="20"/>
        <v>0</v>
      </c>
      <c r="I67" s="87">
        <f t="shared" si="20"/>
        <v>0</v>
      </c>
      <c r="J67" s="87">
        <f t="shared" si="20"/>
        <v>0</v>
      </c>
      <c r="K67" s="87">
        <f t="shared" si="20"/>
        <v>0</v>
      </c>
      <c r="L67" s="87">
        <f t="shared" si="20"/>
        <v>0</v>
      </c>
      <c r="M67" s="87">
        <f t="shared" si="20"/>
        <v>0</v>
      </c>
      <c r="N67" s="87">
        <f t="shared" si="20"/>
        <v>0</v>
      </c>
      <c r="O67" s="88">
        <f t="shared" si="20"/>
        <v>0.006301324400566077</v>
      </c>
    </row>
    <row r="68" ht="13.5" customHeight="1" spans="1:15" x14ac:dyDescent="0.25">
      <c r="A68" s="90" t="s">
        <v>104</v>
      </c>
      <c r="B68" s="53"/>
      <c r="C68" s="51">
        <f>IFERROR(C57/(C7-C23), )</f>
        <v>124.38799385875123</v>
      </c>
      <c r="D68" s="51">
        <f t="shared" ref="D68:O68" si="21">IFERROR(D57/(D7-D23), )</f>
        <v>168.000693877551</v>
      </c>
      <c r="E68" s="51">
        <f t="shared" si="21"/>
        <v>138.07742483660132</v>
      </c>
      <c r="F68" s="51">
        <f t="shared" si="21"/>
        <v>166.28254180601996</v>
      </c>
      <c r="G68" s="51">
        <f t="shared" si="21"/>
        <v>0</v>
      </c>
      <c r="H68" s="51">
        <f t="shared" si="21"/>
        <v>0</v>
      </c>
      <c r="I68" s="51">
        <f t="shared" si="21"/>
        <v>0</v>
      </c>
      <c r="J68" s="51">
        <f t="shared" si="21"/>
        <v>0</v>
      </c>
      <c r="K68" s="51">
        <f t="shared" si="21"/>
        <v>0</v>
      </c>
      <c r="L68" s="51">
        <f t="shared" si="21"/>
        <v>0</v>
      </c>
      <c r="M68" s="51">
        <f>IFERROR(M57/(M7-M23), )</f>
        <v>0</v>
      </c>
      <c r="N68" s="51">
        <f t="shared" si="21"/>
        <v>0</v>
      </c>
      <c r="O68" s="121">
        <f t="shared" si="21"/>
        <v>145.22524581680176</v>
      </c>
    </row>
  </sheetData>
  <mergeCells count="1">
    <mergeCell ref="C2:N2"/>
  </mergeCells>
  <conditionalFormatting sqref="A57:B58">
    <cfRule type="cellIs" dxfId="0" priority="36" operator="lessThan">
      <formula>0</formula>
    </cfRule>
  </conditionalFormatting>
  <conditionalFormatting sqref="A9:N11 C12:N13 B13:B20 A62">
    <cfRule type="cellIs" dxfId="1" priority="34" operator="greaterThan">
      <formula>0</formula>
    </cfRule>
  </conditionalFormatting>
  <conditionalFormatting sqref="A62:N62">
    <cfRule type="cellIs" dxfId="2" priority="33" operator="lessThan">
      <formula>0</formula>
    </cfRule>
  </conditionalFormatting>
  <conditionalFormatting sqref="C7:N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O6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 zoomScale="100" zoomScaleNormal="100">
      <pane ySplit="5" topLeftCell="A6" activePane="bottomLeft" state="frozen"/>
      <selection pane="bottomLeft" activeCell="C19" sqref="C19"/>
    </sheetView>
  </sheetViews>
  <sheetFormatPr defaultRowHeight="15" outlineLevelRow="0" outlineLevelCol="0" x14ac:dyDescent="0.25" defaultColWidth="8.85546875"/>
  <cols>
    <col min="1" max="1" width="25" style="1" customWidth="1"/>
    <col min="2" max="13" width="12.7109375" style="1" customWidth="1"/>
    <col min="14" max="16384" width="8.85546875" style="1" customWidth="1"/>
  </cols>
  <sheetData>
    <row r="1" ht="22.5" customHeight="1" spans="1:13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 x14ac:dyDescent="0.25">
      <c r="A2" s="3">
        <f>TODAY()</f>
        <v>46132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ht="18.75" customHeight="1" spans="1:13" x14ac:dyDescent="0.25">
      <c r="A5" s="4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7" ht="15" customHeight="1" spans="1:7" x14ac:dyDescent="0.25">
      <c r="A7" s="5" t="s">
        <v>2</v>
      </c>
      <c r="B7" s="5"/>
      <c r="C7" s="5" t="s">
        <v>3</v>
      </c>
      <c r="D7" s="5"/>
      <c r="E7" s="5"/>
      <c r="F7" s="5"/>
      <c r="G7" s="5"/>
    </row>
    <row r="8" ht="18.75" customHeight="1" spans="1:13" x14ac:dyDescent="0.25">
      <c r="A8" s="6" t="s">
        <v>4</v>
      </c>
      <c r="B8" s="7"/>
      <c r="C8" s="8">
        <f>'PL общ'!O14</f>
        <v>3706205</v>
      </c>
      <c r="E8" s="6" t="s">
        <v>5</v>
      </c>
      <c r="F8" s="7"/>
      <c r="H8" s="7"/>
      <c r="J8" s="7"/>
      <c r="K8" s="7"/>
      <c r="L8" s="7"/>
      <c r="M8" s="7"/>
    </row>
    <row r="9" ht="18.75" customHeight="1" spans="1:13" x14ac:dyDescent="0.25">
      <c r="A9" s="6" t="s">
        <v>6</v>
      </c>
      <c r="B9" s="7"/>
      <c r="C9" s="9">
        <f>'PL общ'!O57</f>
        <v>841870.7499999998</v>
      </c>
      <c r="E9" s="6" t="s">
        <v>7</v>
      </c>
      <c r="F9" s="7"/>
      <c r="H9" s="7"/>
      <c r="J9" s="7"/>
      <c r="K9" s="7"/>
      <c r="L9" s="7"/>
      <c r="M9" s="7"/>
    </row>
    <row r="10" ht="18.75" customHeight="1" spans="1:13" x14ac:dyDescent="0.25">
      <c r="A10" s="6" t="s">
        <v>8</v>
      </c>
      <c r="B10" s="7"/>
      <c r="C10" s="10">
        <f>'PL общ'!O59</f>
        <v>0.2271516956023749</v>
      </c>
      <c r="E10" s="6" t="s">
        <v>9</v>
      </c>
      <c r="F10" s="7"/>
      <c r="H10" s="7"/>
      <c r="J10" s="7"/>
      <c r="K10" s="7"/>
      <c r="L10" s="7"/>
      <c r="M10" s="7"/>
    </row>
    <row r="11" ht="18.75" customHeight="1" spans="1:13" x14ac:dyDescent="0.25">
      <c r="A11" s="6" t="s">
        <v>10</v>
      </c>
      <c r="B11" s="7"/>
      <c r="C11" s="8">
        <f>'PL общ'!O36</f>
        <v>1761272.3899999997</v>
      </c>
      <c r="E11" s="6" t="s">
        <v>11</v>
      </c>
      <c r="F11" s="7"/>
      <c r="H11" s="7"/>
      <c r="J11" s="7"/>
      <c r="K11" s="7"/>
      <c r="L11" s="7"/>
      <c r="M11" s="7"/>
    </row>
    <row r="12" ht="18.75" customHeight="1" spans="1:13" x14ac:dyDescent="0.25">
      <c r="A12" s="6" t="s">
        <v>12</v>
      </c>
      <c r="B12" s="7"/>
      <c r="C12" s="10">
        <f>'PL общ'!O58</f>
        <v>1.1451253229439737</v>
      </c>
      <c r="E12" s="6" t="s">
        <v>13</v>
      </c>
      <c r="F12" s="7"/>
      <c r="H12" s="7"/>
      <c r="J12" s="7"/>
      <c r="K12" s="7"/>
      <c r="L12" s="7"/>
      <c r="M12" s="7"/>
    </row>
    <row r="14" ht="18.75" customHeight="1" spans="1:13" x14ac:dyDescent="0.25">
      <c r="A14" s="11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6" ht="15" customHeight="1" spans="1:7" x14ac:dyDescent="0.25">
      <c r="A16" s="12" t="s">
        <v>15</v>
      </c>
      <c r="B16" s="12"/>
      <c r="C16" s="12" t="s">
        <v>16</v>
      </c>
      <c r="D16" s="12"/>
      <c r="E16" s="12"/>
      <c r="F16" s="12" t="s">
        <v>17</v>
      </c>
      <c r="G16" s="12"/>
    </row>
    <row r="17" ht="18.75" customHeight="1" spans="1:7" x14ac:dyDescent="0.25">
      <c r="A17" s="6" t="s">
        <v>18</v>
      </c>
      <c r="B17" s="7"/>
      <c r="C17" s="13">
        <f>'PL WB'!O7</f>
        <v>4476</v>
      </c>
      <c r="D17" s="14">
        <f>C17/(C17+F17)</f>
        <v>0.7674897119341564</v>
      </c>
      <c r="E17" s="7"/>
      <c r="F17" s="13">
        <f>'PL OZON'!O7</f>
        <v>1356</v>
      </c>
      <c r="G17" s="14">
        <f>100%-D17</f>
        <v>0.23251028806584362</v>
      </c>
    </row>
    <row r="18" ht="18.75" customHeight="1" spans="1:7" x14ac:dyDescent="0.25">
      <c r="A18" s="6" t="s">
        <v>19</v>
      </c>
      <c r="B18" s="7"/>
      <c r="C18" s="8">
        <f>'PL WB'!O14</f>
        <v>2810873</v>
      </c>
      <c r="D18" s="14">
        <f>C18/(C18+F18)</f>
        <v>0.7584235086834107</v>
      </c>
      <c r="E18" s="7"/>
      <c r="F18" s="8">
        <f>'PL OZON'!O14</f>
        <v>895332</v>
      </c>
      <c r="G18" s="14">
        <f t="shared" ref="G18:G19" si="0">100%-D18</f>
        <v>0.24157649131658931</v>
      </c>
    </row>
    <row r="19" ht="18.75" customHeight="1" spans="1:7" x14ac:dyDescent="0.25">
      <c r="A19" s="15" t="s">
        <v>6</v>
      </c>
      <c r="B19" s="16"/>
      <c r="C19" s="17">
        <f>'PL WB'!O57</f>
        <v>779514.9899999998</v>
      </c>
      <c r="D19" s="18">
        <f>C19/(C19+F19)</f>
        <v>0.9259319081937458</v>
      </c>
      <c r="E19" s="16"/>
      <c r="F19" s="17">
        <f>'PL OZON'!O57</f>
        <v>62355.759999999995</v>
      </c>
      <c r="G19" s="18">
        <f t="shared" si="0"/>
        <v>0.07406809180625418</v>
      </c>
    </row>
    <row r="20" ht="18.75" customHeight="1" spans="1:11" x14ac:dyDescent="0.25">
      <c r="A20" s="6" t="s">
        <v>20</v>
      </c>
      <c r="B20" s="7"/>
      <c r="C20" s="8">
        <f>C18/C17</f>
        <v>627.9877122430742</v>
      </c>
      <c r="D20" s="7"/>
      <c r="E20" s="7"/>
      <c r="F20" s="8">
        <f>F18/F17</f>
        <v>660.2743362831858</v>
      </c>
      <c r="G20" s="7"/>
      <c r="I20" s="7"/>
      <c r="J20" s="7"/>
      <c r="K20" s="8"/>
    </row>
    <row r="21" ht="18.75" customHeight="1" spans="1:11" x14ac:dyDescent="0.25">
      <c r="A21" s="6" t="s">
        <v>21</v>
      </c>
      <c r="B21" s="7"/>
      <c r="C21" s="10">
        <f>'PL WB'!O59</f>
        <v>0.2773213126313426</v>
      </c>
      <c r="D21" s="7"/>
      <c r="E21" s="7"/>
      <c r="F21" s="10">
        <f>'PL OZON'!O59</f>
        <v>0.06964540527982915</v>
      </c>
      <c r="G21" s="7"/>
      <c r="I21" s="7"/>
      <c r="J21" s="7"/>
      <c r="K21" s="19"/>
    </row>
    <row r="23" ht="18.75" customHeight="1" spans="1:13" x14ac:dyDescent="0.25">
      <c r="A23" s="20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5" ht="15" customHeight="1" spans="1:5" x14ac:dyDescent="0.25">
      <c r="A25" s="21" t="s">
        <v>23</v>
      </c>
      <c r="B25" s="21"/>
      <c r="C25" s="21" t="s">
        <v>24</v>
      </c>
      <c r="D25" s="21"/>
      <c r="E25" s="21" t="s">
        <v>25</v>
      </c>
    </row>
    <row r="26" ht="18.75" customHeight="1" spans="1:5" x14ac:dyDescent="0.25">
      <c r="A26" s="6" t="s">
        <v>26</v>
      </c>
      <c r="B26" s="7"/>
      <c r="C26" s="8">
        <f>'PL общ'!O17</f>
        <v>1209754.7800000003</v>
      </c>
      <c r="D26" s="7"/>
      <c r="E26" s="14">
        <f>C26/'PL общ'!O14</f>
        <v>0.32641334734587</v>
      </c>
    </row>
    <row r="27" ht="18.75" customHeight="1" spans="1:5" x14ac:dyDescent="0.25">
      <c r="A27" s="6" t="s">
        <v>27</v>
      </c>
      <c r="B27" s="7"/>
      <c r="C27" s="8">
        <f>'PL общ'!O40</f>
        <v>519605</v>
      </c>
      <c r="D27" s="7"/>
      <c r="E27" s="14">
        <f>C27/'PL общ'!O14</f>
        <v>0.14019866683035612</v>
      </c>
    </row>
    <row r="28" ht="18.75" customHeight="1" spans="1:5" x14ac:dyDescent="0.25">
      <c r="A28" s="6" t="s">
        <v>28</v>
      </c>
      <c r="B28" s="7"/>
      <c r="C28" s="8">
        <f>'PL общ'!O41</f>
        <v>23354</v>
      </c>
      <c r="D28" s="7"/>
      <c r="E28" s="14">
        <f>C28/'PL общ'!O14</f>
        <v>0.006301324400566077</v>
      </c>
    </row>
    <row r="29" ht="18.75" customHeight="1" spans="1:5" x14ac:dyDescent="0.25">
      <c r="A29" s="6" t="s">
        <v>29</v>
      </c>
      <c r="B29" s="7"/>
      <c r="C29" s="8">
        <f>'PL общ'!O33</f>
        <v>735177.83</v>
      </c>
      <c r="D29" s="7"/>
      <c r="E29" s="14">
        <f>C29/'PL общ'!O14</f>
        <v>0.19836404893954868</v>
      </c>
    </row>
    <row r="30" ht="18.75" customHeight="1" spans="1:5" x14ac:dyDescent="0.25">
      <c r="A30" s="6" t="s">
        <v>30</v>
      </c>
      <c r="B30" s="7"/>
      <c r="C30" s="8">
        <f>'PL общ'!O43</f>
        <v>158529.88999999998</v>
      </c>
      <c r="D30" s="7"/>
      <c r="E30" s="14">
        <f>C30/'PL общ'!O14</f>
        <v>0.04277418275567595</v>
      </c>
    </row>
    <row r="31" ht="18.75" customHeight="1" spans="1:5" x14ac:dyDescent="0.25">
      <c r="A31" s="6" t="s">
        <v>31</v>
      </c>
      <c r="B31" s="7"/>
      <c r="C31" s="8">
        <f>'PL общ'!O38-'PL общ'!O40-'PL общ'!O41-'PL общ'!O43</f>
        <v>22959.810000000085</v>
      </c>
      <c r="D31" s="7"/>
      <c r="E31" s="22">
        <f>C31/'PL общ'!O14</f>
        <v>0.006194964930434254</v>
      </c>
    </row>
    <row r="32" ht="18.75" customHeight="1" spans="1:5" x14ac:dyDescent="0.25">
      <c r="A32" s="23" t="s">
        <v>32</v>
      </c>
      <c r="B32" s="24"/>
      <c r="C32" s="25">
        <f>'PL общ'!O38+'PL общ'!O17+'PL общ'!O33</f>
        <v>2669381.3100000005</v>
      </c>
      <c r="D32" s="24"/>
      <c r="E32" s="26">
        <f>C32/'PL общ'!O14</f>
        <v>0.7202465352024512</v>
      </c>
    </row>
    <row r="34" ht="18.75" customHeight="1" spans="1:13" x14ac:dyDescent="0.25">
      <c r="A34" s="27" t="s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6" ht="15" customHeight="1" spans="1:13" x14ac:dyDescent="0.25">
      <c r="A36" s="28" t="s">
        <v>34</v>
      </c>
      <c r="B36" s="28" t="s">
        <v>35</v>
      </c>
      <c r="C36" s="28" t="s">
        <v>36</v>
      </c>
      <c r="D36" s="28" t="s">
        <v>37</v>
      </c>
      <c r="E36" s="28" t="s">
        <v>38</v>
      </c>
      <c r="F36" s="28" t="s">
        <v>39</v>
      </c>
      <c r="G36" s="28" t="s">
        <v>40</v>
      </c>
      <c r="H36" s="28" t="s">
        <v>41</v>
      </c>
      <c r="I36" s="28" t="s">
        <v>42</v>
      </c>
      <c r="J36" s="28" t="s">
        <v>43</v>
      </c>
      <c r="K36" s="28" t="s">
        <v>44</v>
      </c>
      <c r="L36" s="28" t="s">
        <v>45</v>
      </c>
      <c r="M36" s="28" t="s">
        <v>46</v>
      </c>
    </row>
    <row r="37" ht="18.75" customHeight="1" spans="1:13" x14ac:dyDescent="0.25">
      <c r="A37" s="6" t="s">
        <v>47</v>
      </c>
      <c r="B37" s="13">
        <f>'PL общ'!C15</f>
        <v>950524</v>
      </c>
      <c r="C37" s="13">
        <f>'PL общ'!D15</f>
        <v>834437</v>
      </c>
      <c r="D37" s="13">
        <f>'PL общ'!E15</f>
        <v>692756</v>
      </c>
      <c r="E37" s="13">
        <f>'PL общ'!F15</f>
        <v>313306</v>
      </c>
      <c r="F37" s="13">
        <f>'PL общ'!G15</f>
        <v>0</v>
      </c>
      <c r="G37" s="13">
        <f>'PL общ'!H15</f>
        <v>0</v>
      </c>
      <c r="H37" s="13">
        <f>'PL общ'!I15</f>
        <v>0</v>
      </c>
      <c r="I37" s="13">
        <f>'PL общ'!J15</f>
        <v>0</v>
      </c>
      <c r="J37" s="13">
        <f>'PL общ'!K15</f>
        <v>0</v>
      </c>
      <c r="K37" s="13">
        <f>'PL общ'!L15</f>
        <v>0</v>
      </c>
      <c r="L37" s="13">
        <f>'PL общ'!M15</f>
        <v>0</v>
      </c>
      <c r="M37" s="13">
        <f>'PL общ'!N15</f>
        <v>0</v>
      </c>
    </row>
    <row r="38" ht="18.75" customHeight="1" spans="1:13" x14ac:dyDescent="0.25">
      <c r="A38" s="6" t="s">
        <v>48</v>
      </c>
      <c r="B38" s="13">
        <f>'PL общ'!C57</f>
        <v>243054.1399999999</v>
      </c>
      <c r="C38" s="13">
        <f>'PL общ'!D57</f>
        <v>288121.18999999994</v>
      </c>
      <c r="D38" s="13">
        <f>'PL общ'!E57</f>
        <v>211258.46000000002</v>
      </c>
      <c r="E38" s="13">
        <f>'PL общ'!F57</f>
        <v>99436.95999999993</v>
      </c>
      <c r="F38" s="13">
        <f>'PL общ'!G57</f>
        <v>0</v>
      </c>
      <c r="G38" s="13">
        <f>'PL общ'!H57</f>
        <v>0</v>
      </c>
      <c r="H38" s="13">
        <f>'PL общ'!I57</f>
        <v>0</v>
      </c>
      <c r="I38" s="13">
        <f>'PL общ'!J57</f>
        <v>0</v>
      </c>
      <c r="J38" s="13">
        <f>'PL общ'!K57</f>
        <v>0</v>
      </c>
      <c r="K38" s="13">
        <f>'PL общ'!L57</f>
        <v>0</v>
      </c>
      <c r="L38" s="13">
        <f>'PL общ'!M57</f>
        <v>0</v>
      </c>
      <c r="M38" s="13">
        <f>'PL общ'!N57</f>
        <v>0</v>
      </c>
    </row>
  </sheetData>
  <mergeCells count="6">
    <mergeCell ref="A1:M1"/>
    <mergeCell ref="A2:M2"/>
    <mergeCell ref="A5:M5"/>
    <mergeCell ref="A14:M14"/>
    <mergeCell ref="A23:M23"/>
    <mergeCell ref="A34:M3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>
      <selection activeCell="K31" sqref="K31"/>
    </sheetView>
  </sheetViews>
  <sheetFormatPr defaultRowHeight="15" outlineLevelRow="0" outlineLevelCol="0" x14ac:dyDescent="0.25"/>
  <cols>
    <col min="1" max="1" width="43.7109375" customWidth="1"/>
    <col min="2" max="2" width="59.7109375" customWidth="1"/>
    <col min="3" max="3" width="7.28515625" customWidth="1"/>
    <col min="4" max="4" width="42.28515625" customWidth="1"/>
  </cols>
  <sheetData>
    <row r="1" ht="21" customHeight="1" spans="1:5" x14ac:dyDescent="0.25">
      <c r="A1" s="443" t="s">
        <v>188</v>
      </c>
      <c r="B1" s="444"/>
      <c r="C1" s="444"/>
      <c r="D1" s="444"/>
      <c r="E1" s="444"/>
    </row>
    <row r="2" spans="1:2" x14ac:dyDescent="0.25">
      <c r="A2" s="445" t="s">
        <v>189</v>
      </c>
      <c r="B2" t="s">
        <v>190</v>
      </c>
    </row>
    <row r="3" spans="1:2" x14ac:dyDescent="0.25">
      <c r="A3" s="445" t="s">
        <v>191</v>
      </c>
      <c r="B3" t="s">
        <v>192</v>
      </c>
    </row>
    <row r="5" ht="17.25" customHeight="1" spans="1:5" x14ac:dyDescent="0.25">
      <c r="A5" s="446" t="s">
        <v>193</v>
      </c>
      <c r="B5" s="447"/>
      <c r="C5" s="447"/>
      <c r="D5" s="447"/>
      <c r="E5" s="447"/>
    </row>
    <row r="6" spans="1:5" x14ac:dyDescent="0.25">
      <c r="A6" s="448" t="s">
        <v>194</v>
      </c>
      <c r="B6" s="448" t="s">
        <v>195</v>
      </c>
      <c r="C6" s="448" t="s">
        <v>196</v>
      </c>
      <c r="D6" s="448" t="s">
        <v>197</v>
      </c>
      <c r="E6" s="449"/>
    </row>
    <row r="7" spans="1:5" x14ac:dyDescent="0.25">
      <c r="A7" s="450" t="s">
        <v>198</v>
      </c>
      <c r="B7" s="451" t="s">
        <v>199</v>
      </c>
      <c r="C7" s="452">
        <v>4</v>
      </c>
      <c r="D7" s="451" t="s">
        <v>200</v>
      </c>
      <c r="E7" s="451"/>
    </row>
    <row r="8" spans="1:5" x14ac:dyDescent="0.25">
      <c r="A8" s="453" t="s">
        <v>201</v>
      </c>
      <c r="B8" s="454" t="s">
        <v>202</v>
      </c>
      <c r="C8" s="455">
        <v>3</v>
      </c>
      <c r="D8" s="454" t="s">
        <v>203</v>
      </c>
      <c r="E8" s="454"/>
    </row>
    <row r="9" spans="1:5" x14ac:dyDescent="0.25">
      <c r="A9" s="456" t="s">
        <v>204</v>
      </c>
      <c r="B9" s="457" t="s">
        <v>205</v>
      </c>
      <c r="C9" s="458" t="s">
        <v>206</v>
      </c>
      <c r="D9" s="457" t="s">
        <v>207</v>
      </c>
      <c r="E9" s="457"/>
    </row>
    <row r="10" spans="1:5" x14ac:dyDescent="0.25">
      <c r="A10" s="459" t="s">
        <v>208</v>
      </c>
      <c r="B10" s="460" t="s">
        <v>209</v>
      </c>
      <c r="C10" s="461" t="s">
        <v>210</v>
      </c>
      <c r="D10" s="460" t="s">
        <v>211</v>
      </c>
      <c r="E10" s="4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Дашборд</vt:lpstr>
      <vt:lpstr>PL общ</vt:lpstr>
      <vt:lpstr>PL WB (нед)</vt:lpstr>
      <vt:lpstr>PL WB</vt:lpstr>
      <vt:lpstr>PL OZON (нед)</vt:lpstr>
      <vt:lpstr>PL OZON</vt:lpstr>
      <vt:lpstr>CF (нед)</vt:lpstr>
      <vt:lpstr>CF</vt:lpstr>
      <vt:lpstr>проверка</vt:lpstr>
      <vt:lpstr>Оригинал</vt:lpstr>
      <vt:lpstr>Аудит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dcterms:created xsi:type="dcterms:W3CDTF">2025-01-06T12:37:51Z</dcterms:created>
  <dcterms:modified xsi:type="dcterms:W3CDTF">2026-04-20T15:11:36Z</dcterms:modified>
</cp:coreProperties>
</file>