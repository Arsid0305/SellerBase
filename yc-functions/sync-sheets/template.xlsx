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26" firstSheet="0" activeTab="2" autoFilterDateGrouping="1"/>
  </bookViews>
  <sheets>
    <sheet name="Дашборд" sheetId="1" state="visible" r:id="rId1"/>
    <sheet name="PL общ" sheetId="2" state="visible" r:id="rId2"/>
    <sheet name="PL WB (нед)" sheetId="3" state="visible" r:id="rId3"/>
    <sheet name="PL WB" sheetId="4" state="visible" r:id="rId4"/>
    <sheet name="CF (нед)" sheetId="5" state="visible" r:id="rId5"/>
    <sheet name="CF" sheetId="6" state="visible" r:id="rId6"/>
  </sheets>
  <externalReferences>
    <externalReference r:id="rId7"/>
  </externalReferences>
  <definedNames>
    <definedName name="AP">#REF!</definedName>
    <definedName name="AR">#REF!</definedName>
    <definedName name="capex">#REF!</definedName>
    <definedName name="cash">#REF!</definedName>
    <definedName name="CFF">#REF!</definedName>
    <definedName name="CFI">#REF!</definedName>
    <definedName name="CFO">#REF!</definedName>
    <definedName name="cogs">#REF!</definedName>
    <definedName name="cpi_rus_cumul">#REF!</definedName>
    <definedName name="cpi_rus_month">#REF!</definedName>
    <definedName name="cpi_us_month">#REF!</definedName>
    <definedName name="days_month">#REF!</definedName>
    <definedName name="depr">#REF!</definedName>
    <definedName name="first_month">#REF!</definedName>
    <definedName name="fixed_asset">#REF!</definedName>
    <definedName name="inventory">#REF!</definedName>
    <definedName name="ltgr">#REF!</definedName>
    <definedName name="min_cash">#REF!</definedName>
    <definedName name="min_cash_div">#REF!</definedName>
    <definedName name="month_year">#REF!</definedName>
    <definedName name="ndfl">#REF!</definedName>
    <definedName name="ndfl_rate">#REF!</definedName>
    <definedName name="nds">#REF!</definedName>
    <definedName name="opex">#REF!</definedName>
    <definedName name="prof_tax">#REF!</definedName>
    <definedName name="prof_tax_rate">#REF!</definedName>
    <definedName name="re">#REF!</definedName>
    <definedName name="revenue">#REF!</definedName>
    <definedName name="social_tax_rate">#REF!</definedName>
    <definedName name="TV">#REF!</definedName>
    <definedName name="work_cap_ch">#REF!</definedName>
    <definedName name="AP" localSheetId="0">#REF!</definedName>
    <definedName name="AR" localSheetId="0">#REF!</definedName>
    <definedName name="capex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dd\.mm\.yy"/>
    <numFmt numFmtId="166" formatCode="0.0%"/>
    <numFmt numFmtId="167" formatCode="m/d/yyyy"/>
  </numFmts>
  <fonts count="77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0000FF"/>
      <sz val="11"/>
      <u val="single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sz val="11"/>
    </font>
    <font>
      <name val="Arial"/>
      <charset val="204"/>
      <family val="2"/>
      <b val="1"/>
      <color theme="1"/>
      <sz val="11"/>
    </font>
    <font>
      <name val="Arial"/>
      <charset val="204"/>
      <family val="2"/>
      <b val="1"/>
      <color theme="1"/>
      <sz val="12"/>
    </font>
    <font>
      <name val="Arial"/>
      <charset val="204"/>
      <family val="2"/>
      <color theme="1"/>
      <sz val="11"/>
    </font>
    <font>
      <name val="Arial"/>
      <charset val="204"/>
      <family val="2"/>
      <color rgb="FF000000"/>
      <sz val="11"/>
    </font>
    <font>
      <name val="Arial"/>
      <charset val="204"/>
      <family val="2"/>
      <color theme="1"/>
      <sz val="9"/>
    </font>
    <font>
      <name val="Arial"/>
      <charset val="204"/>
      <family val="2"/>
      <color rgb="FFA5A5A5"/>
      <sz val="11"/>
    </font>
    <font>
      <name val="Arial"/>
      <charset val="204"/>
      <family val="2"/>
      <b val="1"/>
      <color rgb="FFFF0000"/>
      <sz val="11"/>
    </font>
    <font>
      <name val="Arial"/>
      <charset val="204"/>
      <family val="2"/>
      <b val="1"/>
      <color rgb="FF000000"/>
      <sz val="11"/>
    </font>
    <font>
      <name val="Arial"/>
      <charset val="204"/>
      <family val="2"/>
      <b val="1"/>
      <color theme="1"/>
      <sz val="9"/>
    </font>
    <font>
      <name val="Arial"/>
      <charset val="204"/>
      <family val="2"/>
      <b val="1"/>
      <color theme="6"/>
      <sz val="11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  <font>
      <name val="Calibri"/>
      <charset val="204"/>
      <family val="2"/>
      <sz val="8"/>
      <scheme val="minor"/>
    </font>
    <font>
      <name val="Calibri"/>
      <charset val="204"/>
      <family val="2"/>
      <sz val="8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theme="6"/>
      <sz val="11"/>
      <scheme val="minor"/>
    </font>
    <font>
      <name val="Calibri"/>
      <charset val="204"/>
      <family val="2"/>
      <color rgb="FFA5A5A5"/>
      <sz val="11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color rgb="FFCCCCCC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rgb="FFFFFFFF"/>
      <sz val="11"/>
      <scheme val="minor"/>
    </font>
    <font>
      <name val="Calibri"/>
      <charset val="204"/>
      <family val="2"/>
      <color rgb="FF000000"/>
      <sz val="11"/>
      <scheme val="minor"/>
    </font>
    <font>
      <name val="Arial"/>
      <charset val="204"/>
      <family val="2"/>
      <sz val="11"/>
    </font>
    <font>
      <name val="Arial"/>
      <charset val="204"/>
      <family val="2"/>
      <color rgb="FFFF0000"/>
      <sz val="11"/>
    </font>
    <font>
      <name val="Calibri"/>
      <color theme="1"/>
      <sz val="11"/>
      <scheme val="minor"/>
    </font>
    <font>
      <name val="Aptos Narrow"/>
      <b val="1"/>
      <color rgb="FFFFFFFF"/>
      <sz val="18"/>
    </font>
    <font>
      <name val="Calibri"/>
      <sz val="11"/>
      <scheme val="minor"/>
    </font>
    <font>
      <name val="Aptos Narrow"/>
      <b val="1"/>
      <sz val="14"/>
    </font>
    <font>
      <name val="Aptos Narrow"/>
      <b val="1"/>
      <sz val="11"/>
    </font>
    <font>
      <name val="Calibri"/>
      <color rgb="FF008000"/>
      <sz val="11"/>
      <scheme val="minor"/>
    </font>
    <font>
      <name val="Arial Narrow"/>
      <charset val="204"/>
      <family val="2"/>
      <b val="1"/>
      <sz val="11"/>
    </font>
  </fonts>
  <fills count="34">
    <fill>
      <patternFill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E9F1F8"/>
        <bgColor rgb="FFE9F1F8"/>
      </patternFill>
    </fill>
    <fill>
      <patternFill patternType="solid">
        <fgColor rgb="FFFFFF00"/>
        <bgColor rgb="FFFFFF00"/>
      </patternFill>
    </fill>
    <fill>
      <patternFill patternType="solid">
        <fgColor rgb="FFF1F3FB"/>
        <bgColor rgb="FFF1F3FB"/>
      </patternFill>
    </fill>
    <fill>
      <patternFill patternType="solid">
        <fgColor rgb="FF00FFFF"/>
        <bgColor rgb="FF00FFFF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E599"/>
        <bgColor rgb="FFFFE599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theme="0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rgb="FFF1F3FB"/>
      </patternFill>
    </fill>
    <fill>
      <patternFill patternType="solid">
        <fgColor rgb="FF00FFFF"/>
        <bgColor rgb="FFFFFFFF"/>
      </patternFill>
    </fill>
    <fill>
      <patternFill patternType="solid">
        <fgColor rgb="FF00FFFF"/>
        <bgColor rgb="FFE9F1F8"/>
      </patternFill>
    </fill>
    <fill>
      <patternFill patternType="solid">
        <fgColor rgb="FF00CC00"/>
        <bgColor theme="0"/>
      </patternFill>
    </fill>
    <fill>
      <patternFill patternType="solid">
        <fgColor rgb="FF00CC00"/>
        <bgColor indexed="64"/>
      </patternFill>
    </fill>
    <fill>
      <patternFill patternType="solid">
        <fgColor rgb="FF1F4E78"/>
      </patternFill>
    </fill>
    <fill>
      <patternFill patternType="solid">
        <fgColor rgb="FFD3D3D3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E0F0E0"/>
      </patternFill>
    </fill>
    <fill>
      <patternFill patternType="solid">
        <fgColor rgb="FFFFFACD"/>
      </patternFill>
    </fill>
    <fill>
      <patternFill patternType="solid">
        <fgColor rgb="FFFFD700"/>
      </patternFill>
    </fill>
    <fill>
      <patternFill patternType="solid">
        <fgColor rgb="FFFFE4B5"/>
      </patternFill>
    </fill>
    <fill>
      <patternFill patternType="solid">
        <fgColor rgb="FFF0F0F0"/>
      </patternFill>
    </fill>
    <fill>
      <patternFill patternType="solid">
        <fgColor rgb="FFDDA0DD"/>
      </patternFill>
    </fill>
    <fill>
      <patternFill patternType="solid">
        <fgColor rgb="FFE6D8E6"/>
      </patternFill>
    </fill>
    <fill>
      <patternFill patternType="solid">
        <fgColor theme="0" tint="-0.0499893185216834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rgb="FF000000"/>
      </right>
      <top/>
      <bottom style="thick">
        <color theme="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indexed="64"/>
      </right>
      <top style="thin">
        <color theme="0" tint="-0.149967955565050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"/>
      </right>
      <top style="thin">
        <color indexed="64"/>
      </top>
      <bottom/>
      <diagonal/>
    </border>
    <border>
      <left/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70" fillId="0" borderId="20"/>
    <xf numFmtId="0" fontId="70" fillId="0" borderId="20"/>
  </cellStyleXfs>
  <cellXfs count="553">
    <xf numFmtId="0" fontId="0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5" fillId="4" borderId="0" applyAlignment="1" pivotButton="0" quotePrefix="0" xfId="0">
      <alignment horizontal="center" vertical="center"/>
    </xf>
    <xf numFmtId="0" fontId="46" fillId="5" borderId="3" applyAlignment="1" pivotButton="0" quotePrefix="0" xfId="0">
      <alignment vertical="center"/>
    </xf>
    <xf numFmtId="0" fontId="47" fillId="0" borderId="1" applyAlignment="1" pivotButton="0" quotePrefix="0" xfId="0">
      <alignment horizontal="center" vertical="center"/>
    </xf>
    <xf numFmtId="3" fontId="47" fillId="0" borderId="0" applyAlignment="1" pivotButton="0" quotePrefix="0" xfId="0">
      <alignment horizontal="left" vertical="center"/>
    </xf>
    <xf numFmtId="3" fontId="47" fillId="0" borderId="2" applyAlignment="1" pivotButton="0" quotePrefix="0" xfId="0">
      <alignment horizontal="center" vertical="center"/>
    </xf>
    <xf numFmtId="3" fontId="47" fillId="4" borderId="0" applyAlignment="1" pivotButton="0" quotePrefix="0" xfId="0">
      <alignment horizontal="center" vertical="center"/>
    </xf>
    <xf numFmtId="3" fontId="47" fillId="0" borderId="0" applyAlignment="1" pivotButton="0" quotePrefix="0" xfId="0">
      <alignment horizontal="center" vertical="center"/>
    </xf>
    <xf numFmtId="3" fontId="47" fillId="0" borderId="2" applyAlignment="1" pivotButton="0" quotePrefix="0" xfId="0">
      <alignment horizontal="left" vertical="center"/>
    </xf>
    <xf numFmtId="3" fontId="47" fillId="4" borderId="0" applyAlignment="1" pivotButton="0" quotePrefix="0" xfId="0">
      <alignment horizontal="left"/>
    </xf>
    <xf numFmtId="3" fontId="45" fillId="0" borderId="0" applyAlignment="1" pivotButton="0" quotePrefix="0" xfId="0">
      <alignment horizontal="center" vertical="center"/>
    </xf>
    <xf numFmtId="0" fontId="45" fillId="4" borderId="2" applyAlignment="1" pivotButton="0" quotePrefix="0" xfId="0">
      <alignment horizontal="center" vertical="center"/>
    </xf>
    <xf numFmtId="3" fontId="47" fillId="10" borderId="12" applyAlignment="1" pivotButton="0" quotePrefix="0" xfId="0">
      <alignment horizontal="center" vertical="center"/>
    </xf>
    <xf numFmtId="3" fontId="47" fillId="0" borderId="12" applyAlignment="1" pivotButton="0" quotePrefix="0" xfId="0">
      <alignment horizontal="center" vertical="center"/>
    </xf>
    <xf numFmtId="3" fontId="47" fillId="10" borderId="0" applyAlignment="1" pivotButton="0" quotePrefix="0" xfId="0">
      <alignment horizontal="center" vertical="center"/>
    </xf>
    <xf numFmtId="3" fontId="50" fillId="0" borderId="12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4" borderId="0" applyAlignment="1" pivotButton="0" quotePrefix="0" xfId="0">
      <alignment vertical="center"/>
    </xf>
    <xf numFmtId="0" fontId="45" fillId="5" borderId="4" applyAlignment="1" pivotButton="0" quotePrefix="0" xfId="0">
      <alignment horizontal="center" vertical="center"/>
    </xf>
    <xf numFmtId="0" fontId="47" fillId="0" borderId="1" applyAlignment="1" pivotButton="0" quotePrefix="0" xfId="0">
      <alignment horizontal="left" vertical="center"/>
    </xf>
    <xf numFmtId="0" fontId="47" fillId="0" borderId="13" applyAlignment="1" pivotButton="0" quotePrefix="0" xfId="0">
      <alignment horizontal="center" vertical="center"/>
    </xf>
    <xf numFmtId="3" fontId="45" fillId="7" borderId="3" applyAlignment="1" pivotButton="0" quotePrefix="0" xfId="0">
      <alignment horizontal="left" vertical="center"/>
    </xf>
    <xf numFmtId="3" fontId="47" fillId="7" borderId="2" applyAlignment="1" pivotButton="0" quotePrefix="0" xfId="0">
      <alignment horizontal="center" vertical="center"/>
    </xf>
    <xf numFmtId="3" fontId="45" fillId="7" borderId="7" applyAlignment="1" pivotButton="0" quotePrefix="0" xfId="0">
      <alignment horizontal="center" vertical="center"/>
    </xf>
    <xf numFmtId="3" fontId="45" fillId="11" borderId="3" applyAlignment="1" pivotButton="0" quotePrefix="0" xfId="0">
      <alignment horizontal="left" vertical="center"/>
    </xf>
    <xf numFmtId="3" fontId="45" fillId="11" borderId="4" applyAlignment="1" pivotButton="0" quotePrefix="0" xfId="0">
      <alignment horizontal="center" vertical="center"/>
    </xf>
    <xf numFmtId="3" fontId="47" fillId="11" borderId="7" applyAlignment="1" pivotButton="0" quotePrefix="0" xfId="0">
      <alignment horizontal="center" vertical="center"/>
    </xf>
    <xf numFmtId="3" fontId="47" fillId="11" borderId="3" applyAlignment="1" pivotButton="0" quotePrefix="0" xfId="0">
      <alignment horizontal="center" vertical="center"/>
    </xf>
    <xf numFmtId="3" fontId="45" fillId="0" borderId="0" applyAlignment="1" pivotButton="0" quotePrefix="0" xfId="0">
      <alignment horizontal="left" vertical="center"/>
    </xf>
    <xf numFmtId="3" fontId="45" fillId="0" borderId="2" applyAlignment="1" pivotButton="0" quotePrefix="0" xfId="0">
      <alignment horizontal="center" vertical="center"/>
    </xf>
    <xf numFmtId="0" fontId="47" fillId="0" borderId="0" pivotButton="0" quotePrefix="0" xfId="0"/>
    <xf numFmtId="3" fontId="45" fillId="11" borderId="14" applyAlignment="1" pivotButton="0" quotePrefix="0" xfId="0">
      <alignment horizontal="left" vertical="center"/>
    </xf>
    <xf numFmtId="3" fontId="45" fillId="11" borderId="15" applyAlignment="1" pivotButton="0" quotePrefix="0" xfId="0">
      <alignment horizontal="center" vertical="center"/>
    </xf>
    <xf numFmtId="3" fontId="47" fillId="11" borderId="16" applyAlignment="1" pivotButton="0" quotePrefix="0" xfId="0">
      <alignment horizontal="center" vertical="center"/>
    </xf>
    <xf numFmtId="3" fontId="47" fillId="11" borderId="14" applyAlignment="1" pivotButton="0" quotePrefix="0" xfId="0">
      <alignment horizontal="center" vertical="center"/>
    </xf>
    <xf numFmtId="3" fontId="45" fillId="11" borderId="17" applyAlignment="1" pivotButton="0" quotePrefix="0" xfId="0">
      <alignment horizontal="left" vertical="center"/>
    </xf>
    <xf numFmtId="3" fontId="45" fillId="11" borderId="18" applyAlignment="1" pivotButton="0" quotePrefix="0" xfId="0">
      <alignment horizontal="center" vertical="center"/>
    </xf>
    <xf numFmtId="3" fontId="45" fillId="11" borderId="19" applyAlignment="1" pivotButton="0" quotePrefix="0" xfId="0">
      <alignment horizontal="center" vertical="center"/>
    </xf>
    <xf numFmtId="3" fontId="45" fillId="11" borderId="17" applyAlignment="1" pivotButton="0" quotePrefix="0" xfId="0">
      <alignment horizontal="center" vertical="center"/>
    </xf>
    <xf numFmtId="3" fontId="47" fillId="4" borderId="2" applyAlignment="1" pivotButton="0" quotePrefix="0" xfId="0">
      <alignment horizontal="left" vertical="center"/>
    </xf>
    <xf numFmtId="3" fontId="47" fillId="0" borderId="0" applyAlignment="1" pivotButton="0" quotePrefix="0" xfId="0">
      <alignment vertical="center"/>
    </xf>
    <xf numFmtId="3" fontId="45" fillId="11" borderId="5" applyAlignment="1" pivotButton="0" quotePrefix="0" xfId="0">
      <alignment horizontal="center" vertical="center"/>
    </xf>
    <xf numFmtId="3" fontId="41" fillId="0" borderId="0" pivotButton="0" quotePrefix="0" xfId="0"/>
    <xf numFmtId="3" fontId="41" fillId="0" borderId="2" pivotButton="0" quotePrefix="0" xfId="0"/>
    <xf numFmtId="3" fontId="45" fillId="3" borderId="0" applyAlignment="1" pivotButton="0" quotePrefix="0" xfId="0">
      <alignment horizontal="left" vertical="center"/>
    </xf>
    <xf numFmtId="3" fontId="47" fillId="3" borderId="2" applyAlignment="1" pivotButton="0" quotePrefix="0" xfId="0">
      <alignment horizontal="center" vertical="center"/>
    </xf>
    <xf numFmtId="3" fontId="47" fillId="3" borderId="0" applyAlignment="1" pivotButton="0" quotePrefix="0" xfId="0">
      <alignment horizontal="center" vertical="center"/>
    </xf>
    <xf numFmtId="3" fontId="45" fillId="12" borderId="3" applyAlignment="1" pivotButton="0" quotePrefix="0" xfId="0">
      <alignment horizontal="left" vertical="center"/>
    </xf>
    <xf numFmtId="3" fontId="47" fillId="12" borderId="4" applyAlignment="1" pivotButton="0" quotePrefix="0" xfId="0">
      <alignment horizontal="center" vertical="center"/>
    </xf>
    <xf numFmtId="3" fontId="47" fillId="12" borderId="7" applyAlignment="1" pivotButton="0" quotePrefix="0" xfId="0">
      <alignment horizontal="center" vertical="center"/>
    </xf>
    <xf numFmtId="3" fontId="47" fillId="12" borderId="3" applyAlignment="1" pivotButton="0" quotePrefix="0" xfId="0">
      <alignment horizontal="center" vertical="center"/>
    </xf>
    <xf numFmtId="3" fontId="52" fillId="0" borderId="2" applyAlignment="1" pivotButton="0" quotePrefix="0" xfId="0">
      <alignment horizontal="center" vertical="center"/>
    </xf>
    <xf numFmtId="10" fontId="48" fillId="0" borderId="0" applyAlignment="1" pivotButton="0" quotePrefix="0" xfId="0">
      <alignment horizontal="center" vertical="center"/>
    </xf>
    <xf numFmtId="3" fontId="52" fillId="0" borderId="0" applyAlignment="1" pivotButton="0" quotePrefix="0" xfId="0">
      <alignment horizontal="center" vertical="center"/>
    </xf>
    <xf numFmtId="3" fontId="52" fillId="0" borderId="2" applyAlignment="1" pivotButton="0" quotePrefix="0" xfId="0">
      <alignment horizontal="right" vertical="center"/>
    </xf>
    <xf numFmtId="3" fontId="52" fillId="0" borderId="0" applyAlignment="1" pivotButton="0" quotePrefix="0" xfId="0">
      <alignment horizontal="left" vertical="center"/>
    </xf>
    <xf numFmtId="3" fontId="52" fillId="12" borderId="2" applyAlignment="1" pivotButton="0" quotePrefix="0" xfId="0">
      <alignment horizontal="center" vertical="center"/>
    </xf>
    <xf numFmtId="3" fontId="52" fillId="13" borderId="0" applyAlignment="1" pivotButton="0" quotePrefix="0" xfId="0">
      <alignment horizontal="left" vertical="center"/>
    </xf>
    <xf numFmtId="3" fontId="52" fillId="13" borderId="2" applyAlignment="1" pivotButton="0" quotePrefix="0" xfId="0">
      <alignment horizontal="center" vertical="center"/>
    </xf>
    <xf numFmtId="3" fontId="45" fillId="13" borderId="0" applyAlignment="1" pivotButton="0" quotePrefix="0" xfId="0">
      <alignment horizontal="center" vertical="center"/>
    </xf>
    <xf numFmtId="0" fontId="45" fillId="5" borderId="3" applyAlignment="1" pivotButton="0" quotePrefix="0" xfId="0">
      <alignment horizontal="left" vertical="center"/>
    </xf>
    <xf numFmtId="3" fontId="45" fillId="7" borderId="12" applyAlignment="1" pivotButton="0" quotePrefix="0" xfId="0">
      <alignment horizontal="center" vertical="center"/>
    </xf>
    <xf numFmtId="3" fontId="47" fillId="11" borderId="0" applyAlignment="1" pivotButton="0" quotePrefix="0" xfId="0">
      <alignment horizontal="center" vertical="center"/>
    </xf>
    <xf numFmtId="3" fontId="47" fillId="11" borderId="12" applyAlignment="1" pivotButton="0" quotePrefix="0" xfId="0">
      <alignment horizontal="center" vertical="center"/>
    </xf>
    <xf numFmtId="3" fontId="47" fillId="11" borderId="2" applyAlignment="1" pivotButton="0" quotePrefix="0" xfId="0">
      <alignment horizontal="center" vertical="center"/>
    </xf>
    <xf numFmtId="0" fontId="45" fillId="0" borderId="0" pivotButton="0" quotePrefix="0" xfId="0"/>
    <xf numFmtId="3" fontId="45" fillId="0" borderId="12" applyAlignment="1" pivotButton="0" quotePrefix="0" xfId="0">
      <alignment horizontal="center" vertical="center"/>
    </xf>
    <xf numFmtId="3" fontId="45" fillId="11" borderId="0" applyAlignment="1" pivotButton="0" quotePrefix="0" xfId="0">
      <alignment horizontal="left" vertical="center"/>
    </xf>
    <xf numFmtId="3" fontId="45" fillId="11" borderId="12" applyAlignment="1" pivotButton="0" quotePrefix="0" xfId="0">
      <alignment horizontal="center" vertical="center"/>
    </xf>
    <xf numFmtId="3" fontId="45" fillId="11" borderId="20" applyAlignment="1" pivotButton="0" quotePrefix="0" xfId="0">
      <alignment horizontal="left" vertical="center"/>
    </xf>
    <xf numFmtId="3" fontId="45" fillId="11" borderId="21" applyAlignment="1" pivotButton="0" quotePrefix="0" xfId="0">
      <alignment horizontal="center" vertical="center"/>
    </xf>
    <xf numFmtId="3" fontId="47" fillId="12" borderId="12" applyAlignment="1" pivotButton="0" quotePrefix="0" xfId="0">
      <alignment horizontal="center" vertical="center"/>
    </xf>
    <xf numFmtId="3" fontId="47" fillId="12" borderId="0" applyAlignment="1" pivotButton="0" quotePrefix="0" xfId="0">
      <alignment horizontal="center" vertical="center"/>
    </xf>
    <xf numFmtId="3" fontId="47" fillId="12" borderId="2" applyAlignment="1" pivotButton="0" quotePrefix="0" xfId="0">
      <alignment horizontal="center" vertical="center"/>
    </xf>
    <xf numFmtId="10" fontId="48" fillId="0" borderId="12" applyAlignment="1" pivotButton="0" quotePrefix="0" xfId="0">
      <alignment horizontal="center" vertical="center"/>
    </xf>
    <xf numFmtId="4" fontId="48" fillId="0" borderId="0" applyAlignment="1" pivotButton="0" quotePrefix="0" xfId="0">
      <alignment horizontal="center" vertical="center"/>
    </xf>
    <xf numFmtId="4" fontId="48" fillId="0" borderId="2" applyAlignment="1" pivotButton="0" quotePrefix="0" xfId="0">
      <alignment horizontal="center" vertical="center"/>
    </xf>
    <xf numFmtId="10" fontId="48" fillId="0" borderId="2" applyAlignment="1" pivotButton="0" quotePrefix="0" xfId="0">
      <alignment horizontal="center" vertical="center"/>
    </xf>
    <xf numFmtId="3" fontId="52" fillId="0" borderId="12" applyAlignment="1" pivotButton="0" quotePrefix="0" xfId="0">
      <alignment horizontal="center" vertical="center"/>
    </xf>
    <xf numFmtId="3" fontId="54" fillId="0" borderId="0" applyAlignment="1" pivotButton="0" quotePrefix="0" xfId="0">
      <alignment horizontal="left" vertical="center"/>
    </xf>
    <xf numFmtId="3" fontId="54" fillId="0" borderId="2" applyAlignment="1" pivotButton="0" quotePrefix="0" xfId="0">
      <alignment horizontal="center" vertical="center"/>
    </xf>
    <xf numFmtId="3" fontId="54" fillId="0" borderId="12" applyAlignment="1" pivotButton="0" quotePrefix="0" xfId="0">
      <alignment horizontal="center" vertical="center"/>
    </xf>
    <xf numFmtId="3" fontId="54" fillId="0" borderId="0" applyAlignment="1" pivotButton="0" quotePrefix="0" xfId="0">
      <alignment horizontal="center" vertical="center"/>
    </xf>
    <xf numFmtId="3" fontId="50" fillId="0" borderId="0" applyAlignment="1" pivotButton="0" quotePrefix="0" xfId="0">
      <alignment horizontal="center" vertical="center"/>
    </xf>
    <xf numFmtId="3" fontId="50" fillId="0" borderId="2" applyAlignment="1" pivotButton="0" quotePrefix="0" xfId="0">
      <alignment horizontal="center" vertical="center"/>
    </xf>
    <xf numFmtId="164" fontId="50" fillId="0" borderId="12" applyAlignment="1" pivotButton="0" quotePrefix="0" xfId="0">
      <alignment horizontal="center" vertical="center"/>
    </xf>
    <xf numFmtId="164" fontId="50" fillId="0" borderId="0" applyAlignment="1" pivotButton="0" quotePrefix="0" xfId="0">
      <alignment horizontal="center" vertical="center"/>
    </xf>
    <xf numFmtId="164" fontId="50" fillId="0" borderId="2" applyAlignment="1" pivotButton="0" quotePrefix="0" xfId="0">
      <alignment horizontal="center" vertical="center"/>
    </xf>
    <xf numFmtId="3" fontId="47" fillId="16" borderId="12" applyAlignment="1" pivotButton="0" quotePrefix="0" xfId="0">
      <alignment horizontal="center" vertical="center"/>
    </xf>
    <xf numFmtId="3" fontId="47" fillId="15" borderId="0" applyAlignment="1" pivotButton="0" quotePrefix="0" xfId="0">
      <alignment horizontal="center" vertical="center"/>
    </xf>
    <xf numFmtId="3" fontId="47" fillId="16" borderId="0" applyAlignment="1" pivotButton="0" quotePrefix="0" xfId="0">
      <alignment horizontal="center" vertical="center"/>
    </xf>
    <xf numFmtId="3" fontId="47" fillId="16" borderId="2" applyAlignment="1" pivotButton="0" quotePrefix="0" xfId="0">
      <alignment horizontal="center" vertical="center"/>
    </xf>
    <xf numFmtId="3" fontId="47" fillId="15" borderId="12" applyAlignment="1" pivotButton="0" quotePrefix="0" xfId="0">
      <alignment horizontal="center" vertical="center"/>
    </xf>
    <xf numFmtId="3" fontId="47" fillId="15" borderId="2" applyAlignment="1" pivotButton="0" quotePrefix="0" xfId="0">
      <alignment horizontal="center" vertical="center"/>
    </xf>
    <xf numFmtId="3" fontId="41" fillId="16" borderId="12" pivotButton="0" quotePrefix="0" xfId="0"/>
    <xf numFmtId="3" fontId="41" fillId="16" borderId="0" pivotButton="0" quotePrefix="0" xfId="0"/>
    <xf numFmtId="3" fontId="41" fillId="16" borderId="2" pivotButton="0" quotePrefix="0" xfId="0"/>
    <xf numFmtId="3" fontId="47" fillId="18" borderId="12" applyAlignment="1" pivotButton="0" quotePrefix="0" xfId="0">
      <alignment horizontal="center" vertical="center"/>
    </xf>
    <xf numFmtId="3" fontId="47" fillId="18" borderId="0" applyAlignment="1" pivotButton="0" quotePrefix="0" xfId="0">
      <alignment horizontal="center" vertical="center"/>
    </xf>
    <xf numFmtId="3" fontId="47" fillId="18" borderId="2" applyAlignment="1" pivotButton="0" quotePrefix="0" xfId="0">
      <alignment horizontal="center" vertical="center"/>
    </xf>
    <xf numFmtId="0" fontId="47" fillId="0" borderId="16" applyAlignment="1" pivotButton="0" quotePrefix="0" xfId="0">
      <alignment horizontal="center" vertical="center"/>
    </xf>
    <xf numFmtId="3" fontId="47" fillId="0" borderId="20" applyAlignment="1" pivotButton="0" quotePrefix="0" xfId="0">
      <alignment horizontal="center" vertical="center"/>
    </xf>
    <xf numFmtId="0" fontId="40" fillId="0" borderId="22" pivotButton="0" quotePrefix="0" xfId="0"/>
    <xf numFmtId="0" fontId="38" fillId="0" borderId="22" pivotButton="0" quotePrefix="0" xfId="0"/>
    <xf numFmtId="3" fontId="38" fillId="0" borderId="22" pivotButton="0" quotePrefix="0" xfId="0"/>
    <xf numFmtId="0" fontId="38" fillId="0" borderId="0" pivotButton="0" quotePrefix="0" xfId="0"/>
    <xf numFmtId="0" fontId="38" fillId="0" borderId="23" applyAlignment="1" pivotButton="0" quotePrefix="1" xfId="0">
      <alignment horizontal="center" vertical="center"/>
    </xf>
    <xf numFmtId="0" fontId="38" fillId="0" borderId="41" applyAlignment="1" pivotButton="0" quotePrefix="1" xfId="0">
      <alignment horizontal="center" vertical="center"/>
    </xf>
    <xf numFmtId="0" fontId="38" fillId="0" borderId="42" applyAlignment="1" pivotButton="0" quotePrefix="1" xfId="0">
      <alignment horizontal="center" vertical="center"/>
    </xf>
    <xf numFmtId="0" fontId="38" fillId="0" borderId="29" applyAlignment="1" pivotButton="0" quotePrefix="1" xfId="0">
      <alignment horizontal="center" vertical="center"/>
    </xf>
    <xf numFmtId="1" fontId="38" fillId="0" borderId="22" pivotButton="0" quotePrefix="0" xfId="0"/>
    <xf numFmtId="0" fontId="40" fillId="5" borderId="24" applyAlignment="1" pivotButton="0" quotePrefix="0" xfId="0">
      <alignment horizontal="left" vertical="center"/>
    </xf>
    <xf numFmtId="3" fontId="38" fillId="0" borderId="22" applyAlignment="1" pivotButton="0" quotePrefix="0" xfId="0">
      <alignment horizontal="left" vertical="center"/>
    </xf>
    <xf numFmtId="3" fontId="38" fillId="0" borderId="24" applyAlignment="1" pivotButton="0" quotePrefix="0" xfId="0">
      <alignment horizontal="center" vertical="center"/>
    </xf>
    <xf numFmtId="3" fontId="38" fillId="10" borderId="36" applyAlignment="1" pivotButton="0" quotePrefix="0" xfId="0">
      <alignment horizontal="center" vertical="center"/>
    </xf>
    <xf numFmtId="3" fontId="38" fillId="0" borderId="22" applyAlignment="1" pivotButton="0" quotePrefix="0" xfId="0">
      <alignment horizontal="center" vertical="center"/>
    </xf>
    <xf numFmtId="3" fontId="38" fillId="0" borderId="37" applyAlignment="1" pivotButton="0" quotePrefix="0" xfId="0">
      <alignment horizontal="center" vertical="center"/>
    </xf>
    <xf numFmtId="3" fontId="38" fillId="0" borderId="36" applyAlignment="1" pivotButton="0" quotePrefix="0" xfId="0">
      <alignment horizontal="center" vertical="center"/>
    </xf>
    <xf numFmtId="3" fontId="38" fillId="0" borderId="24" applyAlignment="1" pivotButton="0" quotePrefix="0" xfId="0">
      <alignment horizontal="left" vertical="center"/>
    </xf>
    <xf numFmtId="3" fontId="38" fillId="0" borderId="24" applyAlignment="1" pivotButton="0" quotePrefix="0" xfId="0">
      <alignment horizontal="right" vertical="center"/>
    </xf>
    <xf numFmtId="3" fontId="38" fillId="10" borderId="22" applyAlignment="1" pivotButton="0" quotePrefix="0" xfId="0">
      <alignment horizontal="center" vertical="center"/>
    </xf>
    <xf numFmtId="3" fontId="38" fillId="10" borderId="37" applyAlignment="1" pivotButton="0" quotePrefix="0" xfId="0">
      <alignment horizontal="center" vertical="center"/>
    </xf>
    <xf numFmtId="3" fontId="38" fillId="16" borderId="36" applyAlignment="1" pivotButton="0" quotePrefix="0" xfId="0">
      <alignment horizontal="center" vertical="center"/>
    </xf>
    <xf numFmtId="3" fontId="38" fillId="16" borderId="22" applyAlignment="1" pivotButton="0" quotePrefix="0" xfId="0">
      <alignment horizontal="center" vertical="center"/>
    </xf>
    <xf numFmtId="3" fontId="38" fillId="16" borderId="37" applyAlignment="1" pivotButton="0" quotePrefix="0" xfId="0">
      <alignment horizontal="center" vertical="center"/>
    </xf>
    <xf numFmtId="3" fontId="38" fillId="4" borderId="22" applyAlignment="1" pivotButton="0" quotePrefix="0" xfId="0">
      <alignment horizontal="left" vertical="center"/>
    </xf>
    <xf numFmtId="3" fontId="38" fillId="4" borderId="24" applyAlignment="1" pivotButton="0" quotePrefix="0" xfId="0">
      <alignment horizontal="center" vertical="center"/>
    </xf>
    <xf numFmtId="3" fontId="38" fillId="15" borderId="36" applyAlignment="1" pivotButton="0" quotePrefix="0" xfId="0">
      <alignment horizontal="center" vertical="center"/>
    </xf>
    <xf numFmtId="3" fontId="38" fillId="15" borderId="22" applyAlignment="1" pivotButton="0" quotePrefix="0" xfId="0">
      <alignment horizontal="center" vertical="center"/>
    </xf>
    <xf numFmtId="3" fontId="38" fillId="15" borderId="37" applyAlignment="1" pivotButton="0" quotePrefix="0" xfId="0">
      <alignment horizontal="center" vertical="center"/>
    </xf>
    <xf numFmtId="3" fontId="38" fillId="7" borderId="22" applyAlignment="1" pivotButton="0" quotePrefix="0" xfId="0">
      <alignment horizontal="left" vertical="center"/>
    </xf>
    <xf numFmtId="0" fontId="38" fillId="7" borderId="24" applyAlignment="1" pivotButton="0" quotePrefix="0" xfId="0">
      <alignment horizontal="left" vertical="center"/>
    </xf>
    <xf numFmtId="3" fontId="38" fillId="7" borderId="36" applyAlignment="1" pivotButton="0" quotePrefix="0" xfId="0">
      <alignment horizontal="center" vertical="center"/>
    </xf>
    <xf numFmtId="3" fontId="38" fillId="7" borderId="22" applyAlignment="1" pivotButton="0" quotePrefix="0" xfId="0">
      <alignment horizontal="center" vertical="center"/>
    </xf>
    <xf numFmtId="3" fontId="38" fillId="7" borderId="37" applyAlignment="1" pivotButton="0" quotePrefix="0" xfId="0">
      <alignment horizontal="center" vertical="center"/>
    </xf>
    <xf numFmtId="0" fontId="38" fillId="4" borderId="22" applyAlignment="1" pivotButton="0" quotePrefix="0" xfId="0">
      <alignment vertical="center"/>
    </xf>
    <xf numFmtId="0" fontId="38" fillId="4" borderId="24" applyAlignment="1" pivotButton="0" quotePrefix="0" xfId="0">
      <alignment horizontal="left" vertical="center"/>
    </xf>
    <xf numFmtId="3" fontId="38" fillId="4" borderId="36" applyAlignment="1" pivotButton="0" quotePrefix="0" xfId="0">
      <alignment horizontal="center" vertical="center"/>
    </xf>
    <xf numFmtId="3" fontId="38" fillId="4" borderId="22" applyAlignment="1" pivotButton="0" quotePrefix="0" xfId="0">
      <alignment horizontal="center" vertical="center"/>
    </xf>
    <xf numFmtId="3" fontId="38" fillId="4" borderId="37" applyAlignment="1" pivotButton="0" quotePrefix="0" xfId="0">
      <alignment horizontal="center" vertical="center"/>
    </xf>
    <xf numFmtId="3" fontId="40" fillId="4" borderId="22" applyAlignment="1" pivotButton="0" quotePrefix="0" xfId="0">
      <alignment horizontal="left"/>
    </xf>
    <xf numFmtId="3" fontId="40" fillId="4" borderId="24" applyAlignment="1" pivotButton="0" quotePrefix="0" xfId="0">
      <alignment horizontal="center"/>
    </xf>
    <xf numFmtId="3" fontId="40" fillId="10" borderId="36" applyAlignment="1" pivotButton="0" quotePrefix="0" xfId="0">
      <alignment horizontal="center"/>
    </xf>
    <xf numFmtId="3" fontId="40" fillId="10" borderId="22" applyAlignment="1" pivotButton="0" quotePrefix="0" xfId="0">
      <alignment horizontal="center"/>
    </xf>
    <xf numFmtId="3" fontId="40" fillId="10" borderId="37" applyAlignment="1" pivotButton="0" quotePrefix="0" xfId="0">
      <alignment horizontal="center"/>
    </xf>
    <xf numFmtId="3" fontId="40" fillId="15" borderId="36" applyAlignment="1" pivotButton="0" quotePrefix="0" xfId="0">
      <alignment horizontal="center"/>
    </xf>
    <xf numFmtId="3" fontId="40" fillId="15" borderId="22" applyAlignment="1" pivotButton="0" quotePrefix="0" xfId="0">
      <alignment horizontal="center"/>
    </xf>
    <xf numFmtId="3" fontId="40" fillId="15" borderId="37" applyAlignment="1" pivotButton="0" quotePrefix="0" xfId="0">
      <alignment horizontal="center"/>
    </xf>
    <xf numFmtId="3" fontId="38" fillId="4" borderId="22" pivotButton="0" quotePrefix="0" xfId="0"/>
    <xf numFmtId="3" fontId="38" fillId="4" borderId="24" applyAlignment="1" pivotButton="0" quotePrefix="0" xfId="0">
      <alignment horizontal="center"/>
    </xf>
    <xf numFmtId="3" fontId="38" fillId="4" borderId="36" applyAlignment="1" pivotButton="0" quotePrefix="0" xfId="0">
      <alignment horizontal="center"/>
    </xf>
    <xf numFmtId="3" fontId="38" fillId="4" borderId="22" applyAlignment="1" pivotButton="0" quotePrefix="0" xfId="0">
      <alignment horizontal="center"/>
    </xf>
    <xf numFmtId="3" fontId="38" fillId="4" borderId="37" applyAlignment="1" pivotButton="0" quotePrefix="0" xfId="0">
      <alignment horizontal="center"/>
    </xf>
    <xf numFmtId="9" fontId="38" fillId="4" borderId="36" applyAlignment="1" pivotButton="0" quotePrefix="0" xfId="0">
      <alignment horizontal="center"/>
    </xf>
    <xf numFmtId="9" fontId="38" fillId="4" borderId="22" applyAlignment="1" pivotButton="0" quotePrefix="0" xfId="0">
      <alignment horizontal="center"/>
    </xf>
    <xf numFmtId="9" fontId="38" fillId="4" borderId="37" applyAlignment="1" pivotButton="0" quotePrefix="0" xfId="0">
      <alignment horizontal="center"/>
    </xf>
    <xf numFmtId="3" fontId="38" fillId="10" borderId="36" applyAlignment="1" pivotButton="0" quotePrefix="0" xfId="0">
      <alignment horizontal="center"/>
    </xf>
    <xf numFmtId="3" fontId="38" fillId="10" borderId="22" applyAlignment="1" pivotButton="0" quotePrefix="0" xfId="0">
      <alignment horizontal="center"/>
    </xf>
    <xf numFmtId="3" fontId="38" fillId="10" borderId="37" applyAlignment="1" pivotButton="0" quotePrefix="0" xfId="0">
      <alignment horizontal="center"/>
    </xf>
    <xf numFmtId="3" fontId="38" fillId="15" borderId="36" applyAlignment="1" pivotButton="0" quotePrefix="0" xfId="0">
      <alignment horizontal="center"/>
    </xf>
    <xf numFmtId="3" fontId="38" fillId="15" borderId="22" applyAlignment="1" pivotButton="0" quotePrefix="0" xfId="0">
      <alignment horizontal="center"/>
    </xf>
    <xf numFmtId="3" fontId="38" fillId="15" borderId="37" applyAlignment="1" pivotButton="0" quotePrefix="0" xfId="0">
      <alignment horizontal="center"/>
    </xf>
    <xf numFmtId="3" fontId="40" fillId="4" borderId="36" applyAlignment="1" pivotButton="0" quotePrefix="0" xfId="0">
      <alignment horizontal="center"/>
    </xf>
    <xf numFmtId="3" fontId="40" fillId="4" borderId="22" applyAlignment="1" pivotButton="0" quotePrefix="0" xfId="0">
      <alignment horizontal="center"/>
    </xf>
    <xf numFmtId="3" fontId="40" fillId="4" borderId="37" applyAlignment="1" pivotButton="0" quotePrefix="0" xfId="0">
      <alignment horizontal="center"/>
    </xf>
    <xf numFmtId="3" fontId="38" fillId="3" borderId="22" pivotButton="0" quotePrefix="0" xfId="0"/>
    <xf numFmtId="9" fontId="38" fillId="3" borderId="22" pivotButton="0" quotePrefix="0" xfId="0"/>
    <xf numFmtId="9" fontId="38" fillId="4" borderId="24" applyAlignment="1" pivotButton="0" quotePrefix="0" xfId="0">
      <alignment horizontal="center"/>
    </xf>
    <xf numFmtId="3" fontId="40" fillId="8" borderId="22" applyAlignment="1" pivotButton="0" quotePrefix="0" xfId="0">
      <alignment horizontal="left"/>
    </xf>
    <xf numFmtId="3" fontId="40" fillId="8" borderId="24" applyAlignment="1" pivotButton="0" quotePrefix="0" xfId="0">
      <alignment horizontal="center"/>
    </xf>
    <xf numFmtId="3" fontId="40" fillId="8" borderId="36" applyAlignment="1" pivotButton="0" quotePrefix="0" xfId="0">
      <alignment horizontal="center"/>
    </xf>
    <xf numFmtId="3" fontId="40" fillId="8" borderId="22" applyAlignment="1" pivotButton="0" quotePrefix="0" xfId="0">
      <alignment horizontal="center"/>
    </xf>
    <xf numFmtId="3" fontId="40" fillId="8" borderId="37" applyAlignment="1" pivotButton="0" quotePrefix="0" xfId="0">
      <alignment horizontal="center"/>
    </xf>
    <xf numFmtId="0" fontId="40" fillId="4" borderId="22" applyAlignment="1" pivotButton="0" quotePrefix="0" xfId="0">
      <alignment vertical="center"/>
    </xf>
    <xf numFmtId="0" fontId="40" fillId="4" borderId="24" applyAlignment="1" pivotButton="0" quotePrefix="0" xfId="0">
      <alignment horizontal="left" vertical="center"/>
    </xf>
    <xf numFmtId="3" fontId="38" fillId="9" borderId="22" applyAlignment="1" pivotButton="0" quotePrefix="0" xfId="0">
      <alignment horizontal="left"/>
    </xf>
    <xf numFmtId="3" fontId="38" fillId="9" borderId="24" applyAlignment="1" pivotButton="0" quotePrefix="0" xfId="0">
      <alignment horizontal="center"/>
    </xf>
    <xf numFmtId="3" fontId="38" fillId="17" borderId="36" applyAlignment="1" pivotButton="0" quotePrefix="0" xfId="0">
      <alignment horizontal="center"/>
    </xf>
    <xf numFmtId="3" fontId="38" fillId="17" borderId="22" applyAlignment="1" pivotButton="0" quotePrefix="0" xfId="0">
      <alignment horizontal="center"/>
    </xf>
    <xf numFmtId="3" fontId="38" fillId="17" borderId="37" applyAlignment="1" pivotButton="0" quotePrefix="0" xfId="0">
      <alignment horizontal="center"/>
    </xf>
    <xf numFmtId="3" fontId="38" fillId="9" borderId="36" applyAlignment="1" pivotButton="0" quotePrefix="0" xfId="0">
      <alignment horizontal="center"/>
    </xf>
    <xf numFmtId="3" fontId="38" fillId="9" borderId="22" applyAlignment="1" pivotButton="0" quotePrefix="0" xfId="0">
      <alignment horizontal="center"/>
    </xf>
    <xf numFmtId="3" fontId="38" fillId="9" borderId="37" applyAlignment="1" pivotButton="0" quotePrefix="0" xfId="0">
      <alignment horizontal="center"/>
    </xf>
    <xf numFmtId="0" fontId="38" fillId="0" borderId="22" applyAlignment="1" pivotButton="0" quotePrefix="0" xfId="0">
      <alignment vertical="center"/>
    </xf>
    <xf numFmtId="0" fontId="38" fillId="0" borderId="24" applyAlignment="1" pivotButton="0" quotePrefix="0" xfId="0">
      <alignment horizontal="left" vertical="center"/>
    </xf>
    <xf numFmtId="0" fontId="40" fillId="14" borderId="22" applyAlignment="1" pivotButton="0" quotePrefix="0" xfId="0">
      <alignment vertical="center"/>
    </xf>
    <xf numFmtId="0" fontId="40" fillId="14" borderId="24" applyAlignment="1" pivotButton="0" quotePrefix="0" xfId="0">
      <alignment horizontal="left" vertical="center"/>
    </xf>
    <xf numFmtId="3" fontId="40" fillId="14" borderId="36" applyAlignment="1" pivotButton="0" quotePrefix="0" xfId="0">
      <alignment horizontal="center" vertical="center"/>
    </xf>
    <xf numFmtId="0" fontId="38" fillId="14" borderId="22" pivotButton="0" quotePrefix="0" xfId="0"/>
    <xf numFmtId="3" fontId="38" fillId="9" borderId="24" applyAlignment="1" pivotButton="0" quotePrefix="0" xfId="0">
      <alignment horizontal="left"/>
    </xf>
    <xf numFmtId="9" fontId="38" fillId="0" borderId="36" applyAlignment="1" pivotButton="0" quotePrefix="0" xfId="0">
      <alignment horizontal="center" vertical="center"/>
    </xf>
    <xf numFmtId="9" fontId="38" fillId="0" borderId="22" applyAlignment="1" pivotButton="0" quotePrefix="0" xfId="0">
      <alignment horizontal="center" vertical="center"/>
    </xf>
    <xf numFmtId="9" fontId="38" fillId="0" borderId="37" applyAlignment="1" pivotButton="0" quotePrefix="0" xfId="0">
      <alignment horizontal="center" vertical="center"/>
    </xf>
    <xf numFmtId="0" fontId="40" fillId="0" borderId="22" applyAlignment="1" pivotButton="0" quotePrefix="0" xfId="0">
      <alignment vertical="center"/>
    </xf>
    <xf numFmtId="0" fontId="40" fillId="0" borderId="24" applyAlignment="1" pivotButton="0" quotePrefix="0" xfId="0">
      <alignment horizontal="left" vertical="center"/>
    </xf>
    <xf numFmtId="3" fontId="40" fillId="4" borderId="36" applyAlignment="1" pivotButton="0" quotePrefix="0" xfId="0">
      <alignment horizontal="center" vertical="center"/>
    </xf>
    <xf numFmtId="3" fontId="40" fillId="4" borderId="22" applyAlignment="1" pivotButton="0" quotePrefix="0" xfId="0">
      <alignment horizontal="center" vertical="center"/>
    </xf>
    <xf numFmtId="3" fontId="40" fillId="4" borderId="37" applyAlignment="1" pivotButton="0" quotePrefix="0" xfId="0">
      <alignment horizontal="center" vertical="center"/>
    </xf>
    <xf numFmtId="9" fontId="38" fillId="9" borderId="22" applyAlignment="1" pivotButton="0" quotePrefix="0" xfId="0">
      <alignment horizontal="left"/>
    </xf>
    <xf numFmtId="9" fontId="38" fillId="9" borderId="24" applyAlignment="1" pivotButton="0" quotePrefix="0" xfId="0">
      <alignment horizontal="left"/>
    </xf>
    <xf numFmtId="9" fontId="38" fillId="9" borderId="36" applyAlignment="1" pivotButton="0" quotePrefix="0" xfId="0">
      <alignment horizontal="center"/>
    </xf>
    <xf numFmtId="9" fontId="38" fillId="9" borderId="22" applyAlignment="1" pivotButton="0" quotePrefix="0" xfId="0">
      <alignment horizontal="center"/>
    </xf>
    <xf numFmtId="9" fontId="38" fillId="0" borderId="24" applyAlignment="1" pivotButton="0" quotePrefix="0" xfId="0">
      <alignment horizontal="left" vertical="center"/>
    </xf>
    <xf numFmtId="3" fontId="40" fillId="0" borderId="36" applyAlignment="1" pivotButton="0" quotePrefix="0" xfId="0">
      <alignment horizontal="center" vertical="center"/>
    </xf>
    <xf numFmtId="3" fontId="61" fillId="4" borderId="37" applyAlignment="1" pivotButton="0" quotePrefix="0" xfId="0">
      <alignment horizontal="center" vertical="center"/>
    </xf>
    <xf numFmtId="3" fontId="61" fillId="4" borderId="22" applyAlignment="1" pivotButton="0" quotePrefix="0" xfId="0">
      <alignment horizontal="center" vertical="center"/>
    </xf>
    <xf numFmtId="0" fontId="38" fillId="0" borderId="22" applyAlignment="1" pivotButton="0" quotePrefix="0" xfId="0">
      <alignment horizontal="left" vertical="center"/>
    </xf>
    <xf numFmtId="3" fontId="61" fillId="0" borderId="37" applyAlignment="1" pivotButton="0" quotePrefix="0" xfId="0">
      <alignment horizontal="center" vertical="center"/>
    </xf>
    <xf numFmtId="3" fontId="62" fillId="0" borderId="36" applyAlignment="1" pivotButton="0" quotePrefix="0" xfId="0">
      <alignment horizontal="center" vertical="center"/>
    </xf>
    <xf numFmtId="3" fontId="61" fillId="0" borderId="22" applyAlignment="1" pivotButton="0" quotePrefix="0" xfId="0">
      <alignment horizontal="center" vertical="center"/>
    </xf>
    <xf numFmtId="0" fontId="63" fillId="0" borderId="22" applyAlignment="1" pivotButton="0" quotePrefix="0" xfId="0">
      <alignment horizontal="left" vertical="center"/>
    </xf>
    <xf numFmtId="0" fontId="38" fillId="0" borderId="22" applyAlignment="1" pivotButton="0" quotePrefix="0" xfId="0">
      <alignment horizontal="center" vertical="center"/>
    </xf>
    <xf numFmtId="0" fontId="38" fillId="0" borderId="37" applyAlignment="1" pivotButton="0" quotePrefix="0" xfId="0">
      <alignment horizontal="center" vertical="center"/>
    </xf>
    <xf numFmtId="0" fontId="38" fillId="0" borderId="36" applyAlignment="1" pivotButton="0" quotePrefix="0" xfId="0">
      <alignment horizontal="center" vertical="center"/>
    </xf>
    <xf numFmtId="3" fontId="38" fillId="0" borderId="24" applyAlignment="1" pivotButton="0" quotePrefix="0" xfId="0">
      <alignment horizontal="right"/>
    </xf>
    <xf numFmtId="9" fontId="38" fillId="0" borderId="22" applyAlignment="1" pivotButton="0" quotePrefix="0" xfId="0">
      <alignment horizontal="left" vertical="center"/>
    </xf>
    <xf numFmtId="9" fontId="38" fillId="0" borderId="24" applyAlignment="1" pivotButton="0" quotePrefix="0" xfId="0">
      <alignment horizontal="right"/>
    </xf>
    <xf numFmtId="0" fontId="64" fillId="0" borderId="22" applyAlignment="1" pivotButton="0" quotePrefix="0" xfId="0">
      <alignment horizontal="left" vertical="center"/>
    </xf>
    <xf numFmtId="3" fontId="64" fillId="0" borderId="24" applyAlignment="1" pivotButton="0" quotePrefix="0" xfId="0">
      <alignment horizontal="right" vertical="center"/>
    </xf>
    <xf numFmtId="3" fontId="64" fillId="0" borderId="36" applyAlignment="1" pivotButton="0" quotePrefix="0" xfId="0">
      <alignment horizontal="center" vertical="center"/>
    </xf>
    <xf numFmtId="3" fontId="64" fillId="0" borderId="22" applyAlignment="1" pivotButton="0" quotePrefix="0" xfId="0">
      <alignment horizontal="center" vertical="center"/>
    </xf>
    <xf numFmtId="3" fontId="64" fillId="0" borderId="37" applyAlignment="1" pivotButton="0" quotePrefix="0" xfId="0">
      <alignment horizontal="center" vertical="center"/>
    </xf>
    <xf numFmtId="0" fontId="64" fillId="0" borderId="22" applyAlignment="1" pivotButton="0" quotePrefix="0" xfId="0">
      <alignment horizontal="center" vertical="center"/>
    </xf>
    <xf numFmtId="0" fontId="64" fillId="0" borderId="37" applyAlignment="1" pivotButton="0" quotePrefix="0" xfId="0">
      <alignment horizontal="center" vertical="center"/>
    </xf>
    <xf numFmtId="0" fontId="64" fillId="0" borderId="36" applyAlignment="1" pivotButton="0" quotePrefix="0" xfId="0">
      <alignment horizontal="center" vertical="center"/>
    </xf>
    <xf numFmtId="0" fontId="64" fillId="0" borderId="37" applyAlignment="1" pivotButton="0" quotePrefix="0" xfId="0">
      <alignment horizontal="left" vertical="center"/>
    </xf>
    <xf numFmtId="1" fontId="38" fillId="0" borderId="22" applyAlignment="1" pivotButton="0" quotePrefix="0" xfId="0">
      <alignment horizontal="left" vertical="center"/>
    </xf>
    <xf numFmtId="1" fontId="38" fillId="0" borderId="24" applyAlignment="1" pivotButton="0" quotePrefix="0" xfId="0">
      <alignment horizontal="right"/>
    </xf>
    <xf numFmtId="1" fontId="38" fillId="0" borderId="36" applyAlignment="1" pivotButton="0" quotePrefix="0" xfId="0">
      <alignment horizontal="center" vertical="center"/>
    </xf>
    <xf numFmtId="1" fontId="38" fillId="0" borderId="22" applyAlignment="1" pivotButton="0" quotePrefix="0" xfId="0">
      <alignment horizontal="center" vertical="center"/>
    </xf>
    <xf numFmtId="1" fontId="38" fillId="0" borderId="37" applyAlignment="1" pivotButton="0" quotePrefix="0" xfId="0">
      <alignment horizontal="center" vertical="center"/>
    </xf>
    <xf numFmtId="165" fontId="38" fillId="0" borderId="22" applyAlignment="1" pivotButton="0" quotePrefix="0" xfId="0">
      <alignment horizontal="left" vertical="center"/>
    </xf>
    <xf numFmtId="165" fontId="38" fillId="0" borderId="24" applyAlignment="1" pivotButton="0" quotePrefix="0" xfId="0">
      <alignment horizontal="right"/>
    </xf>
    <xf numFmtId="165" fontId="38" fillId="0" borderId="38" applyAlignment="1" pivotButton="0" quotePrefix="0" xfId="0">
      <alignment horizontal="center" vertical="center"/>
    </xf>
    <xf numFmtId="165" fontId="38" fillId="0" borderId="39" applyAlignment="1" pivotButton="0" quotePrefix="0" xfId="0">
      <alignment horizontal="center" vertical="center"/>
    </xf>
    <xf numFmtId="165" fontId="38" fillId="0" borderId="40" applyAlignment="1" pivotButton="0" quotePrefix="0" xfId="0">
      <alignment horizontal="center" vertical="center"/>
    </xf>
    <xf numFmtId="0" fontId="40" fillId="5" borderId="22" applyAlignment="1" pivotButton="0" quotePrefix="0" xfId="0">
      <alignment vertical="center"/>
    </xf>
    <xf numFmtId="14" fontId="38" fillId="0" borderId="26" applyAlignment="1" pivotButton="0" quotePrefix="1" xfId="0">
      <alignment horizontal="center"/>
    </xf>
    <xf numFmtId="14" fontId="38" fillId="0" borderId="31" applyAlignment="1" pivotButton="0" quotePrefix="1" xfId="0">
      <alignment horizontal="center"/>
    </xf>
    <xf numFmtId="3" fontId="66" fillId="6" borderId="22" applyAlignment="1" pivotButton="0" quotePrefix="0" xfId="0">
      <alignment horizontal="left" vertical="center"/>
    </xf>
    <xf numFmtId="3" fontId="59" fillId="6" borderId="24" applyAlignment="1" pivotButton="0" quotePrefix="0" xfId="0">
      <alignment horizontal="center" vertical="center"/>
    </xf>
    <xf numFmtId="3" fontId="59" fillId="6" borderId="36" applyAlignment="1" pivotButton="0" quotePrefix="0" xfId="0">
      <alignment horizontal="center" vertical="center"/>
    </xf>
    <xf numFmtId="3" fontId="59" fillId="6" borderId="22" applyAlignment="1" pivotButton="0" quotePrefix="0" xfId="0">
      <alignment horizontal="center" vertical="center"/>
    </xf>
    <xf numFmtId="3" fontId="59" fillId="6" borderId="37" applyAlignment="1" pivotButton="0" quotePrefix="0" xfId="0">
      <alignment horizontal="center" vertical="center"/>
    </xf>
    <xf numFmtId="0" fontId="40" fillId="4" borderId="2" applyAlignment="1" pivotButton="0" quotePrefix="0" xfId="0">
      <alignment horizontal="left" vertical="center"/>
    </xf>
    <xf numFmtId="0" fontId="40" fillId="4" borderId="0" applyAlignment="1" pivotButton="0" quotePrefix="0" xfId="0">
      <alignment horizontal="center" vertical="center"/>
    </xf>
    <xf numFmtId="0" fontId="40" fillId="5" borderId="4" applyAlignment="1" pivotButton="0" quotePrefix="0" xfId="0">
      <alignment horizontal="left" vertical="center"/>
    </xf>
    <xf numFmtId="0" fontId="38" fillId="0" borderId="0" applyAlignment="1" pivotButton="0" quotePrefix="0" xfId="0">
      <alignment vertical="center"/>
    </xf>
    <xf numFmtId="0" fontId="38" fillId="0" borderId="2" applyAlignment="1" pivotButton="0" quotePrefix="0" xfId="0">
      <alignment horizontal="left" vertical="center"/>
    </xf>
    <xf numFmtId="0" fontId="38" fillId="0" borderId="1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3" fontId="38" fillId="0" borderId="0" applyAlignment="1" pivotButton="0" quotePrefix="0" xfId="0">
      <alignment horizontal="left" vertical="center"/>
    </xf>
    <xf numFmtId="3" fontId="38" fillId="0" borderId="2" applyAlignment="1" pivotButton="0" quotePrefix="0" xfId="0">
      <alignment horizontal="center" vertical="center"/>
    </xf>
    <xf numFmtId="3" fontId="38" fillId="4" borderId="0" applyAlignment="1" pivotButton="0" quotePrefix="0" xfId="0">
      <alignment horizontal="center" vertical="center"/>
    </xf>
    <xf numFmtId="3" fontId="38" fillId="0" borderId="0" applyAlignment="1" pivotButton="0" quotePrefix="0" xfId="0">
      <alignment horizontal="center" vertical="center"/>
    </xf>
    <xf numFmtId="3" fontId="38" fillId="0" borderId="2" applyAlignment="1" pivotButton="0" quotePrefix="0" xfId="0">
      <alignment horizontal="left" vertical="center"/>
    </xf>
    <xf numFmtId="3" fontId="38" fillId="0" borderId="2" applyAlignment="1" pivotButton="0" quotePrefix="0" xfId="0">
      <alignment horizontal="right" vertical="center"/>
    </xf>
    <xf numFmtId="3" fontId="38" fillId="4" borderId="0" pivotButton="0" quotePrefix="0" xfId="0"/>
    <xf numFmtId="3" fontId="38" fillId="4" borderId="2" applyAlignment="1" pivotButton="0" quotePrefix="0" xfId="0">
      <alignment horizontal="center" vertical="center"/>
    </xf>
    <xf numFmtId="3" fontId="38" fillId="7" borderId="3" applyAlignment="1" pivotButton="0" quotePrefix="0" xfId="0">
      <alignment horizontal="left" vertical="center"/>
    </xf>
    <xf numFmtId="0" fontId="38" fillId="7" borderId="2" applyAlignment="1" pivotButton="0" quotePrefix="0" xfId="0">
      <alignment horizontal="left" vertical="center"/>
    </xf>
    <xf numFmtId="3" fontId="38" fillId="7" borderId="3" applyAlignment="1" pivotButton="0" quotePrefix="0" xfId="0">
      <alignment horizontal="center" vertical="center"/>
    </xf>
    <xf numFmtId="3" fontId="38" fillId="7" borderId="2" applyAlignment="1" pivotButton="0" quotePrefix="0" xfId="0">
      <alignment horizontal="left" vertical="center"/>
    </xf>
    <xf numFmtId="3" fontId="40" fillId="0" borderId="10" applyAlignment="1" pivotButton="0" quotePrefix="0" xfId="0">
      <alignment horizontal="center"/>
    </xf>
    <xf numFmtId="3" fontId="40" fillId="0" borderId="10" applyAlignment="1" pivotButton="0" quotePrefix="0" xfId="0">
      <alignment horizontal="left"/>
    </xf>
    <xf numFmtId="3" fontId="40" fillId="0" borderId="11" applyAlignment="1" pivotButton="0" quotePrefix="0" xfId="0">
      <alignment horizontal="left"/>
    </xf>
    <xf numFmtId="3" fontId="38" fillId="0" borderId="0" pivotButton="0" quotePrefix="0" xfId="0"/>
    <xf numFmtId="3" fontId="38" fillId="0" borderId="0" applyAlignment="1" pivotButton="0" quotePrefix="0" xfId="0">
      <alignment horizontal="center"/>
    </xf>
    <xf numFmtId="9" fontId="38" fillId="0" borderId="0" applyAlignment="1" pivotButton="0" quotePrefix="0" xfId="0">
      <alignment horizontal="center"/>
    </xf>
    <xf numFmtId="3" fontId="38" fillId="4" borderId="0" applyAlignment="1" pivotButton="0" quotePrefix="0" xfId="0">
      <alignment horizontal="center"/>
    </xf>
    <xf numFmtId="3" fontId="40" fillId="4" borderId="0" applyAlignment="1" pivotButton="0" quotePrefix="0" xfId="0">
      <alignment horizontal="center"/>
    </xf>
    <xf numFmtId="3" fontId="40" fillId="0" borderId="0" applyAlignment="1" pivotButton="0" quotePrefix="0" xfId="0">
      <alignment horizontal="left"/>
    </xf>
    <xf numFmtId="3" fontId="40" fillId="0" borderId="2" applyAlignment="1" pivotButton="0" quotePrefix="0" xfId="0">
      <alignment horizontal="left"/>
    </xf>
    <xf numFmtId="3" fontId="40" fillId="0" borderId="0" applyAlignment="1" pivotButton="0" quotePrefix="0" xfId="0">
      <alignment horizontal="center"/>
    </xf>
    <xf numFmtId="3" fontId="38" fillId="0" borderId="2" applyAlignment="1" pivotButton="0" quotePrefix="0" xfId="0">
      <alignment horizontal="left"/>
    </xf>
    <xf numFmtId="3" fontId="38" fillId="3" borderId="0" pivotButton="0" quotePrefix="0" xfId="0"/>
    <xf numFmtId="166" fontId="38" fillId="0" borderId="0" applyAlignment="1" pivotButton="0" quotePrefix="0" xfId="0">
      <alignment horizontal="center"/>
    </xf>
    <xf numFmtId="3" fontId="40" fillId="8" borderId="10" applyAlignment="1" pivotButton="0" quotePrefix="0" xfId="0">
      <alignment horizontal="left"/>
    </xf>
    <xf numFmtId="3" fontId="40" fillId="8" borderId="11" applyAlignment="1" pivotButton="0" quotePrefix="0" xfId="0">
      <alignment horizontal="left"/>
    </xf>
    <xf numFmtId="3" fontId="40" fillId="8" borderId="10" applyAlignment="1" pivotButton="0" quotePrefix="0" xfId="0">
      <alignment horizontal="center"/>
    </xf>
    <xf numFmtId="0" fontId="40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3" fontId="40" fillId="0" borderId="11" applyAlignment="1" pivotButton="0" quotePrefix="0" xfId="0">
      <alignment horizontal="center"/>
    </xf>
    <xf numFmtId="9" fontId="38" fillId="0" borderId="0" applyAlignment="1" pivotButton="0" quotePrefix="0" xfId="0">
      <alignment vertical="center"/>
    </xf>
    <xf numFmtId="9" fontId="38" fillId="0" borderId="2" applyAlignment="1" pivotButton="0" quotePrefix="0" xfId="0">
      <alignment horizontal="left" vertical="center"/>
    </xf>
    <xf numFmtId="9" fontId="38" fillId="0" borderId="0" applyAlignment="1" pivotButton="0" quotePrefix="0" xfId="0">
      <alignment horizontal="center" vertical="center"/>
    </xf>
    <xf numFmtId="0" fontId="40" fillId="0" borderId="2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3" fontId="38" fillId="4" borderId="0" applyAlignment="1" pivotButton="0" quotePrefix="0" xfId="0">
      <alignment horizontal="left"/>
    </xf>
    <xf numFmtId="3" fontId="38" fillId="4" borderId="2" applyAlignment="1" pivotButton="0" quotePrefix="0" xfId="0">
      <alignment horizontal="center"/>
    </xf>
    <xf numFmtId="3" fontId="38" fillId="9" borderId="3" applyAlignment="1" pivotButton="0" quotePrefix="0" xfId="0">
      <alignment horizontal="left"/>
    </xf>
    <xf numFmtId="3" fontId="38" fillId="9" borderId="4" applyAlignment="1" pivotButton="0" quotePrefix="0" xfId="0">
      <alignment horizontal="center"/>
    </xf>
    <xf numFmtId="3" fontId="38" fillId="9" borderId="3" applyAlignment="1" pivotButton="0" quotePrefix="0" xfId="0">
      <alignment horizontal="center"/>
    </xf>
    <xf numFmtId="0" fontId="40" fillId="0" borderId="10" applyAlignment="1" pivotButton="0" quotePrefix="0" xfId="0">
      <alignment vertical="center"/>
    </xf>
    <xf numFmtId="0" fontId="40" fillId="0" borderId="11" applyAlignment="1" pivotButton="0" quotePrefix="0" xfId="0">
      <alignment horizontal="left" vertical="center"/>
    </xf>
    <xf numFmtId="3" fontId="40" fillId="0" borderId="10" applyAlignment="1" pivotButton="0" quotePrefix="0" xfId="0">
      <alignment horizontal="center" vertical="center"/>
    </xf>
    <xf numFmtId="3" fontId="40" fillId="4" borderId="0" applyAlignment="1" pivotButton="0" quotePrefix="0" xfId="0">
      <alignment horizontal="center" vertical="center"/>
    </xf>
    <xf numFmtId="0" fontId="38" fillId="9" borderId="2" applyAlignment="1" pivotButton="0" quotePrefix="0" xfId="0">
      <alignment horizontal="left" vertical="center"/>
    </xf>
    <xf numFmtId="3" fontId="40" fillId="0" borderId="10" applyAlignment="1" pivotButton="0" quotePrefix="0" xfId="0">
      <alignment vertical="center"/>
    </xf>
    <xf numFmtId="3" fontId="40" fillId="0" borderId="11" applyAlignment="1" pivotButton="0" quotePrefix="0" xfId="0">
      <alignment horizontal="left" vertical="center"/>
    </xf>
    <xf numFmtId="9" fontId="38" fillId="9" borderId="3" applyAlignment="1" pivotButton="0" quotePrefix="0" xfId="0">
      <alignment horizontal="left"/>
    </xf>
    <xf numFmtId="9" fontId="38" fillId="9" borderId="2" applyAlignment="1" pivotButton="0" quotePrefix="0" xfId="0">
      <alignment horizontal="left" vertical="center"/>
    </xf>
    <xf numFmtId="9" fontId="38" fillId="9" borderId="3" applyAlignment="1" pivotButton="0" quotePrefix="0" xfId="0">
      <alignment horizontal="center"/>
    </xf>
    <xf numFmtId="0" fontId="38" fillId="0" borderId="2" pivotButton="0" quotePrefix="0" xfId="0"/>
    <xf numFmtId="0" fontId="40" fillId="0" borderId="11" applyAlignment="1" pivotButton="0" quotePrefix="0" xfId="0">
      <alignment vertical="center"/>
    </xf>
    <xf numFmtId="3" fontId="40" fillId="0" borderId="0" applyAlignment="1" pivotButton="0" quotePrefix="0" xfId="0">
      <alignment horizontal="center" vertical="center"/>
    </xf>
    <xf numFmtId="3" fontId="67" fillId="9" borderId="3" applyAlignment="1" pivotButton="0" quotePrefix="0" xfId="0">
      <alignment horizontal="left"/>
    </xf>
    <xf numFmtId="0" fontId="67" fillId="9" borderId="2" applyAlignment="1" pivotButton="0" quotePrefix="0" xfId="0">
      <alignment horizontal="left" vertical="center"/>
    </xf>
    <xf numFmtId="3" fontId="67" fillId="9" borderId="3" applyAlignment="1" pivotButton="0" quotePrefix="0" xfId="0">
      <alignment horizontal="center"/>
    </xf>
    <xf numFmtId="3" fontId="67" fillId="4" borderId="0" applyAlignment="1" pivotButton="0" quotePrefix="0" xfId="0">
      <alignment horizontal="center"/>
    </xf>
    <xf numFmtId="3" fontId="40" fillId="4" borderId="10" applyAlignment="1" pivotButton="0" quotePrefix="0" xfId="0">
      <alignment horizontal="center" vertical="center"/>
    </xf>
    <xf numFmtId="1" fontId="38" fillId="0" borderId="0" applyAlignment="1" pivotButton="0" quotePrefix="0" xfId="0">
      <alignment horizontal="center" vertical="center"/>
    </xf>
    <xf numFmtId="10" fontId="63" fillId="4" borderId="0" applyAlignment="1" pivotButton="0" quotePrefix="0" xfId="0">
      <alignment vertical="center"/>
    </xf>
    <xf numFmtId="0" fontId="40" fillId="5" borderId="3" applyAlignment="1" pivotButton="0" quotePrefix="0" xfId="0">
      <alignment vertical="center"/>
    </xf>
    <xf numFmtId="3" fontId="66" fillId="6" borderId="8" applyAlignment="1" pivotButton="0" quotePrefix="0" xfId="0">
      <alignment horizontal="left" vertical="center"/>
    </xf>
    <xf numFmtId="3" fontId="59" fillId="6" borderId="9" applyAlignment="1" pivotButton="0" quotePrefix="0" xfId="0">
      <alignment horizontal="center" vertical="center"/>
    </xf>
    <xf numFmtId="3" fontId="59" fillId="6" borderId="8" applyAlignment="1" pivotButton="0" quotePrefix="0" xfId="0">
      <alignment horizontal="center" vertical="center"/>
    </xf>
    <xf numFmtId="3" fontId="59" fillId="4" borderId="0" applyAlignment="1" pivotButton="0" quotePrefix="0" xfId="0">
      <alignment horizontal="center" vertical="center"/>
    </xf>
    <xf numFmtId="3" fontId="61" fillId="4" borderId="36" applyAlignment="1" pivotButton="0" quotePrefix="0" xfId="0">
      <alignment horizontal="center" vertical="center"/>
    </xf>
    <xf numFmtId="3" fontId="61" fillId="0" borderId="36" applyAlignment="1" pivotButton="0" quotePrefix="0" xfId="0">
      <alignment horizontal="center" vertical="center"/>
    </xf>
    <xf numFmtId="0" fontId="37" fillId="0" borderId="22" pivotButton="0" quotePrefix="0" xfId="0"/>
    <xf numFmtId="0" fontId="37" fillId="0" borderId="0" pivotButton="0" quotePrefix="0" xfId="0"/>
    <xf numFmtId="3" fontId="38" fillId="16" borderId="24" applyAlignment="1" pivotButton="0" quotePrefix="0" xfId="0">
      <alignment horizontal="center" vertical="center"/>
    </xf>
    <xf numFmtId="3" fontId="38" fillId="15" borderId="24" applyAlignment="1" pivotButton="0" quotePrefix="0" xfId="0">
      <alignment horizontal="center" vertical="center"/>
    </xf>
    <xf numFmtId="3" fontId="38" fillId="7" borderId="24" applyAlignment="1" pivotButton="0" quotePrefix="0" xfId="0">
      <alignment horizontal="center" vertical="center"/>
    </xf>
    <xf numFmtId="3" fontId="40" fillId="15" borderId="24" applyAlignment="1" pivotButton="0" quotePrefix="0" xfId="0">
      <alignment horizontal="center"/>
    </xf>
    <xf numFmtId="3" fontId="38" fillId="15" borderId="24" applyAlignment="1" pivotButton="0" quotePrefix="0" xfId="0">
      <alignment horizontal="center"/>
    </xf>
    <xf numFmtId="3" fontId="38" fillId="17" borderId="24" applyAlignment="1" pivotButton="0" quotePrefix="0" xfId="0">
      <alignment horizontal="center"/>
    </xf>
    <xf numFmtId="3" fontId="40" fillId="4" borderId="24" applyAlignment="1" pivotButton="0" quotePrefix="0" xfId="0">
      <alignment horizontal="center" vertical="center"/>
    </xf>
    <xf numFmtId="3" fontId="61" fillId="4" borderId="24" applyAlignment="1" pivotButton="0" quotePrefix="0" xfId="0">
      <alignment horizontal="center" vertical="center"/>
    </xf>
    <xf numFmtId="3" fontId="61" fillId="0" borderId="24" applyAlignment="1" pivotButton="0" quotePrefix="0" xfId="0">
      <alignment horizontal="center" vertical="center"/>
    </xf>
    <xf numFmtId="0" fontId="38" fillId="0" borderId="24" applyAlignment="1" pivotButton="0" quotePrefix="0" xfId="0">
      <alignment horizontal="center" vertical="center"/>
    </xf>
    <xf numFmtId="9" fontId="38" fillId="0" borderId="24" applyAlignment="1" pivotButton="0" quotePrefix="0" xfId="0">
      <alignment horizontal="center" vertical="center"/>
    </xf>
    <xf numFmtId="0" fontId="64" fillId="0" borderId="24" applyAlignment="1" pivotButton="0" quotePrefix="0" xfId="0">
      <alignment horizontal="center" vertical="center"/>
    </xf>
    <xf numFmtId="1" fontId="38" fillId="0" borderId="24" applyAlignment="1" pivotButton="0" quotePrefix="0" xfId="0">
      <alignment horizontal="center" vertical="center"/>
    </xf>
    <xf numFmtId="165" fontId="38" fillId="0" borderId="30" applyAlignment="1" pivotButton="0" quotePrefix="0" xfId="0">
      <alignment horizontal="center" vertical="center"/>
    </xf>
    <xf numFmtId="3" fontId="38" fillId="19" borderId="22" applyAlignment="1" pivotButton="0" quotePrefix="0" xfId="0">
      <alignment horizontal="center" vertical="center"/>
    </xf>
    <xf numFmtId="14" fontId="36" fillId="0" borderId="34" applyAlignment="1" pivotButton="0" quotePrefix="1" xfId="0">
      <alignment horizontal="center"/>
    </xf>
    <xf numFmtId="3" fontId="40" fillId="15" borderId="22" applyAlignment="1" pivotButton="0" quotePrefix="0" xfId="0">
      <alignment horizontal="center" vertical="center"/>
    </xf>
    <xf numFmtId="14" fontId="35" fillId="0" borderId="26" applyAlignment="1" pivotButton="0" quotePrefix="1" xfId="0">
      <alignment horizontal="center"/>
    </xf>
    <xf numFmtId="14" fontId="35" fillId="0" borderId="35" applyAlignment="1" pivotButton="0" quotePrefix="1" xfId="0">
      <alignment horizontal="center"/>
    </xf>
    <xf numFmtId="3" fontId="35" fillId="10" borderId="22" applyAlignment="1" pivotButton="0" quotePrefix="0" xfId="0">
      <alignment horizontal="center" vertical="center"/>
    </xf>
    <xf numFmtId="3" fontId="35" fillId="0" borderId="2" applyAlignment="1" pivotButton="0" quotePrefix="0" xfId="0">
      <alignment horizontal="right" vertical="center"/>
    </xf>
    <xf numFmtId="3" fontId="34" fillId="9" borderId="22" applyAlignment="1" pivotButton="0" quotePrefix="0" xfId="0">
      <alignment horizontal="left"/>
    </xf>
    <xf numFmtId="14" fontId="33" fillId="0" borderId="34" applyAlignment="1" pivotButton="0" quotePrefix="1" xfId="0">
      <alignment horizontal="center"/>
    </xf>
    <xf numFmtId="14" fontId="32" fillId="0" borderId="26" applyAlignment="1" pivotButton="0" quotePrefix="1" xfId="0">
      <alignment horizontal="center"/>
    </xf>
    <xf numFmtId="14" fontId="31" fillId="0" borderId="26" applyAlignment="1" pivotButton="0" quotePrefix="1" xfId="0">
      <alignment horizontal="center"/>
    </xf>
    <xf numFmtId="3" fontId="31" fillId="15" borderId="37" applyAlignment="1" pivotButton="0" quotePrefix="0" xfId="0">
      <alignment horizontal="center" vertical="center"/>
    </xf>
    <xf numFmtId="3" fontId="31" fillId="9" borderId="22" applyAlignment="1" pivotButton="0" quotePrefix="0" xfId="0">
      <alignment horizontal="left"/>
    </xf>
    <xf numFmtId="14" fontId="30" fillId="0" borderId="35" applyAlignment="1" pivotButton="0" quotePrefix="1" xfId="0">
      <alignment horizontal="center"/>
    </xf>
    <xf numFmtId="14" fontId="29" fillId="0" borderId="35" applyAlignment="1" pivotButton="0" quotePrefix="1" xfId="0">
      <alignment horizontal="center"/>
    </xf>
    <xf numFmtId="14" fontId="28" fillId="0" borderId="35" applyAlignment="1" pivotButton="0" quotePrefix="1" xfId="0">
      <alignment horizontal="center"/>
    </xf>
    <xf numFmtId="14" fontId="27" fillId="0" borderId="35" applyAlignment="1" pivotButton="0" quotePrefix="1" xfId="0">
      <alignment horizontal="center"/>
    </xf>
    <xf numFmtId="14" fontId="26" fillId="0" borderId="34" applyAlignment="1" pivotButton="0" quotePrefix="1" xfId="0">
      <alignment horizontal="center"/>
    </xf>
    <xf numFmtId="3" fontId="45" fillId="0" borderId="20" applyAlignment="1" pivotButton="0" quotePrefix="0" xfId="0">
      <alignment horizontal="center" vertical="center"/>
    </xf>
    <xf numFmtId="3" fontId="47" fillId="10" borderId="41" applyAlignment="1" pivotButton="0" quotePrefix="0" xfId="0">
      <alignment horizontal="center" vertical="center"/>
    </xf>
    <xf numFmtId="3" fontId="47" fillId="10" borderId="43" applyAlignment="1" pivotButton="0" quotePrefix="0" xfId="0">
      <alignment horizontal="center" vertical="center"/>
    </xf>
    <xf numFmtId="3" fontId="47" fillId="16" borderId="44" applyAlignment="1" pivotButton="0" quotePrefix="0" xfId="0">
      <alignment horizontal="center" vertical="center"/>
    </xf>
    <xf numFmtId="3" fontId="47" fillId="15" borderId="43" applyAlignment="1" pivotButton="0" quotePrefix="0" xfId="0">
      <alignment horizontal="center" vertical="center"/>
    </xf>
    <xf numFmtId="3" fontId="47" fillId="16" borderId="43" applyAlignment="1" pivotButton="0" quotePrefix="0" xfId="0">
      <alignment horizontal="center" vertical="center"/>
    </xf>
    <xf numFmtId="3" fontId="47" fillId="16" borderId="45" applyAlignment="1" pivotButton="0" quotePrefix="0" xfId="0">
      <alignment horizontal="center" vertical="center"/>
    </xf>
    <xf numFmtId="3" fontId="68" fillId="10" borderId="41" applyAlignment="1" pivotButton="0" quotePrefix="0" xfId="0">
      <alignment horizontal="center" vertical="center"/>
    </xf>
    <xf numFmtId="3" fontId="47" fillId="15" borderId="44" applyAlignment="1" pivotButton="0" quotePrefix="0" xfId="0">
      <alignment horizontal="center" vertical="center"/>
    </xf>
    <xf numFmtId="3" fontId="47" fillId="15" borderId="45" applyAlignment="1" pivotButton="0" quotePrefix="0" xfId="0">
      <alignment horizontal="center" vertical="center"/>
    </xf>
    <xf numFmtId="3" fontId="47" fillId="16" borderId="41" applyAlignment="1" pivotButton="0" quotePrefix="0" xfId="0">
      <alignment horizontal="center" vertical="center"/>
    </xf>
    <xf numFmtId="14" fontId="25" fillId="0" borderId="26" applyAlignment="1" pivotButton="0" quotePrefix="1" xfId="0">
      <alignment horizontal="center"/>
    </xf>
    <xf numFmtId="14" fontId="24" fillId="0" borderId="26" applyAlignment="1" pivotButton="0" quotePrefix="1" xfId="0">
      <alignment horizontal="center"/>
    </xf>
    <xf numFmtId="14" fontId="23" fillId="0" borderId="35" applyAlignment="1" pivotButton="0" quotePrefix="1" xfId="0">
      <alignment horizontal="center"/>
    </xf>
    <xf numFmtId="14" fontId="22" fillId="0" borderId="34" applyAlignment="1" pivotButton="0" quotePrefix="1" xfId="0">
      <alignment horizontal="center"/>
    </xf>
    <xf numFmtId="14" fontId="22" fillId="0" borderId="26" applyAlignment="1" pivotButton="0" quotePrefix="1" xfId="0">
      <alignment horizontal="center"/>
    </xf>
    <xf numFmtId="14" fontId="49" fillId="0" borderId="23" applyAlignment="1" pivotButton="0" quotePrefix="1" xfId="0">
      <alignment horizontal="center"/>
    </xf>
    <xf numFmtId="14" fontId="49" fillId="0" borderId="46" applyAlignment="1" pivotButton="0" quotePrefix="1" xfId="0">
      <alignment horizontal="center"/>
    </xf>
    <xf numFmtId="3" fontId="21" fillId="9" borderId="22" applyAlignment="1" pivotButton="0" quotePrefix="0" xfId="0">
      <alignment horizontal="left"/>
    </xf>
    <xf numFmtId="14" fontId="21" fillId="0" borderId="26" applyAlignment="1" pivotButton="0" quotePrefix="1" xfId="0">
      <alignment horizontal="center"/>
    </xf>
    <xf numFmtId="0" fontId="21" fillId="4" borderId="22" applyAlignment="1" pivotButton="0" quotePrefix="0" xfId="0">
      <alignment vertical="center"/>
    </xf>
    <xf numFmtId="3" fontId="21" fillId="15" borderId="22" applyAlignment="1" pivotButton="0" quotePrefix="0" xfId="0">
      <alignment horizontal="center" vertical="center"/>
    </xf>
    <xf numFmtId="14" fontId="21" fillId="0" borderId="35" applyAlignment="1" pivotButton="0" quotePrefix="1" xfId="0">
      <alignment horizontal="center"/>
    </xf>
    <xf numFmtId="14" fontId="21" fillId="0" borderId="34" applyAlignment="1" pivotButton="0" quotePrefix="1" xfId="0">
      <alignment horizontal="center"/>
    </xf>
    <xf numFmtId="3" fontId="21" fillId="15" borderId="37" applyAlignment="1" pivotButton="0" quotePrefix="0" xfId="0">
      <alignment horizontal="center" vertical="center"/>
    </xf>
    <xf numFmtId="3" fontId="21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40" fillId="21" borderId="22" applyAlignment="1" pivotButton="0" quotePrefix="0" xfId="0">
      <alignment vertical="center"/>
    </xf>
    <xf numFmtId="0" fontId="40" fillId="21" borderId="24" applyAlignment="1" pivotButton="0" quotePrefix="0" xfId="0">
      <alignment horizontal="left" vertical="center"/>
    </xf>
    <xf numFmtId="3" fontId="40" fillId="20" borderId="36" applyAlignment="1" pivotButton="0" quotePrefix="0" xfId="0">
      <alignment horizontal="center" vertical="center"/>
    </xf>
    <xf numFmtId="3" fontId="21" fillId="9" borderId="24" applyAlignment="1" pivotButton="0" quotePrefix="0" xfId="0">
      <alignment horizontal="left"/>
    </xf>
    <xf numFmtId="166" fontId="38" fillId="4" borderId="22" pivotButton="0" quotePrefix="0" xfId="0"/>
    <xf numFmtId="166" fontId="38" fillId="4" borderId="24" applyAlignment="1" pivotButton="0" quotePrefix="0" xfId="0">
      <alignment horizontal="center"/>
    </xf>
    <xf numFmtId="166" fontId="38" fillId="4" borderId="36" applyAlignment="1" pivotButton="0" quotePrefix="0" xfId="0">
      <alignment horizontal="center"/>
    </xf>
    <xf numFmtId="166" fontId="38" fillId="0" borderId="22" pivotButton="0" quotePrefix="0" xfId="0"/>
    <xf numFmtId="3" fontId="21" fillId="4" borderId="37" applyAlignment="1" pivotButton="0" quotePrefix="0" xfId="0">
      <alignment horizontal="center" vertical="center"/>
    </xf>
    <xf numFmtId="14" fontId="19" fillId="0" borderId="26" applyAlignment="1" pivotButton="0" quotePrefix="1" xfId="0">
      <alignment horizontal="center"/>
    </xf>
    <xf numFmtId="14" fontId="18" fillId="0" borderId="26" applyAlignment="1" pivotButton="0" quotePrefix="1" xfId="0">
      <alignment horizontal="center"/>
    </xf>
    <xf numFmtId="14" fontId="18" fillId="0" borderId="35" applyAlignment="1" pivotButton="0" quotePrefix="1" xfId="0">
      <alignment horizontal="center"/>
    </xf>
    <xf numFmtId="14" fontId="17" fillId="0" borderId="34" applyAlignment="1" pivotButton="0" quotePrefix="1" xfId="0">
      <alignment horizontal="center"/>
    </xf>
    <xf numFmtId="14" fontId="17" fillId="0" borderId="26" applyAlignment="1" pivotButton="0" quotePrefix="1" xfId="0">
      <alignment horizontal="center"/>
    </xf>
    <xf numFmtId="14" fontId="15" fillId="0" borderId="26" applyAlignment="1" pivotButton="0" quotePrefix="1" xfId="0">
      <alignment horizontal="center"/>
    </xf>
    <xf numFmtId="14" fontId="14" fillId="0" borderId="35" applyAlignment="1" pivotButton="0" quotePrefix="1" xfId="0">
      <alignment horizontal="center"/>
    </xf>
    <xf numFmtId="3" fontId="14" fillId="0" borderId="0" pivotButton="0" quotePrefix="0" xfId="0"/>
    <xf numFmtId="3" fontId="14" fillId="9" borderId="3" applyAlignment="1" pivotButton="0" quotePrefix="0" xfId="0">
      <alignment horizontal="left"/>
    </xf>
    <xf numFmtId="3" fontId="14" fillId="9" borderId="22" applyAlignment="1" pivotButton="0" quotePrefix="0" xfId="0">
      <alignment horizontal="left"/>
    </xf>
    <xf numFmtId="0" fontId="16" fillId="16" borderId="22" pivotButton="0" quotePrefix="0" xfId="0"/>
    <xf numFmtId="0" fontId="16" fillId="16" borderId="36" pivotButton="0" quotePrefix="0" xfId="0"/>
    <xf numFmtId="3" fontId="13" fillId="17" borderId="36" applyAlignment="1" pivotButton="0" quotePrefix="0" xfId="0">
      <alignment horizontal="center"/>
    </xf>
    <xf numFmtId="3" fontId="13" fillId="17" borderId="22" applyAlignment="1" pivotButton="0" quotePrefix="0" xfId="0">
      <alignment horizontal="center"/>
    </xf>
    <xf numFmtId="3" fontId="13" fillId="17" borderId="37" applyAlignment="1" pivotButton="0" quotePrefix="0" xfId="0">
      <alignment horizontal="center"/>
    </xf>
    <xf numFmtId="0" fontId="13" fillId="16" borderId="22" pivotButton="0" quotePrefix="0" xfId="0"/>
    <xf numFmtId="0" fontId="13" fillId="16" borderId="36" pivotButton="0" quotePrefix="0" xfId="0"/>
    <xf numFmtId="3" fontId="13" fillId="9" borderId="3" applyAlignment="1" pivotButton="0" quotePrefix="0" xfId="0">
      <alignment horizontal="left"/>
    </xf>
    <xf numFmtId="3" fontId="13" fillId="9" borderId="22" applyAlignment="1" pivotButton="0" quotePrefix="0" xfId="0">
      <alignment horizontal="left"/>
    </xf>
    <xf numFmtId="14" fontId="12" fillId="0" borderId="34" applyAlignment="1" pivotButton="0" quotePrefix="1" xfId="0">
      <alignment horizontal="center"/>
    </xf>
    <xf numFmtId="14" fontId="11" fillId="0" borderId="26" applyAlignment="1" pivotButton="0" quotePrefix="1" xfId="0">
      <alignment horizontal="center"/>
    </xf>
    <xf numFmtId="14" fontId="10" fillId="0" borderId="26" applyAlignment="1" pivotButton="0" quotePrefix="1" xfId="0">
      <alignment horizontal="center"/>
    </xf>
    <xf numFmtId="14" fontId="9" fillId="0" borderId="26" applyAlignment="1" pivotButton="0" quotePrefix="1" xfId="0">
      <alignment horizontal="center"/>
    </xf>
    <xf numFmtId="14" fontId="8" fillId="0" borderId="35" applyAlignment="1" pivotButton="0" quotePrefix="1" xfId="0">
      <alignment horizontal="center"/>
    </xf>
    <xf numFmtId="14" fontId="7" fillId="0" borderId="34" applyAlignment="1" pivotButton="0" quotePrefix="1" xfId="0">
      <alignment horizontal="center"/>
    </xf>
    <xf numFmtId="14" fontId="6" fillId="0" borderId="26" applyAlignment="1" pivotButton="0" quotePrefix="1" xfId="0">
      <alignment horizontal="center"/>
    </xf>
    <xf numFmtId="14" fontId="5" fillId="0" borderId="31" applyAlignment="1" pivotButton="0" quotePrefix="1" xfId="0">
      <alignment horizontal="center"/>
    </xf>
    <xf numFmtId="14" fontId="4" fillId="0" borderId="34" applyAlignment="1" pivotButton="0" quotePrefix="1" xfId="0">
      <alignment horizontal="center"/>
    </xf>
    <xf numFmtId="14" fontId="3" fillId="0" borderId="26" applyAlignment="1" pivotButton="0" quotePrefix="1" xfId="0">
      <alignment horizontal="center"/>
    </xf>
    <xf numFmtId="0" fontId="38" fillId="5" borderId="23" pivotButton="0" quotePrefix="0" xfId="0"/>
    <xf numFmtId="0" fontId="60" fillId="0" borderId="23" pivotButton="0" quotePrefix="0" xfId="0"/>
    <xf numFmtId="14" fontId="2" fillId="0" borderId="34" applyAlignment="1" pivotButton="0" quotePrefix="1" xfId="0">
      <alignment horizontal="center"/>
    </xf>
    <xf numFmtId="3" fontId="20" fillId="15" borderId="22" applyAlignment="1" pivotButton="0" quotePrefix="0" xfId="0">
      <alignment horizontal="center" vertical="center"/>
    </xf>
    <xf numFmtId="3" fontId="20" fillId="16" borderId="22" applyAlignment="1" pivotButton="0" quotePrefix="0" xfId="0">
      <alignment horizontal="center" vertical="center"/>
    </xf>
    <xf numFmtId="3" fontId="20" fillId="7" borderId="36" applyAlignment="1" pivotButton="0" quotePrefix="0" xfId="0">
      <alignment horizontal="center" vertical="center"/>
    </xf>
    <xf numFmtId="3" fontId="20" fillId="7" borderId="22" applyAlignment="1" pivotButton="0" quotePrefix="0" xfId="0">
      <alignment horizontal="center" vertical="center"/>
    </xf>
    <xf numFmtId="3" fontId="43" fillId="15" borderId="22" applyAlignment="1" pivotButton="0" quotePrefix="0" xfId="0">
      <alignment horizontal="center"/>
    </xf>
    <xf numFmtId="3" fontId="20" fillId="4" borderId="22" applyAlignment="1" pivotButton="0" quotePrefix="0" xfId="0">
      <alignment horizontal="center"/>
    </xf>
    <xf numFmtId="3" fontId="20" fillId="15" borderId="36" applyAlignment="1" pivotButton="0" quotePrefix="0" xfId="0">
      <alignment horizontal="center" vertical="center"/>
    </xf>
    <xf numFmtId="3" fontId="20" fillId="15" borderId="22" applyAlignment="1" pivotButton="0" quotePrefix="0" xfId="0">
      <alignment horizontal="center"/>
    </xf>
    <xf numFmtId="3" fontId="20" fillId="17" borderId="22" applyAlignment="1" pivotButton="0" quotePrefix="0" xfId="0">
      <alignment horizontal="center"/>
    </xf>
    <xf numFmtId="1" fontId="38" fillId="0" borderId="25" applyAlignment="1" pivotButton="0" quotePrefix="0" xfId="0">
      <alignment horizontal="center" vertical="center"/>
    </xf>
    <xf numFmtId="0" fontId="38" fillId="0" borderId="25" applyAlignment="1" pivotButton="0" quotePrefix="0" xfId="0">
      <alignment horizontal="center" vertical="center"/>
    </xf>
    <xf numFmtId="14" fontId="38" fillId="0" borderId="33" applyAlignment="1" pivotButton="0" quotePrefix="1" xfId="0">
      <alignment horizontal="center" vertical="center"/>
    </xf>
    <xf numFmtId="3" fontId="38" fillId="0" borderId="25" applyAlignment="1" pivotButton="0" quotePrefix="0" xfId="0">
      <alignment horizontal="center" vertical="center"/>
    </xf>
    <xf numFmtId="9" fontId="38" fillId="4" borderId="36" applyAlignment="1" pivotButton="0" quotePrefix="0" xfId="0">
      <alignment horizontal="center" vertical="center"/>
    </xf>
    <xf numFmtId="9" fontId="38" fillId="9" borderId="22" applyAlignment="1" pivotButton="0" quotePrefix="0" xfId="0">
      <alignment horizontal="center" vertical="center"/>
    </xf>
    <xf numFmtId="0" fontId="1" fillId="0" borderId="42" applyAlignment="1" pivotButton="0" quotePrefix="1" xfId="0">
      <alignment horizontal="center" vertical="center" wrapText="1"/>
    </xf>
    <xf numFmtId="0" fontId="1" fillId="0" borderId="0" pivotButton="0" quotePrefix="0" xfId="0"/>
    <xf numFmtId="0" fontId="42" fillId="5" borderId="47" pivotButton="0" quotePrefix="0" xfId="0"/>
    <xf numFmtId="0" fontId="44" fillId="0" borderId="16" pivotButton="0" quotePrefix="0" xfId="0"/>
    <xf numFmtId="0" fontId="47" fillId="4" borderId="23" applyAlignment="1" pivotButton="0" quotePrefix="1" xfId="0">
      <alignment horizontal="center" vertical="center"/>
    </xf>
    <xf numFmtId="0" fontId="47" fillId="4" borderId="23" applyAlignment="1" pivotButton="0" quotePrefix="1" xfId="0">
      <alignment horizontal="center" vertical="center" wrapText="1"/>
    </xf>
    <xf numFmtId="0" fontId="38" fillId="0" borderId="23" applyAlignment="1" pivotButton="0" quotePrefix="1" xfId="0">
      <alignment horizontal="center" vertical="center" wrapText="1"/>
    </xf>
    <xf numFmtId="0" fontId="70" fillId="0" borderId="20" pivotButton="0" quotePrefix="0" xfId="1"/>
    <xf numFmtId="0" fontId="74" fillId="23" borderId="8" applyAlignment="1" pivotButton="0" quotePrefix="0" xfId="1">
      <alignment horizontal="center" vertical="top"/>
    </xf>
    <xf numFmtId="49" fontId="72" fillId="0" borderId="48" applyAlignment="1" pivotButton="0" quotePrefix="0" xfId="1">
      <alignment horizontal="left" vertical="top"/>
    </xf>
    <xf numFmtId="0" fontId="72" fillId="0" borderId="48" applyAlignment="1" pivotButton="0" quotePrefix="0" xfId="1">
      <alignment vertical="top"/>
    </xf>
    <xf numFmtId="43" fontId="72" fillId="0" borderId="48" applyAlignment="1" pivotButton="0" quotePrefix="0" xfId="1">
      <alignment horizontal="right" vertical="top"/>
    </xf>
    <xf numFmtId="43" fontId="75" fillId="0" borderId="48" applyAlignment="1" pivotButton="0" quotePrefix="0" xfId="1">
      <alignment horizontal="right" vertical="top"/>
    </xf>
    <xf numFmtId="10" fontId="72" fillId="0" borderId="48" applyAlignment="1" pivotButton="0" quotePrefix="0" xfId="1">
      <alignment horizontal="right" vertical="top"/>
    </xf>
    <xf numFmtId="0" fontId="74" fillId="26" borderId="8" applyAlignment="1" pivotButton="0" quotePrefix="0" xfId="1">
      <alignment horizontal="center" vertical="top"/>
    </xf>
    <xf numFmtId="3" fontId="72" fillId="0" borderId="48" applyAlignment="1" pivotButton="0" quotePrefix="0" xfId="1">
      <alignment horizontal="right" vertical="top"/>
    </xf>
    <xf numFmtId="10" fontId="72" fillId="0" borderId="48" applyAlignment="1" pivotButton="0" quotePrefix="0" xfId="1">
      <alignment horizontal="center" vertical="top"/>
    </xf>
    <xf numFmtId="49" fontId="72" fillId="27" borderId="48" applyAlignment="1" pivotButton="0" quotePrefix="0" xfId="1">
      <alignment horizontal="left" vertical="top"/>
    </xf>
    <xf numFmtId="0" fontId="72" fillId="27" borderId="48" applyAlignment="1" pivotButton="0" quotePrefix="0" xfId="1">
      <alignment vertical="top"/>
    </xf>
    <xf numFmtId="43" fontId="75" fillId="27" borderId="48" applyAlignment="1" pivotButton="0" quotePrefix="0" xfId="1">
      <alignment horizontal="right" vertical="top"/>
    </xf>
    <xf numFmtId="10" fontId="72" fillId="27" borderId="48" applyAlignment="1" pivotButton="0" quotePrefix="0" xfId="1">
      <alignment horizontal="center" vertical="top"/>
    </xf>
    <xf numFmtId="49" fontId="72" fillId="0" borderId="48" applyAlignment="1" pivotButton="0" quotePrefix="0" xfId="1">
      <alignment horizontal="center" vertical="top"/>
    </xf>
    <xf numFmtId="0" fontId="74" fillId="29" borderId="8" applyAlignment="1" pivotButton="0" quotePrefix="0" xfId="1">
      <alignment horizontal="center" vertical="top"/>
    </xf>
    <xf numFmtId="0" fontId="74" fillId="30" borderId="49" applyAlignment="1" pivotButton="0" quotePrefix="0" xfId="1">
      <alignment horizontal="left" vertical="top"/>
    </xf>
    <xf numFmtId="0" fontId="74" fillId="30" borderId="49" applyAlignment="1" pivotButton="0" quotePrefix="0" xfId="1">
      <alignment vertical="top"/>
    </xf>
    <xf numFmtId="0" fontId="74" fillId="32" borderId="8" applyAlignment="1" pivotButton="0" quotePrefix="0" xfId="1">
      <alignment horizontal="center" vertical="top"/>
    </xf>
    <xf numFmtId="166" fontId="38" fillId="4" borderId="36" applyAlignment="1" pivotButton="0" quotePrefix="0" xfId="0">
      <alignment horizontal="center" vertical="center"/>
    </xf>
    <xf numFmtId="9" fontId="38" fillId="9" borderId="3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40" fillId="4" borderId="50" applyAlignment="1" pivotButton="0" quotePrefix="0" xfId="0">
      <alignment horizontal="center" vertical="center"/>
    </xf>
    <xf numFmtId="0" fontId="40" fillId="4" borderId="51" applyAlignment="1" pivotButton="0" quotePrefix="0" xfId="0">
      <alignment horizontal="center" vertical="center"/>
    </xf>
    <xf numFmtId="0" fontId="38" fillId="0" borderId="52" applyAlignment="1" pivotButton="0" quotePrefix="0" xfId="0">
      <alignment horizontal="center" vertical="center"/>
    </xf>
    <xf numFmtId="3" fontId="59" fillId="6" borderId="53" applyAlignment="1" pivotButton="0" quotePrefix="0" xfId="0">
      <alignment horizontal="center" vertical="center"/>
    </xf>
    <xf numFmtId="3" fontId="38" fillId="4" borderId="51" applyAlignment="1" pivotButton="0" quotePrefix="0" xfId="0">
      <alignment horizontal="center" vertical="center"/>
    </xf>
    <xf numFmtId="3" fontId="38" fillId="0" borderId="51" applyAlignment="1" pivotButton="0" quotePrefix="0" xfId="0">
      <alignment horizontal="center" vertical="center"/>
    </xf>
    <xf numFmtId="3" fontId="40" fillId="0" borderId="54" applyAlignment="1" pivotButton="0" quotePrefix="0" xfId="0">
      <alignment horizontal="center"/>
    </xf>
    <xf numFmtId="3" fontId="38" fillId="0" borderId="51" applyAlignment="1" pivotButton="0" quotePrefix="0" xfId="0">
      <alignment horizontal="center"/>
    </xf>
    <xf numFmtId="9" fontId="38" fillId="0" borderId="51" applyAlignment="1" pivotButton="0" quotePrefix="0" xfId="0">
      <alignment horizontal="center"/>
    </xf>
    <xf numFmtId="3" fontId="40" fillId="0" borderId="51" applyAlignment="1" pivotButton="0" quotePrefix="0" xfId="0">
      <alignment horizontal="center"/>
    </xf>
    <xf numFmtId="166" fontId="38" fillId="0" borderId="51" applyAlignment="1" pivotButton="0" quotePrefix="0" xfId="0">
      <alignment horizontal="center"/>
    </xf>
    <xf numFmtId="3" fontId="40" fillId="8" borderId="54" applyAlignment="1" pivotButton="0" quotePrefix="0" xfId="0">
      <alignment horizontal="center"/>
    </xf>
    <xf numFmtId="0" fontId="38" fillId="0" borderId="51" applyAlignment="1" pivotButton="0" quotePrefix="0" xfId="0">
      <alignment horizontal="center" vertical="center"/>
    </xf>
    <xf numFmtId="9" fontId="38" fillId="0" borderId="51" applyAlignment="1" pivotButton="0" quotePrefix="0" xfId="0">
      <alignment horizontal="center" vertical="center"/>
    </xf>
    <xf numFmtId="3" fontId="38" fillId="9" borderId="51" applyAlignment="1" pivotButton="0" quotePrefix="0" xfId="0">
      <alignment horizontal="center"/>
    </xf>
    <xf numFmtId="3" fontId="40" fillId="0" borderId="54" applyAlignment="1" pivotButton="0" quotePrefix="0" xfId="0">
      <alignment horizontal="center" vertical="center"/>
    </xf>
    <xf numFmtId="9" fontId="38" fillId="9" borderId="51" applyAlignment="1" pivotButton="0" quotePrefix="0" xfId="0">
      <alignment horizontal="center"/>
    </xf>
    <xf numFmtId="3" fontId="40" fillId="0" borderId="51" applyAlignment="1" pivotButton="0" quotePrefix="0" xfId="0">
      <alignment horizontal="center" vertical="center"/>
    </xf>
    <xf numFmtId="3" fontId="67" fillId="9" borderId="51" applyAlignment="1" pivotButton="0" quotePrefix="0" xfId="0">
      <alignment horizontal="center"/>
    </xf>
    <xf numFmtId="3" fontId="40" fillId="4" borderId="54" applyAlignment="1" pivotButton="0" quotePrefix="0" xfId="0">
      <alignment horizontal="center" vertical="center"/>
    </xf>
    <xf numFmtId="1" fontId="38" fillId="0" borderId="51" applyAlignment="1" pivotButton="0" quotePrefix="0" xfId="0">
      <alignment horizontal="center" vertical="center"/>
    </xf>
    <xf numFmtId="3" fontId="38" fillId="0" borderId="55" applyAlignment="1" pivotButton="0" quotePrefix="0" xfId="0">
      <alignment horizontal="center" vertical="center"/>
    </xf>
    <xf numFmtId="3" fontId="74" fillId="30" borderId="49" applyAlignment="1" pivotButton="0" quotePrefix="0" xfId="1">
      <alignment horizontal="right" vertical="top"/>
    </xf>
    <xf numFmtId="10" fontId="72" fillId="0" borderId="56" applyAlignment="1" pivotButton="0" quotePrefix="0" xfId="1">
      <alignment horizontal="center" vertical="top"/>
    </xf>
    <xf numFmtId="10" fontId="76" fillId="33" borderId="57" applyAlignment="1" pivotButton="0" quotePrefix="0" xfId="1">
      <alignment horizontal="center" vertical="top"/>
    </xf>
    <xf numFmtId="0" fontId="73" fillId="31" borderId="20" applyAlignment="1" pivotButton="0" quotePrefix="0" xfId="1">
      <alignment vertical="top"/>
    </xf>
    <xf numFmtId="0" fontId="70" fillId="0" borderId="20" pivotButton="0" quotePrefix="0" xfId="1"/>
    <xf numFmtId="0" fontId="71" fillId="22" borderId="20" applyAlignment="1" pivotButton="0" quotePrefix="0" xfId="1">
      <alignment horizontal="center" vertical="center"/>
    </xf>
    <xf numFmtId="167" fontId="72" fillId="23" borderId="20" applyAlignment="1" pivotButton="0" quotePrefix="0" xfId="1">
      <alignment horizontal="center" vertical="top"/>
    </xf>
    <xf numFmtId="0" fontId="73" fillId="24" borderId="20" applyAlignment="1" pivotButton="0" quotePrefix="0" xfId="1">
      <alignment vertical="top"/>
    </xf>
    <xf numFmtId="0" fontId="73" fillId="25" borderId="20" applyAlignment="1" pivotButton="0" quotePrefix="0" xfId="1">
      <alignment vertical="top"/>
    </xf>
    <xf numFmtId="0" fontId="73" fillId="28" borderId="20" applyAlignment="1" pivotButton="0" quotePrefix="0" xfId="1">
      <alignment vertical="top"/>
    </xf>
    <xf numFmtId="0" fontId="40" fillId="5" borderId="5" applyAlignment="1" pivotButton="0" quotePrefix="0" xfId="0">
      <alignment horizontal="center" vertical="center"/>
    </xf>
    <xf numFmtId="0" fontId="60" fillId="0" borderId="6" pivotButton="0" quotePrefix="0" xfId="0"/>
    <xf numFmtId="0" fontId="60" fillId="0" borderId="7" pivotButton="0" quotePrefix="0" xfId="0"/>
    <xf numFmtId="0" fontId="38" fillId="5" borderId="23" applyAlignment="1" pivotButton="0" quotePrefix="0" xfId="0">
      <alignment horizontal="center"/>
    </xf>
    <xf numFmtId="0" fontId="60" fillId="0" borderId="23" pivotButton="0" quotePrefix="0" xfId="0"/>
    <xf numFmtId="0" fontId="60" fillId="0" borderId="41" pivotButton="0" quotePrefix="0" xfId="0"/>
    <xf numFmtId="3" fontId="38" fillId="5" borderId="23" applyAlignment="1" pivotButton="0" quotePrefix="0" xfId="0">
      <alignment horizontal="center"/>
    </xf>
    <xf numFmtId="1" fontId="63" fillId="15" borderId="22" applyAlignment="1" pivotButton="0" quotePrefix="0" xfId="0">
      <alignment vertical="center" wrapText="1"/>
    </xf>
    <xf numFmtId="1" fontId="38" fillId="16" borderId="24" pivotButton="0" quotePrefix="0" xfId="0"/>
    <xf numFmtId="3" fontId="38" fillId="5" borderId="27" applyAlignment="1" pivotButton="0" quotePrefix="0" xfId="0">
      <alignment horizontal="center"/>
    </xf>
    <xf numFmtId="0" fontId="60" fillId="0" borderId="28" pivotButton="0" quotePrefix="0" xfId="0"/>
    <xf numFmtId="0" fontId="60" fillId="0" borderId="29" pivotButton="0" quotePrefix="0" xfId="0"/>
    <xf numFmtId="3" fontId="53" fillId="2" borderId="2" applyAlignment="1" pivotButton="0" quotePrefix="0" xfId="0">
      <alignment horizontal="left" vertical="center" wrapText="1"/>
    </xf>
    <xf numFmtId="0" fontId="44" fillId="0" borderId="2" pivotButton="0" quotePrefix="0" xfId="0"/>
    <xf numFmtId="3" fontId="47" fillId="5" borderId="12" applyAlignment="1" pivotButton="0" quotePrefix="0" xfId="0">
      <alignment horizontal="center"/>
    </xf>
    <xf numFmtId="0" fontId="44" fillId="0" borderId="20" pivotButton="0" quotePrefix="0" xfId="0"/>
    <xf numFmtId="0" fontId="44" fillId="0" borderId="21" pivotButton="0" quotePrefix="0" xfId="0"/>
    <xf numFmtId="3" fontId="47" fillId="5" borderId="47" applyAlignment="1" pivotButton="0" quotePrefix="0" xfId="0">
      <alignment horizontal="center"/>
    </xf>
    <xf numFmtId="0" fontId="44" fillId="0" borderId="16" pivotButton="0" quotePrefix="0" xfId="0"/>
    <xf numFmtId="0" fontId="44" fillId="0" borderId="15" pivotButton="0" quotePrefix="0" xfId="0"/>
    <xf numFmtId="0" fontId="69" fillId="4" borderId="41" applyAlignment="1" pivotButton="0" quotePrefix="0" xfId="0">
      <alignment horizontal="center" vertical="center" wrapText="1"/>
    </xf>
    <xf numFmtId="0" fontId="69" fillId="4" borderId="32" applyAlignment="1" pivotButton="0" quotePrefix="0" xfId="0">
      <alignment horizontal="center" vertical="center" wrapText="1"/>
    </xf>
    <xf numFmtId="0" fontId="42" fillId="5" borderId="47" applyAlignment="1" pivotButton="0" quotePrefix="0" xfId="0">
      <alignment horizontal="center"/>
    </xf>
    <xf numFmtId="0" fontId="41" fillId="5" borderId="47" applyAlignment="1" pivotButton="0" quotePrefix="0" xfId="0">
      <alignment horizontal="center"/>
    </xf>
    <xf numFmtId="0" fontId="42" fillId="5" borderId="12" applyAlignment="1" pivotButton="0" quotePrefix="0" xfId="0">
      <alignment horizontal="center"/>
    </xf>
    <xf numFmtId="0" fontId="45" fillId="5" borderId="6" applyAlignment="1" pivotButton="0" quotePrefix="0" xfId="0">
      <alignment horizontal="center" vertical="center"/>
    </xf>
    <xf numFmtId="0" fontId="44" fillId="0" borderId="6" pivotButton="0" quotePrefix="0" xfId="0"/>
    <xf numFmtId="0" fontId="44" fillId="0" borderId="7" pivotButton="0" quotePrefix="0" xfId="0"/>
    <xf numFmtId="0" fontId="42" fillId="0" borderId="0" applyAlignment="1" pivotButton="0" quotePrefix="0" xfId="0">
      <alignment horizontal="center" vertical="top" wrapText="1"/>
    </xf>
    <xf numFmtId="43" fontId="72" fillId="0" borderId="48" applyAlignment="1" pivotButton="0" quotePrefix="0" xfId="1">
      <alignment horizontal="right" vertical="top"/>
    </xf>
    <xf numFmtId="43" fontId="75" fillId="0" borderId="48" applyAlignment="1" pivotButton="0" quotePrefix="0" xfId="1">
      <alignment horizontal="right" vertical="top"/>
    </xf>
    <xf numFmtId="43" fontId="75" fillId="27" borderId="48" applyAlignment="1" pivotButton="0" quotePrefix="0" xfId="1">
      <alignment horizontal="right" vertical="top"/>
    </xf>
    <xf numFmtId="0" fontId="40" fillId="5" borderId="20" applyAlignment="1" pivotButton="0" quotePrefix="0" xfId="0">
      <alignment horizontal="center" vertical="center"/>
    </xf>
    <xf numFmtId="166" fontId="38" fillId="0" borderId="0" applyAlignment="1" pivotButton="0" quotePrefix="0" xfId="0">
      <alignment horizontal="center"/>
    </xf>
    <xf numFmtId="166" fontId="38" fillId="0" borderId="51" applyAlignment="1" pivotButton="0" quotePrefix="0" xfId="0">
      <alignment horizontal="center"/>
    </xf>
    <xf numFmtId="0" fontId="0" fillId="0" borderId="25" pivotButton="0" quotePrefix="0" xfId="0"/>
    <xf numFmtId="0" fontId="0" fillId="0" borderId="43" pivotButton="0" quotePrefix="0" xfId="0"/>
    <xf numFmtId="0" fontId="0" fillId="0" borderId="32" pivotButton="0" quotePrefix="0" xfId="0"/>
    <xf numFmtId="0" fontId="0" fillId="0" borderId="63" pivotButton="0" quotePrefix="0" xfId="0"/>
    <xf numFmtId="0" fontId="69" fillId="4" borderId="23" applyAlignment="1" pivotButton="0" quotePrefix="0" xfId="0">
      <alignment horizontal="center" vertical="center" wrapText="1"/>
    </xf>
    <xf numFmtId="3" fontId="47" fillId="5" borderId="65" applyAlignment="1" pivotButton="0" quotePrefix="0" xfId="0">
      <alignment horizontal="center"/>
    </xf>
    <xf numFmtId="0" fontId="0" fillId="0" borderId="21" pivotButton="0" quotePrefix="0" xfId="0"/>
    <xf numFmtId="3" fontId="47" fillId="5" borderId="64" applyAlignment="1" pivotButton="0" quotePrefix="0" xfId="0">
      <alignment horizontal="center"/>
    </xf>
    <xf numFmtId="0" fontId="0" fillId="0" borderId="16" pivotButton="0" quotePrefix="0" xfId="0"/>
    <xf numFmtId="0" fontId="0" fillId="0" borderId="15" pivotButton="0" quotePrefix="0" xfId="0"/>
    <xf numFmtId="0" fontId="42" fillId="5" borderId="64" applyAlignment="1" pivotButton="0" quotePrefix="0" xfId="0">
      <alignment horizontal="center"/>
    </xf>
    <xf numFmtId="0" fontId="41" fillId="5" borderId="64" applyAlignment="1" pivotButton="0" quotePrefix="0" xfId="0">
      <alignment horizontal="center"/>
    </xf>
    <xf numFmtId="3" fontId="53" fillId="2" borderId="21" applyAlignment="1" pivotButton="0" quotePrefix="0" xfId="0">
      <alignment horizontal="left" vertical="center" wrapText="1"/>
    </xf>
    <xf numFmtId="164" fontId="50" fillId="0" borderId="12" applyAlignment="1" pivotButton="0" quotePrefix="0" xfId="0">
      <alignment horizontal="center" vertical="center"/>
    </xf>
    <xf numFmtId="164" fontId="50" fillId="0" borderId="0" applyAlignment="1" pivotButton="0" quotePrefix="0" xfId="0">
      <alignment horizontal="center" vertical="center"/>
    </xf>
    <xf numFmtId="164" fontId="50" fillId="0" borderId="2" applyAlignment="1" pivotButton="0" quotePrefix="0" xfId="0">
      <alignment horizontal="center" vertical="center"/>
    </xf>
    <xf numFmtId="0" fontId="45" fillId="5" borderId="20" applyAlignment="1" pivotButton="0" quotePrefix="0" xfId="0">
      <alignment horizontal="center" vertical="center"/>
    </xf>
  </cellXfs>
  <cellStyles count="2">
    <cellStyle name="Обычный" xfId="0" builtinId="0"/>
    <cellStyle name="Обычный 2" xfId="1"/>
  </cellStyles>
  <dxfs count="174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/>
      </fill>
    </dxf>
    <dxf>
      <font>
        <color rgb="FF9C0006"/>
      </font>
      <fill>
        <patternFill/>
      </fill>
    </dxf>
    <dxf>
      <font>
        <color rgb="FF9C0006"/>
      </font>
      <fill>
        <patternFill/>
      </fill>
    </dxf>
    <dxf>
      <fill>
        <patternFill patternType="solid">
          <fgColor rgb="FFC5E0B3"/>
          <bgColor rgb="FFC5E0B3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ont>
        <color rgb="FF9C0006"/>
      </font>
      <fill>
        <patternFill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/>
      </fill>
    </dxf>
    <dxf>
      <font>
        <color rgb="FF9C0006"/>
      </font>
      <fill>
        <patternFill/>
      </fill>
    </dxf>
    <dxf>
      <font>
        <color rgb="FF9C0006"/>
      </font>
      <fill>
        <patternFill/>
      </fill>
    </dxf>
    <dxf>
      <fill>
        <patternFill patternType="solid">
          <fgColor rgb="FFC5E0B3"/>
          <bgColor rgb="FFC5E0B3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/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/>
      </fill>
    </dxf>
    <dxf>
      <font>
        <name val="Calibri"/>
        <charset val="204"/>
        <family val="2"/>
        <strike val="0"/>
        <outline val="0"/>
        <shadow val="0"/>
        <sz val="11"/>
        <vertAlign val="baseline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/>
      <border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/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</font>
      <border outline="0">
        <left style="thin">
          <color rgb="FFD9D9D9"/>
        </left>
        <right style="thin">
          <color rgb="FFD9D9D9"/>
        </right>
        <top/>
        <bottom/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/>
        <bottom/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/>
      <border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/>
      <border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/>
      <border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/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  <right style="thin">
          <color theme="0" tint="-0.1499679555650502"/>
        </right>
        <top style="thin">
          <color theme="0" tint="-0.1499679555650502"/>
        </top>
        <bottom style="thin">
          <color theme="0" tint="-0.1499679555650502"/>
        </bottom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/>
        <bottom/>
      </border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charset val="204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theme="0" tint="-0.1499679555650502"/>
        </left>
        <right style="thin">
          <color theme="0" tint="-0.1499679555650502"/>
        </right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 defaultTableStyle="TableStyleMedium9" defaultPivotStyle="PivotStyleLight16">
    <tableStyle name="PL факт (нед)-style" pivot="0" count="3">
      <tableStyleElement type="headerRow" dxfId="173"/>
      <tableStyleElement type="firstRowStripe" dxfId="172"/>
      <tableStyleElement type="secondRowStripe" dxfId="171"/>
    </tableStyle>
    <tableStyle name="PL факт (нед)-style 2" pivot="0" count="3">
      <tableStyleElement type="headerRow" dxfId="170"/>
      <tableStyleElement type="firstRowStripe" dxfId="169"/>
      <tableStyleElement type="secondRowStripe" dxfId="168"/>
    </tableStyle>
    <tableStyle name="PL OZON (нед)-style" pivot="0" count="3">
      <tableStyleElement type="headerRow" dxfId="167"/>
      <tableStyleElement type="firstRowStripe" dxfId="166"/>
      <tableStyleElement type="secondRowStripe" dxfId="165"/>
    </tableStyle>
    <tableStyle name="PL OZON (нед)-style 2" pivot="0" count="3">
      <tableStyleElement type="headerRow" dxfId="164"/>
      <tableStyleElement type="firstRowStripe" dxfId="163"/>
      <tableStyleElement type="secondRowStripe" dxfId="16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ru-RU" sz="1050" b="0">
                <a:solidFill>
                  <a:srgbClr val="333333"/>
                </a:solidFill>
                <a:latin typeface="Arial"/>
              </a:rPr>
              <a:t>Динамика выручки по месяцам</a:t>
            </a:r>
            <a:endParaRPr lang="ru-RU"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651863517060367"/>
          <y val="0.1716437007874016"/>
          <w val="0.5919668014471164"/>
          <h val="0.7579939486730826"/>
        </manualLayout>
      </layout>
      <lineChart>
        <grouping val="standard"/>
        <varyColors val="0"/>
        <ser>
          <idx val="0"/>
          <order val="0"/>
          <tx>
            <strRef>
              <f>Дашборд!$B$36</f>
              <strCache>
                <ptCount val="1"/>
                <pt idx="0">
                  <v>Янв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Дашборд!$B$37</f>
              <numCache>
                <formatCode>#,##0</formatCode>
                <ptCount val="1"/>
                <pt idx="0">
                  <v>1047020</v>
                </pt>
              </numCache>
            </numRef>
          </val>
          <smooth val="0"/>
        </ser>
        <ser>
          <idx val="1"/>
          <order val="1"/>
          <tx>
            <strRef>
              <f>Дашборд!$C$36</f>
              <strCache>
                <ptCount val="1"/>
                <pt idx="0">
                  <v>Фев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Дашборд!$C$37</f>
              <numCache>
                <formatCode>#,##0</formatCode>
                <ptCount val="1"/>
                <pt idx="0">
                  <v>810594</v>
                </pt>
              </numCache>
            </numRef>
          </val>
          <smooth val="0"/>
        </ser>
        <ser>
          <idx val="2"/>
          <order val="2"/>
          <tx>
            <strRef>
              <f>Дашборд!$D$36</f>
              <strCache>
                <ptCount val="1"/>
                <pt idx="0">
                  <v>Мар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Дашборд!$D$37</f>
              <numCache>
                <formatCode>#,##0</formatCode>
                <ptCount val="1"/>
                <pt idx="0">
                  <v>670650</v>
                </pt>
              </numCache>
            </numRef>
          </val>
          <smooth val="0"/>
        </ser>
        <ser>
          <idx val="3"/>
          <order val="3"/>
          <tx>
            <strRef>
              <f>Дашборд!$E$36</f>
              <strCache>
                <ptCount val="1"/>
                <pt idx="0">
                  <v>Апр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Дашборд!$E$37</f>
              <numCache>
                <formatCode>#,##0</formatCode>
                <ptCount val="1"/>
                <pt idx="0">
                  <v>751096</v>
                </pt>
              </numCache>
            </numRef>
          </val>
          <smooth val="0"/>
        </ser>
        <ser>
          <idx val="4"/>
          <order val="4"/>
          <tx>
            <strRef>
              <f>Дашборд!$F$36</f>
              <strCache>
                <ptCount val="1"/>
                <pt idx="0">
                  <v>Май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Дашборд!$F$37</f>
              <numCache>
                <formatCode>#,##0</formatCode>
                <ptCount val="1"/>
                <pt idx="0">
                  <v>745100.35</v>
                </pt>
              </numCache>
            </numRef>
          </val>
          <smooth val="0"/>
        </ser>
        <ser>
          <idx val="5"/>
          <order val="5"/>
          <tx>
            <strRef>
              <f>Дашборд!$G$36</f>
              <strCache>
                <ptCount val="1"/>
                <pt idx="0">
                  <v>Июн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Дашборд!$G$37</f>
              <numCache>
                <formatCode>#,##0</formatCode>
                <ptCount val="1"/>
                <pt idx="0">
                  <v>689289</v>
                </pt>
              </numCache>
            </numRef>
          </val>
          <smooth val="0"/>
        </ser>
        <ser>
          <idx val="6"/>
          <order val="6"/>
          <tx>
            <strRef>
              <f>Дашборд!$H$36</f>
              <strCache>
                <ptCount val="1"/>
                <pt idx="0">
                  <v>Июл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Дашборд!$H$37</f>
              <numCache>
                <formatCode>#,##0</formatCode>
                <ptCount val="1"/>
                <pt idx="0">
                  <v>806370</v>
                </pt>
              </numCache>
            </numRef>
          </val>
          <smooth val="0"/>
        </ser>
        <ser>
          <idx val="7"/>
          <order val="7"/>
          <tx>
            <strRef>
              <f>Дашборд!$I$36</f>
              <strCache>
                <ptCount val="1"/>
                <pt idx="0">
                  <v>Авг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Дашборд!$I$37</f>
              <numCache>
                <formatCode>#,##0</formatCode>
                <ptCount val="1"/>
                <pt idx="0">
                  <v>1109343</v>
                </pt>
              </numCache>
            </numRef>
          </val>
          <smooth val="0"/>
        </ser>
        <ser>
          <idx val="8"/>
          <order val="8"/>
          <tx>
            <strRef>
              <f>Дашборд!$J$36</f>
              <strCache>
                <ptCount val="1"/>
                <pt idx="0">
                  <v>Сен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Дашборд!$J$37</f>
              <numCache>
                <formatCode>#,##0</formatCode>
                <ptCount val="1"/>
                <pt idx="0">
                  <v>721320</v>
                </pt>
              </numCache>
            </numRef>
          </val>
          <smooth val="0"/>
        </ser>
        <ser>
          <idx val="9"/>
          <order val="9"/>
          <tx>
            <strRef>
              <f>Дашборд!$K$36</f>
              <strCache>
                <ptCount val="1"/>
                <pt idx="0">
                  <v>Окт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Дашборд!$K$37</f>
              <numCache>
                <formatCode>#,##0</formatCode>
                <ptCount val="1"/>
                <pt idx="0">
                  <v>636690.26</v>
                </pt>
              </numCache>
            </numRef>
          </val>
          <smooth val="0"/>
        </ser>
        <ser>
          <idx val="10"/>
          <order val="10"/>
          <tx>
            <strRef>
              <f>Дашборд!$L$36</f>
              <strCache>
                <ptCount val="1"/>
                <pt idx="0">
                  <v>Ноя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Дашборд!$L$37</f>
              <numCache>
                <formatCode>#,##0</formatCode>
                <ptCount val="1"/>
                <pt idx="0">
                  <v>422397</v>
                </pt>
              </numCache>
            </numRef>
          </val>
          <smooth val="0"/>
        </ser>
        <ser>
          <idx val="11"/>
          <order val="11"/>
          <tx>
            <strRef>
              <f>Дашборд!$M$36</f>
              <strCache>
                <ptCount val="1"/>
                <pt idx="0">
                  <v>Дек</v>
                </pt>
              </strCache>
            </strRef>
          </tx>
          <spPr>
            <a:ln w="1905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Дашборд!$A$37</f>
              <strCache>
                <ptCount val="1"/>
                <pt idx="0">
                  <v>Выручка</v>
                </pt>
              </strCache>
            </strRef>
          </cat>
          <val>
            <numRef>
              <f>Дашборд!$M$37</f>
              <numCache>
                <formatCode>#,##0</formatCode>
                <ptCount val="1"/>
                <pt idx="0">
                  <v>705047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333192"/>
        <axId val="29220715"/>
      </lineChart>
      <catAx>
        <axId val="393331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ru-RU"/>
          </a:p>
        </txPr>
        <crossAx val="29220715"/>
        <crosses val="autoZero"/>
        <auto val="1"/>
        <lblAlgn val="ctr"/>
        <lblOffset val="0"/>
        <tickMarkSkip val="1"/>
        <noMultiLvlLbl val="1"/>
      </catAx>
      <valAx>
        <axId val="29220715"/>
        <scaling>
          <orientation val="minMax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numFmt formatCode="#,##0" sourceLinked="1"/>
        <majorTickMark val="none"/>
        <minorTickMark val="none"/>
        <tickLblPos val="nextTo"/>
        <spPr>
          <a:ln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ru-RU"/>
          </a:p>
        </txPr>
        <crossAx val="39333192"/>
        <crosses val="autoZero"/>
        <crossBetween val="between"/>
      </valAx>
    </plotArea>
    <legend>
      <legendPos val="r"/>
      <overlay val="0"/>
      <spPr>
        <a:noFill/>
        <a:ln>
          <a:prstDash val="solid"/>
        </a:ln>
      </spPr>
      <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ru-RU" sz="1050" b="0">
                <a:solidFill>
                  <a:srgbClr val="333333"/>
                </a:solidFill>
                <a:latin typeface="Arial"/>
              </a:rPr>
              <a:t xml:space="preserve">Сравнение </a:t>
            </a:r>
            <a:r>
              <a:rPr lang="en-US" sz="1050" b="0">
                <a:solidFill>
                  <a:srgbClr val="333333"/>
                </a:solidFill>
                <a:latin typeface="Arial"/>
              </a:rPr>
              <a:t xml:space="preserve">WB </a:t>
            </a:r>
            <a:r>
              <a:rPr lang="ru-RU" sz="1050" b="0">
                <a:solidFill>
                  <a:srgbClr val="333333"/>
                </a:solidFill>
                <a:latin typeface="Arial"/>
              </a:rPr>
              <a:t xml:space="preserve">и </a:t>
            </a:r>
            <a:r>
              <a:rPr lang="en-US" sz="1050" b="0">
                <a:solidFill>
                  <a:srgbClr val="333333"/>
                </a:solidFill>
                <a:latin typeface="Arial"/>
              </a:rPr>
              <a:t>OZON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Дашборд!$A$17</f>
              <strCache>
                <ptCount val="1"/>
                <pt idx="0">
                  <v>Продажи (шт)</v>
                </pt>
              </strCache>
            </strRef>
          </tx>
          <spPr>
            <a:solidFill>
              <a:schemeClr val="accent1"/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(Дашборд!$C$16,Дашборд!$F$16)</f>
              <strCache>
                <ptCount val="2"/>
                <pt idx="0">
                  <v>Wildberries</v>
                </pt>
                <pt idx="1">
                  <v>OZON</v>
                </pt>
              </strCache>
            </strRef>
          </cat>
          <val>
            <numRef>
              <f>(Дашборд!$C$17,Дашборд!$F$17)</f>
              <numCache>
                <formatCode>#,##0</formatCode>
                <ptCount val="2"/>
                <pt idx="0">
                  <v>19132</v>
                </pt>
                <pt idx="1">
                  <v>2424</v>
                </pt>
              </numCache>
            </numRef>
          </val>
        </ser>
        <ser>
          <idx val="1"/>
          <order val="1"/>
          <tx>
            <strRef>
              <f>Дашборд!$A$18</f>
              <strCache>
                <ptCount val="1"/>
                <pt idx="0">
                  <v>Выручка (руб)</v>
                </pt>
              </strCache>
            </strRef>
          </tx>
          <spPr>
            <a:solidFill>
              <a:schemeClr val="accent2"/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(Дашборд!$C$16,Дашборд!$F$16)</f>
              <strCache>
                <ptCount val="2"/>
                <pt idx="0">
                  <v>Wildberries</v>
                </pt>
                <pt idx="1">
                  <v>OZON</v>
                </pt>
              </strCache>
            </strRef>
          </cat>
          <val>
            <numRef>
              <f>(Дашборд!$C$18,Дашборд!$F$18)</f>
              <numCache>
                <formatCode>_(* #\ ##0.00_);_(* \(#\ ##0.00\);_(* "-"??_);_(@_)</formatCode>
                <ptCount val="2"/>
                <pt idx="0">
                  <v>7678957.609999999</v>
                </pt>
                <pt idx="1">
                  <v>1435959</v>
                </pt>
              </numCache>
            </numRef>
          </val>
        </ser>
        <ser>
          <idx val="2"/>
          <order val="2"/>
          <tx>
            <strRef>
              <f>Дашборд!$A$19</f>
              <strCache>
                <ptCount val="1"/>
                <pt idx="0">
                  <v>Чистая прибыль</v>
                </pt>
              </strCache>
            </strRef>
          </tx>
          <spPr>
            <a:solidFill>
              <a:schemeClr val="accent3"/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(Дашборд!$C$16,Дашборд!$F$16)</f>
              <strCache>
                <ptCount val="2"/>
                <pt idx="0">
                  <v>Wildberries</v>
                </pt>
                <pt idx="1">
                  <v>OZON</v>
                </pt>
              </strCache>
            </strRef>
          </cat>
          <val>
            <numRef>
              <f>(Дашборд!$C$19,Дашборд!$F$19)</f>
              <numCache>
                <formatCode>_(* #\ ##0.00_);_(* \(#\ ##0.00\);_(* "-"??_);_(@_)</formatCode>
                <ptCount val="2"/>
                <pt idx="0">
                  <v>2146681.4973</v>
                </pt>
                <pt idx="1">
                  <v>283792.8699999999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7"/>
        <axId val="81745986"/>
        <axId val="10512054"/>
      </barChart>
      <catAx>
        <axId val="8174598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ru-RU"/>
          </a:p>
        </txPr>
        <crossAx val="10512054"/>
        <crosses val="autoZero"/>
        <auto val="1"/>
        <lblAlgn val="ctr"/>
        <lblOffset val="0"/>
        <tickMarkSkip val="1"/>
        <noMultiLvlLbl val="1"/>
      </catAx>
      <valAx>
        <axId val="10512054"/>
        <scaling>
          <orientation val="minMax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numFmt formatCode="#,##0" sourceLinked="1"/>
        <majorTickMark val="none"/>
        <minorTickMark val="none"/>
        <tickLblPos val="nextTo"/>
        <spPr>
          <a:ln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ru-RU"/>
          </a:p>
        </txPr>
        <crossAx val="81745986"/>
        <crosses val="autoZero"/>
        <crossBetween val="between"/>
      </valAx>
    </plotArea>
    <legend>
      <legendPos val="r"/>
      <overlay val="0"/>
      <spPr>
        <a:noFill/>
        <a:ln>
          <a:prstDash val="solid"/>
        </a:ln>
      </spPr>
      <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ru-RU" sz="1050" b="0">
                <a:solidFill>
                  <a:srgbClr val="333333"/>
                </a:solidFill>
                <a:latin typeface="Arial"/>
              </a:rPr>
              <a:t>Структура расходов</a:t>
            </a:r>
            <a:endParaRPr lang="ru-RU"/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spPr>
            <a:ln w="19050">
              <a:solidFill>
                <a:srgbClr val="FFFFFF"/>
              </a:solidFill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Дашборд!$A$26:$A$31</f>
              <strCache>
                <ptCount val="6"/>
                <pt idx="0">
                  <v>Комиссии площадок</v>
                </pt>
                <pt idx="1">
                  <v>Логистика</v>
                </pt>
                <pt idx="2">
                  <v>Продвижение</v>
                </pt>
                <pt idx="3">
                  <v>Себестоимость</v>
                </pt>
                <pt idx="4">
                  <v>Хранение</v>
                </pt>
                <pt idx="5">
                  <v>Прочие расходы</v>
                </pt>
              </strCache>
            </strRef>
          </cat>
          <val>
            <numRef>
              <f>Дашборд!$C$26:$C$31</f>
              <numCache>
                <formatCode>_(* #\ ##0.00_);_(* \(#\ ##0.00\);_(* "-"??_);_(@_)</formatCode>
                <ptCount val="6"/>
                <pt idx="0">
                  <v>2665292.85</v>
                </pt>
                <pt idx="1">
                  <v>1722215.42</v>
                </pt>
                <pt idx="2">
                  <v>195896.24</v>
                </pt>
                <pt idx="3">
                  <v>3036678.6</v>
                </pt>
                <pt idx="4">
                  <v>397584.14</v>
                </pt>
                <pt idx="5">
                  <v>114604.2199999996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>
          <a:prstDash val="solid"/>
        </a:ln>
      </spPr>
      <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Продажи</v>
          </tx>
          <spPr>
            <a:ln w="19050" cap="rnd">
              <a:solidFill>
                <a:srgbClr val="0066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общ'!$C$14:$N$14</f>
              <numCache>
                <formatCode>#,##0</formatCode>
                <ptCount val="12"/>
                <pt idx="0">
                  <v>1286733</v>
                </pt>
                <pt idx="1">
                  <v>1015701</v>
                </pt>
                <pt idx="2">
                  <v>841342</v>
                </pt>
                <pt idx="3">
                  <v>944878</v>
                </pt>
                <pt idx="4">
                  <v>941900</v>
                </pt>
                <pt idx="5">
                  <v>822435</v>
                </pt>
                <pt idx="6">
                  <v>974305</v>
                </pt>
                <pt idx="7">
                  <v>1321052</v>
                </pt>
                <pt idx="8">
                  <v>888238</v>
                </pt>
                <pt idx="9">
                  <v>854425</v>
                </pt>
                <pt idx="10">
                  <v>604734</v>
                </pt>
                <pt idx="11">
                  <v>923798</v>
                </pt>
              </numCache>
            </numRef>
          </val>
          <smooth val="1"/>
        </ser>
        <ser>
          <idx val="1"/>
          <order val="1"/>
          <tx>
            <v>К перечислению</v>
          </tx>
          <spPr>
            <a:ln w="19050" cap="rnd">
              <a:solidFill>
                <a:srgbClr val="FFCC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общ'!$C$20:$N$20</f>
              <numCache>
                <formatCode>#,##0</formatCode>
                <ptCount val="12"/>
                <pt idx="0">
                  <v>1008818.83</v>
                </pt>
                <pt idx="1">
                  <v>794062.2999999999</v>
                </pt>
                <pt idx="2">
                  <v>657379.84</v>
                </pt>
                <pt idx="3">
                  <v>732307.71</v>
                </pt>
                <pt idx="4">
                  <v>734331.3500000001</v>
                </pt>
                <pt idx="5">
                  <v>611539.9</v>
                </pt>
                <pt idx="6">
                  <v>708988.67</v>
                </pt>
                <pt idx="7">
                  <v>966515.8199999999</v>
                </pt>
                <pt idx="8">
                  <v>652796.63</v>
                </pt>
                <pt idx="9">
                  <v>623766.79</v>
                </pt>
                <pt idx="10">
                  <v>417943.41</v>
                </pt>
                <pt idx="11">
                  <v>627045.8999999999</v>
                </pt>
              </numCache>
            </numRef>
          </val>
          <smooth val="1"/>
        </ser>
        <ser>
          <idx val="2"/>
          <order val="2"/>
          <tx>
            <v>Оплачено</v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общ'!$C$30:$N$30</f>
              <numCache>
                <formatCode>#,##0</formatCode>
                <ptCount val="12"/>
                <pt idx="0">
                  <v>745884.4500000001</v>
                </pt>
                <pt idx="1">
                  <v>604967.5099999999</v>
                </pt>
                <pt idx="2">
                  <v>445808.53</v>
                </pt>
                <pt idx="3">
                  <v>517582.09</v>
                </pt>
                <pt idx="4">
                  <v>518228.0200000001</v>
                </pt>
                <pt idx="5">
                  <v>392017.36</v>
                </pt>
                <pt idx="6">
                  <v>452794.6200000001</v>
                </pt>
                <pt idx="7">
                  <v>692183.71</v>
                </pt>
                <pt idx="8">
                  <v>481635.04</v>
                </pt>
                <pt idx="9">
                  <v>480836.67</v>
                </pt>
                <pt idx="10">
                  <v>313413.55</v>
                </pt>
                <pt idx="11">
                  <v>425004.58</v>
                </pt>
              </numCache>
            </numRef>
          </val>
          <smooth val="1"/>
        </ser>
        <ser>
          <idx val="3"/>
          <order val="3"/>
          <tx>
            <v>Логистика</v>
          </tx>
          <spPr>
            <a:ln w="19050" cap="rnd">
              <a:solidFill>
                <a:srgbClr val="9933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общ'!$C$40:$N$40</f>
              <numCache>
                <formatCode>#,##0</formatCode>
                <ptCount val="12"/>
                <pt idx="0">
                  <v>225574.21</v>
                </pt>
                <pt idx="1">
                  <v>169543.25</v>
                </pt>
                <pt idx="2">
                  <v>140029</v>
                </pt>
                <pt idx="3">
                  <v>176210</v>
                </pt>
                <pt idx="4">
                  <v>175743.94</v>
                </pt>
                <pt idx="5">
                  <v>129624.9</v>
                </pt>
                <pt idx="6">
                  <v>146794.92</v>
                </pt>
                <pt idx="7">
                  <v>181227</v>
                </pt>
                <pt idx="8">
                  <v>114590.04</v>
                </pt>
                <pt idx="9">
                  <v>98618.69</v>
                </pt>
                <pt idx="10">
                  <v>59419</v>
                </pt>
                <pt idx="11">
                  <v>104840.47</v>
                </pt>
              </numCache>
            </numRef>
          </val>
          <smooth val="1"/>
        </ser>
        <ser>
          <idx val="4"/>
          <order val="4"/>
          <tx>
            <v>Хранение</v>
          </tx>
          <spPr>
            <a:ln w="19050" cap="rnd">
              <a:solidFill>
                <a:srgbClr val="FF99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общ'!$C$43:$N$43</f>
              <numCache>
                <formatCode>#,##0</formatCode>
                <ptCount val="12"/>
                <pt idx="0">
                  <v>30409.17</v>
                </pt>
                <pt idx="1">
                  <v>16309.54</v>
                </pt>
                <pt idx="2">
                  <v>28786.59</v>
                </pt>
                <pt idx="3">
                  <v>27303.62</v>
                </pt>
                <pt idx="4">
                  <v>33241.39</v>
                </pt>
                <pt idx="5">
                  <v>29528.14</v>
                </pt>
                <pt idx="6">
                  <v>27563.93</v>
                </pt>
                <pt idx="7">
                  <v>28454.87</v>
                </pt>
                <pt idx="8">
                  <v>24730.95</v>
                </pt>
                <pt idx="9">
                  <v>36009.23</v>
                </pt>
                <pt idx="10">
                  <v>40841.86</v>
                </pt>
                <pt idx="11">
                  <v>74404.85000000001</v>
                </pt>
              </numCache>
            </numRef>
          </val>
          <smooth val="1"/>
        </ser>
        <ser>
          <idx val="5"/>
          <order val="5"/>
          <tx>
            <v>Продвижение</v>
          </tx>
          <spPr>
            <a:ln w="19050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общ'!$C$41:$N$41</f>
              <numCache>
                <formatCode>#,##0</formatCode>
                <ptCount val="12"/>
                <pt idx="0">
                  <v>6951</v>
                </pt>
                <pt idx="1">
                  <v>3242</v>
                </pt>
                <pt idx="2">
                  <v>3801</v>
                </pt>
                <pt idx="3">
                  <v>11202</v>
                </pt>
                <pt idx="4">
                  <v>6499</v>
                </pt>
                <pt idx="5">
                  <v>41049</v>
                </pt>
                <pt idx="6">
                  <v>48778.2</v>
                </pt>
                <pt idx="7">
                  <v>46049.24</v>
                </pt>
                <pt idx="8">
                  <v>20517.6</v>
                </pt>
                <pt idx="9">
                  <v>4181.2</v>
                </pt>
                <pt idx="10">
                  <v>1788</v>
                </pt>
                <pt idx="11">
                  <v>1838</v>
                </pt>
              </numCache>
            </numRef>
          </val>
          <smooth val="1"/>
        </ser>
        <ser>
          <idx val="6"/>
          <order val="6"/>
          <tx>
            <v>Прибыль</v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общ'!$C$57:$N$57</f>
              <numCache>
                <formatCode>#,##0</formatCode>
                <ptCount val="12"/>
                <pt idx="0">
                  <v>241694.55</v>
                </pt>
                <pt idx="1">
                  <v>218964.52</v>
                </pt>
                <pt idx="2">
                  <v>124363.02</v>
                </pt>
                <pt idx="3">
                  <v>176071.56</v>
                </pt>
                <pt idx="4">
                  <v>176528.5955</v>
                </pt>
                <pt idx="5">
                  <v>112673.1500000001</v>
                </pt>
                <pt idx="6">
                  <v>168482.07</v>
                </pt>
                <pt idx="7">
                  <v>307959.2699999999</v>
                </pt>
                <pt idx="8">
                  <v>247361.1199999999</v>
                </pt>
                <pt idx="9">
                  <v>262080.9718</v>
                </pt>
                <pt idx="10">
                  <v>184392.9400000001</v>
                </pt>
                <pt idx="11">
                  <v>209902.5999999999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18338735"/>
        <axId val="922101423"/>
      </lineChart>
      <catAx>
        <axId val="91833873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22101423"/>
        <crosses val="autoZero"/>
        <auto val="1"/>
        <lblAlgn val="ctr"/>
        <lblOffset val="100"/>
        <noMultiLvlLbl val="0"/>
      </catAx>
      <valAx>
        <axId val="92210142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out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18338735"/>
        <crosses val="autoZero"/>
        <crossBetween val="between"/>
      </valAx>
    </plotArea>
    <legend>
      <legendPos val="l"/>
      <layout>
        <manualLayout>
          <xMode val="edge"/>
          <yMode val="edge"/>
          <wMode val="factor"/>
          <hMode val="factor"/>
          <x val="0.002229654795013087"/>
          <y val="0.02899342479097328"/>
          <w val="0.1041527935028913"/>
          <h val="0.40593067619124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Рентабельность</v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50"/>
              </a:solidFill>
              <a:ln w="9525">
                <a:noFill/>
                <a:prstDash val="solid"/>
              </a:ln>
            </spPr>
          </marker>
          <cat>
            <strRef>
              <f>'PL общ'!$C$3:$N$3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'PL общ'!$C$58:$N$58</f>
              <numCache>
                <formatCode>0%</formatCode>
                <ptCount val="12"/>
                <pt idx="0">
                  <v>0.5655016337212229</v>
                </pt>
                <pt idx="1">
                  <v>0.6650172578681479</v>
                </pt>
                <pt idx="2">
                  <v>0.4649084686015524</v>
                </pt>
                <pt idx="3">
                  <v>0.609383720098385</v>
                </pt>
                <pt idx="4">
                  <v>0.6099551902406394</v>
                </pt>
                <pt idx="5">
                  <v>0.4708684071803359</v>
                </pt>
                <pt idx="6">
                  <v>0.676489061694137</v>
                </pt>
                <pt idx="7">
                  <v>0.9954546957622248</v>
                </pt>
                <pt idx="8">
                  <v>1.292982320052237</v>
                </pt>
                <pt idx="9">
                  <v>1.484883243215925</v>
                </pt>
                <pt idx="10">
                  <v>1.824429532273159</v>
                </pt>
                <pt idx="11">
                  <v>1.252501615730939</v>
                </pt>
              </numCache>
            </numRef>
          </val>
          <smooth val="1"/>
        </ser>
        <ser>
          <idx val="1"/>
          <order val="1"/>
          <tx>
            <v>% Себестоимости</v>
          </tx>
          <spPr>
            <a:ln w="19050" cap="rnd">
              <a:solidFill>
                <a:srgbClr val="0066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66FF"/>
              </a:solidFill>
              <a:ln w="9525">
                <a:noFill/>
                <a:prstDash val="solid"/>
              </a:ln>
            </spPr>
          </marker>
          <val>
            <numRef>
              <f>'PL общ'!$C$34:$N$34</f>
              <numCache>
                <formatCode>0%</formatCode>
                <ptCount val="12"/>
                <pt idx="0">
                  <v>0.3321578757986311</v>
                </pt>
                <pt idx="1">
                  <v>0.4061976895955312</v>
                </pt>
                <pt idx="2">
                  <v>0.3988667859539253</v>
                </pt>
                <pt idx="3">
                  <v>0.3846829300116097</v>
                </pt>
                <pt idx="4">
                  <v>0.3884207006479061</v>
                </pt>
                <pt idx="5">
                  <v>0.3471518912966839</v>
                </pt>
                <pt idx="6">
                  <v>0.3088577824075797</v>
                </pt>
                <pt idx="7">
                  <v>0.2788726570591783</v>
                </pt>
                <pt idx="8">
                  <v>0.2652228137303831</v>
                </pt>
                <pt idx="9">
                  <v>0.2772138841891503</v>
                </pt>
                <pt idx="10">
                  <v>0.2392744740137832</v>
                </pt>
                <pt idx="11">
                  <v>0.2376957706365675</v>
                </pt>
              </numCache>
            </numRef>
          </val>
          <smooth val="1"/>
        </ser>
        <ser>
          <idx val="2"/>
          <order val="2"/>
          <tx>
            <v>% Расходов</v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 w="9525">
                <a:noFill/>
                <a:prstDash val="solid"/>
              </a:ln>
            </spPr>
          </marker>
          <val>
            <numRef>
              <f>'PL общ'!$C$39:$N$39</f>
              <numCache>
                <formatCode>0%</formatCode>
                <ptCount val="12"/>
                <pt idx="0">
                  <v>0.2070626773386554</v>
                </pt>
                <pt idx="1">
                  <v>0.1861717080124958</v>
                </pt>
                <pt idx="2">
                  <v>0.2597888967863247</v>
                </pt>
                <pt idx="3">
                  <v>0.227252216688292</v>
                </pt>
                <pt idx="4">
                  <v>0.2295714300881198</v>
                </pt>
                <pt idx="5">
                  <v>0.2569547015873594</v>
                </pt>
                <pt idx="6">
                  <v>0.2412048075294697</v>
                </pt>
                <pt idx="7">
                  <v>0.2055461177909726</v>
                </pt>
                <pt idx="8">
                  <v>0.1842215599873007</v>
                </pt>
                <pt idx="9">
                  <v>0.1645763174064429</v>
                </pt>
                <pt idx="10">
                  <v>0.1701803768268363</v>
                </pt>
                <pt idx="11">
                  <v>0.21671763740558</v>
                </pt>
              </numCache>
            </numRef>
          </val>
          <smooth val="1"/>
        </ser>
        <ser>
          <idx val="3"/>
          <order val="3"/>
          <tx>
            <v>Маржинальность %</v>
          </tx>
          <spPr>
            <a:ln w="19050" cap="rnd">
              <a:solidFill>
                <a:srgbClr val="FFCC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val>
            <numRef>
              <f>'PL общ'!$C$59:$N$59</f>
              <numCache>
                <formatCode>0%</formatCode>
                <ptCount val="12"/>
                <pt idx="0">
                  <v>0.1878358214174969</v>
                </pt>
                <pt idx="1">
                  <v>0.2155797030819109</v>
                </pt>
                <pt idx="2">
                  <v>0.1478150621269353</v>
                </pt>
                <pt idx="3">
                  <v>0.1863431681127087</v>
                </pt>
                <pt idx="4">
                  <v>0.1874175554729802</v>
                </pt>
                <pt idx="5">
                  <v>0.1369994589238056</v>
                </pt>
                <pt idx="6">
                  <v>0.1729253878405633</v>
                </pt>
                <pt idx="7">
                  <v>0.2331166903346726</v>
                </pt>
                <pt idx="8">
                  <v>0.2784851807736214</v>
                </pt>
                <pt idx="9">
                  <v>0.3067337353190743</v>
                </pt>
                <pt idx="10">
                  <v>0.3049157811533667</v>
                </pt>
                <pt idx="11">
                  <v>0.2272169889954297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18338735"/>
        <axId val="922101423"/>
      </lineChart>
      <catAx>
        <axId val="9183387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22101423"/>
        <crosses val="autoZero"/>
        <auto val="1"/>
        <lblAlgn val="ctr"/>
        <lblOffset val="100"/>
        <noMultiLvlLbl val="0"/>
      </catAx>
      <valAx>
        <axId val="92210142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18338735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73449256342957"/>
          <y val="0.1763425925925926"/>
          <w val="0.8465439632545931"/>
          <h val="0.6149843248760571"/>
        </manualLayout>
      </layout>
      <barChart>
        <barDir val="col"/>
        <grouping val="clustered"/>
        <varyColors val="0"/>
        <ser>
          <idx val="1"/>
          <order val="0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'PL общ'!$C$14:$N$14</f>
              <numCache>
                <formatCode>#,##0</formatCode>
                <ptCount val="12"/>
                <pt idx="0">
                  <v>1286733</v>
                </pt>
                <pt idx="1">
                  <v>1015701</v>
                </pt>
                <pt idx="2">
                  <v>841342</v>
                </pt>
                <pt idx="3">
                  <v>944878</v>
                </pt>
                <pt idx="4">
                  <v>941900</v>
                </pt>
                <pt idx="5">
                  <v>822435</v>
                </pt>
                <pt idx="6">
                  <v>974305</v>
                </pt>
                <pt idx="7">
                  <v>1321052</v>
                </pt>
                <pt idx="8">
                  <v>888238</v>
                </pt>
                <pt idx="9">
                  <v>854425</v>
                </pt>
                <pt idx="10">
                  <v>604734</v>
                </pt>
                <pt idx="11">
                  <v>923798</v>
                </pt>
              </numCache>
            </numRef>
          </val>
        </ser>
        <ser>
          <idx val="2"/>
          <order val="1"/>
          <spPr>
            <a:solidFill>
              <a:srgbClr val="00B050"/>
            </a:solidFill>
            <a:ln>
              <a:noFill/>
              <a:prstDash val="solid"/>
            </a:ln>
          </spPr>
          <invertIfNegative val="0"/>
          <val>
            <numRef>
              <f>'PL общ'!$C$57:$N$57</f>
              <numCache>
                <formatCode>#,##0</formatCode>
                <ptCount val="12"/>
                <pt idx="0">
                  <v>241694.55</v>
                </pt>
                <pt idx="1">
                  <v>218964.52</v>
                </pt>
                <pt idx="2">
                  <v>124363.02</v>
                </pt>
                <pt idx="3">
                  <v>176071.56</v>
                </pt>
                <pt idx="4">
                  <v>176528.5955</v>
                </pt>
                <pt idx="5">
                  <v>112673.1500000001</v>
                </pt>
                <pt idx="6">
                  <v>168482.07</v>
                </pt>
                <pt idx="7">
                  <v>307959.2699999999</v>
                </pt>
                <pt idx="8">
                  <v>247361.1199999999</v>
                </pt>
                <pt idx="9">
                  <v>262080.9718</v>
                </pt>
                <pt idx="10">
                  <v>184392.9400000001</v>
                </pt>
                <pt idx="11">
                  <v>209902.5999999999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96982832"/>
        <axId val="1396985744"/>
      </barChart>
      <catAx>
        <axId val="139698283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396985744"/>
        <crosses val="autoZero"/>
        <auto val="1"/>
        <lblAlgn val="ctr"/>
        <lblOffset val="100"/>
        <noMultiLvlLbl val="0"/>
      </catAx>
      <valAx>
        <axId val="1396985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39698283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901519240538481"/>
          <y val="0.0439933021463189"/>
          <w val="0.9372885710354754"/>
          <h val="0.8842696365742887"/>
        </manualLayout>
      </layout>
      <lineChart>
        <grouping val="standard"/>
        <varyColors val="0"/>
        <ser>
          <idx val="0"/>
          <order val="0"/>
          <tx>
            <v>Продажа</v>
          </tx>
          <spPr>
            <a:ln w="19050" cap="rnd">
              <a:solidFill>
                <a:srgbClr val="0066FF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'PL WB (нед)'!$C$3:$BB$3</f>
              <strCache>
                <ptCount val="52"/>
                <pt idx="0">
                  <v>30.12-05.01</v>
                </pt>
                <pt idx="1">
                  <v>06.01-12.01</v>
                </pt>
                <pt idx="2">
                  <v>13.01-19.01</v>
                </pt>
                <pt idx="3">
                  <v>20.01-26.01</v>
                </pt>
                <pt idx="4">
                  <v>27.01-02.02</v>
                </pt>
                <pt idx="5">
                  <v>03.02-09.02</v>
                </pt>
                <pt idx="6">
                  <v>10.02-16.02</v>
                </pt>
                <pt idx="7">
                  <v>17.02-23.02</v>
                </pt>
                <pt idx="8">
                  <v>24.02-02.03</v>
                </pt>
                <pt idx="9">
                  <v>03.03-09.03</v>
                </pt>
                <pt idx="10">
                  <v>10.03-16.03</v>
                </pt>
                <pt idx="11">
                  <v>17.03-23.03</v>
                </pt>
                <pt idx="12">
                  <v>24.03-30.03</v>
                </pt>
                <pt idx="13">
                  <v>31.03-06.04</v>
                </pt>
                <pt idx="14">
                  <v>07.04-13.04</v>
                </pt>
                <pt idx="15">
                  <v>14.04-20.04</v>
                </pt>
                <pt idx="16">
                  <v>21.04-27.04</v>
                </pt>
                <pt idx="17">
                  <v>28.04-04.05</v>
                </pt>
                <pt idx="18">
                  <v>05.05-11.05</v>
                </pt>
                <pt idx="19">
                  <v>12.05-18.05</v>
                </pt>
                <pt idx="20">
                  <v>19.05-25.05</v>
                </pt>
                <pt idx="21">
                  <v>26.05-01.06</v>
                </pt>
                <pt idx="22">
                  <v>02.06-08.06</v>
                </pt>
                <pt idx="23">
                  <v>09.06-15.06</v>
                </pt>
                <pt idx="24">
                  <v>16.06-22.06</v>
                </pt>
                <pt idx="25">
                  <v>23.06-29.06</v>
                </pt>
                <pt idx="26">
                  <v>30.06-06.07</v>
                </pt>
                <pt idx="27">
                  <v>07.07-13.07</v>
                </pt>
                <pt idx="28">
                  <v>14.07-20.07</v>
                </pt>
                <pt idx="29">
                  <v>21.07-27.07</v>
                </pt>
                <pt idx="30">
                  <v>28.07-03.08</v>
                </pt>
                <pt idx="31">
                  <v>04.08-10.08</v>
                </pt>
                <pt idx="32">
                  <v>11.08-17.08</v>
                </pt>
                <pt idx="33">
                  <v>18.08-24.08</v>
                </pt>
                <pt idx="34">
                  <v>25.08-31.08</v>
                </pt>
                <pt idx="35">
                  <v>1-7.09</v>
                </pt>
                <pt idx="36">
                  <v>8-14.09</v>
                </pt>
                <pt idx="37">
                  <v>15-21.09</v>
                </pt>
                <pt idx="38">
                  <v>22.09-28.09</v>
                </pt>
                <pt idx="39">
                  <v>29.09-05.10</v>
                </pt>
                <pt idx="40">
                  <v>06.10-12.10</v>
                </pt>
                <pt idx="41">
                  <v>13.10-20.10</v>
                </pt>
                <pt idx="42">
                  <v>21.10-26.10</v>
                </pt>
                <pt idx="43">
                  <v>27.10-02.11</v>
                </pt>
                <pt idx="44">
                  <v>03.11-09.11</v>
                </pt>
                <pt idx="45">
                  <v>10.11-16.11</v>
                </pt>
                <pt idx="46">
                  <v>17.11-23.11</v>
                </pt>
                <pt idx="47">
                  <v>24.11-30.11</v>
                </pt>
                <pt idx="48">
                  <v>01.12-07.12</v>
                </pt>
                <pt idx="49">
                  <v>08.12-14.12</v>
                </pt>
                <pt idx="50">
                  <v>15.12-21.12</v>
                </pt>
                <pt idx="51">
                  <v>22.12-28.12</v>
                </pt>
              </strCache>
            </strRef>
          </cat>
          <val>
            <numRef>
              <f>'PL WB (нед)'!$C$15:$BB$15</f>
              <numCache>
                <formatCode>#,##0</formatCode>
                <ptCount val="52"/>
                <pt idx="0">
                  <v>114903</v>
                </pt>
                <pt idx="1">
                  <v>184397</v>
                </pt>
                <pt idx="2">
                  <v>222240</v>
                </pt>
                <pt idx="3">
                  <v>254588</v>
                </pt>
                <pt idx="4">
                  <v>270892</v>
                </pt>
                <pt idx="5">
                  <v>273161</v>
                </pt>
                <pt idx="6">
                  <v>213817</v>
                </pt>
                <pt idx="7">
                  <v>188672</v>
                </pt>
                <pt idx="8">
                  <v>134944</v>
                </pt>
                <pt idx="9">
                  <v>141996</v>
                </pt>
                <pt idx="10">
                  <v>182754</v>
                </pt>
                <pt idx="11">
                  <v>164833</v>
                </pt>
                <pt idx="12">
                  <v>181067</v>
                </pt>
                <pt idx="13">
                  <v>167301</v>
                </pt>
                <pt idx="14">
                  <v>186013</v>
                </pt>
                <pt idx="15">
                  <v>189528</v>
                </pt>
                <pt idx="16">
                  <v>208254</v>
                </pt>
                <pt idx="17">
                  <v>189929</v>
                </pt>
                <pt idx="18">
                  <v>170288.35</v>
                </pt>
                <pt idx="19">
                  <v>142472</v>
                </pt>
                <pt idx="20">
                  <v>117944</v>
                </pt>
                <pt idx="21">
                  <v>106061</v>
                </pt>
                <pt idx="22">
                  <v>90886</v>
                </pt>
                <pt idx="23">
                  <v>117650</v>
                </pt>
                <pt idx="24">
                  <v>188308</v>
                </pt>
                <pt idx="25">
                  <v>149422</v>
                </pt>
                <pt idx="26">
                  <v>157491</v>
                </pt>
                <pt idx="27">
                  <v>131300</v>
                </pt>
                <pt idx="28">
                  <v>142425</v>
                </pt>
                <pt idx="29">
                  <v>155294</v>
                </pt>
                <pt idx="30">
                  <v>146367</v>
                </pt>
                <pt idx="31">
                  <v>138713</v>
                </pt>
                <pt idx="32">
                  <v>170776</v>
                </pt>
                <pt idx="33">
                  <v>154712</v>
                </pt>
                <pt idx="34">
                  <v>128063</v>
                </pt>
                <pt idx="35">
                  <v>136026</v>
                </pt>
                <pt idx="36">
                  <v>122529</v>
                </pt>
                <pt idx="37">
                  <v>108118</v>
                </pt>
                <pt idx="38">
                  <v>104186</v>
                </pt>
                <pt idx="39">
                  <v>86602</v>
                </pt>
                <pt idx="40">
                  <v>112071.26</v>
                </pt>
                <pt idx="41">
                  <v>105882</v>
                </pt>
                <pt idx="42">
                  <v>116059</v>
                </pt>
                <pt idx="43">
                  <v>89714</v>
                </pt>
                <pt idx="44">
                  <v>69906</v>
                </pt>
                <pt idx="45">
                  <v>101470</v>
                </pt>
                <pt idx="46">
                  <v>93017</v>
                </pt>
                <pt idx="47">
                  <v>90547</v>
                </pt>
                <pt idx="48">
                  <v>114665</v>
                </pt>
                <pt idx="49">
                  <v>97427</v>
                </pt>
                <pt idx="50">
                  <v>93830</v>
                </pt>
                <pt idx="51">
                  <v>104360</v>
                </pt>
              </numCache>
            </numRef>
          </val>
          <smooth val="1"/>
        </ser>
        <ser>
          <idx val="1"/>
          <order val="1"/>
          <tx>
            <v>К перечислению за товар</v>
          </tx>
          <spPr>
            <a:ln w="19050" cap="rnd">
              <a:solidFill>
                <a:srgbClr val="FFCC00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 (нед)'!$C$20:$BB$20</f>
              <numCache>
                <formatCode>#,##0</formatCode>
                <ptCount val="52"/>
                <pt idx="0">
                  <v>112243.71</v>
                </pt>
                <pt idx="1">
                  <v>171942.03</v>
                </pt>
                <pt idx="2">
                  <v>213019.97</v>
                </pt>
                <pt idx="3">
                  <v>248633.41</v>
                </pt>
                <pt idx="4">
                  <v>262979.71</v>
                </pt>
                <pt idx="5">
                  <v>265439.9</v>
                </pt>
                <pt idx="6">
                  <v>210263.68</v>
                </pt>
                <pt idx="7">
                  <v>185751.37</v>
                </pt>
                <pt idx="8">
                  <v>132607.35</v>
                </pt>
                <pt idx="9">
                  <v>138785.82</v>
                </pt>
                <pt idx="10">
                  <v>179934.52</v>
                </pt>
                <pt idx="11">
                  <v>161785.29</v>
                </pt>
                <pt idx="12">
                  <v>176874.21</v>
                </pt>
                <pt idx="13">
                  <v>163316.93</v>
                </pt>
                <pt idx="14">
                  <v>180853.67</v>
                </pt>
                <pt idx="15">
                  <v>183840.41</v>
                </pt>
                <pt idx="16">
                  <v>204296.7</v>
                </pt>
                <pt idx="17">
                  <v>185783.02</v>
                </pt>
                <pt idx="18">
                  <v>170992.63</v>
                </pt>
                <pt idx="19">
                  <v>142531.39</v>
                </pt>
                <pt idx="20">
                  <v>115489.02</v>
                </pt>
                <pt idx="21">
                  <v>104360.29</v>
                </pt>
                <pt idx="22">
                  <v>88419.23</v>
                </pt>
                <pt idx="23">
                  <v>109933.92</v>
                </pt>
                <pt idx="24">
                  <v>169306.25</v>
                </pt>
                <pt idx="25">
                  <v>135094.5</v>
                </pt>
                <pt idx="26">
                  <v>143297.06</v>
                </pt>
                <pt idx="27">
                  <v>122009.12</v>
                </pt>
                <pt idx="28">
                  <v>132429.34</v>
                </pt>
                <pt idx="29">
                  <v>147415.15</v>
                </pt>
                <pt idx="30">
                  <v>138697.43</v>
                </pt>
                <pt idx="31">
                  <v>132200.04</v>
                </pt>
                <pt idx="32">
                  <v>163215</v>
                </pt>
                <pt idx="33">
                  <v>143325</v>
                </pt>
                <pt idx="34">
                  <v>115057.35</v>
                </pt>
                <pt idx="35">
                  <v>122275.35</v>
                </pt>
                <pt idx="36">
                  <v>122582.86</v>
                </pt>
                <pt idx="37">
                  <v>115278</v>
                </pt>
                <pt idx="38">
                  <v>108242.42</v>
                </pt>
                <pt idx="39">
                  <v>92723.22</v>
                </pt>
                <pt idx="40">
                  <v>116120.28</v>
                </pt>
                <pt idx="41">
                  <v>106864.61</v>
                </pt>
                <pt idx="42">
                  <v>119572.99</v>
                </pt>
                <pt idx="43">
                  <v>97778.69</v>
                </pt>
                <pt idx="44">
                  <v>74980.3</v>
                </pt>
                <pt idx="45">
                  <v>108168.04</v>
                </pt>
                <pt idx="46">
                  <v>96821.56</v>
                </pt>
                <pt idx="47">
                  <v>94065.50999999999</v>
                </pt>
                <pt idx="48">
                  <v>117533</v>
                </pt>
                <pt idx="49">
                  <v>102166.79</v>
                </pt>
                <pt idx="50">
                  <v>95973.57000000001</v>
                </pt>
                <pt idx="51">
                  <v>105400.48</v>
                </pt>
              </numCache>
            </numRef>
          </val>
          <smooth val="1"/>
        </ser>
        <ser>
          <idx val="2"/>
          <order val="2"/>
          <tx>
            <v>Перечислено</v>
          </tx>
          <spPr>
            <a:ln w="19050" cap="flat" cmpd="sng">
              <a:solidFill>
                <a:srgbClr val="00B050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 (нед)'!$C$30:$BB$30</f>
              <numCache>
                <formatCode>#,##0</formatCode>
                <ptCount val="52"/>
                <pt idx="0">
                  <v>82282.55</v>
                </pt>
                <pt idx="1">
                  <v>127413.16</v>
                </pt>
                <pt idx="2">
                  <v>160408.28</v>
                </pt>
                <pt idx="3">
                  <v>182614.17</v>
                </pt>
                <pt idx="4">
                  <v>186215.29</v>
                </pt>
                <pt idx="5">
                  <v>202465.37</v>
                </pt>
                <pt idx="6">
                  <v>158177.26</v>
                </pt>
                <pt idx="7">
                  <v>139424.44</v>
                </pt>
                <pt idx="8">
                  <v>101658.44</v>
                </pt>
                <pt idx="9">
                  <v>75436.90000000001</v>
                </pt>
                <pt idx="10">
                  <v>134258.96</v>
                </pt>
                <pt idx="11">
                  <v>106056.59</v>
                </pt>
                <pt idx="12">
                  <v>130056.08</v>
                </pt>
                <pt idx="13">
                  <v>119529.61</v>
                </pt>
                <pt idx="14">
                  <v>131778.33</v>
                </pt>
                <pt idx="15">
                  <v>128131.45</v>
                </pt>
                <pt idx="16">
                  <v>138142.7</v>
                </pt>
                <pt idx="17">
                  <v>125427.4</v>
                </pt>
                <pt idx="18">
                  <v>122998.53</v>
                </pt>
                <pt idx="19">
                  <v>101574.92</v>
                </pt>
                <pt idx="20">
                  <v>80779.86</v>
                </pt>
                <pt idx="21">
                  <v>75055.31</v>
                </pt>
                <pt idx="22">
                  <v>61373.91</v>
                </pt>
                <pt idx="23">
                  <v>64327.55</v>
                </pt>
                <pt idx="24">
                  <v>105816.04</v>
                </pt>
                <pt idx="25">
                  <v>87213.86</v>
                </pt>
                <pt idx="26">
                  <v>98837.20999999999</v>
                </pt>
                <pt idx="27">
                  <v>88370.00999999999</v>
                </pt>
                <pt idx="28">
                  <v>92257.53999999999</v>
                </pt>
                <pt idx="29">
                  <v>105460.86</v>
                </pt>
                <pt idx="30">
                  <v>96884.12</v>
                </pt>
                <pt idx="31">
                  <v>93441.99000000001</v>
                </pt>
                <pt idx="32">
                  <v>124113.47</v>
                </pt>
                <pt idx="33">
                  <v>108875.76</v>
                </pt>
                <pt idx="34">
                  <v>74748.37000000001</v>
                </pt>
                <pt idx="35">
                  <v>85334.27</v>
                </pt>
                <pt idx="36">
                  <v>90147.14999999999</v>
                </pt>
                <pt idx="37">
                  <v>83583.2</v>
                </pt>
                <pt idx="38">
                  <v>91037.42</v>
                </pt>
                <pt idx="39">
                  <v>70214.67</v>
                </pt>
                <pt idx="40">
                  <v>91542.01000000001</v>
                </pt>
                <pt idx="41">
                  <v>79773.82000000001</v>
                </pt>
                <pt idx="42">
                  <v>90859.79000000001</v>
                </pt>
                <pt idx="43">
                  <v>75837.38</v>
                </pt>
                <pt idx="44">
                  <v>56407.59</v>
                </pt>
                <pt idx="45">
                  <v>85643.72</v>
                </pt>
                <pt idx="46">
                  <v>77059.89999999999</v>
                </pt>
                <pt idx="47">
                  <v>74280.34</v>
                </pt>
                <pt idx="48">
                  <v>94956.37</v>
                </pt>
                <pt idx="49">
                  <v>76720.88999999998</v>
                </pt>
                <pt idx="50">
                  <v>66697.89000000001</v>
                </pt>
                <pt idx="51">
                  <v>84145.17</v>
                </pt>
              </numCache>
            </numRef>
          </val>
          <smooth val="1"/>
        </ser>
        <ser>
          <idx val="3"/>
          <order val="3"/>
          <tx>
            <v>Логистика</v>
          </tx>
          <spPr>
            <a:ln w="19050" cap="rnd">
              <a:solidFill>
                <a:srgbClr val="9933FF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 (нед)'!$C$40:$BB$40</f>
              <numCache>
                <formatCode>#,##0</formatCode>
                <ptCount val="52"/>
                <pt idx="0">
                  <v>23678</v>
                </pt>
                <pt idx="1">
                  <v>38819</v>
                </pt>
                <pt idx="2">
                  <v>46501</v>
                </pt>
                <pt idx="3">
                  <v>56520</v>
                </pt>
                <pt idx="4">
                  <v>60056.21</v>
                </pt>
                <pt idx="5">
                  <v>57624</v>
                </pt>
                <pt idx="6">
                  <v>43944</v>
                </pt>
                <pt idx="7">
                  <v>40446.25</v>
                </pt>
                <pt idx="8">
                  <v>27529</v>
                </pt>
                <pt idx="9">
                  <v>28856</v>
                </pt>
                <pt idx="10">
                  <v>37035</v>
                </pt>
                <pt idx="11">
                  <v>34896</v>
                </pt>
                <pt idx="12">
                  <v>39242</v>
                </pt>
                <pt idx="13">
                  <v>35984</v>
                </pt>
                <pt idx="14">
                  <v>40829</v>
                </pt>
                <pt idx="15">
                  <v>46013</v>
                </pt>
                <pt idx="16">
                  <v>53384</v>
                </pt>
                <pt idx="17">
                  <v>46606</v>
                </pt>
                <pt idx="18">
                  <v>40761.68</v>
                </pt>
                <pt idx="19">
                  <v>34347</v>
                </pt>
                <pt idx="20">
                  <v>28506</v>
                </pt>
                <pt idx="21">
                  <v>23359.26</v>
                </pt>
                <pt idx="22">
                  <v>20580.15</v>
                </pt>
                <pt idx="23">
                  <v>24140.75</v>
                </pt>
                <pt idx="24">
                  <v>40503</v>
                </pt>
                <pt idx="25">
                  <v>29420</v>
                </pt>
                <pt idx="26">
                  <v>31458</v>
                </pt>
                <pt idx="27">
                  <v>23056.45</v>
                </pt>
                <pt idx="28">
                  <v>24934.47</v>
                </pt>
                <pt idx="29">
                  <v>27042</v>
                </pt>
                <pt idx="30">
                  <v>28296</v>
                </pt>
                <pt idx="31">
                  <v>26048</v>
                </pt>
                <pt idx="32">
                  <v>26727</v>
                </pt>
                <pt idx="33">
                  <v>23997</v>
                </pt>
                <pt idx="34">
                  <v>21879</v>
                </pt>
                <pt idx="35">
                  <v>21121.04</v>
                </pt>
                <pt idx="36">
                  <v>21529</v>
                </pt>
                <pt idx="37">
                  <v>22467</v>
                </pt>
                <pt idx="38">
                  <v>16803</v>
                </pt>
                <pt idx="39">
                  <v>13985</v>
                </pt>
                <pt idx="40">
                  <v>17046.69</v>
                </pt>
                <pt idx="41">
                  <v>19829</v>
                </pt>
                <pt idx="42">
                  <v>21714</v>
                </pt>
                <pt idx="43">
                  <v>15116</v>
                </pt>
                <pt idx="44">
                  <v>11859</v>
                </pt>
                <pt idx="45">
                  <v>15979</v>
                </pt>
                <pt idx="46">
                  <v>13367</v>
                </pt>
                <pt idx="47">
                  <v>13574</v>
                </pt>
                <pt idx="48">
                  <v>16555.47</v>
                </pt>
                <pt idx="49">
                  <v>16255</v>
                </pt>
                <pt idx="50">
                  <v>16225</v>
                </pt>
                <pt idx="51">
                  <v>15683</v>
                </pt>
              </numCache>
            </numRef>
          </val>
          <smooth val="1"/>
        </ser>
        <ser>
          <idx val="4"/>
          <order val="4"/>
          <tx>
            <v>Хранение</v>
          </tx>
          <spPr>
            <a:ln w="19050" cap="rnd">
              <a:solidFill>
                <a:srgbClr val="FF6699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 (нед)'!$C$43:$BB$43</f>
              <numCache>
                <formatCode>#,##0</formatCode>
                <ptCount val="52"/>
                <pt idx="0">
                  <v>6283.16</v>
                </pt>
                <pt idx="1">
                  <v>5709.87</v>
                </pt>
                <pt idx="2">
                  <v>6110.69</v>
                </pt>
                <pt idx="3">
                  <v>6621.24</v>
                </pt>
                <pt idx="4">
                  <v>5684.21</v>
                </pt>
                <pt idx="5">
                  <v>4866.53</v>
                </pt>
                <pt idx="6">
                  <v>4268.42</v>
                </pt>
                <pt idx="7">
                  <v>3754.68</v>
                </pt>
                <pt idx="8">
                  <v>3419.91</v>
                </pt>
                <pt idx="9">
                  <v>6187.2</v>
                </pt>
                <pt idx="10">
                  <v>8029.56</v>
                </pt>
                <pt idx="11">
                  <v>7533.7</v>
                </pt>
                <pt idx="12">
                  <v>7036.13</v>
                </pt>
                <pt idx="13">
                  <v>6535.32</v>
                </pt>
                <pt idx="14">
                  <v>6001.34</v>
                </pt>
                <pt idx="15">
                  <v>6624.96</v>
                </pt>
                <pt idx="16">
                  <v>8142</v>
                </pt>
                <pt idx="17">
                  <v>7471.62</v>
                </pt>
                <pt idx="18">
                  <v>7011.42</v>
                </pt>
                <pt idx="19">
                  <v>6609.47</v>
                </pt>
                <pt idx="20">
                  <v>6203.16</v>
                </pt>
                <pt idx="21">
                  <v>5945.72</v>
                </pt>
                <pt idx="22">
                  <v>5712.17</v>
                </pt>
                <pt idx="23">
                  <v>7220.12</v>
                </pt>
                <pt idx="24">
                  <v>8502.209999999999</v>
                </pt>
                <pt idx="25">
                  <v>8093.64</v>
                </pt>
                <pt idx="26">
                  <v>7667.85</v>
                </pt>
                <pt idx="27">
                  <v>7177.66</v>
                </pt>
                <pt idx="28">
                  <v>6453.33</v>
                </pt>
                <pt idx="29">
                  <v>6265.09</v>
                </pt>
                <pt idx="30">
                  <v>5608.31</v>
                </pt>
                <pt idx="31">
                  <v>5258.05</v>
                </pt>
                <pt idx="32">
                  <v>5371.93</v>
                </pt>
                <pt idx="33">
                  <v>5301.24</v>
                </pt>
                <pt idx="34">
                  <v>6915.34</v>
                </pt>
                <pt idx="35">
                  <v>8492.440000000001</v>
                </pt>
                <pt idx="36">
                  <v>8270.709999999999</v>
                </pt>
                <pt idx="37">
                  <v>7967.8</v>
                </pt>
                <pt idx="39">
                  <v>7597.35</v>
                </pt>
                <pt idx="40">
                  <v>7411.58</v>
                </pt>
                <pt idx="41">
                  <v>7195.79</v>
                </pt>
                <pt idx="42">
                  <v>6979.2</v>
                </pt>
                <pt idx="43">
                  <v>6825.31</v>
                </pt>
                <pt idx="44">
                  <v>6713.71</v>
                </pt>
                <pt idx="45">
                  <v>6545.32</v>
                </pt>
                <pt idx="46">
                  <v>6394.66</v>
                </pt>
                <pt idx="47">
                  <v>6211.17</v>
                </pt>
                <pt idx="48">
                  <v>6021.16</v>
                </pt>
                <pt idx="49">
                  <v>5872.9</v>
                </pt>
                <pt idx="50">
                  <v>5744.68</v>
                </pt>
                <pt idx="51">
                  <v>5572.31</v>
                </pt>
              </numCache>
            </numRef>
          </val>
          <smooth val="1"/>
        </ser>
        <ser>
          <idx val="5"/>
          <order val="5"/>
          <tx>
            <v>Прибыль</v>
          </tx>
          <spPr>
            <a:ln w="19050" cap="rnd">
              <a:solidFill>
                <a:srgbClr val="FF0000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 (нед)'!$C$57:$BB$57</f>
              <numCache>
                <formatCode>#,##0</formatCode>
                <ptCount val="52"/>
                <pt idx="0">
                  <v>29140.43</v>
                </pt>
                <pt idx="1">
                  <v>38127.76999999999</v>
                </pt>
                <pt idx="2">
                  <v>55348.04</v>
                </pt>
                <pt idx="3">
                  <v>62691.01000000001</v>
                </pt>
                <pt idx="4">
                  <v>66857.5</v>
                </pt>
                <pt idx="5">
                  <v>78678.23000000004</v>
                </pt>
                <pt idx="6">
                  <v>64346.3</v>
                </pt>
                <pt idx="7">
                  <v>46228.17999999999</v>
                </pt>
                <pt idx="8">
                  <v>37817.75</v>
                </pt>
                <pt idx="9">
                  <v>8202.120000000019</v>
                </pt>
                <pt idx="10">
                  <v>39315.86999999999</v>
                </pt>
                <pt idx="11">
                  <v>32848.80000000002</v>
                </pt>
                <pt idx="12">
                  <v>50702.73</v>
                </pt>
                <pt idx="13">
                  <v>44135.21</v>
                </pt>
                <pt idx="14">
                  <v>47258.63000000002</v>
                </pt>
                <pt idx="15">
                  <v>44453.03</v>
                </pt>
                <pt idx="16">
                  <v>47735.65000000002</v>
                </pt>
                <pt idx="17">
                  <v>41635.98</v>
                </pt>
                <pt idx="18">
                  <v>46850.129</v>
                </pt>
                <pt idx="19">
                  <v>36993.98000000002</v>
                </pt>
                <pt idx="20">
                  <v>27290.42</v>
                </pt>
                <pt idx="21">
                  <v>23810.45</v>
                </pt>
                <pt idx="22">
                  <v>19636.16999999999</v>
                </pt>
                <pt idx="23">
                  <v>17276.74999999999</v>
                </pt>
                <pt idx="24">
                  <v>23204.58000000001</v>
                </pt>
                <pt idx="25">
                  <v>25963.92000000001</v>
                </pt>
                <pt idx="26">
                  <v>38678.26000000001</v>
                </pt>
                <pt idx="27">
                  <v>36859.15999999999</v>
                </pt>
                <pt idx="28">
                  <v>33712.03999999999</v>
                </pt>
                <pt idx="29">
                  <v>42440.91</v>
                </pt>
                <pt idx="30">
                  <v>36067.42</v>
                </pt>
                <pt idx="31">
                  <v>38206.67</v>
                </pt>
                <pt idx="32">
                  <v>60224.03</v>
                </pt>
                <pt idx="33">
                  <v>53808.74999999999</v>
                </pt>
                <pt idx="34">
                  <v>28867.55</v>
                </pt>
                <pt idx="35">
                  <v>41493.7</v>
                </pt>
                <pt idx="36">
                  <v>45615.38</v>
                </pt>
                <pt idx="37">
                  <v>39275.91</v>
                </pt>
                <pt idx="38">
                  <v>52490.98999999999</v>
                </pt>
                <pt idx="39">
                  <v>40603.99999999999</v>
                </pt>
                <pt idx="40">
                  <v>51387.4044</v>
                </pt>
                <pt idx="41">
                  <v>40373.71</v>
                </pt>
                <pt idx="42">
                  <v>46195.63</v>
                </pt>
                <pt idx="43">
                  <v>41761.85000000001</v>
                </pt>
                <pt idx="44">
                  <v>32366.78000000001</v>
                </pt>
                <pt idx="45">
                  <v>53319.52</v>
                </pt>
                <pt idx="46">
                  <v>48763.88</v>
                </pt>
                <pt idx="47">
                  <v>46483.15</v>
                </pt>
                <pt idx="48">
                  <v>60668.6</v>
                </pt>
                <pt idx="49">
                  <v>44338.70999999999</v>
                </pt>
                <pt idx="50">
                  <v>36671.83000000001</v>
                </pt>
                <pt idx="51">
                  <v>49687.57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18338735"/>
        <axId val="922101423"/>
      </lineChart>
      <catAx>
        <axId val="918338735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22101423"/>
        <crosses val="autoZero"/>
        <auto val="1"/>
        <lblAlgn val="ctr"/>
        <lblOffset val="100"/>
        <noMultiLvlLbl val="0"/>
      </catAx>
      <valAx>
        <axId val="92210142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18338735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Рентабельность</v>
          </tx>
          <spPr>
            <a:ln w="19050" cap="rnd">
              <a:solidFill>
                <a:srgbClr val="00B050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circle"/>
            <size val="4"/>
            <spPr>
              <a:solidFill>
                <a:srgbClr val="00B050"/>
              </a:solidFill>
              <a:ln w="9525">
                <a:noFill/>
                <a:prstDash val="solid"/>
              </a:ln>
            </spPr>
          </marker>
          <cat>
            <strRef>
              <f>'PL WB (нед)'!$C$3:$BB$3</f>
              <strCache>
                <ptCount val="52"/>
                <pt idx="0">
                  <v>30.12-05.01</v>
                </pt>
                <pt idx="1">
                  <v>06.01-12.01</v>
                </pt>
                <pt idx="2">
                  <v>13.01-19.01</v>
                </pt>
                <pt idx="3">
                  <v>20.01-26.01</v>
                </pt>
                <pt idx="4">
                  <v>27.01-02.02</v>
                </pt>
                <pt idx="5">
                  <v>03.02-09.02</v>
                </pt>
                <pt idx="6">
                  <v>10.02-16.02</v>
                </pt>
                <pt idx="7">
                  <v>17.02-23.02</v>
                </pt>
                <pt idx="8">
                  <v>24.02-02.03</v>
                </pt>
                <pt idx="9">
                  <v>03.03-09.03</v>
                </pt>
                <pt idx="10">
                  <v>10.03-16.03</v>
                </pt>
                <pt idx="11">
                  <v>17.03-23.03</v>
                </pt>
                <pt idx="12">
                  <v>24.03-30.03</v>
                </pt>
                <pt idx="13">
                  <v>31.03-06.04</v>
                </pt>
                <pt idx="14">
                  <v>07.04-13.04</v>
                </pt>
                <pt idx="15">
                  <v>14.04-20.04</v>
                </pt>
                <pt idx="16">
                  <v>21.04-27.04</v>
                </pt>
                <pt idx="17">
                  <v>28.04-04.05</v>
                </pt>
                <pt idx="18">
                  <v>05.05-11.05</v>
                </pt>
                <pt idx="19">
                  <v>12.05-18.05</v>
                </pt>
                <pt idx="20">
                  <v>19.05-25.05</v>
                </pt>
                <pt idx="21">
                  <v>26.05-01.06</v>
                </pt>
                <pt idx="22">
                  <v>02.06-08.06</v>
                </pt>
                <pt idx="23">
                  <v>09.06-15.06</v>
                </pt>
                <pt idx="24">
                  <v>16.06-22.06</v>
                </pt>
                <pt idx="25">
                  <v>23.06-29.06</v>
                </pt>
                <pt idx="26">
                  <v>30.06-06.07</v>
                </pt>
                <pt idx="27">
                  <v>07.07-13.07</v>
                </pt>
                <pt idx="28">
                  <v>14.07-20.07</v>
                </pt>
                <pt idx="29">
                  <v>21.07-27.07</v>
                </pt>
                <pt idx="30">
                  <v>28.07-03.08</v>
                </pt>
                <pt idx="31">
                  <v>04.08-10.08</v>
                </pt>
                <pt idx="32">
                  <v>11.08-17.08</v>
                </pt>
                <pt idx="33">
                  <v>18.08-24.08</v>
                </pt>
                <pt idx="34">
                  <v>25.08-31.08</v>
                </pt>
                <pt idx="35">
                  <v>1-7.09</v>
                </pt>
                <pt idx="36">
                  <v>8-14.09</v>
                </pt>
                <pt idx="37">
                  <v>15-21.09</v>
                </pt>
                <pt idx="38">
                  <v>22.09-28.09</v>
                </pt>
                <pt idx="39">
                  <v>29.09-05.10</v>
                </pt>
                <pt idx="40">
                  <v>06.10-12.10</v>
                </pt>
                <pt idx="41">
                  <v>13.10-20.10</v>
                </pt>
                <pt idx="42">
                  <v>21.10-26.10</v>
                </pt>
                <pt idx="43">
                  <v>27.10-02.11</v>
                </pt>
                <pt idx="44">
                  <v>03.11-09.11</v>
                </pt>
                <pt idx="45">
                  <v>10.11-16.11</v>
                </pt>
                <pt idx="46">
                  <v>17.11-23.11</v>
                </pt>
                <pt idx="47">
                  <v>24.11-30.11</v>
                </pt>
                <pt idx="48">
                  <v>01.12-07.12</v>
                </pt>
                <pt idx="49">
                  <v>08.12-14.12</v>
                </pt>
                <pt idx="50">
                  <v>15.12-21.12</v>
                </pt>
                <pt idx="51">
                  <v>22.12-28.12</v>
                </pt>
              </strCache>
            </strRef>
          </cat>
          <val>
            <numRef>
              <f>'PL WB (нед)'!$C$58:$BB$58</f>
              <numCache>
                <formatCode>0%</formatCode>
                <ptCount val="52"/>
                <pt idx="0">
                  <v>0.6300914159636083</v>
                </pt>
                <pt idx="1">
                  <v>0.4874329420900141</v>
                </pt>
                <pt idx="2">
                  <v>0.6034072841415243</v>
                </pt>
                <pt idx="3">
                  <v>0.5909402746126572</v>
                </pt>
                <pt idx="4">
                  <v>0.6360337938170751</v>
                </pt>
                <pt idx="5">
                  <v>0.7309421227230013</v>
                </pt>
                <pt idx="6">
                  <v>0.7758273737281908</v>
                </pt>
                <pt idx="7">
                  <v>0.5573760648496351</v>
                </pt>
                <pt idx="8">
                  <v>0.6784176965972153</v>
                </pt>
                <pt idx="9">
                  <v>0.1396937274312436</v>
                </pt>
                <pt idx="10">
                  <v>0.5107426357062452</v>
                </pt>
                <pt idx="11">
                  <v>0.5187924219109918</v>
                </pt>
                <pt idx="12">
                  <v>0.7403011534789433</v>
                </pt>
                <pt idx="13">
                  <v>0.6753011261034507</v>
                </pt>
                <pt idx="14">
                  <v>0.6442110925297159</v>
                </pt>
                <pt idx="15">
                  <v>0.6147840436451705</v>
                </pt>
                <pt idx="16">
                  <v>0.6126882432842982</v>
                </pt>
                <pt idx="17">
                  <v>0.5751169130533755</v>
                </pt>
                <pt idx="18">
                  <v>0.7105922546415879</v>
                </pt>
                <pt idx="19">
                  <v>0.6602222062791284</v>
                </pt>
                <pt idx="20">
                  <v>0.5879933983728626</v>
                </pt>
                <pt idx="21">
                  <v>0.5305216883684036</v>
                </pt>
                <pt idx="22">
                  <v>0.5411712082653291</v>
                </pt>
                <pt idx="23">
                  <v>0.4320073114988571</v>
                </pt>
                <pt idx="24">
                  <v>0.3253906932510744</v>
                </pt>
                <pt idx="25">
                  <v>0.4965880979913406</v>
                </pt>
                <pt idx="26">
                  <v>0.7627420429588231</v>
                </pt>
                <pt idx="27">
                  <v>0.8447571038793017</v>
                </pt>
                <pt idx="28">
                  <v>0.6742407999999999</v>
                </pt>
                <pt idx="29">
                  <v>0.7902995234283219</v>
                </pt>
                <pt idx="30">
                  <v>0.6931419584015891</v>
                </pt>
                <pt idx="31">
                  <v>0.8144233929776559</v>
                </pt>
                <pt idx="32">
                  <v>1.122684501652409</v>
                </pt>
                <pt idx="33">
                  <v>1.175266668981871</v>
                </pt>
                <pt idx="34">
                  <v>0.7975113434689688</v>
                </pt>
                <pt idx="35">
                  <v>1.162972290991258</v>
                </pt>
                <pt idx="36">
                  <v>1.226878515159886</v>
                </pt>
                <pt idx="37">
                  <v>1.038490003096228</v>
                </pt>
                <pt idx="38">
                  <v>1.625346064609461</v>
                </pt>
                <pt idx="39">
                  <v>1.66310663108679</v>
                </pt>
                <pt idx="40">
                  <v>1.537149181596472</v>
                </pt>
                <pt idx="41">
                  <v>1.221698728394154</v>
                </pt>
                <pt idx="42">
                  <v>1.225328124577261</v>
                </pt>
                <pt idx="43">
                  <v>1.455487442968924</v>
                </pt>
                <pt idx="44">
                  <v>1.630859927090236</v>
                </pt>
                <pt idx="45">
                  <v>2.032303704833054</v>
                </pt>
                <pt idx="46">
                  <v>2.146769975786925</v>
                </pt>
                <pt idx="47">
                  <v>2.078446654209352</v>
                </pt>
                <pt idx="48">
                  <v>2.213546692975412</v>
                </pt>
                <pt idx="49">
                  <v>1.67085372030135</v>
                </pt>
                <pt idx="50">
                  <v>1.50317425703776</v>
                </pt>
                <pt idx="51">
                  <v>1.76222052773443</v>
                </pt>
              </numCache>
            </numRef>
          </val>
          <smooth val="1"/>
        </ser>
        <ser>
          <idx val="1"/>
          <order val="1"/>
          <tx>
            <v>% Себестоимости</v>
          </tx>
          <spPr>
            <a:ln w="19050" cap="rnd">
              <a:solidFill>
                <a:srgbClr val="0066FF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circle"/>
            <size val="4"/>
            <spPr>
              <a:solidFill>
                <a:srgbClr val="0066FF"/>
              </a:solidFill>
              <a:ln w="9525">
                <a:noFill/>
                <a:prstDash val="solid"/>
              </a:ln>
            </spPr>
          </marker>
          <val>
            <numRef>
              <f>'PL WB (нед)'!$C$34:$BB$34</f>
              <numCache>
                <formatCode>0%</formatCode>
                <ptCount val="52"/>
                <pt idx="0">
                  <v>0.3274051367729512</v>
                </pt>
                <pt idx="1">
                  <v>0.3459692428812795</v>
                </pt>
                <pt idx="2">
                  <v>0.3400653987320654</v>
                </pt>
                <pt idx="3">
                  <v>0.3378875119039657</v>
                </pt>
                <pt idx="4">
                  <v>0.3131424085890813</v>
                </pt>
                <pt idx="5">
                  <v>0.318117412017827</v>
                </pt>
                <pt idx="6">
                  <v>0.3087972984545045</v>
                </pt>
                <pt idx="7">
                  <v>0.3475614651910272</v>
                </pt>
                <pt idx="8">
                  <v>0.3276768027086921</v>
                </pt>
                <pt idx="9">
                  <v>0.3289817621515618</v>
                </pt>
                <pt idx="10">
                  <v>0.3350388234577251</v>
                </pt>
                <pt idx="11">
                  <v>0.3073889002165195</v>
                </pt>
                <pt idx="12">
                  <v>0.3015517142693607</v>
                </pt>
                <pt idx="13">
                  <v>0.3115663569579581</v>
                </pt>
                <pt idx="14">
                  <v>0.3145117407726573</v>
                </pt>
                <pt idx="15">
                  <v>0.3048229198723489</v>
                </pt>
                <pt idx="16">
                  <v>0.2943900927622754</v>
                </pt>
                <pt idx="17">
                  <v>0.3015820672934726</v>
                </pt>
                <pt idx="18">
                  <v>0.3001657189424947</v>
                </pt>
                <pt idx="19">
                  <v>0.3063951180301514</v>
                </pt>
                <pt idx="20">
                  <v>0.3148295369754854</v>
                </pt>
                <pt idx="21">
                  <v>0.3362063928445686</v>
                </pt>
                <pt idx="22">
                  <v>0.321034293601359</v>
                </pt>
                <pt idx="23">
                  <v>0.2728828478434423</v>
                </pt>
                <pt idx="24">
                  <v>0.3063693463018972</v>
                </pt>
                <pt idx="25">
                  <v>0.2794967578461193</v>
                </pt>
                <pt idx="26">
                  <v>0.2553193664028356</v>
                </pt>
                <pt idx="27">
                  <v>0.2565491309767398</v>
                </pt>
                <pt idx="28">
                  <v>0.2746649088112503</v>
                </pt>
                <pt idx="29">
                  <v>0.263612315123431</v>
                </pt>
                <pt idx="30">
                  <v>0.2720326639864911</v>
                </pt>
                <pt idx="31">
                  <v>0.2595437897648686</v>
                </pt>
                <pt idx="32">
                  <v>0.2383608902950024</v>
                </pt>
                <pt idx="33">
                  <v>0.2334277731608706</v>
                </pt>
                <pt idx="34">
                  <v>0.2303768433245715</v>
                </pt>
                <pt idx="35">
                  <v>0.2117260184553304</v>
                </pt>
                <pt idx="36">
                  <v>0.2228497533550309</v>
                </pt>
                <pt idx="37">
                  <v>0.2426425565221854</v>
                </pt>
                <pt idx="38">
                  <v>0.2203627989492</v>
                </pt>
                <pt idx="39">
                  <v>0.193529733500325</v>
                </pt>
                <pt idx="40">
                  <v>0.2107786058359184</v>
                </pt>
                <pt idx="41">
                  <v>0.2266890974194345</v>
                </pt>
                <pt idx="42">
                  <v>0.2305834215081254</v>
                </pt>
                <pt idx="43">
                  <v>0.2140894032323051</v>
                </pt>
                <pt idx="44">
                  <v>0.186999557151068</v>
                </pt>
                <pt idx="45">
                  <v>0.1691161303630363</v>
                </pt>
                <pt idx="46">
                  <v>0.1621816520180781</v>
                </pt>
                <pt idx="47">
                  <v>0.1645031665820774</v>
                </pt>
                <pt idx="48">
                  <v>0.1604976927761642</v>
                </pt>
                <pt idx="49">
                  <v>0.1809874438177342</v>
                </pt>
                <pt idx="50">
                  <v>0.1786342634966428</v>
                </pt>
                <pt idx="51">
                  <v>0.1868460289586164</v>
                </pt>
              </numCache>
            </numRef>
          </val>
          <smooth val="1"/>
        </ser>
        <ser>
          <idx val="2"/>
          <order val="2"/>
          <tx>
            <v>% Расходы</v>
          </tx>
          <spPr>
            <a:ln w="19050" cap="rnd">
              <a:solidFill>
                <a:srgbClr val="FF0000"/>
              </a:solidFill>
              <a:prstDash val="solid"/>
              <a:round/>
              <a:headEnd type="oval" w="sm" len="sm"/>
              <a:tailEnd type="oval" w="sm" len="sm"/>
            </a:ln>
          </spPr>
          <marker>
            <symbol val="circle"/>
            <size val="4"/>
            <spPr>
              <a:solidFill>
                <a:srgbClr val="FF0000"/>
              </a:solidFill>
              <a:ln w="9525">
                <a:noFill/>
                <a:prstDash val="solid"/>
              </a:ln>
            </spPr>
          </marker>
          <val>
            <numRef>
              <f>'PL WB (нед)'!$C$39:$BB$39</f>
              <numCache>
                <formatCode>0%</formatCode>
                <ptCount val="52"/>
                <pt idx="0">
                  <v>0.2121053972928583</v>
                </pt>
                <pt idx="1">
                  <v>0.1969484816049962</v>
                </pt>
                <pt idx="2">
                  <v>0.1950531642753865</v>
                </pt>
                <pt idx="3">
                  <v>0.2056885508534228</v>
                </pt>
                <pt idx="4">
                  <v>0.2226881989501969</v>
                </pt>
                <pt idx="5">
                  <v>0.185399540140204</v>
                </pt>
                <pt idx="6">
                  <v>0.1867157382896417</v>
                </pt>
                <pt idx="7">
                  <v>0.1896816842740466</v>
                </pt>
                <pt idx="8">
                  <v>0.181925064219752</v>
                </pt>
                <pt idx="9">
                  <v>0.3549456226362235</v>
                </pt>
                <pt idx="10">
                  <v>0.2292654009871256</v>
                </pt>
                <pt idx="11">
                  <v>0.2705460565281135</v>
                </pt>
                <pt idx="12">
                  <v>0.2061355741162278</v>
                </pt>
                <pt idx="13">
                  <v>0.2087426525621285</v>
                </pt>
                <pt idx="14">
                  <v>0.2104007339858605</v>
                </pt>
                <pt idx="15">
                  <v>0.2348517973601339</v>
                </pt>
                <pt idx="16">
                  <v>0.2499631595851202</v>
                </pt>
                <pt idx="17">
                  <v>0.2514262267082686</v>
                </pt>
                <pt idx="18">
                  <v>0.218503612581892</v>
                </pt>
                <pt idx="19">
                  <v>0.2239563750498969</v>
                </pt>
                <pt idx="20">
                  <v>0.2354408432934026</v>
                </pt>
                <pt idx="21">
                  <v>0.2195244694478362</v>
                </pt>
                <pt idx="22">
                  <v>0.2392882927519819</v>
                </pt>
                <pt idx="23">
                  <v>0.3111936978431011</v>
                </pt>
                <pt idx="24">
                  <v>0.2727617627852626</v>
                </pt>
                <pt idx="25">
                  <v>0.2559544975864262</v>
                </pt>
                <pt idx="26">
                  <v>0.223852788351157</v>
                </pt>
                <pt idx="27">
                  <v>0.1977886944660034</v>
                </pt>
                <pt idx="28">
                  <v>0.2206756756756757</v>
                </pt>
                <pt idx="29">
                  <v>0.2059439811110511</v>
                </pt>
                <pt idx="30">
                  <v>0.2185962536791422</v>
                </pt>
                <pt idx="31">
                  <v>0.2144290456431535</v>
                </pt>
                <pt idx="32">
                  <v>0.1737467395989318</v>
                </pt>
                <pt idx="33">
                  <v>0.1756368697709277</v>
                </pt>
                <pt idx="34">
                  <v>0.2692764175380757</v>
                </pt>
                <pt idx="35">
                  <v>0.2192153814200516</v>
                </pt>
                <pt idx="36">
                  <v>0.1944132367132385</v>
                </pt>
                <pt idx="37">
                  <v>0.203343855056843</v>
                </pt>
                <pt idx="38">
                  <v>0.1173961993790727</v>
                </pt>
                <pt idx="39">
                  <v>0.1784212153399813</v>
                </pt>
                <pt idx="40">
                  <v>0.1549662681899573</v>
                </pt>
                <pt idx="41">
                  <v>0.1858308295948745</v>
                </pt>
                <pt idx="42">
                  <v>0.1756148280438652</v>
                </pt>
                <pt idx="43">
                  <v>0.1637142409455164</v>
                </pt>
                <pt idx="44">
                  <v>0.1749979742016941</v>
                </pt>
                <pt idx="45">
                  <v>0.145190800330033</v>
                </pt>
                <pt idx="46">
                  <v>0.1410952527149273</v>
                </pt>
                <pt idx="47">
                  <v>0.1455316253650212</v>
                </pt>
                <pt idx="48">
                  <v>0.1322064438302258</v>
                </pt>
                <pt idx="49">
                  <v>0.1735488095156901</v>
                </pt>
                <pt idx="50">
                  <v>0.2143623463253546</v>
                </pt>
                <pt idx="51">
                  <v>0.1408522580431397</v>
                </pt>
              </numCache>
            </numRef>
          </val>
          <smooth val="1"/>
        </ser>
        <ser>
          <idx val="3"/>
          <order val="3"/>
          <tx>
            <v>Маржинальность %</v>
          </tx>
          <spPr>
            <a:ln w="19050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spPr>
          </marker>
          <dPt>
            <idx val="46"/>
            <marker>
              <symbol val="circle"/>
              <size val="4"/>
              <spPr>
                <a:solidFill>
                  <a:schemeClr val="accent4"/>
                </a:solidFill>
                <a:ln w="9525">
                  <a:solidFill>
                    <a:schemeClr val="accent4"/>
                  </a:solidFill>
                  <a:prstDash val="solid"/>
                </a:ln>
              </spPr>
            </marker>
            <bubble3D val="0"/>
            <spPr>
              <a:ln w="19050" cap="rnd">
                <a:solidFill>
                  <a:schemeClr val="accent4"/>
                </a:solidFill>
                <a:prstDash val="solid"/>
                <a:round/>
              </a:ln>
            </spPr>
          </dPt>
          <val>
            <numRef>
              <f>'PL WB (нед)'!$C$59:$BB$59</f>
              <numCache>
                <formatCode>0%</formatCode>
                <ptCount val="52"/>
                <pt idx="0">
                  <v>0.2062951662230277</v>
                </pt>
                <pt idx="1">
                  <v>0.1686368059302767</v>
                </pt>
                <pt idx="2">
                  <v>0.2051979386794202</v>
                </pt>
                <pt idx="3">
                  <v>0.1996713390727169</v>
                </pt>
                <pt idx="4">
                  <v>0.1991691541399301</v>
                </pt>
                <pt idx="5">
                  <v>0.232525416415458</v>
                </pt>
                <pt idx="6">
                  <v>0.2395733970743185</v>
                </pt>
                <pt idx="7">
                  <v>0.1937224417615481</v>
                </pt>
                <pt idx="8">
                  <v>0.2223017417219711</v>
                </pt>
                <pt idx="9">
                  <v>0.0459566886118505</v>
                </pt>
                <pt idx="10">
                  <v>0.1711186117567179</v>
                </pt>
                <pt idx="11">
                  <v>0.1594710320118844</v>
                </pt>
                <pt idx="12">
                  <v>0.2232390819071604</v>
                </pt>
                <pt idx="13">
                  <v>0.2104011117096588</v>
                </pt>
                <pt idx="14">
                  <v>0.2026119521365763</v>
                </pt>
                <pt idx="15">
                  <v>0.1874002672748505</v>
                </pt>
                <pt idx="16">
                  <v>0.1803693487748201</v>
                </pt>
                <pt idx="17">
                  <v>0.1734449475740774</v>
                </pt>
                <pt idx="18">
                  <v>0.2132954349894605</v>
                </pt>
                <pt idx="19">
                  <v>0.2022888608190205</v>
                </pt>
                <pt idx="20">
                  <v>0.1851176893543704</v>
                </pt>
                <pt idx="21">
                  <v>0.1783647831721513</v>
                </pt>
                <pt idx="22">
                  <v>0.1737345165628539</v>
                </pt>
                <pt idx="23">
                  <v>0.1178873854509972</v>
                </pt>
                <pt idx="24">
                  <v>0.09968973398405281</v>
                </pt>
                <pt idx="25">
                  <v>0.1387947633735507</v>
                </pt>
                <pt idx="26">
                  <v>0.1947428151370512</v>
                </pt>
                <pt idx="27">
                  <v>0.2167217008866624</v>
                </pt>
                <pt idx="28">
                  <v>0.1851902878488244</v>
                </pt>
                <pt idx="29">
                  <v>0.2083326870118841</v>
                </pt>
                <pt idx="30">
                  <v>0.1885572534647978</v>
                </pt>
                <pt idx="31">
                  <v>0.2113785338865837</v>
                </pt>
                <pt idx="32">
                  <v>0.2676040773342694</v>
                </pt>
                <pt idx="33">
                  <v>0.2743398814106322</v>
                </pt>
                <pt idx="34">
                  <v>0.1837281458239192</v>
                </pt>
                <pt idx="35">
                  <v>0.2462314927454529</v>
                </pt>
                <pt idx="36">
                  <v>0.2734095744999671</v>
                </pt>
                <pt idx="37">
                  <v>0.2519818692740011</v>
                </pt>
                <pt idx="38">
                  <v>0.358165808058408</v>
                </pt>
                <pt idx="39">
                  <v>0.3218605830968498</v>
                </pt>
                <pt idx="40">
                  <v>0.3239981614587274</v>
                </pt>
                <pt idx="41">
                  <v>0.2769457820581416</v>
                </pt>
                <pt idx="42">
                  <v>0.2825403514351594</v>
                </pt>
                <pt idx="43">
                  <v>0.3116044380773306</v>
                </pt>
                <pt idx="44">
                  <v>0.3049700841412971</v>
                </pt>
                <pt idx="45">
                  <v>0.3436953382838284</v>
                </pt>
                <pt idx="46">
                  <v>0.348166701175933</v>
                </pt>
                <pt idx="47">
                  <v>0.3419110561893624</v>
                </pt>
                <pt idx="48">
                  <v>0.3552691370748618</v>
                </pt>
                <pt idx="49">
                  <v>0.3024035438306927</v>
                </pt>
                <pt idx="50">
                  <v>0.2685184263130533</v>
                </pt>
                <pt idx="51">
                  <v>0.3292639077565356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18338735"/>
        <axId val="922101423"/>
      </lineChart>
      <catAx>
        <axId val="9183387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22101423"/>
        <crosses val="autoZero"/>
        <auto val="1"/>
        <lblAlgn val="ctr"/>
        <lblOffset val="100"/>
        <noMultiLvlLbl val="0"/>
      </catAx>
      <valAx>
        <axId val="92210142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18338735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Продажи</v>
          </tx>
          <spPr>
            <a:ln w="19050" cap="rnd">
              <a:solidFill>
                <a:srgbClr val="0066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WB'!$C$14:$N$14</f>
              <numCache>
                <formatCode>#,##0</formatCode>
                <ptCount val="12"/>
                <pt idx="0">
                  <v>1286733</v>
                </pt>
                <pt idx="1">
                  <v>1015701</v>
                </pt>
                <pt idx="2">
                  <v>841342</v>
                </pt>
                <pt idx="3">
                  <v>944878</v>
                </pt>
                <pt idx="4">
                  <v>923494</v>
                </pt>
                <pt idx="5">
                  <v>679412</v>
                </pt>
                <pt idx="6">
                  <v>754445</v>
                </pt>
                <pt idx="7">
                  <v>950340</v>
                </pt>
                <pt idx="8">
                  <v>637777</v>
                </pt>
                <pt idx="9">
                  <v>728063</v>
                </pt>
                <pt idx="10">
                  <v>537277</v>
                </pt>
                <pt idx="11">
                  <v>684120</v>
                </pt>
              </numCache>
            </numRef>
          </val>
          <smooth val="1"/>
        </ser>
        <ser>
          <idx val="1"/>
          <order val="1"/>
          <tx>
            <v>К перечислению</v>
          </tx>
          <spPr>
            <a:ln w="19050" cap="rnd">
              <a:solidFill>
                <a:srgbClr val="FFCC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WB'!$C$20:$N$20</f>
              <numCache>
                <formatCode>#,##0</formatCode>
                <ptCount val="12"/>
                <pt idx="0">
                  <v>1008818.83</v>
                </pt>
                <pt idx="1">
                  <v>794062.2999999999</v>
                </pt>
                <pt idx="2">
                  <v>657379.84</v>
                </pt>
                <pt idx="3">
                  <v>732307.71</v>
                </pt>
                <pt idx="4">
                  <v>719156.3500000001</v>
                </pt>
                <pt idx="5">
                  <v>502753.9</v>
                </pt>
                <pt idx="6">
                  <v>545150.67</v>
                </pt>
                <pt idx="7">
                  <v>692494.8199999999</v>
                </pt>
                <pt idx="8">
                  <v>468378.63</v>
                </pt>
                <pt idx="9">
                  <v>533059.79</v>
                </pt>
                <pt idx="10">
                  <v>374035.41</v>
                </pt>
                <pt idx="11">
                  <v>476511.9</v>
                </pt>
              </numCache>
            </numRef>
          </val>
          <smooth val="1"/>
        </ser>
        <ser>
          <idx val="2"/>
          <order val="2"/>
          <tx>
            <v>Оплачено</v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WB'!$C$30:$N$30</f>
              <numCache>
                <formatCode>#,##0</formatCode>
                <ptCount val="12"/>
                <pt idx="0">
                  <v>745884.4500000001</v>
                </pt>
                <pt idx="1">
                  <v>604967.5099999999</v>
                </pt>
                <pt idx="2">
                  <v>445808.53</v>
                </pt>
                <pt idx="3">
                  <v>517582.09</v>
                </pt>
                <pt idx="4">
                  <v>505836.0200000001</v>
                </pt>
                <pt idx="5">
                  <v>318731.36</v>
                </pt>
                <pt idx="6">
                  <v>384925.6200000001</v>
                </pt>
                <pt idx="7">
                  <v>498063.71</v>
                </pt>
                <pt idx="8">
                  <v>350102.04</v>
                </pt>
                <pt idx="9">
                  <v>408227.67</v>
                </pt>
                <pt idx="10">
                  <v>293391.55</v>
                </pt>
                <pt idx="11">
                  <v>367318.58</v>
                </pt>
              </numCache>
            </numRef>
          </val>
          <smooth val="1"/>
        </ser>
        <ser>
          <idx val="3"/>
          <order val="3"/>
          <tx>
            <v>Логистика</v>
          </tx>
          <spPr>
            <a:ln w="19050" cap="rnd">
              <a:solidFill>
                <a:srgbClr val="9933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WB'!$C$40:$N$40</f>
              <numCache>
                <formatCode>#,##0</formatCode>
                <ptCount val="12"/>
                <pt idx="0">
                  <v>225574.21</v>
                </pt>
                <pt idx="1">
                  <v>169543.25</v>
                </pt>
                <pt idx="2">
                  <v>140029</v>
                </pt>
                <pt idx="3">
                  <v>176210</v>
                </pt>
                <pt idx="4">
                  <v>173579.94</v>
                </pt>
                <pt idx="5">
                  <v>114643.9</v>
                </pt>
                <pt idx="6">
                  <v>106490.92</v>
                </pt>
                <pt idx="7">
                  <v>126947</v>
                </pt>
                <pt idx="8">
                  <v>81920.04000000001</v>
                </pt>
                <pt idx="9">
                  <v>87690.69</v>
                </pt>
                <pt idx="10">
                  <v>54779</v>
                </pt>
                <pt idx="11">
                  <v>73019.47</v>
                </pt>
              </numCache>
            </numRef>
          </val>
          <smooth val="1"/>
        </ser>
        <ser>
          <idx val="4"/>
          <order val="4"/>
          <tx>
            <v>Хранение</v>
          </tx>
          <spPr>
            <a:ln w="19050" cap="rnd">
              <a:solidFill>
                <a:srgbClr val="FF99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WB'!$C$43:$N$43</f>
              <numCache>
                <formatCode>#,##0</formatCode>
                <ptCount val="12"/>
                <pt idx="0">
                  <v>30409.17</v>
                </pt>
                <pt idx="1">
                  <v>16309.54</v>
                </pt>
                <pt idx="2">
                  <v>28786.59</v>
                </pt>
                <pt idx="3">
                  <v>27303.62</v>
                </pt>
                <pt idx="4">
                  <v>33241.39</v>
                </pt>
                <pt idx="5">
                  <v>29528.14</v>
                </pt>
                <pt idx="6">
                  <v>27563.93</v>
                </pt>
                <pt idx="7">
                  <v>28454.87</v>
                </pt>
                <pt idx="8">
                  <v>24730.95</v>
                </pt>
                <pt idx="9">
                  <v>36009.23</v>
                </pt>
                <pt idx="10">
                  <v>25864.86</v>
                </pt>
                <pt idx="11">
                  <v>25549.85</v>
                </pt>
              </numCache>
            </numRef>
          </val>
          <smooth val="1"/>
        </ser>
        <ser>
          <idx val="5"/>
          <order val="5"/>
          <tx>
            <v>Продвижение</v>
          </tx>
          <spPr>
            <a:ln w="19050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WB'!$C$41:$N$41</f>
              <numCache>
                <formatCode>#,##0</formatCode>
                <ptCount val="12"/>
                <pt idx="0">
                  <v>6951</v>
                </pt>
                <pt idx="1">
                  <v>3242</v>
                </pt>
                <pt idx="2">
                  <v>3801</v>
                </pt>
                <pt idx="3">
                  <v>11202</v>
                </pt>
                <pt idx="4">
                  <v>6499</v>
                </pt>
                <pt idx="5">
                  <v>31689</v>
                </pt>
                <pt idx="6">
                  <v>26170.2</v>
                </pt>
                <pt idx="7">
                  <v>39029.24</v>
                </pt>
                <pt idx="8">
                  <v>11615.6</v>
                </pt>
                <pt idx="9">
                  <v>1132.2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ser>
          <idx val="6"/>
          <order val="6"/>
          <tx>
            <v>Прибыль</v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 WB'!$C$57:$N$57</f>
              <numCache>
                <formatCode>#,##0</formatCode>
                <ptCount val="12"/>
                <pt idx="0">
                  <v>241694.55</v>
                </pt>
                <pt idx="1">
                  <v>218964.52</v>
                </pt>
                <pt idx="2">
                  <v>124363.02</v>
                </pt>
                <pt idx="3">
                  <v>176071.56</v>
                </pt>
                <pt idx="4">
                  <v>169314.0155</v>
                </pt>
                <pt idx="5">
                  <v>80618.76000000007</v>
                </pt>
                <pt idx="6">
                  <v>145825.27</v>
                </pt>
                <pt idx="7">
                  <v>209788.1099999999</v>
                </pt>
                <pt idx="8">
                  <v>174167.39</v>
                </pt>
                <pt idx="9">
                  <v>215219.3118</v>
                </pt>
                <pt idx="10">
                  <v>177383.9300000001</v>
                </pt>
                <pt idx="11">
                  <v>213271.0599999999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18338735"/>
        <axId val="922101423"/>
      </lineChart>
      <catAx>
        <axId val="91833873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22101423"/>
        <crosses val="autoZero"/>
        <auto val="1"/>
        <lblAlgn val="ctr"/>
        <lblOffset val="100"/>
        <noMultiLvlLbl val="0"/>
      </catAx>
      <valAx>
        <axId val="92210142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out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18338735"/>
        <crosses val="autoZero"/>
        <crossBetween val="between"/>
      </valAx>
    </plotArea>
    <legend>
      <legendPos val="l"/>
      <layout>
        <manualLayout>
          <xMode val="edge"/>
          <yMode val="edge"/>
          <wMode val="factor"/>
          <hMode val="factor"/>
          <x val="0.002229654795013087"/>
          <y val="0.02899342479097328"/>
          <w val="0.1041527935028913"/>
          <h val="0.40593067619124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Рентабельность</v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50"/>
              </a:solidFill>
              <a:ln w="9525">
                <a:noFill/>
                <a:prstDash val="solid"/>
              </a:ln>
            </spPr>
          </marker>
          <cat>
            <strRef>
              <f>'PL WB'!$C$3:$N$3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'PL WB'!$C$58:$N$58</f>
              <numCache>
                <formatCode>0%</formatCode>
                <ptCount val="12"/>
                <pt idx="0">
                  <v>0.5655016337212229</v>
                </pt>
                <pt idx="1">
                  <v>0.6650172578681479</v>
                </pt>
                <pt idx="2">
                  <v>0.4649084686015524</v>
                </pt>
                <pt idx="3">
                  <v>0.609383720098385</v>
                </pt>
                <pt idx="4">
                  <v>0.5927253640250738</v>
                </pt>
                <pt idx="5">
                  <v>0.4033479495430074</v>
                </pt>
                <pt idx="6">
                  <v>0.7363252175708863</v>
                </pt>
                <pt idx="7">
                  <v>0.8943463831038583</v>
                </pt>
                <pt idx="8">
                  <v>1.218170832117499</v>
                </pt>
                <pt idx="9">
                  <v>1.368336407363482</v>
                </pt>
                <pt idx="10">
                  <v>1.945813828640105</v>
                </pt>
                <pt idx="11">
                  <v>1.75572645774501</v>
                </pt>
              </numCache>
            </numRef>
          </val>
          <smooth val="1"/>
        </ser>
        <ser>
          <idx val="1"/>
          <order val="1"/>
          <tx>
            <v>% Себестоимости</v>
          </tx>
          <spPr>
            <a:ln w="19050" cap="rnd">
              <a:solidFill>
                <a:srgbClr val="0066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66FF"/>
              </a:solidFill>
              <a:ln w="9525">
                <a:noFill/>
                <a:prstDash val="solid"/>
              </a:ln>
            </spPr>
          </marker>
          <val>
            <numRef>
              <f>'PL WB'!$C$34:$N$34</f>
              <numCache>
                <formatCode>0%</formatCode>
                <ptCount val="12"/>
                <pt idx="0">
                  <v>0.3321578757986311</v>
                </pt>
                <pt idx="1">
                  <v>0.4061976895955312</v>
                </pt>
                <pt idx="2">
                  <v>0.3988667859539253</v>
                </pt>
                <pt idx="3">
                  <v>0.3846829300116097</v>
                </pt>
                <pt idx="4">
                  <v>0.3930860340389327</v>
                </pt>
                <pt idx="5">
                  <v>0.3658913057008856</v>
                </pt>
                <pt idx="6">
                  <v>0.3376662801998261</v>
                </pt>
                <pt idx="7">
                  <v>0.3175759343975544</v>
                </pt>
                <pt idx="8">
                  <v>0.303646144599551</v>
                </pt>
                <pt idx="9">
                  <v>0.3082043310711423</v>
                </pt>
                <pt idx="10">
                  <v>0.2568372682706936</v>
                </pt>
                <pt idx="11">
                  <v>0.2610223070294755</v>
                </pt>
              </numCache>
            </numRef>
          </val>
          <smooth val="1"/>
        </ser>
        <ser>
          <idx val="2"/>
          <order val="2"/>
          <tx>
            <v>% Расходов</v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 w="9525">
                <a:noFill/>
                <a:prstDash val="solid"/>
              </a:ln>
            </spPr>
          </marker>
          <val>
            <numRef>
              <f>'PL WB'!$C$39:$N$39</f>
              <numCache>
                <formatCode>0%</formatCode>
                <ptCount val="12"/>
                <pt idx="0">
                  <v>0.2070626773386554</v>
                </pt>
                <pt idx="1">
                  <v>0.1861717080124958</v>
                </pt>
                <pt idx="2">
                  <v>0.2597888967863247</v>
                </pt>
                <pt idx="3">
                  <v>0.227252216688292</v>
                </pt>
                <pt idx="4">
                  <v>0.2309926539858408</v>
                </pt>
                <pt idx="5">
                  <v>0.2708555927772839</v>
                </pt>
                <pt idx="6">
                  <v>0.2123747257918072</v>
                </pt>
                <pt idx="7">
                  <v>0.2066956142012332</v>
                </pt>
                <pt idx="8">
                  <v>0.1854513254632889</v>
                </pt>
                <pt idx="9">
                  <v>0.1714578546087358</v>
                </pt>
                <pt idx="10">
                  <v>0.1500973613238609</v>
                </pt>
                <pt idx="11">
                  <v>0.1596113547330878</v>
                </pt>
              </numCache>
            </numRef>
          </val>
          <smooth val="1"/>
        </ser>
        <ser>
          <idx val="3"/>
          <order val="3"/>
          <tx>
            <v>Маржинальность %</v>
          </tx>
          <spPr>
            <a:ln w="19050" cap="rnd">
              <a:solidFill>
                <a:srgbClr val="FFCC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val>
            <numRef>
              <f>'PL WB'!$C$59:$N$59</f>
              <numCache>
                <formatCode>0%</formatCode>
                <ptCount val="12"/>
                <pt idx="0">
                  <v>0.1878358214174969</v>
                </pt>
                <pt idx="1">
                  <v>0.2155797030819109</v>
                </pt>
                <pt idx="2">
                  <v>0.1478150621269353</v>
                </pt>
                <pt idx="3">
                  <v>0.1863431681127087</v>
                </pt>
                <pt idx="4">
                  <v>0.1833406773622785</v>
                </pt>
                <pt idx="5">
                  <v>0.1186596056590111</v>
                </pt>
                <pt idx="6">
                  <v>0.1932881389630788</v>
                </pt>
                <pt idx="7">
                  <v>0.2207505840015151</v>
                </pt>
                <pt idx="8">
                  <v>0.2730850908703198</v>
                </pt>
                <pt idx="9">
                  <v>0.2956053415707158</v>
                </pt>
                <pt idx="10">
                  <v>0.330153589303097</v>
                </pt>
                <pt idx="11">
                  <v>0.3117451031982692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18338735"/>
        <axId val="922101423"/>
      </lineChart>
      <catAx>
        <axId val="9183387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22101423"/>
        <crosses val="autoZero"/>
        <auto val="1"/>
        <lblAlgn val="ctr"/>
        <lblOffset val="100"/>
        <noMultiLvlLbl val="0"/>
      </catAx>
      <valAx>
        <axId val="92210142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918338735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73449256342957"/>
          <y val="0.1763425925925926"/>
          <w val="0.8465439632545931"/>
          <h val="0.6149843248760571"/>
        </manualLayout>
      </layout>
      <barChart>
        <barDir val="col"/>
        <grouping val="clustered"/>
        <varyColors val="0"/>
        <ser>
          <idx val="1"/>
          <order val="0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'PL WB'!$C$14:$N$14</f>
              <numCache>
                <formatCode>#,##0</formatCode>
                <ptCount val="12"/>
                <pt idx="0">
                  <v>1286733</v>
                </pt>
                <pt idx="1">
                  <v>1015701</v>
                </pt>
                <pt idx="2">
                  <v>841342</v>
                </pt>
                <pt idx="3">
                  <v>944878</v>
                </pt>
                <pt idx="4">
                  <v>923494</v>
                </pt>
                <pt idx="5">
                  <v>679412</v>
                </pt>
                <pt idx="6">
                  <v>754445</v>
                </pt>
                <pt idx="7">
                  <v>950340</v>
                </pt>
                <pt idx="8">
                  <v>637777</v>
                </pt>
                <pt idx="9">
                  <v>728063</v>
                </pt>
                <pt idx="10">
                  <v>537277</v>
                </pt>
                <pt idx="11">
                  <v>684120</v>
                </pt>
              </numCache>
            </numRef>
          </val>
        </ser>
        <ser>
          <idx val="2"/>
          <order val="1"/>
          <spPr>
            <a:solidFill>
              <a:srgbClr val="00B050"/>
            </a:solidFill>
            <a:ln>
              <a:noFill/>
              <a:prstDash val="solid"/>
            </a:ln>
          </spPr>
          <invertIfNegative val="0"/>
          <val>
            <numRef>
              <f>'PL WB'!$C$57:$N$57</f>
              <numCache>
                <formatCode>#,##0</formatCode>
                <ptCount val="12"/>
                <pt idx="0">
                  <v>241694.55</v>
                </pt>
                <pt idx="1">
                  <v>218964.52</v>
                </pt>
                <pt idx="2">
                  <v>124363.02</v>
                </pt>
                <pt idx="3">
                  <v>176071.56</v>
                </pt>
                <pt idx="4">
                  <v>169314.0155</v>
                </pt>
                <pt idx="5">
                  <v>80618.76000000007</v>
                </pt>
                <pt idx="6">
                  <v>145825.27</v>
                </pt>
                <pt idx="7">
                  <v>209788.1099999999</v>
                </pt>
                <pt idx="8">
                  <v>174167.39</v>
                </pt>
                <pt idx="9">
                  <v>215219.3118</v>
                </pt>
                <pt idx="10">
                  <v>177383.9300000001</v>
                </pt>
                <pt idx="11">
                  <v>213271.0599999999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96982832"/>
        <axId val="1396985744"/>
      </barChart>
      <catAx>
        <axId val="139698283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396985744"/>
        <crosses val="autoZero"/>
        <auto val="1"/>
        <lblAlgn val="ctr"/>
        <lblOffset val="100"/>
        <noMultiLvlLbl val="0"/>
      </catAx>
      <valAx>
        <axId val="1396985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39698283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Ar S</author>
    <author>None</author>
  </authors>
  <commentList>
    <comment ref="A14" authorId="0" shapeId="0">
      <text>
        <t xml:space="preserve">Ar S:
Столбец в детализации - Цена розничная
ВЫРУЧКА 
До учета СПП
</t>
      </text>
    </comment>
    <comment ref="A15" authorId="1" shapeId="0">
      <text>
        <t>Вайлдберриз реализовал Товар (Пр) -столбец  в детализации
=
ГРАФА ПРОДАЖИ</t>
      </text>
    </comment>
  </commentList>
</comments>
</file>

<file path=xl/comments/comment2.xml><?xml version="1.0" encoding="utf-8"?>
<comments xmlns="http://schemas.openxmlformats.org/spreadsheetml/2006/main">
  <authors>
    <author>None</author>
    <author>Ar S</author>
  </authors>
  <commentList>
    <comment ref="C5" authorId="0" shapeId="0">
      <text>
        <t>Заполняем 1 раз в начале.
Ввести конечные данные из отчета за предыдущий год.</t>
      </text>
    </comment>
    <comment ref="A7" authorId="0" shapeId="0">
      <text>
        <t>Кол-во проданных товаров
Заполняем по еженедельному отчету ВБ (Детализация)
Берем данные из 1С после ввода еженедельного отчета. Смотрим Отчет комиссионера или обороту по счету 45 в разрезе количество.
Только ПРОДАЖИ!</t>
      </text>
    </comment>
    <comment ref="A8" authorId="0" shapeId="0">
      <text>
        <t xml:space="preserve">Себестоимость проданных товаров
Продажи с учетом Возвратов.
ОСВ сч 45
</t>
      </text>
    </comment>
    <comment ref="A10" authorId="0" shapeId="0">
      <text>
        <t xml:space="preserve">Товары, поступившие на склад от поставщика (себестоимость закупки).
Себестоимость готовых изделий.
</t>
      </text>
    </comment>
    <comment ref="A11" authorId="0" shapeId="0">
      <text>
        <t>Кол-во поступивших товаров от поставщика (шт)</t>
      </text>
    </comment>
    <comment ref="C13" authorId="0" shapeId="0">
      <text>
        <t>Заполняем 1 раз в начале
Изменяем формулу, подтавляя данные из отчета за предыдущий год</t>
      </text>
    </comment>
    <comment ref="A14" authorId="1" shapeId="0">
      <text>
        <t>Ar S:
Столбец в детализации - Цена розничная
ВЫРУЧКА 
До учета СПП</t>
      </text>
    </comment>
    <comment ref="A15" authorId="0" shapeId="0">
      <text>
        <t>Вайлдберриз реализовал Товар (Пр) -столбец  в детализации
=
ГРАФА ПРОДАЖИ</t>
      </text>
    </comment>
    <comment ref="A20" authorId="0" shapeId="0">
      <text>
        <t>Выручка после вычета комиссии
Продажи минус возвраты</t>
      </text>
    </comment>
    <comment ref="A22" authorId="0" shapeId="0">
      <text>
        <t>Возвраты после вычета комиссии (справочно)</t>
      </text>
    </comment>
    <comment ref="A31" authorId="0" shapeId="0">
      <text>
        <t>напр Премия за выполнение плана по заказам (акция)</t>
      </text>
    </comment>
    <comment ref="A33" authorId="0" shapeId="0">
      <text>
        <t>Себестоимость проданных товаров с учетом возврат. 1С ОСВ сч. 90.2
или ОСВ сч. 45 (при условии что установлена цена-себестоимотсь поступления)</t>
      </text>
    </comment>
    <comment ref="A38" authorId="0" shapeId="0">
      <text>
        <t>Все расходы,  в т.ч. расходы ВБ</t>
      </text>
    </comment>
    <comment ref="C64" authorId="1" shapeId="0">
      <text>
        <t>Ar S:
Заполняем 1 раз в начале</t>
      </text>
    </comment>
  </commentList>
</comments>
</file>

<file path=xl/comments/comment3.xml><?xml version="1.0" encoding="utf-8"?>
<comments xmlns="http://schemas.openxmlformats.org/spreadsheetml/2006/main">
  <authors>
    <author>Ar S</author>
    <author>None</author>
  </authors>
  <commentList>
    <comment ref="A14" authorId="0" shapeId="0">
      <text>
        <t xml:space="preserve">Ar S:
Столбец в детализации - Цена розничная
ВЫРУЧКА 
До учета СПП
</t>
      </text>
    </comment>
    <comment ref="A15" authorId="1" shapeId="0">
      <text>
        <t>Вайлдберриз реализовал Товар (Пр) -столбец  в детализации
=
ГРАФА ПРОДАЖИ</t>
      </text>
    </comment>
  </commentList>
</comments>
</file>

<file path=xl/comments/comment4.xml><?xml version="1.0" encoding="utf-8"?>
<comments xmlns="http://schemas.openxmlformats.org/spreadsheetml/2006/main">
  <authors>
    <author>Ar S</author>
    <author>None</author>
  </authors>
  <commentList>
    <comment ref="C7" authorId="0" shapeId="0">
      <text>
        <t>Ar S:
Ввести данные из отчета за предыдущий год</t>
      </text>
    </comment>
    <comment ref="I23" authorId="0" shapeId="0">
      <text>
        <t>Ar S:
15 заказ от 14 февраля</t>
      </text>
    </comment>
    <comment ref="M23" authorId="0" shapeId="0">
      <text>
        <t>Ar S:
заказ 16 от 14.03.2025</t>
      </text>
    </comment>
    <comment ref="C26" authorId="0" shapeId="0">
      <text>
        <t xml:space="preserve">Ar S:
14 заказ-06.01.2025
</t>
      </text>
    </comment>
    <comment ref="K26" authorId="0" shapeId="0">
      <text>
        <t>Ar S:
заказ 15
приехало 27.02.2025</t>
      </text>
    </comment>
    <comment ref="P26" authorId="0" shapeId="0">
      <text>
        <t xml:space="preserve">Ar S:
заказ 16 приехал 07.04.2025
</t>
      </text>
    </comment>
    <comment ref="A31" authorId="1" shapeId="0">
      <text>
        <t>деньги которые вы тратите на покупку товара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31" authorId="0" shapeId="0">
      <text>
        <t>деньги которые вы тратите на покупку товара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133350</colOff>
      <row>38</row>
      <rowOff>142875</rowOff>
    </from>
    <to>
      <col>4</col>
      <colOff>38100</colOff>
      <row>53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133350</colOff>
      <row>38</row>
      <rowOff>161925</rowOff>
    </from>
    <to>
      <col>8</col>
      <colOff>704850</colOff>
      <row>54</row>
      <rowOff>142875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771525</colOff>
      <row>38</row>
      <rowOff>161925</rowOff>
    </from>
    <to>
      <col>14</col>
      <colOff>180975</colOff>
      <row>54</row>
      <rowOff>142875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752477</colOff>
      <row>68</row>
      <rowOff>133350</rowOff>
    </from>
    <to>
      <col>14</col>
      <colOff>114300</colOff>
      <row>90</row>
      <rowOff>76199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942976</colOff>
      <row>90</row>
      <rowOff>66675</rowOff>
    </from>
    <to>
      <col>14</col>
      <colOff>85725</colOff>
      <row>103</row>
      <rowOff>28574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14</col>
      <colOff>190499</colOff>
      <row>68</row>
      <rowOff>161925</rowOff>
    </from>
    <to>
      <col>19</col>
      <colOff>104774</colOff>
      <row>90</row>
      <rowOff>66675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209549</colOff>
      <row>79</row>
      <rowOff>6</rowOff>
    </from>
    <to>
      <col>55</col>
      <colOff>152399</colOff>
      <row>100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923926</colOff>
      <row>102</row>
      <rowOff>0</rowOff>
    </from>
    <to>
      <col>55</col>
      <colOff>161925</colOff>
      <row>123</row>
      <rowOff>152394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752477</colOff>
      <row>68</row>
      <rowOff>133350</rowOff>
    </from>
    <to>
      <col>14</col>
      <colOff>114300</colOff>
      <row>90</row>
      <rowOff>76199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942976</colOff>
      <row>90</row>
      <rowOff>66675</rowOff>
    </from>
    <to>
      <col>14</col>
      <colOff>85725</colOff>
      <row>103</row>
      <rowOff>28574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14</col>
      <colOff>190499</colOff>
      <row>68</row>
      <rowOff>161925</rowOff>
    </from>
    <to>
      <col>19</col>
      <colOff>104774</colOff>
      <row>90</row>
      <rowOff>66675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&#1040;&#1053;&#1040;&#1051;&#1048;&#1058;&#1048;&#1050;&#1040;%20CF%20and%20PL%202024%20&#1075;%20(&#1040;&#1056;&#1061;&#1048;&#1042;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 факт "/>
      <sheetName val="PL факт (нед)"/>
      <sheetName val="CF факт"/>
      <sheetName val="CF факт (нед)"/>
      <sheetName val="проверка"/>
      <sheetName val="Оригинал"/>
    </sheetNames>
    <sheetDataSet>
      <sheetData sheetId="0"/>
      <sheetData sheetId="1"/>
      <sheetData sheetId="2"/>
      <sheetData sheetId="3">
        <row r="33">
          <cell r="BB33">
            <v>86092.932299999942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Table_1" displayName="Table_1" ref="C10:M45" headerRowCount="0" headerRowDxfId="161" dataDxfId="160" totalsRowDxfId="159">
  <tableColumns count="11">
    <tableColumn id="1" name="Column1" dataDxfId="158"/>
    <tableColumn id="2" name="Column2" dataDxfId="157"/>
    <tableColumn id="3" name="Column3" dataDxfId="156"/>
    <tableColumn id="4" name="Column4" dataDxfId="155"/>
    <tableColumn id="5" name="Column5" dataDxfId="154"/>
    <tableColumn id="6" name="Column6" dataDxfId="153"/>
    <tableColumn id="7" name="Column7" dataDxfId="152"/>
    <tableColumn id="8" name="Column8" dataDxfId="151"/>
    <tableColumn id="9" name="Column9" dataDxfId="150"/>
    <tableColumn id="10" name="Column10" dataDxfId="149"/>
    <tableColumn id="11" name="Column11" dataDxfId="148"/>
  </tableColumns>
  <tableStyleInfo name="PL факт (нед)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N10:BC45" headerRowCount="0" headerRowDxfId="147" dataDxfId="146" totalsRowDxfId="145">
  <tableColumns count="42">
    <tableColumn id="1" name="Column1" dataDxfId="144"/>
    <tableColumn id="2" name="Column2" dataDxfId="143"/>
    <tableColumn id="3" name="Column3" dataDxfId="142"/>
    <tableColumn id="4" name="Column4" dataDxfId="141"/>
    <tableColumn id="5" name="Column5" dataDxfId="140"/>
    <tableColumn id="6" name="Column6" dataDxfId="139"/>
    <tableColumn id="7" name="Column7" dataDxfId="138"/>
    <tableColumn id="8" name="Column8" dataDxfId="137"/>
    <tableColumn id="9" name="Column9" dataDxfId="136"/>
    <tableColumn id="10" name="Column10" dataDxfId="135"/>
    <tableColumn id="11" name="Column11" dataDxfId="134"/>
    <tableColumn id="12" name="Column12" dataDxfId="133"/>
    <tableColumn id="13" name="Column13" dataDxfId="132"/>
    <tableColumn id="14" name="Column14" dataDxfId="131"/>
    <tableColumn id="15" name="Column15" dataDxfId="130"/>
    <tableColumn id="16" name="Column16" dataDxfId="129"/>
    <tableColumn id="17" name="Column17" dataDxfId="128"/>
    <tableColumn id="18" name="Column18" dataDxfId="127"/>
    <tableColumn id="19" name="Column19" dataDxfId="126"/>
    <tableColumn id="20" name="Column20" dataDxfId="125"/>
    <tableColumn id="21" name="Column21" dataDxfId="124"/>
    <tableColumn id="22" name="Column22" dataDxfId="123"/>
    <tableColumn id="23" name="Column23" dataDxfId="122"/>
    <tableColumn id="24" name="Column24" dataDxfId="121"/>
    <tableColumn id="25" name="Column25" dataDxfId="120"/>
    <tableColumn id="26" name="Column26" dataDxfId="119"/>
    <tableColumn id="27" name="Column27" dataDxfId="118"/>
    <tableColumn id="28" name="Column28" dataDxfId="117"/>
    <tableColumn id="29" name="Column29" dataDxfId="116"/>
    <tableColumn id="30" name="Column30" dataDxfId="115"/>
    <tableColumn id="31" name="Column31" dataDxfId="114"/>
    <tableColumn id="32" name="Column32" dataDxfId="113"/>
    <tableColumn id="33" name="Column33" dataDxfId="112"/>
    <tableColumn id="34" name="Column34" dataDxfId="111"/>
    <tableColumn id="35" name="Column35" dataDxfId="110"/>
    <tableColumn id="36" name="Column36" dataDxfId="109"/>
    <tableColumn id="37" name="Column37" dataDxfId="108"/>
    <tableColumn id="38" name="Column38" dataDxfId="107"/>
    <tableColumn id="39" name="Column39" dataDxfId="106"/>
    <tableColumn id="40" name="Column40" dataDxfId="105"/>
    <tableColumn id="41" name="Column41" dataDxfId="104"/>
    <tableColumn id="43" name="Столбец1" headerRowDxfId="103" dataDxfId="102" totalsRowDxfId="101"/>
  </tableColumns>
  <tableStyleInfo name="PL факт (нед)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5" topLeftCell="A18" activePane="bottomLeft" state="frozen"/>
      <selection pane="bottomLeft" activeCell="I27" sqref="I27"/>
    </sheetView>
  </sheetViews>
  <sheetFormatPr baseColWidth="8" defaultColWidth="8.85546875" defaultRowHeight="15" customHeight="1"/>
  <cols>
    <col width="25" customWidth="1" style="495" min="1" max="1"/>
    <col width="12.7109375" customWidth="1" style="495" min="2" max="13"/>
    <col width="8.85546875" customWidth="1" style="495" min="14" max="16384"/>
  </cols>
  <sheetData>
    <row r="1" ht="22.5" customHeight="1">
      <c r="A1" s="496" t="inlineStr">
        <is>
          <t>ФИНАНСОВЫЙ ДАШБОРД 2025</t>
        </is>
      </c>
    </row>
    <row r="2" ht="15" customHeight="1">
      <c r="A2" s="497">
        <f>TODAY()</f>
        <v/>
      </c>
    </row>
    <row r="5" ht="18.75" customHeight="1">
      <c r="A5" s="498" t="inlineStr">
        <is>
          <t>КЛЮЧЕВЫЕ ПОКАЗАТЕЛИ</t>
        </is>
      </c>
    </row>
    <row r="7" ht="15" customHeight="1" thickBot="1">
      <c r="A7" s="447" t="inlineStr">
        <is>
          <t>Показатель</t>
        </is>
      </c>
      <c r="B7" s="447" t="n"/>
      <c r="C7" s="447" t="inlineStr">
        <is>
          <t>Значение</t>
        </is>
      </c>
      <c r="D7" s="447" t="n"/>
      <c r="E7" s="447" t="n"/>
      <c r="F7" s="447" t="n"/>
      <c r="G7" s="447" t="n"/>
    </row>
    <row r="8" ht="18.75" customHeight="1">
      <c r="A8" s="448" t="inlineStr">
        <is>
          <t>Годовая выручка (продажи)</t>
        </is>
      </c>
      <c r="B8" s="449" t="n"/>
      <c r="C8" s="530">
        <f>'PL общ'!O15</f>
        <v/>
      </c>
      <c r="E8" s="448" t="inlineStr">
        <is>
          <t>Выручка от реализации товаров</t>
        </is>
      </c>
      <c r="F8" s="449" t="n"/>
      <c r="H8" s="449" t="n"/>
      <c r="J8" s="449" t="n"/>
      <c r="K8" s="449" t="n"/>
      <c r="L8" s="449" t="n"/>
      <c r="M8" s="449" t="n"/>
    </row>
    <row r="9" ht="18.75" customHeight="1">
      <c r="A9" s="448" t="inlineStr">
        <is>
          <t>Чистая прибыль</t>
        </is>
      </c>
      <c r="B9" s="449" t="n"/>
      <c r="C9" s="531">
        <f>'PL общ'!O57</f>
        <v/>
      </c>
      <c r="E9" s="448" t="inlineStr">
        <is>
          <t>Прибыль после налогов</t>
        </is>
      </c>
      <c r="F9" s="449" t="n"/>
      <c r="H9" s="449" t="n"/>
      <c r="J9" s="449" t="n"/>
      <c r="K9" s="449" t="n"/>
      <c r="L9" s="449" t="n"/>
      <c r="M9" s="449" t="n"/>
    </row>
    <row r="10" ht="18.75" customHeight="1">
      <c r="A10" s="448" t="inlineStr">
        <is>
          <t>Маржинальность</t>
        </is>
      </c>
      <c r="B10" s="449" t="n"/>
      <c r="C10" s="452">
        <f>'PL общ'!O59</f>
        <v/>
      </c>
      <c r="E10" s="448" t="inlineStr">
        <is>
          <t>Отношение прибыли к выручке</t>
        </is>
      </c>
      <c r="F10" s="449" t="n"/>
      <c r="H10" s="449" t="n"/>
      <c r="J10" s="449" t="n"/>
      <c r="K10" s="449" t="n"/>
      <c r="L10" s="449" t="n"/>
      <c r="M10" s="449" t="n"/>
    </row>
    <row r="11" ht="18.75" customHeight="1">
      <c r="A11" s="448" t="inlineStr">
        <is>
          <t>Валовая прибыль</t>
        </is>
      </c>
      <c r="B11" s="449" t="n"/>
      <c r="C11" s="530">
        <f>'PL общ'!O36</f>
        <v/>
      </c>
      <c r="E11" s="448" t="inlineStr">
        <is>
          <t>Прибыль до расходов</t>
        </is>
      </c>
      <c r="F11" s="449" t="n"/>
      <c r="H11" s="449" t="n"/>
      <c r="J11" s="449" t="n"/>
      <c r="K11" s="449" t="n"/>
      <c r="L11" s="449" t="n"/>
      <c r="M11" s="449" t="n"/>
    </row>
    <row r="12" ht="18.75" customHeight="1">
      <c r="A12" s="448" t="inlineStr">
        <is>
          <t>Рентабельность</t>
        </is>
      </c>
      <c r="B12" s="449" t="n"/>
      <c r="C12" s="452">
        <f>'PL общ'!O58</f>
        <v/>
      </c>
      <c r="E12" s="448" t="inlineStr">
        <is>
          <t>ROI вложений</t>
        </is>
      </c>
      <c r="F12" s="449" t="n"/>
      <c r="H12" s="449" t="n"/>
      <c r="J12" s="449" t="n"/>
      <c r="K12" s="449" t="n"/>
      <c r="L12" s="449" t="n"/>
      <c r="M12" s="449" t="n"/>
    </row>
    <row r="14" ht="18.75" customHeight="1">
      <c r="A14" s="499" t="inlineStr">
        <is>
          <t>СРАВНЕНИЕ ПЛАТФОРМ</t>
        </is>
      </c>
    </row>
    <row r="16" ht="15" customHeight="1" thickBot="1">
      <c r="A16" s="453" t="inlineStr">
        <is>
          <t>Метрика</t>
        </is>
      </c>
      <c r="B16" s="453" t="n"/>
      <c r="C16" s="453" t="inlineStr">
        <is>
          <t>Wildberries</t>
        </is>
      </c>
      <c r="D16" s="453" t="n"/>
      <c r="E16" s="453" t="n"/>
      <c r="F16" s="453" t="inlineStr">
        <is>
          <t>OZON</t>
        </is>
      </c>
      <c r="G16" s="453" t="n"/>
    </row>
    <row r="17" ht="18.75" customHeight="1">
      <c r="A17" s="448" t="inlineStr">
        <is>
          <t>Продажи (шт)</t>
        </is>
      </c>
      <c r="B17" s="449" t="n"/>
      <c r="C17" s="454">
        <f>'PL WB'!O7</f>
        <v/>
      </c>
      <c r="D17" s="455">
        <f>C17/(C17+F17)</f>
        <v/>
      </c>
      <c r="E17" s="449" t="n"/>
      <c r="F17" s="454">
        <f>'PL OZON'!O7</f>
        <v/>
      </c>
      <c r="G17" s="455">
        <f>100%-D17</f>
        <v/>
      </c>
    </row>
    <row r="18" ht="18.75" customHeight="1">
      <c r="A18" s="448" t="inlineStr">
        <is>
          <t>Выручка (руб)</t>
        </is>
      </c>
      <c r="B18" s="449" t="n"/>
      <c r="C18" s="530">
        <f>'PL WB'!O15</f>
        <v/>
      </c>
      <c r="D18" s="455">
        <f>C18/(C18+F18)</f>
        <v/>
      </c>
      <c r="E18" s="449" t="n"/>
      <c r="F18" s="530">
        <f>'PL OZON'!O14</f>
        <v/>
      </c>
      <c r="G18" s="455">
        <f>100%-D18</f>
        <v/>
      </c>
    </row>
    <row r="19" ht="18.75" customHeight="1">
      <c r="A19" s="456" t="inlineStr">
        <is>
          <t>Чистая прибыль</t>
        </is>
      </c>
      <c r="B19" s="457" t="n"/>
      <c r="C19" s="532">
        <f>'PL WB'!O57</f>
        <v/>
      </c>
      <c r="D19" s="459">
        <f>C19/(C19+F19)</f>
        <v/>
      </c>
      <c r="E19" s="457" t="n"/>
      <c r="F19" s="532">
        <f>'PL OZON'!O57</f>
        <v/>
      </c>
      <c r="G19" s="459">
        <f>100%-D19</f>
        <v/>
      </c>
    </row>
    <row r="20" ht="18.75" customHeight="1">
      <c r="A20" s="448" t="inlineStr">
        <is>
          <t>Средний чек</t>
        </is>
      </c>
      <c r="B20" s="449" t="n"/>
      <c r="C20" s="530">
        <f>C18/C17</f>
        <v/>
      </c>
      <c r="D20" s="449" t="n"/>
      <c r="E20" s="449" t="n"/>
      <c r="F20" s="530">
        <f>F18/F17</f>
        <v/>
      </c>
      <c r="G20" s="449" t="n"/>
      <c r="I20" s="449" t="n"/>
      <c r="J20" s="449" t="n"/>
      <c r="K20" s="530" t="n"/>
    </row>
    <row r="21" ht="18.75" customHeight="1">
      <c r="A21" s="448" t="inlineStr">
        <is>
          <t>Маржа (%)</t>
        </is>
      </c>
      <c r="B21" s="449" t="n"/>
      <c r="C21" s="452">
        <f>'PL WB'!O59</f>
        <v/>
      </c>
      <c r="D21" s="449" t="n"/>
      <c r="E21" s="449" t="n"/>
      <c r="F21" s="452">
        <f>'PL OZON'!O59</f>
        <v/>
      </c>
      <c r="G21" s="449" t="n"/>
      <c r="I21" s="449" t="n"/>
      <c r="J21" s="449" t="n"/>
      <c r="K21" s="460" t="n"/>
    </row>
    <row r="23" ht="18.75" customHeight="1">
      <c r="A23" s="500" t="inlineStr">
        <is>
          <t>СТРУКТУРА РАСХОДОВ</t>
        </is>
      </c>
    </row>
    <row r="25" ht="15" customHeight="1" thickBot="1">
      <c r="A25" s="461" t="inlineStr">
        <is>
          <t>Статья расходов</t>
        </is>
      </c>
      <c r="B25" s="461" t="n"/>
      <c r="C25" s="461" t="inlineStr">
        <is>
          <t>Сумма (руб)</t>
        </is>
      </c>
      <c r="D25" s="461" t="n"/>
      <c r="E25" s="461" t="inlineStr">
        <is>
          <t>Доля (%)</t>
        </is>
      </c>
    </row>
    <row r="26" ht="18.75" customHeight="1">
      <c r="A26" s="448" t="inlineStr">
        <is>
          <t>Комиссии площадок</t>
        </is>
      </c>
      <c r="B26" s="449" t="n"/>
      <c r="C26" s="530">
        <f>'PL общ'!O17</f>
        <v/>
      </c>
      <c r="D26" s="449" t="n"/>
      <c r="E26" s="455">
        <f>C26/'PL общ'!O14</f>
        <v/>
      </c>
    </row>
    <row r="27" ht="18.75" customHeight="1">
      <c r="A27" s="448" t="inlineStr">
        <is>
          <t>Логистика</t>
        </is>
      </c>
      <c r="B27" s="449" t="n"/>
      <c r="C27" s="530">
        <f>'PL общ'!O40</f>
        <v/>
      </c>
      <c r="D27" s="449" t="n"/>
      <c r="E27" s="455">
        <f>C27/'PL общ'!O14</f>
        <v/>
      </c>
    </row>
    <row r="28" ht="18.75" customHeight="1">
      <c r="A28" s="448" t="inlineStr">
        <is>
          <t>Продвижение</t>
        </is>
      </c>
      <c r="B28" s="449" t="n"/>
      <c r="C28" s="530">
        <f>'PL общ'!O41</f>
        <v/>
      </c>
      <c r="D28" s="449" t="n"/>
      <c r="E28" s="455">
        <f>C28/'PL общ'!O14</f>
        <v/>
      </c>
    </row>
    <row r="29" ht="18.75" customHeight="1">
      <c r="A29" s="448" t="inlineStr">
        <is>
          <t>Себестоимость</t>
        </is>
      </c>
      <c r="B29" s="449" t="n"/>
      <c r="C29" s="530">
        <f>'PL общ'!O33</f>
        <v/>
      </c>
      <c r="D29" s="449" t="n"/>
      <c r="E29" s="455">
        <f>C29/'PL общ'!O14</f>
        <v/>
      </c>
    </row>
    <row r="30" ht="18.75" customHeight="1">
      <c r="A30" s="448" t="inlineStr">
        <is>
          <t>Хранение</t>
        </is>
      </c>
      <c r="B30" s="449" t="n"/>
      <c r="C30" s="530">
        <f>'PL общ'!O43</f>
        <v/>
      </c>
      <c r="D30" s="449" t="n"/>
      <c r="E30" s="455">
        <f>C30/'PL общ'!O14</f>
        <v/>
      </c>
    </row>
    <row r="31" ht="18.75" customHeight="1" thickBot="1">
      <c r="A31" s="448" t="inlineStr">
        <is>
          <t>Прочие расходы</t>
        </is>
      </c>
      <c r="B31" s="449" t="n"/>
      <c r="C31" s="530">
        <f>'PL общ'!O38-'PL общ'!O40-'PL общ'!O41-'PL общ'!O43</f>
        <v/>
      </c>
      <c r="D31" s="449" t="n"/>
      <c r="E31" s="492">
        <f>C31/'PL общ'!O14</f>
        <v/>
      </c>
    </row>
    <row r="32" ht="18.75" customHeight="1">
      <c r="A32" s="462" t="inlineStr">
        <is>
          <t>ИТОГО расходов</t>
        </is>
      </c>
      <c r="B32" s="463" t="n"/>
      <c r="C32" s="491">
        <f>'PL общ'!O38+'PL общ'!O17+'PL общ'!O33</f>
        <v/>
      </c>
      <c r="D32" s="463" t="n"/>
      <c r="E32" s="493">
        <f>C32/'PL общ'!O14</f>
        <v/>
      </c>
    </row>
    <row r="34" ht="18.75" customHeight="1">
      <c r="A34" s="494" t="inlineStr">
        <is>
          <t>ПОМЕСЯЧНАЯ ДИНАМИКА</t>
        </is>
      </c>
    </row>
    <row r="36" ht="15" customHeight="1" thickBot="1">
      <c r="A36" s="464" t="inlineStr">
        <is>
          <t>Месяц</t>
        </is>
      </c>
      <c r="B36" s="464" t="inlineStr">
        <is>
          <t>Янв</t>
        </is>
      </c>
      <c r="C36" s="464" t="inlineStr">
        <is>
          <t>Фев</t>
        </is>
      </c>
      <c r="D36" s="464" t="inlineStr">
        <is>
          <t>Мар</t>
        </is>
      </c>
      <c r="E36" s="464" t="inlineStr">
        <is>
          <t>Апр</t>
        </is>
      </c>
      <c r="F36" s="464" t="inlineStr">
        <is>
          <t>Май</t>
        </is>
      </c>
      <c r="G36" s="464" t="inlineStr">
        <is>
          <t>Июн</t>
        </is>
      </c>
      <c r="H36" s="464" t="inlineStr">
        <is>
          <t>Июл</t>
        </is>
      </c>
      <c r="I36" s="464" t="inlineStr">
        <is>
          <t>Авг</t>
        </is>
      </c>
      <c r="J36" s="464" t="inlineStr">
        <is>
          <t>Сен</t>
        </is>
      </c>
      <c r="K36" s="464" t="inlineStr">
        <is>
          <t>Окт</t>
        </is>
      </c>
      <c r="L36" s="464" t="inlineStr">
        <is>
          <t>Ноя</t>
        </is>
      </c>
      <c r="M36" s="464" t="inlineStr">
        <is>
          <t>Дек</t>
        </is>
      </c>
    </row>
    <row r="37" ht="18.75" customHeight="1">
      <c r="A37" s="448" t="inlineStr">
        <is>
          <t>Выручка</t>
        </is>
      </c>
      <c r="B37" s="454">
        <f>'PL общ'!C15</f>
        <v/>
      </c>
      <c r="C37" s="454">
        <f>'PL общ'!D15</f>
        <v/>
      </c>
      <c r="D37" s="454">
        <f>'PL общ'!E15</f>
        <v/>
      </c>
      <c r="E37" s="454">
        <f>'PL общ'!F15</f>
        <v/>
      </c>
      <c r="F37" s="454">
        <f>'PL общ'!G15</f>
        <v/>
      </c>
      <c r="G37" s="454">
        <f>'PL общ'!H15</f>
        <v/>
      </c>
      <c r="H37" s="454">
        <f>'PL общ'!I15</f>
        <v/>
      </c>
      <c r="I37" s="454">
        <f>'PL общ'!J15</f>
        <v/>
      </c>
      <c r="J37" s="454">
        <f>'PL общ'!K15</f>
        <v/>
      </c>
      <c r="K37" s="454">
        <f>'PL общ'!L15</f>
        <v/>
      </c>
      <c r="L37" s="454">
        <f>'PL общ'!M15</f>
        <v/>
      </c>
      <c r="M37" s="454">
        <f>'PL общ'!N15</f>
        <v/>
      </c>
    </row>
    <row r="38" ht="18.75" customHeight="1">
      <c r="A38" s="448" t="inlineStr">
        <is>
          <t>Прибыль</t>
        </is>
      </c>
      <c r="B38" s="454">
        <f>'PL общ'!C57</f>
        <v/>
      </c>
      <c r="C38" s="454">
        <f>'PL общ'!D57</f>
        <v/>
      </c>
      <c r="D38" s="454">
        <f>'PL общ'!E57</f>
        <v/>
      </c>
      <c r="E38" s="454">
        <f>'PL общ'!F57</f>
        <v/>
      </c>
      <c r="F38" s="454">
        <f>'PL общ'!G57</f>
        <v/>
      </c>
      <c r="G38" s="454">
        <f>'PL общ'!H57</f>
        <v/>
      </c>
      <c r="H38" s="454">
        <f>'PL общ'!I57</f>
        <v/>
      </c>
      <c r="I38" s="454">
        <f>'PL общ'!J57</f>
        <v/>
      </c>
      <c r="J38" s="454">
        <f>'PL общ'!K57</f>
        <v/>
      </c>
      <c r="K38" s="454">
        <f>'PL общ'!L57</f>
        <v/>
      </c>
      <c r="L38" s="454">
        <f>'PL общ'!M57</f>
        <v/>
      </c>
      <c r="M38" s="454">
        <f>'PL общ'!N57</f>
        <v/>
      </c>
    </row>
  </sheetData>
  <mergeCells count="6">
    <mergeCell ref="A14:M14"/>
    <mergeCell ref="A1:M1"/>
    <mergeCell ref="A23:M23"/>
    <mergeCell ref="A5:M5"/>
    <mergeCell ref="A34:M34"/>
    <mergeCell ref="A2:M2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O68"/>
  <sheetViews>
    <sheetView showZeros="0" workbookViewId="0">
      <pane xSplit="2" ySplit="3" topLeftCell="C40" activePane="bottomRight" state="frozen"/>
      <selection pane="topRight" activeCell="C1" sqref="C1"/>
      <selection pane="bottomLeft" activeCell="A4" sqref="A4"/>
      <selection pane="bottomRight" activeCell="R7" sqref="R7"/>
    </sheetView>
  </sheetViews>
  <sheetFormatPr baseColWidth="8" defaultColWidth="14.42578125" defaultRowHeight="15" customHeight="1"/>
  <cols>
    <col width="24.42578125" customWidth="1" style="107" min="1" max="1"/>
    <col width="20.140625" customWidth="1" style="107" min="2" max="2"/>
    <col width="11.140625" customWidth="1" style="107" min="3" max="15"/>
    <col width="14.42578125" customWidth="1" style="107" min="16" max="16384"/>
  </cols>
  <sheetData>
    <row r="1" ht="21.75" customHeight="1">
      <c r="A1" s="314" t="inlineStr">
        <is>
          <t>Заполняем PL и CF еженедельный!</t>
        </is>
      </c>
      <c r="B1" s="246" t="n"/>
      <c r="C1" s="247" t="n"/>
      <c r="D1" s="247" t="n"/>
      <c r="E1" s="247" t="n"/>
      <c r="F1" s="247" t="n"/>
      <c r="G1" s="247" t="n"/>
      <c r="H1" s="247" t="n"/>
      <c r="I1" s="247" t="n"/>
      <c r="J1" s="247" t="n"/>
      <c r="K1" s="247" t="n"/>
      <c r="L1" s="247" t="n"/>
      <c r="M1" s="247" t="n"/>
      <c r="N1" s="247" t="n"/>
      <c r="O1" s="469" t="n"/>
    </row>
    <row r="2" ht="14.25" customHeight="1">
      <c r="A2" s="315" t="inlineStr">
        <is>
          <t>Прибыли и убытки</t>
        </is>
      </c>
      <c r="B2" s="248" t="n"/>
      <c r="C2" s="533" t="n">
        <v>2025</v>
      </c>
      <c r="O2" s="470" t="n"/>
    </row>
    <row r="3" ht="13.5" customHeight="1">
      <c r="A3" s="249" t="n"/>
      <c r="B3" s="250" t="n"/>
      <c r="C3" s="251" t="inlineStr">
        <is>
          <t>Январь</t>
        </is>
      </c>
      <c r="D3" s="251" t="inlineStr">
        <is>
          <t>Февраль</t>
        </is>
      </c>
      <c r="E3" s="251" t="inlineStr">
        <is>
          <t>Март</t>
        </is>
      </c>
      <c r="F3" s="251" t="inlineStr">
        <is>
          <t>Апрель</t>
        </is>
      </c>
      <c r="G3" s="251" t="inlineStr">
        <is>
          <t>Май</t>
        </is>
      </c>
      <c r="H3" s="251" t="inlineStr">
        <is>
          <t>Июнь</t>
        </is>
      </c>
      <c r="I3" s="251" t="inlineStr">
        <is>
          <t>Июль</t>
        </is>
      </c>
      <c r="J3" s="251" t="inlineStr">
        <is>
          <t>Август</t>
        </is>
      </c>
      <c r="K3" s="251" t="inlineStr">
        <is>
          <t>Сентябрь</t>
        </is>
      </c>
      <c r="L3" s="251" t="inlineStr">
        <is>
          <t>Октябрь</t>
        </is>
      </c>
      <c r="M3" s="251" t="inlineStr">
        <is>
          <t>Ноябрь</t>
        </is>
      </c>
      <c r="N3" s="251" t="inlineStr">
        <is>
          <t>Декабрь</t>
        </is>
      </c>
      <c r="O3" s="471" t="n"/>
    </row>
    <row r="4" ht="13.5" customHeight="1" thickBot="1">
      <c r="A4" s="316" t="inlineStr">
        <is>
          <t>Товарооборот</t>
        </is>
      </c>
      <c r="B4" s="317" t="n"/>
      <c r="C4" s="318" t="n"/>
      <c r="D4" s="318" t="n"/>
      <c r="E4" s="318" t="n"/>
      <c r="F4" s="318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472" t="n"/>
    </row>
    <row r="5" ht="13.5" customHeight="1">
      <c r="A5" s="253" t="inlineStr">
        <is>
          <t>Остаток товара по цене закупки</t>
        </is>
      </c>
      <c r="B5" s="254" t="n"/>
      <c r="C5" s="255">
        <f>'PL WB'!C5+'PL OZON'!C5</f>
        <v/>
      </c>
      <c r="D5" s="255">
        <f>'PL WB'!D5+'PL OZON'!D5</f>
        <v/>
      </c>
      <c r="E5" s="255">
        <f>'PL WB'!E5+'PL OZON'!E5</f>
        <v/>
      </c>
      <c r="F5" s="255">
        <f>'PL WB'!F5+'PL OZON'!F5</f>
        <v/>
      </c>
      <c r="G5" s="255">
        <f>'PL WB'!G5+'PL OZON'!G5</f>
        <v/>
      </c>
      <c r="H5" s="255">
        <f>'PL WB'!H5+'PL OZON'!H5</f>
        <v/>
      </c>
      <c r="I5" s="255">
        <f>'PL WB'!I5+'PL OZON'!I5</f>
        <v/>
      </c>
      <c r="J5" s="255">
        <f>'PL WB'!J5+'PL OZON'!J5</f>
        <v/>
      </c>
      <c r="K5" s="255">
        <f>'PL WB'!K5+'PL OZON'!K5</f>
        <v/>
      </c>
      <c r="L5" s="255">
        <f>'PL WB'!L5+'PL OZON'!L5</f>
        <v/>
      </c>
      <c r="M5" s="255">
        <f>'PL WB'!M5+'PL OZON'!M5</f>
        <v/>
      </c>
      <c r="N5" s="255">
        <f>'PL WB'!N5+'PL OZON'!N5</f>
        <v/>
      </c>
      <c r="O5" s="473" t="n"/>
    </row>
    <row r="6" ht="13.5" customHeight="1">
      <c r="A6" s="253" t="n"/>
      <c r="B6" s="257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  <c r="N6" s="256" t="n"/>
      <c r="O6" s="474" t="n"/>
    </row>
    <row r="7" ht="13.5" customHeight="1">
      <c r="A7" s="253" t="n"/>
      <c r="B7" s="258" t="inlineStr">
        <is>
          <t>Продажи шт</t>
        </is>
      </c>
      <c r="C7" s="256">
        <f>'PL WB'!C7+'PL OZON'!C7</f>
        <v/>
      </c>
      <c r="D7" s="256">
        <f>'PL WB'!D7+'PL OZON'!D7</f>
        <v/>
      </c>
      <c r="E7" s="256">
        <f>'PL WB'!E7+'PL OZON'!E7</f>
        <v/>
      </c>
      <c r="F7" s="256">
        <f>'PL WB'!F7+'PL OZON'!F7</f>
        <v/>
      </c>
      <c r="G7" s="256">
        <f>'PL WB'!G7+'PL OZON'!G7</f>
        <v/>
      </c>
      <c r="H7" s="256">
        <f>'PL WB'!H7+'PL OZON'!H7</f>
        <v/>
      </c>
      <c r="I7" s="256">
        <f>'PL WB'!I7+'PL OZON'!I7</f>
        <v/>
      </c>
      <c r="J7" s="256">
        <f>'PL WB'!J7+'PL OZON'!J7</f>
        <v/>
      </c>
      <c r="K7" s="256">
        <f>'PL WB'!K7+'PL OZON'!K7</f>
        <v/>
      </c>
      <c r="L7" s="256">
        <f>'PL WB'!L7+'PL OZON'!L7</f>
        <v/>
      </c>
      <c r="M7" s="256">
        <f>'PL WB'!M7+'PL OZON'!M7</f>
        <v/>
      </c>
      <c r="N7" s="256">
        <f>'PL WB'!N7+'PL OZON'!N7</f>
        <v/>
      </c>
      <c r="O7" s="474">
        <f>SUM(C7:N7)</f>
        <v/>
      </c>
    </row>
    <row r="8" ht="13.5" customHeight="1">
      <c r="A8" s="253" t="n"/>
      <c r="B8" s="344" t="inlineStr">
        <is>
          <t>Отгрузки по себестоимости</t>
        </is>
      </c>
      <c r="C8" s="256">
        <f>C33</f>
        <v/>
      </c>
      <c r="D8" s="256">
        <f>D33</f>
        <v/>
      </c>
      <c r="E8" s="256">
        <f>E33</f>
        <v/>
      </c>
      <c r="F8" s="256">
        <f>F33</f>
        <v/>
      </c>
      <c r="G8" s="256">
        <f>G33</f>
        <v/>
      </c>
      <c r="H8" s="256">
        <f>H33</f>
        <v/>
      </c>
      <c r="I8" s="256">
        <f>I33</f>
        <v/>
      </c>
      <c r="J8" s="256">
        <f>J33</f>
        <v/>
      </c>
      <c r="K8" s="256">
        <f>K33</f>
        <v/>
      </c>
      <c r="L8" s="256">
        <f>L33</f>
        <v/>
      </c>
      <c r="M8" s="256">
        <f>M33</f>
        <v/>
      </c>
      <c r="N8" s="256">
        <f>N33</f>
        <v/>
      </c>
      <c r="O8" s="474">
        <f>SUM(C8:N8)</f>
        <v/>
      </c>
    </row>
    <row r="9" ht="13.5" customHeight="1">
      <c r="A9" s="253" t="n"/>
      <c r="B9" s="254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  <c r="N9" s="256" t="n"/>
      <c r="O9" s="474" t="n"/>
    </row>
    <row r="10" ht="13.5" customHeight="1">
      <c r="A10" s="253" t="inlineStr">
        <is>
          <t>Поступление товара, р</t>
        </is>
      </c>
      <c r="B10" s="254" t="n"/>
      <c r="C10" s="256">
        <f>'PL WB'!C10+'PL OZON'!C10</f>
        <v/>
      </c>
      <c r="D10" s="256">
        <f>'PL WB'!D10+'PL OZON'!D10</f>
        <v/>
      </c>
      <c r="E10" s="256">
        <f>'PL WB'!E10+'PL OZON'!E10</f>
        <v/>
      </c>
      <c r="F10" s="256">
        <f>'PL WB'!F10+'PL OZON'!F10</f>
        <v/>
      </c>
      <c r="G10" s="256">
        <f>'PL WB'!G10+'PL OZON'!G10</f>
        <v/>
      </c>
      <c r="H10" s="256">
        <f>'PL WB'!H10+'PL OZON'!H10</f>
        <v/>
      </c>
      <c r="I10" s="256">
        <f>'PL WB'!I10+'PL OZON'!I10</f>
        <v/>
      </c>
      <c r="J10" s="256">
        <f>'PL WB'!J10+'PL OZON'!J10</f>
        <v/>
      </c>
      <c r="K10" s="256">
        <f>'PL WB'!K10+'PL OZON'!K10</f>
        <v/>
      </c>
      <c r="L10" s="256">
        <f>'PL WB'!L10+'PL OZON'!L10</f>
        <v/>
      </c>
      <c r="M10" s="256">
        <f>'PL WB'!M10+'PL OZON'!M10</f>
        <v/>
      </c>
      <c r="N10" s="256">
        <f>'PL WB'!N10+'PL OZON'!N10</f>
        <v/>
      </c>
      <c r="O10" s="474">
        <f>SUM(C10:N10)</f>
        <v/>
      </c>
    </row>
    <row r="11" ht="13.5" customHeight="1">
      <c r="A11" s="259" t="inlineStr">
        <is>
          <t>Поступление товара, шт</t>
        </is>
      </c>
      <c r="B11" s="260" t="n"/>
      <c r="C11" s="255">
        <f>'PL WB'!C11+'PL OZON'!C11</f>
        <v/>
      </c>
      <c r="D11" s="255">
        <f>'PL WB'!D11+'PL OZON'!D11</f>
        <v/>
      </c>
      <c r="E11" s="255">
        <f>'PL WB'!E11+'PL OZON'!E11</f>
        <v/>
      </c>
      <c r="F11" s="255">
        <f>'PL WB'!F11+'PL OZON'!F11</f>
        <v/>
      </c>
      <c r="G11" s="255">
        <f>'PL WB'!G11+'PL OZON'!G11</f>
        <v/>
      </c>
      <c r="H11" s="255">
        <f>'PL WB'!H11+'PL OZON'!H11</f>
        <v/>
      </c>
      <c r="I11" s="255">
        <f>'PL WB'!I11+'PL OZON'!I11</f>
        <v/>
      </c>
      <c r="J11" s="255">
        <f>'PL WB'!J11+'PL OZON'!J11</f>
        <v/>
      </c>
      <c r="K11" s="255">
        <f>'PL WB'!K11+'PL OZON'!K11</f>
        <v/>
      </c>
      <c r="L11" s="255">
        <f>'PL WB'!L11+'PL OZON'!L11</f>
        <v/>
      </c>
      <c r="M11" s="255">
        <f>'PL WB'!M11+'PL OZON'!M11</f>
        <v/>
      </c>
      <c r="N11" s="255">
        <f>'PL WB'!N11+'PL OZON'!N11</f>
        <v/>
      </c>
      <c r="O11" s="473">
        <f>SUM(C11:N11)</f>
        <v/>
      </c>
    </row>
    <row r="12" ht="13.5" customHeight="1">
      <c r="A12" s="261" t="inlineStr">
        <is>
          <t>Доступно на складе по цене закупки</t>
        </is>
      </c>
      <c r="B12" s="262" t="n"/>
      <c r="C12" s="255">
        <f>'PL WB'!C12+'PL OZON'!C12</f>
        <v/>
      </c>
      <c r="D12" s="255">
        <f>'PL WB'!D12+'PL OZON'!D12</f>
        <v/>
      </c>
      <c r="E12" s="255">
        <f>'PL WB'!E12+'PL OZON'!E12</f>
        <v/>
      </c>
      <c r="F12" s="255">
        <f>'PL WB'!F12+'PL OZON'!F12</f>
        <v/>
      </c>
      <c r="G12" s="255">
        <f>'PL WB'!G12+'PL OZON'!G12</f>
        <v/>
      </c>
      <c r="H12" s="255">
        <f>'PL WB'!H12+'PL OZON'!H12</f>
        <v/>
      </c>
      <c r="I12" s="255">
        <f>'PL WB'!I12+'PL OZON'!I12</f>
        <v/>
      </c>
      <c r="J12" s="255">
        <f>'PL WB'!J12+'PL OZON'!J12</f>
        <v/>
      </c>
      <c r="K12" s="255">
        <f>'PL WB'!K12+'PL OZON'!K12</f>
        <v/>
      </c>
      <c r="L12" s="255">
        <f>'PL WB'!L12+'PL OZON'!L12</f>
        <v/>
      </c>
      <c r="M12" s="255">
        <f>'PL WB'!M12+'PL OZON'!M12</f>
        <v/>
      </c>
      <c r="N12" s="255">
        <f>'PL WB'!N12+'PL OZON'!N12</f>
        <v/>
      </c>
      <c r="O12" s="473" t="n"/>
    </row>
    <row r="13" ht="13.5" customHeight="1">
      <c r="A13" s="261" t="inlineStr">
        <is>
          <t>Доступно на складе, шт</t>
        </is>
      </c>
      <c r="B13" s="264" t="n"/>
      <c r="C13" s="255">
        <f>'PL WB'!C13+'PL OZON'!C13</f>
        <v/>
      </c>
      <c r="D13" s="255">
        <f>'PL WB'!D13+'PL OZON'!D13</f>
        <v/>
      </c>
      <c r="E13" s="255">
        <f>'PL WB'!E13+'PL OZON'!E13</f>
        <v/>
      </c>
      <c r="F13" s="255">
        <f>'PL WB'!F13+'PL OZON'!F13</f>
        <v/>
      </c>
      <c r="G13" s="255">
        <f>'PL WB'!G13+'PL OZON'!G13</f>
        <v/>
      </c>
      <c r="H13" s="255">
        <f>'PL WB'!H13+'PL OZON'!H13</f>
        <v/>
      </c>
      <c r="I13" s="255">
        <f>'PL WB'!I13+'PL OZON'!I13</f>
        <v/>
      </c>
      <c r="J13" s="255">
        <f>'PL WB'!J13+'PL OZON'!J13</f>
        <v/>
      </c>
      <c r="K13" s="255">
        <f>'PL WB'!K13+'PL OZON'!K13</f>
        <v/>
      </c>
      <c r="L13" s="255">
        <f>'PL WB'!L13+'PL OZON'!L13</f>
        <v/>
      </c>
      <c r="M13" s="255">
        <f>'PL WB'!M13+'PL OZON'!M13</f>
        <v/>
      </c>
      <c r="N13" s="255">
        <f>'PL WB'!N13+'PL OZON'!N13</f>
        <v/>
      </c>
      <c r="O13" s="473" t="n"/>
    </row>
    <row r="14" ht="13.5" customHeight="1" thickBot="1">
      <c r="A14" s="175" t="inlineStr">
        <is>
          <t>Продано товаров по цене в карточке</t>
        </is>
      </c>
      <c r="B14" s="257" t="n"/>
      <c r="C14" s="265">
        <f>'PL WB'!C14+'PL OZON'!C14</f>
        <v/>
      </c>
      <c r="D14" s="265">
        <f>'PL WB'!D14+'PL OZON'!D14</f>
        <v/>
      </c>
      <c r="E14" s="265">
        <f>'PL WB'!E14+'PL OZON'!E14</f>
        <v/>
      </c>
      <c r="F14" s="265">
        <f>'PL WB'!F14+'PL OZON'!F14</f>
        <v/>
      </c>
      <c r="G14" s="265">
        <f>'PL WB'!G14+'PL OZON'!G14</f>
        <v/>
      </c>
      <c r="H14" s="265">
        <f>'PL WB'!H14+'PL OZON'!H14</f>
        <v/>
      </c>
      <c r="I14" s="265">
        <f>'PL WB'!I14+'PL OZON'!I14</f>
        <v/>
      </c>
      <c r="J14" s="265">
        <f>'PL WB'!J14+'PL OZON'!J14</f>
        <v/>
      </c>
      <c r="K14" s="265">
        <f>'PL WB'!K14+'PL OZON'!K14</f>
        <v/>
      </c>
      <c r="L14" s="265">
        <f>'PL WB'!L14+'PL OZON'!L14</f>
        <v/>
      </c>
      <c r="M14" s="265">
        <f>'PL WB'!M14+'PL OZON'!M14</f>
        <v/>
      </c>
      <c r="N14" s="265">
        <f>'PL WB'!N14+'PL OZON'!N14</f>
        <v/>
      </c>
      <c r="O14" s="475">
        <f>SUM(C14:N14)</f>
        <v/>
      </c>
    </row>
    <row r="15" ht="13.5" customHeight="1" thickBot="1" thickTop="1">
      <c r="A15" s="175" t="inlineStr">
        <is>
          <t>Продано товаров -ПРОДАЖИ</t>
        </is>
      </c>
      <c r="B15" s="267" t="n"/>
      <c r="C15" s="265">
        <f>'PL WB'!C15+'PL OZON'!C14</f>
        <v/>
      </c>
      <c r="D15" s="265">
        <f>'PL WB'!D15+'PL OZON'!D14</f>
        <v/>
      </c>
      <c r="E15" s="265">
        <f>'PL WB'!E15+'PL OZON'!E14</f>
        <v/>
      </c>
      <c r="F15" s="265">
        <f>'PL WB'!F15+'PL OZON'!F14</f>
        <v/>
      </c>
      <c r="G15" s="265">
        <f>'PL WB'!G15+'PL OZON'!G14</f>
        <v/>
      </c>
      <c r="H15" s="265">
        <f>'PL WB'!H15+'PL OZON'!H14</f>
        <v/>
      </c>
      <c r="I15" s="265">
        <f>'PL WB'!I15+'PL OZON'!I14</f>
        <v/>
      </c>
      <c r="J15" s="265">
        <f>'PL WB'!J15+'PL OZON'!J14</f>
        <v/>
      </c>
      <c r="K15" s="265">
        <f>'PL WB'!K15+'PL OZON'!K14</f>
        <v/>
      </c>
      <c r="L15" s="265">
        <f>'PL WB'!L15+'PL OZON'!L14</f>
        <v/>
      </c>
      <c r="M15" s="265">
        <f>'PL WB'!M15+'PL OZON'!M14</f>
        <v/>
      </c>
      <c r="N15" s="265">
        <f>'PL WB'!N15+'PL OZON'!N14</f>
        <v/>
      </c>
      <c r="O15" s="475">
        <f>SUM(C15:N15)</f>
        <v/>
      </c>
    </row>
    <row r="16" ht="13.5" customHeight="1" thickTop="1">
      <c r="A16" s="268" t="n"/>
      <c r="B16" s="254" t="n"/>
      <c r="C16" s="269" t="n"/>
      <c r="D16" s="269" t="n"/>
      <c r="E16" s="269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476">
        <f>SUM(C16:N16)</f>
        <v/>
      </c>
    </row>
    <row r="17" ht="13.5" customHeight="1" thickBot="1">
      <c r="A17" s="399" t="inlineStr">
        <is>
          <t>Комиссия</t>
        </is>
      </c>
      <c r="B17" s="254" t="n"/>
      <c r="C17" s="265">
        <f>C14-C20</f>
        <v/>
      </c>
      <c r="D17" s="265">
        <f>D14-D20</f>
        <v/>
      </c>
      <c r="E17" s="265">
        <f>E14-E20</f>
        <v/>
      </c>
      <c r="F17" s="265">
        <f>F14-F20</f>
        <v/>
      </c>
      <c r="G17" s="265">
        <f>G14-G20</f>
        <v/>
      </c>
      <c r="H17" s="265">
        <f>H14-H20</f>
        <v/>
      </c>
      <c r="I17" s="265">
        <f>I14-I20</f>
        <v/>
      </c>
      <c r="J17" s="265">
        <f>J14-J20</f>
        <v/>
      </c>
      <c r="K17" s="265">
        <f>K14-K20</f>
        <v/>
      </c>
      <c r="L17" s="265">
        <f>L14-L20</f>
        <v/>
      </c>
      <c r="M17" s="265">
        <f>M14-M20</f>
        <v/>
      </c>
      <c r="N17" s="265">
        <f>N15-N20</f>
        <v/>
      </c>
      <c r="O17" s="475">
        <f>SUM(C17:N17)</f>
        <v/>
      </c>
    </row>
    <row r="18" ht="13.5" customHeight="1" thickTop="1">
      <c r="A18" s="268" t="inlineStr">
        <is>
          <t>% комиссии</t>
        </is>
      </c>
      <c r="B18" s="254" t="n"/>
      <c r="C18" s="270">
        <f>C17/C14</f>
        <v/>
      </c>
      <c r="D18" s="270">
        <f>D17/D15</f>
        <v/>
      </c>
      <c r="E18" s="270">
        <f>E17/E15</f>
        <v/>
      </c>
      <c r="F18" s="270">
        <f>F17/F15</f>
        <v/>
      </c>
      <c r="G18" s="270">
        <f>G17/G15</f>
        <v/>
      </c>
      <c r="H18" s="270">
        <f>H17/H15</f>
        <v/>
      </c>
      <c r="I18" s="270">
        <f>I17/I15</f>
        <v/>
      </c>
      <c r="J18" s="270">
        <f>J17/J15</f>
        <v/>
      </c>
      <c r="K18" s="270">
        <f>K17/K15</f>
        <v/>
      </c>
      <c r="L18" s="270">
        <f>L17/L15</f>
        <v/>
      </c>
      <c r="M18" s="270">
        <f>M17/M15</f>
        <v/>
      </c>
      <c r="N18" s="270">
        <f>N17/N15</f>
        <v/>
      </c>
      <c r="O18" s="477">
        <f>O17/O15</f>
        <v/>
      </c>
    </row>
    <row r="19" ht="13.5" customHeight="1">
      <c r="A19" s="268" t="n"/>
      <c r="B19" s="254" t="n"/>
      <c r="C19" s="269" t="n"/>
      <c r="D19" s="269" t="n"/>
      <c r="E19" s="269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476" t="n"/>
    </row>
    <row r="20" ht="13.5" customHeight="1" thickBot="1">
      <c r="A20" s="266" t="inlineStr">
        <is>
          <t>Выручка от реализации (к перечислению за товар), руб</t>
        </is>
      </c>
      <c r="B20" s="267" t="n"/>
      <c r="C20" s="265">
        <f>'PL WB'!C20+'PL OZON'!C20</f>
        <v/>
      </c>
      <c r="D20" s="265">
        <f>'PL WB'!D20+'PL OZON'!D20</f>
        <v/>
      </c>
      <c r="E20" s="265">
        <f>'PL WB'!E20+'PL OZON'!E20</f>
        <v/>
      </c>
      <c r="F20" s="265">
        <f>'PL WB'!F20+'PL OZON'!F20</f>
        <v/>
      </c>
      <c r="G20" s="265">
        <f>'PL WB'!G20+'PL OZON'!G20</f>
        <v/>
      </c>
      <c r="H20" s="265">
        <f>'PL WB'!H20+'PL OZON'!H20</f>
        <v/>
      </c>
      <c r="I20" s="265">
        <f>'PL WB'!I20+'PL OZON'!I20</f>
        <v/>
      </c>
      <c r="J20" s="265">
        <f>'PL WB'!J20+'PL OZON'!J20</f>
        <v/>
      </c>
      <c r="K20" s="265">
        <f>'PL WB'!K20+'PL OZON'!K20</f>
        <v/>
      </c>
      <c r="L20" s="265">
        <f>'PL WB'!L20+'PL OZON'!L20</f>
        <v/>
      </c>
      <c r="M20" s="265">
        <f>'PL WB'!M20+'PL OZON'!M20</f>
        <v/>
      </c>
      <c r="N20" s="265">
        <f>'PL WB'!N20+'PL OZON'!N20</f>
        <v/>
      </c>
      <c r="O20" s="475">
        <f>SUM(C20:N20)</f>
        <v/>
      </c>
    </row>
    <row r="21" ht="13.5" customHeight="1" thickTop="1">
      <c r="A21" s="273" t="n"/>
      <c r="B21" s="274" t="n"/>
      <c r="C21" s="275" t="n"/>
      <c r="D21" s="275" t="n"/>
      <c r="E21" s="275" t="n"/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478">
        <f>SUM(C21:N21)</f>
        <v/>
      </c>
    </row>
    <row r="22" ht="13.5" customHeight="1">
      <c r="A22" s="268" t="inlineStr">
        <is>
          <t>Возвраты, руб</t>
        </is>
      </c>
      <c r="B22" s="276" t="n"/>
      <c r="C22" s="269">
        <f>'PL WB'!C22+'PL OZON'!C22</f>
        <v/>
      </c>
      <c r="D22" s="269">
        <f>'PL WB'!D22+'PL OZON'!D22</f>
        <v/>
      </c>
      <c r="E22" s="269">
        <f>'PL WB'!E22+'PL OZON'!E22</f>
        <v/>
      </c>
      <c r="F22" s="269">
        <f>'PL WB'!F22+'PL OZON'!F22</f>
        <v/>
      </c>
      <c r="G22" s="269">
        <f>'PL WB'!G22+'PL OZON'!G22</f>
        <v/>
      </c>
      <c r="H22" s="269">
        <f>'PL WB'!H22+'PL OZON'!H22</f>
        <v/>
      </c>
      <c r="I22" s="269">
        <f>'PL WB'!I22+'PL OZON'!I22</f>
        <v/>
      </c>
      <c r="J22" s="269">
        <f>'PL WB'!J22+'PL OZON'!J22</f>
        <v/>
      </c>
      <c r="K22" s="269">
        <f>'PL WB'!K22+'PL OZON'!K22</f>
        <v/>
      </c>
      <c r="L22" s="269">
        <f>'PL WB'!L22+'PL OZON'!L22</f>
        <v/>
      </c>
      <c r="M22" s="269">
        <f>'PL WB'!M22+'PL OZON'!M22</f>
        <v/>
      </c>
      <c r="N22" s="269">
        <f>'PL WB'!N22+'PL OZON'!N22</f>
        <v/>
      </c>
      <c r="O22" s="476">
        <f>SUM(C22:N22)</f>
        <v/>
      </c>
    </row>
    <row r="23" ht="13.5" customHeight="1">
      <c r="A23" s="268" t="inlineStr">
        <is>
          <t>Возвраты, шт</t>
        </is>
      </c>
      <c r="B23" s="276" t="n"/>
      <c r="C23" s="269">
        <f>'PL WB'!C23+'PL OZON'!C23</f>
        <v/>
      </c>
      <c r="D23" s="269">
        <f>'PL WB'!D23+'PL OZON'!D23</f>
        <v/>
      </c>
      <c r="E23" s="269">
        <f>'PL WB'!E23+'PL OZON'!E23</f>
        <v/>
      </c>
      <c r="F23" s="269">
        <f>'PL WB'!F23+'PL OZON'!F23</f>
        <v/>
      </c>
      <c r="G23" s="269">
        <f>'PL WB'!G23+'PL OZON'!G23</f>
        <v/>
      </c>
      <c r="H23" s="269">
        <f>'PL WB'!H23+'PL OZON'!H23</f>
        <v/>
      </c>
      <c r="I23" s="269">
        <f>'PL WB'!I23+'PL OZON'!I23</f>
        <v/>
      </c>
      <c r="J23" s="269">
        <f>'PL WB'!J23+'PL OZON'!J23</f>
        <v/>
      </c>
      <c r="K23" s="269">
        <f>'PL WB'!K23+'PL OZON'!K23</f>
        <v/>
      </c>
      <c r="L23" s="269">
        <f>'PL WB'!L23+'PL OZON'!L23</f>
        <v/>
      </c>
      <c r="M23" s="269">
        <f>'PL WB'!M23+'PL OZON'!M23</f>
        <v/>
      </c>
      <c r="N23" s="269">
        <f>'PL WB'!N23+'PL OZON'!N23</f>
        <v/>
      </c>
      <c r="O23" s="476">
        <f>SUM(C23:N23)</f>
        <v/>
      </c>
    </row>
    <row r="24" ht="13.5" customHeight="1">
      <c r="A24" s="268" t="inlineStr">
        <is>
          <t>% возвратов</t>
        </is>
      </c>
      <c r="B24" s="276" t="n"/>
      <c r="C24" s="269">
        <f>'PL WB'!C24+'PL OZON'!C24</f>
        <v/>
      </c>
      <c r="D24" s="534">
        <f>D22/D20</f>
        <v/>
      </c>
      <c r="E24" s="534">
        <f>E22/E20</f>
        <v/>
      </c>
      <c r="F24" s="534">
        <f>F22/F20</f>
        <v/>
      </c>
      <c r="G24" s="534">
        <f>G22/G20</f>
        <v/>
      </c>
      <c r="H24" s="534">
        <f>H22/H20</f>
        <v/>
      </c>
      <c r="I24" s="534">
        <f>I22/I20</f>
        <v/>
      </c>
      <c r="J24" s="534">
        <f>J22/J20</f>
        <v/>
      </c>
      <c r="K24" s="534">
        <f>K22/K20</f>
        <v/>
      </c>
      <c r="L24" s="534">
        <f>L22/L20</f>
        <v/>
      </c>
      <c r="M24" s="534">
        <f>M22/M20</f>
        <v/>
      </c>
      <c r="N24" s="534">
        <f>N22/N20</f>
        <v/>
      </c>
      <c r="O24" s="535">
        <f>O22/O20</f>
        <v/>
      </c>
    </row>
    <row r="25" ht="13.5" customHeight="1">
      <c r="A25" s="273" t="n"/>
      <c r="B25" s="274" t="n"/>
      <c r="C25" s="269">
        <f>'PL WB'!C25+'PL OZON'!C25</f>
        <v/>
      </c>
      <c r="D25" s="275" t="n"/>
      <c r="E25" s="275" t="n"/>
      <c r="F25" s="275" t="n"/>
      <c r="G25" s="275" t="n"/>
      <c r="H25" s="275" t="n"/>
      <c r="I25" s="275" t="n"/>
      <c r="J25" s="275" t="n"/>
      <c r="K25" s="275" t="n"/>
      <c r="L25" s="275" t="n"/>
      <c r="M25" s="275" t="n"/>
      <c r="N25" s="275" t="n"/>
      <c r="O25" s="478" t="n"/>
    </row>
    <row r="26" hidden="1" ht="13.5" customHeight="1">
      <c r="A26" s="277" t="inlineStr">
        <is>
          <t>Брак, руб</t>
        </is>
      </c>
      <c r="B26" s="274" t="n"/>
      <c r="C26" s="269">
        <f>'PL WB'!C26+'PL OZON'!C26</f>
        <v/>
      </c>
      <c r="D26" s="275" t="n"/>
      <c r="E26" s="275" t="n"/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478" t="n"/>
    </row>
    <row r="27" ht="13.5" customHeight="1">
      <c r="A27" s="277" t="inlineStr">
        <is>
          <t>Брак, шт</t>
        </is>
      </c>
      <c r="B27" s="274" t="n"/>
      <c r="C27" s="269">
        <f>'PL WB'!C27+'PL OZON'!C27</f>
        <v/>
      </c>
      <c r="D27" s="269">
        <f>SUM('PL WB (нед)'!H27:K27)</f>
        <v/>
      </c>
      <c r="E27" s="269">
        <f>SUM('PL WB (нед)'!L27:O27)</f>
        <v/>
      </c>
      <c r="F27" s="269">
        <f>SUM('PL WB (нед)'!P27:S27)</f>
        <v/>
      </c>
      <c r="G27" s="269">
        <f>SUM('PL WB (нед)'!T27:X27)</f>
        <v/>
      </c>
      <c r="H27" s="269">
        <f>SUM('PL WB (нед)'!Y27:AB27)</f>
        <v/>
      </c>
      <c r="I27" s="269">
        <f>SUM('PL WB (нед)'!AC27:AF27)</f>
        <v/>
      </c>
      <c r="J27" s="269">
        <f>SUM('PL WB (нед)'!AG27:AK27)</f>
        <v/>
      </c>
      <c r="K27" s="269">
        <f>SUM('PL WB (нед)'!AL27:AO27)</f>
        <v/>
      </c>
      <c r="L27" s="269">
        <f>SUM('PL WB (нед)'!AP27:AT27)</f>
        <v/>
      </c>
      <c r="M27" s="269">
        <f>SUM('PL WB (нед)'!AU27:AX27)</f>
        <v/>
      </c>
      <c r="N27" s="269">
        <f>SUM('PL WB (нед)'!AY27:BB27)</f>
        <v/>
      </c>
      <c r="O27" s="476" t="n"/>
    </row>
    <row r="28" ht="13.5" customHeight="1">
      <c r="A28" s="277" t="inlineStr">
        <is>
          <t>% брака</t>
        </is>
      </c>
      <c r="B28" s="274" t="n"/>
      <c r="C28" s="269">
        <f>'PL WB'!C28+'PL OZON'!C28</f>
        <v/>
      </c>
      <c r="D28" s="270">
        <f>D27/D7</f>
        <v/>
      </c>
      <c r="E28" s="270">
        <f>E27/E7</f>
        <v/>
      </c>
      <c r="F28" s="270">
        <f>F27/F7</f>
        <v/>
      </c>
      <c r="G28" s="270">
        <f>G27/G7</f>
        <v/>
      </c>
      <c r="H28" s="270">
        <f>H27/H7</f>
        <v/>
      </c>
      <c r="I28" s="270">
        <f>I27/I7</f>
        <v/>
      </c>
      <c r="J28" s="270">
        <f>J27/J7</f>
        <v/>
      </c>
      <c r="K28" s="270">
        <f>K27/K7</f>
        <v/>
      </c>
      <c r="L28" s="270">
        <f>L27/L7</f>
        <v/>
      </c>
      <c r="M28" s="270">
        <f>M27/M7</f>
        <v/>
      </c>
      <c r="N28" s="270">
        <f>N27/N7</f>
        <v/>
      </c>
      <c r="O28" s="477" t="n"/>
    </row>
    <row r="29" ht="13.5" customHeight="1">
      <c r="A29" s="273" t="n"/>
      <c r="B29" s="274" t="n"/>
      <c r="C29" s="275" t="n"/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478" t="n"/>
    </row>
    <row r="30" ht="13.5" customHeight="1" thickBot="1">
      <c r="A30" s="279" t="inlineStr">
        <is>
          <t>Поступление на счет</t>
        </is>
      </c>
      <c r="B30" s="280" t="n"/>
      <c r="C30" s="281">
        <f>'PL WB'!C30+'PL OZON'!C30</f>
        <v/>
      </c>
      <c r="D30" s="281">
        <f>'PL WB'!D30+'PL OZON'!D30</f>
        <v/>
      </c>
      <c r="E30" s="281">
        <f>'PL WB'!E30+'PL OZON'!E30</f>
        <v/>
      </c>
      <c r="F30" s="281">
        <f>'PL WB'!F30+'PL OZON'!F30</f>
        <v/>
      </c>
      <c r="G30" s="281">
        <f>'PL WB'!G30+'PL OZON'!G30</f>
        <v/>
      </c>
      <c r="H30" s="281">
        <f>'PL WB'!H30+'PL OZON'!H30</f>
        <v/>
      </c>
      <c r="I30" s="281">
        <f>'PL WB'!I30+'PL OZON'!I30</f>
        <v/>
      </c>
      <c r="J30" s="281">
        <f>'PL WB'!J30+'PL OZON'!J30</f>
        <v/>
      </c>
      <c r="K30" s="281">
        <f>'PL WB'!K30+'PL OZON'!K30</f>
        <v/>
      </c>
      <c r="L30" s="281">
        <f>'PL WB'!L30+'PL OZON'!L30</f>
        <v/>
      </c>
      <c r="M30" s="281">
        <f>'PL WB'!M30+'PL OZON'!M30</f>
        <v/>
      </c>
      <c r="N30" s="281">
        <f>'PL WB'!N30+'PL OZON'!N30</f>
        <v/>
      </c>
      <c r="O30" s="480">
        <f>SUM(C30:N30)</f>
        <v/>
      </c>
    </row>
    <row r="31" ht="13.5" customHeight="1" thickTop="1">
      <c r="A31" s="107" t="inlineStr">
        <is>
          <t xml:space="preserve">   в т.ч. Прочие доходы</t>
        </is>
      </c>
      <c r="B31" s="274" t="n"/>
      <c r="C31" s="256">
        <f>SUM('PL WB (нед)'!C31:G31)</f>
        <v/>
      </c>
      <c r="D31" s="256">
        <f>SUM('PL WB (нед)'!H31:K31)</f>
        <v/>
      </c>
      <c r="E31" s="256">
        <f>SUM('PL WB (нед)'!L31:O31)</f>
        <v/>
      </c>
      <c r="F31" s="256">
        <f>SUM('PL WB (нед)'!P31:S31)</f>
        <v/>
      </c>
      <c r="G31" s="256">
        <f>SUM('PL WB (нед)'!T31:X31)</f>
        <v/>
      </c>
      <c r="H31" s="256">
        <f>SUM('PL WB (нед)'!Y31:AB31)</f>
        <v/>
      </c>
      <c r="I31" s="256">
        <f>SUM('PL WB (нед)'!AC31:AF31)</f>
        <v/>
      </c>
      <c r="J31" s="256">
        <f>SUM('PL WB (нед)'!AG31:AK31)</f>
        <v/>
      </c>
      <c r="K31" s="256">
        <f>SUM('PL WB (нед)'!AL31:AO31)</f>
        <v/>
      </c>
      <c r="L31" s="256">
        <f>SUM('PL WB (нед)'!AP31:AT31)</f>
        <v/>
      </c>
      <c r="M31" s="256">
        <f>SUM('PL WB (нед)'!AU31:AX31)</f>
        <v/>
      </c>
      <c r="N31" s="256">
        <f>SUM('PL WB (нед)'!AY31:BB31)</f>
        <v/>
      </c>
      <c r="O31" s="474">
        <f>SUM(C31:N31)</f>
        <v/>
      </c>
    </row>
    <row r="32" ht="13.5" customHeight="1">
      <c r="A32" s="282" t="n"/>
      <c r="B32" s="274" t="n"/>
      <c r="C32" s="283" t="n"/>
      <c r="D32" s="283" t="n"/>
      <c r="E32" s="283" t="n"/>
      <c r="F32" s="283" t="n"/>
      <c r="G32" s="283" t="n"/>
      <c r="H32" s="283" t="n"/>
      <c r="I32" s="283" t="n"/>
      <c r="J32" s="283" t="n"/>
      <c r="K32" s="283" t="n"/>
      <c r="L32" s="283" t="n"/>
      <c r="M32" s="283" t="n"/>
      <c r="N32" s="283" t="n"/>
      <c r="O32" s="481">
        <f>SUM(C32:N32)</f>
        <v/>
      </c>
    </row>
    <row r="33" ht="13.5" customHeight="1" thickBot="1">
      <c r="A33" s="266" t="inlineStr">
        <is>
          <t>Себестоимость</t>
        </is>
      </c>
      <c r="B33" s="284" t="n"/>
      <c r="C33" s="265">
        <f>'PL WB'!C33+'PL OZON'!C33</f>
        <v/>
      </c>
      <c r="D33" s="265">
        <f>'PL WB'!D33+'PL OZON'!D33</f>
        <v/>
      </c>
      <c r="E33" s="265">
        <f>'PL WB'!E33+'PL OZON'!E33</f>
        <v/>
      </c>
      <c r="F33" s="265">
        <f>'PL WB'!F33+'PL OZON'!F33</f>
        <v/>
      </c>
      <c r="G33" s="265">
        <f>'PL WB'!G33+'PL OZON'!G33</f>
        <v/>
      </c>
      <c r="H33" s="265">
        <f>'PL WB'!H33+'PL OZON'!H33</f>
        <v/>
      </c>
      <c r="I33" s="265">
        <f>'PL WB'!I33+'PL OZON'!I33</f>
        <v/>
      </c>
      <c r="J33" s="265">
        <f>'PL WB'!J33+'PL OZON'!J33</f>
        <v/>
      </c>
      <c r="K33" s="265">
        <f>'PL WB'!K33+'PL OZON'!K33</f>
        <v/>
      </c>
      <c r="L33" s="265">
        <f>'PL WB'!L33+'PL OZON'!L33</f>
        <v/>
      </c>
      <c r="M33" s="265">
        <f>'PL WB'!M33+'PL OZON'!M33</f>
        <v/>
      </c>
      <c r="N33" s="265">
        <f>'PL WB'!N33+'PL OZON'!N33</f>
        <v/>
      </c>
      <c r="O33" s="475">
        <f>SUM(C33:N33)</f>
        <v/>
      </c>
    </row>
    <row r="34" ht="13.5" customHeight="1" thickTop="1">
      <c r="A34" s="285" t="inlineStr">
        <is>
          <t>% себестоимости</t>
        </is>
      </c>
      <c r="B34" s="286" t="n"/>
      <c r="C34" s="287">
        <f>C33/C14</f>
        <v/>
      </c>
      <c r="D34" s="287">
        <f>D33/D15</f>
        <v/>
      </c>
      <c r="E34" s="287">
        <f>E33/E15</f>
        <v/>
      </c>
      <c r="F34" s="287">
        <f>F33/F15</f>
        <v/>
      </c>
      <c r="G34" s="287">
        <f>G33/G15</f>
        <v/>
      </c>
      <c r="H34" s="287">
        <f>H33/H15</f>
        <v/>
      </c>
      <c r="I34" s="287">
        <f>I33/I15</f>
        <v/>
      </c>
      <c r="J34" s="287">
        <f>J33/J15</f>
        <v/>
      </c>
      <c r="K34" s="287">
        <f>K33/K15</f>
        <v/>
      </c>
      <c r="L34" s="287">
        <f>L33/L15</f>
        <v/>
      </c>
      <c r="M34" s="287">
        <f>M33/M15</f>
        <v/>
      </c>
      <c r="N34" s="287">
        <f>N33/N15</f>
        <v/>
      </c>
      <c r="O34" s="482">
        <f>O33/O15</f>
        <v/>
      </c>
    </row>
    <row r="35" ht="13.5" customHeight="1">
      <c r="A35" s="282" t="n"/>
      <c r="B35" s="288" t="n"/>
      <c r="C35" s="283" t="n"/>
      <c r="D35" s="283" t="n"/>
      <c r="E35" s="283" t="n"/>
      <c r="F35" s="283" t="n"/>
      <c r="G35" s="283" t="n"/>
      <c r="H35" s="283" t="n"/>
      <c r="I35" s="283" t="n"/>
      <c r="J35" s="283" t="n"/>
      <c r="K35" s="283" t="n"/>
      <c r="L35" s="283" t="n"/>
      <c r="M35" s="283" t="n"/>
      <c r="N35" s="283" t="n"/>
      <c r="O35" s="481" t="n"/>
    </row>
    <row r="36" ht="13.5" customHeight="1" thickBot="1">
      <c r="A36" s="266" t="inlineStr">
        <is>
          <t>Валовая прибыль</t>
        </is>
      </c>
      <c r="B36" s="284" t="n"/>
      <c r="C36" s="265">
        <f>'PL WB'!C36+'PL OZON'!C36</f>
        <v/>
      </c>
      <c r="D36" s="265">
        <f>'PL WB'!D36+'PL OZON'!D36</f>
        <v/>
      </c>
      <c r="E36" s="265">
        <f>'PL WB'!E36+'PL OZON'!E36</f>
        <v/>
      </c>
      <c r="F36" s="265">
        <f>'PL WB'!F36+'PL OZON'!F36</f>
        <v/>
      </c>
      <c r="G36" s="265">
        <f>'PL WB'!G36+'PL OZON'!G36</f>
        <v/>
      </c>
      <c r="H36" s="265">
        <f>'PL WB'!H36+'PL OZON'!H36</f>
        <v/>
      </c>
      <c r="I36" s="265">
        <f>'PL WB'!I36+'PL OZON'!I36</f>
        <v/>
      </c>
      <c r="J36" s="265">
        <f>'PL WB'!J36+'PL OZON'!J36</f>
        <v/>
      </c>
      <c r="K36" s="265">
        <f>'PL WB'!K36+'PL OZON'!K36</f>
        <v/>
      </c>
      <c r="L36" s="265">
        <f>L20-L33</f>
        <v/>
      </c>
      <c r="M36" s="265">
        <f>M20-M33</f>
        <v/>
      </c>
      <c r="N36" s="265">
        <f>N20-N33</f>
        <v/>
      </c>
      <c r="O36" s="475">
        <f>SUM(C36:N36)</f>
        <v/>
      </c>
    </row>
    <row r="37" ht="13.5" customHeight="1" thickTop="1">
      <c r="A37" s="289" t="n"/>
      <c r="B37" s="250" t="n"/>
      <c r="C37" s="283" t="n"/>
      <c r="D37" s="283" t="n"/>
      <c r="E37" s="283" t="n"/>
      <c r="F37" s="283" t="n"/>
      <c r="G37" s="283" t="n"/>
      <c r="H37" s="283" t="n"/>
      <c r="I37" s="283" t="n"/>
      <c r="J37" s="283" t="n"/>
      <c r="K37" s="283" t="n"/>
      <c r="L37" s="283" t="n"/>
      <c r="M37" s="283" t="n"/>
      <c r="N37" s="283" t="n"/>
      <c r="O37" s="481">
        <f>SUM(C37:N37)</f>
        <v/>
      </c>
    </row>
    <row r="38" ht="13.5" customHeight="1" thickBot="1">
      <c r="A38" s="266" t="inlineStr">
        <is>
          <t>Расходы</t>
        </is>
      </c>
      <c r="B38" s="284" t="n"/>
      <c r="C38" s="265">
        <f>'PL WB'!C38+'PL OZON'!C38</f>
        <v/>
      </c>
      <c r="D38" s="265">
        <f>'PL WB'!D38+'PL OZON'!D38</f>
        <v/>
      </c>
      <c r="E38" s="265">
        <f>'PL WB'!E38+'PL OZON'!E38</f>
        <v/>
      </c>
      <c r="F38" s="265">
        <f>'PL WB'!F38+'PL OZON'!F38</f>
        <v/>
      </c>
      <c r="G38" s="265">
        <f>'PL WB'!G38+'PL OZON'!G38</f>
        <v/>
      </c>
      <c r="H38" s="265">
        <f>'PL WB'!H38+'PL OZON'!H38</f>
        <v/>
      </c>
      <c r="I38" s="265">
        <f>'PL WB'!I38+'PL OZON'!I38</f>
        <v/>
      </c>
      <c r="J38" s="265">
        <f>'PL WB'!J38+'PL OZON'!J38</f>
        <v/>
      </c>
      <c r="K38" s="265">
        <f>'PL WB'!K38+'PL OZON'!K38</f>
        <v/>
      </c>
      <c r="L38" s="265">
        <f>'PL WB'!L38+'PL OZON'!L38</f>
        <v/>
      </c>
      <c r="M38" s="265">
        <f>'PL WB'!M38+'PL OZON'!M38</f>
        <v/>
      </c>
      <c r="N38" s="265">
        <f>'PL WB'!N38+'PL OZON'!N38</f>
        <v/>
      </c>
      <c r="O38" s="475">
        <f>SUM(C38:N38)</f>
        <v/>
      </c>
    </row>
    <row r="39" ht="13.5" customHeight="1" thickTop="1">
      <c r="A39" s="290" t="inlineStr">
        <is>
          <t>% расходы</t>
        </is>
      </c>
      <c r="B39" s="291" t="n"/>
      <c r="C39" s="287">
        <f>C38/C14</f>
        <v/>
      </c>
      <c r="D39" s="287">
        <f>D38/D14</f>
        <v/>
      </c>
      <c r="E39" s="287">
        <f>E38/E14</f>
        <v/>
      </c>
      <c r="F39" s="287">
        <f>F38/F14</f>
        <v/>
      </c>
      <c r="G39" s="287">
        <f>G38/G14</f>
        <v/>
      </c>
      <c r="H39" s="287">
        <f>H38/H14</f>
        <v/>
      </c>
      <c r="I39" s="287">
        <f>I38/I14</f>
        <v/>
      </c>
      <c r="J39" s="287">
        <f>J38/J14</f>
        <v/>
      </c>
      <c r="K39" s="287">
        <f>K38/K14</f>
        <v/>
      </c>
      <c r="L39" s="287">
        <f>L38/L14</f>
        <v/>
      </c>
      <c r="M39" s="287">
        <f>M38/M14</f>
        <v/>
      </c>
      <c r="N39" s="287">
        <f>N38/N14</f>
        <v/>
      </c>
      <c r="O39" s="482" t="n"/>
    </row>
    <row r="40" ht="13.5" customHeight="1">
      <c r="A40" s="409" t="inlineStr">
        <is>
          <t>Логистика</t>
        </is>
      </c>
      <c r="B40" s="293" t="n"/>
      <c r="C40" s="294">
        <f>'PL WB'!C40+'PL OZON'!C40</f>
        <v/>
      </c>
      <c r="D40" s="294">
        <f>'PL WB'!D40+'PL OZON'!D40</f>
        <v/>
      </c>
      <c r="E40" s="294">
        <f>'PL WB'!E40+'PL OZON'!E40</f>
        <v/>
      </c>
      <c r="F40" s="294">
        <f>'PL WB'!F40+'PL OZON'!F40</f>
        <v/>
      </c>
      <c r="G40" s="294">
        <f>'PL WB'!G40+'PL OZON'!G40</f>
        <v/>
      </c>
      <c r="H40" s="294">
        <f>'PL WB'!H40+'PL OZON'!H40</f>
        <v/>
      </c>
      <c r="I40" s="294">
        <f>'PL WB'!I40+'PL OZON'!I40</f>
        <v/>
      </c>
      <c r="J40" s="294">
        <f>'PL WB'!J40+'PL OZON'!J40</f>
        <v/>
      </c>
      <c r="K40" s="294">
        <f>'PL WB'!K40+'PL OZON'!K40</f>
        <v/>
      </c>
      <c r="L40" s="294">
        <f>'PL WB'!L40+'PL OZON'!L40</f>
        <v/>
      </c>
      <c r="M40" s="294">
        <f>'PL WB'!M40+'PL OZON'!M40</f>
        <v/>
      </c>
      <c r="N40" s="294">
        <f>'PL WB'!N40+'PL OZON'!N40</f>
        <v/>
      </c>
      <c r="O40" s="483">
        <f>SUM(C40:N40)</f>
        <v/>
      </c>
    </row>
    <row r="41" ht="13.5" customHeight="1">
      <c r="A41" s="409" t="inlineStr">
        <is>
          <t>Продвижение</t>
        </is>
      </c>
      <c r="B41" s="293" t="n"/>
      <c r="C41" s="294">
        <f>'PL WB'!C41+'PL OZON'!C41</f>
        <v/>
      </c>
      <c r="D41" s="294">
        <f>'PL WB'!D41+'PL OZON'!D41</f>
        <v/>
      </c>
      <c r="E41" s="294">
        <f>'PL WB'!E41+'PL OZON'!E41</f>
        <v/>
      </c>
      <c r="F41" s="294">
        <f>'PL WB'!F41+'PL OZON'!F41</f>
        <v/>
      </c>
      <c r="G41" s="294">
        <f>'PL WB'!G41+'PL OZON'!G41</f>
        <v/>
      </c>
      <c r="H41" s="294">
        <f>'PL WB'!H41+'PL OZON'!H41</f>
        <v/>
      </c>
      <c r="I41" s="294">
        <f>'PL WB'!I41+'PL OZON'!I41</f>
        <v/>
      </c>
      <c r="J41" s="294">
        <f>'PL WB'!J41+'PL OZON'!J41</f>
        <v/>
      </c>
      <c r="K41" s="294">
        <f>'PL WB'!K41+'PL OZON'!K41</f>
        <v/>
      </c>
      <c r="L41" s="294">
        <f>'PL WB'!L41+'PL OZON'!L41</f>
        <v/>
      </c>
      <c r="M41" s="294">
        <f>'PL WB'!M41+'PL OZON'!M41</f>
        <v/>
      </c>
      <c r="N41" s="294">
        <f>'PL WB'!N41+'PL OZON'!N41</f>
        <v/>
      </c>
      <c r="O41" s="483">
        <f>SUM(C41:N41)</f>
        <v/>
      </c>
    </row>
    <row r="42" ht="13.5" customHeight="1">
      <c r="A42" s="409" t="inlineStr">
        <is>
          <t>Эквайринг</t>
        </is>
      </c>
      <c r="B42" s="293" t="n"/>
      <c r="C42" s="294">
        <f>'PL WB'!C42+'PL OZON'!C42</f>
        <v/>
      </c>
      <c r="D42" s="294">
        <f>'PL WB'!D42+'PL OZON'!D42</f>
        <v/>
      </c>
      <c r="E42" s="294">
        <f>'PL WB'!E42+'PL OZON'!E42</f>
        <v/>
      </c>
      <c r="F42" s="294">
        <f>'PL WB'!F42+'PL OZON'!F42</f>
        <v/>
      </c>
      <c r="G42" s="294">
        <f>'PL WB'!G42+'PL OZON'!G42</f>
        <v/>
      </c>
      <c r="H42" s="294">
        <f>'PL WB'!H42+'PL OZON'!H42</f>
        <v/>
      </c>
      <c r="I42" s="294">
        <f>'PL WB'!I42+'PL OZON'!I42</f>
        <v/>
      </c>
      <c r="J42" s="294">
        <f>'PL WB'!J42+'PL OZON'!J42</f>
        <v/>
      </c>
      <c r="K42" s="294">
        <f>'PL WB'!K42+'PL OZON'!K42</f>
        <v/>
      </c>
      <c r="L42" s="294">
        <f>'PL WB'!L42+'PL OZON'!L42</f>
        <v/>
      </c>
      <c r="M42" s="294">
        <f>'PL WB'!M42+'PL OZON'!M42</f>
        <v/>
      </c>
      <c r="N42" s="294">
        <f>'PL WB'!N42+'PL OZON'!N42</f>
        <v/>
      </c>
      <c r="O42" s="483">
        <f>SUM(C42:N42)</f>
        <v/>
      </c>
    </row>
    <row r="43" ht="13.5" customHeight="1">
      <c r="A43" s="409" t="inlineStr">
        <is>
          <t>Хранение</t>
        </is>
      </c>
      <c r="B43" s="293" t="n"/>
      <c r="C43" s="294">
        <f>'PL WB'!C43+'PL OZON'!C43</f>
        <v/>
      </c>
      <c r="D43" s="294">
        <f>'PL WB'!D43+'PL OZON'!D43</f>
        <v/>
      </c>
      <c r="E43" s="294">
        <f>'PL WB'!E43+'PL OZON'!E43</f>
        <v/>
      </c>
      <c r="F43" s="294">
        <f>'PL WB'!F43+'PL OZON'!F43</f>
        <v/>
      </c>
      <c r="G43" s="294">
        <f>'PL WB'!G43+'PL OZON'!G43</f>
        <v/>
      </c>
      <c r="H43" s="294">
        <f>'PL WB'!H43+'PL OZON'!H43</f>
        <v/>
      </c>
      <c r="I43" s="294">
        <f>'PL WB'!I43+'PL OZON'!I43</f>
        <v/>
      </c>
      <c r="J43" s="294">
        <f>'PL WB'!J43+'PL OZON'!J43</f>
        <v/>
      </c>
      <c r="K43" s="294">
        <f>'PL WB'!K43+'PL OZON'!K43</f>
        <v/>
      </c>
      <c r="L43" s="294">
        <f>'PL WB'!L43+'PL OZON'!L43</f>
        <v/>
      </c>
      <c r="M43" s="294">
        <f>'PL WB'!M43+'PL OZON'!M43</f>
        <v/>
      </c>
      <c r="N43" s="294">
        <f>'PL WB'!N43+'PL OZON'!N43</f>
        <v/>
      </c>
      <c r="O43" s="483">
        <f>SUM(C43:N43)</f>
        <v/>
      </c>
    </row>
    <row r="44" ht="13.5" customHeight="1">
      <c r="A44" s="409" t="inlineStr">
        <is>
          <t>Штрафы</t>
        </is>
      </c>
      <c r="B44" s="293" t="n"/>
      <c r="C44" s="294">
        <f>'PL WB'!C44+'PL OZON'!C44</f>
        <v/>
      </c>
      <c r="D44" s="294">
        <f>'PL WB'!D44+'PL OZON'!D44</f>
        <v/>
      </c>
      <c r="E44" s="294">
        <f>'PL WB'!E44+'PL OZON'!E44</f>
        <v/>
      </c>
      <c r="F44" s="294">
        <f>'PL WB'!F44+'PL OZON'!F44</f>
        <v/>
      </c>
      <c r="G44" s="294">
        <f>'PL WB'!G44+'PL OZON'!G44</f>
        <v/>
      </c>
      <c r="H44" s="294">
        <f>'PL WB'!H44+'PL OZON'!H44</f>
        <v/>
      </c>
      <c r="I44" s="294">
        <f>'PL WB'!I44+'PL OZON'!I44</f>
        <v/>
      </c>
      <c r="J44" s="294">
        <f>'PL WB'!J44+'PL OZON'!J44</f>
        <v/>
      </c>
      <c r="K44" s="294">
        <f>'PL WB'!K44+'PL OZON'!K44</f>
        <v/>
      </c>
      <c r="L44" s="294">
        <f>'PL WB'!L44+'PL OZON'!L44</f>
        <v/>
      </c>
      <c r="M44" s="294">
        <f>'PL WB'!M44+'PL OZON'!M44</f>
        <v/>
      </c>
      <c r="N44" s="294">
        <f>'PL WB'!N44+'PL OZON'!N44</f>
        <v/>
      </c>
      <c r="O44" s="483">
        <f>SUM(C44:N44)</f>
        <v/>
      </c>
    </row>
    <row r="45" ht="13.5" customHeight="1">
      <c r="A45" s="409" t="inlineStr">
        <is>
          <t>Платная приемка</t>
        </is>
      </c>
      <c r="B45" s="293" t="n"/>
      <c r="C45" s="294">
        <f>'PL WB'!C45+'PL OZON'!C45</f>
        <v/>
      </c>
      <c r="D45" s="294">
        <f>'PL WB'!D45+'PL OZON'!D45</f>
        <v/>
      </c>
      <c r="E45" s="294">
        <f>'PL WB'!E45+'PL OZON'!E45</f>
        <v/>
      </c>
      <c r="F45" s="294">
        <f>'PL WB'!F45+'PL OZON'!F45</f>
        <v/>
      </c>
      <c r="G45" s="294">
        <f>'PL WB'!G45+'PL OZON'!G45</f>
        <v/>
      </c>
      <c r="H45" s="294">
        <f>'PL WB'!H45+'PL OZON'!H45</f>
        <v/>
      </c>
      <c r="I45" s="294">
        <f>'PL WB'!I45+'PL OZON'!I45</f>
        <v/>
      </c>
      <c r="J45" s="294">
        <f>'PL WB'!J45+'PL OZON'!J45</f>
        <v/>
      </c>
      <c r="K45" s="294">
        <f>'PL WB'!K45+'PL OZON'!K45</f>
        <v/>
      </c>
      <c r="L45" s="294">
        <f>'PL WB'!L45+'PL OZON'!L45</f>
        <v/>
      </c>
      <c r="M45" s="294">
        <f>'PL WB'!M45+'PL OZON'!M45</f>
        <v/>
      </c>
      <c r="N45" s="294">
        <f>'PL WB'!N45+'PL OZON'!N45</f>
        <v/>
      </c>
      <c r="O45" s="483">
        <f>SUM(C45:N45)</f>
        <v/>
      </c>
    </row>
    <row r="46" ht="13.5" customHeight="1">
      <c r="A46" s="409" t="inlineStr">
        <is>
          <t>Прочее OZON</t>
        </is>
      </c>
      <c r="B46" s="293" t="n"/>
      <c r="C46" s="294">
        <f>'PL WB'!C46+'PL OZON'!C46</f>
        <v/>
      </c>
      <c r="D46" s="294">
        <f>'PL WB'!D46+'PL OZON'!D46</f>
        <v/>
      </c>
      <c r="E46" s="294">
        <f>'PL WB'!E46+'PL OZON'!E46</f>
        <v/>
      </c>
      <c r="F46" s="294">
        <f>'PL WB'!F46+'PL OZON'!F46</f>
        <v/>
      </c>
      <c r="G46" s="294">
        <f>'PL WB'!G46+'PL OZON'!G46</f>
        <v/>
      </c>
      <c r="H46" s="294">
        <f>'PL WB'!H46+'PL OZON'!H46</f>
        <v/>
      </c>
      <c r="I46" s="294">
        <f>'PL WB'!I46+'PL OZON'!I46</f>
        <v/>
      </c>
      <c r="J46" s="294">
        <f>'PL WB'!J46+'PL OZON'!J46</f>
        <v/>
      </c>
      <c r="K46" s="294">
        <f>'PL WB'!K46+'PL OZON'!K46</f>
        <v/>
      </c>
      <c r="L46" s="294">
        <f>'PL WB'!L46+'PL OZON'!L46</f>
        <v/>
      </c>
      <c r="M46" s="294">
        <f>'PL WB'!M46+'PL OZON'!M46</f>
        <v/>
      </c>
      <c r="N46" s="294">
        <f>'PL WB'!N46+'PL OZON'!N46</f>
        <v/>
      </c>
      <c r="O46" s="483">
        <f>SUM(C46:N46)</f>
        <v/>
      </c>
    </row>
    <row r="47" ht="13.5" customHeight="1">
      <c r="A47" s="292" t="inlineStr">
        <is>
          <t>Контент</t>
        </is>
      </c>
      <c r="B47" s="293" t="n"/>
      <c r="C47" s="294">
        <f>'PL WB'!C47+'PL OZON'!C47</f>
        <v/>
      </c>
      <c r="D47" s="294">
        <f>'PL WB'!D47+'PL OZON'!D47</f>
        <v/>
      </c>
      <c r="E47" s="294">
        <f>'PL WB'!E47+'PL OZON'!E47</f>
        <v/>
      </c>
      <c r="F47" s="294">
        <f>'PL WB'!F47+'PL OZON'!F47</f>
        <v/>
      </c>
      <c r="G47" s="294">
        <f>'PL WB'!G47+'PL OZON'!G47</f>
        <v/>
      </c>
      <c r="H47" s="294">
        <f>'PL WB'!H47+'PL OZON'!H47</f>
        <v/>
      </c>
      <c r="I47" s="294">
        <f>'PL WB'!I47+'PL OZON'!I47</f>
        <v/>
      </c>
      <c r="J47" s="294">
        <f>'PL WB'!J47+'PL OZON'!J47</f>
        <v/>
      </c>
      <c r="K47" s="294">
        <f>'PL WB'!K47+'PL OZON'!K47</f>
        <v/>
      </c>
      <c r="L47" s="294">
        <f>'PL WB'!L47+'PL OZON'!L47</f>
        <v/>
      </c>
      <c r="M47" s="294">
        <f>'PL WB'!M47+'PL OZON'!M47</f>
        <v/>
      </c>
      <c r="N47" s="294">
        <f>'PL WB'!N47+'PL OZON'!N47</f>
        <v/>
      </c>
      <c r="O47" s="483">
        <f>SUM(C47:N47)</f>
        <v/>
      </c>
    </row>
    <row r="48" ht="13.5" customHeight="1">
      <c r="A48" s="292" t="inlineStr">
        <is>
          <t>Аренда офиса</t>
        </is>
      </c>
      <c r="B48" s="293" t="n"/>
      <c r="C48" s="294">
        <f>'PL WB'!C48+'PL OZON'!C48</f>
        <v/>
      </c>
      <c r="D48" s="294">
        <f>'PL WB'!D48+'PL OZON'!D48</f>
        <v/>
      </c>
      <c r="E48" s="294">
        <f>'PL WB'!E48+'PL OZON'!E48</f>
        <v/>
      </c>
      <c r="F48" s="294">
        <f>'PL WB'!F48+'PL OZON'!F48</f>
        <v/>
      </c>
      <c r="G48" s="294">
        <f>'PL WB'!G48+'PL OZON'!G48</f>
        <v/>
      </c>
      <c r="H48" s="294">
        <f>'PL WB'!H48+'PL OZON'!H48</f>
        <v/>
      </c>
      <c r="I48" s="294">
        <f>'PL WB'!I48+'PL OZON'!I48</f>
        <v/>
      </c>
      <c r="J48" s="294">
        <f>'PL WB'!J48+'PL OZON'!J48</f>
        <v/>
      </c>
      <c r="K48" s="294">
        <f>'PL WB'!K48+'PL OZON'!K48</f>
        <v/>
      </c>
      <c r="L48" s="294">
        <f>'PL WB'!L48+'PL OZON'!L48</f>
        <v/>
      </c>
      <c r="M48" s="294">
        <f>'PL WB'!M48+'PL OZON'!M48</f>
        <v/>
      </c>
      <c r="N48" s="294">
        <f>'PL WB'!N48+'PL OZON'!N48</f>
        <v/>
      </c>
      <c r="O48" s="483">
        <f>SUM(C48:N48)</f>
        <v/>
      </c>
    </row>
    <row r="49" ht="13.5" customHeight="1">
      <c r="A49" s="292" t="inlineStr">
        <is>
          <t>Реклама внешняя</t>
        </is>
      </c>
      <c r="B49" s="293" t="n"/>
      <c r="C49" s="294">
        <f>'PL WB'!C49+'PL OZON'!C49</f>
        <v/>
      </c>
      <c r="D49" s="294">
        <f>'PL WB'!D49+'PL OZON'!D49</f>
        <v/>
      </c>
      <c r="E49" s="294">
        <f>'PL WB'!E49+'PL OZON'!E49</f>
        <v/>
      </c>
      <c r="F49" s="294">
        <f>'PL WB'!F49+'PL OZON'!F49</f>
        <v/>
      </c>
      <c r="G49" s="294">
        <f>'PL WB'!G49+'PL OZON'!G49</f>
        <v/>
      </c>
      <c r="H49" s="294">
        <f>'PL WB'!H49+'PL OZON'!H49</f>
        <v/>
      </c>
      <c r="I49" s="294">
        <f>'PL WB'!I49+'PL OZON'!I49</f>
        <v/>
      </c>
      <c r="J49" s="294">
        <f>'PL WB'!J49+'PL OZON'!J49</f>
        <v/>
      </c>
      <c r="K49" s="294">
        <f>'PL WB'!K49+'PL OZON'!K49</f>
        <v/>
      </c>
      <c r="L49" s="294">
        <f>'PL WB'!L49+'PL OZON'!L49</f>
        <v/>
      </c>
      <c r="M49" s="294">
        <f>'PL WB'!M49+'PL OZON'!M49</f>
        <v/>
      </c>
      <c r="N49" s="294">
        <f>'PL WB'!N49+'PL OZON'!N49</f>
        <v/>
      </c>
      <c r="O49" s="483">
        <f>SUM(C49:N49)</f>
        <v/>
      </c>
    </row>
    <row r="50" ht="13.5" customHeight="1">
      <c r="A50" s="345" t="inlineStr">
        <is>
          <t>Подписка Аналитика</t>
        </is>
      </c>
      <c r="B50" s="293" t="n"/>
      <c r="C50" s="294">
        <f>'PL WB'!C50+'PL OZON'!C50</f>
        <v/>
      </c>
      <c r="D50" s="294">
        <f>'PL WB'!D50+'PL OZON'!D50</f>
        <v/>
      </c>
      <c r="E50" s="294">
        <f>'PL WB'!E50+'PL OZON'!E50</f>
        <v/>
      </c>
      <c r="F50" s="294">
        <f>'PL WB'!F50+'PL OZON'!F50</f>
        <v/>
      </c>
      <c r="G50" s="294">
        <f>'PL WB'!G50+'PL OZON'!G50</f>
        <v/>
      </c>
      <c r="H50" s="294">
        <f>'PL WB'!H50+'PL OZON'!H50</f>
        <v/>
      </c>
      <c r="I50" s="294">
        <f>'PL WB'!I50+'PL OZON'!I50</f>
        <v/>
      </c>
      <c r="J50" s="294">
        <f>'PL WB'!J50+'PL OZON'!J50</f>
        <v/>
      </c>
      <c r="K50" s="294">
        <f>'PL WB'!K50+'PL OZON'!K50</f>
        <v/>
      </c>
      <c r="L50" s="294">
        <f>'PL WB'!L50+'PL OZON'!L50</f>
        <v/>
      </c>
      <c r="M50" s="294">
        <f>'PL WB'!M50+'PL OZON'!M50</f>
        <v/>
      </c>
      <c r="N50" s="294">
        <f>'PL WB'!N50+'PL OZON'!N50</f>
        <v/>
      </c>
      <c r="O50" s="483">
        <f>SUM(C50:N50)</f>
        <v/>
      </c>
    </row>
    <row r="51" ht="13.5" customHeight="1">
      <c r="A51" s="292" t="inlineStr">
        <is>
          <t>Прочие</t>
        </is>
      </c>
      <c r="B51" s="293" t="n"/>
      <c r="C51" s="294">
        <f>'PL WB'!C51+'PL OZON'!C51</f>
        <v/>
      </c>
      <c r="D51" s="294">
        <f>'PL WB'!D51+'PL OZON'!D51</f>
        <v/>
      </c>
      <c r="E51" s="294">
        <f>'PL WB'!E51+'PL OZON'!E51</f>
        <v/>
      </c>
      <c r="F51" s="294">
        <f>'PL WB'!F51+'PL OZON'!F51</f>
        <v/>
      </c>
      <c r="G51" s="294">
        <f>'PL WB'!G51+'PL OZON'!G51</f>
        <v/>
      </c>
      <c r="H51" s="294">
        <f>'PL WB'!H51+'PL OZON'!H51</f>
        <v/>
      </c>
      <c r="I51" s="294">
        <f>'PL WB'!I51+'PL OZON'!I51</f>
        <v/>
      </c>
      <c r="J51" s="294">
        <f>'PL WB'!J51+'PL OZON'!J51</f>
        <v/>
      </c>
      <c r="K51" s="294">
        <f>'PL WB'!K51+'PL OZON'!K51</f>
        <v/>
      </c>
      <c r="L51" s="294">
        <f>'PL WB'!L51+'PL OZON'!L51</f>
        <v/>
      </c>
      <c r="M51" s="294">
        <f>'PL WB'!M51+'PL OZON'!M51</f>
        <v/>
      </c>
      <c r="N51" s="294">
        <f>'PL WB'!N51+'PL OZON'!N51</f>
        <v/>
      </c>
      <c r="O51" s="483">
        <f>SUM(C51:N51)</f>
        <v/>
      </c>
    </row>
    <row r="52" ht="13.5" customHeight="1">
      <c r="A52" s="249" t="n"/>
      <c r="B52" s="250" t="n"/>
      <c r="C52" s="294">
        <f>'PL WB'!C52+'PL OZON'!C52</f>
        <v/>
      </c>
      <c r="D52" s="294">
        <f>'PL WB'!D52+'PL OZON'!D52</f>
        <v/>
      </c>
      <c r="E52" s="294">
        <f>'PL WB'!E52+'PL OZON'!E52</f>
        <v/>
      </c>
      <c r="F52" s="294">
        <f>'PL WB'!F52+'PL OZON'!F52</f>
        <v/>
      </c>
      <c r="G52" s="294">
        <f>'PL WB'!G52+'PL OZON'!G52</f>
        <v/>
      </c>
      <c r="H52" s="294">
        <f>'PL WB'!H52+'PL OZON'!H52</f>
        <v/>
      </c>
      <c r="I52" s="294">
        <f>'PL WB'!I52+'PL OZON'!I52</f>
        <v/>
      </c>
      <c r="J52" s="294">
        <f>'PL WB'!J52+'PL OZON'!J52</f>
        <v/>
      </c>
      <c r="K52" s="294">
        <f>'PL WB'!K52+'PL OZON'!K52</f>
        <v/>
      </c>
      <c r="L52" s="294">
        <f>'PL WB'!L52+'PL OZON'!L52</f>
        <v/>
      </c>
      <c r="M52" s="294">
        <f>'PL WB'!M52+'PL OZON'!M52</f>
        <v/>
      </c>
      <c r="N52" s="294">
        <f>'PL WB'!N52+'PL OZON'!N52</f>
        <v/>
      </c>
      <c r="O52" s="483">
        <f>SUM(C52:N52)</f>
        <v/>
      </c>
    </row>
    <row r="53" ht="15" customHeight="1" thickBot="1">
      <c r="A53" s="295" t="inlineStr">
        <is>
          <t>Прибыль до налогообложения</t>
        </is>
      </c>
      <c r="B53" s="296" t="n"/>
      <c r="C53" s="297">
        <f>'PL WB'!C53+'PL OZON'!C53</f>
        <v/>
      </c>
      <c r="D53" s="297">
        <f>'PL WB'!D53+'PL OZON'!D53</f>
        <v/>
      </c>
      <c r="E53" s="297">
        <f>'PL WB'!E53+'PL OZON'!E53</f>
        <v/>
      </c>
      <c r="F53" s="297">
        <f>'PL WB'!F53+'PL OZON'!F53</f>
        <v/>
      </c>
      <c r="G53" s="297">
        <f>'PL WB'!G53+'PL OZON'!G53</f>
        <v/>
      </c>
      <c r="H53" s="297">
        <f>'PL WB'!H53+'PL OZON'!H53</f>
        <v/>
      </c>
      <c r="I53" s="297">
        <f>'PL WB'!I53+'PL OZON'!I53</f>
        <v/>
      </c>
      <c r="J53" s="297">
        <f>'PL WB'!J53+'PL OZON'!J53</f>
        <v/>
      </c>
      <c r="K53" s="297">
        <f>'PL WB'!K53+'PL OZON'!K53</f>
        <v/>
      </c>
      <c r="L53" s="297">
        <f>'PL WB'!L53+'PL OZON'!L53</f>
        <v/>
      </c>
      <c r="M53" s="297">
        <f>'PL WB'!M53+'PL OZON'!M53</f>
        <v/>
      </c>
      <c r="N53" s="297">
        <f>'PL WB'!N53+'PL OZON'!N53</f>
        <v/>
      </c>
      <c r="O53" s="484">
        <f>SUM(C53:N53)</f>
        <v/>
      </c>
    </row>
    <row r="54" ht="13.5" customHeight="1" thickTop="1">
      <c r="A54" s="249" t="n"/>
      <c r="B54" s="257" t="n"/>
      <c r="C54" s="283" t="n"/>
      <c r="D54" s="283" t="n"/>
      <c r="E54" s="283" t="n"/>
      <c r="F54" s="283" t="n"/>
      <c r="G54" s="283" t="n"/>
      <c r="H54" s="283" t="n"/>
      <c r="I54" s="283" t="n"/>
      <c r="J54" s="283" t="n"/>
      <c r="K54" s="283" t="n"/>
      <c r="L54" s="283" t="n"/>
      <c r="M54" s="283" t="n"/>
      <c r="N54" s="283" t="n"/>
      <c r="O54" s="481" t="n"/>
    </row>
    <row r="55" ht="13.5" customHeight="1" thickBot="1">
      <c r="A55" s="292" t="inlineStr">
        <is>
          <t>Налоги начисленные</t>
        </is>
      </c>
      <c r="B55" s="299" t="inlineStr">
        <is>
          <t>УСН 6%+1%</t>
        </is>
      </c>
      <c r="C55" s="265">
        <f>C15*7%</f>
        <v/>
      </c>
      <c r="D55" s="265">
        <f>D15*7%</f>
        <v/>
      </c>
      <c r="E55" s="265">
        <f>E15*7%</f>
        <v/>
      </c>
      <c r="F55" s="265">
        <f>F15*7%</f>
        <v/>
      </c>
      <c r="G55" s="265">
        <f>G15*7%</f>
        <v/>
      </c>
      <c r="H55" s="265">
        <f>H15*7%</f>
        <v/>
      </c>
      <c r="I55" s="265">
        <f>I15*7%</f>
        <v/>
      </c>
      <c r="J55" s="265">
        <f>J15*7%</f>
        <v/>
      </c>
      <c r="K55" s="265">
        <f>K15*7%</f>
        <v/>
      </c>
      <c r="L55" s="265">
        <f>L15*7%</f>
        <v/>
      </c>
      <c r="M55" s="265">
        <f>M15*7%</f>
        <v/>
      </c>
      <c r="N55" s="265">
        <f>N15*7%</f>
        <v/>
      </c>
      <c r="O55" s="475">
        <f>SUM(C55:N55)</f>
        <v/>
      </c>
    </row>
    <row r="56" ht="13.5" customHeight="1" thickTop="1">
      <c r="A56" s="249" t="n"/>
      <c r="B56" s="250" t="n"/>
      <c r="C56" s="287" t="n"/>
      <c r="D56" s="287" t="n"/>
      <c r="E56" s="287" t="n"/>
      <c r="F56" s="287" t="n"/>
      <c r="G56" s="287" t="n"/>
      <c r="H56" s="287" t="n"/>
      <c r="I56" s="287" t="n"/>
      <c r="J56" s="287" t="n"/>
      <c r="K56" s="287" t="n"/>
      <c r="L56" s="287" t="n"/>
      <c r="M56" s="287" t="n"/>
      <c r="N56" s="287" t="n"/>
      <c r="O56" s="482" t="n"/>
    </row>
    <row r="57" ht="15" customHeight="1" thickBot="1">
      <c r="A57" s="300" t="inlineStr">
        <is>
          <t>Чистая прибыль</t>
        </is>
      </c>
      <c r="B57" s="301" t="n"/>
      <c r="C57" s="297">
        <f>'PL WB'!C57+'PL OZON'!C57</f>
        <v/>
      </c>
      <c r="D57" s="297">
        <f>'PL WB'!D57+'PL OZON'!D57</f>
        <v/>
      </c>
      <c r="E57" s="297">
        <f>'PL WB'!E57+'PL OZON'!E57</f>
        <v/>
      </c>
      <c r="F57" s="297">
        <f>'PL WB'!F57+'PL OZON'!F57</f>
        <v/>
      </c>
      <c r="G57" s="297">
        <f>'PL WB'!G57+'PL OZON'!G57</f>
        <v/>
      </c>
      <c r="H57" s="297">
        <f>'PL WB'!H57+'PL OZON'!H57</f>
        <v/>
      </c>
      <c r="I57" s="297">
        <f>'PL WB'!I57+'PL OZON'!I57</f>
        <v/>
      </c>
      <c r="J57" s="297">
        <f>'PL WB'!J57+'PL OZON'!J57</f>
        <v/>
      </c>
      <c r="K57" s="297">
        <f>'PL WB'!K57+'PL OZON'!K57</f>
        <v/>
      </c>
      <c r="L57" s="297">
        <f>'PL WB'!L57+'PL OZON'!L57</f>
        <v/>
      </c>
      <c r="M57" s="297">
        <f>'PL WB'!M57+'PL OZON'!M57</f>
        <v/>
      </c>
      <c r="N57" s="297">
        <f>'PL WB'!N57+'PL OZON'!N57</f>
        <v/>
      </c>
      <c r="O57" s="484">
        <f>SUM(C57:N57)</f>
        <v/>
      </c>
    </row>
    <row r="58" ht="13.5" customHeight="1" thickTop="1">
      <c r="A58" s="302" t="inlineStr">
        <is>
          <t>Рентабельность вложений</t>
        </is>
      </c>
      <c r="B58" s="303" t="n"/>
      <c r="C58" s="304">
        <f>C57/C33</f>
        <v/>
      </c>
      <c r="D58" s="304">
        <f>D57/D33</f>
        <v/>
      </c>
      <c r="E58" s="304">
        <f>E57/E33</f>
        <v/>
      </c>
      <c r="F58" s="304">
        <f>F57/F33</f>
        <v/>
      </c>
      <c r="G58" s="304">
        <f>G57/G33</f>
        <v/>
      </c>
      <c r="H58" s="304">
        <f>H57/H33</f>
        <v/>
      </c>
      <c r="I58" s="304">
        <f>I57/I33</f>
        <v/>
      </c>
      <c r="J58" s="304">
        <f>J57/J33</f>
        <v/>
      </c>
      <c r="K58" s="304">
        <f>K57/K33</f>
        <v/>
      </c>
      <c r="L58" s="304">
        <f>L57/L33</f>
        <v/>
      </c>
      <c r="M58" s="304">
        <f>M57/M33</f>
        <v/>
      </c>
      <c r="N58" s="304">
        <f>N57/N33</f>
        <v/>
      </c>
      <c r="O58" s="485">
        <f>O57/O33</f>
        <v/>
      </c>
    </row>
    <row r="59" ht="13.5" customHeight="1">
      <c r="A59" s="323" t="inlineStr">
        <is>
          <t>Маржинальность</t>
        </is>
      </c>
      <c r="B59" s="305" t="n"/>
      <c r="C59" s="304">
        <f>C57/C14</f>
        <v/>
      </c>
      <c r="D59" s="304">
        <f>D57/D14</f>
        <v/>
      </c>
      <c r="E59" s="304">
        <f>E57/E14</f>
        <v/>
      </c>
      <c r="F59" s="304">
        <f>F57/F14</f>
        <v/>
      </c>
      <c r="G59" s="304">
        <f>G57/G14</f>
        <v/>
      </c>
      <c r="H59" s="304">
        <f>H57/H14</f>
        <v/>
      </c>
      <c r="I59" s="304">
        <f>I57/I14</f>
        <v/>
      </c>
      <c r="J59" s="304">
        <f>J57/J14</f>
        <v/>
      </c>
      <c r="K59" s="304">
        <f>K57/K14</f>
        <v/>
      </c>
      <c r="L59" s="304">
        <f>L57/L14</f>
        <v/>
      </c>
      <c r="M59" s="304">
        <f>M57/M14</f>
        <v/>
      </c>
      <c r="N59" s="304">
        <f>N57/N14</f>
        <v/>
      </c>
      <c r="O59" s="485">
        <f>O57/O14</f>
        <v/>
      </c>
    </row>
    <row r="60" ht="15" customHeight="1" thickBot="1">
      <c r="A60" s="295" t="inlineStr">
        <is>
          <t>Выплата диведентов:</t>
        </is>
      </c>
      <c r="B60" s="306" t="n"/>
      <c r="C60" s="297">
        <f>CF!C38</f>
        <v/>
      </c>
      <c r="D60" s="297">
        <f>CF!D38</f>
        <v/>
      </c>
      <c r="E60" s="297">
        <f>CF!E38</f>
        <v/>
      </c>
      <c r="F60" s="297">
        <f>CF!F38</f>
        <v/>
      </c>
      <c r="G60" s="297">
        <f>CF!G38</f>
        <v/>
      </c>
      <c r="H60" s="297">
        <f>CF!H38</f>
        <v/>
      </c>
      <c r="I60" s="297">
        <f>CF!I38</f>
        <v/>
      </c>
      <c r="J60" s="297">
        <f>CF!J38</f>
        <v/>
      </c>
      <c r="K60" s="297">
        <f>CF!K38</f>
        <v/>
      </c>
      <c r="L60" s="297">
        <f>CF!L38</f>
        <v/>
      </c>
      <c r="M60" s="297">
        <f>CF!M38</f>
        <v/>
      </c>
      <c r="N60" s="297">
        <f>CF!N38</f>
        <v/>
      </c>
      <c r="O60" s="484" t="n"/>
    </row>
    <row r="61" ht="15.75" customHeight="1" thickTop="1">
      <c r="A61" s="282" t="n"/>
      <c r="B61" s="288" t="n"/>
      <c r="C61" s="307" t="n"/>
      <c r="D61" s="307" t="n"/>
      <c r="E61" s="307" t="n"/>
      <c r="F61" s="307" t="n"/>
      <c r="G61" s="307" t="n"/>
      <c r="H61" s="307" t="n"/>
      <c r="I61" s="307" t="n"/>
      <c r="J61" s="307" t="n"/>
      <c r="K61" s="307" t="n"/>
      <c r="L61" s="307" t="n"/>
      <c r="M61" s="307" t="n"/>
      <c r="N61" s="307" t="n"/>
      <c r="O61" s="486" t="n"/>
    </row>
    <row r="62" ht="13.5" customHeight="1">
      <c r="A62" s="308" t="inlineStr">
        <is>
          <t>Остаток денежных средств на конец периода</t>
        </is>
      </c>
      <c r="B62" s="309" t="n"/>
      <c r="C62" s="310">
        <f>CF!C42</f>
        <v/>
      </c>
      <c r="D62" s="310">
        <f>CF!D42</f>
        <v/>
      </c>
      <c r="E62" s="310">
        <f>CF!E42</f>
        <v/>
      </c>
      <c r="F62" s="310">
        <f>CF!F42</f>
        <v/>
      </c>
      <c r="G62" s="310">
        <f>CF!G42</f>
        <v/>
      </c>
      <c r="H62" s="310">
        <f>CF!H42</f>
        <v/>
      </c>
      <c r="I62" s="310">
        <f>CF!I42</f>
        <v/>
      </c>
      <c r="J62" s="310">
        <f>CF!J42</f>
        <v/>
      </c>
      <c r="K62" s="310">
        <f>CF!K42</f>
        <v/>
      </c>
      <c r="L62" s="310">
        <f>CF!L42</f>
        <v/>
      </c>
      <c r="M62" s="310">
        <f>CF!M42</f>
        <v/>
      </c>
      <c r="N62" s="310">
        <f>CF!N42</f>
        <v/>
      </c>
      <c r="O62" s="487" t="n"/>
    </row>
    <row r="63">
      <c r="A63" s="282" t="n"/>
      <c r="B63" s="288" t="n"/>
      <c r="C63" s="307" t="n"/>
      <c r="D63" s="307" t="n"/>
      <c r="E63" s="307" t="n"/>
      <c r="F63" s="307" t="n"/>
      <c r="G63" s="307" t="n"/>
      <c r="H63" s="307" t="n"/>
      <c r="I63" s="307" t="n"/>
      <c r="J63" s="307" t="n"/>
      <c r="K63" s="307" t="n"/>
      <c r="L63" s="307" t="n"/>
      <c r="M63" s="307" t="n"/>
      <c r="N63" s="307" t="n"/>
      <c r="O63" s="486" t="n"/>
    </row>
    <row r="64" ht="15.75" customHeight="1" thickBot="1">
      <c r="A64" s="295" t="inlineStr">
        <is>
          <t>Накопленный финансовый результат</t>
        </is>
      </c>
      <c r="B64" s="296" t="n"/>
      <c r="C64" s="312">
        <f>'PL WB'!C64+'PL OZON'!C64</f>
        <v/>
      </c>
      <c r="D64" s="312">
        <f>'PL WB'!D64+'PL OZON'!D64</f>
        <v/>
      </c>
      <c r="E64" s="312">
        <f>'PL WB'!E64+'PL OZON'!E64</f>
        <v/>
      </c>
      <c r="F64" s="312">
        <f>'PL WB'!F64+'PL OZON'!F64</f>
        <v/>
      </c>
      <c r="G64" s="312">
        <f>'PL WB'!G64+'PL OZON'!G64</f>
        <v/>
      </c>
      <c r="H64" s="312">
        <f>'PL WB'!H64+'PL OZON'!H64</f>
        <v/>
      </c>
      <c r="I64" s="312">
        <f>'PL WB'!I64+'PL OZON'!I64</f>
        <v/>
      </c>
      <c r="J64" s="312">
        <f>'PL WB'!J64+'PL OZON'!J64</f>
        <v/>
      </c>
      <c r="K64" s="312">
        <f>'PL WB'!K64+'PL OZON'!K64</f>
        <v/>
      </c>
      <c r="L64" s="312">
        <f>'PL WB'!L64+'PL OZON'!L64</f>
        <v/>
      </c>
      <c r="M64" s="312">
        <f>'PL WB'!M64+'PL OZON'!M64</f>
        <v/>
      </c>
      <c r="N64" s="312">
        <f>'PL WB'!N64+'PL OZON'!N64</f>
        <v/>
      </c>
      <c r="O64" s="488" t="n"/>
    </row>
    <row r="66" ht="13.5" customHeight="1">
      <c r="A66" s="289" t="inlineStr">
        <is>
          <t>Рекламные расходы на 1 единицу</t>
        </is>
      </c>
      <c r="B66" s="258" t="n"/>
      <c r="C66" s="313">
        <f>IFERROR(C41/C7, )</f>
        <v/>
      </c>
      <c r="D66" s="313">
        <f>IFERROR(D41/D7, )</f>
        <v/>
      </c>
      <c r="E66" s="313">
        <f>IFERROR(E41/E7, )</f>
        <v/>
      </c>
      <c r="F66" s="313">
        <f>IFERROR(F41/F7, )</f>
        <v/>
      </c>
      <c r="G66" s="313">
        <f>IFERROR(G41/G7, )</f>
        <v/>
      </c>
      <c r="H66" s="313">
        <f>IFERROR(H41/H7, )</f>
        <v/>
      </c>
      <c r="I66" s="313">
        <f>IFERROR(I41/I7, )</f>
        <v/>
      </c>
      <c r="J66" s="313">
        <f>IFERROR(J41/J7, )</f>
        <v/>
      </c>
      <c r="K66" s="313">
        <f>IFERROR(K41/K7, )</f>
        <v/>
      </c>
      <c r="L66" s="313">
        <f>IFERROR(L41/L7, )</f>
        <v/>
      </c>
      <c r="M66" s="313">
        <f>IFERROR(M41/M7, )</f>
        <v/>
      </c>
      <c r="N66" s="313">
        <f>IFERROR(N41/N7, )</f>
        <v/>
      </c>
      <c r="O66" s="489">
        <f>IFERROR(O41/O7, )</f>
        <v/>
      </c>
    </row>
    <row r="67" ht="13.5" customHeight="1">
      <c r="A67" s="289" t="inlineStr">
        <is>
          <t>Доля рекламных расходов</t>
        </is>
      </c>
      <c r="B67" s="258" t="n"/>
      <c r="C67" s="287">
        <f>IFERROR(C41/C14, )</f>
        <v/>
      </c>
      <c r="D67" s="287">
        <f>IFERROR(D41/D14, )</f>
        <v/>
      </c>
      <c r="E67" s="287">
        <f>IFERROR(E41/E14, )</f>
        <v/>
      </c>
      <c r="F67" s="287">
        <f>IFERROR(F41/F14, )</f>
        <v/>
      </c>
      <c r="G67" s="287">
        <f>IFERROR(G41/G14, )</f>
        <v/>
      </c>
      <c r="H67" s="287">
        <f>IFERROR(H41/H14, )</f>
        <v/>
      </c>
      <c r="I67" s="287">
        <f>IFERROR(I41/I14, )</f>
        <v/>
      </c>
      <c r="J67" s="287">
        <f>IFERROR(J41/J14, )</f>
        <v/>
      </c>
      <c r="K67" s="287">
        <f>IFERROR(K41/K14, )</f>
        <v/>
      </c>
      <c r="L67" s="287">
        <f>IFERROR(L41/L14, )</f>
        <v/>
      </c>
      <c r="M67" s="287">
        <f>IFERROR(M41/M14, )</f>
        <v/>
      </c>
      <c r="N67" s="287">
        <f>IFERROR(N41/N14, )</f>
        <v/>
      </c>
      <c r="O67" s="482">
        <f>IFERROR(O41/O14, )</f>
        <v/>
      </c>
    </row>
    <row r="68" ht="13.5" customHeight="1" thickBot="1">
      <c r="A68" s="289" t="inlineStr">
        <is>
          <t>Прибыль на 1 ед</t>
        </is>
      </c>
      <c r="B68" s="258" t="n"/>
      <c r="C68" s="256">
        <f>IFERROR(C57/(C7-C23), )</f>
        <v/>
      </c>
      <c r="D68" s="256">
        <f>IFERROR(D57/(D7-D23), )</f>
        <v/>
      </c>
      <c r="E68" s="256">
        <f>IFERROR(E57/(E7-E23), )</f>
        <v/>
      </c>
      <c r="F68" s="256">
        <f>IFERROR(F57/(F7-F23), )</f>
        <v/>
      </c>
      <c r="G68" s="256">
        <f>IFERROR(G57/(G7-G23), )</f>
        <v/>
      </c>
      <c r="H68" s="256">
        <f>IFERROR(H57/(H7-H23), )</f>
        <v/>
      </c>
      <c r="I68" s="256">
        <f>IFERROR(I57/(I7-I23), )</f>
        <v/>
      </c>
      <c r="J68" s="256">
        <f>IFERROR(J57/(J7-J23), )</f>
        <v/>
      </c>
      <c r="K68" s="256">
        <f>IFERROR(K57/(K7-K23), )</f>
        <v/>
      </c>
      <c r="L68" s="256">
        <f>IFERROR(L57/(L7-L23), )</f>
        <v/>
      </c>
      <c r="M68" s="256">
        <f>IFERROR(M57/(M7-M23), )</f>
        <v/>
      </c>
      <c r="N68" s="256">
        <f>IFERROR(N57/(N7-N23), )</f>
        <v/>
      </c>
      <c r="O68" s="490">
        <f>IFERROR(O57/(O7-O23), )</f>
        <v/>
      </c>
    </row>
  </sheetData>
  <mergeCells count="1">
    <mergeCell ref="C2:N2"/>
  </mergeCells>
  <conditionalFormatting sqref="A57:B58">
    <cfRule type="cellIs" priority="36" operator="lessThan" dxfId="14">
      <formula>0</formula>
    </cfRule>
  </conditionalFormatting>
  <conditionalFormatting sqref="A9:N11 A62 B13:B20 C12:N13">
    <cfRule type="cellIs" priority="34" operator="greaterThan" dxfId="2">
      <formula>0</formula>
    </cfRule>
  </conditionalFormatting>
  <conditionalFormatting sqref="A62:N62">
    <cfRule type="cellIs" priority="33" operator="lessThan" dxfId="14">
      <formula>0</formula>
    </cfRule>
  </conditionalFormatting>
  <conditionalFormatting sqref="C7:N7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N3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N34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N38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N39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O6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933FF"/>
    <outlinePr summaryBelow="1" summaryRight="1"/>
    <pageSetUpPr/>
  </sheetPr>
  <dimension ref="A1:BD76"/>
  <sheetViews>
    <sheetView showZeros="0" tabSelected="1" workbookViewId="0">
      <pane xSplit="2" ySplit="3" topLeftCell="R74" activePane="bottomRight" state="frozen"/>
      <selection pane="topRight" activeCell="C1" sqref="C1"/>
      <selection pane="bottomLeft" activeCell="A4" sqref="A4"/>
      <selection pane="bottomRight" activeCell="A14" sqref="A14:XFD14"/>
    </sheetView>
  </sheetViews>
  <sheetFormatPr baseColWidth="8" defaultColWidth="14.42578125" defaultRowHeight="15" customHeight="1"/>
  <cols>
    <col width="24.42578125" customWidth="1" style="105" min="1" max="1"/>
    <col width="28" customWidth="1" style="105" min="2" max="2"/>
    <col width="10.85546875" customWidth="1" style="105" min="3" max="15"/>
    <col width="11.5703125" customWidth="1" style="105" min="16" max="16"/>
    <col width="10.85546875" customWidth="1" style="105" min="17" max="19"/>
    <col width="11.5703125" customWidth="1" style="105" min="20" max="20"/>
    <col width="10.85546875" customWidth="1" style="105" min="21" max="55"/>
    <col width="14.42578125" customWidth="1" style="213" min="56" max="56"/>
    <col width="14.42578125" customWidth="1" style="105" min="57" max="16384"/>
  </cols>
  <sheetData>
    <row r="1" ht="54" customFormat="1" customHeight="1" s="112">
      <c r="A1" s="508" t="inlineStr">
        <is>
          <t>Голубым выделены строки, которые заполняем!             Заполняем эту вкладку, формулы не трогаем!
Если добавляете строки - добавляете на всех листах PL и СF</t>
        </is>
      </c>
      <c r="B1" s="536" t="n"/>
      <c r="C1" s="108" t="n">
        <v>1</v>
      </c>
      <c r="D1" s="108" t="n">
        <v>2</v>
      </c>
      <c r="E1" s="108" t="n">
        <v>3</v>
      </c>
      <c r="F1" s="108" t="n">
        <v>4</v>
      </c>
      <c r="G1" s="108" t="n">
        <v>5</v>
      </c>
      <c r="H1" s="108" t="n">
        <v>6</v>
      </c>
      <c r="I1" s="108" t="n">
        <v>7</v>
      </c>
      <c r="J1" s="108" t="n">
        <v>8</v>
      </c>
      <c r="K1" s="108" t="n">
        <v>9</v>
      </c>
      <c r="L1" s="108" t="n">
        <v>10</v>
      </c>
      <c r="M1" s="108" t="n">
        <v>11</v>
      </c>
      <c r="N1" s="108" t="n">
        <v>12</v>
      </c>
      <c r="O1" s="108" t="n">
        <v>13</v>
      </c>
      <c r="P1" s="109" t="n">
        <v>14</v>
      </c>
      <c r="Q1" s="110" t="n">
        <v>15</v>
      </c>
      <c r="R1" s="110" t="n">
        <v>16</v>
      </c>
      <c r="S1" s="111" t="n">
        <v>17</v>
      </c>
      <c r="T1" s="109" t="n">
        <v>18</v>
      </c>
      <c r="U1" s="110" t="n">
        <v>19</v>
      </c>
      <c r="V1" s="110" t="n">
        <v>20</v>
      </c>
      <c r="W1" s="110" t="n">
        <v>21</v>
      </c>
      <c r="X1" s="111" t="n">
        <v>22</v>
      </c>
      <c r="Y1" s="109" t="n">
        <v>23</v>
      </c>
      <c r="Z1" s="110" t="n">
        <v>24</v>
      </c>
      <c r="AA1" s="110" t="n">
        <v>25</v>
      </c>
      <c r="AB1" s="111" t="n">
        <v>26</v>
      </c>
      <c r="AC1" s="109" t="n">
        <v>27</v>
      </c>
      <c r="AD1" s="110" t="n">
        <v>28</v>
      </c>
      <c r="AE1" s="110" t="n">
        <v>29</v>
      </c>
      <c r="AF1" s="111" t="n">
        <v>30</v>
      </c>
      <c r="AG1" s="109" t="n">
        <v>31</v>
      </c>
      <c r="AH1" s="110" t="n">
        <v>32</v>
      </c>
      <c r="AI1" s="110" t="n">
        <v>33</v>
      </c>
      <c r="AJ1" s="110" t="n">
        <v>34</v>
      </c>
      <c r="AK1" s="111" t="n">
        <v>35</v>
      </c>
      <c r="AL1" s="109" t="n">
        <v>36</v>
      </c>
      <c r="AM1" s="110" t="n">
        <v>37</v>
      </c>
      <c r="AN1" s="110" t="n">
        <v>38</v>
      </c>
      <c r="AO1" s="111" t="n">
        <v>39</v>
      </c>
      <c r="AP1" s="109" t="n">
        <v>40</v>
      </c>
      <c r="AQ1" s="110" t="n">
        <v>41</v>
      </c>
      <c r="AR1" s="110" t="n">
        <v>42</v>
      </c>
      <c r="AS1" s="110" t="n">
        <v>43</v>
      </c>
      <c r="AT1" s="111" t="n">
        <v>44</v>
      </c>
      <c r="AU1" s="109" t="n">
        <v>45</v>
      </c>
      <c r="AV1" s="110" t="n">
        <v>46</v>
      </c>
      <c r="AW1" s="110" t="n">
        <v>47</v>
      </c>
      <c r="AX1" s="110" t="n">
        <v>48</v>
      </c>
      <c r="AY1" s="109" t="n">
        <v>49</v>
      </c>
      <c r="AZ1" s="110" t="n">
        <v>50</v>
      </c>
      <c r="BA1" s="110" t="n">
        <v>51</v>
      </c>
      <c r="BB1" s="110" t="n">
        <v>52</v>
      </c>
      <c r="BC1" s="439" t="inlineStr">
        <is>
          <t>Остаток года</t>
        </is>
      </c>
      <c r="BD1" s="433" t="n"/>
    </row>
    <row r="2" ht="13.5" customHeight="1">
      <c r="A2" s="238" t="inlineStr">
        <is>
          <t>Прибыли и убытки, еженедельно</t>
        </is>
      </c>
      <c r="B2" s="113" t="n"/>
      <c r="C2" s="507" t="inlineStr">
        <is>
          <t>Январь</t>
        </is>
      </c>
      <c r="D2" s="537" t="n"/>
      <c r="E2" s="537" t="n"/>
      <c r="F2" s="537" t="n"/>
      <c r="G2" s="538" t="n"/>
      <c r="H2" s="507" t="inlineStr">
        <is>
          <t>Февраль</t>
        </is>
      </c>
      <c r="I2" s="537" t="n"/>
      <c r="J2" s="537" t="n"/>
      <c r="K2" s="538" t="n"/>
      <c r="L2" s="507" t="inlineStr">
        <is>
          <t>Март</t>
        </is>
      </c>
      <c r="M2" s="537" t="n"/>
      <c r="N2" s="537" t="n"/>
      <c r="O2" s="538" t="n"/>
      <c r="P2" s="510" t="inlineStr">
        <is>
          <t>Апрель</t>
        </is>
      </c>
      <c r="Q2" s="537" t="n"/>
      <c r="R2" s="537" t="n"/>
      <c r="S2" s="539" t="n"/>
      <c r="T2" s="507" t="inlineStr">
        <is>
          <t>Май</t>
        </is>
      </c>
      <c r="U2" s="537" t="n"/>
      <c r="V2" s="537" t="n"/>
      <c r="W2" s="537" t="n"/>
      <c r="X2" s="538" t="n"/>
      <c r="Y2" s="507" t="inlineStr">
        <is>
          <t>Июнь</t>
        </is>
      </c>
      <c r="Z2" s="537" t="n"/>
      <c r="AA2" s="537" t="n"/>
      <c r="AB2" s="538" t="n"/>
      <c r="AC2" s="504" t="inlineStr">
        <is>
          <t>Июль</t>
        </is>
      </c>
      <c r="AD2" s="537" t="n"/>
      <c r="AE2" s="537" t="n"/>
      <c r="AF2" s="538" t="n"/>
      <c r="AG2" s="504" t="inlineStr">
        <is>
          <t>Август</t>
        </is>
      </c>
      <c r="AH2" s="537" t="n"/>
      <c r="AI2" s="537" t="n"/>
      <c r="AJ2" s="537" t="n"/>
      <c r="AK2" s="538" t="n"/>
      <c r="AL2" s="504" t="inlineStr">
        <is>
          <t>Сентябрь</t>
        </is>
      </c>
      <c r="AM2" s="537" t="n"/>
      <c r="AN2" s="537" t="n"/>
      <c r="AO2" s="538" t="n"/>
      <c r="AP2" s="504" t="inlineStr">
        <is>
          <t>Октябрь</t>
        </is>
      </c>
      <c r="AQ2" s="537" t="n"/>
      <c r="AR2" s="537" t="n"/>
      <c r="AS2" s="537" t="n"/>
      <c r="AT2" s="538" t="n"/>
      <c r="AU2" s="504" t="inlineStr">
        <is>
          <t>Ноябрь</t>
        </is>
      </c>
      <c r="AV2" s="537" t="n"/>
      <c r="AW2" s="537" t="n"/>
      <c r="AX2" s="538" t="n"/>
      <c r="AY2" s="421" t="inlineStr">
        <is>
          <t>Декабрь</t>
        </is>
      </c>
      <c r="AZ2" s="505" t="n"/>
      <c r="BA2" s="505" t="n"/>
      <c r="BB2" s="505" t="n"/>
      <c r="BC2" s="505" t="n"/>
      <c r="BD2" s="434" t="n"/>
    </row>
    <row r="3" ht="13.5" customFormat="1" customHeight="1" s="239">
      <c r="B3" s="240" t="n"/>
      <c r="C3" s="339" t="inlineStr">
        <is>
          <t>30.12-05.01</t>
        </is>
      </c>
      <c r="D3" s="341" t="inlineStr">
        <is>
          <t>06.01-12.01</t>
        </is>
      </c>
      <c r="E3" s="341" t="inlineStr">
        <is>
          <t>13.01-19.01</t>
        </is>
      </c>
      <c r="F3" s="341" t="inlineStr">
        <is>
          <t>20.01-26.01</t>
        </is>
      </c>
      <c r="G3" s="342" t="inlineStr">
        <is>
          <t>27.01-02.02</t>
        </is>
      </c>
      <c r="H3" s="346" t="inlineStr">
        <is>
          <t>03.02-09.02</t>
        </is>
      </c>
      <c r="I3" s="347" t="inlineStr">
        <is>
          <t>10.02-16.02</t>
        </is>
      </c>
      <c r="J3" s="348" t="inlineStr">
        <is>
          <t>17.02-23.02</t>
        </is>
      </c>
      <c r="K3" s="351" t="inlineStr">
        <is>
          <t>24.02-02.03</t>
        </is>
      </c>
      <c r="L3" s="351" t="inlineStr">
        <is>
          <t>03.03-09.03</t>
        </is>
      </c>
      <c r="M3" s="352" t="inlineStr">
        <is>
          <t>10.03-16.03</t>
        </is>
      </c>
      <c r="N3" s="353" t="inlineStr">
        <is>
          <t>17.03-23.03</t>
        </is>
      </c>
      <c r="O3" s="354" t="inlineStr">
        <is>
          <t>24.03-30.03</t>
        </is>
      </c>
      <c r="P3" s="355" t="inlineStr">
        <is>
          <t>31.03-06.04</t>
        </is>
      </c>
      <c r="Q3" s="367" t="inlineStr">
        <is>
          <t>07.04-13.04</t>
        </is>
      </c>
      <c r="R3" s="368" t="inlineStr">
        <is>
          <t>14.04-20.04</t>
        </is>
      </c>
      <c r="S3" s="369" t="inlineStr">
        <is>
          <t>21.04-27.04</t>
        </is>
      </c>
      <c r="T3" s="370" t="inlineStr">
        <is>
          <t>28.04-04.05</t>
        </is>
      </c>
      <c r="U3" s="371" t="inlineStr">
        <is>
          <t>05.05-11.05</t>
        </is>
      </c>
      <c r="V3" s="375" t="inlineStr">
        <is>
          <t>12.05-18.05</t>
        </is>
      </c>
      <c r="W3" s="375" t="inlineStr">
        <is>
          <t>19.05-25.05</t>
        </is>
      </c>
      <c r="X3" s="378" t="inlineStr">
        <is>
          <t>26.05-01.06</t>
        </is>
      </c>
      <c r="Y3" s="379" t="inlineStr">
        <is>
          <t>02.06-08.06</t>
        </is>
      </c>
      <c r="Z3" s="379" t="inlineStr">
        <is>
          <t>09.06-15.06</t>
        </is>
      </c>
      <c r="AA3" s="379" t="inlineStr">
        <is>
          <t>16.06-22.06</t>
        </is>
      </c>
      <c r="AB3" s="378" t="inlineStr">
        <is>
          <t>23.06-29.06</t>
        </is>
      </c>
      <c r="AC3" s="379" t="inlineStr">
        <is>
          <t>30.06-06.07</t>
        </is>
      </c>
      <c r="AD3" s="375" t="inlineStr">
        <is>
          <t>07.07-13.07</t>
        </is>
      </c>
      <c r="AE3" s="375" t="inlineStr">
        <is>
          <t>14.07-20.07</t>
        </is>
      </c>
      <c r="AF3" s="378" t="inlineStr">
        <is>
          <t>21.07-27.07</t>
        </is>
      </c>
      <c r="AG3" s="379" t="inlineStr">
        <is>
          <t>28.07-03.08</t>
        </is>
      </c>
      <c r="AH3" s="375" t="inlineStr">
        <is>
          <t>04.08-10.08</t>
        </is>
      </c>
      <c r="AI3" s="392" t="inlineStr">
        <is>
          <t>11.08-17.08</t>
        </is>
      </c>
      <c r="AJ3" s="393" t="inlineStr">
        <is>
          <t>18.08-24.08</t>
        </is>
      </c>
      <c r="AK3" s="394" t="inlineStr">
        <is>
          <t>25.08-31.08</t>
        </is>
      </c>
      <c r="AL3" s="395" t="inlineStr">
        <is>
          <t>1-7.09</t>
        </is>
      </c>
      <c r="AM3" s="396" t="inlineStr">
        <is>
          <t>8-14.09</t>
        </is>
      </c>
      <c r="AN3" s="397" t="inlineStr">
        <is>
          <t>15-21.09</t>
        </is>
      </c>
      <c r="AO3" s="398" t="inlineStr">
        <is>
          <t>22.09-28.09</t>
        </is>
      </c>
      <c r="AP3" s="411" t="inlineStr">
        <is>
          <t>29.09-05.10</t>
        </is>
      </c>
      <c r="AQ3" s="412" t="inlineStr">
        <is>
          <t>06.10-12.10</t>
        </is>
      </c>
      <c r="AR3" s="413" t="inlineStr">
        <is>
          <t>13.10-20.10</t>
        </is>
      </c>
      <c r="AS3" s="414" t="inlineStr">
        <is>
          <t>21.10-26.10</t>
        </is>
      </c>
      <c r="AT3" s="415" t="inlineStr">
        <is>
          <t>27.10-02.11</t>
        </is>
      </c>
      <c r="AU3" s="416" t="inlineStr">
        <is>
          <t>03.11-09.11</t>
        </is>
      </c>
      <c r="AV3" s="417" t="inlineStr">
        <is>
          <t>10.11-16.11</t>
        </is>
      </c>
      <c r="AW3" s="417" t="inlineStr">
        <is>
          <t>17.11-23.11</t>
        </is>
      </c>
      <c r="AX3" s="418" t="inlineStr">
        <is>
          <t>24.11-30.11</t>
        </is>
      </c>
      <c r="AY3" s="419" t="inlineStr">
        <is>
          <t>01.12-07.12</t>
        </is>
      </c>
      <c r="AZ3" s="420" t="inlineStr">
        <is>
          <t>08.12-14.12</t>
        </is>
      </c>
      <c r="BA3" s="420" t="inlineStr">
        <is>
          <t>15.12-21.12</t>
        </is>
      </c>
      <c r="BB3" s="420" t="inlineStr">
        <is>
          <t>22.12-28.12</t>
        </is>
      </c>
      <c r="BC3" s="420" t="inlineStr">
        <is>
          <t>29.12-31.12</t>
        </is>
      </c>
      <c r="BD3" s="435" t="n"/>
    </row>
    <row r="4" ht="13.5" customHeight="1">
      <c r="A4" s="241" t="inlineStr">
        <is>
          <t>Товарооборот</t>
        </is>
      </c>
      <c r="B4" s="242" t="n"/>
      <c r="C4" s="243" t="n"/>
      <c r="D4" s="244" t="n"/>
      <c r="E4" s="244" t="n"/>
      <c r="F4" s="244" t="n"/>
      <c r="G4" s="245" t="n"/>
      <c r="H4" s="243" t="n"/>
      <c r="I4" s="244" t="n"/>
      <c r="J4" s="244" t="n"/>
      <c r="K4" s="245" t="n"/>
      <c r="L4" s="243" t="n"/>
      <c r="M4" s="244" t="n"/>
      <c r="N4" s="244" t="n"/>
      <c r="O4" s="245" t="n"/>
      <c r="P4" s="243" t="n"/>
      <c r="Q4" s="244" t="n"/>
      <c r="R4" s="244" t="n"/>
      <c r="S4" s="245" t="n"/>
      <c r="T4" s="243" t="n"/>
      <c r="U4" s="244" t="n"/>
      <c r="V4" s="244" t="n"/>
      <c r="W4" s="244" t="n"/>
      <c r="X4" s="245" t="n"/>
      <c r="Y4" s="243" t="n"/>
      <c r="Z4" s="244" t="n"/>
      <c r="AA4" s="244" t="n"/>
      <c r="AB4" s="245" t="n"/>
      <c r="AC4" s="243" t="n"/>
      <c r="AD4" s="244" t="n"/>
      <c r="AE4" s="244" t="n"/>
      <c r="AF4" s="245" t="n"/>
      <c r="AG4" s="243" t="n"/>
      <c r="AH4" s="244" t="n"/>
      <c r="AI4" s="244" t="n"/>
      <c r="AJ4" s="244" t="n"/>
      <c r="AK4" s="245" t="n"/>
      <c r="AL4" s="243" t="n"/>
      <c r="AM4" s="244" t="n"/>
      <c r="AN4" s="244" t="n"/>
      <c r="AO4" s="245" t="n"/>
      <c r="AP4" s="243" t="n"/>
      <c r="AQ4" s="244" t="n"/>
      <c r="AR4" s="244" t="n"/>
      <c r="AS4" s="244" t="n"/>
      <c r="AT4" s="245" t="n"/>
      <c r="AU4" s="243" t="n"/>
      <c r="AV4" s="244" t="n"/>
      <c r="AW4" s="244" t="n"/>
      <c r="AX4" s="242" t="n"/>
      <c r="AY4" s="243" t="n"/>
      <c r="AZ4" s="244" t="n"/>
      <c r="BA4" s="244" t="n"/>
      <c r="BB4" s="244" t="n"/>
      <c r="BC4" s="244" t="n"/>
      <c r="BD4" s="434" t="n"/>
    </row>
    <row r="5" ht="13.5" customHeight="1">
      <c r="A5" s="114" t="inlineStr">
        <is>
          <t>Остаток товара по цене закупки</t>
        </is>
      </c>
      <c r="B5" s="115" t="n"/>
      <c r="C5" s="116" t="n"/>
      <c r="D5" s="117">
        <f>C12</f>
        <v/>
      </c>
      <c r="E5" s="117">
        <f>D12</f>
        <v/>
      </c>
      <c r="F5" s="117">
        <f>E12</f>
        <v/>
      </c>
      <c r="G5" s="118">
        <f>F12</f>
        <v/>
      </c>
      <c r="H5" s="119">
        <f>G12</f>
        <v/>
      </c>
      <c r="I5" s="117">
        <f>H12</f>
        <v/>
      </c>
      <c r="J5" s="117">
        <f>I12</f>
        <v/>
      </c>
      <c r="K5" s="118">
        <f>J12</f>
        <v/>
      </c>
      <c r="L5" s="119">
        <f>K12</f>
        <v/>
      </c>
      <c r="M5" s="117">
        <f>L12</f>
        <v/>
      </c>
      <c r="N5" s="117">
        <f>M12</f>
        <v/>
      </c>
      <c r="O5" s="118">
        <f>N12</f>
        <v/>
      </c>
      <c r="P5" s="119">
        <f>O12</f>
        <v/>
      </c>
      <c r="Q5" s="117">
        <f>P12</f>
        <v/>
      </c>
      <c r="R5" s="117">
        <f>Q12</f>
        <v/>
      </c>
      <c r="S5" s="118">
        <f>R12</f>
        <v/>
      </c>
      <c r="T5" s="119">
        <f>S12</f>
        <v/>
      </c>
      <c r="U5" s="117">
        <f>T12</f>
        <v/>
      </c>
      <c r="V5" s="117">
        <f>U12</f>
        <v/>
      </c>
      <c r="W5" s="117">
        <f>V12</f>
        <v/>
      </c>
      <c r="X5" s="118">
        <f>W12</f>
        <v/>
      </c>
      <c r="Y5" s="119">
        <f>X12</f>
        <v/>
      </c>
      <c r="Z5" s="117">
        <f>Y12</f>
        <v/>
      </c>
      <c r="AA5" s="117">
        <f>Z12</f>
        <v/>
      </c>
      <c r="AB5" s="118">
        <f>AA12</f>
        <v/>
      </c>
      <c r="AC5" s="119">
        <f>AB12</f>
        <v/>
      </c>
      <c r="AD5" s="117">
        <f>AC12</f>
        <v/>
      </c>
      <c r="AE5" s="117">
        <f>AD12</f>
        <v/>
      </c>
      <c r="AF5" s="118">
        <f>AE12</f>
        <v/>
      </c>
      <c r="AG5" s="119">
        <f>AF12</f>
        <v/>
      </c>
      <c r="AH5" s="117">
        <f>AG12</f>
        <v/>
      </c>
      <c r="AI5" s="117">
        <f>AH12</f>
        <v/>
      </c>
      <c r="AJ5" s="117">
        <f>AI12</f>
        <v/>
      </c>
      <c r="AK5" s="118">
        <f>AJ12</f>
        <v/>
      </c>
      <c r="AL5" s="119">
        <f>AK12</f>
        <v/>
      </c>
      <c r="AM5" s="117">
        <f>AL12</f>
        <v/>
      </c>
      <c r="AN5" s="117">
        <f>AM12</f>
        <v/>
      </c>
      <c r="AO5" s="118">
        <f>AN12</f>
        <v/>
      </c>
      <c r="AP5" s="119">
        <f>AO12</f>
        <v/>
      </c>
      <c r="AQ5" s="117">
        <f>AP12</f>
        <v/>
      </c>
      <c r="AR5" s="117">
        <f>AQ12</f>
        <v/>
      </c>
      <c r="AS5" s="117">
        <f>AR12</f>
        <v/>
      </c>
      <c r="AT5" s="118">
        <f>AS12</f>
        <v/>
      </c>
      <c r="AU5" s="119">
        <f>AT12</f>
        <v/>
      </c>
      <c r="AV5" s="117">
        <f>AU12</f>
        <v/>
      </c>
      <c r="AW5" s="117">
        <f>AV12</f>
        <v/>
      </c>
      <c r="AX5" s="115">
        <f>AW12</f>
        <v/>
      </c>
      <c r="AY5" s="119">
        <f>AX12</f>
        <v/>
      </c>
      <c r="AZ5" s="117">
        <f>AY12</f>
        <v/>
      </c>
      <c r="BA5" s="117">
        <f>AZ12</f>
        <v/>
      </c>
      <c r="BB5" s="117">
        <f>BA12</f>
        <v/>
      </c>
      <c r="BC5" s="117">
        <f>BB12</f>
        <v/>
      </c>
      <c r="BD5" s="434" t="n"/>
    </row>
    <row r="6" ht="13.5" customHeight="1">
      <c r="A6" s="114" t="n"/>
      <c r="B6" s="120" t="n"/>
      <c r="C6" s="119" t="n"/>
      <c r="D6" s="117" t="n"/>
      <c r="E6" s="117" t="n"/>
      <c r="F6" s="117" t="n"/>
      <c r="G6" s="118" t="n"/>
      <c r="H6" s="119" t="n"/>
      <c r="I6" s="117" t="n"/>
      <c r="J6" s="117" t="n"/>
      <c r="K6" s="118" t="n"/>
      <c r="L6" s="119" t="n"/>
      <c r="M6" s="117" t="n"/>
      <c r="N6" s="117" t="n"/>
      <c r="O6" s="118" t="n"/>
      <c r="P6" s="119" t="n"/>
      <c r="Q6" s="117" t="n"/>
      <c r="R6" s="117" t="n"/>
      <c r="S6" s="118" t="n"/>
      <c r="T6" s="119" t="n"/>
      <c r="U6" s="117" t="n"/>
      <c r="V6" s="117" t="n"/>
      <c r="W6" s="117" t="n"/>
      <c r="X6" s="118" t="n"/>
      <c r="Y6" s="119" t="n"/>
      <c r="Z6" s="117" t="n"/>
      <c r="AA6" s="117" t="n"/>
      <c r="AB6" s="118" t="n"/>
      <c r="AC6" s="119" t="n"/>
      <c r="AD6" s="117" t="n"/>
      <c r="AE6" s="117" t="n"/>
      <c r="AF6" s="118" t="n"/>
      <c r="AG6" s="119" t="n"/>
      <c r="AH6" s="117" t="n"/>
      <c r="AI6" s="117" t="n"/>
      <c r="AJ6" s="117" t="n"/>
      <c r="AK6" s="118" t="n"/>
      <c r="AL6" s="119" t="n"/>
      <c r="AM6" s="117" t="n"/>
      <c r="AN6" s="117" t="n"/>
      <c r="AO6" s="118" t="n"/>
      <c r="AP6" s="119" t="n"/>
      <c r="AQ6" s="117" t="n"/>
      <c r="AR6" s="117" t="n"/>
      <c r="AS6" s="117" t="n"/>
      <c r="AT6" s="118" t="n"/>
      <c r="AU6" s="119" t="n"/>
      <c r="AV6" s="117" t="n"/>
      <c r="AW6" s="117" t="n"/>
      <c r="AX6" s="115" t="n"/>
      <c r="AY6" s="119" t="n"/>
      <c r="AZ6" s="117" t="n"/>
      <c r="BA6" s="117" t="n"/>
      <c r="BB6" s="117" t="n"/>
      <c r="BC6" s="117" t="n"/>
      <c r="BD6" s="434" t="n"/>
    </row>
    <row r="7" ht="13.5" customHeight="1">
      <c r="A7" s="121" t="inlineStr">
        <is>
          <t>Продажи шт</t>
        </is>
      </c>
      <c r="C7" s="116" t="n"/>
      <c r="D7" s="122" t="n"/>
      <c r="E7" s="122" t="n"/>
      <c r="F7" s="122" t="n"/>
      <c r="G7" s="123" t="n"/>
      <c r="H7" s="124" t="n"/>
      <c r="I7" s="125" t="n"/>
      <c r="J7" s="125" t="n"/>
      <c r="K7" s="126" t="n"/>
      <c r="L7" s="124" t="n"/>
      <c r="M7" s="125" t="n"/>
      <c r="N7" s="125" t="n"/>
      <c r="O7" s="126" t="n"/>
      <c r="P7" s="124" t="n"/>
      <c r="Q7" s="125" t="n"/>
      <c r="R7" s="125" t="n"/>
      <c r="S7" s="126" t="n"/>
      <c r="T7" s="124" t="n"/>
      <c r="U7" s="125" t="n"/>
      <c r="V7" s="125" t="n"/>
      <c r="W7" s="125" t="n"/>
      <c r="X7" s="126" t="n"/>
      <c r="Y7" s="124" t="n"/>
      <c r="Z7" s="125" t="n"/>
      <c r="AA7" s="125" t="n"/>
      <c r="AB7" s="126" t="n"/>
      <c r="AC7" s="124" t="n"/>
      <c r="AD7" s="125" t="n"/>
      <c r="AE7" s="125" t="n"/>
      <c r="AF7" s="126" t="n"/>
      <c r="AG7" s="124" t="n"/>
      <c r="AH7" s="125" t="n"/>
      <c r="AI7" s="125" t="n"/>
      <c r="AJ7" s="125" t="n"/>
      <c r="AK7" s="126" t="n"/>
      <c r="AL7" s="124" t="n"/>
      <c r="AM7" s="125" t="n"/>
      <c r="AN7" s="125" t="n"/>
      <c r="AO7" s="126" t="n"/>
      <c r="AP7" s="124" t="n"/>
      <c r="AQ7" s="125" t="n"/>
      <c r="AR7" s="125" t="n"/>
      <c r="AS7" s="125" t="n"/>
      <c r="AT7" s="126" t="n"/>
      <c r="AU7" s="124" t="n"/>
      <c r="AV7" s="125" t="n"/>
      <c r="AW7" s="125" t="n"/>
      <c r="AX7" s="324" t="n"/>
      <c r="AY7" s="124" t="n"/>
      <c r="AZ7" s="125" t="n"/>
      <c r="BA7" s="125" t="n"/>
      <c r="BB7" s="125" t="n"/>
      <c r="BC7" s="125" t="n"/>
      <c r="BD7" s="436">
        <f>SUM(C7:BC7)</f>
        <v/>
      </c>
    </row>
    <row r="8">
      <c r="A8" s="120" t="inlineStr">
        <is>
          <t>Отгрузки по себестоимости</t>
        </is>
      </c>
      <c r="C8" s="119">
        <f>C33</f>
        <v/>
      </c>
      <c r="D8" s="119">
        <f>D33</f>
        <v/>
      </c>
      <c r="E8" s="119">
        <f>E33</f>
        <v/>
      </c>
      <c r="F8" s="119">
        <f>F33</f>
        <v/>
      </c>
      <c r="G8" s="119">
        <f>G33</f>
        <v/>
      </c>
      <c r="H8" s="119">
        <f>H33</f>
        <v/>
      </c>
      <c r="I8" s="119">
        <f>I33</f>
        <v/>
      </c>
      <c r="J8" s="119">
        <f>J33</f>
        <v/>
      </c>
      <c r="K8" s="119">
        <f>K33</f>
        <v/>
      </c>
      <c r="L8" s="119">
        <f>L33</f>
        <v/>
      </c>
      <c r="M8" s="119">
        <f>M33</f>
        <v/>
      </c>
      <c r="N8" s="119">
        <f>N33</f>
        <v/>
      </c>
      <c r="O8" s="119">
        <f>O33</f>
        <v/>
      </c>
      <c r="P8" s="119">
        <f>P33</f>
        <v/>
      </c>
      <c r="Q8" s="119">
        <f>Q33</f>
        <v/>
      </c>
      <c r="R8" s="119">
        <f>R33</f>
        <v/>
      </c>
      <c r="S8" s="119">
        <f>S33</f>
        <v/>
      </c>
      <c r="T8" s="119">
        <f>T33</f>
        <v/>
      </c>
      <c r="U8" s="119">
        <f>U33</f>
        <v/>
      </c>
      <c r="V8" s="119">
        <f>V33</f>
        <v/>
      </c>
      <c r="W8" s="119">
        <f>W33</f>
        <v/>
      </c>
      <c r="X8" s="119">
        <f>X33</f>
        <v/>
      </c>
      <c r="Y8" s="119">
        <f>Y33</f>
        <v/>
      </c>
      <c r="Z8" s="119">
        <f>Z33</f>
        <v/>
      </c>
      <c r="AA8" s="119">
        <f>AA33</f>
        <v/>
      </c>
      <c r="AB8" s="119">
        <f>AB33</f>
        <v/>
      </c>
      <c r="AC8" s="119">
        <f>AC33</f>
        <v/>
      </c>
      <c r="AD8" s="119">
        <f>AD33</f>
        <v/>
      </c>
      <c r="AE8" s="119">
        <f>AE33</f>
        <v/>
      </c>
      <c r="AF8" s="119">
        <f>AF33</f>
        <v/>
      </c>
      <c r="AG8" s="119">
        <f>AG33</f>
        <v/>
      </c>
      <c r="AH8" s="119">
        <f>AH33</f>
        <v/>
      </c>
      <c r="AI8" s="119">
        <f>AI33</f>
        <v/>
      </c>
      <c r="AJ8" s="119">
        <f>AJ33</f>
        <v/>
      </c>
      <c r="AK8" s="119">
        <f>AK33</f>
        <v/>
      </c>
      <c r="AL8" s="119">
        <f>AL33</f>
        <v/>
      </c>
      <c r="AM8" s="119">
        <f>AM33</f>
        <v/>
      </c>
      <c r="AN8" s="119">
        <f>AN33</f>
        <v/>
      </c>
      <c r="AO8" s="119">
        <f>AO33</f>
        <v/>
      </c>
      <c r="AP8" s="119">
        <f>AP33</f>
        <v/>
      </c>
      <c r="AQ8" s="119">
        <f>AQ33</f>
        <v/>
      </c>
      <c r="AR8" s="119">
        <f>AR33</f>
        <v/>
      </c>
      <c r="AS8" s="119">
        <f>AS33</f>
        <v/>
      </c>
      <c r="AT8" s="119">
        <f>AT33</f>
        <v/>
      </c>
      <c r="AU8" s="119">
        <f>AU33</f>
        <v/>
      </c>
      <c r="AV8" s="119">
        <f>AV33</f>
        <v/>
      </c>
      <c r="AW8" s="119">
        <f>AW33</f>
        <v/>
      </c>
      <c r="AX8" s="119">
        <f>AX33</f>
        <v/>
      </c>
      <c r="AY8" s="119">
        <f>AY33</f>
        <v/>
      </c>
      <c r="AZ8" s="119">
        <f>AZ33</f>
        <v/>
      </c>
      <c r="BA8" s="119">
        <f>BA33</f>
        <v/>
      </c>
      <c r="BB8" s="119">
        <f>BB33</f>
        <v/>
      </c>
      <c r="BC8" s="119">
        <f>BC33</f>
        <v/>
      </c>
      <c r="BD8" s="436">
        <f>SUM(C8:BC8)</f>
        <v/>
      </c>
    </row>
    <row r="9" ht="13.5" customHeight="1">
      <c r="A9" s="114" t="n"/>
      <c r="B9" s="115" t="n"/>
      <c r="C9" s="119" t="n"/>
      <c r="D9" s="117" t="n"/>
      <c r="E9" s="117" t="n"/>
      <c r="F9" s="117" t="n"/>
      <c r="G9" s="118" t="n"/>
      <c r="H9" s="119" t="n"/>
      <c r="I9" s="117" t="n"/>
      <c r="J9" s="117" t="n"/>
      <c r="K9" s="118" t="n"/>
      <c r="L9" s="119" t="n"/>
      <c r="M9" s="117" t="n"/>
      <c r="N9" s="117" t="n"/>
      <c r="O9" s="118" t="n"/>
      <c r="P9" s="119" t="n"/>
      <c r="Q9" s="117" t="n"/>
      <c r="R9" s="117" t="n"/>
      <c r="S9" s="118" t="n"/>
      <c r="T9" s="119" t="n"/>
      <c r="U9" s="117" t="n"/>
      <c r="V9" s="117" t="n"/>
      <c r="W9" s="117" t="n"/>
      <c r="X9" s="118" t="n"/>
      <c r="Y9" s="119" t="n"/>
      <c r="Z9" s="117" t="n"/>
      <c r="AA9" s="117" t="n"/>
      <c r="AB9" s="118" t="n"/>
      <c r="AC9" s="119" t="n"/>
      <c r="AD9" s="117" t="n"/>
      <c r="AE9" s="117" t="n"/>
      <c r="AF9" s="118" t="n"/>
      <c r="AG9" s="119" t="n"/>
      <c r="AH9" s="117" t="n"/>
      <c r="AI9" s="117" t="n"/>
      <c r="AJ9" s="117" t="n"/>
      <c r="AK9" s="118" t="n"/>
      <c r="AL9" s="119" t="n"/>
      <c r="AM9" s="117" t="n"/>
      <c r="AN9" s="117" t="n"/>
      <c r="AO9" s="118" t="n"/>
      <c r="AP9" s="119" t="n"/>
      <c r="AQ9" s="117" t="n"/>
      <c r="AR9" s="117" t="n"/>
      <c r="AS9" s="117" t="n"/>
      <c r="AT9" s="118" t="n"/>
      <c r="AU9" s="119" t="n"/>
      <c r="AV9" s="117" t="n"/>
      <c r="AW9" s="117" t="n"/>
      <c r="AX9" s="115" t="n"/>
      <c r="AY9" s="119" t="n"/>
      <c r="AZ9" s="117" t="n"/>
      <c r="BA9" s="117" t="n"/>
      <c r="BB9" s="117" t="n"/>
      <c r="BC9" s="117" t="n"/>
      <c r="BD9" s="436">
        <f>SUM(C9:BC9)</f>
        <v/>
      </c>
    </row>
    <row r="10" ht="13.5" customHeight="1">
      <c r="A10" s="127" t="inlineStr">
        <is>
          <t>Поступление товара, р</t>
        </is>
      </c>
      <c r="B10" s="128" t="n"/>
      <c r="C10" s="116" t="n"/>
      <c r="D10" s="122" t="n"/>
      <c r="E10" s="343" t="n"/>
      <c r="F10" s="122" t="n"/>
      <c r="G10" s="123" t="n"/>
      <c r="H10" s="129" t="n"/>
      <c r="I10" s="130" t="n"/>
      <c r="J10" s="130" t="n"/>
      <c r="K10" s="349" t="n"/>
      <c r="L10" s="129" t="n"/>
      <c r="M10" s="130" t="n"/>
      <c r="N10" s="130" t="n"/>
      <c r="O10" s="131" t="n"/>
      <c r="P10" s="129" t="n"/>
      <c r="Q10" s="130" t="n"/>
      <c r="R10" s="130" t="n"/>
      <c r="S10" s="131" t="n"/>
      <c r="T10" s="129" t="n"/>
      <c r="U10" s="130" t="n"/>
      <c r="V10" s="130" t="n"/>
      <c r="W10" s="130" t="n"/>
      <c r="X10" s="131" t="n"/>
      <c r="Y10" s="129" t="n"/>
      <c r="Z10" s="377" t="n"/>
      <c r="AA10" s="130" t="n"/>
      <c r="AB10" s="131" t="n"/>
      <c r="AC10" s="129" t="n"/>
      <c r="AD10" s="130" t="n"/>
      <c r="AE10" s="130" t="n"/>
      <c r="AF10" s="131" t="n"/>
      <c r="AG10" s="129" t="n"/>
      <c r="AH10" s="130" t="n"/>
      <c r="AI10" s="130" t="n"/>
      <c r="AJ10" s="130" t="n"/>
      <c r="AK10" s="131" t="n"/>
      <c r="AL10" s="129" t="n"/>
      <c r="AM10" s="130" t="n"/>
      <c r="AN10" s="130" t="n"/>
      <c r="AO10" s="131" t="n"/>
      <c r="AP10" s="129" t="n"/>
      <c r="AQ10" s="130" t="n"/>
      <c r="AR10" s="130" t="n"/>
      <c r="AS10" s="130" t="n"/>
      <c r="AT10" s="131" t="n"/>
      <c r="AU10" s="129" t="n"/>
      <c r="AV10" s="130" t="n"/>
      <c r="AW10" s="130" t="n"/>
      <c r="AX10" s="325" t="n"/>
      <c r="AY10" s="129" t="n"/>
      <c r="AZ10" s="130" t="n"/>
      <c r="BA10" s="130" t="n"/>
      <c r="BB10" s="130" t="n"/>
      <c r="BC10" s="130" t="n"/>
      <c r="BD10" s="436">
        <f>SUM(C10:BC10)</f>
        <v/>
      </c>
    </row>
    <row r="11" ht="13.5" customHeight="1">
      <c r="A11" s="106" t="inlineStr">
        <is>
          <t>Поступление товара, шт</t>
        </is>
      </c>
      <c r="B11" s="115" t="n"/>
      <c r="C11" s="116" t="n"/>
      <c r="D11" s="122" t="n"/>
      <c r="E11" s="122" t="n"/>
      <c r="F11" s="122" t="n"/>
      <c r="G11" s="123" t="n"/>
      <c r="H11" s="124" t="n"/>
      <c r="I11" s="125" t="n"/>
      <c r="J11" s="125" t="n"/>
      <c r="K11" s="122" t="n"/>
      <c r="L11" s="124" t="n"/>
      <c r="M11" s="125" t="n"/>
      <c r="N11" s="125" t="n"/>
      <c r="O11" s="126" t="n"/>
      <c r="P11" s="124" t="n"/>
      <c r="Q11" s="125" t="n"/>
      <c r="R11" s="125" t="n"/>
      <c r="S11" s="126" t="n"/>
      <c r="T11" s="124" t="n"/>
      <c r="U11" s="125" t="n"/>
      <c r="V11" s="125" t="n"/>
      <c r="W11" s="125" t="n"/>
      <c r="X11" s="126" t="n"/>
      <c r="Y11" s="124" t="n"/>
      <c r="Z11" s="125" t="n"/>
      <c r="AA11" s="125" t="n"/>
      <c r="AB11" s="126" t="n"/>
      <c r="AC11" s="124" t="n"/>
      <c r="AD11" s="125" t="n"/>
      <c r="AE11" s="125" t="n"/>
      <c r="AF11" s="126" t="n"/>
      <c r="AG11" s="124" t="n"/>
      <c r="AH11" s="125" t="n"/>
      <c r="AI11" s="125" t="n"/>
      <c r="AJ11" s="125" t="n"/>
      <c r="AK11" s="126" t="n"/>
      <c r="AL11" s="124" t="n"/>
      <c r="AM11" s="125" t="n"/>
      <c r="AN11" s="125" t="n"/>
      <c r="AO11" s="126" t="n"/>
      <c r="AP11" s="124" t="n"/>
      <c r="AQ11" s="125" t="n"/>
      <c r="AR11" s="125" t="n"/>
      <c r="AS11" s="125" t="n"/>
      <c r="AT11" s="126" t="n"/>
      <c r="AU11" s="124" t="n"/>
      <c r="AV11" s="125" t="n"/>
      <c r="AW11" s="125" t="n"/>
      <c r="AX11" s="324" t="n"/>
      <c r="AY11" s="124" t="n"/>
      <c r="AZ11" s="125" t="n"/>
      <c r="BA11" s="125" t="n"/>
      <c r="BB11" s="125" t="n"/>
      <c r="BC11" s="125" t="n"/>
      <c r="BD11" s="436">
        <f>SUM(C11:BC11)</f>
        <v/>
      </c>
    </row>
    <row r="12" ht="13.5" customHeight="1">
      <c r="A12" s="132" t="inlineStr">
        <is>
          <t>Доступно на складе по цене закупки</t>
        </is>
      </c>
      <c r="B12" s="133" t="n"/>
      <c r="C12" s="134">
        <f>C10-C8+C5</f>
        <v/>
      </c>
      <c r="D12" s="134">
        <f>D10-D8+D5</f>
        <v/>
      </c>
      <c r="E12" s="134">
        <f>E10-E8+E5</f>
        <v/>
      </c>
      <c r="F12" s="134">
        <f>F10-F8+F5</f>
        <v/>
      </c>
      <c r="G12" s="134">
        <f>G10-G8+G5</f>
        <v/>
      </c>
      <c r="H12" s="134">
        <f>H10-H8+H5</f>
        <v/>
      </c>
      <c r="I12" s="134">
        <f>I10-I8+I5</f>
        <v/>
      </c>
      <c r="J12" s="134">
        <f>J10-J8+J5</f>
        <v/>
      </c>
      <c r="K12" s="134">
        <f>K10-K8+K5</f>
        <v/>
      </c>
      <c r="L12" s="134">
        <f>L10-L8+L5</f>
        <v/>
      </c>
      <c r="M12" s="134">
        <f>M10-M8+M5</f>
        <v/>
      </c>
      <c r="N12" s="134">
        <f>N10-N8+N5</f>
        <v/>
      </c>
      <c r="O12" s="134">
        <f>O10-O8+O5</f>
        <v/>
      </c>
      <c r="P12" s="134">
        <f>P10-P8+P5</f>
        <v/>
      </c>
      <c r="Q12" s="134">
        <f>Q10-Q8+Q5</f>
        <v/>
      </c>
      <c r="R12" s="134">
        <f>R10-R8+R5</f>
        <v/>
      </c>
      <c r="S12" s="134">
        <f>S10-S8+S5</f>
        <v/>
      </c>
      <c r="T12" s="134">
        <f>T10-T8+T5</f>
        <v/>
      </c>
      <c r="U12" s="134">
        <f>U10-U8+U5</f>
        <v/>
      </c>
      <c r="V12" s="134">
        <f>V10-V8+V5</f>
        <v/>
      </c>
      <c r="W12" s="134">
        <f>W10-W8+W5</f>
        <v/>
      </c>
      <c r="X12" s="134">
        <f>X10-X8+X5</f>
        <v/>
      </c>
      <c r="Y12" s="134">
        <f>Y10-Y8+Y5</f>
        <v/>
      </c>
      <c r="Z12" s="134">
        <f>Z10-Z8+Z5</f>
        <v/>
      </c>
      <c r="AA12" s="134">
        <f>AA10-AA8+AA5</f>
        <v/>
      </c>
      <c r="AB12" s="134">
        <f>AB10-AB8+AB5</f>
        <v/>
      </c>
      <c r="AC12" s="134">
        <f>AC10-AC8+AC5</f>
        <v/>
      </c>
      <c r="AD12" s="134">
        <f>AD10-AD8+AD5</f>
        <v/>
      </c>
      <c r="AE12" s="134">
        <f>AE10-AE8+AE5</f>
        <v/>
      </c>
      <c r="AF12" s="134">
        <f>AF10-AF8+AF5</f>
        <v/>
      </c>
      <c r="AG12" s="134">
        <f>AG10-AG8+AG5</f>
        <v/>
      </c>
      <c r="AH12" s="134">
        <f>AH10-AH8+AH5</f>
        <v/>
      </c>
      <c r="AI12" s="134">
        <f>AI10-AI8+AI5</f>
        <v/>
      </c>
      <c r="AJ12" s="134">
        <f>AJ10-AJ8+AJ5</f>
        <v/>
      </c>
      <c r="AK12" s="134">
        <f>AK10-AK8+AK5</f>
        <v/>
      </c>
      <c r="AL12" s="134">
        <f>AL10-AL8+AL5</f>
        <v/>
      </c>
      <c r="AM12" s="134">
        <f>AM10-AM8+AM5</f>
        <v/>
      </c>
      <c r="AN12" s="134">
        <f>AN10-AN8+AN5</f>
        <v/>
      </c>
      <c r="AO12" s="134">
        <f>AO10-AO8+AO5</f>
        <v/>
      </c>
      <c r="AP12" s="134">
        <f>AP10-AP8+AP5</f>
        <v/>
      </c>
      <c r="AQ12" s="134">
        <f>AQ10-AQ8+AQ5</f>
        <v/>
      </c>
      <c r="AR12" s="134">
        <f>AR10-AR8+AR5</f>
        <v/>
      </c>
      <c r="AS12" s="134">
        <f>AS10-AS8+AS5</f>
        <v/>
      </c>
      <c r="AT12" s="134">
        <f>AT10-AT8+AT5</f>
        <v/>
      </c>
      <c r="AU12" s="134">
        <f>AU10-AU8+AU5</f>
        <v/>
      </c>
      <c r="AV12" s="134">
        <f>AV10-AV8+AV5</f>
        <v/>
      </c>
      <c r="AW12" s="134">
        <f>AW10-AW8+AW5</f>
        <v/>
      </c>
      <c r="AX12" s="134">
        <f>AX10-AX8+AX5</f>
        <v/>
      </c>
      <c r="AY12" s="134">
        <f>AY10-AY8+AY5</f>
        <v/>
      </c>
      <c r="AZ12" s="134">
        <f>AZ10-AZ8+AZ5</f>
        <v/>
      </c>
      <c r="BA12" s="134">
        <f>BA10-BA8+BA5</f>
        <v/>
      </c>
      <c r="BB12" s="134">
        <f>BB10-BB8+BB5</f>
        <v/>
      </c>
      <c r="BC12" s="134">
        <f>BC10-BC8+BC5</f>
        <v/>
      </c>
      <c r="BD12" s="436">
        <f>SUM(C12:BC12)/52.5</f>
        <v/>
      </c>
    </row>
    <row r="13" ht="13.5" customHeight="1">
      <c r="A13" s="132" t="inlineStr">
        <is>
          <t>Доступно на складе, шт</t>
        </is>
      </c>
      <c r="B13" s="133" t="n"/>
      <c r="C13" s="338">
        <f>5904-C7-C27+C11+C23</f>
        <v/>
      </c>
      <c r="D13" s="135">
        <f>C13-D7-D27+D11+D23</f>
        <v/>
      </c>
      <c r="E13" s="135">
        <f>D13-E7-E27+E11+E23</f>
        <v/>
      </c>
      <c r="F13" s="135">
        <f>E13-F7-F27+F11+F23</f>
        <v/>
      </c>
      <c r="G13" s="136">
        <f>F13-G7-G27+G11+G23</f>
        <v/>
      </c>
      <c r="H13" s="134">
        <f>G13-H7-H27+H11+H23</f>
        <v/>
      </c>
      <c r="I13" s="135">
        <f>H13-I7-I27+I11+I23</f>
        <v/>
      </c>
      <c r="J13" s="135">
        <f>I13-J7-J27+J11+J23</f>
        <v/>
      </c>
      <c r="K13" s="136">
        <f>J13-K7-K27+K11+K23</f>
        <v/>
      </c>
      <c r="L13" s="134">
        <f>K13-L7-L27+L11+L23</f>
        <v/>
      </c>
      <c r="M13" s="135">
        <f>L13-M7-M27+M11+M23</f>
        <v/>
      </c>
      <c r="N13" s="135">
        <f>M13-N7-N27+N11+N23</f>
        <v/>
      </c>
      <c r="O13" s="136">
        <f>N13-O7-O27+O11+O23</f>
        <v/>
      </c>
      <c r="P13" s="134">
        <f>O13-P7-P27+P11+P23</f>
        <v/>
      </c>
      <c r="Q13" s="135">
        <f>P13-Q7-Q27+Q11+Q23</f>
        <v/>
      </c>
      <c r="R13" s="135">
        <f>Q13-R7-R27+R11+R23</f>
        <v/>
      </c>
      <c r="S13" s="136">
        <f>R13-S7-S27+S11+S23</f>
        <v/>
      </c>
      <c r="T13" s="134">
        <f>S13-T7-T27+T11+T23</f>
        <v/>
      </c>
      <c r="U13" s="135">
        <f>T13-U7-U27+U11+U23</f>
        <v/>
      </c>
      <c r="V13" s="135">
        <f>U13-V7-V27+V11+V23</f>
        <v/>
      </c>
      <c r="W13" s="135">
        <f>V13-W7-W27+W11+W23</f>
        <v/>
      </c>
      <c r="X13" s="136">
        <f>W13-X7-X27+X11+X23</f>
        <v/>
      </c>
      <c r="Y13" s="134">
        <f>X13-Y7-Y27+Y11+Y23</f>
        <v/>
      </c>
      <c r="Z13" s="135">
        <f>Y13-Z7-Z27+Z11+Z23</f>
        <v/>
      </c>
      <c r="AA13" s="135">
        <f>Z13-AA7-AA27+AA11+AA23</f>
        <v/>
      </c>
      <c r="AB13" s="136">
        <f>AA13-AB7-AB27+AB11+AB23</f>
        <v/>
      </c>
      <c r="AC13" s="134">
        <f>AB13-AC7-AC27+AC11+AC23</f>
        <v/>
      </c>
      <c r="AD13" s="135">
        <f>AC13-AD7-AD27+AD11+AD23</f>
        <v/>
      </c>
      <c r="AE13" s="135">
        <f>AD13-AE7-AE27+AE11+AE23</f>
        <v/>
      </c>
      <c r="AF13" s="136">
        <f>AE13-AF7-AF27+AF11+AF23</f>
        <v/>
      </c>
      <c r="AG13" s="134">
        <f>AF13-AG7-AG27+AG11+AG23</f>
        <v/>
      </c>
      <c r="AH13" s="135">
        <f>AG13-AH7-AH27+AH11+AH23</f>
        <v/>
      </c>
      <c r="AI13" s="135">
        <f>AH13-AI7-AI27+AI11+AI23</f>
        <v/>
      </c>
      <c r="AJ13" s="135">
        <f>AI13-AJ7-AJ27+AJ11+AJ23</f>
        <v/>
      </c>
      <c r="AK13" s="136">
        <f>AJ13-AK7-AK27+AK11+AK23</f>
        <v/>
      </c>
      <c r="AL13" s="134">
        <f>AK13-AL7-AL27+AL11+AL23</f>
        <v/>
      </c>
      <c r="AM13" s="135">
        <f>AL13-AM7-AM27+AM11+AM23</f>
        <v/>
      </c>
      <c r="AN13" s="135">
        <f>AM13-AN7-AN27+AN11+AN23</f>
        <v/>
      </c>
      <c r="AO13" s="136">
        <f>AN13-AO7-AO27+AO11+AO23</f>
        <v/>
      </c>
      <c r="AP13" s="134">
        <f>AO13-AP7-AP27+AP11+AP23</f>
        <v/>
      </c>
      <c r="AQ13" s="135">
        <f>AP13-AQ7-AQ27+AQ11+AQ23</f>
        <v/>
      </c>
      <c r="AR13" s="135">
        <f>AQ13-AR7-AR27+AR11+AR23</f>
        <v/>
      </c>
      <c r="AS13" s="135">
        <f>AR13-AS7-AS27+AS11+AS23</f>
        <v/>
      </c>
      <c r="AT13" s="136">
        <f>AS13-AT7-AT27+AT11+AT23</f>
        <v/>
      </c>
      <c r="AU13" s="134">
        <f>AT13-AU7-AU27+AU11+AU23</f>
        <v/>
      </c>
      <c r="AV13" s="135">
        <f>AU13-AV7-AV27+AV11+AV23</f>
        <v/>
      </c>
      <c r="AW13" s="135">
        <f>AV13-AW7-AW27+AW11+AW23</f>
        <v/>
      </c>
      <c r="AX13" s="326">
        <f>AW13-AX7-AX27+AX11+AX23</f>
        <v/>
      </c>
      <c r="AY13" s="134">
        <f>AX13-AY7-AY27+AY11+AY23</f>
        <v/>
      </c>
      <c r="AZ13" s="135">
        <f>AY13-AZ7-AZ27+AZ11+AZ23</f>
        <v/>
      </c>
      <c r="BA13" s="135">
        <f>AZ13-BA7-BA27+BA11+BA23</f>
        <v/>
      </c>
      <c r="BB13" s="135">
        <f>BA13-BB7-BB27+BB11+BB23</f>
        <v/>
      </c>
      <c r="BC13" s="135">
        <f>BB13-BC7-BC27+BC11+BC23</f>
        <v/>
      </c>
      <c r="BD13" s="436">
        <f>SUM(C13:BC13)/53.5</f>
        <v/>
      </c>
    </row>
    <row r="14" ht="13.5" customFormat="1" customHeight="1" s="104">
      <c r="A14" s="175" t="inlineStr">
        <is>
          <t>Продано товаров WB по цене в карточке</t>
        </is>
      </c>
      <c r="B14" s="176" t="n"/>
      <c r="C14" s="144" t="n"/>
      <c r="D14" s="145" t="n"/>
      <c r="E14" s="145" t="n"/>
      <c r="F14" s="145" t="n"/>
      <c r="G14" s="146" t="n"/>
      <c r="H14" s="147" t="n"/>
      <c r="I14" s="148" t="n"/>
      <c r="J14" s="148" t="n"/>
      <c r="K14" s="149" t="n"/>
      <c r="L14" s="147" t="n"/>
      <c r="M14" s="148" t="n"/>
      <c r="N14" s="148" t="n"/>
      <c r="O14" s="149" t="n"/>
      <c r="P14" s="147" t="n"/>
      <c r="Q14" s="148" t="n"/>
      <c r="R14" s="148" t="n"/>
      <c r="S14" s="149" t="n"/>
      <c r="T14" s="147" t="n"/>
      <c r="U14" s="148" t="n"/>
      <c r="V14" s="148" t="n"/>
      <c r="W14" s="148" t="n"/>
      <c r="X14" s="149" t="n"/>
      <c r="Y14" s="147" t="n"/>
      <c r="Z14" s="148" t="n"/>
      <c r="AA14" s="148" t="n"/>
      <c r="AB14" s="149" t="n"/>
      <c r="AC14" s="147" t="n"/>
      <c r="AD14" s="148" t="n"/>
      <c r="AE14" s="148" t="n"/>
      <c r="AF14" s="149" t="n"/>
      <c r="AG14" s="147" t="n"/>
      <c r="AH14" s="148" t="n"/>
      <c r="AI14" s="148" t="n"/>
      <c r="AJ14" s="148" t="n"/>
      <c r="AK14" s="149" t="n"/>
      <c r="AL14" s="147" t="n"/>
      <c r="AM14" s="148" t="n"/>
      <c r="AN14" s="148" t="n"/>
      <c r="AO14" s="149" t="n"/>
      <c r="AP14" s="147" t="n"/>
      <c r="AQ14" s="148" t="n"/>
      <c r="AR14" s="148" t="n"/>
      <c r="AS14" s="148" t="n"/>
      <c r="AT14" s="149" t="n"/>
      <c r="AU14" s="147" t="n"/>
      <c r="AV14" s="148" t="n"/>
      <c r="AW14" s="148" t="n"/>
      <c r="AX14" s="327" t="n"/>
      <c r="AY14" s="147" t="n"/>
      <c r="AZ14" s="148" t="n"/>
      <c r="BA14" s="148" t="n"/>
      <c r="BB14" s="148" t="n"/>
      <c r="BC14" s="148" t="n"/>
      <c r="BD14" s="436">
        <f>SUM(C14:BC14)</f>
        <v/>
      </c>
    </row>
    <row r="15" ht="13.5" customFormat="1" customHeight="1" s="104">
      <c r="A15" s="175" t="inlineStr">
        <is>
          <t>Продано товаров WB ВБ реализовал-ПРОДАЖИ</t>
        </is>
      </c>
      <c r="B15" s="143" t="n"/>
      <c r="C15" s="144" t="n"/>
      <c r="D15" s="145" t="n"/>
      <c r="E15" s="145" t="n"/>
      <c r="F15" s="145" t="n"/>
      <c r="G15" s="146" t="n"/>
      <c r="H15" s="147" t="n"/>
      <c r="I15" s="148" t="n"/>
      <c r="J15" s="148" t="n"/>
      <c r="K15" s="149" t="n"/>
      <c r="L15" s="147" t="n"/>
      <c r="M15" s="148" t="n"/>
      <c r="N15" s="148" t="n"/>
      <c r="O15" s="149" t="n"/>
      <c r="P15" s="147" t="n"/>
      <c r="Q15" s="148" t="n"/>
      <c r="R15" s="148" t="n"/>
      <c r="S15" s="149" t="n"/>
      <c r="T15" s="147" t="n"/>
      <c r="U15" s="148" t="n"/>
      <c r="V15" s="148" t="n"/>
      <c r="W15" s="148" t="n"/>
      <c r="X15" s="149" t="n"/>
      <c r="Y15" s="147" t="n"/>
      <c r="Z15" s="148" t="n"/>
      <c r="AA15" s="148" t="n"/>
      <c r="AB15" s="149" t="n"/>
      <c r="AC15" s="147" t="n"/>
      <c r="AD15" s="148" t="n"/>
      <c r="AE15" s="148" t="n"/>
      <c r="AF15" s="149" t="n"/>
      <c r="AG15" s="147" t="n"/>
      <c r="AH15" s="148" t="n"/>
      <c r="AI15" s="148" t="n"/>
      <c r="AJ15" s="148" t="n"/>
      <c r="AK15" s="149" t="n"/>
      <c r="AL15" s="147" t="n"/>
      <c r="AM15" s="148" t="n"/>
      <c r="AN15" s="148" t="n"/>
      <c r="AO15" s="149" t="n"/>
      <c r="AP15" s="147" t="n"/>
      <c r="AQ15" s="148" t="n"/>
      <c r="AR15" s="148" t="n"/>
      <c r="AS15" s="148" t="n"/>
      <c r="AT15" s="149" t="n"/>
      <c r="AU15" s="147" t="n"/>
      <c r="AV15" s="148" t="n"/>
      <c r="AW15" s="148" t="n"/>
      <c r="AX15" s="327" t="n"/>
      <c r="AY15" s="147" t="n"/>
      <c r="AZ15" s="148" t="n"/>
      <c r="BA15" s="148" t="n"/>
      <c r="BB15" s="148" t="n"/>
      <c r="BC15" s="148" t="n"/>
      <c r="BD15" s="436">
        <f>SUM(C15:BC15)</f>
        <v/>
      </c>
    </row>
    <row r="16" ht="13.5" customHeight="1">
      <c r="A16" s="150" t="n"/>
      <c r="B16" s="151" t="n"/>
      <c r="C16" s="152" t="n"/>
      <c r="D16" s="153" t="n"/>
      <c r="E16" s="153" t="n"/>
      <c r="F16" s="153" t="n"/>
      <c r="G16" s="154" t="n"/>
      <c r="H16" s="152" t="n"/>
      <c r="I16" s="153" t="n"/>
      <c r="J16" s="153" t="n"/>
      <c r="K16" s="154" t="n"/>
      <c r="L16" s="152" t="n"/>
      <c r="M16" s="153" t="n"/>
      <c r="N16" s="153" t="n"/>
      <c r="O16" s="154" t="n"/>
      <c r="P16" s="152" t="n"/>
      <c r="Q16" s="153" t="n"/>
      <c r="R16" s="153" t="n"/>
      <c r="S16" s="154" t="n"/>
      <c r="T16" s="152" t="n"/>
      <c r="U16" s="153" t="n"/>
      <c r="V16" s="153" t="n"/>
      <c r="W16" s="153" t="n"/>
      <c r="X16" s="154" t="n"/>
      <c r="Y16" s="152" t="n"/>
      <c r="Z16" s="153" t="n"/>
      <c r="AA16" s="153" t="n"/>
      <c r="AB16" s="154" t="n"/>
      <c r="AC16" s="152" t="n"/>
      <c r="AD16" s="153" t="n"/>
      <c r="AE16" s="153" t="n"/>
      <c r="AF16" s="154" t="n"/>
      <c r="AG16" s="152" t="n"/>
      <c r="AH16" s="153" t="n"/>
      <c r="AI16" s="153" t="n"/>
      <c r="AJ16" s="153" t="n"/>
      <c r="AK16" s="154" t="n"/>
      <c r="AL16" s="152" t="n"/>
      <c r="AM16" s="153" t="n"/>
      <c r="AN16" s="153" t="n"/>
      <c r="AO16" s="154" t="n"/>
      <c r="AP16" s="152" t="n"/>
      <c r="AQ16" s="153" t="n"/>
      <c r="AR16" s="153" t="n"/>
      <c r="AS16" s="153" t="n"/>
      <c r="AT16" s="154" t="n"/>
      <c r="AU16" s="152" t="n"/>
      <c r="AV16" s="153" t="n"/>
      <c r="AW16" s="153" t="n"/>
      <c r="AX16" s="151" t="n"/>
      <c r="AY16" s="152" t="n"/>
      <c r="AZ16" s="153" t="n"/>
      <c r="BA16" s="153" t="n"/>
      <c r="BB16" s="153" t="n"/>
      <c r="BC16" s="153" t="n"/>
      <c r="BD16" s="436">
        <f>SUM(C16:BC16)</f>
        <v/>
      </c>
    </row>
    <row r="17" ht="13.5" customHeight="1">
      <c r="A17" s="137" t="inlineStr">
        <is>
          <t>Комиссия ВБ</t>
        </is>
      </c>
      <c r="B17" s="138" t="n"/>
      <c r="C17" s="139">
        <f>C14-C20</f>
        <v/>
      </c>
      <c r="D17" s="139">
        <f>D14-D20</f>
        <v/>
      </c>
      <c r="E17" s="139">
        <f>E14-E20</f>
        <v/>
      </c>
      <c r="F17" s="139">
        <f>F14-F20</f>
        <v/>
      </c>
      <c r="G17" s="139">
        <f>G14-G20</f>
        <v/>
      </c>
      <c r="H17" s="139">
        <f>H14-H20</f>
        <v/>
      </c>
      <c r="I17" s="139">
        <f>I14-I20</f>
        <v/>
      </c>
      <c r="J17" s="139">
        <f>J14-J20</f>
        <v/>
      </c>
      <c r="K17" s="139">
        <f>K14-K20</f>
        <v/>
      </c>
      <c r="L17" s="139">
        <f>L14-L20</f>
        <v/>
      </c>
      <c r="M17" s="139">
        <f>M14-M20</f>
        <v/>
      </c>
      <c r="N17" s="139">
        <f>N14-N20</f>
        <v/>
      </c>
      <c r="O17" s="139">
        <f>O14-O20</f>
        <v/>
      </c>
      <c r="P17" s="139">
        <f>P14-P20</f>
        <v/>
      </c>
      <c r="Q17" s="139">
        <f>Q14-Q20</f>
        <v/>
      </c>
      <c r="R17" s="139">
        <f>R14-R20</f>
        <v/>
      </c>
      <c r="S17" s="139">
        <f>S14-S20</f>
        <v/>
      </c>
      <c r="T17" s="139">
        <f>T14-T20</f>
        <v/>
      </c>
      <c r="U17" s="139">
        <f>U14-U20</f>
        <v/>
      </c>
      <c r="V17" s="139">
        <f>V14-V20</f>
        <v/>
      </c>
      <c r="W17" s="139">
        <f>W14-W20</f>
        <v/>
      </c>
      <c r="X17" s="139">
        <f>X14-X20</f>
        <v/>
      </c>
      <c r="Y17" s="139">
        <f>Y14-Y20</f>
        <v/>
      </c>
      <c r="Z17" s="139">
        <f>Z14-Z20</f>
        <v/>
      </c>
      <c r="AA17" s="139">
        <f>AA14-AA20</f>
        <v/>
      </c>
      <c r="AB17" s="139">
        <f>AB14-AB20</f>
        <v/>
      </c>
      <c r="AC17" s="139">
        <f>AC14-AC20</f>
        <v/>
      </c>
      <c r="AD17" s="139">
        <f>AD14-AD20</f>
        <v/>
      </c>
      <c r="AE17" s="139">
        <f>AE14-AE20</f>
        <v/>
      </c>
      <c r="AF17" s="139">
        <f>AF14-AF20</f>
        <v/>
      </c>
      <c r="AG17" s="139">
        <f>AG14-AG20</f>
        <v/>
      </c>
      <c r="AH17" s="139">
        <f>AH14-AH20</f>
        <v/>
      </c>
      <c r="AI17" s="139">
        <f>AI14-AI20</f>
        <v/>
      </c>
      <c r="AJ17" s="139">
        <f>AJ14-AJ20</f>
        <v/>
      </c>
      <c r="AK17" s="139">
        <f>AK14-AK20</f>
        <v/>
      </c>
      <c r="AL17" s="139">
        <f>AL14-AL20</f>
        <v/>
      </c>
      <c r="AM17" s="139">
        <f>AM14-AM20</f>
        <v/>
      </c>
      <c r="AN17" s="139">
        <f>AN14-AN20</f>
        <v/>
      </c>
      <c r="AO17" s="139">
        <f>AO14-AO20</f>
        <v/>
      </c>
      <c r="AP17" s="139">
        <f>AP14-AP20</f>
        <v/>
      </c>
      <c r="AQ17" s="139">
        <f>AQ14-AQ20</f>
        <v/>
      </c>
      <c r="AR17" s="139">
        <f>AR14-AR20</f>
        <v/>
      </c>
      <c r="AS17" s="139">
        <f>AS14-AS20</f>
        <v/>
      </c>
      <c r="AT17" s="139">
        <f>AT14-AT20</f>
        <v/>
      </c>
      <c r="AU17" s="139">
        <f>AU14-AU20</f>
        <v/>
      </c>
      <c r="AV17" s="139">
        <f>AV14-AV20</f>
        <v/>
      </c>
      <c r="AW17" s="139">
        <f>AW14-AW20</f>
        <v/>
      </c>
      <c r="AX17" s="139">
        <f>AX14-AX20</f>
        <v/>
      </c>
      <c r="AY17" s="139">
        <f>AY14-AY20</f>
        <v/>
      </c>
      <c r="AZ17" s="139">
        <f>AZ14-AZ20</f>
        <v/>
      </c>
      <c r="BA17" s="139">
        <f>BA14-BA20</f>
        <v/>
      </c>
      <c r="BB17" s="139">
        <f>BB14-BB20</f>
        <v/>
      </c>
      <c r="BC17" s="139">
        <f>BC14-BC20</f>
        <v/>
      </c>
      <c r="BD17" s="436">
        <f>SUM(C17:BC17)</f>
        <v/>
      </c>
    </row>
    <row r="18" ht="13.5" customHeight="1">
      <c r="A18" s="150" t="inlineStr">
        <is>
          <t>% комиссии</t>
        </is>
      </c>
      <c r="B18" s="151" t="n"/>
      <c r="C18" s="155">
        <f>C17/C14</f>
        <v/>
      </c>
      <c r="D18" s="155">
        <f>D17/D14</f>
        <v/>
      </c>
      <c r="E18" s="155">
        <f>E17/E14</f>
        <v/>
      </c>
      <c r="F18" s="155">
        <f>F17/F14</f>
        <v/>
      </c>
      <c r="G18" s="155">
        <f>G17/G14</f>
        <v/>
      </c>
      <c r="H18" s="155">
        <f>H17/H14</f>
        <v/>
      </c>
      <c r="I18" s="155">
        <f>I17/I14</f>
        <v/>
      </c>
      <c r="J18" s="155">
        <f>J17/J14</f>
        <v/>
      </c>
      <c r="K18" s="155">
        <f>K17/K14</f>
        <v/>
      </c>
      <c r="L18" s="155">
        <f>L17/L14</f>
        <v/>
      </c>
      <c r="M18" s="155">
        <f>M17/M14</f>
        <v/>
      </c>
      <c r="N18" s="155">
        <f>N17/N14</f>
        <v/>
      </c>
      <c r="O18" s="155">
        <f>O17/O14</f>
        <v/>
      </c>
      <c r="P18" s="155">
        <f>P17/P14</f>
        <v/>
      </c>
      <c r="Q18" s="155">
        <f>Q17/Q14</f>
        <v/>
      </c>
      <c r="R18" s="155">
        <f>R17/R14</f>
        <v/>
      </c>
      <c r="S18" s="155">
        <f>S17/S14</f>
        <v/>
      </c>
      <c r="T18" s="155">
        <f>T17/T14</f>
        <v/>
      </c>
      <c r="U18" s="155">
        <f>U17/U14</f>
        <v/>
      </c>
      <c r="V18" s="155">
        <f>V17/V14</f>
        <v/>
      </c>
      <c r="W18" s="155">
        <f>W17/W14</f>
        <v/>
      </c>
      <c r="X18" s="155">
        <f>X17/X14</f>
        <v/>
      </c>
      <c r="Y18" s="155">
        <f>Y17/Y14</f>
        <v/>
      </c>
      <c r="Z18" s="155">
        <f>Z17/Z14</f>
        <v/>
      </c>
      <c r="AA18" s="155">
        <f>AA17/AA14</f>
        <v/>
      </c>
      <c r="AB18" s="155">
        <f>AB17/AB14</f>
        <v/>
      </c>
      <c r="AC18" s="155">
        <f>AC17/AC14</f>
        <v/>
      </c>
      <c r="AD18" s="155">
        <f>AD17/AD14</f>
        <v/>
      </c>
      <c r="AE18" s="155">
        <f>AE17/AE14</f>
        <v/>
      </c>
      <c r="AF18" s="155">
        <f>AF17/AF14</f>
        <v/>
      </c>
      <c r="AG18" s="155">
        <f>AG17/AG14</f>
        <v/>
      </c>
      <c r="AH18" s="155">
        <f>AH17/AH14</f>
        <v/>
      </c>
      <c r="AI18" s="155">
        <f>AI17/AI14</f>
        <v/>
      </c>
      <c r="AJ18" s="155">
        <f>AJ17/AJ14</f>
        <v/>
      </c>
      <c r="AK18" s="155">
        <f>AK17/AK14</f>
        <v/>
      </c>
      <c r="AL18" s="155">
        <f>AL17/AL14</f>
        <v/>
      </c>
      <c r="AM18" s="155">
        <f>AM17/AM14</f>
        <v/>
      </c>
      <c r="AN18" s="155">
        <f>AN17/AN14</f>
        <v/>
      </c>
      <c r="AO18" s="155">
        <f>AO17/AO14</f>
        <v/>
      </c>
      <c r="AP18" s="155">
        <f>AP17/AP14</f>
        <v/>
      </c>
      <c r="AQ18" s="155">
        <f>AQ17/AQ14</f>
        <v/>
      </c>
      <c r="AR18" s="155">
        <f>AR17/AR14</f>
        <v/>
      </c>
      <c r="AS18" s="155">
        <f>AS17/AS14</f>
        <v/>
      </c>
      <c r="AT18" s="155">
        <f>AT17/AT14</f>
        <v/>
      </c>
      <c r="AU18" s="155">
        <f>AU17/AU14</f>
        <v/>
      </c>
      <c r="AV18" s="155">
        <f>AV17/AV14</f>
        <v/>
      </c>
      <c r="AW18" s="155">
        <f>AW17/AW14</f>
        <v/>
      </c>
      <c r="AX18" s="155">
        <f>AX17/AX14</f>
        <v/>
      </c>
      <c r="AY18" s="155">
        <f>AY17/AY14</f>
        <v/>
      </c>
      <c r="AZ18" s="155">
        <f>AZ17/AZ14</f>
        <v/>
      </c>
      <c r="BA18" s="155">
        <f>BA17/BA14</f>
        <v/>
      </c>
      <c r="BB18" s="155">
        <f>BB17/BB14</f>
        <v/>
      </c>
      <c r="BC18" s="155">
        <f>BC17/BC14</f>
        <v/>
      </c>
      <c r="BD18" s="436">
        <f>SUM(C18:BC18)</f>
        <v/>
      </c>
    </row>
    <row r="19" ht="13.5" customHeight="1">
      <c r="A19" s="150" t="n"/>
      <c r="B19" s="151" t="n"/>
      <c r="C19" s="152" t="n"/>
      <c r="D19" s="153" t="n"/>
      <c r="E19" s="153" t="n"/>
      <c r="F19" s="153" t="n"/>
      <c r="G19" s="154" t="n"/>
      <c r="H19" s="152" t="n"/>
      <c r="I19" s="153" t="n"/>
      <c r="J19" s="153" t="n"/>
      <c r="K19" s="154" t="n"/>
      <c r="L19" s="152" t="n"/>
      <c r="M19" s="153" t="n"/>
      <c r="N19" s="153" t="n"/>
      <c r="O19" s="154" t="n"/>
      <c r="P19" s="152" t="n"/>
      <c r="Q19" s="153" t="n"/>
      <c r="R19" s="153" t="n"/>
      <c r="S19" s="154" t="n"/>
      <c r="T19" s="152" t="n"/>
      <c r="U19" s="153" t="n"/>
      <c r="V19" s="153" t="n"/>
      <c r="W19" s="153" t="n"/>
      <c r="X19" s="154" t="n"/>
      <c r="Y19" s="152" t="n"/>
      <c r="Z19" s="153" t="n"/>
      <c r="AA19" s="153" t="n"/>
      <c r="AB19" s="154" t="n"/>
      <c r="AC19" s="152" t="n"/>
      <c r="AD19" s="153" t="n"/>
      <c r="AE19" s="153" t="n"/>
      <c r="AF19" s="154" t="n"/>
      <c r="AG19" s="152" t="n"/>
      <c r="AH19" s="153" t="n"/>
      <c r="AI19" s="153" t="n"/>
      <c r="AJ19" s="153" t="n"/>
      <c r="AK19" s="154" t="n"/>
      <c r="AL19" s="152" t="n"/>
      <c r="AM19" s="153" t="n"/>
      <c r="AN19" s="153" t="n"/>
      <c r="AO19" s="154" t="n"/>
      <c r="AP19" s="152" t="n"/>
      <c r="AQ19" s="153" t="n"/>
      <c r="AR19" s="153" t="n"/>
      <c r="AS19" s="153" t="n"/>
      <c r="AT19" s="154" t="n"/>
      <c r="AU19" s="152" t="n"/>
      <c r="AV19" s="153" t="n"/>
      <c r="AW19" s="153" t="n"/>
      <c r="AX19" s="151" t="n"/>
      <c r="AY19" s="152" t="n"/>
      <c r="AZ19" s="153" t="n"/>
      <c r="BA19" s="153" t="n"/>
      <c r="BB19" s="153" t="n"/>
      <c r="BC19" s="153" t="n"/>
      <c r="BD19" s="436">
        <f>SUM(C19:BC19)</f>
        <v/>
      </c>
    </row>
    <row r="20" ht="13.5" customHeight="1">
      <c r="A20" s="142" t="inlineStr">
        <is>
          <t>Выручка от реализации (к перечислению за товар), руб</t>
        </is>
      </c>
      <c r="B20" s="143" t="n"/>
      <c r="C20" s="144" t="n"/>
      <c r="D20" s="145" t="n"/>
      <c r="E20" s="145" t="n"/>
      <c r="F20" s="145" t="n"/>
      <c r="G20" s="146" t="n"/>
      <c r="H20" s="147" t="n"/>
      <c r="I20" s="148" t="n"/>
      <c r="J20" s="148" t="n"/>
      <c r="K20" s="149" t="n"/>
      <c r="L20" s="147" t="n"/>
      <c r="M20" s="148" t="n"/>
      <c r="N20" s="148" t="n"/>
      <c r="O20" s="149" t="n"/>
      <c r="P20" s="147" t="n"/>
      <c r="Q20" s="148" t="n"/>
      <c r="R20" s="148" t="n"/>
      <c r="S20" s="149" t="n"/>
      <c r="T20" s="147" t="n"/>
      <c r="U20" s="148" t="n"/>
      <c r="V20" s="148" t="n"/>
      <c r="W20" s="148" t="n"/>
      <c r="X20" s="149" t="n"/>
      <c r="Y20" s="147" t="n"/>
      <c r="Z20" s="148" t="n"/>
      <c r="AA20" s="148" t="n"/>
      <c r="AB20" s="149" t="n"/>
      <c r="AC20" s="147" t="n"/>
      <c r="AD20" s="148" t="n"/>
      <c r="AE20" s="148" t="n"/>
      <c r="AF20" s="149" t="n"/>
      <c r="AG20" s="147" t="n"/>
      <c r="AH20" s="148" t="n"/>
      <c r="AI20" s="148" t="n"/>
      <c r="AJ20" s="148" t="n"/>
      <c r="AK20" s="149" t="n"/>
      <c r="AL20" s="147" t="n"/>
      <c r="AM20" s="148" t="n"/>
      <c r="AN20" s="148" t="n"/>
      <c r="AO20" s="149" t="n"/>
      <c r="AP20" s="147" t="n"/>
      <c r="AQ20" s="148" t="n"/>
      <c r="AR20" s="148" t="n"/>
      <c r="AS20" s="148" t="n"/>
      <c r="AT20" s="149" t="n"/>
      <c r="AU20" s="147" t="n"/>
      <c r="AV20" s="148" t="n"/>
      <c r="AW20" s="148" t="n"/>
      <c r="AX20" s="327" t="n"/>
      <c r="AY20" s="147" t="n"/>
      <c r="AZ20" s="148" t="n"/>
      <c r="BA20" s="148" t="n"/>
      <c r="BB20" s="148" t="n"/>
      <c r="BC20" s="148" t="n"/>
      <c r="BD20" s="436">
        <f>SUM(C20:BC20)</f>
        <v/>
      </c>
    </row>
    <row r="21" ht="13.5" customHeight="1">
      <c r="A21" s="142" t="n"/>
      <c r="B21" s="151" t="n"/>
      <c r="C21" s="152" t="n"/>
      <c r="D21" s="153" t="n"/>
      <c r="E21" s="153" t="n"/>
      <c r="F21" s="153" t="n"/>
      <c r="G21" s="154" t="n"/>
      <c r="H21" s="152" t="n"/>
      <c r="I21" s="153" t="n"/>
      <c r="J21" s="153" t="n"/>
      <c r="K21" s="154" t="n"/>
      <c r="L21" s="152" t="n"/>
      <c r="M21" s="153" t="n"/>
      <c r="N21" s="153" t="n"/>
      <c r="O21" s="154" t="n"/>
      <c r="P21" s="152" t="n"/>
      <c r="Q21" s="153" t="n"/>
      <c r="R21" s="153" t="n"/>
      <c r="S21" s="154" t="n"/>
      <c r="T21" s="152" t="n"/>
      <c r="U21" s="153" t="n"/>
      <c r="V21" s="153" t="n"/>
      <c r="W21" s="153" t="n"/>
      <c r="X21" s="154" t="n"/>
      <c r="Y21" s="152" t="n"/>
      <c r="Z21" s="153" t="n"/>
      <c r="AA21" s="153" t="n"/>
      <c r="AB21" s="154" t="n"/>
      <c r="AC21" s="152" t="n"/>
      <c r="AD21" s="153" t="n"/>
      <c r="AE21" s="153" t="n"/>
      <c r="AF21" s="154" t="n"/>
      <c r="AG21" s="152" t="n"/>
      <c r="AH21" s="153" t="n"/>
      <c r="AI21" s="153" t="n"/>
      <c r="AJ21" s="153" t="n"/>
      <c r="AK21" s="154" t="n"/>
      <c r="AL21" s="152" t="n"/>
      <c r="AM21" s="153" t="n"/>
      <c r="AN21" s="153" t="n"/>
      <c r="AO21" s="154" t="n"/>
      <c r="AP21" s="152" t="n"/>
      <c r="AQ21" s="153" t="n"/>
      <c r="AR21" s="153" t="n"/>
      <c r="AS21" s="153" t="n"/>
      <c r="AT21" s="154" t="n"/>
      <c r="AU21" s="152" t="n"/>
      <c r="AV21" s="153" t="n"/>
      <c r="AW21" s="153" t="n"/>
      <c r="AX21" s="151" t="n"/>
      <c r="AY21" s="152" t="n"/>
      <c r="AZ21" s="153" t="n"/>
      <c r="BA21" s="153" t="n"/>
      <c r="BB21" s="153" t="n"/>
      <c r="BC21" s="153" t="n"/>
      <c r="BD21" s="436">
        <f>SUM(C21:BC21)</f>
        <v/>
      </c>
    </row>
    <row r="22" ht="13.5" customHeight="1">
      <c r="A22" s="150" t="inlineStr">
        <is>
          <t>Возвраты, руб</t>
        </is>
      </c>
      <c r="B22" s="151" t="n"/>
      <c r="C22" s="158" t="n"/>
      <c r="D22" s="159" t="n"/>
      <c r="E22" s="159" t="n"/>
      <c r="F22" s="159" t="n"/>
      <c r="G22" s="160" t="n"/>
      <c r="H22" s="161" t="n"/>
      <c r="I22" s="162" t="n"/>
      <c r="J22" s="162" t="n"/>
      <c r="K22" s="163" t="n"/>
      <c r="L22" s="161" t="n"/>
      <c r="M22" s="162" t="n"/>
      <c r="N22" s="162" t="n"/>
      <c r="O22" s="163" t="n"/>
      <c r="P22" s="161" t="n"/>
      <c r="Q22" s="162" t="n"/>
      <c r="R22" s="162" t="n"/>
      <c r="S22" s="163" t="n"/>
      <c r="T22" s="161" t="n"/>
      <c r="U22" s="162" t="n"/>
      <c r="V22" s="162" t="n"/>
      <c r="W22" s="162" t="n"/>
      <c r="X22" s="163" t="n"/>
      <c r="Y22" s="161" t="n"/>
      <c r="Z22" s="162" t="n"/>
      <c r="AA22" s="162" t="n"/>
      <c r="AB22" s="163" t="n"/>
      <c r="AC22" s="161" t="n"/>
      <c r="AD22" s="162" t="n"/>
      <c r="AE22" s="162" t="n"/>
      <c r="AF22" s="163" t="n"/>
      <c r="AG22" s="161" t="n"/>
      <c r="AH22" s="162" t="n"/>
      <c r="AI22" s="162" t="n"/>
      <c r="AJ22" s="162" t="n"/>
      <c r="AK22" s="163" t="n"/>
      <c r="AL22" s="161" t="n"/>
      <c r="AM22" s="162" t="n"/>
      <c r="AN22" s="162" t="n"/>
      <c r="AO22" s="163" t="n"/>
      <c r="AP22" s="161" t="n"/>
      <c r="AQ22" s="162" t="n"/>
      <c r="AR22" s="162" t="n"/>
      <c r="AS22" s="162" t="n"/>
      <c r="AT22" s="163" t="n"/>
      <c r="AU22" s="161" t="n"/>
      <c r="AV22" s="162" t="n"/>
      <c r="AW22" s="162" t="n"/>
      <c r="AX22" s="328" t="n"/>
      <c r="AY22" s="161" t="n"/>
      <c r="AZ22" s="162" t="n"/>
      <c r="BA22" s="162" t="n"/>
      <c r="BB22" s="162" t="n"/>
      <c r="BC22" s="162" t="n"/>
      <c r="BD22" s="436">
        <f>SUM(C22:BC22)</f>
        <v/>
      </c>
    </row>
    <row r="23" ht="13.5" customHeight="1">
      <c r="A23" s="150" t="inlineStr">
        <is>
          <t>Возвраты, шт</t>
        </is>
      </c>
      <c r="B23" s="151" t="n"/>
      <c r="C23" s="158" t="n"/>
      <c r="D23" s="159" t="n"/>
      <c r="E23" s="159" t="n"/>
      <c r="F23" s="159" t="n"/>
      <c r="G23" s="160" t="n"/>
      <c r="H23" s="161" t="n"/>
      <c r="I23" s="162" t="n"/>
      <c r="J23" s="162" t="n"/>
      <c r="K23" s="163" t="n"/>
      <c r="L23" s="161" t="n"/>
      <c r="M23" s="162" t="n"/>
      <c r="N23" s="162" t="n"/>
      <c r="O23" s="163" t="n"/>
      <c r="P23" s="161" t="n"/>
      <c r="Q23" s="162" t="n"/>
      <c r="R23" s="162" t="n"/>
      <c r="S23" s="163" t="n"/>
      <c r="T23" s="161" t="n"/>
      <c r="U23" s="162" t="n"/>
      <c r="V23" s="162" t="n"/>
      <c r="W23" s="162" t="n"/>
      <c r="X23" s="163" t="n"/>
      <c r="Y23" s="161" t="n"/>
      <c r="Z23" s="162" t="n"/>
      <c r="AA23" s="162" t="n"/>
      <c r="AB23" s="163" t="n"/>
      <c r="AC23" s="161" t="n"/>
      <c r="AD23" s="162" t="n"/>
      <c r="AE23" s="162" t="n"/>
      <c r="AF23" s="163" t="n"/>
      <c r="AG23" s="161" t="n"/>
      <c r="AH23" s="162" t="n"/>
      <c r="AI23" s="162" t="n"/>
      <c r="AJ23" s="162" t="n"/>
      <c r="AK23" s="163" t="n"/>
      <c r="AL23" s="161" t="n"/>
      <c r="AM23" s="162" t="n"/>
      <c r="AN23" s="162" t="n"/>
      <c r="AO23" s="163" t="n"/>
      <c r="AP23" s="161" t="n"/>
      <c r="AQ23" s="162" t="n"/>
      <c r="AR23" s="162" t="n"/>
      <c r="AS23" s="162" t="n"/>
      <c r="AT23" s="163" t="n"/>
      <c r="AU23" s="161" t="n"/>
      <c r="AV23" s="162" t="n"/>
      <c r="AW23" s="162" t="n"/>
      <c r="AX23" s="328" t="n"/>
      <c r="AY23" s="161" t="n"/>
      <c r="AZ23" s="162" t="n"/>
      <c r="BA23" s="162" t="n"/>
      <c r="BB23" s="162" t="n"/>
      <c r="BC23" s="162" t="n"/>
      <c r="BD23" s="436">
        <f>SUM(C23:BC23)</f>
        <v/>
      </c>
    </row>
    <row r="24" ht="13.5" customHeight="1">
      <c r="A24" s="150" t="inlineStr">
        <is>
          <t>% возвратов</t>
        </is>
      </c>
      <c r="B24" s="151" t="n"/>
      <c r="C24" s="155">
        <f>C22/(C14-C22)</f>
        <v/>
      </c>
      <c r="D24" s="155">
        <f>D22/(D14-D22)</f>
        <v/>
      </c>
      <c r="E24" s="155">
        <f>E22/(E14-E22)</f>
        <v/>
      </c>
      <c r="F24" s="155">
        <f>F22/(F14-F22)</f>
        <v/>
      </c>
      <c r="G24" s="155">
        <f>G22/(G14-G22)</f>
        <v/>
      </c>
      <c r="H24" s="155">
        <f>H22/(H14-H22)</f>
        <v/>
      </c>
      <c r="I24" s="155">
        <f>I22/(I14-I22)</f>
        <v/>
      </c>
      <c r="J24" s="155">
        <f>J22/(J14-J22)</f>
        <v/>
      </c>
      <c r="K24" s="155">
        <f>K22/(K14-K22)</f>
        <v/>
      </c>
      <c r="L24" s="155">
        <f>L22/(L14-L22)</f>
        <v/>
      </c>
      <c r="M24" s="155">
        <f>M22/(M14-M22)</f>
        <v/>
      </c>
      <c r="N24" s="155">
        <f>N22/(N14-N22)</f>
        <v/>
      </c>
      <c r="O24" s="155">
        <f>O22/(O14-O22)</f>
        <v/>
      </c>
      <c r="P24" s="155">
        <f>P22/(P14-P22)</f>
        <v/>
      </c>
      <c r="Q24" s="155">
        <f>Q22/(Q14-Q22)</f>
        <v/>
      </c>
      <c r="R24" s="155">
        <f>R22/(R14-R22)</f>
        <v/>
      </c>
      <c r="S24" s="155">
        <f>S22/(S14-S22)</f>
        <v/>
      </c>
      <c r="T24" s="155">
        <f>T22/(T14-T22)</f>
        <v/>
      </c>
      <c r="U24" s="155">
        <f>U22/(U14-U22)</f>
        <v/>
      </c>
      <c r="V24" s="155">
        <f>V22/(V14-V22)</f>
        <v/>
      </c>
      <c r="W24" s="155">
        <f>W22/(W14-W22)</f>
        <v/>
      </c>
      <c r="X24" s="155">
        <f>X22/(X14-X22)</f>
        <v/>
      </c>
      <c r="Y24" s="155">
        <f>Y22/(Y14-Y22)</f>
        <v/>
      </c>
      <c r="Z24" s="155">
        <f>Z22/(Z14-Z22)</f>
        <v/>
      </c>
      <c r="AA24" s="155">
        <f>AA22/(AA14-AA22)</f>
        <v/>
      </c>
      <c r="AB24" s="155">
        <f>AB22/(AB14-AB22)</f>
        <v/>
      </c>
      <c r="AC24" s="155">
        <f>AC22/(AC14-AC22)</f>
        <v/>
      </c>
      <c r="AD24" s="155">
        <f>AD22/(AD14-AD22)</f>
        <v/>
      </c>
      <c r="AE24" s="155">
        <f>AE22/(AE14-AE22)</f>
        <v/>
      </c>
      <c r="AF24" s="155">
        <f>AF22/(AF14-AF22)</f>
        <v/>
      </c>
      <c r="AG24" s="155">
        <f>AG22/(AG14-AG22)</f>
        <v/>
      </c>
      <c r="AH24" s="155">
        <f>AH22/(AH14-AH22)</f>
        <v/>
      </c>
      <c r="AI24" s="155">
        <f>AI22/(AI14-AI22)</f>
        <v/>
      </c>
      <c r="AJ24" s="155">
        <f>AJ22/(AJ14-AJ22)</f>
        <v/>
      </c>
      <c r="AK24" s="155">
        <f>AK22/(AK14-AK22)</f>
        <v/>
      </c>
      <c r="AL24" s="155">
        <f>AL22/(AL14-AL22)</f>
        <v/>
      </c>
      <c r="AM24" s="155">
        <f>AM22/(AM14-AM22)</f>
        <v/>
      </c>
      <c r="AN24" s="155">
        <f>AN22/(AN14-AN22)</f>
        <v/>
      </c>
      <c r="AO24" s="155">
        <f>AO22/(AO14-AO22)</f>
        <v/>
      </c>
      <c r="AP24" s="155">
        <f>AP22/(AP14-AP22)</f>
        <v/>
      </c>
      <c r="AQ24" s="155">
        <f>AQ22/(AQ14-AQ22)</f>
        <v/>
      </c>
      <c r="AR24" s="155">
        <f>AR22/(AR14-AR22)</f>
        <v/>
      </c>
      <c r="AS24" s="155">
        <f>AS22/(AS14-AS22)</f>
        <v/>
      </c>
      <c r="AT24" s="155">
        <f>AT22/(AT14-AT22)</f>
        <v/>
      </c>
      <c r="AU24" s="155">
        <f>AU22/(AU14-AU22)</f>
        <v/>
      </c>
      <c r="AV24" s="155">
        <f>AV22/(AV14-AV22)</f>
        <v/>
      </c>
      <c r="AW24" s="155">
        <f>AW22/(AW14-AW22)</f>
        <v/>
      </c>
      <c r="AX24" s="155">
        <f>AX22/(AX14-AX22)</f>
        <v/>
      </c>
      <c r="AY24" s="155">
        <f>AY22/(AY14-AY22)</f>
        <v/>
      </c>
      <c r="AZ24" s="155">
        <f>AZ22/(AZ14-AZ22)</f>
        <v/>
      </c>
      <c r="BA24" s="155">
        <f>BA22/(BA14-BA22)</f>
        <v/>
      </c>
      <c r="BB24" s="155">
        <f>BB22/(BB14-BB22)</f>
        <v/>
      </c>
      <c r="BC24" s="155">
        <f>BC22/(BC14-BC22)</f>
        <v/>
      </c>
      <c r="BD24" s="437">
        <f>BD22/(BD14-BD22)</f>
        <v/>
      </c>
    </row>
    <row r="25" ht="13.5" customHeight="1">
      <c r="A25" s="142" t="n"/>
      <c r="B25" s="143" t="n"/>
      <c r="C25" s="164" t="n"/>
      <c r="D25" s="165" t="n"/>
      <c r="E25" s="165" t="n"/>
      <c r="F25" s="165" t="n"/>
      <c r="G25" s="166" t="n"/>
      <c r="H25" s="164" t="n"/>
      <c r="I25" s="165" t="n"/>
      <c r="J25" s="165" t="n"/>
      <c r="K25" s="166" t="n"/>
      <c r="L25" s="164" t="n"/>
      <c r="M25" s="165" t="n"/>
      <c r="N25" s="165" t="n"/>
      <c r="O25" s="166" t="n"/>
      <c r="P25" s="164" t="n"/>
      <c r="Q25" s="165" t="n"/>
      <c r="R25" s="165" t="n"/>
      <c r="S25" s="166" t="n"/>
      <c r="T25" s="164" t="n"/>
      <c r="U25" s="165" t="n"/>
      <c r="V25" s="165" t="n"/>
      <c r="W25" s="165" t="n"/>
      <c r="X25" s="166" t="n"/>
      <c r="Y25" s="164" t="n"/>
      <c r="Z25" s="165" t="n"/>
      <c r="AA25" s="165" t="n"/>
      <c r="AB25" s="166" t="n"/>
      <c r="AC25" s="164" t="n"/>
      <c r="AD25" s="165" t="n"/>
      <c r="AE25" s="165" t="n"/>
      <c r="AF25" s="166" t="n"/>
      <c r="AG25" s="164" t="n"/>
      <c r="AH25" s="165" t="n"/>
      <c r="AI25" s="165" t="n"/>
      <c r="AJ25" s="165" t="n"/>
      <c r="AK25" s="166" t="n"/>
      <c r="AL25" s="164" t="n"/>
      <c r="AM25" s="165" t="n"/>
      <c r="AN25" s="165" t="n"/>
      <c r="AO25" s="166" t="n"/>
      <c r="AP25" s="164" t="n"/>
      <c r="AQ25" s="165" t="n"/>
      <c r="AR25" s="165" t="n"/>
      <c r="AS25" s="165" t="n"/>
      <c r="AT25" s="166" t="n"/>
      <c r="AU25" s="164" t="n"/>
      <c r="AV25" s="165" t="n"/>
      <c r="AW25" s="165" t="n"/>
      <c r="AX25" s="143" t="n"/>
      <c r="AY25" s="164" t="n"/>
      <c r="AZ25" s="165" t="n"/>
      <c r="BA25" s="165" t="n"/>
      <c r="BB25" s="165" t="n"/>
      <c r="BC25" s="165" t="n"/>
      <c r="BD25" s="436" t="n"/>
    </row>
    <row r="26" hidden="1" ht="13.5" customHeight="1">
      <c r="A26" s="167" t="inlineStr">
        <is>
          <t>Брак, руб</t>
        </is>
      </c>
      <c r="B26" s="151" t="n"/>
      <c r="C26" s="152" t="n"/>
      <c r="D26" s="153" t="n"/>
      <c r="E26" s="153" t="n"/>
      <c r="F26" s="153" t="n"/>
      <c r="G26" s="154" t="n"/>
      <c r="H26" s="152" t="n"/>
      <c r="I26" s="153" t="n"/>
      <c r="J26" s="153" t="n"/>
      <c r="K26" s="154" t="n"/>
      <c r="L26" s="152" t="n"/>
      <c r="M26" s="153" t="n"/>
      <c r="N26" s="153" t="n"/>
      <c r="O26" s="154" t="n"/>
      <c r="P26" s="152" t="n"/>
      <c r="Q26" s="153" t="n"/>
      <c r="R26" s="153" t="n"/>
      <c r="S26" s="154" t="n"/>
      <c r="T26" s="152" t="n"/>
      <c r="U26" s="153" t="n"/>
      <c r="V26" s="153" t="n"/>
      <c r="W26" s="153" t="n"/>
      <c r="X26" s="154" t="n"/>
      <c r="Y26" s="152" t="n"/>
      <c r="Z26" s="153" t="n"/>
      <c r="AA26" s="153" t="n"/>
      <c r="AB26" s="154" t="n"/>
      <c r="AC26" s="152" t="n"/>
      <c r="AD26" s="153" t="n"/>
      <c r="AE26" s="153" t="n"/>
      <c r="AF26" s="154" t="n"/>
      <c r="AG26" s="152" t="n"/>
      <c r="AH26" s="153" t="n"/>
      <c r="AI26" s="153" t="n"/>
      <c r="AJ26" s="153" t="n"/>
      <c r="AK26" s="154" t="n"/>
      <c r="AL26" s="152" t="n"/>
      <c r="AM26" s="153" t="n"/>
      <c r="AN26" s="153" t="n"/>
      <c r="AO26" s="154" t="n"/>
      <c r="AP26" s="152" t="n"/>
      <c r="AQ26" s="153" t="n"/>
      <c r="AR26" s="153" t="n"/>
      <c r="AS26" s="153" t="n"/>
      <c r="AT26" s="154" t="n"/>
      <c r="AU26" s="152" t="n"/>
      <c r="AV26" s="153" t="n"/>
      <c r="AW26" s="153" t="n"/>
      <c r="AX26" s="151" t="n"/>
      <c r="AY26" s="152" t="n"/>
      <c r="AZ26" s="153" t="n"/>
      <c r="BA26" s="153" t="n"/>
      <c r="BB26" s="153" t="n"/>
      <c r="BC26" s="153" t="n"/>
      <c r="BD26" s="436">
        <f>SUM(C26:BB26)</f>
        <v/>
      </c>
    </row>
    <row r="27" ht="13.5" customHeight="1">
      <c r="A27" s="167" t="inlineStr">
        <is>
          <t>Брак, шт</t>
        </is>
      </c>
      <c r="B27" s="151" t="n"/>
      <c r="C27" s="158" t="n"/>
      <c r="D27" s="159" t="n"/>
      <c r="E27" s="159" t="n"/>
      <c r="F27" s="159" t="n"/>
      <c r="G27" s="160" t="n"/>
      <c r="H27" s="161" t="n"/>
      <c r="I27" s="162" t="n"/>
      <c r="J27" s="162" t="n"/>
      <c r="K27" s="163" t="n"/>
      <c r="L27" s="161" t="n"/>
      <c r="M27" s="162" t="n"/>
      <c r="N27" s="162" t="n"/>
      <c r="O27" s="163" t="n"/>
      <c r="P27" s="161" t="n"/>
      <c r="Q27" s="162" t="n"/>
      <c r="R27" s="162" t="n"/>
      <c r="S27" s="163" t="n"/>
      <c r="T27" s="161" t="n"/>
      <c r="U27" s="162" t="n"/>
      <c r="V27" s="162" t="n"/>
      <c r="W27" s="162" t="n"/>
      <c r="X27" s="163" t="n"/>
      <c r="Y27" s="161" t="n"/>
      <c r="Z27" s="162" t="n"/>
      <c r="AA27" s="162" t="n"/>
      <c r="AB27" s="163" t="n"/>
      <c r="AC27" s="161" t="n"/>
      <c r="AD27" s="162" t="n"/>
      <c r="AE27" s="162" t="n"/>
      <c r="AF27" s="163" t="n"/>
      <c r="AG27" s="161" t="n"/>
      <c r="AH27" s="162" t="n"/>
      <c r="AI27" s="162" t="n"/>
      <c r="AJ27" s="162" t="n"/>
      <c r="AK27" s="163" t="n"/>
      <c r="AL27" s="161" t="n"/>
      <c r="AM27" s="162" t="n"/>
      <c r="AN27" s="162" t="n"/>
      <c r="AO27" s="163" t="n"/>
      <c r="AP27" s="161" t="n"/>
      <c r="AQ27" s="162" t="n"/>
      <c r="AR27" s="162" t="n"/>
      <c r="AS27" s="162" t="n"/>
      <c r="AT27" s="163" t="n"/>
      <c r="AU27" s="161" t="n"/>
      <c r="AV27" s="162" t="n"/>
      <c r="AW27" s="162" t="n"/>
      <c r="AX27" s="328" t="n"/>
      <c r="AY27" s="161" t="n"/>
      <c r="AZ27" s="162" t="n"/>
      <c r="BA27" s="162" t="n"/>
      <c r="BB27" s="162" t="n"/>
      <c r="BC27" s="162" t="n"/>
      <c r="BD27" s="436">
        <f>SUM(C27:BC27)</f>
        <v/>
      </c>
    </row>
    <row r="28" ht="13.5" customHeight="1">
      <c r="A28" s="168" t="inlineStr">
        <is>
          <t>% брака</t>
        </is>
      </c>
      <c r="B28" s="169" t="n"/>
      <c r="C28" s="155">
        <f>C27/C7</f>
        <v/>
      </c>
      <c r="D28" s="156">
        <f>D27/D7</f>
        <v/>
      </c>
      <c r="E28" s="156">
        <f>E27/E7</f>
        <v/>
      </c>
      <c r="F28" s="156">
        <f>F27/F7</f>
        <v/>
      </c>
      <c r="G28" s="157">
        <f>G27/G7</f>
        <v/>
      </c>
      <c r="H28" s="155">
        <f>H27/H7</f>
        <v/>
      </c>
      <c r="I28" s="156">
        <f>I27/I7</f>
        <v/>
      </c>
      <c r="J28" s="156">
        <f>J27/J7</f>
        <v/>
      </c>
      <c r="K28" s="157">
        <f>K27/K7</f>
        <v/>
      </c>
      <c r="L28" s="155">
        <f>L27/L7</f>
        <v/>
      </c>
      <c r="M28" s="156">
        <f>M27/M7</f>
        <v/>
      </c>
      <c r="N28" s="156">
        <f>N27/N7</f>
        <v/>
      </c>
      <c r="O28" s="157">
        <f>O27/O7</f>
        <v/>
      </c>
      <c r="P28" s="155">
        <f>P27/P7</f>
        <v/>
      </c>
      <c r="Q28" s="156">
        <f>Q27/Q7</f>
        <v/>
      </c>
      <c r="R28" s="156">
        <f>R27/R7</f>
        <v/>
      </c>
      <c r="S28" s="157">
        <f>S27/S7</f>
        <v/>
      </c>
      <c r="T28" s="155">
        <f>T27/T7</f>
        <v/>
      </c>
      <c r="U28" s="156">
        <f>U27/U7</f>
        <v/>
      </c>
      <c r="V28" s="156">
        <f>V27/V7</f>
        <v/>
      </c>
      <c r="W28" s="156">
        <f>W27/W7</f>
        <v/>
      </c>
      <c r="X28" s="157">
        <f>X27/X7</f>
        <v/>
      </c>
      <c r="Y28" s="155">
        <f>Y27/Y7</f>
        <v/>
      </c>
      <c r="Z28" s="156">
        <f>Z27/Z7</f>
        <v/>
      </c>
      <c r="AA28" s="156">
        <f>AA27/AA7</f>
        <v/>
      </c>
      <c r="AB28" s="157">
        <f>AB27/AB7</f>
        <v/>
      </c>
      <c r="AC28" s="155">
        <f>AC27/AC7</f>
        <v/>
      </c>
      <c r="AD28" s="156">
        <f>AD27/AD7</f>
        <v/>
      </c>
      <c r="AE28" s="156">
        <f>AE27/AE7</f>
        <v/>
      </c>
      <c r="AF28" s="157">
        <f>AF27/AF7</f>
        <v/>
      </c>
      <c r="AG28" s="155">
        <f>AG27/AG7</f>
        <v/>
      </c>
      <c r="AH28" s="156">
        <f>AH27/AH7</f>
        <v/>
      </c>
      <c r="AI28" s="156">
        <f>AI27/AI7</f>
        <v/>
      </c>
      <c r="AJ28" s="156">
        <f>AJ27/AJ7</f>
        <v/>
      </c>
      <c r="AK28" s="157">
        <f>AK27/AK7</f>
        <v/>
      </c>
      <c r="AL28" s="155">
        <f>AL27/AL7</f>
        <v/>
      </c>
      <c r="AM28" s="156">
        <f>AM27/AM7</f>
        <v/>
      </c>
      <c r="AN28" s="156">
        <f>AN27/AN7</f>
        <v/>
      </c>
      <c r="AO28" s="157">
        <f>AO27/AO7</f>
        <v/>
      </c>
      <c r="AP28" s="155">
        <f>AP27/AP7</f>
        <v/>
      </c>
      <c r="AQ28" s="156">
        <f>AQ27/AQ7</f>
        <v/>
      </c>
      <c r="AR28" s="156">
        <f>AR27/AR7</f>
        <v/>
      </c>
      <c r="AS28" s="156">
        <f>AS27/AS7</f>
        <v/>
      </c>
      <c r="AT28" s="157">
        <f>AT27/AT7</f>
        <v/>
      </c>
      <c r="AU28" s="155">
        <f>AU27/AU7</f>
        <v/>
      </c>
      <c r="AV28" s="156">
        <f>AV27/AV7</f>
        <v/>
      </c>
      <c r="AW28" s="156">
        <f>AW27/AW7</f>
        <v/>
      </c>
      <c r="AX28" s="169">
        <f>AX27/AX7</f>
        <v/>
      </c>
      <c r="AY28" s="155">
        <f>AY27/AY7</f>
        <v/>
      </c>
      <c r="AZ28" s="156">
        <f>AZ27/AZ7</f>
        <v/>
      </c>
      <c r="BA28" s="156">
        <f>BA27/BA7</f>
        <v/>
      </c>
      <c r="BB28" s="156">
        <f>BB27/BB7</f>
        <v/>
      </c>
      <c r="BC28" s="156">
        <f>BC27/BC7</f>
        <v/>
      </c>
      <c r="BD28" s="436" t="n"/>
    </row>
    <row r="29" ht="13.5" customHeight="1">
      <c r="A29" s="142" t="n"/>
      <c r="B29" s="143" t="n"/>
      <c r="C29" s="164" t="n"/>
      <c r="D29" s="165" t="n"/>
      <c r="E29" s="165" t="n"/>
      <c r="F29" s="165" t="n"/>
      <c r="G29" s="166" t="n"/>
      <c r="H29" s="164" t="n"/>
      <c r="I29" s="165" t="n"/>
      <c r="J29" s="165" t="n"/>
      <c r="K29" s="166" t="n"/>
      <c r="L29" s="164" t="n"/>
      <c r="M29" s="165" t="n"/>
      <c r="N29" s="165" t="n"/>
      <c r="O29" s="166" t="n"/>
      <c r="P29" s="164" t="n"/>
      <c r="Q29" s="165" t="n"/>
      <c r="R29" s="165" t="n"/>
      <c r="S29" s="166" t="n"/>
      <c r="T29" s="164" t="n"/>
      <c r="U29" s="165" t="n"/>
      <c r="V29" s="165" t="n"/>
      <c r="W29" s="165" t="n"/>
      <c r="X29" s="166" t="n"/>
      <c r="Y29" s="164" t="n"/>
      <c r="Z29" s="165" t="n"/>
      <c r="AA29" s="165" t="n"/>
      <c r="AB29" s="166" t="n"/>
      <c r="AC29" s="164" t="n"/>
      <c r="AD29" s="165" t="n"/>
      <c r="AE29" s="165" t="n"/>
      <c r="AF29" s="166" t="n"/>
      <c r="AG29" s="164" t="n"/>
      <c r="AH29" s="165" t="n"/>
      <c r="AI29" s="165" t="n"/>
      <c r="AJ29" s="165" t="n"/>
      <c r="AK29" s="166" t="n"/>
      <c r="AL29" s="164" t="n"/>
      <c r="AM29" s="165" t="n"/>
      <c r="AN29" s="165" t="n"/>
      <c r="AO29" s="166" t="n"/>
      <c r="AP29" s="164" t="n"/>
      <c r="AQ29" s="165" t="n"/>
      <c r="AR29" s="165" t="n"/>
      <c r="AS29" s="165" t="n"/>
      <c r="AT29" s="166" t="n"/>
      <c r="AU29" s="164" t="n"/>
      <c r="AV29" s="165" t="n"/>
      <c r="AW29" s="165" t="n"/>
      <c r="AX29" s="143" t="n"/>
      <c r="AY29" s="164" t="n"/>
      <c r="AZ29" s="165" t="n"/>
      <c r="BA29" s="165" t="n"/>
      <c r="BB29" s="165" t="n"/>
      <c r="BC29" s="165" t="n"/>
      <c r="BD29" s="436">
        <f>SUM(C29:BC29)</f>
        <v/>
      </c>
    </row>
    <row r="30" ht="13.5" customHeight="1">
      <c r="A30" s="170" t="inlineStr">
        <is>
          <t xml:space="preserve">Поступление на счет от ВБ </t>
        </is>
      </c>
      <c r="B30" s="171" t="n"/>
      <c r="C30" s="172">
        <f>C20+C31-SUM(C40:C45)-C42</f>
        <v/>
      </c>
      <c r="D30" s="173">
        <f>D20+D31-SUM(D40:D45)-D42</f>
        <v/>
      </c>
      <c r="E30" s="173">
        <f>E20+E31-SUM(E40:E45)-E42</f>
        <v/>
      </c>
      <c r="F30" s="173">
        <f>F20+F31-SUM(F40:F45)-F41</f>
        <v/>
      </c>
      <c r="G30" s="174">
        <f>G20+G31-SUM(G40:G45)-G41</f>
        <v/>
      </c>
      <c r="H30" s="172">
        <f>H20+H31-SUM(H40:H45)-H41</f>
        <v/>
      </c>
      <c r="I30" s="173">
        <f>I20+I31-SUM(I40:I45)-I41</f>
        <v/>
      </c>
      <c r="J30" s="173">
        <f>J20+J31-SUM(J40:J45)-J41</f>
        <v/>
      </c>
      <c r="K30" s="174">
        <f>K20+K31-SUM(K40:K45)-K42</f>
        <v/>
      </c>
      <c r="L30" s="172">
        <f>L20+L31-SUM(L40:L45)-L42</f>
        <v/>
      </c>
      <c r="M30" s="173">
        <f>M20+M31-SUM(M40:M45)-M42</f>
        <v/>
      </c>
      <c r="N30" s="173">
        <f>N20+N31-SUM(N40:N45)-N42</f>
        <v/>
      </c>
      <c r="O30" s="174">
        <f>O20+O31-SUM(O40:O45)-O42</f>
        <v/>
      </c>
      <c r="P30" s="172">
        <f>P20+P31-SUM(P40:P45)-P42</f>
        <v/>
      </c>
      <c r="Q30" s="173">
        <f>Q20+Q31-SUM(Q40:Q45)-Q42</f>
        <v/>
      </c>
      <c r="R30" s="173">
        <f>R20+R31-SUM(R40:R45)-R42</f>
        <v/>
      </c>
      <c r="S30" s="174">
        <f>S20+S31-SUM(S40:S45)-S42</f>
        <v/>
      </c>
      <c r="T30" s="172">
        <f>T20+T31-SUM(T40:T45)-T42</f>
        <v/>
      </c>
      <c r="U30" s="173">
        <f>U20+U31-SUM(U40:U45)-U42</f>
        <v/>
      </c>
      <c r="V30" s="173">
        <f>V20+V31-SUM(V40:V45)-V42</f>
        <v/>
      </c>
      <c r="W30" s="173">
        <f>W20+W31-SUM(W40:W45)-W42</f>
        <v/>
      </c>
      <c r="X30" s="174">
        <f>X20+X31-SUM(X40:X45)-X42</f>
        <v/>
      </c>
      <c r="Y30" s="172">
        <f>Y20+Y31-SUM(Y40:Y45)-Y42</f>
        <v/>
      </c>
      <c r="Z30" s="173">
        <f>Z20+Z31-SUM(Z40:Z45)-Z42</f>
        <v/>
      </c>
      <c r="AA30" s="173">
        <f>AA20+AA31-SUM(AA40:AA45)-AA42</f>
        <v/>
      </c>
      <c r="AB30" s="174">
        <f>AB20+AB31-SUM(AB40:AB45)-AB42</f>
        <v/>
      </c>
      <c r="AC30" s="172">
        <f>AC20+AC31-SUM(AC40:AC45)-AC42</f>
        <v/>
      </c>
      <c r="AD30" s="173">
        <f>AD20+AD31-SUM(AD40:AD45)-AD42</f>
        <v/>
      </c>
      <c r="AE30" s="173">
        <f>AE20+AE31-SUM(AE40:AE45)-AE42</f>
        <v/>
      </c>
      <c r="AF30" s="174">
        <f>AF20+AF31-SUM(AF40:AF45)-AF42</f>
        <v/>
      </c>
      <c r="AG30" s="172">
        <f>AG20+AG31-SUM(AG40:AG45)-AG42</f>
        <v/>
      </c>
      <c r="AH30" s="173">
        <f>AH20+AH31-SUM(AH40:AH45)-AH42</f>
        <v/>
      </c>
      <c r="AI30" s="173">
        <f>AI20+AI31-SUM(AI40:AI45)-AI42</f>
        <v/>
      </c>
      <c r="AJ30" s="173">
        <f>AJ20+AJ31-SUM(AJ40:AJ45)-AJ42</f>
        <v/>
      </c>
      <c r="AK30" s="174">
        <f>AK20+AK31-SUM(AK40:AK45)-AK42</f>
        <v/>
      </c>
      <c r="AL30" s="172">
        <f>AL20+AL31-SUM(AL40:AL45)-AL42</f>
        <v/>
      </c>
      <c r="AM30" s="173">
        <f>AM20+AM31-SUM(AM40:AM45)-AM42</f>
        <v/>
      </c>
      <c r="AN30" s="173">
        <f>AN20+AN31-SUM(AN40:AN45)-AN42</f>
        <v/>
      </c>
      <c r="AO30" s="174">
        <f>AO20+AO31-SUM(AO40:AO45)-AO42</f>
        <v/>
      </c>
      <c r="AP30" s="172">
        <f>AP20+AP31-SUM(AP40:AP45)-AP42</f>
        <v/>
      </c>
      <c r="AQ30" s="173">
        <f>AQ20+AQ31-SUM(AQ40:AQ45)-AQ42</f>
        <v/>
      </c>
      <c r="AR30" s="173">
        <f>AR20+AR31-SUM(AR40:AR45)-AR42</f>
        <v/>
      </c>
      <c r="AS30" s="173">
        <f>AS20+AS31-SUM(AS40:AS45)-AS42</f>
        <v/>
      </c>
      <c r="AT30" s="174">
        <f>AT20+AT31-SUM(AT40:AT45)-AT42</f>
        <v/>
      </c>
      <c r="AU30" s="172">
        <f>AU20+AU31-SUM(AU40:AU45)-AU42</f>
        <v/>
      </c>
      <c r="AV30" s="173">
        <f>AV20+AV31-SUM(AV40:AV45)-AV42</f>
        <v/>
      </c>
      <c r="AW30" s="173">
        <f>AW20+AW31-SUM(AW40:AW45)-AW42</f>
        <v/>
      </c>
      <c r="AX30" s="171">
        <f>AX20+AX31-SUM(AX40:AX45)-AX42</f>
        <v/>
      </c>
      <c r="AY30" s="172">
        <f>AY20+AY31-SUM(AY40:AY45)-AY42</f>
        <v/>
      </c>
      <c r="AZ30" s="173">
        <f>AZ20+AZ31-SUM(AZ40:AZ45)-AZ42</f>
        <v/>
      </c>
      <c r="BA30" s="173">
        <f>BA20+BA31-SUM(BA40:BA45)-BA42</f>
        <v/>
      </c>
      <c r="BB30" s="173">
        <f>BB20+BB31-SUM(BB40:BB45)-BB42</f>
        <v/>
      </c>
      <c r="BC30" s="173">
        <f>BC20+BC31-SUM(BC40:BC45)-BC42</f>
        <v/>
      </c>
      <c r="BD30" s="436">
        <f>SUM(C30:BC30)</f>
        <v/>
      </c>
    </row>
    <row r="31" ht="13.5" customHeight="1">
      <c r="A31" s="105" t="inlineStr">
        <is>
          <t xml:space="preserve">   в т.ч. Прочие доходы</t>
        </is>
      </c>
      <c r="B31" s="138" t="n"/>
      <c r="C31" s="116" t="n"/>
      <c r="D31" s="122" t="n"/>
      <c r="E31" s="122" t="n"/>
      <c r="F31" s="122" t="n"/>
      <c r="G31" s="123" t="n"/>
      <c r="H31" s="129" t="n"/>
      <c r="I31" s="130" t="n"/>
      <c r="J31" s="130" t="n"/>
      <c r="K31" s="131" t="n"/>
      <c r="L31" s="129" t="n"/>
      <c r="M31" s="130" t="n"/>
      <c r="N31" s="130" t="n"/>
      <c r="O31" s="131" t="n"/>
      <c r="P31" s="129" t="n"/>
      <c r="Q31" s="130" t="n"/>
      <c r="R31" s="130" t="n"/>
      <c r="S31" s="131" t="n"/>
      <c r="T31" s="129" t="n"/>
      <c r="U31" s="130" t="n"/>
      <c r="V31" s="130" t="n"/>
      <c r="W31" s="130" t="n"/>
      <c r="X31" s="131" t="n"/>
      <c r="Y31" s="129" t="n"/>
      <c r="Z31" s="130" t="n"/>
      <c r="AA31" s="130" t="n"/>
      <c r="AB31" s="131" t="n"/>
      <c r="AC31" s="129" t="n"/>
      <c r="AD31" s="130" t="n"/>
      <c r="AE31" s="130" t="n"/>
      <c r="AF31" s="131" t="n"/>
      <c r="AG31" s="129" t="n"/>
      <c r="AH31" s="130" t="n"/>
      <c r="AI31" s="130" t="n"/>
      <c r="AJ31" s="130" t="n"/>
      <c r="AK31" s="131" t="n"/>
      <c r="AL31" s="129" t="n"/>
      <c r="AM31" s="130" t="n"/>
      <c r="AN31" s="130" t="n"/>
      <c r="AO31" s="131" t="n"/>
      <c r="AP31" s="129" t="n"/>
      <c r="AQ31" s="130" t="n"/>
      <c r="AR31" s="130" t="n"/>
      <c r="AS31" s="130" t="n"/>
      <c r="AT31" s="131" t="n"/>
      <c r="AU31" s="129" t="n"/>
      <c r="AV31" s="130" t="n"/>
      <c r="AW31" s="130" t="n"/>
      <c r="AX31" s="325" t="n"/>
      <c r="AY31" s="129" t="n"/>
      <c r="AZ31" s="130" t="n"/>
      <c r="BA31" s="130" t="n"/>
      <c r="BB31" s="130" t="n"/>
      <c r="BC31" s="130" t="n"/>
      <c r="BD31" s="436">
        <f>SUM(C31:BC31)</f>
        <v/>
      </c>
    </row>
    <row r="32" ht="13.5" customHeight="1">
      <c r="A32" s="175" t="n"/>
      <c r="B32" s="138" t="n"/>
      <c r="C32" s="139" t="n"/>
      <c r="D32" s="140" t="n"/>
      <c r="E32" s="140" t="n"/>
      <c r="F32" s="140" t="n"/>
      <c r="G32" s="141" t="n"/>
      <c r="H32" s="139" t="n"/>
      <c r="I32" s="140" t="n"/>
      <c r="J32" s="140" t="n"/>
      <c r="K32" s="141" t="n"/>
      <c r="L32" s="139" t="n"/>
      <c r="M32" s="140" t="n"/>
      <c r="N32" s="140" t="n"/>
      <c r="O32" s="141" t="n"/>
      <c r="P32" s="139" t="n"/>
      <c r="Q32" s="140" t="n"/>
      <c r="R32" s="140" t="n"/>
      <c r="S32" s="141" t="n"/>
      <c r="T32" s="139" t="n"/>
      <c r="U32" s="140" t="n"/>
      <c r="V32" s="140" t="n"/>
      <c r="W32" s="140" t="n"/>
      <c r="X32" s="141" t="n"/>
      <c r="Y32" s="139" t="n"/>
      <c r="Z32" s="140" t="n"/>
      <c r="AA32" s="140" t="n"/>
      <c r="AB32" s="141" t="n"/>
      <c r="AC32" s="139" t="n"/>
      <c r="AD32" s="140" t="n"/>
      <c r="AE32" s="140" t="n"/>
      <c r="AF32" s="141" t="n"/>
      <c r="AG32" s="139" t="n"/>
      <c r="AH32" s="140" t="n"/>
      <c r="AI32" s="140" t="n"/>
      <c r="AJ32" s="140" t="n"/>
      <c r="AK32" s="141" t="n"/>
      <c r="AL32" s="139" t="n"/>
      <c r="AM32" s="140" t="n"/>
      <c r="AN32" s="140" t="n"/>
      <c r="AO32" s="141" t="n"/>
      <c r="AP32" s="139" t="n"/>
      <c r="AQ32" s="140" t="n"/>
      <c r="AR32" s="140" t="n"/>
      <c r="AS32" s="140" t="n"/>
      <c r="AT32" s="141" t="n"/>
      <c r="AU32" s="139" t="n"/>
      <c r="AV32" s="140" t="n"/>
      <c r="AW32" s="140" t="n"/>
      <c r="AX32" s="128" t="n"/>
      <c r="AY32" s="139" t="n"/>
      <c r="AZ32" s="140" t="n"/>
      <c r="BA32" s="140" t="n"/>
      <c r="BB32" s="140" t="n"/>
      <c r="BC32" s="140" t="n"/>
      <c r="BD32" s="436">
        <f>SUM(C32:BC32)</f>
        <v/>
      </c>
    </row>
    <row r="33" ht="13.5" customFormat="1" customHeight="1" s="106">
      <c r="A33" s="142" t="inlineStr">
        <is>
          <t>Себестоимость</t>
        </is>
      </c>
      <c r="B33" s="143" t="n"/>
      <c r="C33" s="144" t="n"/>
      <c r="D33" s="145" t="n"/>
      <c r="E33" s="145" t="n"/>
      <c r="F33" s="145" t="n"/>
      <c r="G33" s="146" t="n"/>
      <c r="H33" s="147" t="n"/>
      <c r="I33" s="148" t="n"/>
      <c r="J33" s="148" t="n"/>
      <c r="K33" s="149" t="n"/>
      <c r="L33" s="147" t="n"/>
      <c r="M33" s="148" t="n"/>
      <c r="N33" s="148" t="n"/>
      <c r="O33" s="149" t="n"/>
      <c r="P33" s="147" t="n"/>
      <c r="Q33" s="148" t="n"/>
      <c r="R33" s="148" t="n"/>
      <c r="S33" s="149" t="n"/>
      <c r="T33" s="147" t="n"/>
      <c r="U33" s="148" t="n"/>
      <c r="V33" s="148" t="n"/>
      <c r="W33" s="148" t="n"/>
      <c r="X33" s="149" t="n"/>
      <c r="Y33" s="147" t="n"/>
      <c r="Z33" s="148" t="n"/>
      <c r="AA33" s="148" t="n"/>
      <c r="AB33" s="149" t="n"/>
      <c r="AC33" s="147" t="n"/>
      <c r="AD33" s="148" t="n"/>
      <c r="AE33" s="148" t="n"/>
      <c r="AF33" s="149" t="n"/>
      <c r="AG33" s="147" t="n"/>
      <c r="AH33" s="148" t="n"/>
      <c r="AI33" s="148" t="n"/>
      <c r="AJ33" s="148" t="n"/>
      <c r="AK33" s="149" t="n"/>
      <c r="AL33" s="147" t="n"/>
      <c r="AM33" s="148" t="n"/>
      <c r="AN33" s="148" t="n"/>
      <c r="AO33" s="149" t="n"/>
      <c r="AP33" s="147" t="n"/>
      <c r="AQ33" s="148" t="n"/>
      <c r="AR33" s="148" t="n"/>
      <c r="AS33" s="148" t="n"/>
      <c r="AT33" s="149" t="n"/>
      <c r="AU33" s="147" t="n"/>
      <c r="AV33" s="148" t="n"/>
      <c r="AW33" s="148" t="n"/>
      <c r="AX33" s="327" t="n"/>
      <c r="AY33" s="147" t="n"/>
      <c r="AZ33" s="148" t="n"/>
      <c r="BA33" s="148" t="n"/>
      <c r="BB33" s="148" t="n"/>
      <c r="BC33" s="148" t="n"/>
      <c r="BD33" s="436">
        <f>SUM(C33:BC33)</f>
        <v/>
      </c>
    </row>
    <row r="34" ht="13.5" customHeight="1">
      <c r="A34" s="168" t="inlineStr">
        <is>
          <t>% себестоимости в цене</t>
        </is>
      </c>
      <c r="B34" s="169" t="n"/>
      <c r="C34" s="155">
        <f>C33/C14</f>
        <v/>
      </c>
      <c r="D34" s="155">
        <f>D33/D14</f>
        <v/>
      </c>
      <c r="E34" s="155">
        <f>E33/E14</f>
        <v/>
      </c>
      <c r="F34" s="155">
        <f>F33/F14</f>
        <v/>
      </c>
      <c r="G34" s="155">
        <f>G33/G14</f>
        <v/>
      </c>
      <c r="H34" s="155">
        <f>H33/H14</f>
        <v/>
      </c>
      <c r="I34" s="155">
        <f>I33/I14</f>
        <v/>
      </c>
      <c r="J34" s="155">
        <f>J33/J14</f>
        <v/>
      </c>
      <c r="K34" s="155">
        <f>K33/K14</f>
        <v/>
      </c>
      <c r="L34" s="155">
        <f>L33/L14</f>
        <v/>
      </c>
      <c r="M34" s="155">
        <f>M33/M14</f>
        <v/>
      </c>
      <c r="N34" s="155">
        <f>N33/N14</f>
        <v/>
      </c>
      <c r="O34" s="155">
        <f>O33/O14</f>
        <v/>
      </c>
      <c r="P34" s="155">
        <f>P33/P14</f>
        <v/>
      </c>
      <c r="Q34" s="155">
        <f>Q33/Q14</f>
        <v/>
      </c>
      <c r="R34" s="155">
        <f>R33/R14</f>
        <v/>
      </c>
      <c r="S34" s="155">
        <f>S33/S14</f>
        <v/>
      </c>
      <c r="T34" s="155">
        <f>T33/T14</f>
        <v/>
      </c>
      <c r="U34" s="155">
        <f>U33/U14</f>
        <v/>
      </c>
      <c r="V34" s="155">
        <f>V33/V14</f>
        <v/>
      </c>
      <c r="W34" s="155">
        <f>W33/W14</f>
        <v/>
      </c>
      <c r="X34" s="155">
        <f>X33/X14</f>
        <v/>
      </c>
      <c r="Y34" s="155">
        <f>Y33/Y14</f>
        <v/>
      </c>
      <c r="Z34" s="155">
        <f>Z33/Z14</f>
        <v/>
      </c>
      <c r="AA34" s="155">
        <f>AA33/AA14</f>
        <v/>
      </c>
      <c r="AB34" s="155">
        <f>AB33/AB14</f>
        <v/>
      </c>
      <c r="AC34" s="155">
        <f>AC33/AC14</f>
        <v/>
      </c>
      <c r="AD34" s="155">
        <f>AD33/AD14</f>
        <v/>
      </c>
      <c r="AE34" s="155">
        <f>AE33/AE14</f>
        <v/>
      </c>
      <c r="AF34" s="155">
        <f>AF33/AF14</f>
        <v/>
      </c>
      <c r="AG34" s="155">
        <f>AG33/AG14</f>
        <v/>
      </c>
      <c r="AH34" s="155">
        <f>AH33/AH14</f>
        <v/>
      </c>
      <c r="AI34" s="155">
        <f>AI33/AI14</f>
        <v/>
      </c>
      <c r="AJ34" s="155">
        <f>AJ33/AJ14</f>
        <v/>
      </c>
      <c r="AK34" s="155">
        <f>AK33/AK14</f>
        <v/>
      </c>
      <c r="AL34" s="155">
        <f>AL33/AL14</f>
        <v/>
      </c>
      <c r="AM34" s="155">
        <f>AM33/AM14</f>
        <v/>
      </c>
      <c r="AN34" s="155">
        <f>AN33/AN14</f>
        <v/>
      </c>
      <c r="AO34" s="155">
        <f>AO33/AO14</f>
        <v/>
      </c>
      <c r="AP34" s="155">
        <f>AP33/AP14</f>
        <v/>
      </c>
      <c r="AQ34" s="155">
        <f>AQ33/AQ14</f>
        <v/>
      </c>
      <c r="AR34" s="155">
        <f>AR33/AR14</f>
        <v/>
      </c>
      <c r="AS34" s="155">
        <f>AS33/AS14</f>
        <v/>
      </c>
      <c r="AT34" s="155">
        <f>AT33/AT14</f>
        <v/>
      </c>
      <c r="AU34" s="155">
        <f>AU33/AU14</f>
        <v/>
      </c>
      <c r="AV34" s="155">
        <f>AV33/AV14</f>
        <v/>
      </c>
      <c r="AW34" s="155">
        <f>AW33/AW14</f>
        <v/>
      </c>
      <c r="AX34" s="155">
        <f>AX33/AX14</f>
        <v/>
      </c>
      <c r="AY34" s="155">
        <f>AY33/AY14</f>
        <v/>
      </c>
      <c r="AZ34" s="155">
        <f>AZ33/AZ14</f>
        <v/>
      </c>
      <c r="BA34" s="155">
        <f>BA33/BA14</f>
        <v/>
      </c>
      <c r="BB34" s="155">
        <f>BB33/BB14</f>
        <v/>
      </c>
      <c r="BC34" s="155">
        <f>BC33/BC14</f>
        <v/>
      </c>
      <c r="BD34" s="155">
        <f>BD33/BD14</f>
        <v/>
      </c>
    </row>
    <row r="35" ht="13.5" customHeight="1">
      <c r="A35" s="175" t="n"/>
      <c r="B35" s="176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  <c r="AS35" s="139" t="n"/>
      <c r="AT35" s="139" t="n"/>
      <c r="AU35" s="139" t="n"/>
      <c r="AV35" s="139" t="n"/>
      <c r="AW35" s="139" t="n"/>
      <c r="AX35" s="139" t="n"/>
      <c r="AY35" s="139" t="n"/>
      <c r="AZ35" s="139" t="n"/>
      <c r="BA35" s="139" t="n"/>
      <c r="BB35" s="139" t="n"/>
      <c r="BC35" s="139" t="n"/>
      <c r="BD35" s="436">
        <f>SUM(C35:BC35)</f>
        <v/>
      </c>
    </row>
    <row r="36" ht="13.5" customHeight="1">
      <c r="A36" s="142" t="inlineStr">
        <is>
          <t>Валовая прибыль</t>
        </is>
      </c>
      <c r="B36" s="143" t="n"/>
      <c r="C36" s="164">
        <f>C20-C33</f>
        <v/>
      </c>
      <c r="D36" s="164">
        <f>D20-D33</f>
        <v/>
      </c>
      <c r="E36" s="164">
        <f>E20-E33</f>
        <v/>
      </c>
      <c r="F36" s="164">
        <f>F20-F33</f>
        <v/>
      </c>
      <c r="G36" s="164">
        <f>G20-G33</f>
        <v/>
      </c>
      <c r="H36" s="164">
        <f>H20-H33</f>
        <v/>
      </c>
      <c r="I36" s="164">
        <f>I20-I33</f>
        <v/>
      </c>
      <c r="J36" s="164">
        <f>J20-J33</f>
        <v/>
      </c>
      <c r="K36" s="164">
        <f>K20-K33</f>
        <v/>
      </c>
      <c r="L36" s="164">
        <f>L20-L33</f>
        <v/>
      </c>
      <c r="M36" s="164">
        <f>M20-M33</f>
        <v/>
      </c>
      <c r="N36" s="164">
        <f>N20-N33</f>
        <v/>
      </c>
      <c r="O36" s="164">
        <f>O20-O33</f>
        <v/>
      </c>
      <c r="P36" s="164">
        <f>P20-P33</f>
        <v/>
      </c>
      <c r="Q36" s="164">
        <f>Q20-Q33</f>
        <v/>
      </c>
      <c r="R36" s="164">
        <f>R20-R33</f>
        <v/>
      </c>
      <c r="S36" s="164">
        <f>S20-S33</f>
        <v/>
      </c>
      <c r="T36" s="164">
        <f>T20-T33</f>
        <v/>
      </c>
      <c r="U36" s="164">
        <f>U20-U33</f>
        <v/>
      </c>
      <c r="V36" s="164">
        <f>V20-V33</f>
        <v/>
      </c>
      <c r="W36" s="164">
        <f>W20-W33</f>
        <v/>
      </c>
      <c r="X36" s="164">
        <f>X20-X33</f>
        <v/>
      </c>
      <c r="Y36" s="164">
        <f>Y20-Y33</f>
        <v/>
      </c>
      <c r="Z36" s="164">
        <f>Z20-Z33</f>
        <v/>
      </c>
      <c r="AA36" s="164">
        <f>AA20-AA33</f>
        <v/>
      </c>
      <c r="AB36" s="164">
        <f>AB20-AB33</f>
        <v/>
      </c>
      <c r="AC36" s="164">
        <f>AC20-AC33</f>
        <v/>
      </c>
      <c r="AD36" s="164">
        <f>AD20-AD33</f>
        <v/>
      </c>
      <c r="AE36" s="164">
        <f>AE20-AE33</f>
        <v/>
      </c>
      <c r="AF36" s="164">
        <f>AF20-AF33</f>
        <v/>
      </c>
      <c r="AG36" s="164">
        <f>AG20-AG33</f>
        <v/>
      </c>
      <c r="AH36" s="164">
        <f>AH20-AH33</f>
        <v/>
      </c>
      <c r="AI36" s="164">
        <f>AI20-AI33</f>
        <v/>
      </c>
      <c r="AJ36" s="164">
        <f>AJ20-AJ33</f>
        <v/>
      </c>
      <c r="AK36" s="164">
        <f>AK20-AK33</f>
        <v/>
      </c>
      <c r="AL36" s="164">
        <f>AL20-AL33</f>
        <v/>
      </c>
      <c r="AM36" s="164">
        <f>AM20-AM33</f>
        <v/>
      </c>
      <c r="AN36" s="164">
        <f>AN20-AN33</f>
        <v/>
      </c>
      <c r="AO36" s="164">
        <f>AO20-AO33</f>
        <v/>
      </c>
      <c r="AP36" s="164">
        <f>AP20-AP33</f>
        <v/>
      </c>
      <c r="AQ36" s="164">
        <f>AQ20-AQ33</f>
        <v/>
      </c>
      <c r="AR36" s="164">
        <f>AR20-AR33</f>
        <v/>
      </c>
      <c r="AS36" s="164">
        <f>AS20-AS33</f>
        <v/>
      </c>
      <c r="AT36" s="164">
        <f>AT20-AT33</f>
        <v/>
      </c>
      <c r="AU36" s="164">
        <f>AU20-AU33</f>
        <v/>
      </c>
      <c r="AV36" s="164">
        <f>AV20-AV33</f>
        <v/>
      </c>
      <c r="AW36" s="164">
        <f>AW20-AW33</f>
        <v/>
      </c>
      <c r="AX36" s="164">
        <f>AX20-AX33</f>
        <v/>
      </c>
      <c r="AY36" s="164">
        <f>AY20-AY33</f>
        <v/>
      </c>
      <c r="AZ36" s="164">
        <f>AZ20-AZ33</f>
        <v/>
      </c>
      <c r="BA36" s="164">
        <f>BA20-BA33</f>
        <v/>
      </c>
      <c r="BB36" s="164">
        <f>BB20-BB33</f>
        <v/>
      </c>
      <c r="BC36" s="164">
        <f>BC20-BC33</f>
        <v/>
      </c>
      <c r="BD36" s="436">
        <f>SUM(C36:BC36)</f>
        <v/>
      </c>
    </row>
    <row r="37" ht="13.5" customHeight="1">
      <c r="A37" s="142" t="n"/>
      <c r="B37" s="143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64" t="n"/>
      <c r="M37" s="164" t="n"/>
      <c r="N37" s="164" t="n"/>
      <c r="O37" s="164" t="n"/>
      <c r="P37" s="164" t="n"/>
      <c r="Q37" s="164" t="n"/>
      <c r="R37" s="164" t="n"/>
      <c r="S37" s="164" t="n"/>
      <c r="T37" s="164" t="n"/>
      <c r="U37" s="164" t="n"/>
      <c r="V37" s="164" t="n"/>
      <c r="W37" s="164" t="n"/>
      <c r="X37" s="164" t="n"/>
      <c r="Y37" s="164" t="n"/>
      <c r="Z37" s="164" t="n"/>
      <c r="AA37" s="164" t="n"/>
      <c r="AB37" s="164" t="n"/>
      <c r="AC37" s="164" t="n"/>
      <c r="AD37" s="164" t="n"/>
      <c r="AE37" s="164" t="n"/>
      <c r="AF37" s="164" t="n"/>
      <c r="AG37" s="164" t="n"/>
      <c r="AH37" s="164" t="n"/>
      <c r="AI37" s="164" t="n"/>
      <c r="AJ37" s="164" t="n"/>
      <c r="AK37" s="164" t="n"/>
      <c r="AL37" s="164" t="n"/>
      <c r="AM37" s="164" t="n"/>
      <c r="AN37" s="164" t="n"/>
      <c r="AO37" s="164" t="n"/>
      <c r="AP37" s="164" t="n"/>
      <c r="AQ37" s="164" t="n"/>
      <c r="AR37" s="164" t="n"/>
      <c r="AS37" s="164" t="n"/>
      <c r="AT37" s="164" t="n"/>
      <c r="AU37" s="164" t="n"/>
      <c r="AV37" s="164" t="n"/>
      <c r="AW37" s="164" t="n"/>
      <c r="AX37" s="164" t="n"/>
      <c r="AY37" s="164" t="n"/>
      <c r="AZ37" s="164" t="n"/>
      <c r="BA37" s="164" t="n"/>
      <c r="BB37" s="164" t="n"/>
      <c r="BC37" s="164" t="n"/>
      <c r="BD37" s="436">
        <f>SUM(C37:BC37)</f>
        <v/>
      </c>
    </row>
    <row r="38" ht="13.5" customHeight="1">
      <c r="A38" s="142" t="inlineStr">
        <is>
          <t>Расходы</t>
        </is>
      </c>
      <c r="B38" s="143" t="n"/>
      <c r="C38" s="164">
        <f>SUM(C40:C51)</f>
        <v/>
      </c>
      <c r="D38" s="164">
        <f>SUM(D40:D51)</f>
        <v/>
      </c>
      <c r="E38" s="164">
        <f>SUM(E40:E51)</f>
        <v/>
      </c>
      <c r="F38" s="164">
        <f>SUM(F40:F51)</f>
        <v/>
      </c>
      <c r="G38" s="164">
        <f>SUM(G40:G51)</f>
        <v/>
      </c>
      <c r="H38" s="164">
        <f>SUM(H40:H51)</f>
        <v/>
      </c>
      <c r="I38" s="164">
        <f>SUM(I40:I51)</f>
        <v/>
      </c>
      <c r="J38" s="164">
        <f>SUM(J40:J51)</f>
        <v/>
      </c>
      <c r="K38" s="164">
        <f>SUM(K40:K51)</f>
        <v/>
      </c>
      <c r="L38" s="164">
        <f>SUM(L40:L51)</f>
        <v/>
      </c>
      <c r="M38" s="164">
        <f>SUM(M40:M51)</f>
        <v/>
      </c>
      <c r="N38" s="164">
        <f>SUM(N40:N51)</f>
        <v/>
      </c>
      <c r="O38" s="164">
        <f>SUM(O40:O51)</f>
        <v/>
      </c>
      <c r="P38" s="164">
        <f>SUM(P40:P51)</f>
        <v/>
      </c>
      <c r="Q38" s="164">
        <f>SUM(Q40:Q51)</f>
        <v/>
      </c>
      <c r="R38" s="164">
        <f>SUM(R40:R51)</f>
        <v/>
      </c>
      <c r="S38" s="164">
        <f>SUM(S40:S51)</f>
        <v/>
      </c>
      <c r="T38" s="164">
        <f>SUM(T40:T51)</f>
        <v/>
      </c>
      <c r="U38" s="164">
        <f>SUM(U40:U51)</f>
        <v/>
      </c>
      <c r="V38" s="164">
        <f>SUM(V40:V51)</f>
        <v/>
      </c>
      <c r="W38" s="164">
        <f>SUM(W40:W51)</f>
        <v/>
      </c>
      <c r="X38" s="164">
        <f>SUM(X40:X51)</f>
        <v/>
      </c>
      <c r="Y38" s="164">
        <f>SUM(Y40:Y51)</f>
        <v/>
      </c>
      <c r="Z38" s="164">
        <f>SUM(Z40:Z51)</f>
        <v/>
      </c>
      <c r="AA38" s="164">
        <f>SUM(AA40:AA51)</f>
        <v/>
      </c>
      <c r="AB38" s="164">
        <f>SUM(AB40:AB51)</f>
        <v/>
      </c>
      <c r="AC38" s="164">
        <f>SUM(AC40:AC51)</f>
        <v/>
      </c>
      <c r="AD38" s="164">
        <f>SUM(AD40:AD51)</f>
        <v/>
      </c>
      <c r="AE38" s="164">
        <f>SUM(AE40:AE51)</f>
        <v/>
      </c>
      <c r="AF38" s="164">
        <f>SUM(AF40:AF51)</f>
        <v/>
      </c>
      <c r="AG38" s="164">
        <f>SUM(AG40:AG51)</f>
        <v/>
      </c>
      <c r="AH38" s="164">
        <f>SUM(AH40:AH51)</f>
        <v/>
      </c>
      <c r="AI38" s="164">
        <f>SUM(AI40:AI51)</f>
        <v/>
      </c>
      <c r="AJ38" s="164">
        <f>SUM(AJ40:AJ51)</f>
        <v/>
      </c>
      <c r="AK38" s="164">
        <f>SUM(AK40:AK51)</f>
        <v/>
      </c>
      <c r="AL38" s="164">
        <f>SUM(AL40:AL51)</f>
        <v/>
      </c>
      <c r="AM38" s="164">
        <f>SUM(AM40:AM51)</f>
        <v/>
      </c>
      <c r="AN38" s="164">
        <f>SUM(AN40:AN51)</f>
        <v/>
      </c>
      <c r="AO38" s="164">
        <f>SUM(AO40:AO51)</f>
        <v/>
      </c>
      <c r="AP38" s="164">
        <f>SUM(AP40:AP51)</f>
        <v/>
      </c>
      <c r="AQ38" s="164">
        <f>SUM(AQ40:AQ51)</f>
        <v/>
      </c>
      <c r="AR38" s="164">
        <f>SUM(AR40:AR51)</f>
        <v/>
      </c>
      <c r="AS38" s="164">
        <f>SUM(AS40:AS51)</f>
        <v/>
      </c>
      <c r="AT38" s="164">
        <f>SUM(AT40:AT51)</f>
        <v/>
      </c>
      <c r="AU38" s="164">
        <f>SUM(AU40:AU51)</f>
        <v/>
      </c>
      <c r="AV38" s="164">
        <f>SUM(AV40:AV51)</f>
        <v/>
      </c>
      <c r="AW38" s="164">
        <f>SUM(AW40:AW51)</f>
        <v/>
      </c>
      <c r="AX38" s="164">
        <f>SUM(AX40:AX51)</f>
        <v/>
      </c>
      <c r="AY38" s="164">
        <f>SUM(AY40:AY51)</f>
        <v/>
      </c>
      <c r="AZ38" s="164">
        <f>SUM(AZ40:AZ51)</f>
        <v/>
      </c>
      <c r="BA38" s="164">
        <f>SUM(BA40:BA51)</f>
        <v/>
      </c>
      <c r="BB38" s="164">
        <f>SUM(BB40:BB51)</f>
        <v/>
      </c>
      <c r="BC38" s="164">
        <f>SUM(BC40:BC51)</f>
        <v/>
      </c>
      <c r="BD38" s="436">
        <f>SUM(C38:BC38)</f>
        <v/>
      </c>
    </row>
    <row r="39" ht="13.5" customHeight="1">
      <c r="A39" s="168" t="inlineStr">
        <is>
          <t>% расходы</t>
        </is>
      </c>
      <c r="B39" s="169" t="n"/>
      <c r="C39" s="155">
        <f>C38/C14</f>
        <v/>
      </c>
      <c r="D39" s="155">
        <f>D38/D14</f>
        <v/>
      </c>
      <c r="E39" s="155">
        <f>E38/E14</f>
        <v/>
      </c>
      <c r="F39" s="155">
        <f>F38/F14</f>
        <v/>
      </c>
      <c r="G39" s="155">
        <f>G38/G14</f>
        <v/>
      </c>
      <c r="H39" s="155">
        <f>H38/H14</f>
        <v/>
      </c>
      <c r="I39" s="155">
        <f>I38/I14</f>
        <v/>
      </c>
      <c r="J39" s="155">
        <f>J38/J14</f>
        <v/>
      </c>
      <c r="K39" s="155">
        <f>K38/K14</f>
        <v/>
      </c>
      <c r="L39" s="155">
        <f>L38/L14</f>
        <v/>
      </c>
      <c r="M39" s="155">
        <f>M38/M14</f>
        <v/>
      </c>
      <c r="N39" s="155">
        <f>N38/N14</f>
        <v/>
      </c>
      <c r="O39" s="155">
        <f>O38/O14</f>
        <v/>
      </c>
      <c r="P39" s="155">
        <f>P38/P14</f>
        <v/>
      </c>
      <c r="Q39" s="155">
        <f>Q38/Q14</f>
        <v/>
      </c>
      <c r="R39" s="155">
        <f>R38/R14</f>
        <v/>
      </c>
      <c r="S39" s="155">
        <f>S38/S14</f>
        <v/>
      </c>
      <c r="T39" s="155">
        <f>T38/T14</f>
        <v/>
      </c>
      <c r="U39" s="155">
        <f>U38/U14</f>
        <v/>
      </c>
      <c r="V39" s="155">
        <f>V38/V14</f>
        <v/>
      </c>
      <c r="W39" s="155">
        <f>W38/W14</f>
        <v/>
      </c>
      <c r="X39" s="155">
        <f>X38/X14</f>
        <v/>
      </c>
      <c r="Y39" s="155">
        <f>Y38/Y14</f>
        <v/>
      </c>
      <c r="Z39" s="155">
        <f>Z38/Z14</f>
        <v/>
      </c>
      <c r="AA39" s="155">
        <f>AA38/AA14</f>
        <v/>
      </c>
      <c r="AB39" s="155">
        <f>AB38/AB14</f>
        <v/>
      </c>
      <c r="AC39" s="155">
        <f>AC38/AC14</f>
        <v/>
      </c>
      <c r="AD39" s="155">
        <f>AD38/AD14</f>
        <v/>
      </c>
      <c r="AE39" s="155">
        <f>AE38/AE14</f>
        <v/>
      </c>
      <c r="AF39" s="155">
        <f>AF38/AF14</f>
        <v/>
      </c>
      <c r="AG39" s="155">
        <f>AG38/AG14</f>
        <v/>
      </c>
      <c r="AH39" s="155">
        <f>AH38/AH14</f>
        <v/>
      </c>
      <c r="AI39" s="155">
        <f>AI38/AI14</f>
        <v/>
      </c>
      <c r="AJ39" s="155">
        <f>AJ38/AJ14</f>
        <v/>
      </c>
      <c r="AK39" s="155">
        <f>AK38/AK14</f>
        <v/>
      </c>
      <c r="AL39" s="155">
        <f>AL38/AL14</f>
        <v/>
      </c>
      <c r="AM39" s="155">
        <f>AM38/AM14</f>
        <v/>
      </c>
      <c r="AN39" s="155">
        <f>AN38/AN14</f>
        <v/>
      </c>
      <c r="AO39" s="155">
        <f>AO38/AO14</f>
        <v/>
      </c>
      <c r="AP39" s="155">
        <f>AP38/AP14</f>
        <v/>
      </c>
      <c r="AQ39" s="155">
        <f>AQ38/AQ14</f>
        <v/>
      </c>
      <c r="AR39" s="155">
        <f>AR38/AR14</f>
        <v/>
      </c>
      <c r="AS39" s="155">
        <f>AS38/AS14</f>
        <v/>
      </c>
      <c r="AT39" s="155">
        <f>AT38/AT14</f>
        <v/>
      </c>
      <c r="AU39" s="155">
        <f>AU38/AU14</f>
        <v/>
      </c>
      <c r="AV39" s="155">
        <f>AV38/AV14</f>
        <v/>
      </c>
      <c r="AW39" s="155">
        <f>AW38/AW14</f>
        <v/>
      </c>
      <c r="AX39" s="155">
        <f>AX38/AX14</f>
        <v/>
      </c>
      <c r="AY39" s="155">
        <f>AY38/AY14</f>
        <v/>
      </c>
      <c r="AZ39" s="155">
        <f>AZ38/AZ14</f>
        <v/>
      </c>
      <c r="BA39" s="155">
        <f>BA38/BA14</f>
        <v/>
      </c>
      <c r="BB39" s="155">
        <f>BB38/BB14</f>
        <v/>
      </c>
      <c r="BC39" s="155">
        <f>BC38/BC14</f>
        <v/>
      </c>
      <c r="BD39" s="436" t="n"/>
    </row>
    <row r="40" ht="13.5" customHeight="1">
      <c r="A40" s="177" t="inlineStr">
        <is>
          <t>Логистика ВБ</t>
        </is>
      </c>
      <c r="B40" s="178" t="n"/>
      <c r="C40" s="158" t="n"/>
      <c r="D40" s="159" t="n"/>
      <c r="E40" s="159" t="n"/>
      <c r="F40" s="159" t="n"/>
      <c r="G40" s="160" t="n"/>
      <c r="H40" s="179" t="n"/>
      <c r="I40" s="180" t="n"/>
      <c r="J40" s="180" t="n"/>
      <c r="K40" s="181" t="n"/>
      <c r="L40" s="179" t="n"/>
      <c r="M40" s="180" t="n"/>
      <c r="N40" s="180" t="n"/>
      <c r="O40" s="181" t="n"/>
      <c r="P40" s="179" t="n"/>
      <c r="Q40" s="180" t="n"/>
      <c r="R40" s="180" t="n"/>
      <c r="S40" s="181" t="n"/>
      <c r="T40" s="179" t="n"/>
      <c r="U40" s="180" t="n"/>
      <c r="V40" s="180" t="n"/>
      <c r="W40" s="180" t="n"/>
      <c r="X40" s="181" t="n"/>
      <c r="Y40" s="179" t="n"/>
      <c r="Z40" s="180" t="n"/>
      <c r="AA40" s="180" t="n"/>
      <c r="AB40" s="181" t="n"/>
      <c r="AC40" s="179" t="n"/>
      <c r="AD40" s="180" t="n"/>
      <c r="AE40" s="180" t="n"/>
      <c r="AF40" s="181" t="n"/>
      <c r="AG40" s="179" t="n"/>
      <c r="AH40" s="180" t="n"/>
      <c r="AI40" s="180" t="n"/>
      <c r="AJ40" s="180" t="n"/>
      <c r="AK40" s="181" t="n"/>
      <c r="AL40" s="179" t="n"/>
      <c r="AM40" s="180" t="n"/>
      <c r="AN40" s="180" t="n"/>
      <c r="AO40" s="181" t="n"/>
      <c r="AP40" s="179" t="n"/>
      <c r="AQ40" s="180" t="n"/>
      <c r="AR40" s="180" t="n"/>
      <c r="AS40" s="180" t="n"/>
      <c r="AT40" s="181" t="n"/>
      <c r="AU40" s="179" t="n"/>
      <c r="AV40" s="180" t="n"/>
      <c r="AW40" s="180" t="n"/>
      <c r="AX40" s="329" t="n"/>
      <c r="AY40" s="179" t="n"/>
      <c r="AZ40" s="180" t="n"/>
      <c r="BA40" s="180" t="n"/>
      <c r="BB40" s="180" t="n"/>
      <c r="BC40" s="180" t="n"/>
      <c r="BD40" s="436">
        <f>SUM(C40:BC40)</f>
        <v/>
      </c>
    </row>
    <row r="41" ht="12.75" customHeight="1">
      <c r="A41" s="401" t="inlineStr">
        <is>
          <t>Продвижение ВБ (взаимозачет)</t>
        </is>
      </c>
      <c r="B41" s="178" t="n"/>
      <c r="C41" s="158" t="n"/>
      <c r="D41" s="159" t="n"/>
      <c r="E41" s="159" t="n"/>
      <c r="F41" s="159" t="n"/>
      <c r="G41" s="160" t="n"/>
      <c r="H41" s="179" t="n"/>
      <c r="I41" s="180" t="n"/>
      <c r="J41" s="180" t="n"/>
      <c r="K41" s="181" t="n"/>
      <c r="L41" s="179" t="n"/>
      <c r="M41" s="180" t="n"/>
      <c r="N41" s="180" t="n"/>
      <c r="O41" s="181" t="n"/>
      <c r="P41" s="179" t="n"/>
      <c r="Q41" s="180" t="n"/>
      <c r="R41" s="180" t="n"/>
      <c r="S41" s="181" t="n"/>
      <c r="T41" s="179" t="n"/>
      <c r="U41" s="180" t="n"/>
      <c r="V41" s="180" t="n"/>
      <c r="W41" s="180" t="n"/>
      <c r="X41" s="181" t="n"/>
      <c r="Y41" s="179" t="n"/>
      <c r="Z41" s="180" t="n"/>
      <c r="AA41" s="180" t="n"/>
      <c r="AB41" s="181" t="n"/>
      <c r="AC41" s="179" t="n"/>
      <c r="AD41" s="180" t="n"/>
      <c r="AE41" s="180" t="n"/>
      <c r="AF41" s="181" t="n"/>
      <c r="AG41" s="179" t="n"/>
      <c r="AH41" s="180" t="n"/>
      <c r="AI41" s="180" t="n"/>
      <c r="AJ41" s="180" t="n"/>
      <c r="AK41" s="181" t="n"/>
      <c r="AL41" s="179" t="n"/>
      <c r="AM41" s="180" t="n"/>
      <c r="AN41" s="180" t="n"/>
      <c r="AO41" s="181" t="n"/>
      <c r="AP41" s="179" t="n"/>
      <c r="AQ41" s="180" t="n"/>
      <c r="AR41" s="180" t="n"/>
      <c r="AS41" s="180" t="n"/>
      <c r="AT41" s="181" t="n"/>
      <c r="AU41" s="179" t="n"/>
      <c r="AV41" s="180" t="n"/>
      <c r="AW41" s="180" t="n"/>
      <c r="AX41" s="329" t="n"/>
      <c r="AY41" s="179" t="n"/>
      <c r="AZ41" s="180" t="n"/>
      <c r="BA41" s="180" t="n"/>
      <c r="BB41" s="180" t="n"/>
      <c r="BC41" s="180" t="n"/>
      <c r="BD41" s="436">
        <f>SUM(C41:BC41)</f>
        <v/>
      </c>
    </row>
    <row r="42" ht="13.5" customHeight="1">
      <c r="A42" s="401" t="inlineStr">
        <is>
          <t>Эквайринг ВБ</t>
        </is>
      </c>
      <c r="B42" s="178" t="n"/>
      <c r="C42" s="158" t="n"/>
      <c r="D42" s="159" t="n"/>
      <c r="E42" s="159" t="n"/>
      <c r="F42" s="402" t="n"/>
      <c r="G42" s="402" t="n"/>
      <c r="H42" s="403" t="n"/>
      <c r="I42" s="402" t="n"/>
      <c r="J42" s="402" t="n"/>
      <c r="K42" s="181" t="n"/>
      <c r="L42" s="179" t="n"/>
      <c r="M42" s="180" t="n"/>
      <c r="N42" s="180" t="n"/>
      <c r="O42" s="181" t="n"/>
      <c r="P42" s="179" t="n"/>
      <c r="Q42" s="180" t="n"/>
      <c r="R42" s="180" t="n"/>
      <c r="S42" s="181" t="n"/>
      <c r="T42" s="179" t="n"/>
      <c r="U42" s="180" t="n"/>
      <c r="V42" s="180" t="n"/>
      <c r="W42" s="180" t="n"/>
      <c r="X42" s="181" t="n"/>
      <c r="Y42" s="179" t="n"/>
      <c r="Z42" s="180" t="n"/>
      <c r="AA42" s="180" t="n"/>
      <c r="AB42" s="181" t="n"/>
      <c r="AC42" s="179" t="n"/>
      <c r="AD42" s="180" t="n"/>
      <c r="AE42" s="180" t="n"/>
      <c r="AF42" s="181" t="n"/>
      <c r="AG42" s="179" t="n"/>
      <c r="AH42" s="180" t="n"/>
      <c r="AI42" s="180" t="n"/>
      <c r="AJ42" s="180" t="n"/>
      <c r="AK42" s="181" t="n"/>
      <c r="AL42" s="179" t="n"/>
      <c r="AM42" s="180" t="n"/>
      <c r="AN42" s="180" t="n"/>
      <c r="AO42" s="181" t="n"/>
      <c r="AP42" s="179" t="n"/>
      <c r="AQ42" s="180" t="n"/>
      <c r="AR42" s="180" t="n"/>
      <c r="AS42" s="180" t="n"/>
      <c r="AT42" s="181" t="n"/>
      <c r="AU42" s="179" t="n"/>
      <c r="AV42" s="180" t="n"/>
      <c r="AW42" s="180" t="n"/>
      <c r="AX42" s="329" t="n"/>
      <c r="AY42" s="179" t="n"/>
      <c r="AZ42" s="180" t="n"/>
      <c r="BA42" s="180" t="n"/>
      <c r="BB42" s="180" t="n"/>
      <c r="BC42" s="180" t="n"/>
      <c r="BD42" s="436">
        <f>SUM(C42:BC42)</f>
        <v/>
      </c>
    </row>
    <row r="43" ht="13.5" customHeight="1">
      <c r="A43" s="177" t="inlineStr">
        <is>
          <t>Хранение ВБ</t>
        </is>
      </c>
      <c r="B43" s="178" t="n"/>
      <c r="C43" s="158" t="n"/>
      <c r="D43" s="159" t="n"/>
      <c r="E43" s="159" t="n"/>
      <c r="F43" s="159" t="n"/>
      <c r="G43" s="160" t="n"/>
      <c r="H43" s="179" t="n"/>
      <c r="I43" s="180" t="n"/>
      <c r="J43" s="180" t="n"/>
      <c r="K43" s="181" t="n"/>
      <c r="L43" s="179" t="n"/>
      <c r="M43" s="180" t="n"/>
      <c r="N43" s="180" t="n"/>
      <c r="O43" s="181" t="n"/>
      <c r="P43" s="179" t="n"/>
      <c r="Q43" s="180" t="n"/>
      <c r="R43" s="180" t="n"/>
      <c r="S43" s="181" t="n"/>
      <c r="T43" s="179" t="n"/>
      <c r="U43" s="180" t="n"/>
      <c r="V43" s="180" t="n"/>
      <c r="W43" s="180" t="n"/>
      <c r="X43" s="181" t="n"/>
      <c r="Y43" s="179" t="n"/>
      <c r="Z43" s="180" t="n"/>
      <c r="AA43" s="180" t="n"/>
      <c r="AB43" s="181" t="n"/>
      <c r="AC43" s="179" t="n"/>
      <c r="AD43" s="180" t="n"/>
      <c r="AE43" s="180" t="n"/>
      <c r="AF43" s="181" t="n"/>
      <c r="AG43" s="179" t="n"/>
      <c r="AH43" s="180" t="n"/>
      <c r="AI43" s="180" t="n"/>
      <c r="AJ43" s="180" t="n"/>
      <c r="AK43" s="181" t="n"/>
      <c r="AL43" s="179" t="n"/>
      <c r="AM43" s="180" t="n"/>
      <c r="AN43" s="180" t="n"/>
      <c r="AO43" s="181" t="n"/>
      <c r="AP43" s="179" t="n"/>
      <c r="AQ43" s="180" t="n"/>
      <c r="AR43" s="180" t="n"/>
      <c r="AS43" s="180" t="n"/>
      <c r="AT43" s="181" t="n"/>
      <c r="AU43" s="179" t="n"/>
      <c r="AV43" s="180" t="n"/>
      <c r="AW43" s="180" t="n"/>
      <c r="AX43" s="329" t="n"/>
      <c r="AY43" s="179" t="n"/>
      <c r="AZ43" s="180" t="n"/>
      <c r="BA43" s="180" t="n"/>
      <c r="BB43" s="180" t="n"/>
      <c r="BC43" s="180" t="n"/>
      <c r="BD43" s="436">
        <f>SUM(C43:BC43)</f>
        <v/>
      </c>
    </row>
    <row r="44" ht="13.5" customHeight="1">
      <c r="A44" s="177" t="inlineStr">
        <is>
          <t>Штрафы ВБ</t>
        </is>
      </c>
      <c r="B44" s="178" t="n"/>
      <c r="C44" s="158" t="n"/>
      <c r="D44" s="159" t="n"/>
      <c r="E44" s="159" t="n"/>
      <c r="F44" s="159" t="n"/>
      <c r="G44" s="160" t="n"/>
      <c r="H44" s="179" t="n"/>
      <c r="I44" s="180" t="n"/>
      <c r="J44" s="180" t="n"/>
      <c r="K44" s="181" t="n"/>
      <c r="L44" s="179" t="n"/>
      <c r="M44" s="180" t="n"/>
      <c r="N44" s="180" t="n"/>
      <c r="O44" s="181" t="n"/>
      <c r="P44" s="179" t="n"/>
      <c r="Q44" s="180" t="n"/>
      <c r="R44" s="180" t="n"/>
      <c r="S44" s="181" t="n"/>
      <c r="T44" s="179" t="n"/>
      <c r="U44" s="180" t="n"/>
      <c r="V44" s="180" t="n"/>
      <c r="W44" s="180" t="n"/>
      <c r="X44" s="181" t="n"/>
      <c r="Y44" s="179" t="n"/>
      <c r="Z44" s="180" t="n"/>
      <c r="AA44" s="180" t="n"/>
      <c r="AB44" s="181" t="n"/>
      <c r="AC44" s="179" t="n"/>
      <c r="AD44" s="180" t="n"/>
      <c r="AE44" s="180" t="n"/>
      <c r="AF44" s="181" t="n"/>
      <c r="AG44" s="179" t="n"/>
      <c r="AH44" s="180" t="n"/>
      <c r="AI44" s="180" t="n"/>
      <c r="AJ44" s="180" t="n"/>
      <c r="AK44" s="181" t="n"/>
      <c r="AL44" s="179" t="n"/>
      <c r="AM44" s="180" t="n"/>
      <c r="AN44" s="180" t="n"/>
      <c r="AO44" s="181" t="n"/>
      <c r="AP44" s="179" t="n"/>
      <c r="AQ44" s="180" t="n"/>
      <c r="AR44" s="180" t="n"/>
      <c r="AS44" s="180" t="n"/>
      <c r="AT44" s="181" t="n"/>
      <c r="AU44" s="179" t="n"/>
      <c r="AV44" s="180" t="n"/>
      <c r="AW44" s="180" t="n"/>
      <c r="AX44" s="329" t="n"/>
      <c r="AY44" s="179" t="n"/>
      <c r="AZ44" s="180" t="n"/>
      <c r="BA44" s="180" t="n"/>
      <c r="BB44" s="180" t="n"/>
      <c r="BC44" s="180" t="n"/>
      <c r="BD44" s="436">
        <f>SUM(C44:BC44)</f>
        <v/>
      </c>
    </row>
    <row r="45" ht="13.5" customHeight="1">
      <c r="A45" s="177" t="inlineStr">
        <is>
          <t>Платная приемка ВБ</t>
        </is>
      </c>
      <c r="B45" s="178" t="n"/>
      <c r="C45" s="158" t="n"/>
      <c r="D45" s="159" t="n"/>
      <c r="E45" s="159" t="n"/>
      <c r="F45" s="159" t="n"/>
      <c r="G45" s="160" t="n"/>
      <c r="H45" s="179" t="n"/>
      <c r="I45" s="180" t="n"/>
      <c r="J45" s="180" t="n"/>
      <c r="K45" s="181" t="n"/>
      <c r="L45" s="179" t="n"/>
      <c r="M45" s="180" t="n"/>
      <c r="N45" s="180" t="n"/>
      <c r="O45" s="181" t="n"/>
      <c r="P45" s="179" t="n"/>
      <c r="Q45" s="180" t="n"/>
      <c r="R45" s="180" t="n"/>
      <c r="S45" s="181" t="n"/>
      <c r="T45" s="179" t="n"/>
      <c r="U45" s="180" t="n"/>
      <c r="V45" s="180" t="n"/>
      <c r="W45" s="180" t="n"/>
      <c r="X45" s="181" t="n"/>
      <c r="Y45" s="179" t="n"/>
      <c r="Z45" s="180" t="n"/>
      <c r="AA45" s="180" t="n"/>
      <c r="AB45" s="181" t="n"/>
      <c r="AC45" s="179" t="n"/>
      <c r="AD45" s="180" t="n"/>
      <c r="AE45" s="180" t="n"/>
      <c r="AF45" s="181" t="n"/>
      <c r="AG45" s="179" t="n"/>
      <c r="AH45" s="180" t="n"/>
      <c r="AI45" s="180" t="n"/>
      <c r="AJ45" s="180" t="n"/>
      <c r="AK45" s="181" t="n"/>
      <c r="AL45" s="179" t="n"/>
      <c r="AM45" s="180" t="n"/>
      <c r="AN45" s="180" t="n"/>
      <c r="AO45" s="181" t="n"/>
      <c r="AP45" s="179" t="n"/>
      <c r="AQ45" s="180" t="n"/>
      <c r="AR45" s="180" t="n"/>
      <c r="AS45" s="180" t="n"/>
      <c r="AT45" s="181" t="n"/>
      <c r="AU45" s="179" t="n"/>
      <c r="AV45" s="180" t="n"/>
      <c r="AW45" s="180" t="n"/>
      <c r="AX45" s="329" t="n"/>
      <c r="AY45" s="179" t="n"/>
      <c r="AZ45" s="180" t="n"/>
      <c r="BA45" s="180" t="n"/>
      <c r="BB45" s="180" t="n"/>
      <c r="BC45" s="180" t="n"/>
      <c r="BD45" s="436">
        <f>SUM(C45:BC45)</f>
        <v/>
      </c>
    </row>
    <row r="46" ht="13.5" customHeight="1">
      <c r="A46" s="177" t="n"/>
      <c r="B46" s="178" t="n"/>
      <c r="C46" s="182" t="n"/>
      <c r="D46" s="183" t="n"/>
      <c r="E46" s="183" t="n"/>
      <c r="F46" s="183" t="n"/>
      <c r="G46" s="184" t="n"/>
      <c r="H46" s="182" t="n"/>
      <c r="I46" s="183" t="n"/>
      <c r="J46" s="183" t="n"/>
      <c r="K46" s="184" t="n"/>
      <c r="L46" s="182" t="n"/>
      <c r="M46" s="183" t="n"/>
      <c r="N46" s="183" t="n"/>
      <c r="O46" s="184" t="n"/>
      <c r="P46" s="182" t="n"/>
      <c r="Q46" s="183" t="n"/>
      <c r="R46" s="183" t="n"/>
      <c r="S46" s="184" t="n"/>
      <c r="T46" s="182" t="n"/>
      <c r="U46" s="183" t="n"/>
      <c r="V46" s="183" t="n"/>
      <c r="W46" s="183" t="n"/>
      <c r="X46" s="184" t="n"/>
      <c r="Y46" s="182" t="n"/>
      <c r="Z46" s="183" t="n"/>
      <c r="AA46" s="183" t="n"/>
      <c r="AB46" s="184" t="n"/>
      <c r="AC46" s="182" t="n"/>
      <c r="AD46" s="183" t="n"/>
      <c r="AE46" s="183" t="n"/>
      <c r="AF46" s="184" t="n"/>
      <c r="AG46" s="182" t="n"/>
      <c r="AH46" s="183" t="n"/>
      <c r="AI46" s="183" t="n"/>
      <c r="AJ46" s="183" t="n"/>
      <c r="AK46" s="184" t="n"/>
      <c r="AL46" s="182" t="n"/>
      <c r="AM46" s="183" t="n"/>
      <c r="AN46" s="183" t="n"/>
      <c r="AO46" s="184" t="n"/>
      <c r="AP46" s="182" t="n"/>
      <c r="AQ46" s="183" t="n"/>
      <c r="AR46" s="183" t="n"/>
      <c r="AS46" s="183" t="n"/>
      <c r="AT46" s="184" t="n"/>
      <c r="AU46" s="182" t="n"/>
      <c r="AV46" s="183" t="n"/>
      <c r="AW46" s="183" t="n"/>
      <c r="AX46" s="178" t="n"/>
      <c r="AY46" s="182" t="n"/>
      <c r="AZ46" s="183" t="n"/>
      <c r="BA46" s="183" t="n"/>
      <c r="BB46" s="183" t="n"/>
      <c r="BC46" s="183" t="n"/>
      <c r="BD46" s="436">
        <f>SUM(C46:BC46)</f>
        <v/>
      </c>
    </row>
    <row r="47" ht="13.5" customHeight="1">
      <c r="A47" s="177" t="inlineStr">
        <is>
          <t>Контент</t>
        </is>
      </c>
      <c r="B47" s="178" t="n"/>
      <c r="C47" s="158" t="n"/>
      <c r="D47" s="159" t="n"/>
      <c r="E47" s="159" t="n"/>
      <c r="F47" s="159" t="n"/>
      <c r="G47" s="160" t="n"/>
      <c r="H47" s="179" t="n"/>
      <c r="I47" s="180" t="n"/>
      <c r="J47" s="180" t="n"/>
      <c r="K47" s="181" t="n"/>
      <c r="L47" s="179" t="n"/>
      <c r="M47" s="180" t="n"/>
      <c r="N47" s="180" t="n"/>
      <c r="O47" s="181" t="n"/>
      <c r="P47" s="179" t="n"/>
      <c r="Q47" s="180" t="n"/>
      <c r="R47" s="180" t="n"/>
      <c r="S47" s="181" t="n"/>
      <c r="T47" s="179" t="n"/>
      <c r="U47" s="180" t="n"/>
      <c r="V47" s="180" t="n"/>
      <c r="W47" s="180" t="n"/>
      <c r="X47" s="181" t="n"/>
      <c r="Y47" s="179" t="n"/>
      <c r="Z47" s="180" t="n"/>
      <c r="AA47" s="180" t="n"/>
      <c r="AB47" s="181" t="n"/>
      <c r="AC47" s="179" t="n"/>
      <c r="AD47" s="180" t="n"/>
      <c r="AE47" s="180" t="n"/>
      <c r="AF47" s="181" t="n"/>
      <c r="AG47" s="179" t="n"/>
      <c r="AH47" s="180" t="n"/>
      <c r="AI47" s="180" t="n"/>
      <c r="AJ47" s="180" t="n"/>
      <c r="AK47" s="181" t="n"/>
      <c r="AL47" s="179" t="n"/>
      <c r="AM47" s="180" t="n"/>
      <c r="AN47" s="180" t="n"/>
      <c r="AO47" s="181" t="n"/>
      <c r="AP47" s="179" t="n"/>
      <c r="AQ47" s="180" t="n"/>
      <c r="AR47" s="180" t="n"/>
      <c r="AS47" s="180" t="n"/>
      <c r="AT47" s="181" t="n"/>
      <c r="AU47" s="179" t="n"/>
      <c r="AV47" s="180" t="n"/>
      <c r="AW47" s="180" t="n"/>
      <c r="AX47" s="329" t="n"/>
      <c r="AY47" s="179" t="n"/>
      <c r="AZ47" s="180" t="n"/>
      <c r="BA47" s="180" t="n"/>
      <c r="BB47" s="180" t="n"/>
      <c r="BC47" s="180" t="n"/>
      <c r="BD47" s="436">
        <f>SUM(C47:BC47)</f>
        <v/>
      </c>
    </row>
    <row r="48" ht="13.5" customHeight="1">
      <c r="A48" s="177" t="inlineStr">
        <is>
          <t>Аренда офиса</t>
        </is>
      </c>
      <c r="B48" s="178" t="n"/>
      <c r="C48" s="158" t="n"/>
      <c r="D48" s="159" t="n"/>
      <c r="E48" s="159" t="n"/>
      <c r="F48" s="159" t="n"/>
      <c r="G48" s="160" t="n"/>
      <c r="H48" s="179" t="n"/>
      <c r="I48" s="180" t="n"/>
      <c r="J48" s="180" t="n"/>
      <c r="K48" s="181" t="n"/>
      <c r="L48" s="179" t="n"/>
      <c r="M48" s="180" t="n"/>
      <c r="N48" s="180" t="n"/>
      <c r="O48" s="181" t="n"/>
      <c r="P48" s="179" t="n"/>
      <c r="Q48" s="180" t="n"/>
      <c r="R48" s="180" t="n"/>
      <c r="S48" s="181" t="n"/>
      <c r="T48" s="179" t="n"/>
      <c r="U48" s="180" t="n"/>
      <c r="V48" s="180" t="n"/>
      <c r="W48" s="180" t="n"/>
      <c r="X48" s="181" t="n"/>
      <c r="Y48" s="179" t="n"/>
      <c r="Z48" s="180" t="n"/>
      <c r="AA48" s="180" t="n"/>
      <c r="AB48" s="181" t="n"/>
      <c r="AC48" s="179" t="n"/>
      <c r="AD48" s="180" t="n"/>
      <c r="AE48" s="180" t="n"/>
      <c r="AF48" s="181" t="n"/>
      <c r="AG48" s="179" t="n"/>
      <c r="AH48" s="180" t="n"/>
      <c r="AI48" s="180" t="n"/>
      <c r="AJ48" s="180" t="n"/>
      <c r="AK48" s="181" t="n"/>
      <c r="AL48" s="179" t="n"/>
      <c r="AM48" s="180" t="n"/>
      <c r="AN48" s="180" t="n"/>
      <c r="AO48" s="181" t="n"/>
      <c r="AP48" s="179" t="n"/>
      <c r="AQ48" s="180" t="n"/>
      <c r="AR48" s="180" t="n"/>
      <c r="AS48" s="180" t="n"/>
      <c r="AT48" s="181" t="n"/>
      <c r="AU48" s="179" t="n"/>
      <c r="AV48" s="180" t="n"/>
      <c r="AW48" s="180" t="n"/>
      <c r="AX48" s="329" t="n"/>
      <c r="AY48" s="179" t="n"/>
      <c r="AZ48" s="180" t="n"/>
      <c r="BA48" s="180" t="n"/>
      <c r="BB48" s="180" t="n"/>
      <c r="BC48" s="180" t="n"/>
      <c r="BD48" s="436">
        <f>SUM(C48:BC48)</f>
        <v/>
      </c>
    </row>
    <row r="49" ht="13.5" customHeight="1">
      <c r="A49" s="177" t="inlineStr">
        <is>
          <t>Реклама внешняя</t>
        </is>
      </c>
      <c r="B49" s="178" t="n"/>
      <c r="C49" s="158" t="n"/>
      <c r="D49" s="159" t="n"/>
      <c r="E49" s="159" t="n"/>
      <c r="F49" s="159" t="n"/>
      <c r="G49" s="160" t="n"/>
      <c r="H49" s="179" t="n"/>
      <c r="I49" s="180" t="n"/>
      <c r="J49" s="180" t="n"/>
      <c r="K49" s="181" t="n"/>
      <c r="L49" s="179" t="n"/>
      <c r="M49" s="180" t="n"/>
      <c r="N49" s="180" t="n"/>
      <c r="O49" s="181" t="n"/>
      <c r="P49" s="179" t="n"/>
      <c r="Q49" s="180" t="n"/>
      <c r="R49" s="180" t="n"/>
      <c r="S49" s="181" t="n"/>
      <c r="T49" s="179" t="n"/>
      <c r="U49" s="180" t="n"/>
      <c r="V49" s="180" t="n"/>
      <c r="W49" s="180" t="n"/>
      <c r="X49" s="181" t="n"/>
      <c r="Y49" s="179" t="n"/>
      <c r="Z49" s="180" t="n"/>
      <c r="AA49" s="180" t="n"/>
      <c r="AB49" s="181" t="n"/>
      <c r="AC49" s="179" t="n"/>
      <c r="AD49" s="180" t="n"/>
      <c r="AE49" s="180" t="n"/>
      <c r="AF49" s="181" t="n"/>
      <c r="AG49" s="179" t="n"/>
      <c r="AH49" s="180" t="n"/>
      <c r="AI49" s="180" t="n"/>
      <c r="AJ49" s="180" t="n"/>
      <c r="AK49" s="181" t="n"/>
      <c r="AL49" s="179" t="n"/>
      <c r="AM49" s="180" t="n"/>
      <c r="AN49" s="180" t="n"/>
      <c r="AO49" s="181" t="n"/>
      <c r="AP49" s="179" t="n"/>
      <c r="AQ49" s="180" t="n"/>
      <c r="AR49" s="180" t="n"/>
      <c r="AS49" s="180" t="n"/>
      <c r="AT49" s="181" t="n"/>
      <c r="AU49" s="179" t="n"/>
      <c r="AV49" s="180" t="n"/>
      <c r="AW49" s="180" t="n"/>
      <c r="AX49" s="329" t="n"/>
      <c r="AY49" s="179" t="n"/>
      <c r="AZ49" s="180" t="n"/>
      <c r="BA49" s="180" t="n"/>
      <c r="BB49" s="180" t="n"/>
      <c r="BC49" s="180" t="n"/>
      <c r="BD49" s="436">
        <f>SUM(C49:BC49)</f>
        <v/>
      </c>
    </row>
    <row r="50" ht="13.5" customHeight="1">
      <c r="A50" s="350" t="inlineStr">
        <is>
          <t>Подписка Аналитика</t>
        </is>
      </c>
      <c r="B50" s="178" t="n"/>
      <c r="C50" s="158" t="n"/>
      <c r="D50" s="159" t="n"/>
      <c r="E50" s="159" t="n"/>
      <c r="F50" s="159" t="n"/>
      <c r="G50" s="160" t="n"/>
      <c r="H50" s="179" t="n"/>
      <c r="I50" s="180" t="n"/>
      <c r="J50" s="180" t="n"/>
      <c r="K50" s="181" t="n"/>
      <c r="L50" s="179" t="n"/>
      <c r="M50" s="180" t="n"/>
      <c r="N50" s="180" t="n"/>
      <c r="O50" s="181" t="n"/>
      <c r="P50" s="179" t="n"/>
      <c r="Q50" s="180" t="n"/>
      <c r="R50" s="180" t="n"/>
      <c r="S50" s="181" t="n"/>
      <c r="T50" s="179" t="n"/>
      <c r="U50" s="180" t="n"/>
      <c r="V50" s="180" t="n"/>
      <c r="W50" s="180" t="n"/>
      <c r="X50" s="181" t="n"/>
      <c r="Y50" s="179" t="n"/>
      <c r="Z50" s="180" t="n"/>
      <c r="AA50" s="180" t="n"/>
      <c r="AB50" s="181" t="n"/>
      <c r="AC50" s="179" t="n"/>
      <c r="AD50" s="180" t="n"/>
      <c r="AE50" s="180" t="n"/>
      <c r="AF50" s="181" t="n"/>
      <c r="AG50" s="179" t="n"/>
      <c r="AH50" s="180" t="n"/>
      <c r="AI50" s="180" t="n"/>
      <c r="AJ50" s="180" t="n"/>
      <c r="AK50" s="181" t="n"/>
      <c r="AL50" s="179" t="n"/>
      <c r="AM50" s="180" t="n"/>
      <c r="AN50" s="180" t="n"/>
      <c r="AO50" s="181" t="n"/>
      <c r="AP50" s="179" t="n"/>
      <c r="AQ50" s="180" t="n"/>
      <c r="AR50" s="180" t="n"/>
      <c r="AS50" s="180" t="n"/>
      <c r="AT50" s="181" t="n"/>
      <c r="AU50" s="179" t="n"/>
      <c r="AV50" s="180" t="n"/>
      <c r="AW50" s="180" t="n"/>
      <c r="AX50" s="329" t="n"/>
      <c r="AY50" s="179" t="n"/>
      <c r="AZ50" s="180" t="n"/>
      <c r="BA50" s="180" t="n"/>
      <c r="BB50" s="180" t="n"/>
      <c r="BC50" s="180" t="n"/>
      <c r="BD50" s="436">
        <f>SUM(C50:BC50)</f>
        <v/>
      </c>
    </row>
    <row r="51" ht="13.5" customHeight="1">
      <c r="A51" s="177" t="inlineStr">
        <is>
          <t>Прочие</t>
        </is>
      </c>
      <c r="B51" s="178" t="n"/>
      <c r="C51" s="158" t="n"/>
      <c r="D51" s="159" t="n"/>
      <c r="E51" s="159" t="n"/>
      <c r="F51" s="159" t="n"/>
      <c r="G51" s="160" t="n"/>
      <c r="H51" s="179" t="n"/>
      <c r="I51" s="180" t="n"/>
      <c r="J51" s="180" t="n"/>
      <c r="K51" s="181" t="n"/>
      <c r="L51" s="179" t="n"/>
      <c r="M51" s="180" t="n"/>
      <c r="N51" s="180" t="n"/>
      <c r="O51" s="181" t="n"/>
      <c r="P51" s="179" t="n"/>
      <c r="Q51" s="180" t="n"/>
      <c r="R51" s="180" t="n"/>
      <c r="S51" s="181" t="n"/>
      <c r="T51" s="179" t="n"/>
      <c r="U51" s="180" t="n"/>
      <c r="V51" s="180" t="n"/>
      <c r="W51" s="180" t="n"/>
      <c r="X51" s="181" t="n"/>
      <c r="Y51" s="179" t="n"/>
      <c r="Z51" s="180" t="n"/>
      <c r="AA51" s="180" t="n"/>
      <c r="AB51" s="181" t="n"/>
      <c r="AC51" s="179" t="n"/>
      <c r="AD51" s="180" t="n"/>
      <c r="AE51" s="180" t="n"/>
      <c r="AF51" s="181" t="n"/>
      <c r="AG51" s="179" t="n"/>
      <c r="AH51" s="180" t="n"/>
      <c r="AI51" s="180" t="n"/>
      <c r="AJ51" s="180" t="n"/>
      <c r="AK51" s="181" t="n"/>
      <c r="AL51" s="179" t="n"/>
      <c r="AM51" s="180" t="n"/>
      <c r="AN51" s="180" t="n"/>
      <c r="AO51" s="181" t="n"/>
      <c r="AP51" s="179" t="n"/>
      <c r="AQ51" s="180" t="n"/>
      <c r="AR51" s="180" t="n"/>
      <c r="AS51" s="180" t="n"/>
      <c r="AT51" s="181" t="n"/>
      <c r="AU51" s="179" t="n"/>
      <c r="AV51" s="180" t="n"/>
      <c r="AW51" s="180" t="n"/>
      <c r="AX51" s="329" t="n"/>
      <c r="AY51" s="179" t="n"/>
      <c r="AZ51" s="180" t="n"/>
      <c r="BA51" s="180" t="n"/>
      <c r="BB51" s="180" t="n"/>
      <c r="BC51" s="180" t="n"/>
      <c r="BD51" s="436">
        <f>SUM(C51:BC51)</f>
        <v/>
      </c>
    </row>
    <row r="52" ht="13.5" customHeight="1">
      <c r="A52" s="185" t="n"/>
      <c r="B52" s="186" t="n"/>
      <c r="C52" s="119" t="n"/>
      <c r="D52" s="117" t="n"/>
      <c r="E52" s="117" t="n"/>
      <c r="F52" s="117" t="n"/>
      <c r="G52" s="118" t="n"/>
      <c r="H52" s="119" t="n"/>
      <c r="I52" s="117" t="n"/>
      <c r="J52" s="117" t="n"/>
      <c r="K52" s="118" t="n"/>
      <c r="L52" s="119" t="n"/>
      <c r="M52" s="117" t="n"/>
      <c r="N52" s="117" t="n"/>
      <c r="O52" s="118" t="n"/>
      <c r="P52" s="119" t="n"/>
      <c r="Q52" s="117" t="n"/>
      <c r="R52" s="117" t="n"/>
      <c r="S52" s="118" t="n"/>
      <c r="T52" s="119" t="n"/>
      <c r="U52" s="117" t="n"/>
      <c r="V52" s="117" t="n"/>
      <c r="W52" s="117" t="n"/>
      <c r="X52" s="118" t="n"/>
      <c r="Y52" s="119" t="n"/>
      <c r="Z52" s="117" t="n"/>
      <c r="AA52" s="117" t="n"/>
      <c r="AB52" s="118" t="n"/>
      <c r="AC52" s="119" t="n"/>
      <c r="AD52" s="117" t="n"/>
      <c r="AE52" s="117" t="n"/>
      <c r="AF52" s="118" t="n"/>
      <c r="AG52" s="119" t="n"/>
      <c r="AH52" s="117" t="n"/>
      <c r="AI52" s="117" t="n"/>
      <c r="AJ52" s="117" t="n"/>
      <c r="AK52" s="118" t="n"/>
      <c r="AL52" s="119" t="n"/>
      <c r="AM52" s="117" t="n"/>
      <c r="AN52" s="117" t="n"/>
      <c r="AO52" s="118" t="n"/>
      <c r="AP52" s="119" t="n"/>
      <c r="AQ52" s="117" t="n"/>
      <c r="AR52" s="117" t="n"/>
      <c r="AS52" s="117" t="n"/>
      <c r="AT52" s="118" t="n"/>
      <c r="AU52" s="119" t="n"/>
      <c r="AV52" s="117" t="n"/>
      <c r="AW52" s="117" t="n"/>
      <c r="AX52" s="115" t="n"/>
      <c r="AY52" s="119" t="n"/>
      <c r="AZ52" s="117" t="n"/>
      <c r="BA52" s="117" t="n"/>
      <c r="BB52" s="117" t="n"/>
      <c r="BC52" s="117" t="n"/>
      <c r="BD52" s="436">
        <f>SUM(C52:BC52)</f>
        <v/>
      </c>
    </row>
    <row r="53" ht="15" customFormat="1" customHeight="1" s="190">
      <c r="A53" s="187" t="inlineStr">
        <is>
          <t>Прибыль до налогообложения</t>
        </is>
      </c>
      <c r="B53" s="188" t="n"/>
      <c r="C53" s="189">
        <f>C36+C31-C38</f>
        <v/>
      </c>
      <c r="D53" s="189">
        <f>D36+D31-D38</f>
        <v/>
      </c>
      <c r="E53" s="189">
        <f>E36+E31-E38</f>
        <v/>
      </c>
      <c r="F53" s="189">
        <f>F36+F31-F38</f>
        <v/>
      </c>
      <c r="G53" s="189">
        <f>G36+G31-G38</f>
        <v/>
      </c>
      <c r="H53" s="189">
        <f>H36+H31-H38</f>
        <v/>
      </c>
      <c r="I53" s="189">
        <f>I36+I31-I38</f>
        <v/>
      </c>
      <c r="J53" s="189">
        <f>J36+J31-J38</f>
        <v/>
      </c>
      <c r="K53" s="189">
        <f>K36+K31-K38</f>
        <v/>
      </c>
      <c r="L53" s="189">
        <f>L36+L31-L38</f>
        <v/>
      </c>
      <c r="M53" s="189">
        <f>M36+M31-M38</f>
        <v/>
      </c>
      <c r="N53" s="189">
        <f>N36+N31-N38</f>
        <v/>
      </c>
      <c r="O53" s="189">
        <f>O36+O31-O38</f>
        <v/>
      </c>
      <c r="P53" s="189">
        <f>P36+P31-P38</f>
        <v/>
      </c>
      <c r="Q53" s="189">
        <f>Q36+Q31-Q38</f>
        <v/>
      </c>
      <c r="R53" s="189">
        <f>R36+R31-R38</f>
        <v/>
      </c>
      <c r="S53" s="189">
        <f>S36+S31-S38</f>
        <v/>
      </c>
      <c r="T53" s="189">
        <f>T36+T31-T38</f>
        <v/>
      </c>
      <c r="U53" s="189">
        <f>U36+U31-U38</f>
        <v/>
      </c>
      <c r="V53" s="189">
        <f>V36+V31-V38</f>
        <v/>
      </c>
      <c r="W53" s="189">
        <f>W36+W31-W38</f>
        <v/>
      </c>
      <c r="X53" s="189">
        <f>X36+X31-X38</f>
        <v/>
      </c>
      <c r="Y53" s="189">
        <f>Y36+Y31-Y38</f>
        <v/>
      </c>
      <c r="Z53" s="189">
        <f>Z36+Z31-Z38</f>
        <v/>
      </c>
      <c r="AA53" s="189">
        <f>AA36+AA31-AA38</f>
        <v/>
      </c>
      <c r="AB53" s="189">
        <f>AB36+AB31-AB38</f>
        <v/>
      </c>
      <c r="AC53" s="189">
        <f>AC36+AC31-AC38</f>
        <v/>
      </c>
      <c r="AD53" s="189">
        <f>AD36+AD31-AD38</f>
        <v/>
      </c>
      <c r="AE53" s="189">
        <f>AE36+AE31-AE38</f>
        <v/>
      </c>
      <c r="AF53" s="189">
        <f>AF36+AF31-AF38</f>
        <v/>
      </c>
      <c r="AG53" s="189">
        <f>AG36+AG31-AG38</f>
        <v/>
      </c>
      <c r="AH53" s="189">
        <f>AH36+AH31-AH38</f>
        <v/>
      </c>
      <c r="AI53" s="189">
        <f>AI36+AI31-AI38</f>
        <v/>
      </c>
      <c r="AJ53" s="189">
        <f>AJ36+AJ31-AJ38</f>
        <v/>
      </c>
      <c r="AK53" s="189">
        <f>AK36+AK31-AK38</f>
        <v/>
      </c>
      <c r="AL53" s="189">
        <f>AL36+AL31-AL38</f>
        <v/>
      </c>
      <c r="AM53" s="189">
        <f>AM36+AM31-AM38</f>
        <v/>
      </c>
      <c r="AN53" s="189">
        <f>AN36+AN31-AN38</f>
        <v/>
      </c>
      <c r="AO53" s="189">
        <f>AO36+AO31-AO38</f>
        <v/>
      </c>
      <c r="AP53" s="189">
        <f>AP36+AP31-AP38</f>
        <v/>
      </c>
      <c r="AQ53" s="189">
        <f>AQ36+AQ31-AQ38</f>
        <v/>
      </c>
      <c r="AR53" s="189">
        <f>AR36+AR31-AR38</f>
        <v/>
      </c>
      <c r="AS53" s="189">
        <f>AS36+AS31-AS38</f>
        <v/>
      </c>
      <c r="AT53" s="189">
        <f>AT36+AT31-AT38</f>
        <v/>
      </c>
      <c r="AU53" s="189">
        <f>AU36+AU31-AU38</f>
        <v/>
      </c>
      <c r="AV53" s="189">
        <f>AV36+AV31-AV38</f>
        <v/>
      </c>
      <c r="AW53" s="189">
        <f>AW36+AW31-AW38</f>
        <v/>
      </c>
      <c r="AX53" s="189">
        <f>AX36+AX31-AX38</f>
        <v/>
      </c>
      <c r="AY53" s="189">
        <f>AY36+AY31-AY38</f>
        <v/>
      </c>
      <c r="AZ53" s="189">
        <f>AZ36+AZ31-AZ38</f>
        <v/>
      </c>
      <c r="BA53" s="189">
        <f>BA36+BA31-BA38</f>
        <v/>
      </c>
      <c r="BB53" s="189">
        <f>BB36+BB31-BB38</f>
        <v/>
      </c>
      <c r="BC53" s="189">
        <f>BC36+BC31-BC38</f>
        <v/>
      </c>
      <c r="BD53" s="436">
        <f>SUM(C53:BC53)</f>
        <v/>
      </c>
    </row>
    <row r="54" ht="13.5" customHeight="1">
      <c r="A54" s="185" t="n"/>
      <c r="B54" s="120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/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 s="119" t="n"/>
      <c r="AH54" s="119" t="n"/>
      <c r="AI54" s="119" t="n"/>
      <c r="AJ54" s="119" t="n"/>
      <c r="AK54" s="119" t="n"/>
      <c r="AL54" s="119" t="n"/>
      <c r="AM54" s="119" t="n"/>
      <c r="AN54" s="119" t="n"/>
      <c r="AO54" s="119" t="n"/>
      <c r="AP54" s="119" t="n"/>
      <c r="AQ54" s="119" t="n"/>
      <c r="AR54" s="119" t="n"/>
      <c r="AS54" s="119" t="n"/>
      <c r="AT54" s="119" t="n"/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436">
        <f>SUM(C54:BC54)</f>
        <v/>
      </c>
    </row>
    <row r="55" ht="13.5" customHeight="1">
      <c r="A55" s="177" t="inlineStr">
        <is>
          <t>Налоги начисленные</t>
        </is>
      </c>
      <c r="B55" s="386" t="inlineStr">
        <is>
          <t>УСН 6%</t>
        </is>
      </c>
      <c r="C55" s="182">
        <f>C15*6%</f>
        <v/>
      </c>
      <c r="D55" s="182">
        <f>D15*6%</f>
        <v/>
      </c>
      <c r="E55" s="182">
        <f>E15*6%</f>
        <v/>
      </c>
      <c r="F55" s="182">
        <f>F15*6%</f>
        <v/>
      </c>
      <c r="G55" s="182">
        <f>G15*6%</f>
        <v/>
      </c>
      <c r="H55" s="182">
        <f>H15*6%</f>
        <v/>
      </c>
      <c r="I55" s="182">
        <f>I15*6%</f>
        <v/>
      </c>
      <c r="J55" s="182">
        <f>J15*6%</f>
        <v/>
      </c>
      <c r="K55" s="182">
        <f>K15*6%</f>
        <v/>
      </c>
      <c r="L55" s="182">
        <f>L15*6%</f>
        <v/>
      </c>
      <c r="M55" s="182">
        <f>M15*6%</f>
        <v/>
      </c>
      <c r="N55" s="182">
        <f>N15*6%</f>
        <v/>
      </c>
      <c r="O55" s="182">
        <f>O15*6%</f>
        <v/>
      </c>
      <c r="P55" s="182">
        <f>P15*6%</f>
        <v/>
      </c>
      <c r="Q55" s="182">
        <f>Q15*6%</f>
        <v/>
      </c>
      <c r="R55" s="182">
        <f>R15*6%</f>
        <v/>
      </c>
      <c r="S55" s="182">
        <f>S15*6%</f>
        <v/>
      </c>
      <c r="T55" s="182">
        <f>T15*6%</f>
        <v/>
      </c>
      <c r="U55" s="182">
        <f>U15*6%</f>
        <v/>
      </c>
      <c r="V55" s="182">
        <f>V15*6%</f>
        <v/>
      </c>
      <c r="W55" s="182">
        <f>W15*6%</f>
        <v/>
      </c>
      <c r="X55" s="182">
        <f>X15*6%</f>
        <v/>
      </c>
      <c r="Y55" s="182">
        <f>Y15*6%</f>
        <v/>
      </c>
      <c r="Z55" s="182">
        <f>Z15*6%</f>
        <v/>
      </c>
      <c r="AA55" s="182">
        <f>AA15*6%</f>
        <v/>
      </c>
      <c r="AB55" s="182">
        <f>AB15*6%</f>
        <v/>
      </c>
      <c r="AC55" s="182">
        <f>AC15*6%</f>
        <v/>
      </c>
      <c r="AD55" s="182">
        <f>AD15*6%</f>
        <v/>
      </c>
      <c r="AE55" s="182">
        <f>AE15*6%</f>
        <v/>
      </c>
      <c r="AF55" s="182">
        <f>AF15*6%</f>
        <v/>
      </c>
      <c r="AG55" s="182">
        <f>AG15*6%</f>
        <v/>
      </c>
      <c r="AH55" s="182">
        <f>AH15*6%</f>
        <v/>
      </c>
      <c r="AI55" s="182">
        <f>AI15*6%</f>
        <v/>
      </c>
      <c r="AJ55" s="182">
        <f>AJ15*6%</f>
        <v/>
      </c>
      <c r="AK55" s="182">
        <f>AK15*6%</f>
        <v/>
      </c>
      <c r="AL55" s="182">
        <f>AL15*6%</f>
        <v/>
      </c>
      <c r="AM55" s="182">
        <f>AM15*6%</f>
        <v/>
      </c>
      <c r="AN55" s="182">
        <f>AN15*6%</f>
        <v/>
      </c>
      <c r="AO55" s="182">
        <f>AO15*6%</f>
        <v/>
      </c>
      <c r="AP55" s="182">
        <f>AP15*6%</f>
        <v/>
      </c>
      <c r="AQ55" s="182">
        <f>AQ15*6%</f>
        <v/>
      </c>
      <c r="AR55" s="182">
        <f>AR15*6%</f>
        <v/>
      </c>
      <c r="AS55" s="182">
        <f>AS15*6%</f>
        <v/>
      </c>
      <c r="AT55" s="182">
        <f>AT15*6%</f>
        <v/>
      </c>
      <c r="AU55" s="182">
        <f>AU15*6%</f>
        <v/>
      </c>
      <c r="AV55" s="182">
        <f>AV15*6%</f>
        <v/>
      </c>
      <c r="AW55" s="182">
        <f>AW15*6%</f>
        <v/>
      </c>
      <c r="AX55" s="182">
        <f>AX15*6%</f>
        <v/>
      </c>
      <c r="AY55" s="182">
        <f>AY15*6%</f>
        <v/>
      </c>
      <c r="AZ55" s="182">
        <f>AZ15*6%</f>
        <v/>
      </c>
      <c r="BA55" s="182">
        <f>BA15*6%</f>
        <v/>
      </c>
      <c r="BB55" s="182">
        <f>BB15*6%</f>
        <v/>
      </c>
      <c r="BC55" s="182">
        <f>BC15*6%</f>
        <v/>
      </c>
      <c r="BD55" s="436">
        <f>SUM(C55:BC55)</f>
        <v/>
      </c>
    </row>
    <row r="56" ht="13.5" customHeight="1">
      <c r="A56" s="185" t="n"/>
      <c r="B56" s="186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  <c r="R56" s="192" t="n"/>
      <c r="S56" s="192" t="n"/>
      <c r="T56" s="192" t="n"/>
      <c r="U56" s="192" t="n"/>
      <c r="V56" s="192" t="n"/>
      <c r="W56" s="192" t="n"/>
      <c r="X56" s="192" t="n"/>
      <c r="Y56" s="192" t="n"/>
      <c r="Z56" s="192" t="n"/>
      <c r="AA56" s="192" t="n"/>
      <c r="AB56" s="192" t="n"/>
      <c r="AC56" s="192" t="n"/>
      <c r="AD56" s="192" t="n"/>
      <c r="AE56" s="192" t="n"/>
      <c r="AF56" s="192" t="n"/>
      <c r="AG56" s="192" t="n"/>
      <c r="AH56" s="192" t="n"/>
      <c r="AI56" s="192" t="n"/>
      <c r="AJ56" s="192" t="n"/>
      <c r="AK56" s="192" t="n"/>
      <c r="AL56" s="192" t="n"/>
      <c r="AM56" s="192" t="n"/>
      <c r="AN56" s="192" t="n"/>
      <c r="AO56" s="192" t="n"/>
      <c r="AP56" s="192" t="n"/>
      <c r="AQ56" s="192" t="n"/>
      <c r="AR56" s="192" t="n"/>
      <c r="AS56" s="192" t="n"/>
      <c r="AT56" s="192" t="n"/>
      <c r="AU56" s="192" t="n"/>
      <c r="AV56" s="192" t="n"/>
      <c r="AW56" s="192" t="n"/>
      <c r="AX56" s="192" t="n"/>
      <c r="AY56" s="192" t="n"/>
      <c r="AZ56" s="192" t="n"/>
      <c r="BA56" s="192" t="n"/>
      <c r="BB56" s="192" t="n"/>
      <c r="BC56" s="192" t="n"/>
      <c r="BD56" s="436">
        <f>SUM(C56:BC56)</f>
        <v/>
      </c>
    </row>
    <row r="57" ht="15" customHeight="1">
      <c r="A57" s="195" t="inlineStr">
        <is>
          <t>Чистая прибыль</t>
        </is>
      </c>
      <c r="B57" s="196" t="n"/>
      <c r="C57" s="197">
        <f>C53-C55</f>
        <v/>
      </c>
      <c r="D57" s="197">
        <f>D53-D55</f>
        <v/>
      </c>
      <c r="E57" s="197">
        <f>E53-E55</f>
        <v/>
      </c>
      <c r="F57" s="197">
        <f>F53-F55</f>
        <v/>
      </c>
      <c r="G57" s="197">
        <f>G53-G55</f>
        <v/>
      </c>
      <c r="H57" s="197">
        <f>H53-H55</f>
        <v/>
      </c>
      <c r="I57" s="197">
        <f>I53-I55</f>
        <v/>
      </c>
      <c r="J57" s="197">
        <f>J53-J55</f>
        <v/>
      </c>
      <c r="K57" s="197">
        <f>K53-K55</f>
        <v/>
      </c>
      <c r="L57" s="197">
        <f>L53-L55</f>
        <v/>
      </c>
      <c r="M57" s="197">
        <f>M53-M55</f>
        <v/>
      </c>
      <c r="N57" s="197">
        <f>N53-N55</f>
        <v/>
      </c>
      <c r="O57" s="197">
        <f>O53-O55</f>
        <v/>
      </c>
      <c r="P57" s="197">
        <f>P53-P55</f>
        <v/>
      </c>
      <c r="Q57" s="197">
        <f>Q53-Q55</f>
        <v/>
      </c>
      <c r="R57" s="197">
        <f>R53-R55</f>
        <v/>
      </c>
      <c r="S57" s="197">
        <f>S53-S55</f>
        <v/>
      </c>
      <c r="T57" s="197">
        <f>T53-T55</f>
        <v/>
      </c>
      <c r="U57" s="197">
        <f>U53-U55</f>
        <v/>
      </c>
      <c r="V57" s="197">
        <f>V53-V55</f>
        <v/>
      </c>
      <c r="W57" s="197">
        <f>W53-W55</f>
        <v/>
      </c>
      <c r="X57" s="197">
        <f>X53-X55</f>
        <v/>
      </c>
      <c r="Y57" s="197">
        <f>Y53-Y55</f>
        <v/>
      </c>
      <c r="Z57" s="197">
        <f>Z53-Z55</f>
        <v/>
      </c>
      <c r="AA57" s="197">
        <f>AA53-AA55</f>
        <v/>
      </c>
      <c r="AB57" s="197">
        <f>AB53-AB55</f>
        <v/>
      </c>
      <c r="AC57" s="197">
        <f>AC53-AC55</f>
        <v/>
      </c>
      <c r="AD57" s="197">
        <f>AD53-AD55</f>
        <v/>
      </c>
      <c r="AE57" s="197">
        <f>AE53-AE55</f>
        <v/>
      </c>
      <c r="AF57" s="197">
        <f>AF53-AF55</f>
        <v/>
      </c>
      <c r="AG57" s="197">
        <f>AG53-AG55</f>
        <v/>
      </c>
      <c r="AH57" s="197">
        <f>AH53-AH55</f>
        <v/>
      </c>
      <c r="AI57" s="197">
        <f>AI53-AI55</f>
        <v/>
      </c>
      <c r="AJ57" s="197">
        <f>AJ53-AJ55</f>
        <v/>
      </c>
      <c r="AK57" s="197">
        <f>AK53-AK55</f>
        <v/>
      </c>
      <c r="AL57" s="197">
        <f>AL53-AL55</f>
        <v/>
      </c>
      <c r="AM57" s="197">
        <f>AM53-AM55</f>
        <v/>
      </c>
      <c r="AN57" s="197">
        <f>AN53-AN55</f>
        <v/>
      </c>
      <c r="AO57" s="197">
        <f>AO53-AO55</f>
        <v/>
      </c>
      <c r="AP57" s="197">
        <f>AP53-AP55</f>
        <v/>
      </c>
      <c r="AQ57" s="197">
        <f>AQ53-AQ55</f>
        <v/>
      </c>
      <c r="AR57" s="197">
        <f>AR53-AR55</f>
        <v/>
      </c>
      <c r="AS57" s="197">
        <f>AS53-AS55</f>
        <v/>
      </c>
      <c r="AT57" s="197">
        <f>AT53-AT55</f>
        <v/>
      </c>
      <c r="AU57" s="197">
        <f>AU53-AU55</f>
        <v/>
      </c>
      <c r="AV57" s="197">
        <f>AV53-AV55</f>
        <v/>
      </c>
      <c r="AW57" s="197">
        <f>AW53-AW55</f>
        <v/>
      </c>
      <c r="AX57" s="197">
        <f>AX53-AX55</f>
        <v/>
      </c>
      <c r="AY57" s="197">
        <f>AY53-AY55</f>
        <v/>
      </c>
      <c r="AZ57" s="197">
        <f>AZ53-AZ55</f>
        <v/>
      </c>
      <c r="BA57" s="197">
        <f>BA53-BA55</f>
        <v/>
      </c>
      <c r="BB57" s="197">
        <f>BB53-BB55</f>
        <v/>
      </c>
      <c r="BC57" s="197">
        <f>BC53-BC55</f>
        <v/>
      </c>
      <c r="BD57" s="436">
        <f>SUM(C57:BC57)</f>
        <v/>
      </c>
    </row>
    <row r="58" ht="13.5" customHeight="1">
      <c r="A58" s="200" t="inlineStr">
        <is>
          <t>Рентабельность вложений</t>
        </is>
      </c>
      <c r="B58" s="201" t="n"/>
      <c r="C58" s="202">
        <f>C57/C33</f>
        <v/>
      </c>
      <c r="D58" s="202">
        <f>D57/D33</f>
        <v/>
      </c>
      <c r="E58" s="202">
        <f>E57/E33</f>
        <v/>
      </c>
      <c r="F58" s="202">
        <f>F57/F33</f>
        <v/>
      </c>
      <c r="G58" s="202">
        <f>G57/G33</f>
        <v/>
      </c>
      <c r="H58" s="202">
        <f>H57/H33</f>
        <v/>
      </c>
      <c r="I58" s="202">
        <f>I57/I33</f>
        <v/>
      </c>
      <c r="J58" s="202">
        <f>J57/J33</f>
        <v/>
      </c>
      <c r="K58" s="202">
        <f>K57/K33</f>
        <v/>
      </c>
      <c r="L58" s="202">
        <f>L57/L33</f>
        <v/>
      </c>
      <c r="M58" s="202">
        <f>M57/M33</f>
        <v/>
      </c>
      <c r="N58" s="202">
        <f>N57/N33</f>
        <v/>
      </c>
      <c r="O58" s="202">
        <f>O57/O33</f>
        <v/>
      </c>
      <c r="P58" s="202">
        <f>P57/P33</f>
        <v/>
      </c>
      <c r="Q58" s="202">
        <f>Q57/Q33</f>
        <v/>
      </c>
      <c r="R58" s="202">
        <f>R57/R33</f>
        <v/>
      </c>
      <c r="S58" s="202">
        <f>S57/S33</f>
        <v/>
      </c>
      <c r="T58" s="202">
        <f>T57/T33</f>
        <v/>
      </c>
      <c r="U58" s="202">
        <f>U57/U33</f>
        <v/>
      </c>
      <c r="V58" s="202">
        <f>V57/V33</f>
        <v/>
      </c>
      <c r="W58" s="202">
        <f>W57/W33</f>
        <v/>
      </c>
      <c r="X58" s="202">
        <f>X57/X33</f>
        <v/>
      </c>
      <c r="Y58" s="202">
        <f>Y57/Y33</f>
        <v/>
      </c>
      <c r="Z58" s="202">
        <f>Z57/Z33</f>
        <v/>
      </c>
      <c r="AA58" s="202">
        <f>AA57/AA33</f>
        <v/>
      </c>
      <c r="AB58" s="202">
        <f>AB57/AB33</f>
        <v/>
      </c>
      <c r="AC58" s="202">
        <f>AC57/AC33</f>
        <v/>
      </c>
      <c r="AD58" s="202">
        <f>AD57/AD33</f>
        <v/>
      </c>
      <c r="AE58" s="202">
        <f>AE57/AE33</f>
        <v/>
      </c>
      <c r="AF58" s="202">
        <f>AF57/AF33</f>
        <v/>
      </c>
      <c r="AG58" s="202">
        <f>AG57/AG33</f>
        <v/>
      </c>
      <c r="AH58" s="202">
        <f>AH57/AH33</f>
        <v/>
      </c>
      <c r="AI58" s="202">
        <f>AI57/AI33</f>
        <v/>
      </c>
      <c r="AJ58" s="202">
        <f>AJ57/AJ33</f>
        <v/>
      </c>
      <c r="AK58" s="202">
        <f>AK57/AK33</f>
        <v/>
      </c>
      <c r="AL58" s="202">
        <f>AL57/AL33</f>
        <v/>
      </c>
      <c r="AM58" s="202">
        <f>AM57/AM33</f>
        <v/>
      </c>
      <c r="AN58" s="202">
        <f>AN57/AN33</f>
        <v/>
      </c>
      <c r="AO58" s="202">
        <f>AO57/AO33</f>
        <v/>
      </c>
      <c r="AP58" s="202">
        <f>AP57/AP33</f>
        <v/>
      </c>
      <c r="AQ58" s="202">
        <f>AQ57/AQ33</f>
        <v/>
      </c>
      <c r="AR58" s="202">
        <f>AR57/AR33</f>
        <v/>
      </c>
      <c r="AS58" s="202">
        <f>AS57/AS33</f>
        <v/>
      </c>
      <c r="AT58" s="202">
        <f>AT57/AT33</f>
        <v/>
      </c>
      <c r="AU58" s="202">
        <f>AU57/AU33</f>
        <v/>
      </c>
      <c r="AV58" s="202">
        <f>AV57/AV33</f>
        <v/>
      </c>
      <c r="AW58" s="202">
        <f>AW57/AW33</f>
        <v/>
      </c>
      <c r="AX58" s="202">
        <f>AX57/AX33</f>
        <v/>
      </c>
      <c r="AY58" s="202">
        <f>AY57/AY33</f>
        <v/>
      </c>
      <c r="AZ58" s="202">
        <f>AZ57/AZ33</f>
        <v/>
      </c>
      <c r="BA58" s="202">
        <f>BA57/BA33</f>
        <v/>
      </c>
      <c r="BB58" s="202">
        <f>BB57/BB33</f>
        <v/>
      </c>
      <c r="BC58" s="202">
        <f>BC57/BC33</f>
        <v/>
      </c>
      <c r="BD58" s="202">
        <f>BD57/BD33</f>
        <v/>
      </c>
    </row>
    <row r="59" ht="13.5" customHeight="1">
      <c r="A59" s="322" t="inlineStr">
        <is>
          <t>Маржинальность</t>
        </is>
      </c>
      <c r="B59" s="203" t="n"/>
      <c r="C59" s="203">
        <f>C57/C14</f>
        <v/>
      </c>
      <c r="D59" s="203">
        <f>D57/D14</f>
        <v/>
      </c>
      <c r="E59" s="203">
        <f>E57/E14</f>
        <v/>
      </c>
      <c r="F59" s="203">
        <f>F57/F14</f>
        <v/>
      </c>
      <c r="G59" s="203">
        <f>G57/G14</f>
        <v/>
      </c>
      <c r="H59" s="203">
        <f>H57/H14</f>
        <v/>
      </c>
      <c r="I59" s="203">
        <f>I57/I14</f>
        <v/>
      </c>
      <c r="J59" s="203">
        <f>J57/J14</f>
        <v/>
      </c>
      <c r="K59" s="203">
        <f>K57/K14</f>
        <v/>
      </c>
      <c r="L59" s="203">
        <f>L57/L14</f>
        <v/>
      </c>
      <c r="M59" s="203">
        <f>M57/M14</f>
        <v/>
      </c>
      <c r="N59" s="203">
        <f>N57/N14</f>
        <v/>
      </c>
      <c r="O59" s="203">
        <f>O57/O14</f>
        <v/>
      </c>
      <c r="P59" s="203">
        <f>P57/P14</f>
        <v/>
      </c>
      <c r="Q59" s="203">
        <f>Q57/Q14</f>
        <v/>
      </c>
      <c r="R59" s="203">
        <f>R57/R14</f>
        <v/>
      </c>
      <c r="S59" s="203">
        <f>S57/S14</f>
        <v/>
      </c>
      <c r="T59" s="203">
        <f>T57/T14</f>
        <v/>
      </c>
      <c r="U59" s="203">
        <f>U57/U14</f>
        <v/>
      </c>
      <c r="V59" s="203">
        <f>V57/V14</f>
        <v/>
      </c>
      <c r="W59" s="203">
        <f>W57/W14</f>
        <v/>
      </c>
      <c r="X59" s="203">
        <f>X57/X14</f>
        <v/>
      </c>
      <c r="Y59" s="203">
        <f>Y57/Y14</f>
        <v/>
      </c>
      <c r="Z59" s="203">
        <f>Z57/Z14</f>
        <v/>
      </c>
      <c r="AA59" s="203">
        <f>AA57/AA14</f>
        <v/>
      </c>
      <c r="AB59" s="203">
        <f>AB57/AB14</f>
        <v/>
      </c>
      <c r="AC59" s="203">
        <f>AC57/AC14</f>
        <v/>
      </c>
      <c r="AD59" s="203">
        <f>AD57/AD14</f>
        <v/>
      </c>
      <c r="AE59" s="203">
        <f>AE57/AE14</f>
        <v/>
      </c>
      <c r="AF59" s="203">
        <f>AF57/AF14</f>
        <v/>
      </c>
      <c r="AG59" s="203">
        <f>AG57/AG14</f>
        <v/>
      </c>
      <c r="AH59" s="203">
        <f>AH57/AH14</f>
        <v/>
      </c>
      <c r="AI59" s="203">
        <f>AI57/AI14</f>
        <v/>
      </c>
      <c r="AJ59" s="203">
        <f>AJ57/AJ14</f>
        <v/>
      </c>
      <c r="AK59" s="203">
        <f>AK57/AK14</f>
        <v/>
      </c>
      <c r="AL59" s="203">
        <f>AL57/AL14</f>
        <v/>
      </c>
      <c r="AM59" s="203">
        <f>AM57/AM14</f>
        <v/>
      </c>
      <c r="AN59" s="203">
        <f>AN57/AN14</f>
        <v/>
      </c>
      <c r="AO59" s="203">
        <f>AO57/AO14</f>
        <v/>
      </c>
      <c r="AP59" s="203">
        <f>AP57/AP14</f>
        <v/>
      </c>
      <c r="AQ59" s="203">
        <f>AQ57/AQ14</f>
        <v/>
      </c>
      <c r="AR59" s="203">
        <f>AR57/AR14</f>
        <v/>
      </c>
      <c r="AS59" s="203">
        <f>AS57/AS14</f>
        <v/>
      </c>
      <c r="AT59" s="203">
        <f>AT57/AT14</f>
        <v/>
      </c>
      <c r="AU59" s="203">
        <f>AU57/AU14</f>
        <v/>
      </c>
      <c r="AV59" s="203">
        <f>AV57/AV14</f>
        <v/>
      </c>
      <c r="AW59" s="203">
        <f>AW57/AW14</f>
        <v/>
      </c>
      <c r="AX59" s="203">
        <f>AX57/AX14</f>
        <v/>
      </c>
      <c r="AY59" s="203">
        <f>AY57/AY14</f>
        <v/>
      </c>
      <c r="AZ59" s="203">
        <f>AZ57/AZ14</f>
        <v/>
      </c>
      <c r="BA59" s="203">
        <f>BA57/BA14</f>
        <v/>
      </c>
      <c r="BB59" s="203">
        <f>BB57/BB14</f>
        <v/>
      </c>
      <c r="BC59" s="203">
        <f>BC57/BC14</f>
        <v/>
      </c>
      <c r="BD59" s="438">
        <f>BD57/BD14</f>
        <v/>
      </c>
    </row>
    <row r="60" ht="15" customHeight="1">
      <c r="A60" s="195" t="inlineStr">
        <is>
          <t>Выплата диведентов:</t>
        </is>
      </c>
      <c r="B60" s="196" t="n"/>
      <c r="C60" s="197">
        <f>'CF (нед)'!C38</f>
        <v/>
      </c>
      <c r="D60" s="197">
        <f>'CF (нед)'!D38</f>
        <v/>
      </c>
      <c r="E60" s="197">
        <f>'CF (нед)'!E38</f>
        <v/>
      </c>
      <c r="F60" s="197">
        <f>'CF (нед)'!F38</f>
        <v/>
      </c>
      <c r="G60" s="197">
        <f>'CF (нед)'!G38</f>
        <v/>
      </c>
      <c r="H60" s="197">
        <f>'CF (нед)'!H38</f>
        <v/>
      </c>
      <c r="I60" s="197">
        <f>'CF (нед)'!I38</f>
        <v/>
      </c>
      <c r="J60" s="197">
        <f>'CF (нед)'!J38</f>
        <v/>
      </c>
      <c r="K60" s="197">
        <f>'CF (нед)'!K38</f>
        <v/>
      </c>
      <c r="L60" s="197">
        <f>'CF (нед)'!L38</f>
        <v/>
      </c>
      <c r="M60" s="197">
        <f>'CF (нед)'!M38</f>
        <v/>
      </c>
      <c r="N60" s="197">
        <f>'CF (нед)'!N38</f>
        <v/>
      </c>
      <c r="O60" s="197">
        <f>'CF (нед)'!O38</f>
        <v/>
      </c>
      <c r="P60" s="197">
        <f>'CF (нед)'!P38</f>
        <v/>
      </c>
      <c r="Q60" s="197">
        <f>'CF (нед)'!Q38</f>
        <v/>
      </c>
      <c r="R60" s="197">
        <f>'CF (нед)'!R38</f>
        <v/>
      </c>
      <c r="S60" s="197">
        <f>'CF (нед)'!S38</f>
        <v/>
      </c>
      <c r="T60" s="197">
        <f>'CF (нед)'!T38</f>
        <v/>
      </c>
      <c r="U60" s="197">
        <f>'CF (нед)'!U38</f>
        <v/>
      </c>
      <c r="V60" s="197">
        <f>'CF (нед)'!V38</f>
        <v/>
      </c>
      <c r="W60" s="197">
        <f>'CF (нед)'!W38</f>
        <v/>
      </c>
      <c r="X60" s="197">
        <f>'CF (нед)'!X38</f>
        <v/>
      </c>
      <c r="Y60" s="197">
        <f>'CF (нед)'!Y38</f>
        <v/>
      </c>
      <c r="Z60" s="197">
        <f>'CF (нед)'!Z38</f>
        <v/>
      </c>
      <c r="AA60" s="197">
        <f>'CF (нед)'!AA38</f>
        <v/>
      </c>
      <c r="AB60" s="197">
        <f>'CF (нед)'!AB38</f>
        <v/>
      </c>
      <c r="AC60" s="197">
        <f>'CF (нед)'!AC38</f>
        <v/>
      </c>
      <c r="AD60" s="197">
        <f>'CF (нед)'!AD38</f>
        <v/>
      </c>
      <c r="AE60" s="197">
        <f>'CF (нед)'!AE38</f>
        <v/>
      </c>
      <c r="AF60" s="197">
        <f>'CF (нед)'!AF38</f>
        <v/>
      </c>
      <c r="AG60" s="197">
        <f>'CF (нед)'!AG38</f>
        <v/>
      </c>
      <c r="AH60" s="197">
        <f>'CF (нед)'!AH38</f>
        <v/>
      </c>
      <c r="AI60" s="197">
        <f>'CF (нед)'!AI38</f>
        <v/>
      </c>
      <c r="AJ60" s="197">
        <f>'CF (нед)'!AJ38</f>
        <v/>
      </c>
      <c r="AK60" s="197">
        <f>'CF (нед)'!AK38</f>
        <v/>
      </c>
      <c r="AL60" s="197">
        <f>'CF (нед)'!AL38</f>
        <v/>
      </c>
      <c r="AM60" s="197">
        <f>'CF (нед)'!AM38</f>
        <v/>
      </c>
      <c r="AN60" s="197">
        <f>'CF (нед)'!AN38</f>
        <v/>
      </c>
      <c r="AO60" s="197">
        <f>'CF (нед)'!AO38</f>
        <v/>
      </c>
      <c r="AP60" s="197">
        <f>'CF (нед)'!AP38</f>
        <v/>
      </c>
      <c r="AQ60" s="197">
        <f>'CF (нед)'!AQ38</f>
        <v/>
      </c>
      <c r="AR60" s="197">
        <f>'CF (нед)'!AR38</f>
        <v/>
      </c>
      <c r="AS60" s="197">
        <f>'CF (нед)'!AS38</f>
        <v/>
      </c>
      <c r="AT60" s="197">
        <f>'CF (нед)'!AT38</f>
        <v/>
      </c>
      <c r="AU60" s="197">
        <f>'CF (нед)'!AU38</f>
        <v/>
      </c>
      <c r="AV60" s="197">
        <f>'CF (нед)'!AV38</f>
        <v/>
      </c>
      <c r="AW60" s="197">
        <f>'CF (нед)'!AW38</f>
        <v/>
      </c>
      <c r="AX60" s="197">
        <f>'CF (нед)'!AX38</f>
        <v/>
      </c>
      <c r="AY60" s="197">
        <f>'CF (нед)'!AY38</f>
        <v/>
      </c>
      <c r="AZ60" s="197">
        <f>'CF (нед)'!AZ38</f>
        <v/>
      </c>
      <c r="BA60" s="197">
        <f>'CF (нед)'!BA38</f>
        <v/>
      </c>
      <c r="BB60" s="197">
        <f>'CF (нед)'!BB38</f>
        <v/>
      </c>
      <c r="BC60" s="197">
        <f>'CF (нед)'!BC38</f>
        <v/>
      </c>
      <c r="BD60" s="436">
        <f>SUM(C60:BB60)</f>
        <v/>
      </c>
    </row>
    <row r="61" ht="15" customHeight="1">
      <c r="A61" s="195" t="n"/>
      <c r="B61" s="204" t="n"/>
      <c r="C61" s="205" t="n"/>
      <c r="D61" s="205" t="n"/>
      <c r="E61" s="205" t="n"/>
      <c r="F61" s="205" t="n"/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  <c r="P61" s="205" t="n"/>
      <c r="Q61" s="205" t="n"/>
      <c r="R61" s="205" t="n"/>
      <c r="S61" s="205" t="n"/>
      <c r="T61" s="205" t="n"/>
      <c r="U61" s="205" t="n"/>
      <c r="V61" s="205" t="n"/>
      <c r="W61" s="205" t="n"/>
      <c r="X61" s="205" t="n"/>
      <c r="Y61" s="205" t="n"/>
      <c r="Z61" s="205" t="n"/>
      <c r="AA61" s="205" t="n"/>
      <c r="AB61" s="205" t="n"/>
      <c r="AC61" s="205" t="n"/>
      <c r="AD61" s="205" t="n"/>
      <c r="AE61" s="205" t="n"/>
      <c r="AF61" s="205" t="n"/>
      <c r="AG61" s="205" t="n"/>
      <c r="AH61" s="205" t="n"/>
      <c r="AI61" s="205" t="n"/>
      <c r="AJ61" s="205" t="n"/>
      <c r="AK61" s="205" t="n"/>
      <c r="AL61" s="205" t="n"/>
      <c r="AM61" s="205" t="n"/>
      <c r="AN61" s="205" t="n"/>
      <c r="AO61" s="205" t="n"/>
      <c r="AP61" s="205" t="n"/>
      <c r="AQ61" s="205" t="n"/>
      <c r="AR61" s="205" t="n"/>
      <c r="AS61" s="205" t="n"/>
      <c r="AT61" s="205" t="n"/>
      <c r="AU61" s="205" t="n"/>
      <c r="AV61" s="205" t="n"/>
      <c r="AW61" s="205" t="n"/>
      <c r="AX61" s="205" t="n"/>
      <c r="AY61" s="205" t="n"/>
      <c r="AZ61" s="205" t="n"/>
      <c r="BA61" s="205" t="n"/>
      <c r="BB61" s="205" t="n"/>
      <c r="BC61" s="205" t="n"/>
      <c r="BD61" s="436" t="n"/>
    </row>
    <row r="62" ht="13.5" customHeight="1">
      <c r="A62" s="177">
        <f>'PL WB'!A62</f>
        <v/>
      </c>
      <c r="B62" s="191" t="n"/>
      <c r="C62" s="182">
        <f>'CF (нед)'!C42</f>
        <v/>
      </c>
      <c r="D62" s="182">
        <f>'CF (нед)'!D42</f>
        <v/>
      </c>
      <c r="E62" s="182">
        <f>'CF (нед)'!E42</f>
        <v/>
      </c>
      <c r="F62" s="182">
        <f>'CF (нед)'!F42</f>
        <v/>
      </c>
      <c r="G62" s="182">
        <f>'CF (нед)'!G42</f>
        <v/>
      </c>
      <c r="H62" s="182">
        <f>'CF (нед)'!H42</f>
        <v/>
      </c>
      <c r="I62" s="182">
        <f>'CF (нед)'!I42</f>
        <v/>
      </c>
      <c r="J62" s="182">
        <f>'CF (нед)'!J42</f>
        <v/>
      </c>
      <c r="K62" s="182">
        <f>'CF (нед)'!K42</f>
        <v/>
      </c>
      <c r="L62" s="182">
        <f>'CF (нед)'!L42</f>
        <v/>
      </c>
      <c r="M62" s="182">
        <f>'CF (нед)'!M42</f>
        <v/>
      </c>
      <c r="N62" s="182">
        <f>'CF (нед)'!N42</f>
        <v/>
      </c>
      <c r="O62" s="182">
        <f>'CF (нед)'!O42</f>
        <v/>
      </c>
      <c r="P62" s="182">
        <f>'CF (нед)'!P42</f>
        <v/>
      </c>
      <c r="Q62" s="182">
        <f>'CF (нед)'!Q42</f>
        <v/>
      </c>
      <c r="R62" s="182">
        <f>'CF (нед)'!R42</f>
        <v/>
      </c>
      <c r="S62" s="182">
        <f>'CF (нед)'!S42</f>
        <v/>
      </c>
      <c r="T62" s="182">
        <f>'CF (нед)'!T42</f>
        <v/>
      </c>
      <c r="U62" s="182">
        <f>'CF (нед)'!U42</f>
        <v/>
      </c>
      <c r="V62" s="182">
        <f>'CF (нед)'!V42</f>
        <v/>
      </c>
      <c r="W62" s="182">
        <f>'CF (нед)'!W42</f>
        <v/>
      </c>
      <c r="X62" s="182">
        <f>'CF (нед)'!X42</f>
        <v/>
      </c>
      <c r="Y62" s="182">
        <f>'CF (нед)'!Y42</f>
        <v/>
      </c>
      <c r="Z62" s="182">
        <f>'CF (нед)'!Z42</f>
        <v/>
      </c>
      <c r="AA62" s="182">
        <f>'CF (нед)'!AA42</f>
        <v/>
      </c>
      <c r="AB62" s="182">
        <f>'CF (нед)'!AB42</f>
        <v/>
      </c>
      <c r="AC62" s="182">
        <f>'CF (нед)'!AC42</f>
        <v/>
      </c>
      <c r="AD62" s="182">
        <f>'CF (нед)'!AD42</f>
        <v/>
      </c>
      <c r="AE62" s="182">
        <f>'CF (нед)'!AE42</f>
        <v/>
      </c>
      <c r="AF62" s="182">
        <f>'CF (нед)'!AF42</f>
        <v/>
      </c>
      <c r="AG62" s="182">
        <f>'CF (нед)'!AG42</f>
        <v/>
      </c>
      <c r="AH62" s="182">
        <f>'CF (нед)'!AH42</f>
        <v/>
      </c>
      <c r="AI62" s="182">
        <f>'CF (нед)'!AI42</f>
        <v/>
      </c>
      <c r="AJ62" s="182">
        <f>'CF (нед)'!AJ42</f>
        <v/>
      </c>
      <c r="AK62" s="182">
        <f>'CF (нед)'!AK42</f>
        <v/>
      </c>
      <c r="AL62" s="182">
        <f>'CF (нед)'!AL42</f>
        <v/>
      </c>
      <c r="AM62" s="182">
        <f>'CF (нед)'!AM42</f>
        <v/>
      </c>
      <c r="AN62" s="182">
        <f>'CF (нед)'!AN42</f>
        <v/>
      </c>
      <c r="AO62" s="182">
        <f>'CF (нед)'!AO42</f>
        <v/>
      </c>
      <c r="AP62" s="182">
        <f>'CF (нед)'!AP42</f>
        <v/>
      </c>
      <c r="AQ62" s="182">
        <f>'CF (нед)'!AQ42</f>
        <v/>
      </c>
      <c r="AR62" s="182">
        <f>'CF (нед)'!AR42</f>
        <v/>
      </c>
      <c r="AS62" s="182">
        <f>'CF (нед)'!AS42</f>
        <v/>
      </c>
      <c r="AT62" s="182">
        <f>'CF (нед)'!AT42</f>
        <v/>
      </c>
      <c r="AU62" s="182">
        <f>'CF (нед)'!AU42</f>
        <v/>
      </c>
      <c r="AV62" s="182">
        <f>'CF (нед)'!AV42</f>
        <v/>
      </c>
      <c r="AW62" s="182">
        <f>'CF (нед)'!AW42</f>
        <v/>
      </c>
      <c r="AX62" s="182">
        <f>'CF (нед)'!AX42</f>
        <v/>
      </c>
      <c r="AY62" s="182">
        <f>'CF (нед)'!AY42</f>
        <v/>
      </c>
      <c r="AZ62" s="182">
        <f>'CF (нед)'!AZ42</f>
        <v/>
      </c>
      <c r="BA62" s="182">
        <f>'CF (нед)'!BA42</f>
        <v/>
      </c>
      <c r="BB62" s="182">
        <f>'CF (нед)'!BB42</f>
        <v/>
      </c>
      <c r="BC62" s="182">
        <f>'CF (нед)'!BC42</f>
        <v/>
      </c>
      <c r="BD62" s="436" t="n"/>
    </row>
    <row r="63" ht="15" customHeight="1">
      <c r="A63" s="185" t="n"/>
      <c r="B63" s="186" t="n"/>
      <c r="C63" s="139" t="n"/>
      <c r="D63" s="140" t="n"/>
      <c r="E63" s="140" t="n"/>
      <c r="F63" s="140" t="n"/>
      <c r="G63" s="206">
        <f>G62-'PL WB'!C62</f>
        <v/>
      </c>
      <c r="H63" s="139" t="n"/>
      <c r="I63" s="140" t="n"/>
      <c r="J63" s="140" t="n"/>
      <c r="K63" s="206">
        <f>K62-'PL WB'!D62</f>
        <v/>
      </c>
      <c r="L63" s="139" t="n"/>
      <c r="M63" s="140" t="n"/>
      <c r="N63" s="140" t="n"/>
      <c r="O63" s="206">
        <f>O62-'PL WB'!E62</f>
        <v/>
      </c>
      <c r="P63" s="139" t="n"/>
      <c r="Q63" s="140" t="n"/>
      <c r="R63" s="140" t="n"/>
      <c r="S63" s="206">
        <f>S62-'PL WB'!F62</f>
        <v/>
      </c>
      <c r="T63" s="139" t="n"/>
      <c r="U63" s="140" t="n"/>
      <c r="V63" s="140" t="n"/>
      <c r="W63" s="207" t="n"/>
      <c r="X63" s="206">
        <f>X62-'PL WB'!G62</f>
        <v/>
      </c>
      <c r="Y63" s="320" t="n"/>
      <c r="Z63" s="207" t="n"/>
      <c r="AA63" s="207" t="n"/>
      <c r="AB63" s="206">
        <f>AB62-'PL WB'!H62</f>
        <v/>
      </c>
      <c r="AC63" s="320" t="n"/>
      <c r="AD63" s="207" t="n"/>
      <c r="AE63" s="207" t="n"/>
      <c r="AF63" s="206">
        <f>AF62-'PL WB'!I62</f>
        <v/>
      </c>
      <c r="AG63" s="320" t="n"/>
      <c r="AH63" s="207" t="n"/>
      <c r="AI63" s="207" t="n"/>
      <c r="AJ63" s="207" t="n"/>
      <c r="AK63" s="206">
        <f>AK62-'PL WB'!J62</f>
        <v/>
      </c>
      <c r="AL63" s="320" t="n"/>
      <c r="AM63" s="207" t="n"/>
      <c r="AN63" s="207" t="n"/>
      <c r="AO63" s="206">
        <f>AO62-'PL WB'!K62</f>
        <v/>
      </c>
      <c r="AP63" s="320" t="n"/>
      <c r="AQ63" s="207" t="n"/>
      <c r="AR63" s="207" t="n"/>
      <c r="AS63" s="207" t="n"/>
      <c r="AT63" s="206">
        <f>AT62-'PL WB'!L62</f>
        <v/>
      </c>
      <c r="AU63" s="320" t="n"/>
      <c r="AV63" s="207" t="n"/>
      <c r="AW63" s="207" t="n"/>
      <c r="AX63" s="331">
        <f>AX62-'PL WB'!M62</f>
        <v/>
      </c>
      <c r="AY63" s="320" t="n"/>
      <c r="AZ63" s="207" t="n"/>
      <c r="BA63" s="207" t="n"/>
      <c r="BB63" s="207">
        <f>BB62-'PL WB'!N62</f>
        <v/>
      </c>
      <c r="BC63" s="207">
        <f>BC62-'PL WB'!O62</f>
        <v/>
      </c>
      <c r="BD63" s="436" t="n"/>
    </row>
    <row r="64" ht="15" customHeight="1">
      <c r="A64" s="195" t="inlineStr">
        <is>
          <t>Накопленный финансовый результат</t>
        </is>
      </c>
      <c r="B64" s="196" t="n"/>
      <c r="C64" s="340">
        <f>C57+799578-C60</f>
        <v/>
      </c>
      <c r="D64" s="198">
        <f>D57+C64-D60</f>
        <v/>
      </c>
      <c r="E64" s="198">
        <f>E57+D64-E60</f>
        <v/>
      </c>
      <c r="F64" s="198">
        <f>F57+E64-F60</f>
        <v/>
      </c>
      <c r="G64" s="199">
        <f>G57+F64-G60</f>
        <v/>
      </c>
      <c r="H64" s="197">
        <f>H57+G64-H60</f>
        <v/>
      </c>
      <c r="I64" s="198">
        <f>I57+H64-I60</f>
        <v/>
      </c>
      <c r="J64" s="198">
        <f>J57+I64-J60</f>
        <v/>
      </c>
      <c r="K64" s="199">
        <f>K57+J64-K60</f>
        <v/>
      </c>
      <c r="L64" s="197">
        <f>L57+K64-L60</f>
        <v/>
      </c>
      <c r="M64" s="198">
        <f>M57+L64-M60</f>
        <v/>
      </c>
      <c r="N64" s="198">
        <f>N57+M64-N60</f>
        <v/>
      </c>
      <c r="O64" s="199">
        <f>O57+N64-O60</f>
        <v/>
      </c>
      <c r="P64" s="197">
        <f>P57+O64-P60</f>
        <v/>
      </c>
      <c r="Q64" s="198">
        <f>Q57+P64-Q60</f>
        <v/>
      </c>
      <c r="R64" s="198">
        <f>R57+Q64-R60</f>
        <v/>
      </c>
      <c r="S64" s="199">
        <f>S57+R64-S60</f>
        <v/>
      </c>
      <c r="T64" s="197">
        <f>T57+S64-T60</f>
        <v/>
      </c>
      <c r="U64" s="198">
        <f>U57+T64-U60</f>
        <v/>
      </c>
      <c r="V64" s="198">
        <f>V57+U64-V60</f>
        <v/>
      </c>
      <c r="W64" s="198">
        <f>W57+V64-W60</f>
        <v/>
      </c>
      <c r="X64" s="199">
        <f>X57+W64-X60</f>
        <v/>
      </c>
      <c r="Y64" s="197">
        <f>Y57+X64-Y60</f>
        <v/>
      </c>
      <c r="Z64" s="198">
        <f>Z57+Y64-Z60</f>
        <v/>
      </c>
      <c r="AA64" s="198">
        <f>AA57+Z64-AA60</f>
        <v/>
      </c>
      <c r="AB64" s="199">
        <f>AB57+AA64-AB60</f>
        <v/>
      </c>
      <c r="AC64" s="197">
        <f>AC57+AB64-AC60</f>
        <v/>
      </c>
      <c r="AD64" s="198">
        <f>AD57+AC64-AD60</f>
        <v/>
      </c>
      <c r="AE64" s="198">
        <f>AE57+AD64-AE60</f>
        <v/>
      </c>
      <c r="AF64" s="199">
        <f>AF57+AE64-AF60</f>
        <v/>
      </c>
      <c r="AG64" s="197">
        <f>AG57+AF64-AG60</f>
        <v/>
      </c>
      <c r="AH64" s="198">
        <f>AH57+AG64-AH60</f>
        <v/>
      </c>
      <c r="AI64" s="198">
        <f>AI57+AH64-AI60</f>
        <v/>
      </c>
      <c r="AJ64" s="198">
        <f>AJ57+AI64-AJ60</f>
        <v/>
      </c>
      <c r="AK64" s="199">
        <f>AK57+AJ64-AK60</f>
        <v/>
      </c>
      <c r="AL64" s="197">
        <f>AL57+AK64-AL60</f>
        <v/>
      </c>
      <c r="AM64" s="198">
        <f>AM57+AL64-AM60</f>
        <v/>
      </c>
      <c r="AN64" s="198">
        <f>AN57+AM64-AN60</f>
        <v/>
      </c>
      <c r="AO64" s="199">
        <f>AO57+AN64-AO60</f>
        <v/>
      </c>
      <c r="AP64" s="197">
        <f>AP57+AO64-AP60</f>
        <v/>
      </c>
      <c r="AQ64" s="198">
        <f>AQ57+AP64-AQ60</f>
        <v/>
      </c>
      <c r="AR64" s="198">
        <f>AR57+AQ64-AR60</f>
        <v/>
      </c>
      <c r="AS64" s="198">
        <f>AS57+AR64-AS60</f>
        <v/>
      </c>
      <c r="AT64" s="199">
        <f>AT57+AS64-AT60</f>
        <v/>
      </c>
      <c r="AU64" s="197">
        <f>AU57+AT64-AU60</f>
        <v/>
      </c>
      <c r="AV64" s="198">
        <f>AV57+AU64-AV60</f>
        <v/>
      </c>
      <c r="AW64" s="198">
        <f>AW57+AV64-AW60</f>
        <v/>
      </c>
      <c r="AX64" s="330">
        <f>AX57+AW64-AX60</f>
        <v/>
      </c>
      <c r="AY64" s="197">
        <f>AY57+AX64-AY60</f>
        <v/>
      </c>
      <c r="AZ64" s="198">
        <f>AZ57+AY64-AZ60</f>
        <v/>
      </c>
      <c r="BA64" s="198">
        <f>BA57+AZ64-BA60</f>
        <v/>
      </c>
      <c r="BB64" s="198">
        <f>BB57+BA64-BB60</f>
        <v/>
      </c>
      <c r="BC64" s="198">
        <f>BC57+BB64-BC60</f>
        <v/>
      </c>
      <c r="BD64" s="436" t="n"/>
    </row>
    <row r="65" ht="13.5" customHeight="1">
      <c r="A65" s="208" t="n"/>
      <c r="B65" s="121" t="n"/>
      <c r="C65" s="119" t="n"/>
      <c r="D65" s="117" t="n"/>
      <c r="E65" s="117" t="n"/>
      <c r="F65" s="117" t="n"/>
      <c r="G65" s="209">
        <f>G64-'PL WB'!C64</f>
        <v/>
      </c>
      <c r="H65" s="210" t="n"/>
      <c r="I65" s="117" t="n"/>
      <c r="J65" s="117" t="n"/>
      <c r="K65" s="209">
        <f>K64-'PL WB'!D64</f>
        <v/>
      </c>
      <c r="L65" s="210" t="n"/>
      <c r="M65" s="117" t="n"/>
      <c r="N65" s="117" t="n"/>
      <c r="O65" s="209">
        <f>O64-'PL WB'!E64</f>
        <v/>
      </c>
      <c r="P65" s="210" t="n"/>
      <c r="Q65" s="117" t="n"/>
      <c r="R65" s="117" t="n"/>
      <c r="S65" s="209">
        <f>S64-'PL WB'!F64</f>
        <v/>
      </c>
      <c r="T65" s="210" t="n"/>
      <c r="U65" s="117" t="n"/>
      <c r="V65" s="117" t="n"/>
      <c r="W65" s="211" t="n"/>
      <c r="X65" s="209">
        <f>X64-'PL WB'!G64</f>
        <v/>
      </c>
      <c r="Y65" s="321" t="n"/>
      <c r="Z65" s="211" t="n"/>
      <c r="AA65" s="211" t="n"/>
      <c r="AB65" s="209">
        <f>AB64-'PL WB'!H64</f>
        <v/>
      </c>
      <c r="AC65" s="321" t="n"/>
      <c r="AD65" s="211" t="n"/>
      <c r="AE65" s="211" t="n"/>
      <c r="AF65" s="209">
        <f>AF64-'PL WB'!I64</f>
        <v/>
      </c>
      <c r="AG65" s="321" t="n"/>
      <c r="AH65" s="211" t="n"/>
      <c r="AI65" s="211" t="n"/>
      <c r="AJ65" s="211" t="n"/>
      <c r="AK65" s="209">
        <f>AK64-'PL WB'!J64</f>
        <v/>
      </c>
      <c r="AL65" s="321" t="n"/>
      <c r="AM65" s="211" t="n"/>
      <c r="AN65" s="211" t="n"/>
      <c r="AO65" s="209">
        <f>AO64-'PL WB'!K64</f>
        <v/>
      </c>
      <c r="AP65" s="321" t="n"/>
      <c r="AQ65" s="211" t="n"/>
      <c r="AR65" s="211" t="n"/>
      <c r="AS65" s="211" t="n"/>
      <c r="AT65" s="209">
        <f>AT64-'PL WB'!L64</f>
        <v/>
      </c>
      <c r="AU65" s="321" t="n"/>
      <c r="AV65" s="211" t="n"/>
      <c r="AW65" s="211" t="n"/>
      <c r="AX65" s="332">
        <f>AX64-'PL WB'!M64</f>
        <v/>
      </c>
      <c r="AY65" s="321" t="n"/>
      <c r="AZ65" s="211" t="n"/>
      <c r="BA65" s="211" t="n"/>
      <c r="BB65" s="211">
        <f>BB64-'PL WB'!N64</f>
        <v/>
      </c>
      <c r="BC65" s="211">
        <f>BC64-'PL WB'!O64</f>
        <v/>
      </c>
    </row>
    <row r="66" ht="13.5" customHeight="1">
      <c r="A66" s="212" t="inlineStr">
        <is>
          <t>Серые нули (стр 63, 65) - это проверки между листами! Если не ноль - ищем ошибку</t>
        </is>
      </c>
      <c r="B66" s="121" t="n"/>
      <c r="C66" s="119" t="n"/>
      <c r="D66" s="117" t="n"/>
      <c r="E66" s="117" t="n"/>
      <c r="F66" s="117" t="n"/>
      <c r="G66" s="118" t="n"/>
      <c r="H66" s="119" t="n"/>
      <c r="I66" s="117" t="n"/>
      <c r="J66" s="117" t="n"/>
      <c r="K66" s="118" t="n"/>
      <c r="L66" s="119" t="n"/>
      <c r="M66" s="117" t="n"/>
      <c r="N66" s="213" t="n"/>
      <c r="O66" s="214" t="n"/>
      <c r="P66" s="215" t="n"/>
      <c r="Q66" s="213" t="n"/>
      <c r="R66" s="213" t="n"/>
      <c r="S66" s="214" t="n"/>
      <c r="T66" s="215" t="n"/>
      <c r="U66" s="213" t="n"/>
      <c r="V66" s="213" t="n"/>
      <c r="W66" s="213" t="n"/>
      <c r="X66" s="214" t="n"/>
      <c r="Y66" s="215" t="n"/>
      <c r="Z66" s="213" t="n"/>
      <c r="AA66" s="213" t="n"/>
      <c r="AB66" s="214" t="n"/>
      <c r="AC66" s="215" t="n"/>
      <c r="AD66" s="213" t="n"/>
      <c r="AE66" s="213" t="n"/>
      <c r="AF66" s="214" t="n"/>
      <c r="AG66" s="215" t="n"/>
      <c r="AH66" s="213" t="n"/>
      <c r="AI66" s="213" t="n"/>
      <c r="AJ66" s="213" t="n"/>
      <c r="AK66" s="214" t="n"/>
      <c r="AL66" s="215" t="n"/>
      <c r="AM66" s="213" t="n"/>
      <c r="AN66" s="213" t="n"/>
      <c r="AO66" s="214" t="n"/>
      <c r="AP66" s="215" t="n"/>
      <c r="AQ66" s="213" t="n"/>
      <c r="AR66" s="213" t="n"/>
      <c r="AS66" s="213" t="n"/>
      <c r="AT66" s="214" t="n"/>
      <c r="AU66" s="215" t="n"/>
      <c r="AV66" s="213" t="n"/>
      <c r="AW66" s="213" t="n"/>
      <c r="AX66" s="333" t="n"/>
      <c r="AY66" s="215" t="n"/>
      <c r="AZ66" s="213" t="n"/>
      <c r="BA66" s="213" t="n"/>
      <c r="BB66" s="213" t="n"/>
      <c r="BC66" s="213" t="n"/>
    </row>
    <row r="67" ht="13.5" customHeight="1">
      <c r="A67" s="208" t="n"/>
      <c r="B67" s="121" t="n"/>
      <c r="C67" s="119" t="n"/>
      <c r="D67" s="117" t="n"/>
      <c r="E67" s="117" t="n"/>
      <c r="F67" s="117" t="n"/>
      <c r="G67" s="118" t="n"/>
      <c r="H67" s="119" t="n"/>
      <c r="I67" s="117" t="n"/>
      <c r="J67" s="117" t="n"/>
      <c r="K67" s="118" t="n"/>
      <c r="L67" s="119" t="n"/>
      <c r="M67" s="117" t="n"/>
      <c r="N67" s="213" t="n"/>
      <c r="O67" s="214" t="n"/>
      <c r="P67" s="215" t="n"/>
      <c r="Q67" s="213" t="n"/>
      <c r="R67" s="213" t="n"/>
      <c r="S67" s="214" t="n"/>
      <c r="T67" s="215" t="n"/>
      <c r="U67" s="213" t="n"/>
      <c r="V67" s="213" t="n"/>
      <c r="W67" s="213" t="n"/>
      <c r="X67" s="214" t="n"/>
      <c r="Y67" s="215" t="n"/>
      <c r="Z67" s="213" t="n"/>
      <c r="AA67" s="213" t="n"/>
      <c r="AB67" s="214" t="n"/>
      <c r="AC67" s="215" t="n"/>
      <c r="AD67" s="213" t="n"/>
      <c r="AE67" s="213" t="n"/>
      <c r="AF67" s="214" t="n"/>
      <c r="AG67" s="215" t="n"/>
      <c r="AH67" s="213" t="n"/>
      <c r="AI67" s="213" t="n"/>
      <c r="AJ67" s="213" t="n"/>
      <c r="AK67" s="214" t="n"/>
      <c r="AL67" s="215" t="n"/>
      <c r="AM67" s="213" t="n"/>
      <c r="AN67" s="213" t="n"/>
      <c r="AO67" s="214" t="n"/>
      <c r="AP67" s="215" t="n"/>
      <c r="AQ67" s="213" t="n"/>
      <c r="AR67" s="213" t="n"/>
      <c r="AS67" s="213" t="n"/>
      <c r="AT67" s="214" t="n"/>
      <c r="AU67" s="215" t="n"/>
      <c r="AV67" s="213" t="n"/>
      <c r="AW67" s="213" t="n"/>
      <c r="AX67" s="333" t="n"/>
      <c r="AY67" s="215" t="n"/>
      <c r="AZ67" s="213" t="n"/>
      <c r="BA67" s="213" t="n"/>
      <c r="BB67" s="213" t="n"/>
      <c r="BC67" s="213" t="n"/>
    </row>
    <row r="68" ht="13.5" customHeight="1">
      <c r="A68" s="208" t="n"/>
      <c r="B68" s="216" t="inlineStr">
        <is>
          <t>Сумма вложений с начала 2023</t>
        </is>
      </c>
      <c r="C68" s="119">
        <f>SUM('CF (нед)'!$C$29:C29)</f>
        <v/>
      </c>
      <c r="D68" s="117">
        <f>SUM('CF (нед)'!$C$29:D29)</f>
        <v/>
      </c>
      <c r="E68" s="117">
        <f>SUM('CF (нед)'!$C$29:E29)</f>
        <v/>
      </c>
      <c r="F68" s="117">
        <f>SUM('CF (нед)'!$C$29:F29)</f>
        <v/>
      </c>
      <c r="G68" s="118">
        <f>SUM('CF (нед)'!$C$29:G29)</f>
        <v/>
      </c>
      <c r="H68" s="119">
        <f>SUM('CF (нед)'!$C$29:H29)</f>
        <v/>
      </c>
      <c r="I68" s="117">
        <f>SUM('CF (нед)'!$C$29:I29)</f>
        <v/>
      </c>
      <c r="J68" s="117">
        <f>SUM('CF (нед)'!$C$29:J29)</f>
        <v/>
      </c>
      <c r="K68" s="118">
        <f>SUM('CF (нед)'!$C$29:K29)</f>
        <v/>
      </c>
      <c r="L68" s="119">
        <f>SUM('CF (нед)'!$C$29:L29)</f>
        <v/>
      </c>
      <c r="M68" s="117">
        <f>SUM('CF (нед)'!$C$29:M29)</f>
        <v/>
      </c>
      <c r="N68" s="117">
        <f>SUM('CF (нед)'!$C$29:N29)</f>
        <v/>
      </c>
      <c r="O68" s="118">
        <f>SUM('CF (нед)'!$C$29:O29)</f>
        <v/>
      </c>
      <c r="P68" s="119">
        <f>SUM('CF (нед)'!$C$29:P29)</f>
        <v/>
      </c>
      <c r="Q68" s="117">
        <f>SUM('CF (нед)'!$C$29:Q29)</f>
        <v/>
      </c>
      <c r="R68" s="117">
        <f>SUM('CF (нед)'!$C$29:R29)</f>
        <v/>
      </c>
      <c r="S68" s="118">
        <f>SUM('CF (нед)'!$C$29:S29)</f>
        <v/>
      </c>
      <c r="T68" s="119">
        <f>SUM('CF (нед)'!$C$29:T29)</f>
        <v/>
      </c>
      <c r="U68" s="117">
        <f>SUM('CF (нед)'!$C$29:U29)</f>
        <v/>
      </c>
      <c r="V68" s="117">
        <f>SUM('CF (нед)'!$C$29:V29)</f>
        <v/>
      </c>
      <c r="W68" s="117">
        <f>SUM('CF (нед)'!$C$29:W29)</f>
        <v/>
      </c>
      <c r="X68" s="118">
        <f>SUM('CF (нед)'!$C$29:X29)</f>
        <v/>
      </c>
      <c r="Y68" s="119">
        <f>SUM('CF (нед)'!$C$29:Y29)</f>
        <v/>
      </c>
      <c r="Z68" s="117">
        <f>SUM('CF (нед)'!$C$29:Z29)</f>
        <v/>
      </c>
      <c r="AA68" s="117">
        <f>SUM('CF (нед)'!$C$29:AA29)</f>
        <v/>
      </c>
      <c r="AB68" s="118">
        <f>SUM('CF (нед)'!$C$29:AB29)</f>
        <v/>
      </c>
      <c r="AC68" s="119">
        <f>SUM('CF (нед)'!$C$29:AC29)</f>
        <v/>
      </c>
      <c r="AD68" s="117">
        <f>SUM('CF (нед)'!$C$29:AD29)</f>
        <v/>
      </c>
      <c r="AE68" s="117">
        <f>SUM('CF (нед)'!$C$29:AE29)</f>
        <v/>
      </c>
      <c r="AF68" s="118">
        <f>SUM('CF (нед)'!$C$29:AF29)</f>
        <v/>
      </c>
      <c r="AG68" s="119">
        <f>SUM('CF (нед)'!$C$29:AG29)</f>
        <v/>
      </c>
      <c r="AH68" s="117">
        <f>SUM('CF (нед)'!$C$29:AH29)</f>
        <v/>
      </c>
      <c r="AI68" s="117">
        <f>SUM('CF (нед)'!$C$29:AI29)</f>
        <v/>
      </c>
      <c r="AJ68" s="117">
        <f>SUM('CF (нед)'!$C$29:AJ29)</f>
        <v/>
      </c>
      <c r="AK68" s="118">
        <f>SUM('CF (нед)'!$C$29:AK29)</f>
        <v/>
      </c>
      <c r="AL68" s="119">
        <f>SUM('CF (нед)'!$C$29:AL29)</f>
        <v/>
      </c>
      <c r="AM68" s="117">
        <f>SUM('CF (нед)'!$C$29:AM29)</f>
        <v/>
      </c>
      <c r="AN68" s="117">
        <f>SUM('CF (нед)'!$C$29:AN29)</f>
        <v/>
      </c>
      <c r="AO68" s="118">
        <f>SUM('CF (нед)'!$C$29:AO29)</f>
        <v/>
      </c>
      <c r="AP68" s="119">
        <f>SUM('CF (нед)'!$C$29:AP29)</f>
        <v/>
      </c>
      <c r="AQ68" s="117">
        <f>SUM('CF (нед)'!$C$29:AQ29)</f>
        <v/>
      </c>
      <c r="AR68" s="117">
        <f>SUM('CF (нед)'!$C$29:AR29)</f>
        <v/>
      </c>
      <c r="AS68" s="117">
        <f>SUM('CF (нед)'!$C$29:AS29)</f>
        <v/>
      </c>
      <c r="AT68" s="118">
        <f>SUM('CF (нед)'!$C$29:AT29)</f>
        <v/>
      </c>
      <c r="AU68" s="119">
        <f>SUM('CF (нед)'!$C$29:AU29)</f>
        <v/>
      </c>
      <c r="AV68" s="117">
        <f>SUM('CF (нед)'!$C$29:AV29)</f>
        <v/>
      </c>
      <c r="AW68" s="117">
        <f>SUM('CF (нед)'!$C$29:AW29)</f>
        <v/>
      </c>
      <c r="AX68" s="115">
        <f>SUM('CF (нед)'!$C$29:AX29)</f>
        <v/>
      </c>
      <c r="AY68" s="119">
        <f>SUM('CF (нед)'!$C$29:AY29)</f>
        <v/>
      </c>
      <c r="AZ68" s="117">
        <f>SUM('CF (нед)'!$C$29:AZ29)</f>
        <v/>
      </c>
      <c r="BA68" s="117">
        <f>SUM('CF (нед)'!$C$29:BA29)</f>
        <v/>
      </c>
      <c r="BB68" s="117">
        <f>SUM('CF (нед)'!$C$29:BB29)</f>
        <v/>
      </c>
      <c r="BC68" s="117">
        <f>SUM('CF (нед)'!$C$29:BC29)</f>
        <v/>
      </c>
    </row>
    <row r="69" ht="13.5" customHeight="1">
      <c r="A69" s="208" t="n"/>
      <c r="B69" s="216" t="inlineStr">
        <is>
          <t>Сумма себестоимости за 16 нед</t>
        </is>
      </c>
      <c r="C69" s="119">
        <f>SUM($C$33:C33)</f>
        <v/>
      </c>
      <c r="D69" s="117">
        <f>SUM($C$33:D33)</f>
        <v/>
      </c>
      <c r="E69" s="117">
        <f>SUM($C$33:E33)</f>
        <v/>
      </c>
      <c r="F69" s="117">
        <f>SUM($C$33:F33)</f>
        <v/>
      </c>
      <c r="G69" s="118">
        <f>SUM($C$33:G33)</f>
        <v/>
      </c>
      <c r="H69" s="119">
        <f>SUM($C$33:H33)</f>
        <v/>
      </c>
      <c r="I69" s="117">
        <f>SUM($C$33:I33)</f>
        <v/>
      </c>
      <c r="J69" s="117">
        <f>SUM($C$33:J33)</f>
        <v/>
      </c>
      <c r="K69" s="118">
        <f>SUM($C$33:K33)</f>
        <v/>
      </c>
      <c r="L69" s="119">
        <f>SUM($C$33:L33)</f>
        <v/>
      </c>
      <c r="M69" s="117">
        <f>SUM($C$33:M33)</f>
        <v/>
      </c>
      <c r="N69" s="117">
        <f>SUM($C$33:N33)</f>
        <v/>
      </c>
      <c r="O69" s="118">
        <f>SUM($C$33:O33)</f>
        <v/>
      </c>
      <c r="P69" s="119">
        <f>SUM($C$33:P33)</f>
        <v/>
      </c>
      <c r="Q69" s="117">
        <f>SUM($C$33:Q33)</f>
        <v/>
      </c>
      <c r="R69" s="117">
        <f>SUM(C33:R33)</f>
        <v/>
      </c>
      <c r="S69" s="118">
        <f>SUM(D33:S33)</f>
        <v/>
      </c>
      <c r="T69" s="119">
        <f>SUM(E33:T33)</f>
        <v/>
      </c>
      <c r="U69" s="117">
        <f>SUM(F33:U33)</f>
        <v/>
      </c>
      <c r="V69" s="117">
        <f>SUM(G33:V33)</f>
        <v/>
      </c>
      <c r="W69" s="117">
        <f>SUM(H33:W33)</f>
        <v/>
      </c>
      <c r="X69" s="118">
        <f>SUM(I33:X33)</f>
        <v/>
      </c>
      <c r="Y69" s="119">
        <f>SUM(J33:Y33)</f>
        <v/>
      </c>
      <c r="Z69" s="117">
        <f>SUM(K33:Z33)</f>
        <v/>
      </c>
      <c r="AA69" s="117">
        <f>SUM(L33:AA33)</f>
        <v/>
      </c>
      <c r="AB69" s="118">
        <f>SUM(M33:AB33)</f>
        <v/>
      </c>
      <c r="AC69" s="119">
        <f>SUM(N33:AC33)</f>
        <v/>
      </c>
      <c r="AD69" s="117">
        <f>SUM(O33:AD33)</f>
        <v/>
      </c>
      <c r="AE69" s="117">
        <f>SUM(P33:AE33)</f>
        <v/>
      </c>
      <c r="AF69" s="118">
        <f>SUM(Q33:AF33)</f>
        <v/>
      </c>
      <c r="AG69" s="119">
        <f>SUM(R33:AG33)</f>
        <v/>
      </c>
      <c r="AH69" s="117">
        <f>SUM(S33:AH33)</f>
        <v/>
      </c>
      <c r="AI69" s="117">
        <f>SUM(T33:AI33)</f>
        <v/>
      </c>
      <c r="AJ69" s="117">
        <f>SUM(U33:AJ33)</f>
        <v/>
      </c>
      <c r="AK69" s="118">
        <f>SUM(V33:AK33)</f>
        <v/>
      </c>
      <c r="AL69" s="119">
        <f>SUM(W33:AL33)</f>
        <v/>
      </c>
      <c r="AM69" s="117">
        <f>SUM(X33:AM33)</f>
        <v/>
      </c>
      <c r="AN69" s="117">
        <f>SUM(Y33:AN33)</f>
        <v/>
      </c>
      <c r="AO69" s="118">
        <f>SUM(Z33:AO33)</f>
        <v/>
      </c>
      <c r="AP69" s="119">
        <f>SUM(AA33:AP33)</f>
        <v/>
      </c>
      <c r="AQ69" s="117">
        <f>SUM(AB33:AQ33)</f>
        <v/>
      </c>
      <c r="AR69" s="117">
        <f>SUM(AC33:AR33)</f>
        <v/>
      </c>
      <c r="AS69" s="117">
        <f>SUM(AD33:AS33)</f>
        <v/>
      </c>
      <c r="AT69" s="118">
        <f>SUM(AE33:AT33)</f>
        <v/>
      </c>
      <c r="AU69" s="119">
        <f>SUM(AF33:AU33)</f>
        <v/>
      </c>
      <c r="AV69" s="117">
        <f>SUM(AG33:AV33)</f>
        <v/>
      </c>
      <c r="AW69" s="117">
        <f>SUM(AH33:AW33)</f>
        <v/>
      </c>
      <c r="AX69" s="115">
        <f>SUM(AI33:AX33)</f>
        <v/>
      </c>
      <c r="AY69" s="119">
        <f>SUM(AJ33:AY33)</f>
        <v/>
      </c>
      <c r="AZ69" s="117">
        <f>SUM(AK33:AZ33)</f>
        <v/>
      </c>
      <c r="BA69" s="117">
        <f>SUM(AL33:BA33)</f>
        <v/>
      </c>
      <c r="BB69" s="117">
        <f>SUM(AM33:BB33)</f>
        <v/>
      </c>
      <c r="BC69" s="117">
        <f>SUM(AN33:BC33)</f>
        <v/>
      </c>
    </row>
    <row r="70" ht="13.5" customHeight="1">
      <c r="A70" s="208" t="n"/>
      <c r="B70" s="216" t="inlineStr">
        <is>
          <t>Прибыль за 16 нед</t>
        </is>
      </c>
      <c r="C70" s="119">
        <f>SUM($C$57:C57)</f>
        <v/>
      </c>
      <c r="D70" s="117">
        <f>SUM($C$57:D57)</f>
        <v/>
      </c>
      <c r="E70" s="117">
        <f>SUM($C$57:E57)</f>
        <v/>
      </c>
      <c r="F70" s="117">
        <f>SUM($C$57:F57)</f>
        <v/>
      </c>
      <c r="G70" s="118">
        <f>SUM($C$57:G57)</f>
        <v/>
      </c>
      <c r="H70" s="119">
        <f>SUM($C$57:H57)</f>
        <v/>
      </c>
      <c r="I70" s="117">
        <f>SUM($C$57:I57)</f>
        <v/>
      </c>
      <c r="J70" s="117">
        <f>SUM($C$57:J57)</f>
        <v/>
      </c>
      <c r="K70" s="118">
        <f>SUM($C$57:K57)</f>
        <v/>
      </c>
      <c r="L70" s="119">
        <f>SUM($C$57:L57)</f>
        <v/>
      </c>
      <c r="M70" s="117">
        <f>SUM($C$57:M57)</f>
        <v/>
      </c>
      <c r="N70" s="117">
        <f>SUM($C$57:N57)</f>
        <v/>
      </c>
      <c r="O70" s="118">
        <f>SUM($C$57:O57)</f>
        <v/>
      </c>
      <c r="P70" s="119">
        <f>SUM($C$57:P57)</f>
        <v/>
      </c>
      <c r="Q70" s="117">
        <f>SUM($C$57:Q57)</f>
        <v/>
      </c>
      <c r="R70" s="117">
        <f>SUM(C57:R57)</f>
        <v/>
      </c>
      <c r="S70" s="118">
        <f>SUM(D57:S57)</f>
        <v/>
      </c>
      <c r="T70" s="119">
        <f>SUM(E57:T57)</f>
        <v/>
      </c>
      <c r="U70" s="117">
        <f>SUM(F57:U57)</f>
        <v/>
      </c>
      <c r="V70" s="117">
        <f>SUM(G57:V57)</f>
        <v/>
      </c>
      <c r="W70" s="117">
        <f>SUM(H57:W57)</f>
        <v/>
      </c>
      <c r="X70" s="118">
        <f>SUM(I57:X57)</f>
        <v/>
      </c>
      <c r="Y70" s="119">
        <f>SUM(J57:Y57)</f>
        <v/>
      </c>
      <c r="Z70" s="117">
        <f>SUM(K57:Z57)</f>
        <v/>
      </c>
      <c r="AA70" s="117">
        <f>SUM(L57:AA57)</f>
        <v/>
      </c>
      <c r="AB70" s="118">
        <f>SUM(M57:AB57)</f>
        <v/>
      </c>
      <c r="AC70" s="119">
        <f>SUM(N57:AC57)</f>
        <v/>
      </c>
      <c r="AD70" s="117">
        <f>SUM(O57:AD57)</f>
        <v/>
      </c>
      <c r="AE70" s="117">
        <f>SUM(P57:AE57)</f>
        <v/>
      </c>
      <c r="AF70" s="118">
        <f>SUM(Q57:AF57)</f>
        <v/>
      </c>
      <c r="AG70" s="119">
        <f>SUM(R57:AG57)</f>
        <v/>
      </c>
      <c r="AH70" s="117">
        <f>SUM(S57:AH57)</f>
        <v/>
      </c>
      <c r="AI70" s="117">
        <f>SUM(T57:AI57)</f>
        <v/>
      </c>
      <c r="AJ70" s="117">
        <f>SUM(U57:AJ57)</f>
        <v/>
      </c>
      <c r="AK70" s="118">
        <f>SUM(V57:AK57)</f>
        <v/>
      </c>
      <c r="AL70" s="119">
        <f>SUM(W57:AL57)</f>
        <v/>
      </c>
      <c r="AM70" s="117">
        <f>SUM(X57:AM57)</f>
        <v/>
      </c>
      <c r="AN70" s="117">
        <f>SUM(Y57:AN57)</f>
        <v/>
      </c>
      <c r="AO70" s="118">
        <f>SUM(Z57:AO57)</f>
        <v/>
      </c>
      <c r="AP70" s="119">
        <f>SUM(AA57:AP57)</f>
        <v/>
      </c>
      <c r="AQ70" s="117">
        <f>SUM(AB57:AQ57)</f>
        <v/>
      </c>
      <c r="AR70" s="117">
        <f>SUM(AC57:AR57)</f>
        <v/>
      </c>
      <c r="AS70" s="117">
        <f>SUM(AD57:AS57)</f>
        <v/>
      </c>
      <c r="AT70" s="118">
        <f>SUM(AE57:AT57)</f>
        <v/>
      </c>
      <c r="AU70" s="119">
        <f>SUM(AF57:AU57)</f>
        <v/>
      </c>
      <c r="AV70" s="117">
        <f>SUM(AG57:AV57)</f>
        <v/>
      </c>
      <c r="AW70" s="117">
        <f>SUM(AH57:AW57)</f>
        <v/>
      </c>
      <c r="AX70" s="115">
        <f>SUM(AI57:AX57)</f>
        <v/>
      </c>
      <c r="AY70" s="119">
        <f>SUM(AJ57:AY57)</f>
        <v/>
      </c>
      <c r="AZ70" s="117">
        <f>SUM(AK57:AZ57)</f>
        <v/>
      </c>
      <c r="BA70" s="117">
        <f>SUM(AL57:BA57)</f>
        <v/>
      </c>
      <c r="BB70" s="117">
        <f>SUM(AM57:BB57)</f>
        <v/>
      </c>
      <c r="BC70" s="117">
        <f>SUM(AN57:BC57)</f>
        <v/>
      </c>
    </row>
    <row r="71" ht="13.5" customHeight="1">
      <c r="A71" s="217" t="n"/>
      <c r="B71" s="218" t="inlineStr">
        <is>
          <t>Рентабельность за 16 нед</t>
        </is>
      </c>
      <c r="C71" s="192">
        <f>C70/C69</f>
        <v/>
      </c>
      <c r="D71" s="193">
        <f>D70/D69</f>
        <v/>
      </c>
      <c r="E71" s="193">
        <f>E70/E69</f>
        <v/>
      </c>
      <c r="F71" s="193">
        <f>F70/F69</f>
        <v/>
      </c>
      <c r="G71" s="194">
        <f>G70/G69</f>
        <v/>
      </c>
      <c r="H71" s="192">
        <f>H70/H69</f>
        <v/>
      </c>
      <c r="I71" s="193">
        <f>I70/I69</f>
        <v/>
      </c>
      <c r="J71" s="193">
        <f>J70/J69</f>
        <v/>
      </c>
      <c r="K71" s="194">
        <f>K70/K69</f>
        <v/>
      </c>
      <c r="L71" s="192">
        <f>L70/L69</f>
        <v/>
      </c>
      <c r="M71" s="193">
        <f>M70/M69</f>
        <v/>
      </c>
      <c r="N71" s="193">
        <f>N70/N69</f>
        <v/>
      </c>
      <c r="O71" s="194">
        <f>O70/O69</f>
        <v/>
      </c>
      <c r="P71" s="192">
        <f>P70/P69</f>
        <v/>
      </c>
      <c r="Q71" s="193">
        <f>Q70/Q69</f>
        <v/>
      </c>
      <c r="R71" s="193">
        <f>R70/R69</f>
        <v/>
      </c>
      <c r="S71" s="194">
        <f>S70/S69</f>
        <v/>
      </c>
      <c r="T71" s="192">
        <f>T70/T69</f>
        <v/>
      </c>
      <c r="U71" s="193">
        <f>U70/U69</f>
        <v/>
      </c>
      <c r="V71" s="193">
        <f>V70/V69</f>
        <v/>
      </c>
      <c r="W71" s="193">
        <f>W70/W69</f>
        <v/>
      </c>
      <c r="X71" s="194">
        <f>X70/X69</f>
        <v/>
      </c>
      <c r="Y71" s="192">
        <f>Y70/Y69</f>
        <v/>
      </c>
      <c r="Z71" s="193">
        <f>Z70/Z69</f>
        <v/>
      </c>
      <c r="AA71" s="193">
        <f>AA70/AA69</f>
        <v/>
      </c>
      <c r="AB71" s="194">
        <f>AB70/AB69</f>
        <v/>
      </c>
      <c r="AC71" s="192">
        <f>AC70/AC69</f>
        <v/>
      </c>
      <c r="AD71" s="193">
        <f>AD70/AD69</f>
        <v/>
      </c>
      <c r="AE71" s="193">
        <f>AE70/AE69</f>
        <v/>
      </c>
      <c r="AF71" s="194">
        <f>AF70/AF69</f>
        <v/>
      </c>
      <c r="AG71" s="192">
        <f>AG70/AG69</f>
        <v/>
      </c>
      <c r="AH71" s="193">
        <f>AH70/AH69</f>
        <v/>
      </c>
      <c r="AI71" s="193">
        <f>AI70/AI69</f>
        <v/>
      </c>
      <c r="AJ71" s="193">
        <f>AJ70/AJ69</f>
        <v/>
      </c>
      <c r="AK71" s="194">
        <f>AK70/AK69</f>
        <v/>
      </c>
      <c r="AL71" s="192">
        <f>AL70/AL69</f>
        <v/>
      </c>
      <c r="AM71" s="193">
        <f>AM70/AM69</f>
        <v/>
      </c>
      <c r="AN71" s="193">
        <f>AN70/AN69</f>
        <v/>
      </c>
      <c r="AO71" s="194">
        <f>AO70/AO69</f>
        <v/>
      </c>
      <c r="AP71" s="192">
        <f>AP70/AP69</f>
        <v/>
      </c>
      <c r="AQ71" s="193">
        <f>AQ70/AQ69</f>
        <v/>
      </c>
      <c r="AR71" s="193">
        <f>AR70/AR69</f>
        <v/>
      </c>
      <c r="AS71" s="193">
        <f>AS70/AS69</f>
        <v/>
      </c>
      <c r="AT71" s="194">
        <f>AT70/AT69</f>
        <v/>
      </c>
      <c r="AU71" s="192">
        <f>AU70/AU69</f>
        <v/>
      </c>
      <c r="AV71" s="193">
        <f>AV70/AV69</f>
        <v/>
      </c>
      <c r="AW71" s="193">
        <f>AW70/AW69</f>
        <v/>
      </c>
      <c r="AX71" s="334">
        <f>AX70/AX69</f>
        <v/>
      </c>
      <c r="AY71" s="192">
        <f>AY70/AY69</f>
        <v/>
      </c>
      <c r="AZ71" s="193">
        <f>AZ70/AZ69</f>
        <v/>
      </c>
      <c r="BA71" s="193">
        <f>BA70/BA69</f>
        <v/>
      </c>
      <c r="BB71" s="193">
        <f>BB70/BB69</f>
        <v/>
      </c>
      <c r="BC71" s="193">
        <f>BC70/BC69</f>
        <v/>
      </c>
    </row>
    <row r="72" ht="13.5" customHeight="1">
      <c r="A72" s="217" t="n"/>
      <c r="B72" s="218" t="inlineStr">
        <is>
          <t>Оборачиваемость за 16 нед</t>
        </is>
      </c>
      <c r="C72" s="192">
        <f>C69/C68</f>
        <v/>
      </c>
      <c r="D72" s="193">
        <f>D69/D68</f>
        <v/>
      </c>
      <c r="E72" s="193">
        <f>E69/E68</f>
        <v/>
      </c>
      <c r="F72" s="193">
        <f>F69/F68</f>
        <v/>
      </c>
      <c r="G72" s="194">
        <f>G69/G68</f>
        <v/>
      </c>
      <c r="H72" s="192">
        <f>H69/H68</f>
        <v/>
      </c>
      <c r="I72" s="193">
        <f>I69/I68</f>
        <v/>
      </c>
      <c r="J72" s="193">
        <f>J69/J68</f>
        <v/>
      </c>
      <c r="K72" s="194">
        <f>K69/K68</f>
        <v/>
      </c>
      <c r="L72" s="192">
        <f>L69/L68</f>
        <v/>
      </c>
      <c r="M72" s="193">
        <f>M69/M68</f>
        <v/>
      </c>
      <c r="N72" s="193">
        <f>N69/N68</f>
        <v/>
      </c>
      <c r="O72" s="194">
        <f>O69/O68</f>
        <v/>
      </c>
      <c r="P72" s="192">
        <f>P69/P68</f>
        <v/>
      </c>
      <c r="Q72" s="193">
        <f>Q69/Q68</f>
        <v/>
      </c>
      <c r="R72" s="193">
        <f>R69/R68</f>
        <v/>
      </c>
      <c r="S72" s="194">
        <f>S69/S68</f>
        <v/>
      </c>
      <c r="T72" s="192">
        <f>T69/T68</f>
        <v/>
      </c>
      <c r="U72" s="193">
        <f>U69/U68</f>
        <v/>
      </c>
      <c r="V72" s="193">
        <f>V69/V68</f>
        <v/>
      </c>
      <c r="W72" s="193">
        <f>W69/W68</f>
        <v/>
      </c>
      <c r="X72" s="194">
        <f>X69/X68</f>
        <v/>
      </c>
      <c r="Y72" s="192">
        <f>Y69/Y68</f>
        <v/>
      </c>
      <c r="Z72" s="193">
        <f>Z69/Z68</f>
        <v/>
      </c>
      <c r="AA72" s="193">
        <f>AA69/AA68</f>
        <v/>
      </c>
      <c r="AB72" s="194">
        <f>AB69/AB68</f>
        <v/>
      </c>
      <c r="AC72" s="192">
        <f>AC69/AC68</f>
        <v/>
      </c>
      <c r="AD72" s="193">
        <f>AD69/AD68</f>
        <v/>
      </c>
      <c r="AE72" s="193">
        <f>AE69/AE68</f>
        <v/>
      </c>
      <c r="AF72" s="194">
        <f>AF69/AF68</f>
        <v/>
      </c>
      <c r="AG72" s="192">
        <f>AG69/AG68</f>
        <v/>
      </c>
      <c r="AH72" s="193">
        <f>AH69/AH68</f>
        <v/>
      </c>
      <c r="AI72" s="193">
        <f>AI69/AI68</f>
        <v/>
      </c>
      <c r="AJ72" s="193">
        <f>AJ69/AJ68</f>
        <v/>
      </c>
      <c r="AK72" s="194">
        <f>AK69/AK68</f>
        <v/>
      </c>
      <c r="AL72" s="192">
        <f>AL69/AL68</f>
        <v/>
      </c>
      <c r="AM72" s="193">
        <f>AM69/AM68</f>
        <v/>
      </c>
      <c r="AN72" s="193">
        <f>AN69/AN68</f>
        <v/>
      </c>
      <c r="AO72" s="194">
        <f>AO69/AO68</f>
        <v/>
      </c>
      <c r="AP72" s="192">
        <f>AP69/AP68</f>
        <v/>
      </c>
      <c r="AQ72" s="193">
        <f>AQ69/AQ68</f>
        <v/>
      </c>
      <c r="AR72" s="193">
        <f>AR69/AR68</f>
        <v/>
      </c>
      <c r="AS72" s="193">
        <f>AS69/AS68</f>
        <v/>
      </c>
      <c r="AT72" s="194">
        <f>AT69/AT68</f>
        <v/>
      </c>
      <c r="AU72" s="192">
        <f>AU69/AU68</f>
        <v/>
      </c>
      <c r="AV72" s="193">
        <f>AV69/AV68</f>
        <v/>
      </c>
      <c r="AW72" s="193">
        <f>AW69/AW68</f>
        <v/>
      </c>
      <c r="AX72" s="334">
        <f>AX69/AX68</f>
        <v/>
      </c>
      <c r="AY72" s="192">
        <f>AY69/AY68</f>
        <v/>
      </c>
      <c r="AZ72" s="193">
        <f>AZ69/AZ68</f>
        <v/>
      </c>
      <c r="BA72" s="193">
        <f>BA69/BA68</f>
        <v/>
      </c>
      <c r="BB72" s="193">
        <f>BB69/BB68</f>
        <v/>
      </c>
      <c r="BC72" s="193">
        <f>BC69/BC68</f>
        <v/>
      </c>
    </row>
    <row r="73" ht="13.5" customHeight="1">
      <c r="A73" s="114" t="n"/>
      <c r="B73" s="121" t="inlineStr">
        <is>
          <t>Оборачиваемость в днях</t>
        </is>
      </c>
      <c r="C73" s="119">
        <f>(C74*7)/C72</f>
        <v/>
      </c>
      <c r="D73" s="117">
        <f>(D74*7)/D72</f>
        <v/>
      </c>
      <c r="E73" s="117">
        <f>(E74*7)/E72</f>
        <v/>
      </c>
      <c r="F73" s="117">
        <f>(F74*7)/F72</f>
        <v/>
      </c>
      <c r="G73" s="118">
        <f>(G74*7)/G72</f>
        <v/>
      </c>
      <c r="H73" s="119">
        <f>(H74*7)/H72</f>
        <v/>
      </c>
      <c r="I73" s="117">
        <f>(I74*7)/I72</f>
        <v/>
      </c>
      <c r="J73" s="117">
        <f>(J74*7)/J72</f>
        <v/>
      </c>
      <c r="K73" s="118">
        <f>(K74*7)/K72</f>
        <v/>
      </c>
      <c r="L73" s="119">
        <f>(L74*7)/L72</f>
        <v/>
      </c>
      <c r="M73" s="117">
        <f>(M74*7)/M72</f>
        <v/>
      </c>
      <c r="N73" s="117">
        <f>(N74*7)/N72</f>
        <v/>
      </c>
      <c r="O73" s="118">
        <f>(O74*7)/O72</f>
        <v/>
      </c>
      <c r="P73" s="119">
        <f>(P74*7)/P72</f>
        <v/>
      </c>
      <c r="Q73" s="117">
        <f>(Q74*7)/Q72</f>
        <v/>
      </c>
      <c r="R73" s="117">
        <f>(16*7)/R72</f>
        <v/>
      </c>
      <c r="S73" s="118">
        <f>(16*7)/S72</f>
        <v/>
      </c>
      <c r="T73" s="119">
        <f>(16*7)/T72</f>
        <v/>
      </c>
      <c r="U73" s="117">
        <f>(16*7)/U72</f>
        <v/>
      </c>
      <c r="V73" s="117">
        <f>(16*7)/V72</f>
        <v/>
      </c>
      <c r="W73" s="117">
        <f>(16*7)/W72</f>
        <v/>
      </c>
      <c r="X73" s="118">
        <f>(16*7)/X72</f>
        <v/>
      </c>
      <c r="Y73" s="119">
        <f>(16*7)/Y72</f>
        <v/>
      </c>
      <c r="Z73" s="117">
        <f>(16*7)/Z72</f>
        <v/>
      </c>
      <c r="AA73" s="117">
        <f>(16*7)/AA72</f>
        <v/>
      </c>
      <c r="AB73" s="118">
        <f>(16*7)/AB72</f>
        <v/>
      </c>
      <c r="AC73" s="119">
        <f>(16*7)/AC72</f>
        <v/>
      </c>
      <c r="AD73" s="117">
        <f>(16*7)/AD72</f>
        <v/>
      </c>
      <c r="AE73" s="117">
        <f>(16*7)/AE72</f>
        <v/>
      </c>
      <c r="AF73" s="118">
        <f>(16*7)/AF72</f>
        <v/>
      </c>
      <c r="AG73" s="119">
        <f>(16*7)/AG72</f>
        <v/>
      </c>
      <c r="AH73" s="117">
        <f>(16*7)/AH72</f>
        <v/>
      </c>
      <c r="AI73" s="117">
        <f>(16*7)/AI72</f>
        <v/>
      </c>
      <c r="AJ73" s="117">
        <f>(16*7)/AJ72</f>
        <v/>
      </c>
      <c r="AK73" s="118">
        <f>(16*7)/AK72</f>
        <v/>
      </c>
      <c r="AL73" s="119">
        <f>(16*7)/AL72</f>
        <v/>
      </c>
      <c r="AM73" s="117">
        <f>(16*7)/AM72</f>
        <v/>
      </c>
      <c r="AN73" s="117">
        <f>(16*7)/AN72</f>
        <v/>
      </c>
      <c r="AO73" s="118">
        <f>(16*7)/AO72</f>
        <v/>
      </c>
      <c r="AP73" s="119">
        <f>(16*7)/AP72</f>
        <v/>
      </c>
      <c r="AQ73" s="117">
        <f>(16*7)/AQ72</f>
        <v/>
      </c>
      <c r="AR73" s="117">
        <f>(16*7)/AR72</f>
        <v/>
      </c>
      <c r="AS73" s="117">
        <f>(16*7)/AS72</f>
        <v/>
      </c>
      <c r="AT73" s="118">
        <f>(16*7)/AT72</f>
        <v/>
      </c>
      <c r="AU73" s="119">
        <f>(16*7)/AU72</f>
        <v/>
      </c>
      <c r="AV73" s="117">
        <f>(16*7)/AV72</f>
        <v/>
      </c>
      <c r="AW73" s="117">
        <f>(16*7)/AW72</f>
        <v/>
      </c>
      <c r="AX73" s="115">
        <f>(16*7)/AX72</f>
        <v/>
      </c>
      <c r="AY73" s="119">
        <f>(16*7)/AY72</f>
        <v/>
      </c>
      <c r="AZ73" s="117">
        <f>(16*7)/AZ72</f>
        <v/>
      </c>
      <c r="BA73" s="117">
        <f>(16*7)/BA72</f>
        <v/>
      </c>
      <c r="BB73" s="117">
        <f>(16*7)/BB72</f>
        <v/>
      </c>
      <c r="BC73" s="117">
        <f>(16*7)/BC72</f>
        <v/>
      </c>
    </row>
    <row r="74" ht="13.5" customHeight="1">
      <c r="A74" s="219" t="n"/>
      <c r="B74" s="220" t="n"/>
      <c r="C74" s="221" t="n"/>
      <c r="D74" s="222" t="n"/>
      <c r="E74" s="222" t="n"/>
      <c r="F74" s="222" t="n"/>
      <c r="G74" s="223" t="n"/>
      <c r="H74" s="221" t="n"/>
      <c r="I74" s="222" t="n"/>
      <c r="J74" s="222" t="n"/>
      <c r="K74" s="223" t="n"/>
      <c r="L74" s="221" t="n"/>
      <c r="M74" s="222" t="n"/>
      <c r="N74" s="224" t="n"/>
      <c r="O74" s="225" t="n"/>
      <c r="P74" s="226" t="n"/>
      <c r="Q74" s="224" t="n"/>
      <c r="R74" s="224" t="n"/>
      <c r="S74" s="227" t="inlineStr">
        <is>
          <t>далее анализ последних 16 недель</t>
        </is>
      </c>
      <c r="T74" s="226" t="n"/>
      <c r="U74" s="224" t="n"/>
      <c r="V74" s="224" t="n"/>
      <c r="W74" s="224" t="n"/>
      <c r="X74" s="225" t="n"/>
      <c r="Y74" s="226" t="n"/>
      <c r="Z74" s="224" t="n"/>
      <c r="AA74" s="224" t="n"/>
      <c r="AB74" s="225" t="n"/>
      <c r="AC74" s="226" t="n"/>
      <c r="AD74" s="224" t="n"/>
      <c r="AE74" s="224" t="n"/>
      <c r="AF74" s="225" t="n"/>
      <c r="AG74" s="226" t="n"/>
      <c r="AH74" s="224" t="n"/>
      <c r="AI74" s="224" t="n"/>
      <c r="AJ74" s="224" t="n"/>
      <c r="AK74" s="225" t="n"/>
      <c r="AL74" s="226" t="n"/>
      <c r="AM74" s="224" t="n"/>
      <c r="AN74" s="224" t="n"/>
      <c r="AO74" s="225" t="n"/>
      <c r="AP74" s="226" t="n"/>
      <c r="AQ74" s="224" t="n"/>
      <c r="AR74" s="224" t="n"/>
      <c r="AS74" s="224" t="n"/>
      <c r="AT74" s="225" t="n"/>
      <c r="AU74" s="226" t="n"/>
      <c r="AV74" s="224" t="n"/>
      <c r="AW74" s="224" t="n"/>
      <c r="AX74" s="335" t="n"/>
      <c r="AY74" s="226" t="n"/>
      <c r="AZ74" s="224" t="n"/>
      <c r="BA74" s="224" t="n"/>
      <c r="BB74" s="224" t="n"/>
      <c r="BC74" s="224" t="n"/>
    </row>
    <row r="75" ht="13.5" customHeight="1">
      <c r="A75" s="228" t="n"/>
      <c r="B75" s="229" t="inlineStr">
        <is>
          <t>Остаток товара закончится через, дн</t>
        </is>
      </c>
      <c r="C75" s="230">
        <f>C12*C74*7/C69</f>
        <v/>
      </c>
      <c r="D75" s="231">
        <f>D12*D74*7/D69</f>
        <v/>
      </c>
      <c r="E75" s="231">
        <f>E12*E74*7/E69</f>
        <v/>
      </c>
      <c r="F75" s="231">
        <f>F12*F74*7/F69</f>
        <v/>
      </c>
      <c r="G75" s="232">
        <f>G12*G74*7/G69</f>
        <v/>
      </c>
      <c r="H75" s="230">
        <f>H12*H74*7/H69</f>
        <v/>
      </c>
      <c r="I75" s="231">
        <f>I12*I74*7/I69</f>
        <v/>
      </c>
      <c r="J75" s="231">
        <f>J12*J74*7/J69</f>
        <v/>
      </c>
      <c r="K75" s="232">
        <f>K12*K74*7/K69</f>
        <v/>
      </c>
      <c r="L75" s="230">
        <f>L12*L74*7/L69</f>
        <v/>
      </c>
      <c r="M75" s="231">
        <f>M12*M74*7/M69</f>
        <v/>
      </c>
      <c r="N75" s="231">
        <f>N12*N74*7/N69</f>
        <v/>
      </c>
      <c r="O75" s="232">
        <f>O12*O74*7/O69</f>
        <v/>
      </c>
      <c r="P75" s="230">
        <f>P12*P74*7/P69</f>
        <v/>
      </c>
      <c r="Q75" s="231">
        <f>Q12*Q74*7/Q69</f>
        <v/>
      </c>
      <c r="R75" s="231">
        <f>R12*R74*7/R69</f>
        <v/>
      </c>
      <c r="S75" s="232">
        <f>S12*16*7/S69</f>
        <v/>
      </c>
      <c r="T75" s="230">
        <f>T12*16*7/T69</f>
        <v/>
      </c>
      <c r="U75" s="231">
        <f>U12*16*7/U69</f>
        <v/>
      </c>
      <c r="V75" s="231">
        <f>V12*16*7/V69</f>
        <v/>
      </c>
      <c r="W75" s="231">
        <f>W12*16*7/W69</f>
        <v/>
      </c>
      <c r="X75" s="232">
        <f>X12*16*7/X69</f>
        <v/>
      </c>
      <c r="Y75" s="230">
        <f>Y12*16*7/Y69</f>
        <v/>
      </c>
      <c r="Z75" s="231">
        <f>Z12*16*7/Z69</f>
        <v/>
      </c>
      <c r="AA75" s="231">
        <f>AA12*16*7/AA69</f>
        <v/>
      </c>
      <c r="AB75" s="232">
        <f>AB12*16*7/AB69</f>
        <v/>
      </c>
      <c r="AC75" s="230">
        <f>AC12*16*7/AC69</f>
        <v/>
      </c>
      <c r="AD75" s="231">
        <f>AD12*16*7/AD69</f>
        <v/>
      </c>
      <c r="AE75" s="231">
        <f>AE12*16*7/AE69</f>
        <v/>
      </c>
      <c r="AF75" s="232">
        <f>AF12*16*7/AF69</f>
        <v/>
      </c>
      <c r="AG75" s="230">
        <f>AG12*16*7/AG69</f>
        <v/>
      </c>
      <c r="AH75" s="231">
        <f>AH12*16*7/AH69</f>
        <v/>
      </c>
      <c r="AI75" s="231">
        <f>AI12*16*7/AI69</f>
        <v/>
      </c>
      <c r="AJ75" s="231">
        <f>AJ12*16*7/AJ69</f>
        <v/>
      </c>
      <c r="AK75" s="232">
        <f>AK12*16*7/AK69</f>
        <v/>
      </c>
      <c r="AL75" s="230">
        <f>AL12*16*7/AL69</f>
        <v/>
      </c>
      <c r="AM75" s="231">
        <f>AM12*16*7/AM69</f>
        <v/>
      </c>
      <c r="AN75" s="231">
        <f>AN12*16*7/AN69</f>
        <v/>
      </c>
      <c r="AO75" s="232">
        <f>AO12*16*7/AO69</f>
        <v/>
      </c>
      <c r="AP75" s="230">
        <f>AP12*16*7/AP69</f>
        <v/>
      </c>
      <c r="AQ75" s="231">
        <f>AQ12*16*7/AQ69</f>
        <v/>
      </c>
      <c r="AR75" s="231">
        <f>AR12*16*7/AR69</f>
        <v/>
      </c>
      <c r="AS75" s="231">
        <f>AS12*16*7/AS69</f>
        <v/>
      </c>
      <c r="AT75" s="232">
        <f>AT12*16*7/AT69</f>
        <v/>
      </c>
      <c r="AU75" s="230">
        <f>AU12*16*7/AU69</f>
        <v/>
      </c>
      <c r="AV75" s="231">
        <f>AV12*16*7/AV69</f>
        <v/>
      </c>
      <c r="AW75" s="231">
        <f>AW12*16*7/AW69</f>
        <v/>
      </c>
      <c r="AX75" s="336">
        <f>AX12*16*7/AX69</f>
        <v/>
      </c>
      <c r="AY75" s="230">
        <f>AY12*16*7/AY69</f>
        <v/>
      </c>
      <c r="AZ75" s="231">
        <f>AZ12*16*7/AZ69</f>
        <v/>
      </c>
      <c r="BA75" s="231">
        <f>BA12*16*7/BA69</f>
        <v/>
      </c>
      <c r="BB75" s="231">
        <f>BB12*16*7/BB69</f>
        <v/>
      </c>
      <c r="BC75" s="231">
        <f>BC12*16*7/BC69</f>
        <v/>
      </c>
    </row>
    <row r="76" ht="13.5" customHeight="1">
      <c r="A76" s="233" t="n"/>
      <c r="B76" s="234" t="inlineStr">
        <is>
          <t>Дата распродажи в 0</t>
        </is>
      </c>
      <c r="C76" s="235">
        <f>TODAY( )+C75</f>
        <v/>
      </c>
      <c r="D76" s="236">
        <f>TODAY( )+D75</f>
        <v/>
      </c>
      <c r="E76" s="236">
        <f>TODAY( )+E75</f>
        <v/>
      </c>
      <c r="F76" s="236">
        <f>TODAY( )+F75</f>
        <v/>
      </c>
      <c r="G76" s="237">
        <f>TODAY( )+G75</f>
        <v/>
      </c>
      <c r="H76" s="235">
        <f>TODAY( )+H75</f>
        <v/>
      </c>
      <c r="I76" s="236">
        <f>TODAY( )+I75</f>
        <v/>
      </c>
      <c r="J76" s="236">
        <f>TODAY( )+J75</f>
        <v/>
      </c>
      <c r="K76" s="237">
        <f>TODAY( )+K75</f>
        <v/>
      </c>
      <c r="L76" s="235">
        <f>TODAY( )+L75</f>
        <v/>
      </c>
      <c r="M76" s="236">
        <f>TODAY( )+M75</f>
        <v/>
      </c>
      <c r="N76" s="236">
        <f>TODAY( )+N75</f>
        <v/>
      </c>
      <c r="O76" s="237">
        <f>TODAY( )+O75</f>
        <v/>
      </c>
      <c r="P76" s="235">
        <f>TODAY( )+P75</f>
        <v/>
      </c>
      <c r="Q76" s="236">
        <f>TODAY( )+Q75</f>
        <v/>
      </c>
      <c r="R76" s="236">
        <f>TODAY( )+R75</f>
        <v/>
      </c>
      <c r="S76" s="237">
        <f>TODAY( )+S75</f>
        <v/>
      </c>
      <c r="T76" s="235">
        <f>TODAY( )+T75</f>
        <v/>
      </c>
      <c r="U76" s="236">
        <f>TODAY( )+U75</f>
        <v/>
      </c>
      <c r="V76" s="236">
        <f>TODAY( )+V75</f>
        <v/>
      </c>
      <c r="W76" s="236">
        <f>TODAY( )+W75</f>
        <v/>
      </c>
      <c r="X76" s="237">
        <f>TODAY( )+X75</f>
        <v/>
      </c>
      <c r="Y76" s="235">
        <f>TODAY( )+Y75</f>
        <v/>
      </c>
      <c r="Z76" s="236">
        <f>TODAY( )+Z75</f>
        <v/>
      </c>
      <c r="AA76" s="236">
        <f>TODAY( )+AA75</f>
        <v/>
      </c>
      <c r="AB76" s="237">
        <f>TODAY( )+AB75</f>
        <v/>
      </c>
      <c r="AC76" s="235">
        <f>TODAY( )+AC75</f>
        <v/>
      </c>
      <c r="AD76" s="236">
        <f>TODAY( )+AD75</f>
        <v/>
      </c>
      <c r="AE76" s="236">
        <f>TODAY( )+AE75</f>
        <v/>
      </c>
      <c r="AF76" s="237">
        <f>TODAY( )+AF75</f>
        <v/>
      </c>
      <c r="AG76" s="235">
        <f>TODAY( )+AG75</f>
        <v/>
      </c>
      <c r="AH76" s="236">
        <f>TODAY( )+AH75</f>
        <v/>
      </c>
      <c r="AI76" s="236">
        <f>TODAY( )+AI75</f>
        <v/>
      </c>
      <c r="AJ76" s="236">
        <f>TODAY( )+AJ75</f>
        <v/>
      </c>
      <c r="AK76" s="237">
        <f>TODAY( )+AK75</f>
        <v/>
      </c>
      <c r="AL76" s="235">
        <f>TODAY( )+AL75</f>
        <v/>
      </c>
      <c r="AM76" s="236">
        <f>TODAY( )+AM75</f>
        <v/>
      </c>
      <c r="AN76" s="236">
        <f>TODAY( )+AN75</f>
        <v/>
      </c>
      <c r="AO76" s="237">
        <f>TODAY( )+AO75</f>
        <v/>
      </c>
      <c r="AP76" s="235">
        <f>TODAY( )+AP75</f>
        <v/>
      </c>
      <c r="AQ76" s="236">
        <f>TODAY( )+AQ75</f>
        <v/>
      </c>
      <c r="AR76" s="236">
        <f>TODAY( )+AR75</f>
        <v/>
      </c>
      <c r="AS76" s="236">
        <f>TODAY( )+AS75</f>
        <v/>
      </c>
      <c r="AT76" s="237">
        <f>TODAY( )+AT75</f>
        <v/>
      </c>
      <c r="AU76" s="235">
        <f>TODAY( )+AU75</f>
        <v/>
      </c>
      <c r="AV76" s="236">
        <f>TODAY( )+AV75</f>
        <v/>
      </c>
      <c r="AW76" s="236">
        <f>TODAY( )+AW75</f>
        <v/>
      </c>
      <c r="AX76" s="337">
        <f>TODAY( )+AX75</f>
        <v/>
      </c>
      <c r="AY76" s="235">
        <f>TODAY( )+AY75</f>
        <v/>
      </c>
      <c r="AZ76" s="236">
        <f>TODAY( )+AZ75</f>
        <v/>
      </c>
      <c r="BA76" s="236">
        <f>TODAY( )+BA75</f>
        <v/>
      </c>
      <c r="BB76" s="236">
        <f>TODAY( )+BB75</f>
        <v/>
      </c>
      <c r="BC76" s="236">
        <f>TODAY( )+BC75</f>
        <v/>
      </c>
    </row>
  </sheetData>
  <mergeCells count="12">
    <mergeCell ref="AL2:AO2"/>
    <mergeCell ref="AU2:AX2"/>
    <mergeCell ref="C2:G2"/>
    <mergeCell ref="T2:X2"/>
    <mergeCell ref="H2:K2"/>
    <mergeCell ref="L2:O2"/>
    <mergeCell ref="AP2:AT2"/>
    <mergeCell ref="AG2:AK2"/>
    <mergeCell ref="A1:B1"/>
    <mergeCell ref="Y2:AB2"/>
    <mergeCell ref="AC2:AF2"/>
    <mergeCell ref="P2:S2"/>
  </mergeCells>
  <conditionalFormatting sqref="A10:A11">
    <cfRule type="cellIs" priority="13" operator="greaterThan" dxfId="2">
      <formula>0</formula>
    </cfRule>
  </conditionalFormatting>
  <conditionalFormatting sqref="A11:A13">
    <cfRule type="cellIs" priority="14" operator="between" dxfId="3">
      <formula>0</formula>
      <formula>1000000</formula>
    </cfRule>
  </conditionalFormatting>
  <conditionalFormatting sqref="A57:B58 A60 A62 B60:B62">
    <cfRule type="cellIs" priority="15" operator="lessThan" dxfId="14">
      <formula>0</formula>
    </cfRule>
  </conditionalFormatting>
  <conditionalFormatting sqref="C39:AZ39">
    <cfRule type="cellIs" priority="11" operator="between" dxfId="19">
      <formula>40</formula>
      <formula>100</formula>
    </cfRule>
  </conditionalFormatting>
  <conditionalFormatting sqref="C57:AZ57">
    <cfRule type="top10" rank="1" priority="10" dxfId="18"/>
  </conditionalFormatting>
  <conditionalFormatting sqref="C57:BC57">
    <cfRule type="top10" rank="1" priority="1" dxfId="18"/>
  </conditionalFormatting>
  <conditionalFormatting sqref="C34:BD34">
    <cfRule type="cellIs" priority="3" operator="between" dxfId="19">
      <formula>40</formula>
      <formula>100</formula>
    </cfRule>
  </conditionalFormatting>
  <conditionalFormatting sqref="BA39:BC39">
    <cfRule type="cellIs" priority="2" operator="between" dxfId="19">
      <formula>40</formula>
      <formula>100</formula>
    </cfRule>
  </conditionalFormatting>
  <pageMargins left="0.7" right="0.7" top="0.75" bottom="0.75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tabColor rgb="FF9933FF"/>
    <outlinePr summaryBelow="1" summaryRight="1"/>
    <pageSetUpPr/>
  </sheetPr>
  <dimension ref="A1:O68"/>
  <sheetViews>
    <sheetView showZeros="0" workbookViewId="0">
      <pane xSplit="2" ySplit="3" topLeftCell="C67" activePane="bottomRight" state="frozen"/>
      <selection pane="topRight" activeCell="C1" sqref="C1"/>
      <selection pane="bottomLeft" activeCell="A4" sqref="A4"/>
      <selection pane="bottomRight" activeCell="P61" sqref="P61"/>
    </sheetView>
  </sheetViews>
  <sheetFormatPr baseColWidth="8" defaultColWidth="14.42578125" defaultRowHeight="15" customHeight="1"/>
  <cols>
    <col width="24.42578125" customWidth="1" style="107" min="1" max="1"/>
    <col width="20.140625" customWidth="1" style="107" min="2" max="2"/>
    <col width="11.140625" customWidth="1" style="107" min="3" max="14"/>
    <col width="12" customWidth="1" style="107" min="15" max="15"/>
    <col width="14.42578125" customWidth="1" style="107" min="16" max="16384"/>
  </cols>
  <sheetData>
    <row r="1" ht="21.75" customHeight="1">
      <c r="A1" s="314" t="inlineStr">
        <is>
          <t>Заполняем PL и CF еженедельный!</t>
        </is>
      </c>
      <c r="B1" s="246" t="n"/>
      <c r="C1" s="247" t="n"/>
      <c r="D1" s="247" t="n"/>
      <c r="E1" s="247" t="n"/>
      <c r="F1" s="247" t="n"/>
      <c r="G1" s="247" t="n"/>
      <c r="H1" s="247" t="n"/>
      <c r="I1" s="247" t="n"/>
      <c r="J1" s="247" t="n"/>
      <c r="K1" s="247" t="n"/>
      <c r="L1" s="247" t="n"/>
      <c r="M1" s="247" t="n"/>
      <c r="N1" s="247" t="n"/>
      <c r="O1" s="247" t="n"/>
    </row>
    <row r="2" ht="14.25" customHeight="1">
      <c r="A2" s="315" t="inlineStr">
        <is>
          <t>Прибыли и убытки</t>
        </is>
      </c>
      <c r="B2" s="248" t="n"/>
      <c r="C2" s="533" t="n">
        <v>2025</v>
      </c>
      <c r="O2" s="247" t="n"/>
    </row>
    <row r="3" ht="13.5" customHeight="1">
      <c r="A3" s="249" t="n"/>
      <c r="B3" s="250" t="n"/>
      <c r="C3" s="251" t="inlineStr">
        <is>
          <t>Январь</t>
        </is>
      </c>
      <c r="D3" s="251" t="inlineStr">
        <is>
          <t>Февраль</t>
        </is>
      </c>
      <c r="E3" s="251" t="inlineStr">
        <is>
          <t>Март</t>
        </is>
      </c>
      <c r="F3" s="251" t="inlineStr">
        <is>
          <t>Апрель</t>
        </is>
      </c>
      <c r="G3" s="251" t="inlineStr">
        <is>
          <t>Май</t>
        </is>
      </c>
      <c r="H3" s="251" t="inlineStr">
        <is>
          <t>Июнь</t>
        </is>
      </c>
      <c r="I3" s="251" t="inlineStr">
        <is>
          <t>Июль</t>
        </is>
      </c>
      <c r="J3" s="251" t="inlineStr">
        <is>
          <t>Август</t>
        </is>
      </c>
      <c r="K3" s="251" t="inlineStr">
        <is>
          <t>Сентябрь</t>
        </is>
      </c>
      <c r="L3" s="251" t="inlineStr">
        <is>
          <t>Октябрь</t>
        </is>
      </c>
      <c r="M3" s="251" t="inlineStr">
        <is>
          <t>Ноябрь</t>
        </is>
      </c>
      <c r="N3" s="251" t="inlineStr">
        <is>
          <t>Декабрь</t>
        </is>
      </c>
      <c r="O3" s="252" t="n"/>
    </row>
    <row r="4" ht="13.5" customHeight="1">
      <c r="A4" s="316" t="inlineStr">
        <is>
          <t>Товарооборот</t>
        </is>
      </c>
      <c r="B4" s="317" t="n"/>
      <c r="C4" s="318" t="n"/>
      <c r="D4" s="318" t="n"/>
      <c r="E4" s="318" t="n"/>
      <c r="F4" s="318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272">
        <f>SUM(C4:N4)</f>
        <v/>
      </c>
    </row>
    <row r="5" ht="13.5" customHeight="1">
      <c r="A5" s="253" t="inlineStr">
        <is>
          <t>Остаток товара по цене закупки</t>
        </is>
      </c>
      <c r="B5" s="254" t="n"/>
      <c r="C5" s="255">
        <f>'PL WB (нед)'!C5</f>
        <v/>
      </c>
      <c r="D5" s="256">
        <f>C12</f>
        <v/>
      </c>
      <c r="E5" s="256">
        <f>D12</f>
        <v/>
      </c>
      <c r="F5" s="256">
        <f>E12</f>
        <v/>
      </c>
      <c r="G5" s="256">
        <f>F12</f>
        <v/>
      </c>
      <c r="H5" s="256">
        <f>G12</f>
        <v/>
      </c>
      <c r="I5" s="256">
        <f>H12</f>
        <v/>
      </c>
      <c r="J5" s="256">
        <f>I12</f>
        <v/>
      </c>
      <c r="K5" s="256">
        <f>J12</f>
        <v/>
      </c>
      <c r="L5" s="256">
        <f>K12</f>
        <v/>
      </c>
      <c r="M5" s="256">
        <f>L12</f>
        <v/>
      </c>
      <c r="N5" s="256">
        <f>M12</f>
        <v/>
      </c>
      <c r="O5" s="272">
        <f>SUM(C5:N5)/12</f>
        <v/>
      </c>
    </row>
    <row r="6" ht="13.5" customHeight="1">
      <c r="A6" s="253" t="n"/>
      <c r="B6" s="257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  <c r="N6" s="256" t="n"/>
      <c r="O6" s="272">
        <f>SUM(C6:N6)</f>
        <v/>
      </c>
    </row>
    <row r="7" ht="13.5" customHeight="1">
      <c r="A7" s="253" t="n"/>
      <c r="B7" s="258" t="inlineStr">
        <is>
          <t>Продажи шт</t>
        </is>
      </c>
      <c r="C7" s="256">
        <f>SUM('PL WB (нед)'!C7:G7)</f>
        <v/>
      </c>
      <c r="D7" s="256">
        <f>SUM('PL WB (нед)'!H7:K7)</f>
        <v/>
      </c>
      <c r="E7" s="256">
        <f>SUM('PL WB (нед)'!L7:O7)</f>
        <v/>
      </c>
      <c r="F7" s="256">
        <f>SUM('PL WB (нед)'!P7:S7)</f>
        <v/>
      </c>
      <c r="G7" s="256">
        <f>SUM('PL WB (нед)'!T7:X7)</f>
        <v/>
      </c>
      <c r="H7" s="256">
        <f>SUM('PL WB (нед)'!Y7:AB7)</f>
        <v/>
      </c>
      <c r="I7" s="256">
        <f>SUM('PL WB (нед)'!AC7:AF7)</f>
        <v/>
      </c>
      <c r="J7" s="256">
        <f>SUM('PL WB (нед)'!AG7:AK7)</f>
        <v/>
      </c>
      <c r="K7" s="256">
        <f>SUM('PL WB (нед)'!AL7:AO7)</f>
        <v/>
      </c>
      <c r="L7" s="256">
        <f>SUM('PL WB (нед)'!AP7:AT7)</f>
        <v/>
      </c>
      <c r="M7" s="256">
        <f>SUM('PL WB (нед)'!AU7:AX7)</f>
        <v/>
      </c>
      <c r="N7" s="256">
        <f>SUM('PL WB (нед)'!AY7:BC7)</f>
        <v/>
      </c>
      <c r="O7" s="272">
        <f>SUM(C7:N7)</f>
        <v/>
      </c>
    </row>
    <row r="8" ht="13.5" customHeight="1">
      <c r="A8" s="253" t="n"/>
      <c r="B8" s="344" t="inlineStr">
        <is>
          <t>Отгрузки по себестоимости</t>
        </is>
      </c>
      <c r="C8" s="256">
        <f>C33</f>
        <v/>
      </c>
      <c r="D8" s="256">
        <f>D33</f>
        <v/>
      </c>
      <c r="E8" s="256">
        <f>E33</f>
        <v/>
      </c>
      <c r="F8" s="256">
        <f>F33</f>
        <v/>
      </c>
      <c r="G8" s="256">
        <f>G33</f>
        <v/>
      </c>
      <c r="H8" s="256">
        <f>H33</f>
        <v/>
      </c>
      <c r="I8" s="256">
        <f>I33</f>
        <v/>
      </c>
      <c r="J8" s="256">
        <f>J33</f>
        <v/>
      </c>
      <c r="K8" s="256">
        <f>K33</f>
        <v/>
      </c>
      <c r="L8" s="256">
        <f>L33</f>
        <v/>
      </c>
      <c r="M8" s="256">
        <f>M33</f>
        <v/>
      </c>
      <c r="N8" s="256">
        <f>N33</f>
        <v/>
      </c>
      <c r="O8" s="272">
        <f>SUM(C8:N8)</f>
        <v/>
      </c>
    </row>
    <row r="9" ht="13.5" customHeight="1">
      <c r="A9" s="253" t="n"/>
      <c r="B9" s="254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  <c r="N9" s="256" t="n"/>
      <c r="O9" s="272">
        <f>SUM(C9:N9)</f>
        <v/>
      </c>
    </row>
    <row r="10" ht="13.5" customHeight="1">
      <c r="A10" s="253" t="inlineStr">
        <is>
          <t>Поступление товара, р</t>
        </is>
      </c>
      <c r="B10" s="254" t="n"/>
      <c r="C10" s="256">
        <f>SUM('PL WB (нед)'!C10:G10)</f>
        <v/>
      </c>
      <c r="D10" s="256">
        <f>SUM('PL WB (нед)'!H10:K10)</f>
        <v/>
      </c>
      <c r="E10" s="256">
        <f>SUM('PL WB (нед)'!L10:O10)</f>
        <v/>
      </c>
      <c r="F10" s="256">
        <f>SUM('PL WB (нед)'!P10:S10)</f>
        <v/>
      </c>
      <c r="G10" s="256">
        <f>SUM('PL WB (нед)'!T10:X10)</f>
        <v/>
      </c>
      <c r="H10" s="256">
        <f>SUM('PL WB (нед)'!Y10:AB10)</f>
        <v/>
      </c>
      <c r="I10" s="256">
        <f>SUM('PL WB (нед)'!AC10:AF10)</f>
        <v/>
      </c>
      <c r="J10" s="256">
        <f>SUM('PL WB (нед)'!AG10:AK10)</f>
        <v/>
      </c>
      <c r="K10" s="256">
        <f>SUM('PL WB (нед)'!AL10:AO10)</f>
        <v/>
      </c>
      <c r="L10" s="256">
        <f>SUM('PL WB (нед)'!AP10:AT10)</f>
        <v/>
      </c>
      <c r="M10" s="256">
        <f>SUM('PL WB (нед)'!AU10:AX10)</f>
        <v/>
      </c>
      <c r="N10" s="256">
        <f>SUM('PL WB (нед)'!AY10:BC10)</f>
        <v/>
      </c>
      <c r="O10" s="272">
        <f>SUM(C10:N10)</f>
        <v/>
      </c>
    </row>
    <row r="11" ht="13.5" customHeight="1">
      <c r="A11" s="259" t="inlineStr">
        <is>
          <t>Поступление товара, шт</t>
        </is>
      </c>
      <c r="B11" s="260" t="n"/>
      <c r="C11" s="255">
        <f>SUM('PL WB (нед)'!C11:G11)</f>
        <v/>
      </c>
      <c r="D11" s="255">
        <f>SUM('PL WB (нед)'!H11:K11)</f>
        <v/>
      </c>
      <c r="E11" s="255">
        <f>SUM('PL WB (нед)'!L11:O11)</f>
        <v/>
      </c>
      <c r="F11" s="255">
        <f>SUM('PL WB (нед)'!P11:S11)</f>
        <v/>
      </c>
      <c r="G11" s="255">
        <f>SUM('PL WB (нед)'!T11:X11)</f>
        <v/>
      </c>
      <c r="H11" s="255">
        <f>SUM('PL WB (нед)'!Y11:AB11)</f>
        <v/>
      </c>
      <c r="I11" s="255">
        <f>SUM('PL WB (нед)'!AC11:AF11)</f>
        <v/>
      </c>
      <c r="J11" s="255">
        <f>SUM('PL WB (нед)'!AG11:AK11)</f>
        <v/>
      </c>
      <c r="K11" s="255">
        <f>SUM('PL WB (нед)'!AL11:AO11)</f>
        <v/>
      </c>
      <c r="L11" s="255">
        <f>SUM('PL WB (нед)'!AP11:AT11)</f>
        <v/>
      </c>
      <c r="M11" s="255">
        <f>SUM('PL WB (нед)'!AU11:AX11)</f>
        <v/>
      </c>
      <c r="N11" s="255">
        <f>SUM('PL WB (нед)'!AY11:BC11)</f>
        <v/>
      </c>
      <c r="O11" s="272">
        <f>SUM(C11:N11)</f>
        <v/>
      </c>
    </row>
    <row r="12" ht="13.5" customHeight="1">
      <c r="A12" s="261" t="inlineStr">
        <is>
          <t>Доступно на складе по цене закупки</t>
        </is>
      </c>
      <c r="B12" s="262" t="n"/>
      <c r="C12" s="263">
        <f>C10-C8+C5</f>
        <v/>
      </c>
      <c r="D12" s="263">
        <f>D10-D8+D5</f>
        <v/>
      </c>
      <c r="E12" s="263">
        <f>E10-E8+E5</f>
        <v/>
      </c>
      <c r="F12" s="263">
        <f>F10-F8+F5</f>
        <v/>
      </c>
      <c r="G12" s="263">
        <f>G10-G8+G5</f>
        <v/>
      </c>
      <c r="H12" s="263">
        <f>H10-H8+H5</f>
        <v/>
      </c>
      <c r="I12" s="263">
        <f>I10-I8+I5</f>
        <v/>
      </c>
      <c r="J12" s="263">
        <f>J10-J8+J5</f>
        <v/>
      </c>
      <c r="K12" s="263">
        <f>K10-K8+K5</f>
        <v/>
      </c>
      <c r="L12" s="263">
        <f>L10-L8+L5</f>
        <v/>
      </c>
      <c r="M12" s="263">
        <f>M10-M8+M5</f>
        <v/>
      </c>
      <c r="N12" s="263">
        <f>N10-N8+N5</f>
        <v/>
      </c>
      <c r="O12" s="272">
        <f>SUM(C12:N12)</f>
        <v/>
      </c>
    </row>
    <row r="13" ht="13.5" customHeight="1">
      <c r="A13" s="261" t="inlineStr">
        <is>
          <t>Доступно на складе, шт</t>
        </is>
      </c>
      <c r="B13" s="264" t="n"/>
      <c r="C13" s="263">
        <f>'PL WB (нед)'!G13</f>
        <v/>
      </c>
      <c r="D13" s="263">
        <f>C13-D7-D27+D11+D23</f>
        <v/>
      </c>
      <c r="E13" s="263">
        <f>D13-E7-E27+E11+E23</f>
        <v/>
      </c>
      <c r="F13" s="263">
        <f>E13-F7-F27+F11+F23</f>
        <v/>
      </c>
      <c r="G13" s="263">
        <f>F13-G7-G27+G11+G23</f>
        <v/>
      </c>
      <c r="H13" s="263">
        <f>G13-H7-H27+H11+H23</f>
        <v/>
      </c>
      <c r="I13" s="263">
        <f>H13-I7-I27+I11+I23</f>
        <v/>
      </c>
      <c r="J13" s="263">
        <f>I13-J7-J27+J11+J23</f>
        <v/>
      </c>
      <c r="K13" s="263">
        <f>J13-K7-K27+K11+K23</f>
        <v/>
      </c>
      <c r="L13" s="263">
        <f>K13-L7-L27+L11+L23</f>
        <v/>
      </c>
      <c r="M13" s="263">
        <f>L13-M7-M27+M11+M23</f>
        <v/>
      </c>
      <c r="N13" s="263">
        <f>M13-N7-N27+N11+N23</f>
        <v/>
      </c>
      <c r="O13" s="272">
        <f>SUM(C13:N13)</f>
        <v/>
      </c>
    </row>
    <row r="14" ht="13.5" customHeight="1" thickBot="1">
      <c r="A14" s="175" t="inlineStr">
        <is>
          <t>Продано товаров WB по цене в карточке</t>
        </is>
      </c>
      <c r="B14" s="257" t="n"/>
      <c r="C14" s="265">
        <f>SUM('PL WB (нед)'!C14:G14)</f>
        <v/>
      </c>
      <c r="D14" s="265">
        <f>SUM('PL WB (нед)'!H14:K14)</f>
        <v/>
      </c>
      <c r="E14" s="265">
        <f>SUM('PL WB (нед)'!L14:O14)</f>
        <v/>
      </c>
      <c r="F14" s="265">
        <f>SUM('PL WB (нед)'!P14:S14)</f>
        <v/>
      </c>
      <c r="G14" s="265">
        <f>SUM('PL WB (нед)'!T14:X14)</f>
        <v/>
      </c>
      <c r="H14" s="265">
        <f>SUM('PL WB (нед)'!Y14:AB14)</f>
        <v/>
      </c>
      <c r="I14" s="265">
        <f>SUM('PL WB (нед)'!AC14:AF14)</f>
        <v/>
      </c>
      <c r="J14" s="265">
        <f>SUM('PL WB (нед)'!AG14:AK14)</f>
        <v/>
      </c>
      <c r="K14" s="265">
        <f>SUM('PL WB (нед)'!AL14:AO14)</f>
        <v/>
      </c>
      <c r="L14" s="265">
        <f>SUM('PL WB (нед)'!AP14:AT14)</f>
        <v/>
      </c>
      <c r="M14" s="265">
        <f>SUM('PL WB (нед)'!AU14:AX14)</f>
        <v/>
      </c>
      <c r="N14" s="265">
        <f>SUM('PL WB (нед)'!AY14:BC14)</f>
        <v/>
      </c>
      <c r="O14" s="272">
        <f>SUM(C14:N14)</f>
        <v/>
      </c>
    </row>
    <row r="15" ht="13.5" customHeight="1" thickBot="1" thickTop="1">
      <c r="A15" s="175" t="inlineStr">
        <is>
          <t>Продано товаров WB ВБ реализовал-ПРОДАЖИ</t>
        </is>
      </c>
      <c r="B15" s="267" t="n"/>
      <c r="C15" s="265">
        <f>SUM('PL WB (нед)'!C15:G15)</f>
        <v/>
      </c>
      <c r="D15" s="265">
        <f>SUM('PL WB (нед)'!H15:K15)</f>
        <v/>
      </c>
      <c r="E15" s="265">
        <f>SUM('PL WB (нед)'!L15:O15)</f>
        <v/>
      </c>
      <c r="F15" s="265">
        <f>SUM('PL WB (нед)'!P15:S15)</f>
        <v/>
      </c>
      <c r="G15" s="265">
        <f>SUM('PL WB (нед)'!T15:X15)</f>
        <v/>
      </c>
      <c r="H15" s="265">
        <f>SUM('PL WB (нед)'!Y15:AB15)</f>
        <v/>
      </c>
      <c r="I15" s="265">
        <f>SUM('PL WB (нед)'!AC15:AF15)</f>
        <v/>
      </c>
      <c r="J15" s="265">
        <f>SUM('PL WB (нед)'!AG15:AK15)</f>
        <v/>
      </c>
      <c r="K15" s="265">
        <f>SUM('PL WB (нед)'!AL15:AO15)</f>
        <v/>
      </c>
      <c r="L15" s="265">
        <f>SUM('PL WB (нед)'!AP15:AT15)</f>
        <v/>
      </c>
      <c r="M15" s="265">
        <f>SUM('PL WB (нед)'!AU15:AX15)</f>
        <v/>
      </c>
      <c r="N15" s="265">
        <f>SUM('PL WB (нед)'!AY15:BC15)</f>
        <v/>
      </c>
      <c r="O15" s="272">
        <f>SUM(C15:N15)</f>
        <v/>
      </c>
    </row>
    <row r="16" ht="13.5" customHeight="1" thickTop="1">
      <c r="A16" s="268" t="n"/>
      <c r="B16" s="254" t="n"/>
      <c r="C16" s="269" t="n"/>
      <c r="D16" s="269" t="n"/>
      <c r="E16" s="269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72">
        <f>SUM(C16:N16)</f>
        <v/>
      </c>
    </row>
    <row r="17" ht="13.5" customHeight="1" thickBot="1">
      <c r="A17" s="268" t="inlineStr">
        <is>
          <t>Комиссия ВБ</t>
        </is>
      </c>
      <c r="B17" s="254" t="n"/>
      <c r="C17" s="265">
        <f>C14-C20</f>
        <v/>
      </c>
      <c r="D17" s="265">
        <f>D14-D20</f>
        <v/>
      </c>
      <c r="E17" s="265">
        <f>E14-E20</f>
        <v/>
      </c>
      <c r="F17" s="265">
        <f>F14-F20</f>
        <v/>
      </c>
      <c r="G17" s="265">
        <f>G14-G20</f>
        <v/>
      </c>
      <c r="H17" s="265">
        <f>H14-H20</f>
        <v/>
      </c>
      <c r="I17" s="265">
        <f>I14-I20</f>
        <v/>
      </c>
      <c r="J17" s="265">
        <f>J14-J20</f>
        <v/>
      </c>
      <c r="K17" s="265">
        <f>K14-K20</f>
        <v/>
      </c>
      <c r="L17" s="265">
        <f>L14-L20</f>
        <v/>
      </c>
      <c r="M17" s="265">
        <f>M14-M20</f>
        <v/>
      </c>
      <c r="N17" s="265">
        <f>N15-N20</f>
        <v/>
      </c>
      <c r="O17" s="272">
        <f>SUM(C17:N17)</f>
        <v/>
      </c>
    </row>
    <row r="18" ht="13.5" customHeight="1" thickTop="1">
      <c r="A18" s="268" t="inlineStr">
        <is>
          <t>% комиссии</t>
        </is>
      </c>
      <c r="B18" s="254" t="n"/>
      <c r="C18" s="270">
        <f>C17/C14</f>
        <v/>
      </c>
      <c r="D18" s="270">
        <f>D17/D15</f>
        <v/>
      </c>
      <c r="E18" s="270">
        <f>E17/E15</f>
        <v/>
      </c>
      <c r="F18" s="270">
        <f>F17/F15</f>
        <v/>
      </c>
      <c r="G18" s="270">
        <f>G17/G15</f>
        <v/>
      </c>
      <c r="H18" s="270">
        <f>H17/H15</f>
        <v/>
      </c>
      <c r="I18" s="270">
        <f>I17/I15</f>
        <v/>
      </c>
      <c r="J18" s="270">
        <f>J17/J15</f>
        <v/>
      </c>
      <c r="K18" s="270">
        <f>K17/K15</f>
        <v/>
      </c>
      <c r="L18" s="270">
        <f>L17/L15</f>
        <v/>
      </c>
      <c r="M18" s="270">
        <f>M17/M15</f>
        <v/>
      </c>
      <c r="N18" s="270">
        <f>N17/N15</f>
        <v/>
      </c>
      <c r="O18" s="272">
        <f>SUM(C18:N18)</f>
        <v/>
      </c>
    </row>
    <row r="19" ht="13.5" customHeight="1">
      <c r="A19" s="268" t="n"/>
      <c r="B19" s="254" t="n"/>
      <c r="C19" s="269" t="n"/>
      <c r="D19" s="269" t="n"/>
      <c r="E19" s="269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72">
        <f>SUM(C19:N19)</f>
        <v/>
      </c>
    </row>
    <row r="20" ht="13.5" customHeight="1">
      <c r="A20" s="266" t="inlineStr">
        <is>
          <t>Выручка от реализации (к перечислению за товар), руб</t>
        </is>
      </c>
      <c r="B20" s="267" t="n"/>
      <c r="C20" s="265">
        <f>SUM('PL WB (нед)'!C20:G20)</f>
        <v/>
      </c>
      <c r="D20" s="265">
        <f>SUM('PL WB (нед)'!H20:K20)</f>
        <v/>
      </c>
      <c r="E20" s="265">
        <f>SUM('PL WB (нед)'!L20:O20)</f>
        <v/>
      </c>
      <c r="F20" s="265">
        <f>SUM('PL WB (нед)'!P20:S20)</f>
        <v/>
      </c>
      <c r="G20" s="265">
        <f>SUM('PL WB (нед)'!T20:X20)</f>
        <v/>
      </c>
      <c r="H20" s="265">
        <f>SUM('PL WB (нед)'!Y20:AB20)</f>
        <v/>
      </c>
      <c r="I20" s="265">
        <f>SUM('PL WB (нед)'!AC20:AF20)</f>
        <v/>
      </c>
      <c r="J20" s="265">
        <f>SUM('PL WB (нед)'!AG20:AK20)</f>
        <v/>
      </c>
      <c r="K20" s="265">
        <f>SUM('PL WB (нед)'!AL20:AO20)</f>
        <v/>
      </c>
      <c r="L20" s="265">
        <f>SUM('PL WB (нед)'!AP20:AT20)</f>
        <v/>
      </c>
      <c r="M20" s="265">
        <f>SUM('PL WB (нед)'!AU20:AX20)</f>
        <v/>
      </c>
      <c r="N20" s="265">
        <f>SUM('PL WB (нед)'!AY20:BC20)</f>
        <v/>
      </c>
      <c r="O20" s="272">
        <f>SUM(C20:N20)</f>
        <v/>
      </c>
    </row>
    <row r="21" ht="13.5" customHeight="1">
      <c r="A21" s="273" t="n"/>
      <c r="B21" s="274" t="n"/>
      <c r="C21" s="275" t="n"/>
      <c r="D21" s="275" t="n"/>
      <c r="E21" s="275" t="n"/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2">
        <f>SUM(C21:N21)</f>
        <v/>
      </c>
    </row>
    <row r="22" ht="13.5" customHeight="1">
      <c r="A22" s="268" t="inlineStr">
        <is>
          <t>Возвраты, руб</t>
        </is>
      </c>
      <c r="B22" s="276" t="n"/>
      <c r="C22" s="269">
        <f>SUM('PL WB (нед)'!C22:G22)</f>
        <v/>
      </c>
      <c r="D22" s="269">
        <f>SUM('PL WB (нед)'!H22:K22)</f>
        <v/>
      </c>
      <c r="E22" s="269">
        <f>SUM('PL WB (нед)'!L22:O22)</f>
        <v/>
      </c>
      <c r="F22" s="269">
        <f>SUM('PL WB (нед)'!P22:S22)</f>
        <v/>
      </c>
      <c r="G22" s="269">
        <f>SUM('PL WB (нед)'!T22:X22)</f>
        <v/>
      </c>
      <c r="H22" s="269">
        <f>SUM('PL WB (нед)'!Y22:AB22)</f>
        <v/>
      </c>
      <c r="I22" s="269">
        <f>SUM('PL WB (нед)'!AC22:AF22)</f>
        <v/>
      </c>
      <c r="J22" s="269">
        <f>SUM('PL WB (нед)'!AG22:AK22)</f>
        <v/>
      </c>
      <c r="K22" s="269">
        <f>SUM('PL WB (нед)'!AL22:AO22)</f>
        <v/>
      </c>
      <c r="L22" s="269">
        <f>SUM('PL WB (нед)'!AP22:AT22)</f>
        <v/>
      </c>
      <c r="M22" s="269">
        <f>SUM('PL WB (нед)'!AU22:AX22)</f>
        <v/>
      </c>
      <c r="N22" s="269">
        <f>SUM('PL WB (нед)'!AY22:BC22)</f>
        <v/>
      </c>
      <c r="O22" s="272">
        <f>SUM(C22:N22)</f>
        <v/>
      </c>
    </row>
    <row r="23" ht="13.5" customHeight="1">
      <c r="A23" s="268" t="inlineStr">
        <is>
          <t>Возвраты, шт</t>
        </is>
      </c>
      <c r="B23" s="276" t="n"/>
      <c r="C23" s="269">
        <f>SUM('PL WB (нед)'!C23:G23)</f>
        <v/>
      </c>
      <c r="D23" s="269">
        <f>SUM('PL WB (нед)'!H23:K23)</f>
        <v/>
      </c>
      <c r="E23" s="269">
        <f>SUM('PL WB (нед)'!L23:O23)</f>
        <v/>
      </c>
      <c r="F23" s="269">
        <f>SUM('PL WB (нед)'!P23:S23)</f>
        <v/>
      </c>
      <c r="G23" s="269">
        <f>SUM('PL WB (нед)'!T23:X23)</f>
        <v/>
      </c>
      <c r="H23" s="269">
        <f>SUM('PL WB (нед)'!Y23:AB23)</f>
        <v/>
      </c>
      <c r="I23" s="269">
        <f>SUM('PL WB (нед)'!AC23:AF23)</f>
        <v/>
      </c>
      <c r="J23" s="269">
        <f>SUM('PL WB (нед)'!AG23:AK23)</f>
        <v/>
      </c>
      <c r="K23" s="269">
        <f>SUM('PL WB (нед)'!AL23:AO23)</f>
        <v/>
      </c>
      <c r="L23" s="269">
        <f>SUM('PL WB (нед)'!AP23:AT23)</f>
        <v/>
      </c>
      <c r="M23" s="269">
        <f>SUM('PL WB (нед)'!AU23:AX23)</f>
        <v/>
      </c>
      <c r="N23" s="269">
        <f>SUM('PL WB (нед)'!AY23:BC23)</f>
        <v/>
      </c>
      <c r="O23" s="272">
        <f>SUM(C23:N23)</f>
        <v/>
      </c>
    </row>
    <row r="24" ht="13.5" customHeight="1">
      <c r="A24" s="268" t="inlineStr">
        <is>
          <t>% возвратов</t>
        </is>
      </c>
      <c r="B24" s="276" t="n"/>
      <c r="C24" s="534">
        <f>C22/C14</f>
        <v/>
      </c>
      <c r="D24" s="534">
        <f>D22/D20</f>
        <v/>
      </c>
      <c r="E24" s="534">
        <f>E22/E20</f>
        <v/>
      </c>
      <c r="F24" s="534">
        <f>F22/F20</f>
        <v/>
      </c>
      <c r="G24" s="534">
        <f>G22/G20</f>
        <v/>
      </c>
      <c r="H24" s="534">
        <f>H22/H20</f>
        <v/>
      </c>
      <c r="I24" s="534">
        <f>I22/I20</f>
        <v/>
      </c>
      <c r="J24" s="534">
        <f>J22/J20</f>
        <v/>
      </c>
      <c r="K24" s="534">
        <f>K22/K20</f>
        <v/>
      </c>
      <c r="L24" s="534">
        <f>L22/L20</f>
        <v/>
      </c>
      <c r="M24" s="534">
        <f>M22/M20</f>
        <v/>
      </c>
      <c r="N24" s="534">
        <f>N22/N20</f>
        <v/>
      </c>
      <c r="O24" s="534">
        <f>O22/O20</f>
        <v/>
      </c>
    </row>
    <row r="25" ht="13.5" customHeight="1">
      <c r="A25" s="273" t="n"/>
      <c r="B25" s="274" t="n"/>
      <c r="C25" s="275" t="n"/>
      <c r="D25" s="275" t="n"/>
      <c r="E25" s="275" t="n"/>
      <c r="F25" s="275" t="n"/>
      <c r="G25" s="275" t="n"/>
      <c r="H25" s="275" t="n"/>
      <c r="I25" s="275" t="n"/>
      <c r="J25" s="275" t="n"/>
      <c r="K25" s="275" t="n"/>
      <c r="L25" s="275" t="n"/>
      <c r="M25" s="275" t="n"/>
      <c r="N25" s="275" t="n"/>
      <c r="O25" s="272" t="n"/>
    </row>
    <row r="26" hidden="1" ht="13.5" customHeight="1">
      <c r="A26" s="277" t="inlineStr">
        <is>
          <t>Брак, руб</t>
        </is>
      </c>
      <c r="B26" s="274" t="n"/>
      <c r="C26" s="275" t="n"/>
      <c r="D26" s="275" t="n"/>
      <c r="E26" s="275" t="n"/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2" t="n"/>
    </row>
    <row r="27" ht="13.5" customHeight="1">
      <c r="A27" s="277" t="inlineStr">
        <is>
          <t>Брак, шт</t>
        </is>
      </c>
      <c r="B27" s="274" t="n"/>
      <c r="C27" s="269">
        <f>SUM('PL WB (нед)'!C27:G27)</f>
        <v/>
      </c>
      <c r="D27" s="269">
        <f>SUM('PL WB (нед)'!H27:K27)</f>
        <v/>
      </c>
      <c r="E27" s="269">
        <f>SUM('PL WB (нед)'!L27:O27)</f>
        <v/>
      </c>
      <c r="F27" s="269">
        <f>SUM('PL WB (нед)'!P27:S27)</f>
        <v/>
      </c>
      <c r="G27" s="269">
        <f>SUM('PL WB (нед)'!T27:X27)</f>
        <v/>
      </c>
      <c r="H27" s="269">
        <f>SUM('PL WB (нед)'!Y27:AB27)</f>
        <v/>
      </c>
      <c r="I27" s="269">
        <f>SUM('PL WB (нед)'!AC27:AF27)</f>
        <v/>
      </c>
      <c r="J27" s="269">
        <f>SUM('PL WB (нед)'!AG27:AK27)</f>
        <v/>
      </c>
      <c r="K27" s="269">
        <f>SUM('PL WB (нед)'!AL27:AO27)</f>
        <v/>
      </c>
      <c r="L27" s="269">
        <f>SUM('PL WB (нед)'!AP27:AT27)</f>
        <v/>
      </c>
      <c r="M27" s="269">
        <f>SUM('PL WB (нед)'!AU27:AX27)</f>
        <v/>
      </c>
      <c r="N27" s="269">
        <f>SUM('PL WB (нед)'!AY27:BB27)</f>
        <v/>
      </c>
      <c r="O27" s="272" t="n"/>
    </row>
    <row r="28" ht="13.5" customHeight="1">
      <c r="A28" s="277" t="inlineStr">
        <is>
          <t>% брака</t>
        </is>
      </c>
      <c r="B28" s="274" t="n"/>
      <c r="C28" s="534">
        <f>C27/C7</f>
        <v/>
      </c>
      <c r="D28" s="270">
        <f>D27/D7</f>
        <v/>
      </c>
      <c r="E28" s="270">
        <f>E27/E7</f>
        <v/>
      </c>
      <c r="F28" s="270">
        <f>F27/F7</f>
        <v/>
      </c>
      <c r="G28" s="270">
        <f>G27/G7</f>
        <v/>
      </c>
      <c r="H28" s="270">
        <f>H27/H7</f>
        <v/>
      </c>
      <c r="I28" s="270">
        <f>I27/I7</f>
        <v/>
      </c>
      <c r="J28" s="270">
        <f>J27/J7</f>
        <v/>
      </c>
      <c r="K28" s="270">
        <f>K27/K7</f>
        <v/>
      </c>
      <c r="L28" s="270">
        <f>L27/L7</f>
        <v/>
      </c>
      <c r="M28" s="270">
        <f>M27/M7</f>
        <v/>
      </c>
      <c r="N28" s="270">
        <f>N27/N7</f>
        <v/>
      </c>
      <c r="O28" s="272" t="n"/>
    </row>
    <row r="29" ht="13.5" customHeight="1">
      <c r="A29" s="273" t="n"/>
      <c r="B29" s="274" t="n"/>
      <c r="C29" s="275" t="n"/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272" t="n"/>
    </row>
    <row r="30" ht="13.5" customHeight="1">
      <c r="A30" s="279" t="inlineStr">
        <is>
          <t xml:space="preserve">Поступление на счет от ВБ </t>
        </is>
      </c>
      <c r="B30" s="280" t="n"/>
      <c r="C30" s="281">
        <f>C20+C31-SUM(C40:C45)-C42</f>
        <v/>
      </c>
      <c r="D30" s="281">
        <f>D20+D31-SUM(D40:D45)-D42</f>
        <v/>
      </c>
      <c r="E30" s="281">
        <f>E20+E31-SUM(E40:E45)-E42</f>
        <v/>
      </c>
      <c r="F30" s="281">
        <f>F20+F31-SUM(F40:F45)-F42</f>
        <v/>
      </c>
      <c r="G30" s="281">
        <f>G20+G31-SUM(G40:G45)-G42</f>
        <v/>
      </c>
      <c r="H30" s="281">
        <f>H20+H31-SUM(H40:H45)-H42</f>
        <v/>
      </c>
      <c r="I30" s="281">
        <f>I20+I31-SUM(I40:I45)-I42</f>
        <v/>
      </c>
      <c r="J30" s="281">
        <f>J20+J31-SUM(J40:J45)-J42</f>
        <v/>
      </c>
      <c r="K30" s="281">
        <f>K20+K31-SUM(K40:K45)-K42</f>
        <v/>
      </c>
      <c r="L30" s="281">
        <f>L20+L31-SUM(L40:L45)-L42</f>
        <v/>
      </c>
      <c r="M30" s="281">
        <f>M20+M31-SUM(M40:M45)-M42</f>
        <v/>
      </c>
      <c r="N30" s="281">
        <f>N20+N31-SUM(N40:N45)-N42</f>
        <v/>
      </c>
      <c r="O30" s="272">
        <f>SUM(C30:N30)</f>
        <v/>
      </c>
    </row>
    <row r="31" ht="13.5" customHeight="1">
      <c r="A31" s="107" t="inlineStr">
        <is>
          <t xml:space="preserve">   в т.ч. Прочие доходы</t>
        </is>
      </c>
      <c r="B31" s="274" t="n"/>
      <c r="C31" s="256">
        <f>SUM('PL WB (нед)'!C31:G31)</f>
        <v/>
      </c>
      <c r="D31" s="256">
        <f>SUM('PL WB (нед)'!H31:K31)</f>
        <v/>
      </c>
      <c r="E31" s="256">
        <f>SUM('PL WB (нед)'!L31:O31)</f>
        <v/>
      </c>
      <c r="F31" s="256">
        <f>SUM('PL WB (нед)'!P31:S31)</f>
        <v/>
      </c>
      <c r="G31" s="256">
        <f>SUM('PL WB (нед)'!T31:X31)</f>
        <v/>
      </c>
      <c r="H31" s="256">
        <f>SUM('PL WB (нед)'!Y31:AB31)</f>
        <v/>
      </c>
      <c r="I31" s="256">
        <f>SUM('PL WB (нед)'!AC31:AF31)</f>
        <v/>
      </c>
      <c r="J31" s="256">
        <f>SUM('PL WB (нед)'!AG31:AK31)</f>
        <v/>
      </c>
      <c r="K31" s="256">
        <f>SUM('PL WB (нед)'!AL31:AO31)</f>
        <v/>
      </c>
      <c r="L31" s="256">
        <f>SUM('PL WB (нед)'!AP31:AT31)</f>
        <v/>
      </c>
      <c r="M31" s="256">
        <f>SUM('PL WB (нед)'!AU31:AX31)</f>
        <v/>
      </c>
      <c r="N31" s="256">
        <f>SUM('PL WB (нед)'!AY31:BB31)</f>
        <v/>
      </c>
      <c r="O31" s="252" t="n"/>
    </row>
    <row r="33" ht="13.5" customHeight="1" thickBot="1">
      <c r="A33" s="266" t="inlineStr">
        <is>
          <t>Себестоимость</t>
        </is>
      </c>
      <c r="B33" s="284" t="n"/>
      <c r="C33" s="265">
        <f>SUM('PL WB (нед)'!C33:G33)</f>
        <v/>
      </c>
      <c r="D33" s="265">
        <f>SUM('PL WB (нед)'!H33:K33)</f>
        <v/>
      </c>
      <c r="E33" s="265">
        <f>SUM('PL WB (нед)'!L33:O33)</f>
        <v/>
      </c>
      <c r="F33" s="265">
        <f>SUM('PL WB (нед)'!P33:S33)</f>
        <v/>
      </c>
      <c r="G33" s="265">
        <f>SUM('PL WB (нед)'!T33:X33)</f>
        <v/>
      </c>
      <c r="H33" s="265">
        <f>SUM('PL WB (нед)'!Y33:AB33)</f>
        <v/>
      </c>
      <c r="I33" s="265">
        <f>SUM('PL WB (нед)'!AC33:AF33)</f>
        <v/>
      </c>
      <c r="J33" s="265">
        <f>SUM('PL WB (нед)'!AG33:AK33)</f>
        <v/>
      </c>
      <c r="K33" s="265">
        <f>SUM('PL WB (нед)'!AL33:AO33)</f>
        <v/>
      </c>
      <c r="L33" s="265">
        <f>SUM('PL WB (нед)'!AP33:AT33)</f>
        <v/>
      </c>
      <c r="M33" s="265">
        <f>SUM('PL WB (нед)'!AU33:AX33)</f>
        <v/>
      </c>
      <c r="N33" s="265">
        <f>SUM('PL WB (нед)'!AY33:BC33)</f>
        <v/>
      </c>
      <c r="O33" s="265">
        <f>SUM('PL WB (нед)'!AZ33:BD33)</f>
        <v/>
      </c>
    </row>
    <row r="34" ht="13.5" customHeight="1" thickTop="1">
      <c r="A34" s="285" t="inlineStr">
        <is>
          <t>% себестоимости</t>
        </is>
      </c>
      <c r="B34" s="286" t="n"/>
      <c r="C34" s="287">
        <f>C33/C14</f>
        <v/>
      </c>
      <c r="D34" s="287">
        <f>D33/D15</f>
        <v/>
      </c>
      <c r="E34" s="287">
        <f>E33/E15</f>
        <v/>
      </c>
      <c r="F34" s="287">
        <f>F33/F15</f>
        <v/>
      </c>
      <c r="G34" s="287">
        <f>G33/G15</f>
        <v/>
      </c>
      <c r="H34" s="287">
        <f>H33/H15</f>
        <v/>
      </c>
      <c r="I34" s="287">
        <f>I33/I15</f>
        <v/>
      </c>
      <c r="J34" s="287">
        <f>J33/J15</f>
        <v/>
      </c>
      <c r="K34" s="287">
        <f>K33/K15</f>
        <v/>
      </c>
      <c r="L34" s="287">
        <f>L33/L15</f>
        <v/>
      </c>
      <c r="M34" s="287">
        <f>M33/M15</f>
        <v/>
      </c>
      <c r="N34" s="287">
        <f>N33/N15</f>
        <v/>
      </c>
      <c r="O34" s="287">
        <f>O33/O15</f>
        <v/>
      </c>
    </row>
    <row r="35" ht="13.5" customHeight="1">
      <c r="A35" s="282" t="n"/>
      <c r="B35" s="288" t="n"/>
      <c r="C35" s="283" t="n"/>
      <c r="D35" s="283" t="n"/>
      <c r="E35" s="283" t="n"/>
      <c r="F35" s="283" t="n"/>
      <c r="G35" s="283" t="n"/>
      <c r="H35" s="283" t="n"/>
      <c r="I35" s="283" t="n"/>
      <c r="J35" s="283" t="n"/>
      <c r="K35" s="283" t="n"/>
      <c r="L35" s="283" t="n"/>
      <c r="M35" s="283" t="n"/>
      <c r="N35" s="283" t="n"/>
      <c r="O35" s="252" t="n"/>
    </row>
    <row r="36" ht="13.5" customHeight="1" thickBot="1">
      <c r="A36" s="266" t="inlineStr">
        <is>
          <t>Валовая прибыль</t>
        </is>
      </c>
      <c r="B36" s="284" t="n"/>
      <c r="C36" s="265">
        <f>C20-C33</f>
        <v/>
      </c>
      <c r="D36" s="265">
        <f>D20-D33</f>
        <v/>
      </c>
      <c r="E36" s="265">
        <f>E20-E33</f>
        <v/>
      </c>
      <c r="F36" s="265">
        <f>F20-F33</f>
        <v/>
      </c>
      <c r="G36" s="265">
        <f>G20-G33</f>
        <v/>
      </c>
      <c r="H36" s="265">
        <f>H20-H33</f>
        <v/>
      </c>
      <c r="I36" s="265">
        <f>I20-I33</f>
        <v/>
      </c>
      <c r="J36" s="265">
        <f>J20-J33</f>
        <v/>
      </c>
      <c r="K36" s="265">
        <f>K20-K33</f>
        <v/>
      </c>
      <c r="L36" s="265">
        <f>L20-L33</f>
        <v/>
      </c>
      <c r="M36" s="265">
        <f>M20-M33</f>
        <v/>
      </c>
      <c r="N36" s="265">
        <f>N20-N33</f>
        <v/>
      </c>
      <c r="O36" s="265">
        <f>O20-O33</f>
        <v/>
      </c>
    </row>
    <row r="37" ht="13.5" customHeight="1" thickTop="1">
      <c r="A37" s="289" t="n"/>
      <c r="B37" s="250" t="n"/>
      <c r="C37" s="283" t="n"/>
      <c r="D37" s="283" t="n"/>
      <c r="E37" s="283" t="n"/>
      <c r="F37" s="283" t="n"/>
      <c r="G37" s="283" t="n"/>
      <c r="H37" s="283" t="n"/>
      <c r="I37" s="283" t="n"/>
      <c r="J37" s="283" t="n"/>
      <c r="K37" s="283" t="n"/>
      <c r="L37" s="283" t="n"/>
      <c r="M37" s="283" t="n"/>
      <c r="N37" s="283" t="n"/>
      <c r="O37" s="252" t="n"/>
    </row>
    <row r="38" ht="13.5" customHeight="1">
      <c r="A38" s="266" t="inlineStr">
        <is>
          <t>Расходы</t>
        </is>
      </c>
      <c r="B38" s="284" t="n"/>
      <c r="C38" s="265">
        <f>SUM(C40:C51)</f>
        <v/>
      </c>
      <c r="D38" s="265">
        <f>SUM(D40:D51)</f>
        <v/>
      </c>
      <c r="E38" s="265">
        <f>SUM(E40:E51)</f>
        <v/>
      </c>
      <c r="F38" s="265">
        <f>SUM(F40:F51)</f>
        <v/>
      </c>
      <c r="G38" s="265">
        <f>SUM(G40:G51)</f>
        <v/>
      </c>
      <c r="H38" s="265">
        <f>SUM(H40:H51)</f>
        <v/>
      </c>
      <c r="I38" s="265">
        <f>SUM(I40:I51)</f>
        <v/>
      </c>
      <c r="J38" s="265">
        <f>SUM(J40:J51)</f>
        <v/>
      </c>
      <c r="K38" s="265">
        <f>SUM(K40:K51)</f>
        <v/>
      </c>
      <c r="L38" s="265">
        <f>SUM(L40:L51)</f>
        <v/>
      </c>
      <c r="M38" s="265">
        <f>SUM(M40:M51)</f>
        <v/>
      </c>
      <c r="N38" s="265">
        <f>SUM(N40:N51)</f>
        <v/>
      </c>
      <c r="O38" s="272">
        <f>SUM(C38:N38)</f>
        <v/>
      </c>
    </row>
    <row r="39" ht="13.5" customHeight="1">
      <c r="A39" s="290" t="inlineStr">
        <is>
          <t>% расходы</t>
        </is>
      </c>
      <c r="B39" s="291" t="n"/>
      <c r="C39" s="287">
        <f>C38/C14</f>
        <v/>
      </c>
      <c r="D39" s="287">
        <f>D38/D14</f>
        <v/>
      </c>
      <c r="E39" s="287">
        <f>E38/E14</f>
        <v/>
      </c>
      <c r="F39" s="287">
        <f>F38/F14</f>
        <v/>
      </c>
      <c r="G39" s="287">
        <f>G38/G14</f>
        <v/>
      </c>
      <c r="H39" s="287">
        <f>H38/H14</f>
        <v/>
      </c>
      <c r="I39" s="287">
        <f>I38/I14</f>
        <v/>
      </c>
      <c r="J39" s="287">
        <f>J38/J14</f>
        <v/>
      </c>
      <c r="K39" s="287">
        <f>K38/K14</f>
        <v/>
      </c>
      <c r="L39" s="287">
        <f>L38/L14</f>
        <v/>
      </c>
      <c r="M39" s="287">
        <f>M38/M14</f>
        <v/>
      </c>
      <c r="N39" s="287">
        <f>N38/N14</f>
        <v/>
      </c>
      <c r="O39" s="287">
        <f>O38/O14</f>
        <v/>
      </c>
    </row>
    <row r="40" ht="13.5" customHeight="1">
      <c r="A40" s="292" t="inlineStr">
        <is>
          <t>Логистика ВБ</t>
        </is>
      </c>
      <c r="B40" s="293" t="n"/>
      <c r="C40" s="294">
        <f>SUM('PL WB (нед)'!C40:G40)</f>
        <v/>
      </c>
      <c r="D40" s="294">
        <f>SUM('PL WB (нед)'!H40:K40)</f>
        <v/>
      </c>
      <c r="E40" s="294">
        <f>SUM('PL WB (нед)'!L40:O40)</f>
        <v/>
      </c>
      <c r="F40" s="294">
        <f>SUM('PL WB (нед)'!P40:S40)</f>
        <v/>
      </c>
      <c r="G40" s="294">
        <f>SUM('PL WB (нед)'!T40:X40)</f>
        <v/>
      </c>
      <c r="H40" s="294">
        <f>SUM('PL WB (нед)'!Y40:AB40)</f>
        <v/>
      </c>
      <c r="I40" s="294">
        <f>SUM('PL WB (нед)'!AC40:AF40)</f>
        <v/>
      </c>
      <c r="J40" s="294">
        <f>SUM('PL WB (нед)'!AG40:AK40)</f>
        <v/>
      </c>
      <c r="K40" s="294">
        <f>SUM('PL WB (нед)'!AL40:AO40)</f>
        <v/>
      </c>
      <c r="L40" s="294">
        <f>SUM('PL WB (нед)'!AP40:AT40)</f>
        <v/>
      </c>
      <c r="M40" s="294">
        <f>SUM('PL WB (нед)'!AU40:AX40)</f>
        <v/>
      </c>
      <c r="N40" s="294">
        <f>SUM('PL WB (нед)'!AY40:BC40)</f>
        <v/>
      </c>
      <c r="O40" s="272">
        <f>SUM(C40:N40)</f>
        <v/>
      </c>
    </row>
    <row r="41" ht="13.5" customHeight="1">
      <c r="A41" s="400" t="inlineStr">
        <is>
          <t>Продвижение ВБ (взаимозачет)</t>
        </is>
      </c>
      <c r="B41" s="293" t="n"/>
      <c r="C41" s="294">
        <f>SUM('PL WB (нед)'!C41:G41)</f>
        <v/>
      </c>
      <c r="D41" s="294">
        <f>SUM('PL WB (нед)'!H41:K41)</f>
        <v/>
      </c>
      <c r="E41" s="294">
        <f>SUM('PL WB (нед)'!L41:O41)</f>
        <v/>
      </c>
      <c r="F41" s="294">
        <f>SUM('PL WB (нед)'!P41:S41)</f>
        <v/>
      </c>
      <c r="G41" s="294">
        <f>SUM('PL WB (нед)'!T41:X41)</f>
        <v/>
      </c>
      <c r="H41" s="294">
        <f>SUM('PL WB (нед)'!Y41:AB41)</f>
        <v/>
      </c>
      <c r="I41" s="294">
        <f>SUM('PL WB (нед)'!AC41:AF41)</f>
        <v/>
      </c>
      <c r="J41" s="294">
        <f>SUM('PL WB (нед)'!AG41:AK41)</f>
        <v/>
      </c>
      <c r="K41" s="294">
        <f>SUM('PL WB (нед)'!AL41:AO41)</f>
        <v/>
      </c>
      <c r="L41" s="294">
        <f>SUM('PL WB (нед)'!AP41:AT41)</f>
        <v/>
      </c>
      <c r="M41" s="294">
        <f>SUM('PL WB (нед)'!AU41:AX41)</f>
        <v/>
      </c>
      <c r="N41" s="294">
        <f>SUM('PL WB (нед)'!AY41:BC41)</f>
        <v/>
      </c>
      <c r="O41" s="272">
        <f>SUM(C41:N41)</f>
        <v/>
      </c>
    </row>
    <row r="42" ht="13.5" customHeight="1">
      <c r="A42" s="400" t="inlineStr">
        <is>
          <t>Эквайринг ВБ</t>
        </is>
      </c>
      <c r="B42" s="293" t="n"/>
      <c r="C42" s="294">
        <f>SUM('PL WB (нед)'!C42:G42)</f>
        <v/>
      </c>
      <c r="D42" s="294">
        <f>SUM('PL WB (нед)'!H42:K42)</f>
        <v/>
      </c>
      <c r="E42" s="294">
        <f>SUM('PL WB (нед)'!L42:O42)</f>
        <v/>
      </c>
      <c r="F42" s="294">
        <f>SUM('PL WB (нед)'!P42:S42)</f>
        <v/>
      </c>
      <c r="G42" s="294">
        <f>SUM('PL WB (нед)'!T42:X42)</f>
        <v/>
      </c>
      <c r="H42" s="294">
        <f>SUM('PL WB (нед)'!Y42:AB42)</f>
        <v/>
      </c>
      <c r="I42" s="294">
        <f>SUM('PL WB (нед)'!AC42:AF42)</f>
        <v/>
      </c>
      <c r="J42" s="294">
        <f>SUM('PL WB (нед)'!AG42:AK42)</f>
        <v/>
      </c>
      <c r="K42" s="294">
        <f>SUM('PL WB (нед)'!AL42:AO42)</f>
        <v/>
      </c>
      <c r="L42" s="294">
        <f>SUM('PL WB (нед)'!AP42:AT42)</f>
        <v/>
      </c>
      <c r="M42" s="294">
        <f>SUM('PL WB (нед)'!AU42:AX42)</f>
        <v/>
      </c>
      <c r="N42" s="294">
        <f>SUM('PL WB (нед)'!AY42:BC42)</f>
        <v/>
      </c>
      <c r="O42" s="272">
        <f>SUM(C42:N42)</f>
        <v/>
      </c>
    </row>
    <row r="43" ht="13.5" customHeight="1">
      <c r="A43" s="292" t="inlineStr">
        <is>
          <t>Хранение ВБ</t>
        </is>
      </c>
      <c r="B43" s="293" t="n"/>
      <c r="C43" s="294">
        <f>SUM('PL WB (нед)'!C43:G43)</f>
        <v/>
      </c>
      <c r="D43" s="294">
        <f>SUM('PL WB (нед)'!H43:K43)</f>
        <v/>
      </c>
      <c r="E43" s="294">
        <f>SUM('PL WB (нед)'!L43:O43)</f>
        <v/>
      </c>
      <c r="F43" s="294">
        <f>SUM('PL WB (нед)'!P43:S43)</f>
        <v/>
      </c>
      <c r="G43" s="294">
        <f>SUM('PL WB (нед)'!T43:X43)</f>
        <v/>
      </c>
      <c r="H43" s="294">
        <f>SUM('PL WB (нед)'!Y43:AB43)</f>
        <v/>
      </c>
      <c r="I43" s="294">
        <f>SUM('PL WB (нед)'!AC43:AF43)</f>
        <v/>
      </c>
      <c r="J43" s="294">
        <f>SUM('PL WB (нед)'!AG43:AK43)</f>
        <v/>
      </c>
      <c r="K43" s="294">
        <f>SUM('PL WB (нед)'!AL43:AO43)</f>
        <v/>
      </c>
      <c r="L43" s="294">
        <f>SUM('PL WB (нед)'!AP43:AT43)</f>
        <v/>
      </c>
      <c r="M43" s="294">
        <f>SUM('PL WB (нед)'!AU43:AX43)</f>
        <v/>
      </c>
      <c r="N43" s="294">
        <f>SUM('PL WB (нед)'!AY43:BC43)</f>
        <v/>
      </c>
      <c r="O43" s="272">
        <f>SUM(C43:N43)</f>
        <v/>
      </c>
    </row>
    <row r="44" ht="13.5" customHeight="1">
      <c r="A44" s="292" t="inlineStr">
        <is>
          <t>Штрафы ВБ</t>
        </is>
      </c>
      <c r="B44" s="293" t="n"/>
      <c r="C44" s="294">
        <f>SUM('PL WB (нед)'!C44:G44)</f>
        <v/>
      </c>
      <c r="D44" s="294">
        <f>SUM('PL WB (нед)'!H44:K44)</f>
        <v/>
      </c>
      <c r="E44" s="294">
        <f>SUM('PL WB (нед)'!L44:O44)</f>
        <v/>
      </c>
      <c r="F44" s="294">
        <f>SUM('PL WB (нед)'!P44:S44)</f>
        <v/>
      </c>
      <c r="G44" s="294">
        <f>SUM('PL WB (нед)'!T44:X44)</f>
        <v/>
      </c>
      <c r="H44" s="294">
        <f>SUM('PL WB (нед)'!Y44:AB44)</f>
        <v/>
      </c>
      <c r="I44" s="294">
        <f>SUM('PL WB (нед)'!AC44:AF44)</f>
        <v/>
      </c>
      <c r="J44" s="294">
        <f>SUM('PL WB (нед)'!AG44:AK44)</f>
        <v/>
      </c>
      <c r="K44" s="294">
        <f>SUM('PL WB (нед)'!AL44:AO44)</f>
        <v/>
      </c>
      <c r="L44" s="294">
        <f>SUM('PL WB (нед)'!AP44:AT44)</f>
        <v/>
      </c>
      <c r="M44" s="294">
        <f>SUM('PL WB (нед)'!AU44:AX44)</f>
        <v/>
      </c>
      <c r="N44" s="294">
        <f>SUM('PL WB (нед)'!AY44:BC44)</f>
        <v/>
      </c>
      <c r="O44" s="272">
        <f>SUM(C44:N44)</f>
        <v/>
      </c>
    </row>
    <row r="45" ht="13.5" customHeight="1">
      <c r="A45" s="292" t="inlineStr">
        <is>
          <t>Платная приемка ВБ</t>
        </is>
      </c>
      <c r="B45" s="293" t="n"/>
      <c r="C45" s="294">
        <f>SUM('PL WB (нед)'!C45:G45)</f>
        <v/>
      </c>
      <c r="D45" s="294">
        <f>SUM('PL WB (нед)'!H45:K45)</f>
        <v/>
      </c>
      <c r="E45" s="294">
        <f>SUM('PL WB (нед)'!L45:O45)</f>
        <v/>
      </c>
      <c r="F45" s="294">
        <f>SUM('PL WB (нед)'!P45:S45)</f>
        <v/>
      </c>
      <c r="G45" s="294">
        <f>SUM('PL WB (нед)'!T45:X45)</f>
        <v/>
      </c>
      <c r="H45" s="294">
        <f>SUM('PL WB (нед)'!Y45:AB45)</f>
        <v/>
      </c>
      <c r="I45" s="294">
        <f>SUM('PL WB (нед)'!AC45:AF45)</f>
        <v/>
      </c>
      <c r="J45" s="294">
        <f>SUM('PL WB (нед)'!AG45:AK45)</f>
        <v/>
      </c>
      <c r="K45" s="294">
        <f>SUM('PL WB (нед)'!AL45:AO45)</f>
        <v/>
      </c>
      <c r="L45" s="294">
        <f>SUM('PL WB (нед)'!AP45:AT45)</f>
        <v/>
      </c>
      <c r="M45" s="294">
        <f>SUM('PL WB (нед)'!AU45:AX45)</f>
        <v/>
      </c>
      <c r="N45" s="294">
        <f>SUM('PL WB (нед)'!AY45:BC45)</f>
        <v/>
      </c>
      <c r="O45" s="272">
        <f>SUM(C45:N45)</f>
        <v/>
      </c>
    </row>
    <row r="46" ht="13.5" customHeight="1">
      <c r="A46" s="292" t="n"/>
      <c r="B46" s="293" t="n"/>
      <c r="C46" s="294">
        <f>SUM('PL WB (нед)'!C46:G46)</f>
        <v/>
      </c>
      <c r="D46" s="294">
        <f>SUM('PL WB (нед)'!H46:K46)</f>
        <v/>
      </c>
      <c r="E46" s="294">
        <f>SUM('PL WB (нед)'!L46:O46)</f>
        <v/>
      </c>
      <c r="F46" s="294">
        <f>SUM('PL WB (нед)'!P46:S46)</f>
        <v/>
      </c>
      <c r="G46" s="294">
        <f>SUM('PL WB (нед)'!T46:X46)</f>
        <v/>
      </c>
      <c r="H46" s="294">
        <f>SUM('PL WB (нед)'!Y46:AB46)</f>
        <v/>
      </c>
      <c r="I46" s="294">
        <f>SUM('PL WB (нед)'!AC46:AF46)</f>
        <v/>
      </c>
      <c r="J46" s="294">
        <f>SUM('PL WB (нед)'!AG46:AK46)</f>
        <v/>
      </c>
      <c r="K46" s="294">
        <f>SUM('PL WB (нед)'!AL46:AO46)</f>
        <v/>
      </c>
      <c r="L46" s="294">
        <f>SUM('PL WB (нед)'!AP46:AT46)</f>
        <v/>
      </c>
      <c r="M46" s="294">
        <f>SUM('PL WB (нед)'!AU46:AX46)</f>
        <v/>
      </c>
      <c r="N46" s="294">
        <f>SUM('PL WB (нед)'!AY46:BC46)</f>
        <v/>
      </c>
      <c r="O46" s="272" t="n"/>
    </row>
    <row r="47" ht="13.5" customHeight="1">
      <c r="A47" s="292" t="inlineStr">
        <is>
          <t>Контент</t>
        </is>
      </c>
      <c r="B47" s="293" t="n"/>
      <c r="C47" s="294">
        <f>SUM('PL WB (нед)'!C47:G47)</f>
        <v/>
      </c>
      <c r="D47" s="294">
        <f>SUM('PL WB (нед)'!H47:K47)</f>
        <v/>
      </c>
      <c r="E47" s="294">
        <f>SUM('PL WB (нед)'!L47:O47)</f>
        <v/>
      </c>
      <c r="F47" s="294">
        <f>SUM('PL WB (нед)'!P47:S47)</f>
        <v/>
      </c>
      <c r="G47" s="294">
        <f>SUM('PL WB (нед)'!T47:X47)</f>
        <v/>
      </c>
      <c r="H47" s="294">
        <f>SUM('PL WB (нед)'!Y47:AB47)</f>
        <v/>
      </c>
      <c r="I47" s="294">
        <f>SUM('PL WB (нед)'!AC47:AF47)</f>
        <v/>
      </c>
      <c r="J47" s="294">
        <f>SUM('PL WB (нед)'!AG47:AK47)</f>
        <v/>
      </c>
      <c r="K47" s="294">
        <f>SUM('PL WB (нед)'!AL47:AO47)</f>
        <v/>
      </c>
      <c r="L47" s="294">
        <f>SUM('PL WB (нед)'!AP47:AT47)</f>
        <v/>
      </c>
      <c r="M47" s="294">
        <f>SUM('PL WB (нед)'!AU47:AX47)</f>
        <v/>
      </c>
      <c r="N47" s="294">
        <f>SUM('PL WB (нед)'!AY47:BC47)</f>
        <v/>
      </c>
      <c r="O47" s="272" t="n"/>
    </row>
    <row r="48" ht="13.5" customHeight="1">
      <c r="A48" s="292" t="inlineStr">
        <is>
          <t>Аренда офиса</t>
        </is>
      </c>
      <c r="B48" s="293" t="n"/>
      <c r="C48" s="294">
        <f>SUM('PL WB (нед)'!C48:G48)</f>
        <v/>
      </c>
      <c r="D48" s="294">
        <f>SUM('PL WB (нед)'!H48:K48)</f>
        <v/>
      </c>
      <c r="E48" s="294">
        <f>SUM('PL WB (нед)'!L48:O48)</f>
        <v/>
      </c>
      <c r="F48" s="294">
        <f>SUM('PL WB (нед)'!P48:S48)</f>
        <v/>
      </c>
      <c r="G48" s="294">
        <f>SUM('PL WB (нед)'!T48:X48)</f>
        <v/>
      </c>
      <c r="H48" s="294">
        <f>SUM('PL WB (нед)'!Y48:AB48)</f>
        <v/>
      </c>
      <c r="I48" s="294">
        <f>SUM('PL WB (нед)'!AC48:AF48)</f>
        <v/>
      </c>
      <c r="J48" s="294">
        <f>SUM('PL WB (нед)'!AG48:AK48)</f>
        <v/>
      </c>
      <c r="K48" s="294">
        <f>SUM('PL WB (нед)'!AL48:AO48)</f>
        <v/>
      </c>
      <c r="L48" s="294">
        <f>SUM('PL WB (нед)'!AP48:AT48)</f>
        <v/>
      </c>
      <c r="M48" s="294">
        <f>SUM('PL WB (нед)'!AU48:AX48)</f>
        <v/>
      </c>
      <c r="N48" s="294">
        <f>SUM('PL WB (нед)'!AY48:BC48)</f>
        <v/>
      </c>
      <c r="O48" s="272" t="n"/>
    </row>
    <row r="49" ht="13.5" customHeight="1">
      <c r="A49" s="292" t="inlineStr">
        <is>
          <t>Реклама внешняя</t>
        </is>
      </c>
      <c r="B49" s="293" t="n"/>
      <c r="C49" s="294">
        <f>SUM('PL WB (нед)'!C49:G49)</f>
        <v/>
      </c>
      <c r="D49" s="294">
        <f>SUM('PL WB (нед)'!H49:K49)</f>
        <v/>
      </c>
      <c r="E49" s="294">
        <f>SUM('PL WB (нед)'!L49:O49)</f>
        <v/>
      </c>
      <c r="F49" s="294">
        <f>SUM('PL WB (нед)'!P49:S49)</f>
        <v/>
      </c>
      <c r="G49" s="294">
        <f>SUM('PL WB (нед)'!T49:X49)</f>
        <v/>
      </c>
      <c r="H49" s="294">
        <f>SUM('PL WB (нед)'!Y49:AB49)</f>
        <v/>
      </c>
      <c r="I49" s="294">
        <f>SUM('PL WB (нед)'!AC49:AF49)</f>
        <v/>
      </c>
      <c r="J49" s="294">
        <f>SUM('PL WB (нед)'!AG49:AK49)</f>
        <v/>
      </c>
      <c r="K49" s="294">
        <f>SUM('PL WB (нед)'!AL49:AO49)</f>
        <v/>
      </c>
      <c r="L49" s="294">
        <f>SUM('PL WB (нед)'!AP49:AT49)</f>
        <v/>
      </c>
      <c r="M49" s="294">
        <f>SUM('PL WB (нед)'!AU49:AX49)</f>
        <v/>
      </c>
      <c r="N49" s="294">
        <f>SUM('PL WB (нед)'!AY49:BC49)</f>
        <v/>
      </c>
      <c r="O49" s="272" t="n"/>
    </row>
    <row r="50" ht="13.5" customHeight="1">
      <c r="A50" s="345" t="inlineStr">
        <is>
          <t>Подписка Аналитика</t>
        </is>
      </c>
      <c r="B50" s="293" t="n"/>
      <c r="C50" s="294">
        <f>SUM('PL WB (нед)'!C50:G50)</f>
        <v/>
      </c>
      <c r="D50" s="294">
        <f>SUM('PL WB (нед)'!H50:K50)</f>
        <v/>
      </c>
      <c r="E50" s="294">
        <f>SUM('PL WB (нед)'!L50:O50)</f>
        <v/>
      </c>
      <c r="F50" s="294">
        <f>SUM('PL WB (нед)'!P50:S50)</f>
        <v/>
      </c>
      <c r="G50" s="294">
        <f>SUM('PL WB (нед)'!T50:X50)</f>
        <v/>
      </c>
      <c r="H50" s="294">
        <f>SUM('PL WB (нед)'!Y50:AB50)</f>
        <v/>
      </c>
      <c r="I50" s="294">
        <f>SUM('PL WB (нед)'!AC50:AF50)</f>
        <v/>
      </c>
      <c r="J50" s="294">
        <f>SUM('PL WB (нед)'!AG50:AK50)</f>
        <v/>
      </c>
      <c r="K50" s="294">
        <f>SUM('PL WB (нед)'!AL50:AO50)</f>
        <v/>
      </c>
      <c r="L50" s="294">
        <f>SUM('PL WB (нед)'!AP50:AT50)</f>
        <v/>
      </c>
      <c r="M50" s="294">
        <f>SUM('PL WB (нед)'!AU50:AX50)</f>
        <v/>
      </c>
      <c r="N50" s="294">
        <f>SUM('PL WB (нед)'!AY50:BC50)</f>
        <v/>
      </c>
      <c r="O50" s="272" t="n"/>
    </row>
    <row r="51" ht="13.5" customHeight="1">
      <c r="A51" s="292" t="inlineStr">
        <is>
          <t>Прочие</t>
        </is>
      </c>
      <c r="B51" s="293" t="n"/>
      <c r="C51" s="294">
        <f>SUM('PL WB (нед)'!C51:G51)</f>
        <v/>
      </c>
      <c r="D51" s="294">
        <f>SUM('PL WB (нед)'!H51:K51)</f>
        <v/>
      </c>
      <c r="E51" s="294">
        <f>SUM('PL WB (нед)'!L51:O51)</f>
        <v/>
      </c>
      <c r="F51" s="294">
        <f>SUM('PL WB (нед)'!P51:S51)</f>
        <v/>
      </c>
      <c r="G51" s="294">
        <f>SUM('PL WB (нед)'!T51:X51)</f>
        <v/>
      </c>
      <c r="H51" s="294">
        <f>SUM('PL WB (нед)'!Y51:AB51)</f>
        <v/>
      </c>
      <c r="I51" s="294">
        <f>SUM('PL WB (нед)'!AC51:AF51)</f>
        <v/>
      </c>
      <c r="J51" s="294">
        <f>SUM('PL WB (нед)'!AG51:AK51)</f>
        <v/>
      </c>
      <c r="K51" s="294">
        <f>SUM('PL WB (нед)'!AL51:AO51)</f>
        <v/>
      </c>
      <c r="L51" s="294">
        <f>SUM('PL WB (нед)'!AP51:AT51)</f>
        <v/>
      </c>
      <c r="M51" s="294">
        <f>SUM('PL WB (нед)'!AU51:AX51)</f>
        <v/>
      </c>
      <c r="N51" s="294">
        <f>SUM('PL WB (нед)'!AY51:BC51)</f>
        <v/>
      </c>
      <c r="O51" s="272" t="n"/>
    </row>
    <row r="52" ht="13.5" customHeight="1">
      <c r="A52" s="249" t="n"/>
      <c r="B52" s="250" t="n"/>
      <c r="C52" s="283" t="n"/>
      <c r="D52" s="283" t="n"/>
      <c r="E52" s="283" t="n"/>
      <c r="F52" s="283" t="n"/>
      <c r="G52" s="283" t="n"/>
      <c r="H52" s="283" t="n"/>
      <c r="I52" s="283" t="n"/>
      <c r="J52" s="283" t="n"/>
      <c r="K52" s="283" t="n"/>
      <c r="L52" s="283" t="n"/>
      <c r="M52" s="283" t="n"/>
      <c r="N52" s="283" t="n"/>
      <c r="O52" s="252" t="n"/>
    </row>
    <row r="53" ht="15" customHeight="1">
      <c r="A53" s="295" t="inlineStr">
        <is>
          <t>Прибыль до налогообложения</t>
        </is>
      </c>
      <c r="B53" s="296" t="n"/>
      <c r="C53" s="297">
        <f>C36+C31-C38</f>
        <v/>
      </c>
      <c r="D53" s="297">
        <f>D36+D31-D38</f>
        <v/>
      </c>
      <c r="E53" s="297">
        <f>E36+E31-E38</f>
        <v/>
      </c>
      <c r="F53" s="297">
        <f>F36+F31-F38</f>
        <v/>
      </c>
      <c r="G53" s="297">
        <f>G36+G31-G38</f>
        <v/>
      </c>
      <c r="H53" s="297">
        <f>H36+H31-H38</f>
        <v/>
      </c>
      <c r="I53" s="297">
        <f>I36+I31-I38</f>
        <v/>
      </c>
      <c r="J53" s="297">
        <f>J36+J31-J38</f>
        <v/>
      </c>
      <c r="K53" s="297">
        <f>K36+K31-K38</f>
        <v/>
      </c>
      <c r="L53" s="297">
        <f>L36+L31-L38</f>
        <v/>
      </c>
      <c r="M53" s="297">
        <f>M36+M31-M38</f>
        <v/>
      </c>
      <c r="N53" s="297">
        <f>N36+N31-N38</f>
        <v/>
      </c>
      <c r="O53" s="298">
        <f>SUM(C53:N53)</f>
        <v/>
      </c>
    </row>
    <row r="54" ht="13.5" customHeight="1" thickTop="1">
      <c r="A54" s="249" t="n"/>
      <c r="B54" s="257" t="n"/>
      <c r="C54" s="283" t="n"/>
      <c r="D54" s="283" t="n"/>
      <c r="E54" s="283" t="n"/>
      <c r="F54" s="283" t="n"/>
      <c r="G54" s="283" t="n"/>
      <c r="H54" s="283" t="n"/>
      <c r="I54" s="283" t="n"/>
      <c r="J54" s="283" t="n"/>
      <c r="K54" s="283" t="n"/>
      <c r="L54" s="283" t="n"/>
      <c r="M54" s="283" t="n"/>
      <c r="N54" s="283" t="n"/>
      <c r="O54" s="298" t="n"/>
    </row>
    <row r="55" ht="13.5" customHeight="1" thickBot="1">
      <c r="A55" s="292" t="inlineStr">
        <is>
          <t>Налоги начисленные</t>
        </is>
      </c>
      <c r="B55" s="299" t="inlineStr">
        <is>
          <t>УСН 6%+1%</t>
        </is>
      </c>
      <c r="C55" s="265">
        <f>C15*7%</f>
        <v/>
      </c>
      <c r="D55" s="265">
        <f>D15*7%</f>
        <v/>
      </c>
      <c r="E55" s="265">
        <f>E15*7%</f>
        <v/>
      </c>
      <c r="F55" s="265">
        <f>F15*7%</f>
        <v/>
      </c>
      <c r="G55" s="265">
        <f>G15*7%</f>
        <v/>
      </c>
      <c r="H55" s="265">
        <f>H15*7%</f>
        <v/>
      </c>
      <c r="I55" s="265">
        <f>I15*7%</f>
        <v/>
      </c>
      <c r="J55" s="265">
        <f>J15*7%</f>
        <v/>
      </c>
      <c r="K55" s="265">
        <f>K15*7%</f>
        <v/>
      </c>
      <c r="L55" s="265">
        <f>L15*7%</f>
        <v/>
      </c>
      <c r="M55" s="265">
        <f>M15*7%</f>
        <v/>
      </c>
      <c r="N55" s="265">
        <f>N15*7%</f>
        <v/>
      </c>
      <c r="O55" s="298">
        <f>SUM(C55:N55)</f>
        <v/>
      </c>
    </row>
    <row r="56" ht="13.5" customHeight="1" thickTop="1">
      <c r="A56" s="249" t="n"/>
      <c r="B56" s="250" t="n"/>
      <c r="C56" s="287" t="n"/>
      <c r="D56" s="287" t="n"/>
      <c r="E56" s="287" t="n"/>
      <c r="F56" s="287" t="n"/>
      <c r="G56" s="287" t="n"/>
      <c r="H56" s="287" t="n"/>
      <c r="I56" s="287" t="n"/>
      <c r="J56" s="287" t="n"/>
      <c r="K56" s="287" t="n"/>
      <c r="L56" s="287" t="n"/>
      <c r="M56" s="287" t="n"/>
      <c r="N56" s="287" t="n"/>
      <c r="O56" s="252" t="n"/>
    </row>
    <row r="57" ht="15" customHeight="1" thickBot="1">
      <c r="A57" s="300" t="inlineStr">
        <is>
          <t>Чистая прибыль</t>
        </is>
      </c>
      <c r="B57" s="301" t="n"/>
      <c r="C57" s="297">
        <f>C53-C55</f>
        <v/>
      </c>
      <c r="D57" s="297">
        <f>D53-D55</f>
        <v/>
      </c>
      <c r="E57" s="297">
        <f>E53-E55</f>
        <v/>
      </c>
      <c r="F57" s="297">
        <f>F53-F55</f>
        <v/>
      </c>
      <c r="G57" s="297">
        <f>G53-G55</f>
        <v/>
      </c>
      <c r="H57" s="297">
        <f>H53-H55</f>
        <v/>
      </c>
      <c r="I57" s="297">
        <f>I53-I55</f>
        <v/>
      </c>
      <c r="J57" s="297">
        <f>J53-J55</f>
        <v/>
      </c>
      <c r="K57" s="297">
        <f>K53-K55</f>
        <v/>
      </c>
      <c r="L57" s="297">
        <f>L53-L55</f>
        <v/>
      </c>
      <c r="M57" s="297">
        <f>M53-M55</f>
        <v/>
      </c>
      <c r="N57" s="297">
        <f>N53-N55</f>
        <v/>
      </c>
      <c r="O57" s="298">
        <f>SUM(C57:N57)</f>
        <v/>
      </c>
    </row>
    <row r="58" ht="13.5" customHeight="1" thickTop="1">
      <c r="A58" s="302" t="inlineStr">
        <is>
          <t>Рентабельность вложений</t>
        </is>
      </c>
      <c r="B58" s="303" t="n"/>
      <c r="C58" s="304">
        <f>C57/C33</f>
        <v/>
      </c>
      <c r="D58" s="304">
        <f>D57/D33</f>
        <v/>
      </c>
      <c r="E58" s="304">
        <f>E57/E33</f>
        <v/>
      </c>
      <c r="F58" s="304">
        <f>F57/F33</f>
        <v/>
      </c>
      <c r="G58" s="304">
        <f>G57/G33</f>
        <v/>
      </c>
      <c r="H58" s="304">
        <f>H57/H33</f>
        <v/>
      </c>
      <c r="I58" s="304">
        <f>I57/I33</f>
        <v/>
      </c>
      <c r="J58" s="304">
        <f>J57/J33</f>
        <v/>
      </c>
      <c r="K58" s="304">
        <f>K57/K33</f>
        <v/>
      </c>
      <c r="L58" s="304">
        <f>L57/L33</f>
        <v/>
      </c>
      <c r="M58" s="304">
        <f>M57/M33</f>
        <v/>
      </c>
      <c r="N58" s="304">
        <f>N57/N33</f>
        <v/>
      </c>
      <c r="O58" s="304">
        <f>O57/O33</f>
        <v/>
      </c>
    </row>
    <row r="59" ht="13.5" customHeight="1">
      <c r="A59" s="323" t="inlineStr">
        <is>
          <t>Маржинальность</t>
        </is>
      </c>
      <c r="B59" s="305" t="n"/>
      <c r="C59" s="304">
        <f>C57/C14</f>
        <v/>
      </c>
      <c r="D59" s="304">
        <f>D57/D14</f>
        <v/>
      </c>
      <c r="E59" s="304">
        <f>E57/E14</f>
        <v/>
      </c>
      <c r="F59" s="304">
        <f>F57/F14</f>
        <v/>
      </c>
      <c r="G59" s="304">
        <f>G57/G14</f>
        <v/>
      </c>
      <c r="H59" s="304">
        <f>H57/H14</f>
        <v/>
      </c>
      <c r="I59" s="304">
        <f>I57/I14</f>
        <v/>
      </c>
      <c r="J59" s="304">
        <f>J57/J14</f>
        <v/>
      </c>
      <c r="K59" s="304">
        <f>K57/K14</f>
        <v/>
      </c>
      <c r="L59" s="304">
        <f>L57/L14</f>
        <v/>
      </c>
      <c r="M59" s="304">
        <f>M57/M14</f>
        <v/>
      </c>
      <c r="N59" s="304">
        <f>N57/N14</f>
        <v/>
      </c>
      <c r="O59" s="304">
        <f>O57/O14</f>
        <v/>
      </c>
    </row>
    <row r="60" ht="15" customHeight="1" thickBot="1">
      <c r="A60" s="295" t="inlineStr">
        <is>
          <t>Выплата диведентов:</t>
        </is>
      </c>
      <c r="B60" s="306" t="n"/>
      <c r="C60" s="297">
        <f>CF!C38</f>
        <v/>
      </c>
      <c r="D60" s="297">
        <f>CF!D38</f>
        <v/>
      </c>
      <c r="E60" s="297">
        <f>CF!E38</f>
        <v/>
      </c>
      <c r="F60" s="297">
        <f>CF!F38</f>
        <v/>
      </c>
      <c r="G60" s="297">
        <f>CF!G38</f>
        <v/>
      </c>
      <c r="H60" s="297">
        <f>CF!H38</f>
        <v/>
      </c>
      <c r="I60" s="297">
        <f>CF!I38</f>
        <v/>
      </c>
      <c r="J60" s="297">
        <f>CF!J38</f>
        <v/>
      </c>
      <c r="K60" s="297">
        <f>CF!K38</f>
        <v/>
      </c>
      <c r="L60" s="297">
        <f>CF!L38</f>
        <v/>
      </c>
      <c r="M60" s="297">
        <f>CF!M38</f>
        <v/>
      </c>
      <c r="N60" s="297">
        <f>CF!N38</f>
        <v/>
      </c>
      <c r="O60" s="247" t="n"/>
    </row>
    <row r="61" ht="15.75" customHeight="1" thickTop="1">
      <c r="A61" s="282" t="n"/>
      <c r="B61" s="288" t="n"/>
      <c r="C61" s="307" t="n"/>
      <c r="D61" s="307" t="n"/>
      <c r="E61" s="307" t="n"/>
      <c r="F61" s="307" t="n"/>
      <c r="G61" s="307" t="n"/>
      <c r="H61" s="307" t="n"/>
      <c r="I61" s="307" t="n"/>
      <c r="J61" s="307" t="n"/>
      <c r="K61" s="307" t="n"/>
      <c r="L61" s="307" t="n"/>
      <c r="M61" s="307" t="n"/>
      <c r="N61" s="307" t="n"/>
      <c r="O61" s="247" t="n"/>
    </row>
    <row r="62" ht="13.5" customHeight="1">
      <c r="A62" s="308" t="inlineStr">
        <is>
          <t>Остаток денежных средств на конец периода</t>
        </is>
      </c>
      <c r="B62" s="309" t="n"/>
      <c r="C62" s="310">
        <f>CF!C42</f>
        <v/>
      </c>
      <c r="D62" s="310">
        <f>CF!D42</f>
        <v/>
      </c>
      <c r="E62" s="310">
        <f>CF!E42</f>
        <v/>
      </c>
      <c r="F62" s="310">
        <f>CF!F42</f>
        <v/>
      </c>
      <c r="G62" s="310">
        <f>CF!G42</f>
        <v/>
      </c>
      <c r="H62" s="310">
        <f>CF!H42</f>
        <v/>
      </c>
      <c r="I62" s="310">
        <f>CF!I42</f>
        <v/>
      </c>
      <c r="J62" s="310">
        <f>CF!J42</f>
        <v/>
      </c>
      <c r="K62" s="310">
        <f>CF!K42</f>
        <v/>
      </c>
      <c r="L62" s="310">
        <f>CF!L42</f>
        <v/>
      </c>
      <c r="M62" s="310">
        <f>CF!M42</f>
        <v/>
      </c>
      <c r="N62" s="310">
        <f>CF!N42</f>
        <v/>
      </c>
      <c r="O62" s="311" t="n"/>
    </row>
    <row r="63">
      <c r="A63" s="282" t="n"/>
      <c r="B63" s="288" t="n"/>
      <c r="C63" s="307" t="n"/>
      <c r="D63" s="307" t="n"/>
      <c r="E63" s="307" t="n"/>
      <c r="F63" s="307" t="n"/>
      <c r="G63" s="307" t="n"/>
      <c r="H63" s="307" t="n"/>
      <c r="I63" s="307" t="n"/>
      <c r="J63" s="307" t="n"/>
      <c r="K63" s="307" t="n"/>
      <c r="L63" s="307" t="n"/>
      <c r="M63" s="307" t="n"/>
      <c r="N63" s="307" t="n"/>
      <c r="O63" s="247" t="n"/>
    </row>
    <row r="64">
      <c r="A64" s="295" t="inlineStr">
        <is>
          <t>Накопленный финансовый результат</t>
        </is>
      </c>
      <c r="B64" s="296" t="n"/>
      <c r="C64" s="312">
        <f>'PL WB (нед)'!G64</f>
        <v/>
      </c>
      <c r="D64" s="297">
        <f>D57+C64-D60</f>
        <v/>
      </c>
      <c r="E64" s="297">
        <f>E57+D64-E60</f>
        <v/>
      </c>
      <c r="F64" s="297">
        <f>F57+E64-F60</f>
        <v/>
      </c>
      <c r="G64" s="297">
        <f>G57+F64-G60</f>
        <v/>
      </c>
      <c r="H64" s="297">
        <f>H57+G64-H60</f>
        <v/>
      </c>
      <c r="I64" s="297">
        <f>I57+H64-I60</f>
        <v/>
      </c>
      <c r="J64" s="297">
        <f>J57+I64-J60</f>
        <v/>
      </c>
      <c r="K64" s="297">
        <f>K57+J64-K60</f>
        <v/>
      </c>
      <c r="L64" s="297">
        <f>L57+K64-L60</f>
        <v/>
      </c>
      <c r="M64" s="297">
        <f>M57+L64-M60</f>
        <v/>
      </c>
      <c r="N64" s="297">
        <f>N57+M64-N60</f>
        <v/>
      </c>
      <c r="O64" s="247" t="n"/>
    </row>
    <row r="66" ht="13.5" customHeight="1">
      <c r="A66" s="289" t="inlineStr">
        <is>
          <t>Рекламные расходы на 1 единицу</t>
        </is>
      </c>
      <c r="B66" s="258" t="n"/>
      <c r="C66" s="313">
        <f>IFERROR(C41/C7, )</f>
        <v/>
      </c>
      <c r="D66" s="313">
        <f>IFERROR(D41/D7, )</f>
        <v/>
      </c>
      <c r="E66" s="313">
        <f>IFERROR(E41/E7, )</f>
        <v/>
      </c>
      <c r="F66" s="313">
        <f>IFERROR(F41/F7, )</f>
        <v/>
      </c>
      <c r="G66" s="313">
        <f>IFERROR(G41/G7, )</f>
        <v/>
      </c>
      <c r="H66" s="313">
        <f>IFERROR(H41/H7, )</f>
        <v/>
      </c>
      <c r="I66" s="313">
        <f>IFERROR(I41/I7, )</f>
        <v/>
      </c>
      <c r="J66" s="313">
        <f>IFERROR(J41/J7, )</f>
        <v/>
      </c>
      <c r="K66" s="313">
        <f>IFERROR(K41/K7, )</f>
        <v/>
      </c>
      <c r="L66" s="313">
        <f>IFERROR(L41/L7, )</f>
        <v/>
      </c>
      <c r="M66" s="313">
        <f>IFERROR(M41/M7, )</f>
        <v/>
      </c>
      <c r="N66" s="313">
        <f>IFERROR(N41/N7, )</f>
        <v/>
      </c>
    </row>
    <row r="67" ht="13.5" customHeight="1">
      <c r="A67" s="289" t="inlineStr">
        <is>
          <t>Доля рекламных расходов</t>
        </is>
      </c>
      <c r="B67" s="258" t="n"/>
      <c r="C67" s="287">
        <f>IFERROR(C41/C15, )</f>
        <v/>
      </c>
      <c r="D67" s="287">
        <f>IFERROR(D41/D15, )</f>
        <v/>
      </c>
      <c r="E67" s="287">
        <f>IFERROR(E41/E15, )</f>
        <v/>
      </c>
      <c r="F67" s="287">
        <f>IFERROR(F41/F15, )</f>
        <v/>
      </c>
      <c r="G67" s="287">
        <f>IFERROR(G41/G15, )</f>
        <v/>
      </c>
      <c r="H67" s="287">
        <f>IFERROR(H41/H15, )</f>
        <v/>
      </c>
      <c r="I67" s="287">
        <f>IFERROR(I41/I15, )</f>
        <v/>
      </c>
      <c r="J67" s="287">
        <f>IFERROR(J41/J15, )</f>
        <v/>
      </c>
      <c r="K67" s="287">
        <f>IFERROR(K41/K15, )</f>
        <v/>
      </c>
      <c r="L67" s="287">
        <f>IFERROR(L41/L15, )</f>
        <v/>
      </c>
      <c r="M67" s="287">
        <f>IFERROR(M41/M15, )</f>
        <v/>
      </c>
      <c r="N67" s="287">
        <f>IFERROR(N41/N15, )</f>
        <v/>
      </c>
    </row>
    <row r="68" ht="13.5" customHeight="1">
      <c r="A68" s="289" t="inlineStr">
        <is>
          <t>Прибыль на 1 ед</t>
        </is>
      </c>
      <c r="B68" s="258" t="n"/>
      <c r="C68" s="256">
        <f>IFERROR(C57/(C7-C23), )</f>
        <v/>
      </c>
      <c r="D68" s="256">
        <f>IFERROR(D57/(D7-D23), )</f>
        <v/>
      </c>
      <c r="E68" s="256">
        <f>IFERROR(E57/(E7-E23), )</f>
        <v/>
      </c>
      <c r="F68" s="256">
        <f>IFERROR(F57/(F7-F23), )</f>
        <v/>
      </c>
      <c r="G68" s="256">
        <f>IFERROR(G57/(G7-G23), )</f>
        <v/>
      </c>
      <c r="H68" s="256">
        <f>IFERROR(H57/(H7-H23), )</f>
        <v/>
      </c>
      <c r="I68" s="256">
        <f>IFERROR(I57/(I7-I23), )</f>
        <v/>
      </c>
      <c r="J68" s="256">
        <f>IFERROR(J57/(J7-J23), )</f>
        <v/>
      </c>
      <c r="K68" s="256">
        <f>IFERROR(K57/(K7-K23), )</f>
        <v/>
      </c>
      <c r="L68" s="256">
        <f>IFERROR(L57/(L7-L23), )</f>
        <v/>
      </c>
      <c r="M68" s="256">
        <f>IFERROR(M57/(M7-M23), )</f>
        <v/>
      </c>
      <c r="N68" s="256">
        <f>IFERROR(N57/(N7-N23), )</f>
        <v/>
      </c>
    </row>
  </sheetData>
  <mergeCells count="1">
    <mergeCell ref="C2:N2"/>
  </mergeCells>
  <conditionalFormatting sqref="A9:N11 A62 B13:B20">
    <cfRule type="cellIs" priority="19" operator="greaterThan" dxfId="2">
      <formula>0</formula>
    </cfRule>
  </conditionalFormatting>
  <conditionalFormatting sqref="C7:N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8:N3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N6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O3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O3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O3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8:O58">
    <cfRule type="colorScale" priority="3">
      <colorScale>
        <cfvo type="min"/>
        <cfvo type="max"/>
        <color rgb="FFFCFCFF"/>
        <color rgb="FF63BE7B"/>
      </colorScale>
    </cfRule>
  </conditionalFormatting>
  <conditionalFormatting sqref="C59:O59">
    <cfRule type="colorScale" priority="2">
      <colorScale>
        <cfvo type="min"/>
        <cfvo type="max"/>
        <color rgb="FFFCFCFF"/>
        <color rgb="FF63BE7B"/>
      </colorScale>
    </cfRule>
  </conditionalFormatting>
  <conditionalFormatting sqref="C62:O62">
    <cfRule type="cellIs" priority="18" operator="lessThan" dxfId="14">
      <formula>0</formula>
    </cfRule>
  </conditionalFormatting>
  <conditionalFormatting sqref="O4:O23">
    <cfRule type="cellIs" priority="1" operator="lessThan" dxfId="14">
      <formula>0</formula>
    </cfRule>
  </conditionalFormatting>
  <conditionalFormatting sqref="A53:O53 A57:O58 A60:B64 C60:N60 O25:O30 O54:O55">
    <cfRule type="cellIs" priority="20" operator="lessThan" dxfId="14">
      <formula>0</formula>
    </cfRule>
  </conditionalFormatting>
  <pageMargins left="0.7" right="0.7" top="0.75" bottom="0.75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CC00"/>
    <outlinePr summaryBelow="1" summaryRight="1"/>
    <pageSetUpPr/>
  </sheetPr>
  <dimension ref="A1:BC45"/>
  <sheetViews>
    <sheetView showZeros="0" workbookViewId="0">
      <pane xSplit="2" ySplit="5" topLeftCell="AJ6" activePane="bottomRight" state="frozen"/>
      <selection pane="topRight" activeCell="C1" sqref="C1"/>
      <selection pane="bottomLeft" activeCell="A6" sqref="A6"/>
      <selection pane="bottomRight" activeCell="BB4" sqref="BB4"/>
    </sheetView>
  </sheetViews>
  <sheetFormatPr baseColWidth="8" defaultColWidth="14.42578125" defaultRowHeight="15" customHeight="1"/>
  <cols>
    <col width="21.42578125" customWidth="1" min="1" max="1"/>
    <col width="27.140625" customWidth="1" min="2" max="2"/>
    <col width="12.140625" bestFit="1" customWidth="1" min="3" max="3"/>
    <col width="10.85546875" customWidth="1" min="4" max="20"/>
    <col width="12.140625" bestFit="1" customWidth="1" min="21" max="21"/>
    <col width="10.85546875" customWidth="1" min="22" max="55"/>
  </cols>
  <sheetData>
    <row r="1" ht="33.75" customFormat="1" customHeight="1" s="440">
      <c r="A1" s="540" t="inlineStr">
        <is>
          <t>Заполняем Вложения инвестора, Закупки и выплаты дивидендов. Формулы не трогаем!</t>
        </is>
      </c>
      <c r="B1" s="538" t="n"/>
      <c r="C1" s="443">
        <f>'PL WB (нед)'!C1</f>
        <v/>
      </c>
      <c r="D1" s="443">
        <f>'PL WB (нед)'!D1</f>
        <v/>
      </c>
      <c r="E1" s="443">
        <f>'PL WB (нед)'!E1</f>
        <v/>
      </c>
      <c r="F1" s="443">
        <f>'PL WB (нед)'!F1</f>
        <v/>
      </c>
      <c r="G1" s="443">
        <f>'PL WB (нед)'!G1</f>
        <v/>
      </c>
      <c r="H1" s="443">
        <f>'PL WB (нед)'!H1</f>
        <v/>
      </c>
      <c r="I1" s="443">
        <f>'PL WB (нед)'!I1</f>
        <v/>
      </c>
      <c r="J1" s="443">
        <f>'PL WB (нед)'!J1</f>
        <v/>
      </c>
      <c r="K1" s="443">
        <f>'PL WB (нед)'!K1</f>
        <v/>
      </c>
      <c r="L1" s="443">
        <f>'PL WB (нед)'!L1</f>
        <v/>
      </c>
      <c r="M1" s="443">
        <f>'PL WB (нед)'!M1</f>
        <v/>
      </c>
      <c r="N1" s="443">
        <f>'PL WB (нед)'!N1</f>
        <v/>
      </c>
      <c r="O1" s="443">
        <f>'PL WB (нед)'!O1</f>
        <v/>
      </c>
      <c r="P1" s="443">
        <f>'PL WB (нед)'!P1</f>
        <v/>
      </c>
      <c r="Q1" s="443">
        <f>'PL WB (нед)'!Q1</f>
        <v/>
      </c>
      <c r="R1" s="443">
        <f>'PL WB (нед)'!R1</f>
        <v/>
      </c>
      <c r="S1" s="443">
        <f>'PL WB (нед)'!S1</f>
        <v/>
      </c>
      <c r="T1" s="443">
        <f>'PL WB (нед)'!T1</f>
        <v/>
      </c>
      <c r="U1" s="443">
        <f>'PL WB (нед)'!U1</f>
        <v/>
      </c>
      <c r="V1" s="443">
        <f>'PL WB (нед)'!V1</f>
        <v/>
      </c>
      <c r="W1" s="443">
        <f>'PL WB (нед)'!W1</f>
        <v/>
      </c>
      <c r="X1" s="443">
        <f>'PL WB (нед)'!X1</f>
        <v/>
      </c>
      <c r="Y1" s="443">
        <f>'PL WB (нед)'!Y1</f>
        <v/>
      </c>
      <c r="Z1" s="443">
        <f>'PL WB (нед)'!Z1</f>
        <v/>
      </c>
      <c r="AA1" s="443">
        <f>'PL WB (нед)'!AA1</f>
        <v/>
      </c>
      <c r="AB1" s="443">
        <f>'PL WB (нед)'!AB1</f>
        <v/>
      </c>
      <c r="AC1" s="443">
        <f>'PL WB (нед)'!AC1</f>
        <v/>
      </c>
      <c r="AD1" s="443">
        <f>'PL WB (нед)'!AD1</f>
        <v/>
      </c>
      <c r="AE1" s="443">
        <f>'PL WB (нед)'!AE1</f>
        <v/>
      </c>
      <c r="AF1" s="443">
        <f>'PL WB (нед)'!AF1</f>
        <v/>
      </c>
      <c r="AG1" s="443">
        <f>'PL WB (нед)'!AG1</f>
        <v/>
      </c>
      <c r="AH1" s="443">
        <f>'PL WB (нед)'!AH1</f>
        <v/>
      </c>
      <c r="AI1" s="443">
        <f>'PL WB (нед)'!AI1</f>
        <v/>
      </c>
      <c r="AJ1" s="443">
        <f>'PL WB (нед)'!AJ1</f>
        <v/>
      </c>
      <c r="AK1" s="443">
        <f>'PL WB (нед)'!AK1</f>
        <v/>
      </c>
      <c r="AL1" s="443">
        <f>'PL WB (нед)'!AL1</f>
        <v/>
      </c>
      <c r="AM1" s="443">
        <f>'PL WB (нед)'!AM1</f>
        <v/>
      </c>
      <c r="AN1" s="443">
        <f>'PL WB (нед)'!AN1</f>
        <v/>
      </c>
      <c r="AO1" s="443">
        <f>'PL WB (нед)'!AO1</f>
        <v/>
      </c>
      <c r="AP1" s="443">
        <f>'PL WB (нед)'!AP1</f>
        <v/>
      </c>
      <c r="AQ1" s="443">
        <f>'PL WB (нед)'!AQ1</f>
        <v/>
      </c>
      <c r="AR1" s="443">
        <f>'PL WB (нед)'!AR1</f>
        <v/>
      </c>
      <c r="AS1" s="443">
        <f>'PL WB (нед)'!AS1</f>
        <v/>
      </c>
      <c r="AT1" s="443">
        <f>'PL WB (нед)'!AT1</f>
        <v/>
      </c>
      <c r="AU1" s="443">
        <f>'PL WB (нед)'!AU1</f>
        <v/>
      </c>
      <c r="AV1" s="443">
        <f>'PL WB (нед)'!AV1</f>
        <v/>
      </c>
      <c r="AW1" s="443">
        <f>'PL WB (нед)'!AW1</f>
        <v/>
      </c>
      <c r="AX1" s="443">
        <f>'PL WB (нед)'!AX1</f>
        <v/>
      </c>
      <c r="AY1" s="443">
        <f>'PL WB (нед)'!AY1</f>
        <v/>
      </c>
      <c r="AZ1" s="443">
        <f>'PL WB (нед)'!AZ1</f>
        <v/>
      </c>
      <c r="BA1" s="443">
        <f>'PL WB (нед)'!BA1</f>
        <v/>
      </c>
      <c r="BB1" s="443">
        <f>'PL WB (нед)'!BB1</f>
        <v/>
      </c>
      <c r="BC1" s="444">
        <f>'PL WB (нед)'!BC1</f>
        <v/>
      </c>
    </row>
    <row r="2" ht="13.5" customHeight="1">
      <c r="A2" s="62" t="inlineStr">
        <is>
          <t>Движение денежных средств, еженедельно</t>
        </is>
      </c>
      <c r="B2" s="20" t="n"/>
      <c r="C2" s="541" t="inlineStr">
        <is>
          <t>Январь</t>
        </is>
      </c>
      <c r="G2" s="542" t="n"/>
      <c r="H2" s="541" t="inlineStr">
        <is>
          <t>Февраль</t>
        </is>
      </c>
      <c r="K2" s="542" t="n"/>
      <c r="L2" s="541" t="inlineStr">
        <is>
          <t>Март</t>
        </is>
      </c>
      <c r="O2" s="542" t="n"/>
      <c r="P2" s="543" t="inlineStr">
        <is>
          <t>Апрель</t>
        </is>
      </c>
      <c r="Q2" s="544" t="n"/>
      <c r="R2" s="544" t="n"/>
      <c r="S2" s="545" t="n"/>
      <c r="T2" s="543" t="inlineStr">
        <is>
          <t>Май</t>
        </is>
      </c>
      <c r="U2" s="544" t="n"/>
      <c r="V2" s="544" t="n"/>
      <c r="W2" s="544" t="n"/>
      <c r="X2" s="545" t="n"/>
      <c r="Y2" s="541" t="inlineStr">
        <is>
          <t>Июнь</t>
        </is>
      </c>
      <c r="AB2" s="542" t="n"/>
      <c r="AC2" s="546" t="inlineStr">
        <is>
          <t>Июль</t>
        </is>
      </c>
      <c r="AD2" s="544" t="n"/>
      <c r="AE2" s="544" t="n"/>
      <c r="AF2" s="545" t="n"/>
      <c r="AG2" s="546" t="inlineStr">
        <is>
          <t>Август</t>
        </is>
      </c>
      <c r="AH2" s="544" t="n"/>
      <c r="AI2" s="544" t="n"/>
      <c r="AJ2" s="544" t="n"/>
      <c r="AK2" s="545" t="n"/>
      <c r="AL2" s="547" t="inlineStr">
        <is>
          <t>Сентябрь</t>
        </is>
      </c>
      <c r="AM2" s="544" t="n"/>
      <c r="AN2" s="544" t="n"/>
      <c r="AO2" s="545" t="n"/>
      <c r="AP2" s="546" t="inlineStr">
        <is>
          <t>Октябрь</t>
        </is>
      </c>
      <c r="AQ2" s="544" t="n"/>
      <c r="AR2" s="544" t="n"/>
      <c r="AS2" s="544" t="n"/>
      <c r="AT2" s="545" t="n"/>
      <c r="AU2" s="546" t="inlineStr">
        <is>
          <t>Ноябрь</t>
        </is>
      </c>
      <c r="AV2" s="544" t="n"/>
      <c r="AW2" s="544" t="n"/>
      <c r="AX2" s="545" t="n"/>
      <c r="AY2" s="441" t="inlineStr">
        <is>
          <t>Декабрь</t>
        </is>
      </c>
      <c r="AZ2" s="519" t="n"/>
      <c r="BA2" s="519" t="n"/>
      <c r="BB2" s="519" t="n"/>
      <c r="BC2" s="519" t="n"/>
    </row>
    <row r="3" ht="13.5" customHeight="1">
      <c r="A3" s="21" t="n"/>
      <c r="B3" s="102" t="n"/>
      <c r="C3" s="373">
        <f>'PL WB (нед)'!C3</f>
        <v/>
      </c>
      <c r="D3" s="373">
        <f>'PL WB (нед)'!D3</f>
        <v/>
      </c>
      <c r="E3" s="373">
        <f>'PL WB (нед)'!E3</f>
        <v/>
      </c>
      <c r="F3" s="373">
        <f>'PL WB (нед)'!F3</f>
        <v/>
      </c>
      <c r="G3" s="373">
        <f>'PL WB (нед)'!G3</f>
        <v/>
      </c>
      <c r="H3" s="373">
        <f>'PL WB (нед)'!H3</f>
        <v/>
      </c>
      <c r="I3" s="373">
        <f>'PL WB (нед)'!I3</f>
        <v/>
      </c>
      <c r="J3" s="373">
        <f>'PL WB (нед)'!J3</f>
        <v/>
      </c>
      <c r="K3" s="373">
        <f>'PL WB (нед)'!K3</f>
        <v/>
      </c>
      <c r="L3" s="373">
        <f>'PL WB (нед)'!L3</f>
        <v/>
      </c>
      <c r="M3" s="373">
        <f>'PL WB (нед)'!M3</f>
        <v/>
      </c>
      <c r="N3" s="373">
        <f>'PL WB (нед)'!N3</f>
        <v/>
      </c>
      <c r="O3" s="373">
        <f>'PL WB (нед)'!O3</f>
        <v/>
      </c>
      <c r="P3" s="373">
        <f>'PL WB (нед)'!P3</f>
        <v/>
      </c>
      <c r="Q3" s="373">
        <f>'PL WB (нед)'!Q3</f>
        <v/>
      </c>
      <c r="R3" s="373">
        <f>'PL WB (нед)'!R3</f>
        <v/>
      </c>
      <c r="S3" s="373">
        <f>'PL WB (нед)'!S3</f>
        <v/>
      </c>
      <c r="T3" s="372">
        <f>'PL WB (нед)'!T3</f>
        <v/>
      </c>
      <c r="U3" s="372">
        <f>'PL WB (нед)'!U3</f>
        <v/>
      </c>
      <c r="V3" s="372">
        <f>'PL WB (нед)'!V3</f>
        <v/>
      </c>
      <c r="W3" s="372">
        <f>'PL WB (нед)'!W3</f>
        <v/>
      </c>
      <c r="X3" s="372">
        <f>'PL WB (нед)'!X3</f>
        <v/>
      </c>
      <c r="Y3" s="372">
        <f>'PL WB (нед)'!Y3</f>
        <v/>
      </c>
      <c r="Z3" s="372">
        <f>'PL WB (нед)'!Z3</f>
        <v/>
      </c>
      <c r="AA3" s="372">
        <f>'PL WB (нед)'!AA3</f>
        <v/>
      </c>
      <c r="AB3" s="372">
        <f>'PL WB (нед)'!AB3</f>
        <v/>
      </c>
      <c r="AC3" s="372">
        <f>'PL WB (нед)'!AC3</f>
        <v/>
      </c>
      <c r="AD3" s="372">
        <f>'PL WB (нед)'!AD3</f>
        <v/>
      </c>
      <c r="AE3" s="372">
        <f>'PL WB (нед)'!AE3</f>
        <v/>
      </c>
      <c r="AF3" s="372">
        <f>'PL WB (нед)'!AF3</f>
        <v/>
      </c>
      <c r="AG3" s="372">
        <f>'PL WB (нед)'!AG3</f>
        <v/>
      </c>
      <c r="AH3" s="372">
        <f>'PL WB (нед)'!AH3</f>
        <v/>
      </c>
      <c r="AI3" s="372">
        <f>'PL WB (нед)'!AI3</f>
        <v/>
      </c>
      <c r="AJ3" s="372">
        <f>'PL WB (нед)'!AJ3</f>
        <v/>
      </c>
      <c r="AK3" s="372">
        <f>'PL WB (нед)'!AK3</f>
        <v/>
      </c>
      <c r="AL3" s="372">
        <f>'PL WB (нед)'!AL3</f>
        <v/>
      </c>
      <c r="AM3" s="372">
        <f>'PL WB (нед)'!AM3</f>
        <v/>
      </c>
      <c r="AN3" s="372">
        <f>'PL WB (нед)'!AN3</f>
        <v/>
      </c>
      <c r="AO3" s="372">
        <f>'PL WB (нед)'!AO3</f>
        <v/>
      </c>
      <c r="AP3" s="372">
        <f>'PL WB (нед)'!AP3</f>
        <v/>
      </c>
      <c r="AQ3" s="372">
        <f>'PL WB (нед)'!AQ3</f>
        <v/>
      </c>
      <c r="AR3" s="372">
        <f>'PL WB (нед)'!AR3</f>
        <v/>
      </c>
      <c r="AS3" s="372">
        <f>'PL WB (нед)'!AS3</f>
        <v/>
      </c>
      <c r="AT3" s="372">
        <f>'PL WB (нед)'!AT3</f>
        <v/>
      </c>
      <c r="AU3" s="372">
        <f>'PL WB (нед)'!AU3</f>
        <v/>
      </c>
      <c r="AV3" s="372">
        <f>'PL WB (нед)'!AV3</f>
        <v/>
      </c>
      <c r="AW3" s="372">
        <f>'PL WB (нед)'!AW3</f>
        <v/>
      </c>
      <c r="AX3" s="372">
        <f>'PL WB (нед)'!AX3</f>
        <v/>
      </c>
      <c r="AY3" s="372">
        <f>'PL WB (нед)'!AY3</f>
        <v/>
      </c>
      <c r="AZ3" s="372">
        <f>'PL WB (нед)'!AZ3</f>
        <v/>
      </c>
      <c r="BA3" s="372">
        <f>'PL WB (нед)'!BA3</f>
        <v/>
      </c>
      <c r="BB3" s="372">
        <f>'PL WB (нед)'!BB3</f>
        <v/>
      </c>
      <c r="BC3" s="372" t="inlineStr">
        <is>
          <t>29.12-31.12</t>
        </is>
      </c>
    </row>
    <row r="4" ht="13.5" customHeight="1">
      <c r="A4" s="6" t="inlineStr">
        <is>
          <t>Поступление товара по цене закупки</t>
        </is>
      </c>
      <c r="B4" s="103" t="n"/>
      <c r="C4" s="103">
        <f>'PL WB (нед)'!C10+'PL OZON (нед)'!C10</f>
        <v/>
      </c>
      <c r="D4" s="103">
        <f>'PL WB (нед)'!D10+'PL OZON (нед)'!D10</f>
        <v/>
      </c>
      <c r="E4" s="103">
        <f>'PL WB (нед)'!E10+'PL OZON (нед)'!E10</f>
        <v/>
      </c>
      <c r="F4" s="103">
        <f>'PL WB (нед)'!F10+'PL OZON (нед)'!F10</f>
        <v/>
      </c>
      <c r="G4" s="103">
        <f>'PL WB (нед)'!G10+'PL OZON (нед)'!G10</f>
        <v/>
      </c>
      <c r="H4" s="103">
        <f>'PL WB (нед)'!H10+'PL OZON (нед)'!H10</f>
        <v/>
      </c>
      <c r="I4" s="103">
        <f>'PL WB (нед)'!I10+'PL OZON (нед)'!I10</f>
        <v/>
      </c>
      <c r="J4" s="103">
        <f>'PL WB (нед)'!J10+'PL OZON (нед)'!J10</f>
        <v/>
      </c>
      <c r="K4" s="103">
        <f>'PL WB (нед)'!K10+'PL OZON (нед)'!K10</f>
        <v/>
      </c>
      <c r="L4" s="103">
        <f>'PL WB (нед)'!L10+'PL OZON (нед)'!L10</f>
        <v/>
      </c>
      <c r="M4" s="103">
        <f>'PL WB (нед)'!M10+'PL OZON (нед)'!M10</f>
        <v/>
      </c>
      <c r="N4" s="103">
        <f>'PL WB (нед)'!N10+'PL OZON (нед)'!N10</f>
        <v/>
      </c>
      <c r="O4" s="103">
        <f>'PL WB (нед)'!O10+'PL OZON (нед)'!O10</f>
        <v/>
      </c>
      <c r="P4" s="103">
        <f>'PL WB (нед)'!P10+'PL OZON (нед)'!P10</f>
        <v/>
      </c>
      <c r="Q4" s="103">
        <f>'PL WB (нед)'!Q10+'PL OZON (нед)'!Q10</f>
        <v/>
      </c>
      <c r="R4" s="103">
        <f>'PL WB (нед)'!R10+'PL OZON (нед)'!R10</f>
        <v/>
      </c>
      <c r="S4" s="103">
        <f>'PL WB (нед)'!S10+'PL OZON (нед)'!S10</f>
        <v/>
      </c>
      <c r="T4" s="103">
        <f>'PL WB (нед)'!T10+'PL OZON (нед)'!T10</f>
        <v/>
      </c>
      <c r="U4" s="103">
        <f>'PL WB (нед)'!U10+'PL OZON (нед)'!U10</f>
        <v/>
      </c>
      <c r="V4" s="103">
        <f>'PL WB (нед)'!V10+'PL OZON (нед)'!V10</f>
        <v/>
      </c>
      <c r="W4" s="103">
        <f>'PL WB (нед)'!W10+'PL OZON (нед)'!W10</f>
        <v/>
      </c>
      <c r="X4" s="103">
        <f>'PL WB (нед)'!X10+'PL OZON (нед)'!X10</f>
        <v/>
      </c>
      <c r="Y4" s="103">
        <f>'PL WB (нед)'!Y10+'PL OZON (нед)'!Y10</f>
        <v/>
      </c>
      <c r="Z4" s="103">
        <f>'PL WB (нед)'!Z10+'PL OZON (нед)'!Z10</f>
        <v/>
      </c>
      <c r="AA4" s="103">
        <f>'PL WB (нед)'!AA10+'PL OZON (нед)'!AA10</f>
        <v/>
      </c>
      <c r="AB4" s="103">
        <f>'PL WB (нед)'!AB10+'PL OZON (нед)'!AB10</f>
        <v/>
      </c>
      <c r="AC4" s="103">
        <f>'PL WB (нед)'!AC10+'PL OZON (нед)'!AC10</f>
        <v/>
      </c>
      <c r="AD4" s="103">
        <f>'PL WB (нед)'!AD10+'PL OZON (нед)'!AD10</f>
        <v/>
      </c>
      <c r="AE4" s="103">
        <f>'PL WB (нед)'!AE10+'PL OZON (нед)'!AE10</f>
        <v/>
      </c>
      <c r="AF4" s="103">
        <f>'PL WB (нед)'!AF10+'PL OZON (нед)'!AF10</f>
        <v/>
      </c>
      <c r="AG4" s="103">
        <f>'PL WB (нед)'!AG10+'PL OZON (нед)'!AG10</f>
        <v/>
      </c>
      <c r="AH4" s="103">
        <f>'PL WB (нед)'!AH10+'PL OZON (нед)'!AH10</f>
        <v/>
      </c>
      <c r="AI4" s="103">
        <f>'PL WB (нед)'!AI10+'PL OZON (нед)'!AI10</f>
        <v/>
      </c>
      <c r="AJ4" s="103">
        <f>'PL WB (нед)'!AJ10+'PL OZON (нед)'!AJ10</f>
        <v/>
      </c>
      <c r="AK4" s="103">
        <f>'PL WB (нед)'!AK10+'PL OZON (нед)'!AK10</f>
        <v/>
      </c>
      <c r="AL4" s="103">
        <f>'PL WB (нед)'!AL10+'PL OZON (нед)'!AL10</f>
        <v/>
      </c>
      <c r="AM4" s="103">
        <f>'PL WB (нед)'!AM10+'PL OZON (нед)'!AM10</f>
        <v/>
      </c>
      <c r="AN4" s="103">
        <f>'PL WB (нед)'!AN10+'PL OZON (нед)'!AN10</f>
        <v/>
      </c>
      <c r="AO4" s="103">
        <f>'PL WB (нед)'!AO10+'PL OZON (нед)'!AO10</f>
        <v/>
      </c>
      <c r="AP4" s="103">
        <f>'PL WB (нед)'!AP10+'PL OZON (нед)'!AP10</f>
        <v/>
      </c>
      <c r="AQ4" s="103">
        <f>'PL WB (нед)'!AQ10+'PL OZON (нед)'!AQ10</f>
        <v/>
      </c>
      <c r="AR4" s="103">
        <f>'PL WB (нед)'!AR10+'PL OZON (нед)'!AR10</f>
        <v/>
      </c>
      <c r="AS4" s="103">
        <f>'PL WB (нед)'!AS10+'PL OZON (нед)'!AS10</f>
        <v/>
      </c>
      <c r="AT4" s="103">
        <f>'PL WB (нед)'!AT10+'PL OZON (нед)'!AT10</f>
        <v/>
      </c>
      <c r="AU4" s="103">
        <f>'PL WB (нед)'!AU10+'PL OZON (нед)'!AU10</f>
        <v/>
      </c>
      <c r="AV4" s="103">
        <f>'PL WB (нед)'!AV10+'PL OZON (нед)'!AV10</f>
        <v/>
      </c>
      <c r="AW4" s="103">
        <f>'PL WB (нед)'!AW10+'PL OZON (нед)'!AW10</f>
        <v/>
      </c>
      <c r="AX4" s="103">
        <f>'PL WB (нед)'!AX10+'PL OZON (нед)'!AX10</f>
        <v/>
      </c>
      <c r="AY4" s="103">
        <f>'PL WB (нед)'!AY10+'PL OZON (нед)'!AY10</f>
        <v/>
      </c>
      <c r="AZ4" s="103">
        <f>'PL WB (нед)'!AZ10+'PL OZON (нед)'!AZ10</f>
        <v/>
      </c>
      <c r="BA4" s="103">
        <f>'PL WB (нед)'!BA10+'PL OZON (нед)'!BA10</f>
        <v/>
      </c>
      <c r="BB4" s="103">
        <f>'PL WB (нед)'!BB10+'PL OZON (нед)'!BB10</f>
        <v/>
      </c>
      <c r="BC4" s="103">
        <f>'PL WB (нед)'!BC10+'PL OZON (нед)'!BC10</f>
        <v/>
      </c>
    </row>
    <row r="5" ht="13.5" customHeight="1">
      <c r="A5" s="23" t="inlineStr">
        <is>
          <t>Доступно на складе по цене закупки</t>
        </is>
      </c>
      <c r="B5" s="24" t="n"/>
      <c r="C5" s="63">
        <f>'PL WB (нед)'!C12+'PL OZON (нед)'!C12</f>
        <v/>
      </c>
      <c r="D5" s="63">
        <f>'PL WB (нед)'!D12+'PL OZON (нед)'!D12</f>
        <v/>
      </c>
      <c r="E5" s="63">
        <f>'PL WB (нед)'!E12+'PL OZON (нед)'!E12</f>
        <v/>
      </c>
      <c r="F5" s="63">
        <f>'PL WB (нед)'!F12+'PL OZON (нед)'!F12</f>
        <v/>
      </c>
      <c r="G5" s="63">
        <f>'PL WB (нед)'!G12+'PL OZON (нед)'!G12</f>
        <v/>
      </c>
      <c r="H5" s="63">
        <f>'PL WB (нед)'!H12+'PL OZON (нед)'!H12</f>
        <v/>
      </c>
      <c r="I5" s="63">
        <f>'PL WB (нед)'!I12+'PL OZON (нед)'!I12</f>
        <v/>
      </c>
      <c r="J5" s="63">
        <f>'PL WB (нед)'!J12+'PL OZON (нед)'!J12</f>
        <v/>
      </c>
      <c r="K5" s="63">
        <f>'PL WB (нед)'!K12+'PL OZON (нед)'!K12</f>
        <v/>
      </c>
      <c r="L5" s="63">
        <f>'PL WB (нед)'!L12+'PL OZON (нед)'!L12</f>
        <v/>
      </c>
      <c r="M5" s="63">
        <f>'PL WB (нед)'!M12+'PL OZON (нед)'!M12</f>
        <v/>
      </c>
      <c r="N5" s="63">
        <f>'PL WB (нед)'!N12+'PL OZON (нед)'!N12</f>
        <v/>
      </c>
      <c r="O5" s="63">
        <f>'PL WB (нед)'!O12+'PL OZON (нед)'!O12</f>
        <v/>
      </c>
      <c r="P5" s="63">
        <f>'PL WB (нед)'!P12+'PL OZON (нед)'!P12</f>
        <v/>
      </c>
      <c r="Q5" s="63">
        <f>'PL WB (нед)'!Q12+'PL OZON (нед)'!Q12</f>
        <v/>
      </c>
      <c r="R5" s="63">
        <f>'PL WB (нед)'!R12+'PL OZON (нед)'!R12</f>
        <v/>
      </c>
      <c r="S5" s="63">
        <f>'PL WB (нед)'!S12+'PL OZON (нед)'!S12</f>
        <v/>
      </c>
      <c r="T5" s="63">
        <f>'PL WB (нед)'!T12+'PL OZON (нед)'!T12</f>
        <v/>
      </c>
      <c r="U5" s="63">
        <f>'PL WB (нед)'!U12+'PL OZON (нед)'!U12</f>
        <v/>
      </c>
      <c r="V5" s="63">
        <f>'PL WB (нед)'!V12+'PL OZON (нед)'!V12</f>
        <v/>
      </c>
      <c r="W5" s="63">
        <f>'PL WB (нед)'!W12+'PL OZON (нед)'!W12</f>
        <v/>
      </c>
      <c r="X5" s="63">
        <f>'PL WB (нед)'!X12+'PL OZON (нед)'!X12</f>
        <v/>
      </c>
      <c r="Y5" s="63">
        <f>'PL WB (нед)'!Y12+'PL OZON (нед)'!Y12</f>
        <v/>
      </c>
      <c r="Z5" s="63">
        <f>'PL WB (нед)'!Z12+'PL OZON (нед)'!Z12</f>
        <v/>
      </c>
      <c r="AA5" s="63">
        <f>'PL WB (нед)'!AA12+'PL OZON (нед)'!AA12</f>
        <v/>
      </c>
      <c r="AB5" s="63">
        <f>'PL WB (нед)'!AB12+'PL OZON (нед)'!AB12</f>
        <v/>
      </c>
      <c r="AC5" s="63">
        <f>'PL WB (нед)'!AC12+'PL OZON (нед)'!AC12</f>
        <v/>
      </c>
      <c r="AD5" s="63">
        <f>'PL WB (нед)'!AD12+'PL OZON (нед)'!AD12</f>
        <v/>
      </c>
      <c r="AE5" s="63">
        <f>'PL WB (нед)'!AE12+'PL OZON (нед)'!AE12</f>
        <v/>
      </c>
      <c r="AF5" s="63">
        <f>'PL WB (нед)'!AF12+'PL OZON (нед)'!AF12</f>
        <v/>
      </c>
      <c r="AG5" s="63">
        <f>'PL WB (нед)'!AG12+'PL OZON (нед)'!AG12</f>
        <v/>
      </c>
      <c r="AH5" s="63">
        <f>'PL WB (нед)'!AH12+'PL OZON (нед)'!AH12</f>
        <v/>
      </c>
      <c r="AI5" s="63">
        <f>'PL WB (нед)'!AI12+'PL OZON (нед)'!AI12</f>
        <v/>
      </c>
      <c r="AJ5" s="63">
        <f>'PL WB (нед)'!AJ12+'PL OZON (нед)'!AJ12</f>
        <v/>
      </c>
      <c r="AK5" s="63">
        <f>'PL WB (нед)'!AK12+'PL OZON (нед)'!AK12</f>
        <v/>
      </c>
      <c r="AL5" s="63">
        <f>'PL WB (нед)'!AL12+'PL OZON (нед)'!AL12</f>
        <v/>
      </c>
      <c r="AM5" s="63">
        <f>'PL WB (нед)'!AM12+'PL OZON (нед)'!AM12</f>
        <v/>
      </c>
      <c r="AN5" s="63">
        <f>'PL WB (нед)'!AN12+'PL OZON (нед)'!AN12</f>
        <v/>
      </c>
      <c r="AO5" s="63">
        <f>'PL WB (нед)'!AO12+'PL OZON (нед)'!AO12</f>
        <v/>
      </c>
      <c r="AP5" s="63">
        <f>'PL WB (нед)'!AP12+'PL OZON (нед)'!AP12</f>
        <v/>
      </c>
      <c r="AQ5" s="63">
        <f>'PL WB (нед)'!AQ12+'PL OZON (нед)'!AQ12</f>
        <v/>
      </c>
      <c r="AR5" s="63">
        <f>'PL WB (нед)'!AR12+'PL OZON (нед)'!AR12</f>
        <v/>
      </c>
      <c r="AS5" s="63">
        <f>'PL WB (нед)'!AS12+'PL OZON (нед)'!AS12</f>
        <v/>
      </c>
      <c r="AT5" s="63">
        <f>'PL WB (нед)'!AT12+'PL OZON (нед)'!AT12</f>
        <v/>
      </c>
      <c r="AU5" s="63">
        <f>'PL WB (нед)'!AU12+'PL OZON (нед)'!AU12</f>
        <v/>
      </c>
      <c r="AV5" s="63">
        <f>'PL WB (нед)'!AV12+'PL OZON (нед)'!AV12</f>
        <v/>
      </c>
      <c r="AW5" s="63">
        <f>'PL WB (нед)'!AW12+'PL OZON (нед)'!AW12</f>
        <v/>
      </c>
      <c r="AX5" s="63">
        <f>'PL WB (нед)'!AX12+'PL OZON (нед)'!AX12</f>
        <v/>
      </c>
      <c r="AY5" s="63">
        <f>'PL WB (нед)'!AY12+'PL OZON (нед)'!AY12</f>
        <v/>
      </c>
      <c r="AZ5" s="63">
        <f>'PL WB (нед)'!AZ12+'PL OZON (нед)'!AZ12</f>
        <v/>
      </c>
      <c r="BA5" s="63">
        <f>'PL WB (нед)'!BA12+'PL OZON (нед)'!BA12</f>
        <v/>
      </c>
      <c r="BB5" s="63">
        <f>'PL WB (нед)'!BB12+'PL OZON (нед)'!BB12</f>
        <v/>
      </c>
      <c r="BC5" s="63">
        <f>'PL WB (нед)'!BC12+'PL OZON (нед)'!BC12</f>
        <v/>
      </c>
    </row>
    <row r="6" ht="13.5" customHeight="1">
      <c r="A6" s="6" t="n"/>
      <c r="B6" s="7" t="n"/>
      <c r="C6" s="15" t="n"/>
      <c r="D6" s="9" t="n"/>
      <c r="E6" s="9" t="n"/>
      <c r="F6" s="9" t="n"/>
      <c r="G6" s="9" t="n"/>
      <c r="H6" s="15" t="n"/>
      <c r="I6" s="9" t="n"/>
      <c r="J6" s="9" t="n"/>
      <c r="K6" s="7" t="n"/>
      <c r="L6" s="9" t="n"/>
      <c r="M6" s="9" t="n"/>
      <c r="N6" s="9" t="n"/>
      <c r="O6" s="7" t="n"/>
      <c r="P6" s="9" t="n"/>
      <c r="Q6" s="9" t="n"/>
      <c r="R6" s="9" t="n"/>
      <c r="S6" s="7" t="n"/>
      <c r="T6" s="9" t="n"/>
      <c r="U6" s="9" t="n"/>
      <c r="V6" s="9" t="n"/>
      <c r="W6" s="9" t="n"/>
      <c r="X6" s="7" t="n"/>
      <c r="Y6" s="9" t="n"/>
      <c r="Z6" s="9" t="n"/>
      <c r="AA6" s="9" t="n"/>
      <c r="AB6" s="7" t="n"/>
      <c r="AC6" s="9" t="n"/>
      <c r="AD6" s="9" t="n"/>
      <c r="AE6" s="9" t="n"/>
      <c r="AF6" s="7" t="n"/>
      <c r="AG6" s="9" t="n"/>
      <c r="AH6" s="9" t="n"/>
      <c r="AI6" s="9" t="n"/>
      <c r="AJ6" s="9" t="n"/>
      <c r="AK6" s="7" t="n"/>
      <c r="AL6" s="9" t="n"/>
      <c r="AM6" s="9" t="n"/>
      <c r="AN6" s="9" t="n"/>
      <c r="AO6" s="7" t="n"/>
      <c r="AP6" s="9" t="n"/>
      <c r="AQ6" s="9" t="n"/>
      <c r="AR6" s="9" t="n"/>
      <c r="AS6" s="9" t="n"/>
      <c r="AT6" s="7" t="n"/>
      <c r="AU6" s="9" t="n"/>
      <c r="AV6" s="9" t="n"/>
      <c r="AW6" s="9" t="n"/>
      <c r="AX6" s="7" t="n"/>
      <c r="AY6" s="9" t="n"/>
      <c r="AZ6" s="9" t="n"/>
      <c r="BA6" s="9" t="n"/>
      <c r="BB6" s="9" t="n"/>
      <c r="BC6" s="9" t="n"/>
    </row>
    <row r="7" ht="13.5" customHeight="1">
      <c r="A7" s="26" t="inlineStr">
        <is>
          <t>Остаток денежных средств на начало периода</t>
        </is>
      </c>
      <c r="B7" s="27" t="n"/>
      <c r="C7" s="14">
        <f>'[1]CF факт (нед)'!$BB$33</f>
        <v/>
      </c>
      <c r="D7" s="64">
        <f>C42</f>
        <v/>
      </c>
      <c r="E7" s="64">
        <f>D42</f>
        <v/>
      </c>
      <c r="F7" s="64">
        <f>E42</f>
        <v/>
      </c>
      <c r="G7" s="64">
        <f>F42</f>
        <v/>
      </c>
      <c r="H7" s="65">
        <f>G42</f>
        <v/>
      </c>
      <c r="I7" s="64">
        <f>H42</f>
        <v/>
      </c>
      <c r="J7" s="64">
        <f>I42</f>
        <v/>
      </c>
      <c r="K7" s="66">
        <f>J42</f>
        <v/>
      </c>
      <c r="L7" s="64">
        <f>K42</f>
        <v/>
      </c>
      <c r="M7" s="64">
        <f>L42</f>
        <v/>
      </c>
      <c r="N7" s="64">
        <f>M42</f>
        <v/>
      </c>
      <c r="O7" s="66">
        <f>N42</f>
        <v/>
      </c>
      <c r="P7" s="64">
        <f>O42</f>
        <v/>
      </c>
      <c r="Q7" s="64">
        <f>P42</f>
        <v/>
      </c>
      <c r="R7" s="64">
        <f>Q42</f>
        <v/>
      </c>
      <c r="S7" s="66">
        <f>R42</f>
        <v/>
      </c>
      <c r="T7" s="64">
        <f>S42</f>
        <v/>
      </c>
      <c r="U7" s="64">
        <f>T42</f>
        <v/>
      </c>
      <c r="V7" s="64">
        <f>U42</f>
        <v/>
      </c>
      <c r="W7" s="64">
        <f>V42</f>
        <v/>
      </c>
      <c r="X7" s="66">
        <f>W42</f>
        <v/>
      </c>
      <c r="Y7" s="64">
        <f>X42</f>
        <v/>
      </c>
      <c r="Z7" s="64">
        <f>Y42</f>
        <v/>
      </c>
      <c r="AA7" s="64">
        <f>Z42</f>
        <v/>
      </c>
      <c r="AB7" s="66">
        <f>AA42</f>
        <v/>
      </c>
      <c r="AC7" s="64">
        <f>AB42</f>
        <v/>
      </c>
      <c r="AD7" s="64">
        <f>AC42</f>
        <v/>
      </c>
      <c r="AE7" s="64">
        <f>AD42</f>
        <v/>
      </c>
      <c r="AF7" s="66">
        <f>AE42</f>
        <v/>
      </c>
      <c r="AG7" s="64">
        <f>AF42</f>
        <v/>
      </c>
      <c r="AH7" s="64">
        <f>AG42</f>
        <v/>
      </c>
      <c r="AI7" s="64">
        <f>AH42</f>
        <v/>
      </c>
      <c r="AJ7" s="64">
        <f>AI42</f>
        <v/>
      </c>
      <c r="AK7" s="66">
        <f>AJ42</f>
        <v/>
      </c>
      <c r="AL7" s="64">
        <f>AK42</f>
        <v/>
      </c>
      <c r="AM7" s="64">
        <f>AL42</f>
        <v/>
      </c>
      <c r="AN7" s="64">
        <f>AM42</f>
        <v/>
      </c>
      <c r="AO7" s="66">
        <f>AN42</f>
        <v/>
      </c>
      <c r="AP7" s="64">
        <f>AO42</f>
        <v/>
      </c>
      <c r="AQ7" s="64">
        <f>AP42</f>
        <v/>
      </c>
      <c r="AR7" s="64">
        <f>AQ42</f>
        <v/>
      </c>
      <c r="AS7" s="64">
        <f>AR42</f>
        <v/>
      </c>
      <c r="AT7" s="66">
        <f>AS42</f>
        <v/>
      </c>
      <c r="AU7" s="64">
        <f>AT42</f>
        <v/>
      </c>
      <c r="AV7" s="64">
        <f>AU42</f>
        <v/>
      </c>
      <c r="AW7" s="64">
        <f>AV42</f>
        <v/>
      </c>
      <c r="AX7" s="66">
        <f>AW42</f>
        <v/>
      </c>
      <c r="AY7" s="64">
        <f>AX42</f>
        <v/>
      </c>
      <c r="AZ7" s="64">
        <f>AY42</f>
        <v/>
      </c>
      <c r="BA7" s="64">
        <f>AZ42</f>
        <v/>
      </c>
      <c r="BB7" s="64">
        <f>BA42</f>
        <v/>
      </c>
      <c r="BC7" s="64">
        <f>BB42</f>
        <v/>
      </c>
    </row>
    <row r="8" ht="13.5" customHeight="1">
      <c r="A8" s="30" t="n"/>
      <c r="B8" s="31" t="n"/>
      <c r="C8" s="15" t="n"/>
      <c r="D8" s="9" t="n"/>
      <c r="E8" s="9" t="n"/>
      <c r="F8" s="9" t="n"/>
      <c r="G8" s="9" t="n"/>
      <c r="H8" s="15" t="n"/>
      <c r="I8" s="9" t="n"/>
      <c r="J8" s="9" t="n"/>
      <c r="K8" s="7" t="n"/>
      <c r="L8" s="9" t="n"/>
      <c r="M8" s="9" t="n"/>
      <c r="N8" s="9" t="n"/>
      <c r="O8" s="7" t="n"/>
      <c r="P8" s="9" t="n"/>
      <c r="Q8" s="9" t="n"/>
      <c r="R8" s="9" t="n"/>
      <c r="S8" s="7" t="n"/>
      <c r="T8" s="9" t="n"/>
      <c r="U8" s="9" t="n"/>
      <c r="V8" s="9" t="n"/>
      <c r="W8" s="9" t="n"/>
      <c r="X8" s="7" t="n"/>
      <c r="Y8" s="9" t="n"/>
      <c r="Z8" s="9" t="n"/>
      <c r="AA8" s="9" t="n"/>
      <c r="AB8" s="7" t="n"/>
      <c r="AC8" s="9" t="n"/>
      <c r="AD8" s="9" t="n"/>
      <c r="AE8" s="9" t="n"/>
      <c r="AF8" s="7" t="n"/>
      <c r="AG8" s="9" t="n"/>
      <c r="AH8" s="9" t="n"/>
      <c r="AI8" s="9" t="n"/>
      <c r="AJ8" s="9" t="n"/>
      <c r="AK8" s="7" t="n"/>
      <c r="AL8" s="9" t="n"/>
      <c r="AM8" s="9" t="n"/>
      <c r="AN8" s="9" t="n"/>
      <c r="AO8" s="7" t="n"/>
      <c r="AP8" s="9" t="n"/>
      <c r="AQ8" s="9" t="n"/>
      <c r="AR8" s="9" t="n"/>
      <c r="AS8" s="9" t="n"/>
      <c r="AT8" s="7" t="n"/>
      <c r="AU8" s="9" t="n"/>
      <c r="AV8" s="9" t="n"/>
      <c r="AW8" s="9" t="n"/>
      <c r="AX8" s="7" t="n"/>
      <c r="AY8" s="9" t="n"/>
      <c r="AZ8" s="9" t="n"/>
      <c r="BA8" s="9" t="n"/>
      <c r="BB8" s="9" t="n"/>
      <c r="BC8" s="9" t="n"/>
    </row>
    <row r="9" ht="13.5" customHeight="1">
      <c r="A9" s="67" t="inlineStr">
        <is>
          <t>Поступление на счет от WB и OZON</t>
        </is>
      </c>
      <c r="B9" s="31" t="n"/>
      <c r="C9" s="68">
        <f>'PL WB (нед)'!C30+'PL OZON (нед)'!C30</f>
        <v/>
      </c>
      <c r="D9" s="68">
        <f>'PL WB (нед)'!D30+'PL OZON (нед)'!D30</f>
        <v/>
      </c>
      <c r="E9" s="68">
        <f>'PL WB (нед)'!E30+'PL OZON (нед)'!E30</f>
        <v/>
      </c>
      <c r="F9" s="68">
        <f>'PL WB (нед)'!F30+'PL OZON (нед)'!F30</f>
        <v/>
      </c>
      <c r="G9" s="68">
        <f>'PL WB (нед)'!G30+'PL OZON (нед)'!G30</f>
        <v/>
      </c>
      <c r="H9" s="68">
        <f>'PL WB (нед)'!H30+'PL OZON (нед)'!H30</f>
        <v/>
      </c>
      <c r="I9" s="68">
        <f>'PL WB (нед)'!I30+'PL OZON (нед)'!I30</f>
        <v/>
      </c>
      <c r="J9" s="68">
        <f>'PL WB (нед)'!J30+'PL OZON (нед)'!J30</f>
        <v/>
      </c>
      <c r="K9" s="68">
        <f>'PL WB (нед)'!K30+'PL OZON (нед)'!K30</f>
        <v/>
      </c>
      <c r="L9" s="68">
        <f>'PL WB (нед)'!L30+'PL OZON (нед)'!L30</f>
        <v/>
      </c>
      <c r="M9" s="68">
        <f>'PL WB (нед)'!M30+'PL OZON (нед)'!M30</f>
        <v/>
      </c>
      <c r="N9" s="68">
        <f>'PL WB (нед)'!N30+'PL OZON (нед)'!N30</f>
        <v/>
      </c>
      <c r="O9" s="68">
        <f>'PL WB (нед)'!O30+'PL OZON (нед)'!O30</f>
        <v/>
      </c>
      <c r="P9" s="68">
        <f>'PL WB (нед)'!P30+'PL OZON (нед)'!P30</f>
        <v/>
      </c>
      <c r="Q9" s="68">
        <f>'PL WB (нед)'!Q30+'PL OZON (нед)'!Q30</f>
        <v/>
      </c>
      <c r="R9" s="68">
        <f>'PL WB (нед)'!R30+'PL OZON (нед)'!R30</f>
        <v/>
      </c>
      <c r="S9" s="68">
        <f>'PL WB (нед)'!S30+'PL OZON (нед)'!S30</f>
        <v/>
      </c>
      <c r="T9" s="68">
        <f>'PL WB (нед)'!T30+'PL OZON (нед)'!T30</f>
        <v/>
      </c>
      <c r="U9" s="68">
        <f>'PL WB (нед)'!U30+'PL OZON (нед)'!U30</f>
        <v/>
      </c>
      <c r="V9" s="68">
        <f>'PL WB (нед)'!V30+'PL OZON (нед)'!V30</f>
        <v/>
      </c>
      <c r="W9" s="68">
        <f>'PL WB (нед)'!W30+'PL OZON (нед)'!W30</f>
        <v/>
      </c>
      <c r="X9" s="68">
        <f>'PL WB (нед)'!X30+'PL OZON (нед)'!X30</f>
        <v/>
      </c>
      <c r="Y9" s="68">
        <f>'PL WB (нед)'!Y30+'PL OZON (нед)'!Y30</f>
        <v/>
      </c>
      <c r="Z9" s="68">
        <f>'PL WB (нед)'!Z30+'PL OZON (нед)'!Z30</f>
        <v/>
      </c>
      <c r="AA9" s="68">
        <f>'PL WB (нед)'!AA30+'PL OZON (нед)'!AA30</f>
        <v/>
      </c>
      <c r="AB9" s="68">
        <f>'PL WB (нед)'!AB30+'PL OZON (нед)'!AB30</f>
        <v/>
      </c>
      <c r="AC9" s="68">
        <f>'PL WB (нед)'!AC30+'PL OZON (нед)'!AC30</f>
        <v/>
      </c>
      <c r="AD9" s="68">
        <f>'PL WB (нед)'!AD30+'PL OZON (нед)'!AD30</f>
        <v/>
      </c>
      <c r="AE9" s="68">
        <f>'PL WB (нед)'!AE30+'PL OZON (нед)'!AE30</f>
        <v/>
      </c>
      <c r="AF9" s="68">
        <f>'PL WB (нед)'!AF30+'PL OZON (нед)'!AF30</f>
        <v/>
      </c>
      <c r="AG9" s="68">
        <f>'PL WB (нед)'!AG30+'PL OZON (нед)'!AG30</f>
        <v/>
      </c>
      <c r="AH9" s="68">
        <f>'PL WB (нед)'!AH30+'PL OZON (нед)'!AH30</f>
        <v/>
      </c>
      <c r="AI9" s="68">
        <f>'PL WB (нед)'!AI30+'PL OZON (нед)'!AI30</f>
        <v/>
      </c>
      <c r="AJ9" s="68">
        <f>'PL WB (нед)'!AJ30+'PL OZON (нед)'!AJ30</f>
        <v/>
      </c>
      <c r="AK9" s="68">
        <f>'PL WB (нед)'!AK30+'PL OZON (нед)'!AK30</f>
        <v/>
      </c>
      <c r="AL9" s="68">
        <f>'PL WB (нед)'!AL30+'PL OZON (нед)'!AL30</f>
        <v/>
      </c>
      <c r="AM9" s="68">
        <f>'PL WB (нед)'!AM30+'PL OZON (нед)'!AM30</f>
        <v/>
      </c>
      <c r="AN9" s="68">
        <f>'PL WB (нед)'!AN30+'PL OZON (нед)'!AN30</f>
        <v/>
      </c>
      <c r="AO9" s="68">
        <f>'PL WB (нед)'!AO30+'PL OZON (нед)'!AO30</f>
        <v/>
      </c>
      <c r="AP9" s="68">
        <f>'PL WB (нед)'!AP30+'PL OZON (нед)'!AP30</f>
        <v/>
      </c>
      <c r="AQ9" s="68">
        <f>'PL WB (нед)'!AQ30+'PL OZON (нед)'!AQ30</f>
        <v/>
      </c>
      <c r="AR9" s="68">
        <f>'PL WB (нед)'!AR30+'PL OZON (нед)'!AR30</f>
        <v/>
      </c>
      <c r="AS9" s="68">
        <f>'PL WB (нед)'!AS30+'PL OZON (нед)'!AS30</f>
        <v/>
      </c>
      <c r="AT9" s="68">
        <f>'PL WB (нед)'!AT30+'PL OZON (нед)'!AT30</f>
        <v/>
      </c>
      <c r="AU9" s="68">
        <f>'PL WB (нед)'!AU30+'PL OZON (нед)'!AU30</f>
        <v/>
      </c>
      <c r="AV9" s="68">
        <f>'PL WB (нед)'!AV30+'PL OZON (нед)'!AV30</f>
        <v/>
      </c>
      <c r="AW9" s="68">
        <f>'PL WB (нед)'!AW30+'PL OZON (нед)'!AW30</f>
        <v/>
      </c>
      <c r="AX9" s="68">
        <f>'PL WB (нед)'!AX30+'PL OZON (нед)'!AX30</f>
        <v/>
      </c>
      <c r="AY9" s="68">
        <f>'PL WB (нед)'!AY30+'PL OZON (нед)'!AY30</f>
        <v/>
      </c>
      <c r="AZ9" s="68">
        <f>'PL WB (нед)'!AZ30+'PL OZON (нед)'!AZ30</f>
        <v/>
      </c>
      <c r="BA9" s="68">
        <f>'PL WB (нед)'!BA30+'PL OZON (нед)'!BA30</f>
        <v/>
      </c>
      <c r="BB9" s="68">
        <f>'PL WB (нед)'!BB30+'PL OZON (нед)'!BB30</f>
        <v/>
      </c>
      <c r="BC9" s="68">
        <f>'PL WB (нед)'!BC30+'PL OZON (нед)'!BC30</f>
        <v/>
      </c>
    </row>
    <row r="10" ht="13.5" customHeight="1">
      <c r="A10" s="30" t="n"/>
      <c r="B10" s="31" t="n"/>
      <c r="C10" s="15" t="n"/>
      <c r="D10" s="9" t="n"/>
      <c r="E10" s="9" t="n"/>
      <c r="F10" s="9" t="n"/>
      <c r="G10" s="9" t="n"/>
      <c r="H10" s="15" t="n"/>
      <c r="I10" s="9" t="n"/>
      <c r="J10" s="9" t="n"/>
      <c r="K10" s="7" t="n"/>
      <c r="L10" s="9" t="n"/>
      <c r="M10" s="9" t="n"/>
      <c r="N10" s="9" t="n"/>
      <c r="O10" s="7" t="n"/>
      <c r="P10" s="9" t="n"/>
      <c r="Q10" s="9" t="n"/>
      <c r="R10" s="9" t="n"/>
      <c r="S10" s="7" t="n"/>
      <c r="T10" s="9" t="n"/>
      <c r="U10" s="9" t="n"/>
      <c r="V10" s="9" t="n"/>
      <c r="W10" s="9" t="n"/>
      <c r="X10" s="7" t="n"/>
      <c r="Y10" s="9" t="n"/>
      <c r="Z10" s="9" t="n"/>
      <c r="AA10" s="9" t="n"/>
      <c r="AB10" s="7" t="n"/>
      <c r="AC10" s="9" t="n"/>
      <c r="AD10" s="9" t="n"/>
      <c r="AE10" s="9" t="n"/>
      <c r="AF10" s="7" t="n"/>
      <c r="AG10" s="9" t="n"/>
      <c r="AH10" s="9" t="n"/>
      <c r="AI10" s="9" t="n"/>
      <c r="AJ10" s="9" t="n"/>
      <c r="AK10" s="7" t="n"/>
      <c r="AL10" s="9" t="n"/>
      <c r="AM10" s="9" t="n"/>
      <c r="AN10" s="9" t="n"/>
      <c r="AO10" s="7" t="n"/>
      <c r="AP10" s="9" t="n"/>
      <c r="AQ10" s="9" t="n"/>
      <c r="AR10" s="9" t="n"/>
      <c r="AS10" s="9" t="n"/>
      <c r="AT10" s="7" t="n"/>
      <c r="AU10" s="9" t="n"/>
      <c r="AV10" s="9" t="n"/>
      <c r="AW10" s="9" t="n"/>
      <c r="AX10" s="7" t="n"/>
      <c r="AY10" s="9" t="n"/>
      <c r="AZ10" s="9" t="n"/>
      <c r="BA10" s="9" t="n"/>
      <c r="BB10" s="9" t="n"/>
      <c r="BC10" s="9" t="n"/>
    </row>
    <row r="11" ht="13.5" customHeight="1">
      <c r="A11" s="69" t="inlineStr">
        <is>
          <t>Итого остаток + поступление</t>
        </is>
      </c>
      <c r="B11" s="27" t="n"/>
      <c r="C11" s="65">
        <f>C7+C9</f>
        <v/>
      </c>
      <c r="D11" s="64">
        <f>D7+D9</f>
        <v/>
      </c>
      <c r="E11" s="64">
        <f>E7+E9</f>
        <v/>
      </c>
      <c r="F11" s="64">
        <f>F7+F9</f>
        <v/>
      </c>
      <c r="G11" s="64">
        <f>G7+G9</f>
        <v/>
      </c>
      <c r="H11" s="65">
        <f>H7+H9</f>
        <v/>
      </c>
      <c r="I11" s="64">
        <f>I7+I9</f>
        <v/>
      </c>
      <c r="J11" s="64">
        <f>J7+J9</f>
        <v/>
      </c>
      <c r="K11" s="66">
        <f>K7+K9</f>
        <v/>
      </c>
      <c r="L11" s="64">
        <f>L7+L9</f>
        <v/>
      </c>
      <c r="M11" s="64">
        <f>M7+M9</f>
        <v/>
      </c>
      <c r="N11" s="64">
        <f>N7+N9</f>
        <v/>
      </c>
      <c r="O11" s="66">
        <f>O7+O9</f>
        <v/>
      </c>
      <c r="P11" s="64">
        <f>P7+P9</f>
        <v/>
      </c>
      <c r="Q11" s="64">
        <f>Q7+Q9</f>
        <v/>
      </c>
      <c r="R11" s="64">
        <f>R7+R9</f>
        <v/>
      </c>
      <c r="S11" s="66">
        <f>S7+S9</f>
        <v/>
      </c>
      <c r="T11" s="64">
        <f>T7+T9</f>
        <v/>
      </c>
      <c r="U11" s="64">
        <f>U7+U9</f>
        <v/>
      </c>
      <c r="V11" s="64">
        <f>V7+V9</f>
        <v/>
      </c>
      <c r="W11" s="64">
        <f>W7+W9</f>
        <v/>
      </c>
      <c r="X11" s="66">
        <f>X7+X9</f>
        <v/>
      </c>
      <c r="Y11" s="64">
        <f>Y7+Y9</f>
        <v/>
      </c>
      <c r="Z11" s="64">
        <f>Z7+Z9</f>
        <v/>
      </c>
      <c r="AA11" s="64">
        <f>AA7+AA9</f>
        <v/>
      </c>
      <c r="AB11" s="66">
        <f>AB7+AB9</f>
        <v/>
      </c>
      <c r="AC11" s="64">
        <f>AC7+AC9</f>
        <v/>
      </c>
      <c r="AD11" s="64">
        <f>AD7+AD9</f>
        <v/>
      </c>
      <c r="AE11" s="64">
        <f>AE7+AE9</f>
        <v/>
      </c>
      <c r="AF11" s="66">
        <f>AF7+AF9</f>
        <v/>
      </c>
      <c r="AG11" s="64">
        <f>AG7+AG9</f>
        <v/>
      </c>
      <c r="AH11" s="64">
        <f>AH7+AH9</f>
        <v/>
      </c>
      <c r="AI11" s="64">
        <f>AI7+AI9</f>
        <v/>
      </c>
      <c r="AJ11" s="64">
        <f>AJ7+AJ9</f>
        <v/>
      </c>
      <c r="AK11" s="66">
        <f>AK7+AK9</f>
        <v/>
      </c>
      <c r="AL11" s="64">
        <f>AL7+AL9</f>
        <v/>
      </c>
      <c r="AM11" s="64">
        <f>AM7+AM9</f>
        <v/>
      </c>
      <c r="AN11" s="64">
        <f>AN7+AN9</f>
        <v/>
      </c>
      <c r="AO11" s="66">
        <f>AO7+AO9</f>
        <v/>
      </c>
      <c r="AP11" s="64">
        <f>AP7+AP9</f>
        <v/>
      </c>
      <c r="AQ11" s="64">
        <f>AQ7+AQ9</f>
        <v/>
      </c>
      <c r="AR11" s="64">
        <f>AR7+AR9</f>
        <v/>
      </c>
      <c r="AS11" s="64">
        <f>AS7+AS9</f>
        <v/>
      </c>
      <c r="AT11" s="66">
        <f>AT7+AT9</f>
        <v/>
      </c>
      <c r="AU11" s="64">
        <f>AU7+AU9</f>
        <v/>
      </c>
      <c r="AV11" s="64">
        <f>AV7+AV9</f>
        <v/>
      </c>
      <c r="AW11" s="64">
        <f>AW7+AW9</f>
        <v/>
      </c>
      <c r="AX11" s="66">
        <f>AX7+AX9</f>
        <v/>
      </c>
      <c r="AY11" s="64">
        <f>AY7+AY9</f>
        <v/>
      </c>
      <c r="AZ11" s="64">
        <f>AZ7+AZ9</f>
        <v/>
      </c>
      <c r="BA11" s="64">
        <f>BA7+BA9</f>
        <v/>
      </c>
      <c r="BB11" s="64">
        <f>BB7+BB9</f>
        <v/>
      </c>
      <c r="BC11" s="64">
        <f>BC7+BC9</f>
        <v/>
      </c>
    </row>
    <row r="12" ht="13.5" customHeight="1">
      <c r="A12" s="6" t="n"/>
      <c r="B12" s="7" t="n"/>
      <c r="C12" s="15" t="n"/>
      <c r="D12" s="9" t="n"/>
      <c r="E12" s="9" t="n"/>
      <c r="F12" s="9" t="n"/>
      <c r="G12" s="9" t="n"/>
      <c r="H12" s="15" t="n"/>
      <c r="I12" s="9" t="n"/>
      <c r="J12" s="9" t="n"/>
      <c r="K12" s="7" t="n"/>
      <c r="L12" s="9" t="n"/>
      <c r="M12" s="9" t="n"/>
      <c r="N12" s="9" t="n"/>
      <c r="O12" s="7" t="n"/>
      <c r="P12" s="9" t="n"/>
      <c r="Q12" s="9" t="n"/>
      <c r="R12" s="9" t="n"/>
      <c r="S12" s="7" t="n"/>
      <c r="T12" s="9" t="n"/>
      <c r="U12" s="9" t="n"/>
      <c r="V12" s="9" t="n"/>
      <c r="W12" s="9" t="n"/>
      <c r="X12" s="7" t="n"/>
      <c r="Y12" s="9" t="n"/>
      <c r="Z12" s="9" t="n"/>
      <c r="AA12" s="9" t="n"/>
      <c r="AB12" s="7" t="n"/>
      <c r="AC12" s="9" t="n"/>
      <c r="AD12" s="9" t="n"/>
      <c r="AE12" s="9" t="n"/>
      <c r="AF12" s="7" t="n"/>
      <c r="AG12" s="9" t="n"/>
      <c r="AH12" s="9" t="n"/>
      <c r="AI12" s="9" t="n"/>
      <c r="AJ12" s="9" t="n"/>
      <c r="AK12" s="7" t="n"/>
      <c r="AL12" s="9" t="n"/>
      <c r="AM12" s="9" t="n"/>
      <c r="AN12" s="9" t="n"/>
      <c r="AO12" s="7" t="n"/>
      <c r="AP12" s="9" t="n"/>
      <c r="AQ12" s="9" t="n"/>
      <c r="AR12" s="9" t="n"/>
      <c r="AS12" s="9" t="n"/>
      <c r="AT12" s="7" t="n"/>
      <c r="AU12" s="9" t="n"/>
      <c r="AV12" s="9" t="n"/>
      <c r="AW12" s="9" t="n"/>
      <c r="AX12" s="7" t="n"/>
      <c r="AY12" s="9" t="n"/>
      <c r="AZ12" s="9" t="n"/>
      <c r="BA12" s="9" t="n"/>
      <c r="BB12" s="9" t="n"/>
      <c r="BC12" s="9" t="n"/>
    </row>
    <row r="13" ht="13.5" customHeight="1">
      <c r="A13" s="37" t="inlineStr">
        <is>
          <t>Расходы - факт списания</t>
        </is>
      </c>
      <c r="B13" s="38" t="n"/>
      <c r="C13" s="70">
        <f>SUM(C14:C19)</f>
        <v/>
      </c>
      <c r="D13" s="70">
        <f>SUM(D14:D19)</f>
        <v/>
      </c>
      <c r="E13" s="70">
        <f>SUM(E14:E19)</f>
        <v/>
      </c>
      <c r="F13" s="70">
        <f>SUM(F14:F19)</f>
        <v/>
      </c>
      <c r="G13" s="70">
        <f>SUM(G14:G19)</f>
        <v/>
      </c>
      <c r="H13" s="70">
        <f>SUM(H14:H19)</f>
        <v/>
      </c>
      <c r="I13" s="70">
        <f>SUM(I14:I19)</f>
        <v/>
      </c>
      <c r="J13" s="70">
        <f>SUM(J14:J19)</f>
        <v/>
      </c>
      <c r="K13" s="70">
        <f>SUM(K14:K19)</f>
        <v/>
      </c>
      <c r="L13" s="70">
        <f>SUM(L14:L19)</f>
        <v/>
      </c>
      <c r="M13" s="70">
        <f>SUM(M14:M19)</f>
        <v/>
      </c>
      <c r="N13" s="70">
        <f>SUM(N14:N19)</f>
        <v/>
      </c>
      <c r="O13" s="70">
        <f>SUM(O14:O19)</f>
        <v/>
      </c>
      <c r="P13" s="70">
        <f>SUM(P14:P19)</f>
        <v/>
      </c>
      <c r="Q13" s="70">
        <f>SUM(Q14:Q19)</f>
        <v/>
      </c>
      <c r="R13" s="70">
        <f>SUM(R14:R19)</f>
        <v/>
      </c>
      <c r="S13" s="70">
        <f>SUM(S14:S19)</f>
        <v/>
      </c>
      <c r="T13" s="70">
        <f>SUM(T14:T19)</f>
        <v/>
      </c>
      <c r="U13" s="70">
        <f>SUM(U14:U19)</f>
        <v/>
      </c>
      <c r="V13" s="70">
        <f>SUM(V14:V19)</f>
        <v/>
      </c>
      <c r="W13" s="70">
        <f>SUM(W14:W19)</f>
        <v/>
      </c>
      <c r="X13" s="70">
        <f>SUM(X14:X19)</f>
        <v/>
      </c>
      <c r="Y13" s="70">
        <f>SUM(Y14:Y19)</f>
        <v/>
      </c>
      <c r="Z13" s="70">
        <f>SUM(Z14:Z19)</f>
        <v/>
      </c>
      <c r="AA13" s="70">
        <f>SUM(AA14:AA19)</f>
        <v/>
      </c>
      <c r="AB13" s="70">
        <f>SUM(AB14:AB19)</f>
        <v/>
      </c>
      <c r="AC13" s="70">
        <f>SUM(AC14:AC19)</f>
        <v/>
      </c>
      <c r="AD13" s="70">
        <f>SUM(AD14:AD19)</f>
        <v/>
      </c>
      <c r="AE13" s="70">
        <f>SUM(AE14:AE19)</f>
        <v/>
      </c>
      <c r="AF13" s="70">
        <f>SUM(AF14:AF19)</f>
        <v/>
      </c>
      <c r="AG13" s="70">
        <f>SUM(AG14:AG19)</f>
        <v/>
      </c>
      <c r="AH13" s="70">
        <f>SUM(AH14:AH19)</f>
        <v/>
      </c>
      <c r="AI13" s="70">
        <f>SUM(AI14:AI19)</f>
        <v/>
      </c>
      <c r="AJ13" s="70">
        <f>SUM(AJ14:AJ19)</f>
        <v/>
      </c>
      <c r="AK13" s="70">
        <f>SUM(AK14:AK19)</f>
        <v/>
      </c>
      <c r="AL13" s="70">
        <f>SUM(AL14:AL19)</f>
        <v/>
      </c>
      <c r="AM13" s="70">
        <f>SUM(AM14:AM19)</f>
        <v/>
      </c>
      <c r="AN13" s="70">
        <f>SUM(AN14:AN19)</f>
        <v/>
      </c>
      <c r="AO13" s="70">
        <f>SUM(AO14:AO19)</f>
        <v/>
      </c>
      <c r="AP13" s="70">
        <f>SUM(AP14:AP19)</f>
        <v/>
      </c>
      <c r="AQ13" s="70">
        <f>SUM(AQ14:AQ19)</f>
        <v/>
      </c>
      <c r="AR13" s="70">
        <f>SUM(AR14:AR19)</f>
        <v/>
      </c>
      <c r="AS13" s="70">
        <f>SUM(AS14:AS19)</f>
        <v/>
      </c>
      <c r="AT13" s="70">
        <f>SUM(AT14:AT19)</f>
        <v/>
      </c>
      <c r="AU13" s="70">
        <f>SUM(AU14:AU19)</f>
        <v/>
      </c>
      <c r="AV13" s="70">
        <f>SUM(AV14:AV19)</f>
        <v/>
      </c>
      <c r="AW13" s="70">
        <f>SUM(AW14:AW19)</f>
        <v/>
      </c>
      <c r="AX13" s="70">
        <f>SUM(AX14:AX19)</f>
        <v/>
      </c>
      <c r="AY13" s="70">
        <f>SUM(AY14:AY19)</f>
        <v/>
      </c>
      <c r="AZ13" s="70">
        <f>SUM(AZ14:AZ19)</f>
        <v/>
      </c>
      <c r="BA13" s="70">
        <f>SUM(BA14:BA19)</f>
        <v/>
      </c>
      <c r="BB13" s="70">
        <f>SUM(BB14:BB19)</f>
        <v/>
      </c>
      <c r="BC13" s="70">
        <f>SUM(BC14:BC19)</f>
        <v/>
      </c>
    </row>
    <row r="14" ht="13.5" customHeight="1">
      <c r="A14" s="11" t="inlineStr">
        <is>
          <t>Контент</t>
        </is>
      </c>
      <c r="B14" s="41" t="n"/>
      <c r="C14" s="8">
        <f>'PL WB (нед)'!C47+'PL OZON (нед)'!C47</f>
        <v/>
      </c>
      <c r="D14" s="8">
        <f>'PL WB (нед)'!D47+'PL OZON (нед)'!D47</f>
        <v/>
      </c>
      <c r="E14" s="8">
        <f>'PL WB (нед)'!E47+'PL OZON (нед)'!E47</f>
        <v/>
      </c>
      <c r="F14" s="8">
        <f>'PL WB (нед)'!F47+'PL OZON (нед)'!F47</f>
        <v/>
      </c>
      <c r="G14" s="8">
        <f>'PL WB (нед)'!G47+'PL OZON (нед)'!G47</f>
        <v/>
      </c>
      <c r="H14" s="8">
        <f>'PL WB (нед)'!H47+'PL OZON (нед)'!H47</f>
        <v/>
      </c>
      <c r="I14" s="8">
        <f>'PL WB (нед)'!I47+'PL OZON (нед)'!I47</f>
        <v/>
      </c>
      <c r="J14" s="8">
        <f>'PL WB (нед)'!J47+'PL OZON (нед)'!J47</f>
        <v/>
      </c>
      <c r="K14" s="8">
        <f>'PL WB (нед)'!K47+'PL OZON (нед)'!K47</f>
        <v/>
      </c>
      <c r="L14" s="8">
        <f>'PL WB (нед)'!L47+'PL OZON (нед)'!L47</f>
        <v/>
      </c>
      <c r="M14" s="8">
        <f>'PL WB (нед)'!M47+'PL OZON (нед)'!M47</f>
        <v/>
      </c>
      <c r="N14" s="8">
        <f>'PL WB (нед)'!N47+'PL OZON (нед)'!N47</f>
        <v/>
      </c>
      <c r="O14" s="8">
        <f>'PL WB (нед)'!O47+'PL OZON (нед)'!O47</f>
        <v/>
      </c>
      <c r="P14" s="8">
        <f>'PL WB (нед)'!P47+'PL OZON (нед)'!P47</f>
        <v/>
      </c>
      <c r="Q14" s="8">
        <f>'PL WB (нед)'!Q47+'PL OZON (нед)'!Q47</f>
        <v/>
      </c>
      <c r="R14" s="8">
        <f>'PL WB (нед)'!R47+'PL OZON (нед)'!R47</f>
        <v/>
      </c>
      <c r="S14" s="8">
        <f>'PL WB (нед)'!S47+'PL OZON (нед)'!S47</f>
        <v/>
      </c>
      <c r="T14" s="8">
        <f>'PL WB (нед)'!T47+'PL OZON (нед)'!T47</f>
        <v/>
      </c>
      <c r="U14" s="8">
        <f>'PL WB (нед)'!U47+'PL OZON (нед)'!U47</f>
        <v/>
      </c>
      <c r="V14" s="8">
        <f>'PL WB (нед)'!V47+'PL OZON (нед)'!V47</f>
        <v/>
      </c>
      <c r="W14" s="8">
        <f>'PL WB (нед)'!W47+'PL OZON (нед)'!W47</f>
        <v/>
      </c>
      <c r="X14" s="8">
        <f>'PL WB (нед)'!X47+'PL OZON (нед)'!X47</f>
        <v/>
      </c>
      <c r="Y14" s="8">
        <f>'PL WB (нед)'!Y47+'PL OZON (нед)'!Y47</f>
        <v/>
      </c>
      <c r="Z14" s="8">
        <f>'PL WB (нед)'!Z47+'PL OZON (нед)'!Z47</f>
        <v/>
      </c>
      <c r="AA14" s="8">
        <f>'PL WB (нед)'!AA47+'PL OZON (нед)'!AA47</f>
        <v/>
      </c>
      <c r="AB14" s="8">
        <f>'PL WB (нед)'!AB47+'PL OZON (нед)'!AB47</f>
        <v/>
      </c>
      <c r="AC14" s="8">
        <f>'PL WB (нед)'!AC47+'PL OZON (нед)'!AC47</f>
        <v/>
      </c>
      <c r="AD14" s="8">
        <f>'PL WB (нед)'!AD47+'PL OZON (нед)'!AD47</f>
        <v/>
      </c>
      <c r="AE14" s="8">
        <f>'PL WB (нед)'!AE47+'PL OZON (нед)'!AE47</f>
        <v/>
      </c>
      <c r="AF14" s="8">
        <f>'PL WB (нед)'!AF47+'PL OZON (нед)'!AF47</f>
        <v/>
      </c>
      <c r="AG14" s="8">
        <f>'PL WB (нед)'!AG47+'PL OZON (нед)'!AG47</f>
        <v/>
      </c>
      <c r="AH14" s="8">
        <f>'PL WB (нед)'!AH47+'PL OZON (нед)'!AH47</f>
        <v/>
      </c>
      <c r="AI14" s="8">
        <f>'PL WB (нед)'!AI47+'PL OZON (нед)'!AI47</f>
        <v/>
      </c>
      <c r="AJ14" s="8">
        <f>'PL WB (нед)'!AJ47+'PL OZON (нед)'!AJ47</f>
        <v/>
      </c>
      <c r="AK14" s="8">
        <f>'PL WB (нед)'!AK47+'PL OZON (нед)'!AK47</f>
        <v/>
      </c>
      <c r="AL14" s="8">
        <f>'PL WB (нед)'!AL47+'PL OZON (нед)'!AL47</f>
        <v/>
      </c>
      <c r="AM14" s="8">
        <f>'PL WB (нед)'!AM47+'PL OZON (нед)'!AM47</f>
        <v/>
      </c>
      <c r="AN14" s="8">
        <f>'PL WB (нед)'!AN47+'PL OZON (нед)'!AN47</f>
        <v/>
      </c>
      <c r="AO14" s="8">
        <f>'PL WB (нед)'!AO47+'PL OZON (нед)'!AO47</f>
        <v/>
      </c>
      <c r="AP14" s="8">
        <f>'PL WB (нед)'!AP47+'PL OZON (нед)'!AP47</f>
        <v/>
      </c>
      <c r="AQ14" s="8">
        <f>'PL WB (нед)'!AQ47+'PL OZON (нед)'!AQ47</f>
        <v/>
      </c>
      <c r="AR14" s="8">
        <f>'PL WB (нед)'!AR47+'PL OZON (нед)'!AR47</f>
        <v/>
      </c>
      <c r="AS14" s="8">
        <f>'PL WB (нед)'!AS47+'PL OZON (нед)'!AS47</f>
        <v/>
      </c>
      <c r="AT14" s="8">
        <f>'PL WB (нед)'!AT47+'PL OZON (нед)'!AT47</f>
        <v/>
      </c>
      <c r="AU14" s="8">
        <f>'PL WB (нед)'!AU47+'PL OZON (нед)'!AU47</f>
        <v/>
      </c>
      <c r="AV14" s="8">
        <f>'PL WB (нед)'!AV47+'PL OZON (нед)'!AV47</f>
        <v/>
      </c>
      <c r="AW14" s="8">
        <f>'PL WB (нед)'!AW47+'PL OZON (нед)'!AW47</f>
        <v/>
      </c>
      <c r="AX14" s="8">
        <f>'PL WB (нед)'!AX47+'PL OZON (нед)'!AX47</f>
        <v/>
      </c>
      <c r="AY14" s="8">
        <f>'PL WB (нед)'!AY47+'PL OZON (нед)'!AY47</f>
        <v/>
      </c>
      <c r="AZ14" s="8">
        <f>'PL WB (нед)'!AZ47+'PL OZON (нед)'!AZ47</f>
        <v/>
      </c>
      <c r="BA14" s="8">
        <f>'PL WB (нед)'!BA47+'PL OZON (нед)'!BA47</f>
        <v/>
      </c>
      <c r="BB14" s="8">
        <f>'PL WB (нед)'!BB47+'PL OZON (нед)'!BB47</f>
        <v/>
      </c>
      <c r="BC14" s="8">
        <f>'PL WB (нед)'!BC47+'PL OZON (нед)'!BC47</f>
        <v/>
      </c>
    </row>
    <row r="15" ht="13.5" customHeight="1">
      <c r="A15" s="11" t="inlineStr">
        <is>
          <t>Аренда офиса</t>
        </is>
      </c>
      <c r="B15" s="41" t="n"/>
      <c r="C15" s="8">
        <f>'PL WB (нед)'!C48+'PL OZON (нед)'!C48</f>
        <v/>
      </c>
      <c r="D15" s="8">
        <f>'PL WB (нед)'!D48+'PL OZON (нед)'!D48</f>
        <v/>
      </c>
      <c r="E15" s="8">
        <f>'PL WB (нед)'!E48+'PL OZON (нед)'!E48</f>
        <v/>
      </c>
      <c r="F15" s="8">
        <f>'PL WB (нед)'!F48+'PL OZON (нед)'!F48</f>
        <v/>
      </c>
      <c r="G15" s="8">
        <f>'PL WB (нед)'!G48+'PL OZON (нед)'!G48</f>
        <v/>
      </c>
      <c r="H15" s="8">
        <f>'PL WB (нед)'!H48+'PL OZON (нед)'!H48</f>
        <v/>
      </c>
      <c r="I15" s="8">
        <f>'PL WB (нед)'!I48+'PL OZON (нед)'!I48</f>
        <v/>
      </c>
      <c r="J15" s="8">
        <f>'PL WB (нед)'!J48+'PL OZON (нед)'!J48</f>
        <v/>
      </c>
      <c r="K15" s="8">
        <f>'PL WB (нед)'!K48+'PL OZON (нед)'!K48</f>
        <v/>
      </c>
      <c r="L15" s="8">
        <f>'PL WB (нед)'!L48+'PL OZON (нед)'!L48</f>
        <v/>
      </c>
      <c r="M15" s="8">
        <f>'PL WB (нед)'!M48+'PL OZON (нед)'!M48</f>
        <v/>
      </c>
      <c r="N15" s="8">
        <f>'PL WB (нед)'!N48+'PL OZON (нед)'!N48</f>
        <v/>
      </c>
      <c r="O15" s="8">
        <f>'PL WB (нед)'!O48+'PL OZON (нед)'!O48</f>
        <v/>
      </c>
      <c r="P15" s="8">
        <f>'PL WB (нед)'!P48+'PL OZON (нед)'!P48</f>
        <v/>
      </c>
      <c r="Q15" s="8">
        <f>'PL WB (нед)'!Q48+'PL OZON (нед)'!Q48</f>
        <v/>
      </c>
      <c r="R15" s="8">
        <f>'PL WB (нед)'!R48+'PL OZON (нед)'!R48</f>
        <v/>
      </c>
      <c r="S15" s="8">
        <f>'PL WB (нед)'!S48+'PL OZON (нед)'!S48</f>
        <v/>
      </c>
      <c r="T15" s="8">
        <f>'PL WB (нед)'!T48+'PL OZON (нед)'!T48</f>
        <v/>
      </c>
      <c r="U15" s="8">
        <f>'PL WB (нед)'!U48+'PL OZON (нед)'!U48</f>
        <v/>
      </c>
      <c r="V15" s="8">
        <f>'PL WB (нед)'!V48+'PL OZON (нед)'!V48</f>
        <v/>
      </c>
      <c r="W15" s="8">
        <f>'PL WB (нед)'!W48+'PL OZON (нед)'!W48</f>
        <v/>
      </c>
      <c r="X15" s="8">
        <f>'PL WB (нед)'!X48+'PL OZON (нед)'!X48</f>
        <v/>
      </c>
      <c r="Y15" s="8">
        <f>'PL WB (нед)'!Y48+'PL OZON (нед)'!Y48</f>
        <v/>
      </c>
      <c r="Z15" s="8">
        <f>'PL WB (нед)'!Z48+'PL OZON (нед)'!Z48</f>
        <v/>
      </c>
      <c r="AA15" s="8">
        <f>'PL WB (нед)'!AA48+'PL OZON (нед)'!AA48</f>
        <v/>
      </c>
      <c r="AB15" s="8">
        <f>'PL WB (нед)'!AB48+'PL OZON (нед)'!AB48</f>
        <v/>
      </c>
      <c r="AC15" s="8">
        <f>'PL WB (нед)'!AC48+'PL OZON (нед)'!AC48</f>
        <v/>
      </c>
      <c r="AD15" s="8">
        <f>'PL WB (нед)'!AD48+'PL OZON (нед)'!AD48</f>
        <v/>
      </c>
      <c r="AE15" s="8">
        <f>'PL WB (нед)'!AE48+'PL OZON (нед)'!AE48</f>
        <v/>
      </c>
      <c r="AF15" s="8">
        <f>'PL WB (нед)'!AF48+'PL OZON (нед)'!AF48</f>
        <v/>
      </c>
      <c r="AG15" s="8">
        <f>'PL WB (нед)'!AG48+'PL OZON (нед)'!AG48</f>
        <v/>
      </c>
      <c r="AH15" s="8">
        <f>'PL WB (нед)'!AH48+'PL OZON (нед)'!AH48</f>
        <v/>
      </c>
      <c r="AI15" s="8">
        <f>'PL WB (нед)'!AI48+'PL OZON (нед)'!AI48</f>
        <v/>
      </c>
      <c r="AJ15" s="8">
        <f>'PL WB (нед)'!AJ48+'PL OZON (нед)'!AJ48</f>
        <v/>
      </c>
      <c r="AK15" s="8">
        <f>'PL WB (нед)'!AK48+'PL OZON (нед)'!AK48</f>
        <v/>
      </c>
      <c r="AL15" s="8">
        <f>'PL WB (нед)'!AL48+'PL OZON (нед)'!AL48</f>
        <v/>
      </c>
      <c r="AM15" s="8">
        <f>'PL WB (нед)'!AM48+'PL OZON (нед)'!AM48</f>
        <v/>
      </c>
      <c r="AN15" s="8">
        <f>'PL WB (нед)'!AN48+'PL OZON (нед)'!AN48</f>
        <v/>
      </c>
      <c r="AO15" s="8">
        <f>'PL WB (нед)'!AO48+'PL OZON (нед)'!AO48</f>
        <v/>
      </c>
      <c r="AP15" s="8">
        <f>'PL WB (нед)'!AP48+'PL OZON (нед)'!AP48</f>
        <v/>
      </c>
      <c r="AQ15" s="8">
        <f>'PL WB (нед)'!AQ48+'PL OZON (нед)'!AQ48</f>
        <v/>
      </c>
      <c r="AR15" s="8">
        <f>'PL WB (нед)'!AR48+'PL OZON (нед)'!AR48</f>
        <v/>
      </c>
      <c r="AS15" s="8">
        <f>'PL WB (нед)'!AS48+'PL OZON (нед)'!AS48</f>
        <v/>
      </c>
      <c r="AT15" s="8">
        <f>'PL WB (нед)'!AT48+'PL OZON (нед)'!AT48</f>
        <v/>
      </c>
      <c r="AU15" s="8">
        <f>'PL WB (нед)'!AU48+'PL OZON (нед)'!AU48</f>
        <v/>
      </c>
      <c r="AV15" s="8">
        <f>'PL WB (нед)'!AV48+'PL OZON (нед)'!AV48</f>
        <v/>
      </c>
      <c r="AW15" s="8">
        <f>'PL WB (нед)'!AW48+'PL OZON (нед)'!AW48</f>
        <v/>
      </c>
      <c r="AX15" s="8">
        <f>'PL WB (нед)'!AX48+'PL OZON (нед)'!AX48</f>
        <v/>
      </c>
      <c r="AY15" s="8">
        <f>'PL WB (нед)'!AY48+'PL OZON (нед)'!AY48</f>
        <v/>
      </c>
      <c r="AZ15" s="8">
        <f>'PL WB (нед)'!AZ48+'PL OZON (нед)'!AZ48</f>
        <v/>
      </c>
      <c r="BA15" s="8">
        <f>'PL WB (нед)'!BA48+'PL OZON (нед)'!BA48</f>
        <v/>
      </c>
      <c r="BB15" s="8">
        <f>'PL WB (нед)'!BB48+'PL OZON (нед)'!BB48</f>
        <v/>
      </c>
      <c r="BC15" s="8">
        <f>'PL WB (нед)'!BC48+'PL OZON (нед)'!BC48</f>
        <v/>
      </c>
    </row>
    <row r="16" ht="13.5" customHeight="1">
      <c r="A16" s="11" t="inlineStr">
        <is>
          <t>Реклама внешняя</t>
        </is>
      </c>
      <c r="B16" s="41" t="n"/>
      <c r="C16" s="8">
        <f>'PL WB (нед)'!C49+'PL OZON (нед)'!C49</f>
        <v/>
      </c>
      <c r="D16" s="8">
        <f>'PL WB (нед)'!D49+'PL OZON (нед)'!D49</f>
        <v/>
      </c>
      <c r="E16" s="8">
        <f>'PL WB (нед)'!E49+'PL OZON (нед)'!E49</f>
        <v/>
      </c>
      <c r="F16" s="8">
        <f>'PL WB (нед)'!F49+'PL OZON (нед)'!F49</f>
        <v/>
      </c>
      <c r="G16" s="8">
        <f>'PL WB (нед)'!G49+'PL OZON (нед)'!G49</f>
        <v/>
      </c>
      <c r="H16" s="8">
        <f>'PL WB (нед)'!H49+'PL OZON (нед)'!H49</f>
        <v/>
      </c>
      <c r="I16" s="8">
        <f>'PL WB (нед)'!I49+'PL OZON (нед)'!I49</f>
        <v/>
      </c>
      <c r="J16" s="8">
        <f>'PL WB (нед)'!J49+'PL OZON (нед)'!J49</f>
        <v/>
      </c>
      <c r="K16" s="8">
        <f>'PL WB (нед)'!K49+'PL OZON (нед)'!K49</f>
        <v/>
      </c>
      <c r="L16" s="8">
        <f>'PL WB (нед)'!L49+'PL OZON (нед)'!L49</f>
        <v/>
      </c>
      <c r="M16" s="8">
        <f>'PL WB (нед)'!M49+'PL OZON (нед)'!M49</f>
        <v/>
      </c>
      <c r="N16" s="8">
        <f>'PL WB (нед)'!N49+'PL OZON (нед)'!N49</f>
        <v/>
      </c>
      <c r="O16" s="8">
        <f>'PL WB (нед)'!O49+'PL OZON (нед)'!O49</f>
        <v/>
      </c>
      <c r="P16" s="8">
        <f>'PL WB (нед)'!P49+'PL OZON (нед)'!P49</f>
        <v/>
      </c>
      <c r="Q16" s="8">
        <f>'PL WB (нед)'!Q49+'PL OZON (нед)'!Q49</f>
        <v/>
      </c>
      <c r="R16" s="8">
        <f>'PL WB (нед)'!R49+'PL OZON (нед)'!R49</f>
        <v/>
      </c>
      <c r="S16" s="8">
        <f>'PL WB (нед)'!S49+'PL OZON (нед)'!S49</f>
        <v/>
      </c>
      <c r="T16" s="8">
        <f>'PL WB (нед)'!T49+'PL OZON (нед)'!T49</f>
        <v/>
      </c>
      <c r="U16" s="8">
        <f>'PL WB (нед)'!U49+'PL OZON (нед)'!U49</f>
        <v/>
      </c>
      <c r="V16" s="8">
        <f>'PL WB (нед)'!V49+'PL OZON (нед)'!V49</f>
        <v/>
      </c>
      <c r="W16" s="8">
        <f>'PL WB (нед)'!W49+'PL OZON (нед)'!W49</f>
        <v/>
      </c>
      <c r="X16" s="8">
        <f>'PL WB (нед)'!X49+'PL OZON (нед)'!X49</f>
        <v/>
      </c>
      <c r="Y16" s="8">
        <f>'PL WB (нед)'!Y49+'PL OZON (нед)'!Y49</f>
        <v/>
      </c>
      <c r="Z16" s="8">
        <f>'PL WB (нед)'!Z49+'PL OZON (нед)'!Z49</f>
        <v/>
      </c>
      <c r="AA16" s="8">
        <f>'PL WB (нед)'!AA49+'PL OZON (нед)'!AA49</f>
        <v/>
      </c>
      <c r="AB16" s="8">
        <f>'PL WB (нед)'!AB49+'PL OZON (нед)'!AB49</f>
        <v/>
      </c>
      <c r="AC16" s="8">
        <f>'PL WB (нед)'!AC49+'PL OZON (нед)'!AC49</f>
        <v/>
      </c>
      <c r="AD16" s="8">
        <f>'PL WB (нед)'!AD49+'PL OZON (нед)'!AD49</f>
        <v/>
      </c>
      <c r="AE16" s="8">
        <f>'PL WB (нед)'!AE49+'PL OZON (нед)'!AE49</f>
        <v/>
      </c>
      <c r="AF16" s="8">
        <f>'PL WB (нед)'!AF49+'PL OZON (нед)'!AF49</f>
        <v/>
      </c>
      <c r="AG16" s="8">
        <f>'PL WB (нед)'!AG49+'PL OZON (нед)'!AG49</f>
        <v/>
      </c>
      <c r="AH16" s="8">
        <f>'PL WB (нед)'!AH49+'PL OZON (нед)'!AH49</f>
        <v/>
      </c>
      <c r="AI16" s="8">
        <f>'PL WB (нед)'!AI49+'PL OZON (нед)'!AI49</f>
        <v/>
      </c>
      <c r="AJ16" s="8">
        <f>'PL WB (нед)'!AJ49+'PL OZON (нед)'!AJ49</f>
        <v/>
      </c>
      <c r="AK16" s="8">
        <f>'PL WB (нед)'!AK49+'PL OZON (нед)'!AK49</f>
        <v/>
      </c>
      <c r="AL16" s="8">
        <f>'PL WB (нед)'!AL49+'PL OZON (нед)'!AL49</f>
        <v/>
      </c>
      <c r="AM16" s="8">
        <f>'PL WB (нед)'!AM49+'PL OZON (нед)'!AM49</f>
        <v/>
      </c>
      <c r="AN16" s="8">
        <f>'PL WB (нед)'!AN49+'PL OZON (нед)'!AN49</f>
        <v/>
      </c>
      <c r="AO16" s="8">
        <f>'PL WB (нед)'!AO49+'PL OZON (нед)'!AO49</f>
        <v/>
      </c>
      <c r="AP16" s="8">
        <f>'PL WB (нед)'!AP49+'PL OZON (нед)'!AP49</f>
        <v/>
      </c>
      <c r="AQ16" s="8">
        <f>'PL WB (нед)'!AQ49+'PL OZON (нед)'!AQ49</f>
        <v/>
      </c>
      <c r="AR16" s="8">
        <f>'PL WB (нед)'!AR49+'PL OZON (нед)'!AR49</f>
        <v/>
      </c>
      <c r="AS16" s="8">
        <f>'PL WB (нед)'!AS49+'PL OZON (нед)'!AS49</f>
        <v/>
      </c>
      <c r="AT16" s="8">
        <f>'PL WB (нед)'!AT49+'PL OZON (нед)'!AT49</f>
        <v/>
      </c>
      <c r="AU16" s="8">
        <f>'PL WB (нед)'!AU49+'PL OZON (нед)'!AU49</f>
        <v/>
      </c>
      <c r="AV16" s="8">
        <f>'PL WB (нед)'!AV49+'PL OZON (нед)'!AV49</f>
        <v/>
      </c>
      <c r="AW16" s="8">
        <f>'PL WB (нед)'!AW49+'PL OZON (нед)'!AW49</f>
        <v/>
      </c>
      <c r="AX16" s="8">
        <f>'PL WB (нед)'!AX49+'PL OZON (нед)'!AX49</f>
        <v/>
      </c>
      <c r="AY16" s="8">
        <f>'PL WB (нед)'!AY49+'PL OZON (нед)'!AY49</f>
        <v/>
      </c>
      <c r="AZ16" s="8">
        <f>'PL WB (нед)'!AZ49+'PL OZON (нед)'!AZ49</f>
        <v/>
      </c>
      <c r="BA16" s="8">
        <f>'PL WB (нед)'!BA49+'PL OZON (нед)'!BA49</f>
        <v/>
      </c>
      <c r="BB16" s="8">
        <f>'PL WB (нед)'!BB49+'PL OZON (нед)'!BB49</f>
        <v/>
      </c>
      <c r="BC16" s="8">
        <f>'PL WB (нед)'!BC49+'PL OZON (нед)'!BC49</f>
        <v/>
      </c>
    </row>
    <row r="17" ht="13.5" customHeight="1">
      <c r="A17" s="11" t="inlineStr">
        <is>
          <t>Продвижение</t>
        </is>
      </c>
      <c r="B17" s="41" t="n"/>
      <c r="C17" s="8">
        <f>'PL WB (нед)'!C41+'PL OZON (нед)'!C41</f>
        <v/>
      </c>
      <c r="D17" s="8">
        <f>'PL WB (нед)'!D41+'PL OZON (нед)'!D41</f>
        <v/>
      </c>
      <c r="E17" s="8">
        <f>'PL WB (нед)'!E41+'PL OZON (нед)'!E41</f>
        <v/>
      </c>
      <c r="F17" s="8">
        <f>'PL WB (нед)'!F41+'PL OZON (нед)'!F41</f>
        <v/>
      </c>
      <c r="G17" s="8">
        <f>'PL WB (нед)'!G41+'PL OZON (нед)'!G41</f>
        <v/>
      </c>
      <c r="H17" s="8">
        <f>'PL WB (нед)'!H41+'PL OZON (нед)'!H41</f>
        <v/>
      </c>
      <c r="I17" s="8">
        <f>'PL WB (нед)'!I41+'PL OZON (нед)'!I41</f>
        <v/>
      </c>
      <c r="J17" s="8">
        <f>'PL WB (нед)'!J41+'PL OZON (нед)'!J41</f>
        <v/>
      </c>
      <c r="K17" s="8">
        <f>'PL WB (нед)'!K41+'PL OZON (нед)'!K41</f>
        <v/>
      </c>
      <c r="L17" s="8">
        <f>'PL WB (нед)'!L41+'PL OZON (нед)'!L41</f>
        <v/>
      </c>
      <c r="M17" s="8">
        <f>'PL WB (нед)'!M41+'PL OZON (нед)'!M41</f>
        <v/>
      </c>
      <c r="N17" s="8">
        <f>'PL WB (нед)'!N41+'PL OZON (нед)'!N41</f>
        <v/>
      </c>
      <c r="O17" s="8">
        <f>'PL WB (нед)'!O41+'PL OZON (нед)'!O41</f>
        <v/>
      </c>
      <c r="P17" s="8">
        <f>'PL WB (нед)'!P41+'PL OZON (нед)'!P41</f>
        <v/>
      </c>
      <c r="Q17" s="8">
        <f>'PL WB (нед)'!Q41+'PL OZON (нед)'!Q41</f>
        <v/>
      </c>
      <c r="R17" s="8">
        <f>'PL WB (нед)'!R41+'PL OZON (нед)'!R41</f>
        <v/>
      </c>
      <c r="S17" s="8">
        <f>'PL WB (нед)'!S41+'PL OZON (нед)'!S41</f>
        <v/>
      </c>
      <c r="T17" s="8">
        <f>'PL WB (нед)'!T41+'PL OZON (нед)'!T41</f>
        <v/>
      </c>
      <c r="U17" s="8">
        <f>'PL WB (нед)'!U41+'PL OZON (нед)'!U41</f>
        <v/>
      </c>
      <c r="V17" s="8">
        <f>'PL WB (нед)'!V41+'PL OZON (нед)'!V41</f>
        <v/>
      </c>
      <c r="W17" s="8">
        <f>'PL WB (нед)'!W41+'PL OZON (нед)'!W41</f>
        <v/>
      </c>
      <c r="X17" s="8">
        <f>'PL WB (нед)'!X41+'PL OZON (нед)'!X41</f>
        <v/>
      </c>
      <c r="Y17" s="8">
        <f>'PL WB (нед)'!Y41+'PL OZON (нед)'!Y41</f>
        <v/>
      </c>
      <c r="Z17" s="8">
        <f>'PL WB (нед)'!Z41+'PL OZON (нед)'!Z41</f>
        <v/>
      </c>
      <c r="AA17" s="8">
        <f>'PL WB (нед)'!AA41+'PL OZON (нед)'!AA41</f>
        <v/>
      </c>
      <c r="AB17" s="8">
        <f>'PL WB (нед)'!AB41+'PL OZON (нед)'!AB41</f>
        <v/>
      </c>
      <c r="AC17" s="8">
        <f>'PL WB (нед)'!AC41+'PL OZON (нед)'!AC41</f>
        <v/>
      </c>
      <c r="AD17" s="8">
        <f>'PL WB (нед)'!AD41+'PL OZON (нед)'!AD41</f>
        <v/>
      </c>
      <c r="AE17" s="8">
        <f>'PL WB (нед)'!AE41+'PL OZON (нед)'!AE41</f>
        <v/>
      </c>
      <c r="AF17" s="8">
        <f>'PL WB (нед)'!AF41+'PL OZON (нед)'!AF41</f>
        <v/>
      </c>
      <c r="AG17" s="8">
        <f>'PL WB (нед)'!AG41+'PL OZON (нед)'!AG41</f>
        <v/>
      </c>
      <c r="AH17" s="8">
        <f>'PL WB (нед)'!AH41+'PL OZON (нед)'!AH41</f>
        <v/>
      </c>
      <c r="AI17" s="8">
        <f>'PL WB (нед)'!AI41+'PL OZON (нед)'!AI41</f>
        <v/>
      </c>
      <c r="AJ17" s="8">
        <f>'PL WB (нед)'!AJ41+'PL OZON (нед)'!AJ41</f>
        <v/>
      </c>
      <c r="AK17" s="8">
        <f>'PL WB (нед)'!AK41+'PL OZON (нед)'!AK41</f>
        <v/>
      </c>
      <c r="AL17" s="8">
        <f>'PL WB (нед)'!AL41+'PL OZON (нед)'!AL41</f>
        <v/>
      </c>
      <c r="AM17" s="8">
        <f>'PL WB (нед)'!AM41+'PL OZON (нед)'!AM41</f>
        <v/>
      </c>
      <c r="AN17" s="8">
        <f>'PL WB (нед)'!AN41+'PL OZON (нед)'!AN41</f>
        <v/>
      </c>
      <c r="AO17" s="8">
        <f>'PL WB (нед)'!AO41+'PL OZON (нед)'!AO41</f>
        <v/>
      </c>
      <c r="AP17" s="8">
        <f>'PL WB (нед)'!AP41+'PL OZON (нед)'!AP41</f>
        <v/>
      </c>
      <c r="AQ17" s="8">
        <f>'PL WB (нед)'!AQ41+'PL OZON (нед)'!AQ41</f>
        <v/>
      </c>
      <c r="AR17" s="8">
        <f>'PL WB (нед)'!AR41+'PL OZON (нед)'!AR41</f>
        <v/>
      </c>
      <c r="AS17" s="8">
        <f>'PL WB (нед)'!AS41+'PL OZON (нед)'!AS41</f>
        <v/>
      </c>
      <c r="AT17" s="8">
        <f>'PL WB (нед)'!AT41+'PL OZON (нед)'!AT41</f>
        <v/>
      </c>
      <c r="AU17" s="8">
        <f>'PL WB (нед)'!AU41+'PL OZON (нед)'!AU41</f>
        <v/>
      </c>
      <c r="AV17" s="8">
        <f>'PL WB (нед)'!AV41+'PL OZON (нед)'!AV41</f>
        <v/>
      </c>
      <c r="AW17" s="8">
        <f>'PL WB (нед)'!AW41+'PL OZON (нед)'!AW41</f>
        <v/>
      </c>
      <c r="AX17" s="8">
        <f>'PL WB (нед)'!AX41+'PL OZON (нед)'!AX41</f>
        <v/>
      </c>
      <c r="AY17" s="8">
        <f>'PL WB (нед)'!AY41+'PL OZON (нед)'!AY41</f>
        <v/>
      </c>
      <c r="AZ17" s="8">
        <f>'PL WB (нед)'!AZ41+'PL OZON (нед)'!AZ41</f>
        <v/>
      </c>
      <c r="BA17" s="8">
        <f>'PL WB (нед)'!BA41+'PL OZON (нед)'!BA41</f>
        <v/>
      </c>
      <c r="BB17" s="8">
        <f>'PL WB (нед)'!BB41+'PL OZON (нед)'!BB41</f>
        <v/>
      </c>
      <c r="BC17" s="8">
        <f>'PL WB (нед)'!BC41+'PL OZON (нед)'!BC41</f>
        <v/>
      </c>
    </row>
    <row r="18" ht="13.5" customHeight="1">
      <c r="A18" s="11" t="inlineStr">
        <is>
          <t>Подписка Аналитика</t>
        </is>
      </c>
      <c r="B18" s="41" t="n"/>
      <c r="C18" s="8">
        <f>'PL WB (нед)'!C51+'PL OZON (нед)'!C51</f>
        <v/>
      </c>
      <c r="D18" s="8">
        <f>'PL WB (нед)'!D51+'PL OZON (нед)'!D51</f>
        <v/>
      </c>
      <c r="E18" s="8">
        <f>'PL WB (нед)'!E51+'PL OZON (нед)'!E51</f>
        <v/>
      </c>
      <c r="F18" s="8">
        <f>'PL WB (нед)'!F51+'PL OZON (нед)'!F51</f>
        <v/>
      </c>
      <c r="G18" s="8">
        <f>'PL WB (нед)'!G51+'PL OZON (нед)'!G51</f>
        <v/>
      </c>
      <c r="H18" s="8">
        <f>'PL WB (нед)'!H51+'PL OZON (нед)'!H51</f>
        <v/>
      </c>
      <c r="I18" s="8">
        <f>'PL WB (нед)'!I50+'PL OZON (нед)'!I50</f>
        <v/>
      </c>
      <c r="J18" s="8">
        <f>'PL WB (нед)'!J50+'PL OZON (нед)'!J50</f>
        <v/>
      </c>
      <c r="K18" s="8">
        <f>'PL WB (нед)'!K50+'PL OZON (нед)'!K50</f>
        <v/>
      </c>
      <c r="L18" s="8">
        <f>'PL WB (нед)'!L50+'PL OZON (нед)'!L50</f>
        <v/>
      </c>
      <c r="M18" s="8">
        <f>'PL WB (нед)'!M50+'PL OZON (нед)'!M50</f>
        <v/>
      </c>
      <c r="N18" s="8">
        <f>'PL WB (нед)'!N50+'PL OZON (нед)'!N50</f>
        <v/>
      </c>
      <c r="O18" s="8">
        <f>'PL WB (нед)'!O50+'PL OZON (нед)'!O50</f>
        <v/>
      </c>
      <c r="P18" s="8">
        <f>'PL WB (нед)'!P50+'PL OZON (нед)'!P50</f>
        <v/>
      </c>
      <c r="Q18" s="8">
        <f>'PL WB (нед)'!Q50+'PL OZON (нед)'!Q50</f>
        <v/>
      </c>
      <c r="R18" s="8">
        <f>'PL WB (нед)'!R50+'PL OZON (нед)'!R50</f>
        <v/>
      </c>
      <c r="S18" s="8">
        <f>'PL WB (нед)'!S50+'PL OZON (нед)'!S50</f>
        <v/>
      </c>
      <c r="T18" s="8">
        <f>'PL WB (нед)'!T50+'PL OZON (нед)'!T50</f>
        <v/>
      </c>
      <c r="U18" s="8">
        <f>'PL WB (нед)'!U50+'PL OZON (нед)'!U50</f>
        <v/>
      </c>
      <c r="V18" s="8">
        <f>'PL WB (нед)'!V50+'PL OZON (нед)'!V50</f>
        <v/>
      </c>
      <c r="W18" s="8">
        <f>'PL WB (нед)'!W50+'PL OZON (нед)'!W50</f>
        <v/>
      </c>
      <c r="X18" s="8">
        <f>'PL WB (нед)'!X50+'PL OZON (нед)'!X50</f>
        <v/>
      </c>
      <c r="Y18" s="8">
        <f>'PL WB (нед)'!Y50+'PL OZON (нед)'!Y50</f>
        <v/>
      </c>
      <c r="Z18" s="8">
        <f>'PL WB (нед)'!Z50+'PL OZON (нед)'!Z50</f>
        <v/>
      </c>
      <c r="AA18" s="8">
        <f>'PL WB (нед)'!AA50+'PL OZON (нед)'!AA50</f>
        <v/>
      </c>
      <c r="AB18" s="8">
        <f>'PL WB (нед)'!AB50+'PL OZON (нед)'!AB50</f>
        <v/>
      </c>
      <c r="AC18" s="8">
        <f>'PL WB (нед)'!AC50+'PL OZON (нед)'!AC50</f>
        <v/>
      </c>
      <c r="AD18" s="8">
        <f>'PL WB (нед)'!AD50+'PL OZON (нед)'!AD50</f>
        <v/>
      </c>
      <c r="AE18" s="8">
        <f>'PL WB (нед)'!AE50+'PL OZON (нед)'!AE50</f>
        <v/>
      </c>
      <c r="AF18" s="8">
        <f>'PL WB (нед)'!AF50+'PL OZON (нед)'!AF50</f>
        <v/>
      </c>
      <c r="AG18" s="8">
        <f>'PL WB (нед)'!AG50+'PL OZON (нед)'!AG50</f>
        <v/>
      </c>
      <c r="AH18" s="8">
        <f>'PL WB (нед)'!AH50+'PL OZON (нед)'!AH50</f>
        <v/>
      </c>
      <c r="AI18" s="8">
        <f>'PL WB (нед)'!AI50+'PL OZON (нед)'!AI50</f>
        <v/>
      </c>
      <c r="AJ18" s="8">
        <f>'PL WB (нед)'!AJ50+'PL OZON (нед)'!AJ50</f>
        <v/>
      </c>
      <c r="AK18" s="8">
        <f>'PL WB (нед)'!AK50+'PL OZON (нед)'!AK50</f>
        <v/>
      </c>
      <c r="AL18" s="8">
        <f>'PL WB (нед)'!AL50+'PL OZON (нед)'!AL50</f>
        <v/>
      </c>
      <c r="AM18" s="8">
        <f>'PL WB (нед)'!AM50+'PL OZON (нед)'!AM50</f>
        <v/>
      </c>
      <c r="AN18" s="8">
        <f>'PL WB (нед)'!AN50+'PL OZON (нед)'!AN50</f>
        <v/>
      </c>
      <c r="AO18" s="8">
        <f>'PL WB (нед)'!AO50+'PL OZON (нед)'!AO50</f>
        <v/>
      </c>
      <c r="AP18" s="8">
        <f>'PL WB (нед)'!AP50+'PL OZON (нед)'!AP50</f>
        <v/>
      </c>
      <c r="AQ18" s="8">
        <f>'PL WB (нед)'!AQ50+'PL OZON (нед)'!AQ50</f>
        <v/>
      </c>
      <c r="AR18" s="8">
        <f>'PL WB (нед)'!AR50+'PL OZON (нед)'!AR50</f>
        <v/>
      </c>
      <c r="AS18" s="8">
        <f>'PL WB (нед)'!AS50+'PL OZON (нед)'!AS50</f>
        <v/>
      </c>
      <c r="AT18" s="8">
        <f>'PL WB (нед)'!AT50+'PL OZON (нед)'!AT50</f>
        <v/>
      </c>
      <c r="AU18" s="8">
        <f>'PL WB (нед)'!AU50+'PL OZON (нед)'!AU50</f>
        <v/>
      </c>
      <c r="AV18" s="8">
        <f>'PL WB (нед)'!AV50+'PL OZON (нед)'!AV50</f>
        <v/>
      </c>
      <c r="AW18" s="8">
        <f>'PL WB (нед)'!AW50+'PL OZON (нед)'!AW50</f>
        <v/>
      </c>
      <c r="AX18" s="8">
        <f>'PL WB (нед)'!AX50+'PL OZON (нед)'!AX50</f>
        <v/>
      </c>
      <c r="AY18" s="8">
        <f>'PL WB (нед)'!AY50+'PL OZON (нед)'!AY50</f>
        <v/>
      </c>
      <c r="AZ18" s="8">
        <f>'PL WB (нед)'!AZ50+'PL OZON (нед)'!AZ50</f>
        <v/>
      </c>
      <c r="BA18" s="8">
        <f>'PL WB (нед)'!BA50+'PL OZON (нед)'!BA50</f>
        <v/>
      </c>
      <c r="BB18" s="8">
        <f>'PL WB (нед)'!BB50+'PL OZON (нед)'!BB50</f>
        <v/>
      </c>
      <c r="BC18" s="8">
        <f>'PL WB (нед)'!BC50+'PL OZON (нед)'!BC50</f>
        <v/>
      </c>
    </row>
    <row r="19" ht="13.5" customHeight="1">
      <c r="A19" s="11" t="inlineStr">
        <is>
          <t>Прочее</t>
        </is>
      </c>
      <c r="B19" s="41" t="n"/>
      <c r="C19" s="8">
        <f>'PL WB (нед)'!C51+'PL OZON (нед)'!C51</f>
        <v/>
      </c>
      <c r="D19" s="8">
        <f>'PL WB (нед)'!D51+'PL OZON (нед)'!D51</f>
        <v/>
      </c>
      <c r="E19" s="8">
        <f>'PL WB (нед)'!E51+'PL OZON (нед)'!E51</f>
        <v/>
      </c>
      <c r="F19" s="8">
        <f>'PL WB (нед)'!F51+'PL OZON (нед)'!F51</f>
        <v/>
      </c>
      <c r="G19" s="8">
        <f>'PL WB (нед)'!G51+'PL OZON (нед)'!G51</f>
        <v/>
      </c>
      <c r="H19" s="8">
        <f>'PL WB (нед)'!H51+'PL OZON (нед)'!H51</f>
        <v/>
      </c>
      <c r="I19" s="8">
        <f>'PL WB (нед)'!I51+'PL OZON (нед)'!I51</f>
        <v/>
      </c>
      <c r="J19" s="8">
        <f>'PL WB (нед)'!J51+'PL OZON (нед)'!J51</f>
        <v/>
      </c>
      <c r="K19" s="8">
        <f>'PL WB (нед)'!K51+'PL OZON (нед)'!K51</f>
        <v/>
      </c>
      <c r="L19" s="8">
        <f>'PL WB (нед)'!L51+'PL OZON (нед)'!L51</f>
        <v/>
      </c>
      <c r="M19" s="8">
        <f>'PL WB (нед)'!M51+'PL OZON (нед)'!M51</f>
        <v/>
      </c>
      <c r="N19" s="8">
        <f>'PL WB (нед)'!N51+'PL OZON (нед)'!N51</f>
        <v/>
      </c>
      <c r="O19" s="8">
        <f>'PL WB (нед)'!O51+'PL OZON (нед)'!O51</f>
        <v/>
      </c>
      <c r="P19" s="8">
        <f>'PL WB (нед)'!P51+'PL OZON (нед)'!P51</f>
        <v/>
      </c>
      <c r="Q19" s="8">
        <f>'PL WB (нед)'!Q51+'PL OZON (нед)'!Q51</f>
        <v/>
      </c>
      <c r="R19" s="8">
        <f>'PL WB (нед)'!R51+'PL OZON (нед)'!R51</f>
        <v/>
      </c>
      <c r="S19" s="8">
        <f>'PL WB (нед)'!S51+'PL OZON (нед)'!S51</f>
        <v/>
      </c>
      <c r="T19" s="8">
        <f>'PL WB (нед)'!T51+'PL OZON (нед)'!T51</f>
        <v/>
      </c>
      <c r="U19" s="8">
        <f>'PL WB (нед)'!U51+'PL OZON (нед)'!U51</f>
        <v/>
      </c>
      <c r="V19" s="8">
        <f>'PL WB (нед)'!V51+'PL OZON (нед)'!V51</f>
        <v/>
      </c>
      <c r="W19" s="8">
        <f>'PL WB (нед)'!W51+'PL OZON (нед)'!W51</f>
        <v/>
      </c>
      <c r="X19" s="8">
        <f>'PL WB (нед)'!X51+'PL OZON (нед)'!X51</f>
        <v/>
      </c>
      <c r="Y19" s="8">
        <f>'PL WB (нед)'!Y51+'PL OZON (нед)'!Y51</f>
        <v/>
      </c>
      <c r="Z19" s="8">
        <f>'PL WB (нед)'!Z51+'PL OZON (нед)'!Z51</f>
        <v/>
      </c>
      <c r="AA19" s="8">
        <f>'PL WB (нед)'!AA51+'PL OZON (нед)'!AA51</f>
        <v/>
      </c>
      <c r="AB19" s="8">
        <f>'PL WB (нед)'!AB51+'PL OZON (нед)'!AB51</f>
        <v/>
      </c>
      <c r="AC19" s="8">
        <f>'PL WB (нед)'!AC51+'PL OZON (нед)'!AC51</f>
        <v/>
      </c>
      <c r="AD19" s="8">
        <f>'PL WB (нед)'!AD51+'PL OZON (нед)'!AD51</f>
        <v/>
      </c>
      <c r="AE19" s="8">
        <f>'PL WB (нед)'!AE51+'PL OZON (нед)'!AE51</f>
        <v/>
      </c>
      <c r="AF19" s="8">
        <f>'PL WB (нед)'!AF51+'PL OZON (нед)'!AF51</f>
        <v/>
      </c>
      <c r="AG19" s="8">
        <f>'PL WB (нед)'!AG51+'PL OZON (нед)'!AG51</f>
        <v/>
      </c>
      <c r="AH19" s="8">
        <f>'PL WB (нед)'!AH51+'PL OZON (нед)'!AH51</f>
        <v/>
      </c>
      <c r="AI19" s="8">
        <f>'PL WB (нед)'!AI51+'PL OZON (нед)'!AI51</f>
        <v/>
      </c>
      <c r="AJ19" s="8">
        <f>'PL WB (нед)'!AJ51+'PL OZON (нед)'!AJ51</f>
        <v/>
      </c>
      <c r="AK19" s="8">
        <f>'PL WB (нед)'!AK51+'PL OZON (нед)'!AK51</f>
        <v/>
      </c>
      <c r="AL19" s="8">
        <f>'PL WB (нед)'!AL51+'PL OZON (нед)'!AL51</f>
        <v/>
      </c>
      <c r="AM19" s="8">
        <f>'PL WB (нед)'!AM51+'PL OZON (нед)'!AM51</f>
        <v/>
      </c>
      <c r="AN19" s="8">
        <f>'PL WB (нед)'!AN51+'PL OZON (нед)'!AN51</f>
        <v/>
      </c>
      <c r="AO19" s="8">
        <f>'PL WB (нед)'!AO51+'PL OZON (нед)'!AO51</f>
        <v/>
      </c>
      <c r="AP19" s="8">
        <f>'PL WB (нед)'!AP51+'PL OZON (нед)'!AP51</f>
        <v/>
      </c>
      <c r="AQ19" s="8">
        <f>'PL WB (нед)'!AQ51+'PL OZON (нед)'!AQ51</f>
        <v/>
      </c>
      <c r="AR19" s="8">
        <f>'PL WB (нед)'!AR51+'PL OZON (нед)'!AR51</f>
        <v/>
      </c>
      <c r="AS19" s="8">
        <f>'PL WB (нед)'!AS51+'PL OZON (нед)'!AS51</f>
        <v/>
      </c>
      <c r="AT19" s="8">
        <f>'PL WB (нед)'!AT51+'PL OZON (нед)'!AT51</f>
        <v/>
      </c>
      <c r="AU19" s="8">
        <f>'PL WB (нед)'!AU51+'PL OZON (нед)'!AU51</f>
        <v/>
      </c>
      <c r="AV19" s="8">
        <f>'PL WB (нед)'!AV51+'PL OZON (нед)'!AV51</f>
        <v/>
      </c>
      <c r="AW19" s="8">
        <f>'PL WB (нед)'!AW51+'PL OZON (нед)'!AW51</f>
        <v/>
      </c>
      <c r="AX19" s="8">
        <f>'PL WB (нед)'!AX51+'PL OZON (нед)'!AX51</f>
        <v/>
      </c>
      <c r="AY19" s="8">
        <f>'PL WB (нед)'!AY51+'PL OZON (нед)'!AY51</f>
        <v/>
      </c>
      <c r="AZ19" s="8">
        <f>'PL WB (нед)'!AZ51+'PL OZON (нед)'!AZ51</f>
        <v/>
      </c>
      <c r="BA19" s="8">
        <f>'PL WB (нед)'!BA51+'PL OZON (нед)'!BA51</f>
        <v/>
      </c>
      <c r="BB19" s="8">
        <f>'PL WB (нед)'!BB51+'PL OZON (нед)'!BB51</f>
        <v/>
      </c>
      <c r="BC19" s="8">
        <f>'PL WB (нед)'!BC51+'PL OZON (нед)'!BC51</f>
        <v/>
      </c>
    </row>
    <row r="20" ht="13.5" customHeight="1">
      <c r="A20" s="42" t="n"/>
      <c r="B20" s="10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</row>
    <row r="21" ht="13.5" customHeight="1">
      <c r="A21" s="71" t="inlineStr">
        <is>
          <t>Налоги уплаченные</t>
        </is>
      </c>
      <c r="B21" s="72" t="n"/>
      <c r="C21" s="70">
        <f>'PL WB (нед)'!C55+'PL OZON (нед)'!C55</f>
        <v/>
      </c>
      <c r="D21" s="70">
        <f>'PL WB (нед)'!D55+'PL OZON (нед)'!D55</f>
        <v/>
      </c>
      <c r="E21" s="70">
        <f>'PL WB (нед)'!E55+'PL OZON (нед)'!E55</f>
        <v/>
      </c>
      <c r="F21" s="70">
        <f>'PL WB (нед)'!F55+'PL OZON (нед)'!F55</f>
        <v/>
      </c>
      <c r="G21" s="70">
        <f>'PL WB (нед)'!G55+'PL OZON (нед)'!G55</f>
        <v/>
      </c>
      <c r="H21" s="70">
        <f>'PL WB (нед)'!H55+'PL OZON (нед)'!H55</f>
        <v/>
      </c>
      <c r="I21" s="70">
        <f>'PL WB (нед)'!I55+'PL OZON (нед)'!I55</f>
        <v/>
      </c>
      <c r="J21" s="70">
        <f>'PL WB (нед)'!J55+'PL OZON (нед)'!J55</f>
        <v/>
      </c>
      <c r="K21" s="70">
        <f>'PL WB (нед)'!K55+'PL OZON (нед)'!K55</f>
        <v/>
      </c>
      <c r="L21" s="70">
        <f>'PL WB (нед)'!L55+'PL OZON (нед)'!L55</f>
        <v/>
      </c>
      <c r="M21" s="70">
        <f>'PL WB (нед)'!M55+'PL OZON (нед)'!M55</f>
        <v/>
      </c>
      <c r="N21" s="70">
        <f>'PL WB (нед)'!N55+'PL OZON (нед)'!N55</f>
        <v/>
      </c>
      <c r="O21" s="70">
        <f>'PL WB (нед)'!O55+'PL OZON (нед)'!O55</f>
        <v/>
      </c>
      <c r="P21" s="70">
        <f>'PL WB (нед)'!P55+'PL OZON (нед)'!P55</f>
        <v/>
      </c>
      <c r="Q21" s="70">
        <f>'PL WB (нед)'!Q55+'PL OZON (нед)'!Q55</f>
        <v/>
      </c>
      <c r="R21" s="70">
        <f>'PL WB (нед)'!R55+'PL OZON (нед)'!R55</f>
        <v/>
      </c>
      <c r="S21" s="70">
        <f>'PL WB (нед)'!S55+'PL OZON (нед)'!S55</f>
        <v/>
      </c>
      <c r="T21" s="70">
        <f>'PL WB (нед)'!T55+'PL OZON (нед)'!T55</f>
        <v/>
      </c>
      <c r="U21" s="70">
        <f>'PL WB (нед)'!U55+'PL OZON (нед)'!U55</f>
        <v/>
      </c>
      <c r="V21" s="70">
        <f>'PL WB (нед)'!V55+'PL OZON (нед)'!V55</f>
        <v/>
      </c>
      <c r="W21" s="70">
        <f>'PL WB (нед)'!W55+'PL OZON (нед)'!W55</f>
        <v/>
      </c>
      <c r="X21" s="70">
        <f>'PL WB (нед)'!X55+'PL OZON (нед)'!X55</f>
        <v/>
      </c>
      <c r="Y21" s="70">
        <f>'PL WB (нед)'!Y55+'PL OZON (нед)'!Y55</f>
        <v/>
      </c>
      <c r="Z21" s="70">
        <f>'PL WB (нед)'!Z55+'PL OZON (нед)'!Z55</f>
        <v/>
      </c>
      <c r="AA21" s="70">
        <f>'PL WB (нед)'!AA55+'PL OZON (нед)'!AA55</f>
        <v/>
      </c>
      <c r="AB21" s="70">
        <f>'PL WB (нед)'!AB55+'PL OZON (нед)'!AB55</f>
        <v/>
      </c>
      <c r="AC21" s="70">
        <f>'PL WB (нед)'!AC55+'PL OZON (нед)'!AC55</f>
        <v/>
      </c>
      <c r="AD21" s="70">
        <f>'PL WB (нед)'!AD55+'PL OZON (нед)'!AD55</f>
        <v/>
      </c>
      <c r="AE21" s="70">
        <f>'PL WB (нед)'!AE55+'PL OZON (нед)'!AE55</f>
        <v/>
      </c>
      <c r="AF21" s="70">
        <f>'PL WB (нед)'!AF55+'PL OZON (нед)'!AF55</f>
        <v/>
      </c>
      <c r="AG21" s="70">
        <f>'PL WB (нед)'!AG55+'PL OZON (нед)'!AG55</f>
        <v/>
      </c>
      <c r="AH21" s="70">
        <f>'PL WB (нед)'!AH55+'PL OZON (нед)'!AH55</f>
        <v/>
      </c>
      <c r="AI21" s="70">
        <f>'PL WB (нед)'!AI55+'PL OZON (нед)'!AI55</f>
        <v/>
      </c>
      <c r="AJ21" s="70">
        <f>'PL WB (нед)'!AJ55+'PL OZON (нед)'!AJ55</f>
        <v/>
      </c>
      <c r="AK21" s="70">
        <f>'PL WB (нед)'!AK55+'PL OZON (нед)'!AK55</f>
        <v/>
      </c>
      <c r="AL21" s="70">
        <f>'PL WB (нед)'!AL55+'PL OZON (нед)'!AL55</f>
        <v/>
      </c>
      <c r="AM21" s="70">
        <f>'PL WB (нед)'!AM55+'PL OZON (нед)'!AM55</f>
        <v/>
      </c>
      <c r="AN21" s="70">
        <f>'PL WB (нед)'!AN55+'PL OZON (нед)'!AN55</f>
        <v/>
      </c>
      <c r="AO21" s="70">
        <f>'PL WB (нед)'!AO55+'PL OZON (нед)'!AO55</f>
        <v/>
      </c>
      <c r="AP21" s="70">
        <f>'PL WB (нед)'!AP55+'PL OZON (нед)'!AP55</f>
        <v/>
      </c>
      <c r="AQ21" s="70">
        <f>'PL WB (нед)'!AQ55+'PL OZON (нед)'!AQ55</f>
        <v/>
      </c>
      <c r="AR21" s="70">
        <f>'PL WB (нед)'!AR55+'PL OZON (нед)'!AR55</f>
        <v/>
      </c>
      <c r="AS21" s="70">
        <f>'PL WB (нед)'!AS55+'PL OZON (нед)'!AS55</f>
        <v/>
      </c>
      <c r="AT21" s="70">
        <f>'PL WB (нед)'!AT55+'PL OZON (нед)'!AT55</f>
        <v/>
      </c>
      <c r="AU21" s="70">
        <f>'PL WB (нед)'!AU55+'PL OZON (нед)'!AU55</f>
        <v/>
      </c>
      <c r="AV21" s="70">
        <f>'PL WB (нед)'!AV55+'PL OZON (нед)'!AV55</f>
        <v/>
      </c>
      <c r="AW21" s="70">
        <f>'PL WB (нед)'!AW55+'PL OZON (нед)'!AW55</f>
        <v/>
      </c>
      <c r="AX21" s="70">
        <f>'PL WB (нед)'!AX55+'PL OZON (нед)'!AX55</f>
        <v/>
      </c>
      <c r="AY21" s="70">
        <f>'PL WB (нед)'!AY55+'PL OZON (нед)'!AY55</f>
        <v/>
      </c>
      <c r="AZ21" s="70">
        <f>'PL WB (нед)'!AZ55+'PL OZON (нед)'!AZ55</f>
        <v/>
      </c>
      <c r="BA21" s="70">
        <f>'PL WB (нед)'!BA55+'PL OZON (нед)'!BA55</f>
        <v/>
      </c>
      <c r="BB21" s="70">
        <f>'PL WB (нед)'!BB55+'PL OZON (нед)'!BB55</f>
        <v/>
      </c>
      <c r="BC21" s="70">
        <f>'PL WB (нед)'!BC55+'PL OZON (нед)'!BC55</f>
        <v/>
      </c>
    </row>
    <row r="22" ht="13.5" customHeight="1">
      <c r="A22" s="6" t="n"/>
      <c r="B22" s="7" t="n"/>
      <c r="C22" s="15" t="n"/>
      <c r="D22" s="9" t="n"/>
      <c r="E22" s="9" t="n"/>
      <c r="F22" s="9" t="n"/>
      <c r="G22" s="9" t="n"/>
      <c r="H22" s="15" t="n"/>
      <c r="I22" s="9" t="n"/>
      <c r="J22" s="9" t="n"/>
      <c r="K22" s="7" t="n"/>
      <c r="L22" s="9" t="n"/>
      <c r="M22" s="9" t="n"/>
      <c r="N22" s="9" t="n"/>
      <c r="O22" s="7" t="n"/>
      <c r="P22" s="9" t="n"/>
      <c r="Q22" s="9" t="n"/>
      <c r="R22" s="9" t="n"/>
      <c r="S22" s="7" t="n"/>
      <c r="T22" s="9" t="n"/>
      <c r="U22" s="9" t="n"/>
      <c r="V22" s="9" t="n"/>
      <c r="W22" s="9" t="n"/>
      <c r="X22" s="7" t="n"/>
      <c r="Y22" s="9" t="n"/>
      <c r="Z22" s="9" t="n"/>
      <c r="AA22" s="9" t="n"/>
      <c r="AB22" s="7" t="n"/>
      <c r="AC22" s="9" t="n"/>
      <c r="AD22" s="9" t="n"/>
      <c r="AE22" s="9" t="n"/>
      <c r="AF22" s="7" t="n"/>
      <c r="AG22" s="9" t="n"/>
      <c r="AH22" s="9" t="n"/>
      <c r="AI22" s="9" t="n"/>
      <c r="AJ22" s="9" t="n"/>
      <c r="AK22" s="7" t="n"/>
      <c r="AL22" s="9" t="n"/>
      <c r="AM22" s="9" t="n"/>
      <c r="AN22" s="9" t="n"/>
      <c r="AO22" s="7" t="n"/>
      <c r="AP22" s="9" t="n"/>
      <c r="AQ22" s="9" t="n"/>
      <c r="AR22" s="9" t="n"/>
      <c r="AS22" s="9" t="n"/>
      <c r="AT22" s="7" t="n"/>
      <c r="AU22" s="9" t="n"/>
      <c r="AV22" s="9" t="n"/>
      <c r="AW22" s="9" t="n"/>
      <c r="AX22" s="7" t="n"/>
      <c r="AY22" s="9" t="n"/>
      <c r="AZ22" s="9" t="n"/>
      <c r="BA22" s="9" t="n"/>
      <c r="BB22" s="9" t="n"/>
      <c r="BC22" s="9" t="n"/>
    </row>
    <row r="23" ht="13.5" customHeight="1">
      <c r="A23" s="30" t="inlineStr">
        <is>
          <t>Закупка Китай</t>
        </is>
      </c>
      <c r="B23" s="356" t="n"/>
      <c r="C23" s="357" t="n"/>
      <c r="D23" s="358" t="n"/>
      <c r="E23" s="358" t="n"/>
      <c r="F23" s="358" t="n"/>
      <c r="G23" s="358" t="n"/>
      <c r="H23" s="359" t="n"/>
      <c r="I23" s="360" t="n"/>
      <c r="J23" s="361" t="n"/>
      <c r="K23" s="362" t="n"/>
      <c r="L23" s="361" t="n"/>
      <c r="M23" s="361" t="n"/>
      <c r="N23" s="361" t="n"/>
      <c r="O23" s="362" t="n"/>
      <c r="P23" s="361" t="n"/>
      <c r="Q23" s="361" t="n"/>
      <c r="R23" s="361" t="n"/>
      <c r="S23" s="362" t="n"/>
      <c r="T23" s="361" t="n"/>
      <c r="U23" s="361" t="n"/>
      <c r="V23" s="361" t="n"/>
      <c r="W23" s="361" t="n"/>
      <c r="X23" s="362" t="n"/>
      <c r="Y23" s="361" t="n"/>
      <c r="Z23" s="361" t="n"/>
      <c r="AA23" s="361" t="n"/>
      <c r="AB23" s="362" t="n"/>
      <c r="AC23" s="361" t="n"/>
      <c r="AD23" s="361" t="n"/>
      <c r="AE23" s="361" t="n"/>
      <c r="AF23" s="362" t="n"/>
      <c r="AG23" s="361" t="n"/>
      <c r="AH23" s="361" t="n"/>
      <c r="AI23" s="361" t="n"/>
      <c r="AJ23" s="361" t="n"/>
      <c r="AK23" s="362" t="n"/>
      <c r="AL23" s="361" t="n"/>
      <c r="AM23" s="361" t="n"/>
      <c r="AN23" s="361" t="n"/>
      <c r="AO23" s="362" t="n"/>
      <c r="AP23" s="361" t="n"/>
      <c r="AQ23" s="361" t="n"/>
      <c r="AR23" s="361" t="n"/>
      <c r="AS23" s="361" t="n"/>
      <c r="AT23" s="362" t="n"/>
      <c r="AU23" s="361" t="n"/>
      <c r="AV23" s="360" t="n"/>
      <c r="AW23" s="361" t="n"/>
      <c r="AX23" s="361" t="n"/>
      <c r="AY23" s="366" t="n"/>
      <c r="AZ23" s="361" t="n"/>
      <c r="BA23" s="361" t="n"/>
      <c r="BB23" s="361" t="n"/>
      <c r="BC23" s="361" t="n"/>
    </row>
    <row r="24" ht="13.5" customHeight="1">
      <c r="A24" s="30" t="inlineStr">
        <is>
          <t>Закупка нал</t>
        </is>
      </c>
      <c r="B24" s="31" t="n"/>
      <c r="C24" s="14" t="n"/>
      <c r="D24" s="16" t="n"/>
      <c r="E24" s="16" t="n"/>
      <c r="F24" s="16" t="n"/>
      <c r="G24" s="16" t="n"/>
      <c r="H24" s="94" t="n"/>
      <c r="I24" s="92" t="n"/>
      <c r="J24" s="92" t="n"/>
      <c r="K24" s="93" t="n"/>
      <c r="L24" s="92" t="n"/>
      <c r="M24" s="91" t="n"/>
      <c r="N24" s="92" t="n"/>
      <c r="O24" s="93" t="n"/>
      <c r="P24" s="91" t="n"/>
      <c r="Q24" s="91" t="n"/>
      <c r="R24" s="91" t="n"/>
      <c r="S24" s="95" t="n"/>
      <c r="T24" s="91" t="n"/>
      <c r="U24" s="91" t="n"/>
      <c r="V24" s="91" t="n"/>
      <c r="W24" s="91" t="n"/>
      <c r="X24" s="95" t="n"/>
      <c r="Y24" s="91" t="n"/>
      <c r="Z24" s="91" t="n"/>
      <c r="AA24" s="91" t="n"/>
      <c r="AB24" s="95" t="n"/>
      <c r="AC24" s="91" t="n"/>
      <c r="AD24" s="91" t="n"/>
      <c r="AE24" s="91" t="n"/>
      <c r="AF24" s="95" t="n"/>
      <c r="AG24" s="91" t="n"/>
      <c r="AH24" s="91" t="n"/>
      <c r="AI24" s="91" t="n"/>
      <c r="AJ24" s="91" t="n"/>
      <c r="AK24" s="95" t="n"/>
      <c r="AL24" s="91" t="n"/>
      <c r="AM24" s="91" t="n"/>
      <c r="AN24" s="91" t="n"/>
      <c r="AO24" s="95" t="n"/>
      <c r="AP24" s="91" t="n"/>
      <c r="AQ24" s="91" t="n"/>
      <c r="AR24" s="91" t="n"/>
      <c r="AS24" s="91" t="n"/>
      <c r="AT24" s="95" t="n"/>
      <c r="AU24" s="91" t="n"/>
      <c r="AV24" s="91" t="n"/>
      <c r="AW24" s="91" t="n"/>
      <c r="AX24" s="95" t="n"/>
      <c r="AY24" s="91" t="n"/>
      <c r="AZ24" s="91" t="n"/>
      <c r="BA24" s="91" t="n"/>
      <c r="BB24" s="91" t="n"/>
      <c r="BC24" s="91" t="n"/>
    </row>
    <row r="25" ht="13.5" customHeight="1">
      <c r="A25" s="30" t="inlineStr">
        <is>
          <t>Закупка р/с</t>
        </is>
      </c>
      <c r="B25" s="31" t="n"/>
      <c r="C25" s="14" t="n"/>
      <c r="D25" s="16" t="n"/>
      <c r="E25" s="16" t="n"/>
      <c r="F25" s="16" t="n"/>
      <c r="G25" s="16" t="n"/>
      <c r="H25" s="94" t="n"/>
      <c r="I25" s="91" t="n"/>
      <c r="J25" s="92" t="n"/>
      <c r="K25" s="93" t="n"/>
      <c r="L25" s="92" t="n"/>
      <c r="M25" s="91" t="n"/>
      <c r="N25" s="92" t="n"/>
      <c r="O25" s="93" t="n"/>
      <c r="P25" s="91" t="n"/>
      <c r="Q25" s="91" t="n"/>
      <c r="R25" s="91" t="n"/>
      <c r="S25" s="95" t="n"/>
      <c r="T25" s="91" t="n"/>
      <c r="U25" s="91" t="n"/>
      <c r="V25" s="91" t="n"/>
      <c r="W25" s="91" t="n"/>
      <c r="X25" s="95" t="n"/>
      <c r="Y25" s="91" t="n"/>
      <c r="Z25" s="91" t="n"/>
      <c r="AA25" s="91" t="n"/>
      <c r="AB25" s="95" t="n"/>
      <c r="AC25" s="91" t="n"/>
      <c r="AD25" s="91" t="n"/>
      <c r="AE25" s="91" t="n"/>
      <c r="AF25" s="95" t="n"/>
      <c r="AG25" s="91" t="n"/>
      <c r="AH25" s="91" t="n"/>
      <c r="AI25" s="91" t="n"/>
      <c r="AJ25" s="91" t="n"/>
      <c r="AK25" s="95" t="n"/>
      <c r="AL25" s="91" t="n"/>
      <c r="AM25" s="91" t="n"/>
      <c r="AN25" s="91" t="n"/>
      <c r="AO25" s="95" t="n"/>
      <c r="AP25" s="91" t="n"/>
      <c r="AQ25" s="91" t="n"/>
      <c r="AR25" s="91" t="n"/>
      <c r="AS25" s="91" t="n"/>
      <c r="AT25" s="95" t="n"/>
      <c r="AU25" s="91" t="n"/>
      <c r="AV25" s="91" t="n"/>
      <c r="AW25" s="91" t="n"/>
      <c r="AX25" s="95" t="n"/>
      <c r="AY25" s="91" t="n"/>
      <c r="AZ25" s="91" t="n"/>
      <c r="BA25" s="91" t="n"/>
      <c r="BB25" s="91" t="n"/>
      <c r="BC25" s="91" t="n"/>
    </row>
    <row r="26" ht="13.5" customHeight="1">
      <c r="A26" s="30" t="inlineStr">
        <is>
          <t>Доставка Китай</t>
        </is>
      </c>
      <c r="B26" s="356" t="n"/>
      <c r="C26" s="363" t="n"/>
      <c r="D26" s="358" t="n"/>
      <c r="E26" s="358" t="n"/>
      <c r="F26" s="358" t="n"/>
      <c r="G26" s="358" t="n"/>
      <c r="H26" s="364" t="n"/>
      <c r="I26" s="361" t="n"/>
      <c r="J26" s="361" t="n"/>
      <c r="K26" s="362" t="n"/>
      <c r="L26" s="361" t="n"/>
      <c r="M26" s="360" t="n"/>
      <c r="N26" s="361" t="n"/>
      <c r="O26" s="362" t="n"/>
      <c r="P26" s="360" t="n"/>
      <c r="Q26" s="360" t="n"/>
      <c r="R26" s="360" t="n"/>
      <c r="S26" s="365" t="n"/>
      <c r="T26" s="360" t="n"/>
      <c r="U26" s="360" t="n"/>
      <c r="V26" s="360" t="n"/>
      <c r="W26" s="360" t="n"/>
      <c r="X26" s="365" t="n"/>
      <c r="Y26" s="360" t="n"/>
      <c r="Z26" s="360" t="n"/>
      <c r="AA26" s="360" t="n"/>
      <c r="AB26" s="360" t="n"/>
      <c r="AC26" s="360" t="n"/>
      <c r="AD26" s="360" t="n"/>
      <c r="AE26" s="360" t="n"/>
      <c r="AF26" s="365" t="n"/>
      <c r="AG26" s="360" t="n"/>
      <c r="AH26" s="360" t="n"/>
      <c r="AI26" s="360" t="n"/>
      <c r="AJ26" s="360" t="n"/>
      <c r="AK26" s="365" t="n"/>
      <c r="AL26" s="360" t="n"/>
      <c r="AM26" s="360" t="n"/>
      <c r="AN26" s="360" t="n"/>
      <c r="AO26" s="365" t="n"/>
      <c r="AP26" s="360" t="n"/>
      <c r="AQ26" s="360" t="n"/>
      <c r="AR26" s="360" t="n"/>
      <c r="AS26" s="360" t="n"/>
      <c r="AT26" s="365" t="n"/>
      <c r="AU26" s="360" t="n"/>
      <c r="AV26" s="360" t="n"/>
      <c r="AW26" s="360" t="n"/>
      <c r="AX26" s="365" t="n"/>
      <c r="AY26" s="360" t="n"/>
      <c r="AZ26" s="360" t="n"/>
      <c r="BA26" s="360" t="n"/>
      <c r="BB26" s="360" t="n"/>
      <c r="BC26" s="360" t="n"/>
    </row>
    <row r="27" ht="13.5" customHeight="1">
      <c r="A27" s="30" t="inlineStr">
        <is>
          <t>Доставка РФ</t>
        </is>
      </c>
      <c r="B27" s="31" t="n"/>
      <c r="C27" s="14" t="n"/>
      <c r="D27" s="16" t="n"/>
      <c r="E27" s="16" t="n"/>
      <c r="F27" s="16" t="n"/>
      <c r="G27" s="16" t="n"/>
      <c r="H27" s="94" t="n"/>
      <c r="I27" s="92" t="n"/>
      <c r="J27" s="92" t="n"/>
      <c r="K27" s="93" t="n"/>
      <c r="L27" s="92" t="n"/>
      <c r="M27" s="91" t="n"/>
      <c r="N27" s="92" t="n"/>
      <c r="O27" s="93" t="n"/>
      <c r="P27" s="91" t="n"/>
      <c r="Q27" s="91" t="n"/>
      <c r="R27" s="91" t="n"/>
      <c r="S27" s="95" t="n"/>
      <c r="T27" s="91" t="n"/>
      <c r="U27" s="91" t="n"/>
      <c r="V27" s="91" t="n"/>
      <c r="W27" s="91" t="n"/>
      <c r="X27" s="95" t="n"/>
      <c r="Y27" s="91" t="n"/>
      <c r="Z27" s="91" t="n"/>
      <c r="AA27" s="91" t="n"/>
      <c r="AB27" s="95" t="n"/>
      <c r="AC27" s="91" t="n"/>
      <c r="AD27" s="91" t="n"/>
      <c r="AE27" s="91" t="n"/>
      <c r="AF27" s="95" t="n"/>
      <c r="AG27" s="91" t="n"/>
      <c r="AH27" s="91" t="n"/>
      <c r="AI27" s="91" t="n"/>
      <c r="AJ27" s="91" t="n"/>
      <c r="AK27" s="95" t="n"/>
      <c r="AL27" s="91" t="n"/>
      <c r="AM27" s="91" t="n"/>
      <c r="AN27" s="91" t="n"/>
      <c r="AO27" s="95" t="n"/>
      <c r="AP27" s="91" t="n"/>
      <c r="AQ27" s="91" t="n"/>
      <c r="AR27" s="91" t="n"/>
      <c r="AS27" s="91" t="n"/>
      <c r="AT27" s="95" t="n"/>
      <c r="AU27" s="91" t="n"/>
      <c r="AV27" s="91" t="n"/>
      <c r="AW27" s="91" t="n"/>
      <c r="AX27" s="95" t="n"/>
      <c r="AY27" s="91" t="n"/>
      <c r="AZ27" s="91" t="n"/>
      <c r="BA27" s="91" t="n"/>
      <c r="BB27" s="91" t="n"/>
      <c r="BC27" s="91" t="n"/>
    </row>
    <row r="28" ht="13.5" customHeight="1">
      <c r="A28" s="30" t="n"/>
      <c r="B28" s="31" t="n"/>
      <c r="C28" s="94" t="n"/>
      <c r="D28" s="91" t="n"/>
      <c r="E28" s="91" t="n"/>
      <c r="F28" s="91" t="n"/>
      <c r="G28" s="91" t="n"/>
      <c r="H28" s="94" t="n"/>
      <c r="I28" s="92" t="n"/>
      <c r="J28" s="92" t="n"/>
      <c r="K28" s="93" t="n"/>
      <c r="L28" s="92" t="n"/>
      <c r="M28" s="91" t="n"/>
      <c r="N28" s="92" t="n"/>
      <c r="O28" s="93" t="n"/>
      <c r="P28" s="91" t="n"/>
      <c r="Q28" s="91" t="n"/>
      <c r="R28" s="91" t="n"/>
      <c r="S28" s="95" t="n"/>
      <c r="T28" s="91" t="n"/>
      <c r="U28" s="91" t="n"/>
      <c r="V28" s="91" t="n"/>
      <c r="W28" s="91" t="n"/>
      <c r="X28" s="95" t="n"/>
      <c r="Y28" s="91" t="n"/>
      <c r="Z28" s="91" t="n"/>
      <c r="AA28" s="91" t="n"/>
      <c r="AB28" s="95" t="n"/>
      <c r="AC28" s="91" t="n"/>
      <c r="AD28" s="91" t="n"/>
      <c r="AE28" s="91" t="n"/>
      <c r="AF28" s="95" t="n"/>
      <c r="AG28" s="91" t="n"/>
      <c r="AH28" s="91" t="n"/>
      <c r="AI28" s="91" t="n"/>
      <c r="AJ28" s="91" t="n"/>
      <c r="AK28" s="95" t="n"/>
      <c r="AL28" s="91" t="n"/>
      <c r="AM28" s="91" t="n"/>
      <c r="AN28" s="91" t="n"/>
      <c r="AO28" s="95" t="n"/>
      <c r="AP28" s="91" t="n"/>
      <c r="AQ28" s="91" t="n"/>
      <c r="AR28" s="91" t="n"/>
      <c r="AS28" s="91" t="n"/>
      <c r="AT28" s="95" t="n"/>
      <c r="AU28" s="91" t="n"/>
      <c r="AV28" s="91" t="n"/>
      <c r="AW28" s="91" t="n"/>
      <c r="AX28" s="95" t="n"/>
      <c r="AY28" s="91" t="n"/>
      <c r="AZ28" s="91" t="n"/>
      <c r="BA28" s="91" t="n"/>
      <c r="BB28" s="91" t="n"/>
      <c r="BC28" s="91" t="n"/>
    </row>
    <row r="29" ht="13.5" customHeight="1">
      <c r="A29" s="30" t="inlineStr">
        <is>
          <t>Вложения инвестора</t>
        </is>
      </c>
      <c r="B29" s="31" t="n"/>
      <c r="C29" s="14" t="n"/>
      <c r="D29" s="16" t="n"/>
      <c r="E29" s="16" t="n"/>
      <c r="F29" s="16" t="n"/>
      <c r="G29" s="16" t="n"/>
      <c r="H29" s="94" t="n"/>
      <c r="I29" s="92" t="n"/>
      <c r="J29" s="92" t="n"/>
      <c r="K29" s="95" t="n"/>
      <c r="L29" s="92" t="n"/>
      <c r="M29" s="91" t="n"/>
      <c r="N29" s="92" t="n"/>
      <c r="O29" s="93" t="n"/>
      <c r="P29" s="91" t="n"/>
      <c r="Q29" s="91" t="n"/>
      <c r="R29" s="91" t="n"/>
      <c r="S29" s="95" t="n"/>
      <c r="T29" s="91" t="n"/>
      <c r="U29" s="91" t="n"/>
      <c r="V29" s="91" t="n"/>
      <c r="W29" s="91" t="n"/>
      <c r="X29" s="95" t="n"/>
      <c r="Y29" s="91" t="n"/>
      <c r="Z29" s="91" t="n"/>
      <c r="AA29" s="91" t="n"/>
      <c r="AB29" s="95" t="n"/>
      <c r="AC29" s="91" t="n"/>
      <c r="AD29" s="91" t="n"/>
      <c r="AE29" s="91" t="n"/>
      <c r="AF29" s="95" t="n"/>
      <c r="AG29" s="91" t="n"/>
      <c r="AH29" s="91" t="n"/>
      <c r="AI29" s="91" t="n"/>
      <c r="AJ29" s="91" t="n"/>
      <c r="AK29" s="95" t="n"/>
      <c r="AL29" s="91" t="n"/>
      <c r="AM29" s="91" t="n"/>
      <c r="AN29" s="91" t="n"/>
      <c r="AO29" s="95" t="n"/>
      <c r="AP29" s="91" t="n"/>
      <c r="AQ29" s="91" t="n"/>
      <c r="AR29" s="91" t="n"/>
      <c r="AS29" s="91" t="n"/>
      <c r="AT29" s="95" t="n"/>
      <c r="AU29" s="91" t="n"/>
      <c r="AV29" s="91" t="n"/>
      <c r="AW29" s="91" t="n"/>
      <c r="AX29" s="95" t="n"/>
      <c r="AY29" s="91" t="n"/>
      <c r="AZ29" s="91" t="n"/>
      <c r="BA29" s="91" t="n"/>
      <c r="BB29" s="91" t="n"/>
      <c r="BC29" s="91" t="n"/>
    </row>
    <row r="30" ht="13.5" customHeight="1">
      <c r="A30" s="44" t="n"/>
      <c r="B30" s="45" t="n"/>
      <c r="C30" s="96" t="n"/>
      <c r="D30" s="97" t="n"/>
      <c r="E30" s="97" t="n"/>
      <c r="F30" s="97" t="n"/>
      <c r="G30" s="97" t="n"/>
      <c r="H30" s="96" t="n"/>
      <c r="I30" s="97" t="n"/>
      <c r="J30" s="97" t="n"/>
      <c r="K30" s="98" t="n"/>
      <c r="L30" s="97" t="n"/>
      <c r="M30" s="97" t="n"/>
      <c r="N30" s="97" t="n"/>
      <c r="O30" s="98" t="n"/>
      <c r="P30" s="97" t="n"/>
      <c r="Q30" s="97" t="n"/>
      <c r="R30" s="97" t="n"/>
      <c r="S30" s="98" t="n"/>
      <c r="T30" s="97" t="n"/>
      <c r="U30" s="97" t="n"/>
      <c r="V30" s="97" t="n"/>
      <c r="W30" s="97" t="n"/>
      <c r="X30" s="98" t="n"/>
      <c r="Y30" s="97" t="n"/>
      <c r="Z30" s="97" t="n"/>
      <c r="AA30" s="97" t="n"/>
      <c r="AB30" s="98" t="n"/>
      <c r="AC30" s="97" t="n"/>
      <c r="AD30" s="97" t="n"/>
      <c r="AE30" s="97" t="n"/>
      <c r="AF30" s="98" t="n"/>
      <c r="AG30" s="97" t="n"/>
      <c r="AH30" s="97" t="n"/>
      <c r="AI30" s="97" t="n"/>
      <c r="AJ30" s="97" t="n"/>
      <c r="AK30" s="98" t="n"/>
      <c r="AL30" s="97" t="n"/>
      <c r="AM30" s="97" t="n"/>
      <c r="AN30" s="97" t="n"/>
      <c r="AO30" s="98" t="n"/>
      <c r="AP30" s="97" t="n"/>
      <c r="AQ30" s="97" t="n"/>
      <c r="AR30" s="97" t="n"/>
      <c r="AS30" s="97" t="n"/>
      <c r="AT30" s="98" t="n"/>
      <c r="AU30" s="97" t="n"/>
      <c r="AV30" s="97" t="n"/>
      <c r="AW30" s="97" t="n"/>
      <c r="AX30" s="98" t="n"/>
      <c r="AY30" s="97" t="n"/>
      <c r="AZ30" s="97" t="n"/>
      <c r="BA30" s="97" t="n"/>
      <c r="BB30" s="97" t="n"/>
      <c r="BC30" s="97" t="n"/>
    </row>
    <row r="31" ht="13.5" customHeight="1">
      <c r="A31" s="46" t="inlineStr">
        <is>
          <t>Самовыкупы (покупка товара)</t>
        </is>
      </c>
      <c r="B31" s="47" t="n"/>
      <c r="C31" s="99" t="n"/>
      <c r="D31" s="100" t="n"/>
      <c r="E31" s="100" t="n"/>
      <c r="F31" s="100" t="n"/>
      <c r="G31" s="100" t="n"/>
      <c r="H31" s="99" t="n"/>
      <c r="I31" s="100" t="n"/>
      <c r="J31" s="100" t="n"/>
      <c r="K31" s="101" t="n"/>
      <c r="L31" s="100" t="n"/>
      <c r="M31" s="100" t="n"/>
      <c r="N31" s="100" t="n"/>
      <c r="O31" s="101" t="n"/>
      <c r="P31" s="100" t="n"/>
      <c r="Q31" s="100" t="n"/>
      <c r="R31" s="100" t="n"/>
      <c r="S31" s="101" t="n"/>
      <c r="T31" s="100" t="n"/>
      <c r="U31" s="100" t="n"/>
      <c r="V31" s="100" t="n"/>
      <c r="W31" s="100" t="n"/>
      <c r="X31" s="101" t="n"/>
      <c r="Y31" s="100" t="n"/>
      <c r="Z31" s="100" t="n"/>
      <c r="AA31" s="100" t="n"/>
      <c r="AB31" s="101" t="n"/>
      <c r="AC31" s="100" t="n"/>
      <c r="AD31" s="100" t="n"/>
      <c r="AE31" s="100" t="n"/>
      <c r="AF31" s="101" t="n"/>
      <c r="AG31" s="100" t="n"/>
      <c r="AH31" s="100" t="n"/>
      <c r="AI31" s="100" t="n"/>
      <c r="AJ31" s="100" t="n"/>
      <c r="AK31" s="101" t="n"/>
      <c r="AL31" s="100" t="n"/>
      <c r="AM31" s="100" t="n"/>
      <c r="AN31" s="100" t="n"/>
      <c r="AO31" s="101" t="n"/>
      <c r="AP31" s="100" t="n"/>
      <c r="AQ31" s="100" t="n"/>
      <c r="AR31" s="100" t="n"/>
      <c r="AS31" s="100" t="n"/>
      <c r="AT31" s="101" t="n"/>
      <c r="AU31" s="100" t="n"/>
      <c r="AV31" s="100" t="n"/>
      <c r="AW31" s="100" t="n"/>
      <c r="AX31" s="101" t="n"/>
      <c r="AY31" s="100" t="n"/>
      <c r="AZ31" s="100" t="n"/>
      <c r="BA31" s="100" t="n"/>
      <c r="BB31" s="100" t="n"/>
      <c r="BC31" s="100" t="n"/>
    </row>
    <row r="32"/>
    <row r="33" ht="13.5" customHeight="1">
      <c r="A33" s="49" t="inlineStr">
        <is>
          <t>Остаток денежных средств на конец периода</t>
        </is>
      </c>
      <c r="B33" s="50" t="n"/>
      <c r="C33" s="74">
        <f>C11-C13-C21-SUM(C23:C27)+C29-C31</f>
        <v/>
      </c>
      <c r="D33" s="74">
        <f>D11-D13-D21-SUM(D23:D27)+D29-D31</f>
        <v/>
      </c>
      <c r="E33" s="74">
        <f>E11-E13-E21-SUM(E23:E27)+E29-E31</f>
        <v/>
      </c>
      <c r="F33" s="74">
        <f>F11-F13-F21-SUM(F23:F27)+F29-F31</f>
        <v/>
      </c>
      <c r="G33" s="74">
        <f>G11-G13-G21-SUM(G23:G27)+G29-G31</f>
        <v/>
      </c>
      <c r="H33" s="73">
        <f>H11-H13-H21-SUM(H23:H27)+H29-H31</f>
        <v/>
      </c>
      <c r="I33" s="74">
        <f>I11-I13-I21-SUM(I23:I27)+I29-I31</f>
        <v/>
      </c>
      <c r="J33" s="74">
        <f>J11-J13-J21-SUM(J23:J27)+J29-J31</f>
        <v/>
      </c>
      <c r="K33" s="75">
        <f>K11-K13-K21-SUM(K23:K27)+K29-K31</f>
        <v/>
      </c>
      <c r="L33" s="74">
        <f>L11-L13-L21-SUM(L23:L27)+L29-L31</f>
        <v/>
      </c>
      <c r="M33" s="74">
        <f>M11-M13-M21-SUM(M23:M27)+M29-M31</f>
        <v/>
      </c>
      <c r="N33" s="74">
        <f>N11-N13-N21-SUM(N23:N27)+N29-N31</f>
        <v/>
      </c>
      <c r="O33" s="75">
        <f>O11-O13-O21-SUM(O23:O27)+O29-O31</f>
        <v/>
      </c>
      <c r="P33" s="74">
        <f>P11-P13-P21-SUM(P23:P27)+P29-P31</f>
        <v/>
      </c>
      <c r="Q33" s="74">
        <f>Q11-Q13-Q21-SUM(Q23:Q27)+Q29-Q31</f>
        <v/>
      </c>
      <c r="R33" s="74">
        <f>R11-R13-R21-SUM(R23:R27)+R29-R31</f>
        <v/>
      </c>
      <c r="S33" s="75">
        <f>S11-S13-S21-SUM(S23:S27)+S29-S31</f>
        <v/>
      </c>
      <c r="T33" s="74">
        <f>T11-T13-T21-SUM(T23:T27)+T29-T31</f>
        <v/>
      </c>
      <c r="U33" s="74">
        <f>U11-U13-U21-SUM(U23:U27)+U29-U31</f>
        <v/>
      </c>
      <c r="V33" s="74">
        <f>V11-V13-V21-SUM(V23:V27)+V29-V31</f>
        <v/>
      </c>
      <c r="W33" s="74">
        <f>W11-W13-W21-SUM(W23:W27)+W29-W31</f>
        <v/>
      </c>
      <c r="X33" s="75">
        <f>X11-X13-X21-SUM(X23:X27)+X29-X31</f>
        <v/>
      </c>
      <c r="Y33" s="74">
        <f>Y11-Y13-Y21-SUM(Y23:Y27)+Y29-Y31</f>
        <v/>
      </c>
      <c r="Z33" s="74">
        <f>Z11-Z13-Z21-SUM(Z23:Z27)+Z29-Z31</f>
        <v/>
      </c>
      <c r="AA33" s="74">
        <f>AA11-AA13-AA21-SUM(AA23:AA27)+AA29-AA31</f>
        <v/>
      </c>
      <c r="AB33" s="75">
        <f>AB11-AB13-AB21-SUM(AB23:AB27)+AB29-AB31</f>
        <v/>
      </c>
      <c r="AC33" s="74">
        <f>AC11-AC13-AC21-SUM(AC23:AC27)+AC29-AC31</f>
        <v/>
      </c>
      <c r="AD33" s="74">
        <f>AD11-AD13-AD21-SUM(AD23:AD27)+AD29-AD31</f>
        <v/>
      </c>
      <c r="AE33" s="74">
        <f>AE11-AE13-AE21-SUM(AE23:AE27)+AE29-AE31</f>
        <v/>
      </c>
      <c r="AF33" s="75">
        <f>AF11-AF13-AF21-SUM(AF23:AF27)+AF29-AF31</f>
        <v/>
      </c>
      <c r="AG33" s="74">
        <f>AG11-AG13-AG21-SUM(AG23:AG27)+AG29-AG31</f>
        <v/>
      </c>
      <c r="AH33" s="74">
        <f>AH11-AH13-AH21-SUM(AH23:AH27)+AH29-AH31</f>
        <v/>
      </c>
      <c r="AI33" s="74">
        <f>AI11-AI13-AI21-SUM(AI23:AI27)+AI29-AI31</f>
        <v/>
      </c>
      <c r="AJ33" s="74">
        <f>AJ11-AJ13-AJ21-SUM(AJ23:AJ27)+AJ29-AJ31</f>
        <v/>
      </c>
      <c r="AK33" s="75">
        <f>AK11-AK13-AK21-SUM(AK23:AK27)+AK29-AK31</f>
        <v/>
      </c>
      <c r="AL33" s="74">
        <f>AL11-AL13-AL21-SUM(AL23:AL27)+AL29-AL31</f>
        <v/>
      </c>
      <c r="AM33" s="74">
        <f>AM11-AM13-AM21-SUM(AM23:AM27)+AM29-AM31</f>
        <v/>
      </c>
      <c r="AN33" s="74">
        <f>AN11-AN13-AN21-SUM(AN23:AN27)+AN29-AN31</f>
        <v/>
      </c>
      <c r="AO33" s="75">
        <f>AO11-AO13-AO21-SUM(AO23:AO27)+AO29-AO31</f>
        <v/>
      </c>
      <c r="AP33" s="74">
        <f>AP11-AP13-AP21-SUM(AP23:AP27)+AP29-AP31</f>
        <v/>
      </c>
      <c r="AQ33" s="74">
        <f>AQ11-AQ13-AQ21-SUM(AQ23:AQ27)+AQ29-AQ31</f>
        <v/>
      </c>
      <c r="AR33" s="74">
        <f>AR11-AR13-AR21-SUM(AR23:AR27)+AR29-AR31</f>
        <v/>
      </c>
      <c r="AS33" s="74">
        <f>AS11-AS13-AS21-SUM(AS23:AS27)+AS29-AS31</f>
        <v/>
      </c>
      <c r="AT33" s="75">
        <f>AT11-AT13-AT21-SUM(AT23:AT27)+AT29-AT31</f>
        <v/>
      </c>
      <c r="AU33" s="74">
        <f>AU11-AU13-AU21-SUM(AU23:AU27)+AU29-AU31</f>
        <v/>
      </c>
      <c r="AV33" s="74">
        <f>AV11-AV13-AV21-SUM(AV23:AV27)+AV29-AV31</f>
        <v/>
      </c>
      <c r="AW33" s="74">
        <f>AW11-AW13-AW21-SUM(AW23:AW27)+AW29-AW31</f>
        <v/>
      </c>
      <c r="AX33" s="75">
        <f>AX11-AX13-AX21-SUM(AX23:AX27)+AX29-AX31</f>
        <v/>
      </c>
      <c r="AY33" s="74">
        <f>AY11-AY13-AY21-SUM(AY23:AY27)+AY29-AY31</f>
        <v/>
      </c>
      <c r="AZ33" s="74">
        <f>AZ11-AZ13-AZ21-SUM(AZ23:AZ27)+AZ29-AZ31</f>
        <v/>
      </c>
      <c r="BA33" s="74">
        <f>BA11-BA13-BA21-SUM(BA23:BA27)+BA29-BA31</f>
        <v/>
      </c>
      <c r="BB33" s="74">
        <f>BB11-BB13-BB21-SUM(BB23:BB27)+BB29-BB31</f>
        <v/>
      </c>
      <c r="BC33" s="74">
        <f>BC11-BC13-BC21-SUM(BC23:BC27)+BC29-BC31</f>
        <v/>
      </c>
    </row>
    <row r="34" ht="13.5" customHeight="1">
      <c r="A34" s="30" t="n"/>
      <c r="B34" s="53" t="n"/>
      <c r="C34" s="76" t="n"/>
      <c r="D34" s="54" t="n"/>
      <c r="E34" s="54" t="n"/>
      <c r="F34" s="54" t="n"/>
      <c r="G34" s="77" t="n"/>
      <c r="H34" s="76" t="n"/>
      <c r="I34" s="54" t="n"/>
      <c r="J34" s="54" t="n"/>
      <c r="K34" s="78" t="n"/>
      <c r="L34" s="54" t="n"/>
      <c r="M34" s="54" t="n"/>
      <c r="N34" s="54" t="n"/>
      <c r="O34" s="79" t="n"/>
      <c r="P34" s="54" t="n"/>
      <c r="Q34" s="54" t="n"/>
      <c r="R34" s="54" t="n"/>
      <c r="S34" s="79" t="n"/>
      <c r="T34" s="54" t="n"/>
      <c r="U34" s="54" t="n"/>
      <c r="V34" s="54" t="n"/>
      <c r="W34" s="54" t="n"/>
      <c r="X34" s="79" t="n"/>
      <c r="Y34" s="54" t="n"/>
      <c r="Z34" s="54" t="n"/>
      <c r="AA34" s="54" t="n"/>
      <c r="AB34" s="79" t="n"/>
      <c r="AC34" s="54" t="n"/>
      <c r="AD34" s="54" t="n"/>
      <c r="AE34" s="54" t="n"/>
      <c r="AF34" s="79" t="n"/>
      <c r="AG34" s="54" t="n"/>
      <c r="AH34" s="54" t="n"/>
      <c r="AI34" s="54" t="n"/>
      <c r="AJ34" s="54" t="n"/>
      <c r="AK34" s="79" t="n"/>
      <c r="AL34" s="54" t="n"/>
      <c r="AM34" s="54" t="n"/>
      <c r="AN34" s="54" t="n"/>
      <c r="AO34" s="79" t="n"/>
      <c r="AP34" s="54" t="n"/>
      <c r="AQ34" s="54" t="n"/>
      <c r="AR34" s="54" t="n"/>
      <c r="AS34" s="54" t="n"/>
      <c r="AT34" s="79" t="n"/>
      <c r="AU34" s="54" t="n"/>
      <c r="AV34" s="54" t="n"/>
      <c r="AW34" s="54" t="n"/>
      <c r="AX34" s="79" t="n"/>
      <c r="AY34" s="54" t="n"/>
      <c r="AZ34" s="54" t="n"/>
      <c r="BA34" s="54" t="n"/>
      <c r="BB34" s="54" t="n"/>
      <c r="BC34" s="54" t="n"/>
    </row>
    <row r="35" ht="13.5" customHeight="1">
      <c r="A35" s="30" t="n"/>
      <c r="B35" s="53" t="inlineStr">
        <is>
          <t>Авансы уплаченные</t>
        </is>
      </c>
      <c r="C35" s="80">
        <f>283707+SUM(C23:C27)-C4</f>
        <v/>
      </c>
      <c r="D35" s="55">
        <f>C35+SUM(D23:D27)-D4</f>
        <v/>
      </c>
      <c r="E35" s="55">
        <f>D35+SUM(E23:E27)-E4</f>
        <v/>
      </c>
      <c r="F35" s="55">
        <f>E35+SUM(F23:F27)-F4</f>
        <v/>
      </c>
      <c r="G35" s="55">
        <f>F35+SUM(G23:G27)-G4</f>
        <v/>
      </c>
      <c r="H35" s="80">
        <f>G35+SUM(H23:H27)-H4</f>
        <v/>
      </c>
      <c r="I35" s="55">
        <f>H35+SUM(I23:I27)-I4</f>
        <v/>
      </c>
      <c r="J35" s="55">
        <f>I35+SUM(J23:J27)-J4</f>
        <v/>
      </c>
      <c r="K35" s="53">
        <f>J35+SUM(K23:K27)-K4</f>
        <v/>
      </c>
      <c r="L35" s="55">
        <f>K35+SUM(L23:L27)-L4</f>
        <v/>
      </c>
      <c r="M35" s="55">
        <f>L35+SUM(M23:M27)-M4</f>
        <v/>
      </c>
      <c r="N35" s="55">
        <f>M35+SUM(N23:N27)-N4</f>
        <v/>
      </c>
      <c r="O35" s="53">
        <f>N35+SUM(O23:O27)-O4</f>
        <v/>
      </c>
      <c r="P35" s="55">
        <f>O35+SUM(P23:P27)-P4</f>
        <v/>
      </c>
      <c r="Q35" s="55">
        <f>P35+SUM(Q23:Q27)-Q4</f>
        <v/>
      </c>
      <c r="R35" s="55">
        <f>Q35+SUM(R23:R27)-R4</f>
        <v/>
      </c>
      <c r="S35" s="53">
        <f>R35+SUM(S23:S27)-S4</f>
        <v/>
      </c>
      <c r="T35" s="55">
        <f>S35+SUM(T23:T27)-T4</f>
        <v/>
      </c>
      <c r="U35" s="55">
        <f>T35+SUM(U23:U27)-U4</f>
        <v/>
      </c>
      <c r="V35" s="55">
        <f>U35+SUM(V23:V27)-V4</f>
        <v/>
      </c>
      <c r="W35" s="55">
        <f>V35+SUM(W23:W27)-W4</f>
        <v/>
      </c>
      <c r="X35" s="53">
        <f>W35+SUM(X23:X27)-X4</f>
        <v/>
      </c>
      <c r="Y35" s="55">
        <f>X35+SUM(Y23:Y27)-Y4</f>
        <v/>
      </c>
      <c r="Z35" s="55">
        <f>Y35+SUM(Z23:Z27)-Z4</f>
        <v/>
      </c>
      <c r="AA35" s="55">
        <f>Z35+SUM(AA23:AA27)-AA4</f>
        <v/>
      </c>
      <c r="AB35" s="53">
        <f>AA35+SUM(AB23:AB27)-AB4</f>
        <v/>
      </c>
      <c r="AC35" s="55">
        <f>AB35+SUM(AC23:AC27)-AC4</f>
        <v/>
      </c>
      <c r="AD35" s="55">
        <f>AC35+SUM(AD23:AD27)-AD4</f>
        <v/>
      </c>
      <c r="AE35" s="55">
        <f>AD35+SUM(AE23:AE27)-AE4</f>
        <v/>
      </c>
      <c r="AF35" s="53">
        <f>AE35+SUM(AF23:AF27)-AF4</f>
        <v/>
      </c>
      <c r="AG35" s="55">
        <f>AF35+SUM(AG23:AG27)-AG4</f>
        <v/>
      </c>
      <c r="AH35" s="55">
        <f>AG35+SUM(AH23:AH27)-AH4</f>
        <v/>
      </c>
      <c r="AI35" s="55">
        <f>AH35+SUM(AI23:AI27)-AI4</f>
        <v/>
      </c>
      <c r="AJ35" s="55">
        <f>AI35+SUM(AJ23:AJ27)-AJ4</f>
        <v/>
      </c>
      <c r="AK35" s="53">
        <f>AJ35+SUM(AK23:AK27)-AK4</f>
        <v/>
      </c>
      <c r="AL35" s="55">
        <f>AK35+SUM(AL23:AL27)-AL4</f>
        <v/>
      </c>
      <c r="AM35" s="55">
        <f>AL35+SUM(AM23:AM27)-AM4</f>
        <v/>
      </c>
      <c r="AN35" s="55">
        <f>AM35+SUM(AN23:AN27)-AN4</f>
        <v/>
      </c>
      <c r="AO35" s="53">
        <f>AN35+SUM(AO23:AO27)-AO4</f>
        <v/>
      </c>
      <c r="AP35" s="55">
        <f>AO35+SUM(AP23:AP27)-AP4</f>
        <v/>
      </c>
      <c r="AQ35" s="55">
        <f>AP35+SUM(AQ23:AQ27)-AQ4</f>
        <v/>
      </c>
      <c r="AR35" s="55">
        <f>AQ35+SUM(AR23:AR27)-AR4</f>
        <v/>
      </c>
      <c r="AS35" s="55">
        <f>AR35+SUM(AS23:AS27)-AS4</f>
        <v/>
      </c>
      <c r="AT35" s="53">
        <f>AS35+SUM(AT23:AT27)-AT4</f>
        <v/>
      </c>
      <c r="AU35" s="55">
        <f>AT35+SUM(AU23:AU27)-AU4</f>
        <v/>
      </c>
      <c r="AV35" s="55">
        <f>AU35+SUM(AV23:AV27)-AV4</f>
        <v/>
      </c>
      <c r="AW35" s="55">
        <f>AV35+SUM(AW23:AW27)-AW4</f>
        <v/>
      </c>
      <c r="AX35" s="53">
        <f>AW35+SUM(AX23:AX27)-AX4</f>
        <v/>
      </c>
      <c r="AY35" s="55">
        <f>AX35+SUM(AY23:AY27)-AY4</f>
        <v/>
      </c>
      <c r="AZ35" s="55">
        <f>AY35+SUM(AZ23:AZ27)-AZ4</f>
        <v/>
      </c>
      <c r="BA35" s="55">
        <f>AZ35+SUM(BA23:BA27)-BA4</f>
        <v/>
      </c>
      <c r="BB35" s="55">
        <f>BA35+SUM(BB23:BB27)-BB4</f>
        <v/>
      </c>
      <c r="BC35" s="55">
        <f>BB35+SUM(BC23:BC27)-BC4</f>
        <v/>
      </c>
    </row>
    <row r="36" ht="13.5" customHeight="1">
      <c r="A36" s="30" t="n"/>
      <c r="B36" s="53" t="inlineStr">
        <is>
          <t>Денег в обороте</t>
        </is>
      </c>
      <c r="C36" s="80">
        <f>C5+C42+C35</f>
        <v/>
      </c>
      <c r="D36" s="55">
        <f>D5+D42+D35</f>
        <v/>
      </c>
      <c r="E36" s="55">
        <f>E5+E42+E35</f>
        <v/>
      </c>
      <c r="F36" s="55">
        <f>F5+F42+F35</f>
        <v/>
      </c>
      <c r="G36" s="55">
        <f>G5+G42+G35</f>
        <v/>
      </c>
      <c r="H36" s="80">
        <f>H5+H42+H35</f>
        <v/>
      </c>
      <c r="I36" s="55">
        <f>I5+I42+I35</f>
        <v/>
      </c>
      <c r="J36" s="55">
        <f>J5+J42+J35</f>
        <v/>
      </c>
      <c r="K36" s="53">
        <f>K5+K42+K35</f>
        <v/>
      </c>
      <c r="L36" s="55">
        <f>L5+L42+L35</f>
        <v/>
      </c>
      <c r="M36" s="55">
        <f>M5+M42+M35</f>
        <v/>
      </c>
      <c r="N36" s="55">
        <f>N5+N42+N35</f>
        <v/>
      </c>
      <c r="O36" s="53">
        <f>O5+O42+O35</f>
        <v/>
      </c>
      <c r="P36" s="55">
        <f>P5+P42+P35</f>
        <v/>
      </c>
      <c r="Q36" s="55">
        <f>Q5+Q42+Q35</f>
        <v/>
      </c>
      <c r="R36" s="55">
        <f>R5+R42+R35</f>
        <v/>
      </c>
      <c r="S36" s="53">
        <f>S5+S42+S35</f>
        <v/>
      </c>
      <c r="T36" s="55">
        <f>T5+T42+T35</f>
        <v/>
      </c>
      <c r="U36" s="55">
        <f>U5+U42+U35</f>
        <v/>
      </c>
      <c r="V36" s="55">
        <f>V5+V42+V35</f>
        <v/>
      </c>
      <c r="W36" s="55">
        <f>W5+W42+W35</f>
        <v/>
      </c>
      <c r="X36" s="53">
        <f>X5+X42+X35</f>
        <v/>
      </c>
      <c r="Y36" s="55">
        <f>Y5+Y42+Y35</f>
        <v/>
      </c>
      <c r="Z36" s="55">
        <f>Z5+Z42+Z35</f>
        <v/>
      </c>
      <c r="AA36" s="55">
        <f>AA5+AA42+AA35</f>
        <v/>
      </c>
      <c r="AB36" s="53">
        <f>AB5+AB42+AB35</f>
        <v/>
      </c>
      <c r="AC36" s="55">
        <f>AC5+AC42+AC35</f>
        <v/>
      </c>
      <c r="AD36" s="55">
        <f>AD5+AD42+AD35</f>
        <v/>
      </c>
      <c r="AE36" s="55">
        <f>AE5+AE42+AE35</f>
        <v/>
      </c>
      <c r="AF36" s="53">
        <f>AF5+AF42+AF35</f>
        <v/>
      </c>
      <c r="AG36" s="55">
        <f>AG5+AG42+AG35</f>
        <v/>
      </c>
      <c r="AH36" s="55">
        <f>AH5+AH42+AH35</f>
        <v/>
      </c>
      <c r="AI36" s="55">
        <f>AI5+AI42+AI35</f>
        <v/>
      </c>
      <c r="AJ36" s="55">
        <f>AJ5+AJ42+AJ35</f>
        <v/>
      </c>
      <c r="AK36" s="53">
        <f>AK5+AK42+AK35</f>
        <v/>
      </c>
      <c r="AL36" s="55">
        <f>AL5+AL42+AL35</f>
        <v/>
      </c>
      <c r="AM36" s="55">
        <f>AM5+AM42+AM35</f>
        <v/>
      </c>
      <c r="AN36" s="55">
        <f>AN5+AN42+AN35</f>
        <v/>
      </c>
      <c r="AO36" s="53">
        <f>AO5+AO42+AO35</f>
        <v/>
      </c>
      <c r="AP36" s="55">
        <f>AP5+AP42+AP35</f>
        <v/>
      </c>
      <c r="AQ36" s="55">
        <f>AQ5+AQ42+AQ35</f>
        <v/>
      </c>
      <c r="AR36" s="55">
        <f>AR5+AR42+AR35</f>
        <v/>
      </c>
      <c r="AS36" s="55">
        <f>AS5+AS42+AS35</f>
        <v/>
      </c>
      <c r="AT36" s="53">
        <f>AT5+AT42+AT35</f>
        <v/>
      </c>
      <c r="AU36" s="55">
        <f>AU5+AU42+AU35</f>
        <v/>
      </c>
      <c r="AV36" s="55">
        <f>AV5+AV42+AV35</f>
        <v/>
      </c>
      <c r="AW36" s="55">
        <f>AW5+AW42+AW35</f>
        <v/>
      </c>
      <c r="AX36" s="53">
        <f>AX5+AX42+AX35</f>
        <v/>
      </c>
      <c r="AY36" s="55">
        <f>AY5+AY42+AY35</f>
        <v/>
      </c>
      <c r="AZ36" s="55">
        <f>AZ5+AZ42+AZ35</f>
        <v/>
      </c>
      <c r="BA36" s="55">
        <f>BA5+BA42+BA35</f>
        <v/>
      </c>
      <c r="BB36" s="55">
        <f>BB5+BB42+BB35</f>
        <v/>
      </c>
      <c r="BC36" s="55">
        <f>BC5+BC42+BC35</f>
        <v/>
      </c>
    </row>
    <row r="37" ht="13.5" customHeight="1">
      <c r="A37" s="81" t="n"/>
      <c r="B37" s="82" t="n"/>
      <c r="C37" s="83" t="n"/>
      <c r="D37" s="84" t="n"/>
      <c r="E37" s="84" t="n"/>
      <c r="F37" s="84" t="n"/>
      <c r="G37" s="84">
        <f>G36-CF!C36</f>
        <v/>
      </c>
      <c r="H37" s="83" t="n"/>
      <c r="I37" s="84" t="n"/>
      <c r="J37" s="84" t="n"/>
      <c r="K37" s="82">
        <f>K36-CF!D36</f>
        <v/>
      </c>
      <c r="L37" s="84" t="n"/>
      <c r="M37" s="84" t="n"/>
      <c r="N37" s="84" t="n"/>
      <c r="O37" s="82" t="n"/>
      <c r="P37" s="84" t="n"/>
      <c r="Q37" s="84" t="n"/>
      <c r="R37" s="84" t="n"/>
      <c r="S37" s="82" t="n"/>
      <c r="T37" s="84" t="n"/>
      <c r="U37" s="84" t="n"/>
      <c r="V37" s="84" t="n"/>
      <c r="W37" s="84" t="n"/>
      <c r="X37" s="82" t="n"/>
      <c r="Y37" s="84" t="n"/>
      <c r="Z37" s="84" t="n"/>
      <c r="AA37" s="84" t="n"/>
      <c r="AB37" s="82" t="n"/>
      <c r="AC37" s="84" t="n"/>
      <c r="AD37" s="84" t="n"/>
      <c r="AE37" s="84" t="n"/>
      <c r="AF37" s="82" t="n"/>
      <c r="AG37" s="84" t="n"/>
      <c r="AH37" s="84" t="n"/>
      <c r="AI37" s="84" t="n"/>
      <c r="AJ37" s="84" t="n"/>
      <c r="AK37" s="82" t="n"/>
      <c r="AL37" s="84" t="n"/>
      <c r="AM37" s="84" t="n"/>
      <c r="AN37" s="84" t="n"/>
      <c r="AO37" s="82" t="n"/>
      <c r="AP37" s="84" t="n"/>
      <c r="AQ37" s="84" t="n"/>
      <c r="AR37" s="84" t="n"/>
      <c r="AS37" s="84" t="n"/>
      <c r="AT37" s="82" t="n"/>
      <c r="AU37" s="84" t="n"/>
      <c r="AV37" s="84" t="n"/>
      <c r="AW37" s="84" t="n"/>
      <c r="AX37" s="82" t="n"/>
      <c r="AY37" s="84" t="n"/>
      <c r="AZ37" s="84" t="n"/>
      <c r="BA37" s="84" t="n"/>
      <c r="BB37" s="84" t="n"/>
      <c r="BC37" s="84" t="n"/>
    </row>
    <row r="38" ht="13.5" customHeight="1">
      <c r="A38" s="30" t="inlineStr">
        <is>
          <t>Выплата диведентов:</t>
        </is>
      </c>
      <c r="B38" s="53" t="n"/>
      <c r="C38" s="80">
        <f>C39+C40</f>
        <v/>
      </c>
      <c r="D38" s="55">
        <f>D39+D40</f>
        <v/>
      </c>
      <c r="E38" s="55">
        <f>E39+E40</f>
        <v/>
      </c>
      <c r="F38" s="55">
        <f>F39+F40</f>
        <v/>
      </c>
      <c r="G38" s="55">
        <f>G39+G40</f>
        <v/>
      </c>
      <c r="H38" s="80">
        <f>H39+H40</f>
        <v/>
      </c>
      <c r="I38" s="55">
        <f>I39+I40</f>
        <v/>
      </c>
      <c r="J38" s="55">
        <f>J39+J40</f>
        <v/>
      </c>
      <c r="K38" s="53">
        <f>K39+K40</f>
        <v/>
      </c>
      <c r="L38" s="55">
        <f>L39+L40</f>
        <v/>
      </c>
      <c r="M38" s="55">
        <f>M39+M40</f>
        <v/>
      </c>
      <c r="N38" s="55">
        <f>N39+N40</f>
        <v/>
      </c>
      <c r="O38" s="53">
        <f>O39+O40</f>
        <v/>
      </c>
      <c r="P38" s="55">
        <f>P39+P40</f>
        <v/>
      </c>
      <c r="Q38" s="55">
        <f>Q39+Q40</f>
        <v/>
      </c>
      <c r="R38" s="55">
        <f>R39+R40</f>
        <v/>
      </c>
      <c r="S38" s="53">
        <f>S39+S40</f>
        <v/>
      </c>
      <c r="T38" s="55">
        <f>T39+T40</f>
        <v/>
      </c>
      <c r="U38" s="55">
        <f>U39+U40</f>
        <v/>
      </c>
      <c r="V38" s="55">
        <f>V39+V40</f>
        <v/>
      </c>
      <c r="W38" s="55">
        <f>W39+W40</f>
        <v/>
      </c>
      <c r="X38" s="53">
        <f>X39+X40</f>
        <v/>
      </c>
      <c r="Y38" s="55">
        <f>Y39+Y40</f>
        <v/>
      </c>
      <c r="Z38" s="55">
        <f>Z39+Z40</f>
        <v/>
      </c>
      <c r="AA38" s="55">
        <f>AA39+AA40</f>
        <v/>
      </c>
      <c r="AB38" s="53">
        <f>AB39+AB40</f>
        <v/>
      </c>
      <c r="AC38" s="55">
        <f>AC39+AC40</f>
        <v/>
      </c>
      <c r="AD38" s="55">
        <f>AD39+AD40</f>
        <v/>
      </c>
      <c r="AE38" s="55">
        <f>AE39+AE40</f>
        <v/>
      </c>
      <c r="AF38" s="53">
        <f>AF39+AF40</f>
        <v/>
      </c>
      <c r="AG38" s="55">
        <f>AG39+AG40</f>
        <v/>
      </c>
      <c r="AH38" s="55">
        <f>AH39+AH40</f>
        <v/>
      </c>
      <c r="AI38" s="55">
        <f>AI39+AI40</f>
        <v/>
      </c>
      <c r="AJ38" s="55">
        <f>AJ39+AJ40</f>
        <v/>
      </c>
      <c r="AK38" s="53">
        <f>AK39+AK40</f>
        <v/>
      </c>
      <c r="AL38" s="55">
        <f>AL39+AL40</f>
        <v/>
      </c>
      <c r="AM38" s="55">
        <f>AM39+AM40</f>
        <v/>
      </c>
      <c r="AN38" s="55">
        <f>AN39+AN40</f>
        <v/>
      </c>
      <c r="AO38" s="53">
        <f>AO39+AO40</f>
        <v/>
      </c>
      <c r="AP38" s="55">
        <f>AP39+AP40</f>
        <v/>
      </c>
      <c r="AQ38" s="55">
        <f>AQ39+AQ40</f>
        <v/>
      </c>
      <c r="AR38" s="55">
        <f>AR39+AR40</f>
        <v/>
      </c>
      <c r="AS38" s="55">
        <f>AS39+AS40</f>
        <v/>
      </c>
      <c r="AT38" s="53">
        <f>AT39+AT40</f>
        <v/>
      </c>
      <c r="AU38" s="55">
        <f>AU39+AU40</f>
        <v/>
      </c>
      <c r="AV38" s="55">
        <f>AV39+AV40</f>
        <v/>
      </c>
      <c r="AW38" s="55">
        <f>AW39+AW40</f>
        <v/>
      </c>
      <c r="AX38" s="53">
        <f>AX39+AX40</f>
        <v/>
      </c>
      <c r="AY38" s="55">
        <f>AY39+AY40</f>
        <v/>
      </c>
      <c r="AZ38" s="55">
        <f>AZ39+AZ40</f>
        <v/>
      </c>
      <c r="BA38" s="55">
        <f>BA39+BA40</f>
        <v/>
      </c>
      <c r="BB38" s="55">
        <f>BB39+BB40</f>
        <v/>
      </c>
      <c r="BC38" s="55">
        <f>BC39+BC40</f>
        <v/>
      </c>
    </row>
    <row r="39" ht="32.25" customHeight="1">
      <c r="A39" s="30" t="inlineStr">
        <is>
          <t>Инвестор</t>
        </is>
      </c>
      <c r="B39" s="548" t="inlineStr">
        <is>
          <t>Остаток после вывода должен быть больше  суммы закупки и доставки следующего месяца</t>
        </is>
      </c>
      <c r="C39" s="14" t="n"/>
      <c r="D39" s="16" t="n"/>
      <c r="E39" s="16" t="n"/>
      <c r="F39" s="16" t="n"/>
      <c r="G39" s="16" t="n"/>
      <c r="H39" s="90" t="n"/>
      <c r="I39" s="92" t="n"/>
      <c r="J39" s="92" t="n"/>
      <c r="K39" s="93" t="n"/>
      <c r="L39" s="92" t="n"/>
      <c r="M39" s="92" t="n"/>
      <c r="N39" s="92" t="n"/>
      <c r="O39" s="93" t="n"/>
      <c r="P39" s="92" t="n"/>
      <c r="Q39" s="92" t="n"/>
      <c r="R39" s="92" t="n"/>
      <c r="S39" s="93" t="n"/>
      <c r="T39" s="92" t="n"/>
      <c r="U39" s="92" t="n"/>
      <c r="V39" s="92" t="n"/>
      <c r="W39" s="92" t="n"/>
      <c r="X39" s="93" t="n"/>
      <c r="Y39" s="92" t="n"/>
      <c r="Z39" s="92" t="n"/>
      <c r="AA39" s="92" t="n"/>
      <c r="AB39" s="93" t="n"/>
      <c r="AC39" s="92" t="n"/>
      <c r="AD39" s="92" t="n"/>
      <c r="AE39" s="92" t="n"/>
      <c r="AF39" s="93" t="n"/>
      <c r="AG39" s="92" t="n"/>
      <c r="AH39" s="92" t="n"/>
      <c r="AI39" s="92" t="n"/>
      <c r="AJ39" s="92" t="n"/>
      <c r="AK39" s="93" t="n"/>
      <c r="AL39" s="92" t="n"/>
      <c r="AM39" s="92" t="n"/>
      <c r="AN39" s="92" t="n"/>
      <c r="AO39" s="93" t="n"/>
      <c r="AP39" s="92" t="n"/>
      <c r="AQ39" s="92" t="n"/>
      <c r="AR39" s="92" t="n"/>
      <c r="AS39" s="92" t="n"/>
      <c r="AT39" s="93" t="n"/>
      <c r="AU39" s="92" t="n"/>
      <c r="AV39" s="92" t="n"/>
      <c r="AW39" s="92" t="n"/>
      <c r="AX39" s="93" t="n"/>
      <c r="AY39" s="92" t="n"/>
      <c r="AZ39" s="92" t="n"/>
      <c r="BA39" s="92" t="n"/>
      <c r="BB39" s="92" t="n"/>
      <c r="BC39" s="92" t="n"/>
    </row>
    <row r="40" ht="32.25" customHeight="1">
      <c r="A40" s="30" t="inlineStr">
        <is>
          <t>Управляющий</t>
        </is>
      </c>
      <c r="B40" s="542" t="n"/>
      <c r="C40" s="14" t="n"/>
      <c r="D40" s="16" t="n"/>
      <c r="E40" s="16" t="n"/>
      <c r="F40" s="16" t="n"/>
      <c r="G40" s="16" t="n"/>
      <c r="H40" s="90" t="n"/>
      <c r="I40" s="92" t="n"/>
      <c r="J40" s="92" t="n"/>
      <c r="K40" s="93" t="n"/>
      <c r="L40" s="92" t="n"/>
      <c r="M40" s="92" t="n"/>
      <c r="N40" s="92" t="n"/>
      <c r="O40" s="93" t="n"/>
      <c r="P40" s="92" t="n"/>
      <c r="Q40" s="92" t="n"/>
      <c r="R40" s="92" t="n"/>
      <c r="S40" s="93" t="n"/>
      <c r="T40" s="92" t="n"/>
      <c r="U40" s="92" t="n"/>
      <c r="V40" s="92" t="n"/>
      <c r="W40" s="92" t="n"/>
      <c r="X40" s="93" t="n"/>
      <c r="Y40" s="92" t="n"/>
      <c r="Z40" s="92" t="n"/>
      <c r="AA40" s="92" t="n"/>
      <c r="AB40" s="93" t="n"/>
      <c r="AC40" s="92" t="n"/>
      <c r="AD40" s="92" t="n"/>
      <c r="AE40" s="92" t="n"/>
      <c r="AF40" s="93" t="n"/>
      <c r="AG40" s="92" t="n"/>
      <c r="AH40" s="92" t="n"/>
      <c r="AI40" s="92" t="n"/>
      <c r="AJ40" s="92" t="n"/>
      <c r="AK40" s="93" t="n"/>
      <c r="AL40" s="92" t="n"/>
      <c r="AM40" s="92" t="n"/>
      <c r="AN40" s="92" t="n"/>
      <c r="AO40" s="93" t="n"/>
      <c r="AP40" s="92" t="n"/>
      <c r="AQ40" s="92" t="n"/>
      <c r="AR40" s="92" t="n"/>
      <c r="AS40" s="92" t="n"/>
      <c r="AT40" s="93" t="n"/>
      <c r="AU40" s="92" t="n"/>
      <c r="AV40" s="92" t="n"/>
      <c r="AW40" s="92" t="n"/>
      <c r="AX40" s="93" t="n"/>
      <c r="AY40" s="92" t="n"/>
      <c r="AZ40" s="92" t="n"/>
      <c r="BA40" s="92" t="n"/>
      <c r="BB40" s="92" t="n"/>
      <c r="BC40" s="92" t="n"/>
    </row>
    <row r="41" ht="13.5" customHeight="1">
      <c r="A41" s="57" t="n"/>
      <c r="B41" s="53" t="n"/>
      <c r="C41" s="76" t="n"/>
      <c r="D41" s="54" t="n"/>
      <c r="E41" s="54" t="n"/>
      <c r="F41" s="54" t="n"/>
      <c r="G41" s="85">
        <f>G42-CF!C42</f>
        <v/>
      </c>
      <c r="H41" s="17" t="n"/>
      <c r="I41" s="54" t="n"/>
      <c r="J41" s="54" t="n"/>
      <c r="K41" s="86">
        <f>K42-CF!D42</f>
        <v/>
      </c>
      <c r="L41" s="54" t="n"/>
      <c r="M41" s="85" t="n"/>
      <c r="N41" s="54" t="n"/>
      <c r="O41" s="86">
        <f>O42-CF!E42</f>
        <v/>
      </c>
      <c r="P41" s="85" t="n"/>
      <c r="Q41" s="85" t="n"/>
      <c r="R41" s="85" t="n"/>
      <c r="S41" s="86">
        <f>S42-CF!F42</f>
        <v/>
      </c>
      <c r="T41" s="85" t="n"/>
      <c r="U41" s="85" t="n"/>
      <c r="V41" s="85" t="n"/>
      <c r="W41" s="85" t="n"/>
      <c r="X41" s="86">
        <f>X42-CF!G42</f>
        <v/>
      </c>
      <c r="Y41" s="85" t="n"/>
      <c r="Z41" s="85" t="n"/>
      <c r="AA41" s="85" t="n"/>
      <c r="AB41" s="86">
        <f>AB42-CF!H42</f>
        <v/>
      </c>
      <c r="AC41" s="85" t="n"/>
      <c r="AD41" s="85" t="n"/>
      <c r="AE41" s="85" t="n"/>
      <c r="AF41" s="86">
        <f>AF42-CF!I42</f>
        <v/>
      </c>
      <c r="AG41" s="85" t="n"/>
      <c r="AH41" s="85" t="n"/>
      <c r="AI41" s="85" t="n"/>
      <c r="AJ41" s="85" t="n"/>
      <c r="AK41" s="86">
        <f>AK42-CF!J42</f>
        <v/>
      </c>
      <c r="AL41" s="85" t="n"/>
      <c r="AM41" s="85" t="n"/>
      <c r="AN41" s="85" t="n"/>
      <c r="AO41" s="86">
        <f>AO42-CF!K42</f>
        <v/>
      </c>
      <c r="AP41" s="85" t="n"/>
      <c r="AQ41" s="85" t="n"/>
      <c r="AR41" s="85" t="n"/>
      <c r="AS41" s="85" t="n"/>
      <c r="AT41" s="86">
        <f>AT42-CF!L42</f>
        <v/>
      </c>
      <c r="AU41" s="85" t="n"/>
      <c r="AV41" s="85" t="n"/>
      <c r="AW41" s="85" t="n"/>
      <c r="AX41" s="86">
        <f>AX42-CF!M42</f>
        <v/>
      </c>
      <c r="AY41" s="85" t="n"/>
      <c r="AZ41" s="85" t="n"/>
      <c r="BA41" s="85" t="n"/>
      <c r="BB41" s="85">
        <f>BB42-CF!N42</f>
        <v/>
      </c>
      <c r="BC41" s="85">
        <f>BC42-CF!O42</f>
        <v/>
      </c>
    </row>
    <row r="42" ht="13.5" customHeight="1">
      <c r="A42" s="49" t="inlineStr">
        <is>
          <t>Остаток денежных средств на конец периода</t>
        </is>
      </c>
      <c r="B42" s="58" t="n"/>
      <c r="C42" s="73">
        <f>C33-C38</f>
        <v/>
      </c>
      <c r="D42" s="74">
        <f>D33-D38</f>
        <v/>
      </c>
      <c r="E42" s="74">
        <f>E33-E38</f>
        <v/>
      </c>
      <c r="F42" s="74">
        <f>F33-F38</f>
        <v/>
      </c>
      <c r="G42" s="74">
        <f>G33-G38</f>
        <v/>
      </c>
      <c r="H42" s="73">
        <f>H33-H38</f>
        <v/>
      </c>
      <c r="I42" s="74">
        <f>I33-I38</f>
        <v/>
      </c>
      <c r="J42" s="74">
        <f>J33-J38</f>
        <v/>
      </c>
      <c r="K42" s="75">
        <f>K33-K38</f>
        <v/>
      </c>
      <c r="L42" s="74">
        <f>L33-L38</f>
        <v/>
      </c>
      <c r="M42" s="74">
        <f>M33-M38</f>
        <v/>
      </c>
      <c r="N42" s="74">
        <f>N33-N38</f>
        <v/>
      </c>
      <c r="O42" s="75">
        <f>O33-O38</f>
        <v/>
      </c>
      <c r="P42" s="74">
        <f>P33-P38</f>
        <v/>
      </c>
      <c r="Q42" s="74">
        <f>Q33-Q38</f>
        <v/>
      </c>
      <c r="R42" s="74">
        <f>R33-R38</f>
        <v/>
      </c>
      <c r="S42" s="75">
        <f>S33-S38</f>
        <v/>
      </c>
      <c r="T42" s="74">
        <f>T33-T38</f>
        <v/>
      </c>
      <c r="U42" s="74">
        <f>U33-U38</f>
        <v/>
      </c>
      <c r="V42" s="74">
        <f>V33-V38</f>
        <v/>
      </c>
      <c r="W42" s="74">
        <f>W33-W38</f>
        <v/>
      </c>
      <c r="X42" s="75">
        <f>X33-X38</f>
        <v/>
      </c>
      <c r="Y42" s="74">
        <f>Y33-Y38</f>
        <v/>
      </c>
      <c r="Z42" s="74">
        <f>Z33-Z38</f>
        <v/>
      </c>
      <c r="AA42" s="74">
        <f>AA33-AA38</f>
        <v/>
      </c>
      <c r="AB42" s="75">
        <f>AB33-AB38</f>
        <v/>
      </c>
      <c r="AC42" s="74">
        <f>AC33-AC38</f>
        <v/>
      </c>
      <c r="AD42" s="74">
        <f>AD33-AD38</f>
        <v/>
      </c>
      <c r="AE42" s="74">
        <f>AE33-AE38</f>
        <v/>
      </c>
      <c r="AF42" s="75">
        <f>AF33-AF38</f>
        <v/>
      </c>
      <c r="AG42" s="74">
        <f>AG33-AG38</f>
        <v/>
      </c>
      <c r="AH42" s="74">
        <f>AH33-AH38</f>
        <v/>
      </c>
      <c r="AI42" s="74">
        <f>AI33-AI38</f>
        <v/>
      </c>
      <c r="AJ42" s="74">
        <f>AJ33-AJ38</f>
        <v/>
      </c>
      <c r="AK42" s="75">
        <f>AK33-AK38</f>
        <v/>
      </c>
      <c r="AL42" s="74">
        <f>AL33-AL38</f>
        <v/>
      </c>
      <c r="AM42" s="74">
        <f>AM33-AM38</f>
        <v/>
      </c>
      <c r="AN42" s="74">
        <f>AN33-AN38</f>
        <v/>
      </c>
      <c r="AO42" s="75">
        <f>AO33-AO38</f>
        <v/>
      </c>
      <c r="AP42" s="74">
        <f>AP33-AP38</f>
        <v/>
      </c>
      <c r="AQ42" s="74">
        <f>AQ33-AQ38</f>
        <v/>
      </c>
      <c r="AR42" s="74">
        <f>AR33-AR38</f>
        <v/>
      </c>
      <c r="AS42" s="74">
        <f>AS33-AS38</f>
        <v/>
      </c>
      <c r="AT42" s="75">
        <f>AT33-AT38</f>
        <v/>
      </c>
      <c r="AU42" s="74">
        <f>AU33-AU38</f>
        <v/>
      </c>
      <c r="AV42" s="74">
        <f>AV33-AV38</f>
        <v/>
      </c>
      <c r="AW42" s="74">
        <f>AW33-AW38</f>
        <v/>
      </c>
      <c r="AX42" s="75">
        <f>AX33-AX38</f>
        <v/>
      </c>
      <c r="AY42" s="74">
        <f>AY33-AY38</f>
        <v/>
      </c>
      <c r="AZ42" s="74">
        <f>AZ33-AZ38</f>
        <v/>
      </c>
      <c r="BA42" s="74">
        <f>BA33-BA38</f>
        <v/>
      </c>
      <c r="BB42" s="74">
        <f>BB33-BB38</f>
        <v/>
      </c>
      <c r="BC42" s="74">
        <f>BC33-BC38</f>
        <v/>
      </c>
    </row>
    <row r="43" ht="13.5" customHeight="1">
      <c r="A43" s="30" t="n"/>
      <c r="B43" s="56" t="inlineStr">
        <is>
          <t>Накопленный финансовый результат</t>
        </is>
      </c>
      <c r="C43" s="80">
        <f>'PL WB (нед)'!C64+'PL OZON (нед)'!C64</f>
        <v/>
      </c>
      <c r="D43" s="80">
        <f>'PL WB (нед)'!D64+'PL OZON (нед)'!D64</f>
        <v/>
      </c>
      <c r="E43" s="80">
        <f>'PL WB (нед)'!E64+'PL OZON (нед)'!E64</f>
        <v/>
      </c>
      <c r="F43" s="80">
        <f>'PL WB (нед)'!F64+'PL OZON (нед)'!F64</f>
        <v/>
      </c>
      <c r="G43" s="80">
        <f>'PL WB (нед)'!G64+'PL OZON (нед)'!G64</f>
        <v/>
      </c>
      <c r="H43" s="80">
        <f>'PL WB (нед)'!H64+'PL OZON (нед)'!H64</f>
        <v/>
      </c>
      <c r="I43" s="80">
        <f>'PL WB (нед)'!I64+'PL OZON (нед)'!I64</f>
        <v/>
      </c>
      <c r="J43" s="80">
        <f>'PL WB (нед)'!J64+'PL OZON (нед)'!J64</f>
        <v/>
      </c>
      <c r="K43" s="80">
        <f>'PL WB (нед)'!K64+'PL OZON (нед)'!K64</f>
        <v/>
      </c>
      <c r="L43" s="80">
        <f>'PL WB (нед)'!L64+'PL OZON (нед)'!L64</f>
        <v/>
      </c>
      <c r="M43" s="80">
        <f>'PL WB (нед)'!M64+'PL OZON (нед)'!M64</f>
        <v/>
      </c>
      <c r="N43" s="80">
        <f>'PL WB (нед)'!N64+'PL OZON (нед)'!N64</f>
        <v/>
      </c>
      <c r="O43" s="80">
        <f>'PL WB (нед)'!O64+'PL OZON (нед)'!O64</f>
        <v/>
      </c>
      <c r="P43" s="80">
        <f>'PL WB (нед)'!P64+'PL OZON (нед)'!P64</f>
        <v/>
      </c>
      <c r="Q43" s="80">
        <f>'PL WB (нед)'!Q64+'PL OZON (нед)'!Q64</f>
        <v/>
      </c>
      <c r="R43" s="80">
        <f>'PL WB (нед)'!R64+'PL OZON (нед)'!R64</f>
        <v/>
      </c>
      <c r="S43" s="80">
        <f>'PL WB (нед)'!S64+'PL OZON (нед)'!S64</f>
        <v/>
      </c>
      <c r="T43" s="80">
        <f>'PL WB (нед)'!T64+'PL OZON (нед)'!T64</f>
        <v/>
      </c>
      <c r="U43" s="80">
        <f>'PL WB (нед)'!U64+'PL OZON (нед)'!U64</f>
        <v/>
      </c>
      <c r="V43" s="80">
        <f>'PL WB (нед)'!V64+'PL OZON (нед)'!V64</f>
        <v/>
      </c>
      <c r="W43" s="80">
        <f>'PL WB (нед)'!W64+'PL OZON (нед)'!W64</f>
        <v/>
      </c>
      <c r="X43" s="80">
        <f>'PL WB (нед)'!X64+'PL OZON (нед)'!X64</f>
        <v/>
      </c>
      <c r="Y43" s="80">
        <f>'PL WB (нед)'!Y64+'PL OZON (нед)'!Y64</f>
        <v/>
      </c>
      <c r="Z43" s="80">
        <f>'PL WB (нед)'!Z64+'PL OZON (нед)'!Z64</f>
        <v/>
      </c>
      <c r="AA43" s="80">
        <f>'PL WB (нед)'!AA64+'PL OZON (нед)'!AA64</f>
        <v/>
      </c>
      <c r="AB43" s="80">
        <f>'PL WB (нед)'!AB64+'PL OZON (нед)'!AB64</f>
        <v/>
      </c>
      <c r="AC43" s="80">
        <f>'PL WB (нед)'!AC64+'PL OZON (нед)'!AC64</f>
        <v/>
      </c>
      <c r="AD43" s="80">
        <f>'PL WB (нед)'!AD64+'PL OZON (нед)'!AD64</f>
        <v/>
      </c>
      <c r="AE43" s="80">
        <f>'PL WB (нед)'!AE64+'PL OZON (нед)'!AE64</f>
        <v/>
      </c>
      <c r="AF43" s="80">
        <f>'PL WB (нед)'!AF64+'PL OZON (нед)'!AF64</f>
        <v/>
      </c>
      <c r="AG43" s="80">
        <f>'PL WB (нед)'!AG64+'PL OZON (нед)'!AG64</f>
        <v/>
      </c>
      <c r="AH43" s="80">
        <f>'PL WB (нед)'!AH64+'PL OZON (нед)'!AH64</f>
        <v/>
      </c>
      <c r="AI43" s="80">
        <f>'PL WB (нед)'!AI64+'PL OZON (нед)'!AI64</f>
        <v/>
      </c>
      <c r="AJ43" s="80">
        <f>'PL WB (нед)'!AJ64+'PL OZON (нед)'!AJ64</f>
        <v/>
      </c>
      <c r="AK43" s="80">
        <f>'PL WB (нед)'!AK64+'PL OZON (нед)'!AK64</f>
        <v/>
      </c>
      <c r="AL43" s="80">
        <f>'PL WB (нед)'!AL64+'PL OZON (нед)'!AL64</f>
        <v/>
      </c>
      <c r="AM43" s="80">
        <f>'PL WB (нед)'!AM64+'PL OZON (нед)'!AM64</f>
        <v/>
      </c>
      <c r="AN43" s="80">
        <f>'PL WB (нед)'!AN64+'PL OZON (нед)'!AN64</f>
        <v/>
      </c>
      <c r="AO43" s="80">
        <f>'PL WB (нед)'!AO64+'PL OZON (нед)'!AO64</f>
        <v/>
      </c>
      <c r="AP43" s="80">
        <f>'PL WB (нед)'!AP64+'PL OZON (нед)'!AP64</f>
        <v/>
      </c>
      <c r="AQ43" s="80">
        <f>'PL WB (нед)'!AQ64+'PL OZON (нед)'!AQ64</f>
        <v/>
      </c>
      <c r="AR43" s="80">
        <f>'PL WB (нед)'!AR64+'PL OZON (нед)'!AR64</f>
        <v/>
      </c>
      <c r="AS43" s="80">
        <f>'PL WB (нед)'!AS64+'PL OZON (нед)'!AS64</f>
        <v/>
      </c>
      <c r="AT43" s="80">
        <f>'PL WB (нед)'!AT64+'PL OZON (нед)'!AT64</f>
        <v/>
      </c>
      <c r="AU43" s="80">
        <f>'PL WB (нед)'!AU64+'PL OZON (нед)'!AU64</f>
        <v/>
      </c>
      <c r="AV43" s="80">
        <f>'PL WB (нед)'!AV64+'PL OZON (нед)'!AV64</f>
        <v/>
      </c>
      <c r="AW43" s="80">
        <f>'PL WB (нед)'!AW64+'PL OZON (нед)'!AW64</f>
        <v/>
      </c>
      <c r="AX43" s="80">
        <f>'PL WB (нед)'!AX64+'PL OZON (нед)'!AX64</f>
        <v/>
      </c>
      <c r="AY43" s="80">
        <f>'PL WB (нед)'!AY64+'PL OZON (нед)'!AY64</f>
        <v/>
      </c>
      <c r="AZ43" s="80">
        <f>'PL WB (нед)'!AZ64+'PL OZON (нед)'!AZ64</f>
        <v/>
      </c>
      <c r="BA43" s="80">
        <f>'PL WB (нед)'!BA64+'PL OZON (нед)'!BA64</f>
        <v/>
      </c>
      <c r="BB43" s="80">
        <f>'PL WB (нед)'!BB64+'PL OZON (нед)'!BB64</f>
        <v/>
      </c>
      <c r="BC43" s="80">
        <f>'PL WB (нед)'!BC64+'PL OZON (нед)'!BC64</f>
        <v/>
      </c>
    </row>
    <row r="44" ht="13.5" customHeight="1">
      <c r="A44" s="57" t="n"/>
      <c r="B44" s="53" t="n"/>
      <c r="C44" s="76" t="n"/>
      <c r="D44" s="54" t="n"/>
      <c r="E44" s="54" t="n"/>
      <c r="F44" s="54" t="n"/>
      <c r="G44" s="85">
        <f>G43-'PL OZON'!C64</f>
        <v/>
      </c>
      <c r="H44" s="76" t="n"/>
      <c r="I44" s="54" t="n"/>
      <c r="J44" s="54" t="n"/>
      <c r="K44" s="86">
        <f>K43-CF!D43</f>
        <v/>
      </c>
      <c r="L44" s="54" t="n"/>
      <c r="M44" s="54" t="n"/>
      <c r="N44" s="54" t="n"/>
      <c r="O44" s="86">
        <f>O43-CF!E43</f>
        <v/>
      </c>
      <c r="P44" s="54" t="n"/>
      <c r="Q44" s="54" t="n"/>
      <c r="R44" s="54" t="n"/>
      <c r="S44" s="86">
        <f>S43-CF!F43</f>
        <v/>
      </c>
      <c r="T44" s="54" t="n"/>
      <c r="U44" s="54" t="n"/>
      <c r="V44" s="54" t="n"/>
      <c r="W44" s="54" t="n"/>
      <c r="X44" s="86">
        <f>X43-CF!G43</f>
        <v/>
      </c>
      <c r="Y44" s="54" t="n"/>
      <c r="Z44" s="54" t="n"/>
      <c r="AA44" s="54" t="n"/>
      <c r="AB44" s="86">
        <f>AB43-CF!H43</f>
        <v/>
      </c>
      <c r="AC44" s="54" t="n"/>
      <c r="AD44" s="54" t="n"/>
      <c r="AE44" s="54" t="n"/>
      <c r="AF44" s="86">
        <f>AF43-CF!I43</f>
        <v/>
      </c>
      <c r="AG44" s="54" t="n"/>
      <c r="AH44" s="54" t="n"/>
      <c r="AI44" s="54" t="n"/>
      <c r="AJ44" s="54" t="n"/>
      <c r="AK44" s="86">
        <f>AK43-CF!J43</f>
        <v/>
      </c>
      <c r="AL44" s="54" t="n"/>
      <c r="AM44" s="54" t="n"/>
      <c r="AN44" s="54" t="n"/>
      <c r="AO44" s="86">
        <f>AO43-CF!K43</f>
        <v/>
      </c>
      <c r="AP44" s="54" t="n"/>
      <c r="AQ44" s="54" t="n"/>
      <c r="AR44" s="54" t="n"/>
      <c r="AS44" s="54" t="n"/>
      <c r="AT44" s="86">
        <f>AT43-CF!L43</f>
        <v/>
      </c>
      <c r="AU44" s="54" t="n"/>
      <c r="AV44" s="54" t="n"/>
      <c r="AW44" s="54" t="n"/>
      <c r="AX44" s="86">
        <f>AX43-CF!M43</f>
        <v/>
      </c>
      <c r="AY44" s="54" t="n"/>
      <c r="AZ44" s="54" t="n"/>
      <c r="BA44" s="54" t="n"/>
      <c r="BB44" s="54">
        <f>BB43-CF!N43</f>
        <v/>
      </c>
      <c r="BC44" s="54" t="n"/>
    </row>
    <row r="45" ht="13.5" customHeight="1">
      <c r="A45" s="18" t="inlineStr">
        <is>
          <t>Серые нули (стр 34, 38, 41) - это проверки между листами! Если не ноль - ищем ошибку</t>
        </is>
      </c>
      <c r="B45" s="53" t="n"/>
      <c r="C45" s="76" t="n"/>
      <c r="D45" s="54" t="n"/>
      <c r="E45" s="54" t="n"/>
      <c r="F45" s="54" t="n"/>
      <c r="G45" s="85" t="n"/>
      <c r="H45" s="549" t="n"/>
      <c r="I45" s="54" t="n"/>
      <c r="J45" s="54" t="n"/>
      <c r="K45" s="86" t="n"/>
      <c r="L45" s="54" t="n"/>
      <c r="M45" s="550" t="n"/>
      <c r="N45" s="54" t="n"/>
      <c r="O45" s="79" t="n"/>
      <c r="P45" s="550" t="n"/>
      <c r="Q45" s="550" t="n"/>
      <c r="R45" s="550" t="n"/>
      <c r="S45" s="551" t="n"/>
      <c r="T45" s="550" t="n"/>
      <c r="U45" s="550" t="n"/>
      <c r="V45" s="550" t="n"/>
      <c r="W45" s="550" t="n"/>
      <c r="X45" s="551" t="n"/>
      <c r="Y45" s="550" t="n"/>
      <c r="Z45" s="550" t="n"/>
      <c r="AA45" s="550" t="n"/>
      <c r="AB45" s="551" t="n"/>
      <c r="AC45" s="550" t="n"/>
      <c r="AD45" s="550" t="n"/>
      <c r="AE45" s="550" t="n"/>
      <c r="AF45" s="551" t="n"/>
      <c r="AG45" s="550" t="n"/>
      <c r="AH45" s="550" t="n"/>
      <c r="AI45" s="550" t="n"/>
      <c r="AJ45" s="550" t="n"/>
      <c r="AK45" s="551" t="n"/>
      <c r="AL45" s="550" t="n"/>
      <c r="AM45" s="550" t="n"/>
      <c r="AN45" s="550" t="n"/>
      <c r="AO45" s="551" t="n"/>
      <c r="AP45" s="550" t="n"/>
      <c r="AQ45" s="550" t="n"/>
      <c r="AR45" s="550" t="n"/>
      <c r="AS45" s="550" t="n"/>
      <c r="AT45" s="551" t="n"/>
      <c r="AU45" s="550" t="n"/>
      <c r="AV45" s="550" t="n"/>
      <c r="AW45" s="550" t="n"/>
      <c r="AX45" s="551" t="n"/>
      <c r="AY45" s="550" t="n"/>
      <c r="AZ45" s="550" t="n"/>
      <c r="BA45" s="550" t="n"/>
      <c r="BB45" s="550" t="n"/>
      <c r="BC45" s="550" t="n"/>
    </row>
  </sheetData>
  <mergeCells count="13">
    <mergeCell ref="AL2:AO2"/>
    <mergeCell ref="B39:B40"/>
    <mergeCell ref="AU2:AX2"/>
    <mergeCell ref="C2:G2"/>
    <mergeCell ref="T2:X2"/>
    <mergeCell ref="H2:K2"/>
    <mergeCell ref="L2:O2"/>
    <mergeCell ref="AG2:AK2"/>
    <mergeCell ref="AP2:AT2"/>
    <mergeCell ref="A1:B1"/>
    <mergeCell ref="Y2:AB2"/>
    <mergeCell ref="AC2:AF2"/>
    <mergeCell ref="P2:S2"/>
  </mergeCells>
  <conditionalFormatting sqref="A5">
    <cfRule type="cellIs" priority="10" operator="between" dxfId="3">
      <formula>0</formula>
      <formula>1000000</formula>
    </cfRule>
  </conditionalFormatting>
  <conditionalFormatting sqref="A42">
    <cfRule type="cellIs" priority="11" operator="lessThan" dxfId="1">
      <formula>0</formula>
    </cfRule>
  </conditionalFormatting>
  <conditionalFormatting sqref="A4:BC4">
    <cfRule type="cellIs" priority="1" operator="greaterThan" dxfId="2">
      <formula>0</formula>
    </cfRule>
  </conditionalFormatting>
  <conditionalFormatting sqref="A31:BC33 C42:BC42">
    <cfRule type="cellIs" priority="3" operator="lessThan" dxfId="1">
      <formula>0</formula>
    </cfRule>
  </conditionalFormatting>
  <conditionalFormatting sqref="C5:BC5">
    <cfRule type="cellIs" priority="2" operator="between" dxfId="3">
      <formula>0</formula>
      <formula>1000000</formula>
    </cfRule>
  </conditionalFormatting>
  <conditionalFormatting sqref="E24 K29">
    <cfRule type="notContainsBlanks" priority="13" dxfId="0">
      <formula>LEN(TRIM(I24))&gt;0</formula>
    </cfRule>
  </conditionalFormatting>
  <conditionalFormatting sqref="AF26">
    <cfRule type="notContainsBlanks" priority="16" dxfId="0">
      <formula>LEN(TRIM(AM26))&gt;0</formula>
    </cfRule>
  </conditionalFormatting>
  <conditionalFormatting sqref="AL26">
    <cfRule type="notContainsBlanks" priority="8" dxfId="0">
      <formula>LEN(TRIM(AR26))&gt;0</formula>
    </cfRule>
  </conditionalFormatting>
  <conditionalFormatting sqref="AM26">
    <cfRule type="notContainsBlanks" priority="15" dxfId="0">
      <formula>LEN(TRIM(AR26))&gt;0</formula>
    </cfRule>
  </conditionalFormatting>
  <conditionalFormatting sqref="AV23">
    <cfRule type="notContainsBlanks" priority="7" dxfId="0">
      <formula>LEN(TRIM(BB23))&gt;0</formula>
    </cfRule>
  </conditionalFormatting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CC00"/>
    <outlinePr summaryBelow="1" summaryRight="1"/>
    <pageSetUpPr/>
  </sheetPr>
  <dimension ref="A1:O45"/>
  <sheetViews>
    <sheetView showZero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O11" sqref="O11"/>
    </sheetView>
  </sheetViews>
  <sheetFormatPr baseColWidth="8" defaultColWidth="14.42578125" defaultRowHeight="15" customHeight="1"/>
  <cols>
    <col width="21.42578125" customWidth="1" min="1" max="1"/>
    <col width="27.140625" customWidth="1" min="2" max="2"/>
    <col width="10.85546875" customWidth="1" min="3" max="14"/>
    <col width="14.42578125" customWidth="1" style="467" min="15" max="15"/>
  </cols>
  <sheetData>
    <row r="1" ht="19.5" customHeight="1">
      <c r="A1" s="19" t="inlineStr">
        <is>
          <t>Заполняем PL и CF еженедельный!</t>
        </is>
      </c>
      <c r="B1" s="1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 ht="13.5" customHeight="1">
      <c r="A2" s="4" t="inlineStr">
        <is>
          <t>Движение денежных средств</t>
        </is>
      </c>
      <c r="B2" s="20" t="n"/>
      <c r="C2" s="552" t="n">
        <v>2023</v>
      </c>
    </row>
    <row r="3" ht="13.5" customHeight="1">
      <c r="A3" s="21" t="n"/>
      <c r="B3" s="22" t="n"/>
      <c r="C3" s="5" t="inlineStr">
        <is>
          <t>Январь</t>
        </is>
      </c>
      <c r="D3" s="5" t="inlineStr">
        <is>
          <t>Февраль</t>
        </is>
      </c>
      <c r="E3" s="5" t="inlineStr">
        <is>
          <t>Март</t>
        </is>
      </c>
      <c r="F3" s="5" t="inlineStr">
        <is>
          <t>Апрель</t>
        </is>
      </c>
      <c r="G3" s="5" t="inlineStr">
        <is>
          <t>Май</t>
        </is>
      </c>
      <c r="H3" s="5" t="inlineStr">
        <is>
          <t>Июнь</t>
        </is>
      </c>
      <c r="I3" s="5" t="inlineStr">
        <is>
          <t>Июль</t>
        </is>
      </c>
      <c r="J3" s="5" t="inlineStr">
        <is>
          <t>Август</t>
        </is>
      </c>
      <c r="K3" s="5" t="inlineStr">
        <is>
          <t>Сентябрь</t>
        </is>
      </c>
      <c r="L3" s="5" t="inlineStr">
        <is>
          <t>Октябрь</t>
        </is>
      </c>
      <c r="M3" s="5" t="inlineStr">
        <is>
          <t>Ноябрь</t>
        </is>
      </c>
      <c r="N3" s="5" t="inlineStr">
        <is>
          <t>Декабрь</t>
        </is>
      </c>
    </row>
    <row r="4" ht="13.5" customHeight="1">
      <c r="A4" s="6" t="inlineStr">
        <is>
          <t>Поступление товара по цене закупки</t>
        </is>
      </c>
      <c r="B4" s="7" t="n"/>
      <c r="C4" s="9">
        <f>'PL WB'!C10+'PL OZON'!C10</f>
        <v/>
      </c>
      <c r="D4" s="9">
        <f>'PL WB'!D10+'PL OZON'!D10</f>
        <v/>
      </c>
      <c r="E4" s="9">
        <f>'PL WB'!E10+'PL OZON'!E10</f>
        <v/>
      </c>
      <c r="F4" s="9">
        <f>'PL WB'!F10+'PL OZON'!F10</f>
        <v/>
      </c>
      <c r="G4" s="9">
        <f>'PL WB'!G10+'PL OZON'!G10</f>
        <v/>
      </c>
      <c r="H4" s="9">
        <f>'PL WB'!H10+'PL OZON'!H10</f>
        <v/>
      </c>
      <c r="I4" s="9">
        <f>'PL WB'!I10+'PL OZON'!I10</f>
        <v/>
      </c>
      <c r="J4" s="9">
        <f>'PL WB'!J10+'PL OZON'!J10</f>
        <v/>
      </c>
      <c r="K4" s="9">
        <f>'PL WB'!K10+'PL OZON'!K10</f>
        <v/>
      </c>
      <c r="L4" s="9">
        <f>'PL WB'!L10+'PL OZON'!L10</f>
        <v/>
      </c>
      <c r="M4" s="9">
        <f>'PL WB'!M10+'PL OZON'!M10</f>
        <v/>
      </c>
      <c r="N4" s="9">
        <f>'PL WB'!N10+'PL OZON'!N10</f>
        <v/>
      </c>
      <c r="O4" s="468">
        <f>SUM(C4:N4)</f>
        <v/>
      </c>
    </row>
    <row r="5" ht="13.5" customHeight="1">
      <c r="A5" s="23" t="inlineStr">
        <is>
          <t>Доступно на складе по цене закупки</t>
        </is>
      </c>
      <c r="B5" s="24" t="n"/>
      <c r="C5" s="25">
        <f>'PL WB'!C12+'PL OZON'!C12</f>
        <v/>
      </c>
      <c r="D5" s="25">
        <f>'PL WB'!D12+'PL OZON'!D12</f>
        <v/>
      </c>
      <c r="E5" s="25">
        <f>'PL WB'!E12+'PL OZON'!E12</f>
        <v/>
      </c>
      <c r="F5" s="25">
        <f>'PL WB'!F12+'PL OZON'!F12</f>
        <v/>
      </c>
      <c r="G5" s="25">
        <f>'PL WB'!G12+'PL OZON'!G12</f>
        <v/>
      </c>
      <c r="H5" s="25">
        <f>'PL WB'!H12+'PL OZON'!H12</f>
        <v/>
      </c>
      <c r="I5" s="25">
        <f>'PL WB'!I12+'PL OZON'!I12</f>
        <v/>
      </c>
      <c r="J5" s="25">
        <f>'PL WB'!J12+'PL OZON'!J12</f>
        <v/>
      </c>
      <c r="K5" s="25">
        <f>'PL WB'!K12+'PL OZON'!K12</f>
        <v/>
      </c>
      <c r="L5" s="25">
        <f>'PL WB'!L12+'PL OZON'!L12</f>
        <v/>
      </c>
      <c r="M5" s="25">
        <f>'PL WB'!M12+'PL OZON'!M12</f>
        <v/>
      </c>
      <c r="N5" s="25">
        <f>'PL WB'!N12+'PL OZON'!N12</f>
        <v/>
      </c>
      <c r="O5" s="468" t="n"/>
    </row>
    <row r="6" ht="13.5" customHeight="1">
      <c r="A6" s="6" t="n"/>
      <c r="B6" s="7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468" t="n"/>
    </row>
    <row r="7" ht="13.5" customHeight="1">
      <c r="A7" s="26" t="inlineStr">
        <is>
          <t>Остаток денежных средств на начало периода</t>
        </is>
      </c>
      <c r="B7" s="27" t="n"/>
      <c r="C7" s="28">
        <f>'CF (нед)'!C7</f>
        <v/>
      </c>
      <c r="D7" s="29">
        <f>C42</f>
        <v/>
      </c>
      <c r="E7" s="29">
        <f>D42</f>
        <v/>
      </c>
      <c r="F7" s="29">
        <f>E42</f>
        <v/>
      </c>
      <c r="G7" s="29">
        <f>F42</f>
        <v/>
      </c>
      <c r="H7" s="29">
        <f>G42</f>
        <v/>
      </c>
      <c r="I7" s="29">
        <f>H42</f>
        <v/>
      </c>
      <c r="J7" s="29">
        <f>I42</f>
        <v/>
      </c>
      <c r="K7" s="29">
        <f>J42</f>
        <v/>
      </c>
      <c r="L7" s="29">
        <f>K42</f>
        <v/>
      </c>
      <c r="M7" s="29">
        <f>L42</f>
        <v/>
      </c>
      <c r="N7" s="29">
        <f>M42</f>
        <v/>
      </c>
      <c r="O7" s="468" t="n"/>
    </row>
    <row r="8" ht="13.5" customHeight="1">
      <c r="A8" s="30" t="n"/>
      <c r="B8" s="31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468" t="n"/>
    </row>
    <row r="9" ht="13.5" customHeight="1">
      <c r="A9" s="32" t="inlineStr">
        <is>
          <t>Поступление на счет</t>
        </is>
      </c>
      <c r="B9" s="31" t="n"/>
      <c r="C9" s="12">
        <f>'PL WB'!C30+'PL OZON'!C30</f>
        <v/>
      </c>
      <c r="D9" s="12">
        <f>'PL WB'!D30+'PL OZON'!D30</f>
        <v/>
      </c>
      <c r="E9" s="12">
        <f>'PL WB'!E30+'PL OZON'!E30</f>
        <v/>
      </c>
      <c r="F9" s="12">
        <f>'PL WB'!F30+'PL OZON'!F30</f>
        <v/>
      </c>
      <c r="G9" s="12">
        <f>'PL WB'!G30+'PL OZON'!G30</f>
        <v/>
      </c>
      <c r="H9" s="12">
        <f>'PL WB'!H30+'PL OZON'!H30</f>
        <v/>
      </c>
      <c r="I9" s="12">
        <f>'PL WB'!I30+'PL OZON'!I30</f>
        <v/>
      </c>
      <c r="J9" s="12">
        <f>'PL WB'!J30+'PL OZON'!J30</f>
        <v/>
      </c>
      <c r="K9" s="12">
        <f>'PL WB'!K30+'PL OZON'!K30</f>
        <v/>
      </c>
      <c r="L9" s="12">
        <f>'PL WB'!L30+'PL OZON'!L30</f>
        <v/>
      </c>
      <c r="M9" s="12">
        <f>'PL WB'!M30+'PL OZON'!M30</f>
        <v/>
      </c>
      <c r="N9" s="12">
        <f>'PL WB'!N30+'PL OZON'!N30</f>
        <v/>
      </c>
      <c r="O9" s="468">
        <f>SUM(C9:N9)</f>
        <v/>
      </c>
    </row>
    <row r="10" ht="13.5" customHeight="1">
      <c r="A10" s="30" t="n"/>
      <c r="B10" s="31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468" t="n"/>
    </row>
    <row r="11" ht="13.5" customHeight="1">
      <c r="A11" s="33" t="inlineStr">
        <is>
          <t>Итого остаток + поступление</t>
        </is>
      </c>
      <c r="B11" s="34" t="n"/>
      <c r="C11" s="35">
        <f>C7+C9</f>
        <v/>
      </c>
      <c r="D11" s="36">
        <f>D7+D9</f>
        <v/>
      </c>
      <c r="E11" s="36">
        <f>E7+E9</f>
        <v/>
      </c>
      <c r="F11" s="36">
        <f>F7+F9</f>
        <v/>
      </c>
      <c r="G11" s="36">
        <f>G7+G9</f>
        <v/>
      </c>
      <c r="H11" s="36">
        <f>H7+H9</f>
        <v/>
      </c>
      <c r="I11" s="36">
        <f>I7+I9</f>
        <v/>
      </c>
      <c r="J11" s="36">
        <f>J7+J9</f>
        <v/>
      </c>
      <c r="K11" s="36">
        <f>K7+K9</f>
        <v/>
      </c>
      <c r="L11" s="36">
        <f>L7+L9</f>
        <v/>
      </c>
      <c r="M11" s="36">
        <f>M7+M9</f>
        <v/>
      </c>
      <c r="N11" s="36">
        <f>N7+N9</f>
        <v/>
      </c>
      <c r="O11" s="36" t="n"/>
    </row>
    <row r="12" ht="13.5" customHeight="1">
      <c r="A12" s="6" t="n"/>
      <c r="B12" s="7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468" t="n"/>
    </row>
    <row r="13" ht="13.5" customHeight="1">
      <c r="A13" s="37" t="inlineStr">
        <is>
          <t>Расходы - факт списания</t>
        </is>
      </c>
      <c r="B13" s="38" t="n"/>
      <c r="C13" s="39">
        <f>SUM(C14:C19)</f>
        <v/>
      </c>
      <c r="D13" s="40">
        <f>SUM(D14:D19)</f>
        <v/>
      </c>
      <c r="E13" s="40">
        <f>SUM(E14:E19)</f>
        <v/>
      </c>
      <c r="F13" s="40">
        <f>SUM(F14:F19)</f>
        <v/>
      </c>
      <c r="G13" s="40">
        <f>SUM(G14:G19)</f>
        <v/>
      </c>
      <c r="H13" s="40">
        <f>SUM(H14:H19)</f>
        <v/>
      </c>
      <c r="I13" s="40">
        <f>SUM(I14:I19)</f>
        <v/>
      </c>
      <c r="J13" s="40">
        <f>SUM(J14:J19)</f>
        <v/>
      </c>
      <c r="K13" s="40">
        <f>SUM(K14:K19)</f>
        <v/>
      </c>
      <c r="L13" s="40">
        <f>SUM(L14:L19)</f>
        <v/>
      </c>
      <c r="M13" s="40">
        <f>SUM(M14:M19)</f>
        <v/>
      </c>
      <c r="N13" s="40">
        <f>SUM(N14:N19)</f>
        <v/>
      </c>
      <c r="O13" s="468">
        <f>SUM(C13:N13)</f>
        <v/>
      </c>
    </row>
    <row r="14" ht="13.5" customHeight="1">
      <c r="A14" s="11" t="inlineStr">
        <is>
          <t>Контент</t>
        </is>
      </c>
      <c r="B14" s="41" t="n"/>
      <c r="C14" s="8">
        <f>'PL WB'!C47+'PL OZON'!C47</f>
        <v/>
      </c>
      <c r="D14" s="8">
        <f>'PL WB'!D47+'PL OZON'!D47</f>
        <v/>
      </c>
      <c r="E14" s="8">
        <f>'PL WB'!E47+'PL OZON'!E47</f>
        <v/>
      </c>
      <c r="F14" s="8">
        <f>'PL WB'!F47+'PL OZON'!F47</f>
        <v/>
      </c>
      <c r="G14" s="8">
        <f>'PL WB'!G47+'PL OZON'!G47</f>
        <v/>
      </c>
      <c r="H14" s="8">
        <f>'PL WB'!H47+'PL OZON'!H47</f>
        <v/>
      </c>
      <c r="I14" s="8">
        <f>'PL WB'!I47+'PL OZON'!I47</f>
        <v/>
      </c>
      <c r="J14" s="8">
        <f>'PL WB'!J47+'PL OZON'!J47</f>
        <v/>
      </c>
      <c r="K14" s="8">
        <f>'PL WB'!K47+'PL OZON'!K47</f>
        <v/>
      </c>
      <c r="L14" s="8">
        <f>'PL WB'!L47+'PL OZON'!L47</f>
        <v/>
      </c>
      <c r="M14" s="8">
        <f>'PL WB'!M47+'PL OZON'!M47</f>
        <v/>
      </c>
      <c r="N14" s="8">
        <f>'PL WB'!N47+'PL OZON'!N47</f>
        <v/>
      </c>
      <c r="O14" s="468">
        <f>SUM(C14:N14)</f>
        <v/>
      </c>
    </row>
    <row r="15" ht="13.5" customHeight="1">
      <c r="A15" s="11" t="inlineStr">
        <is>
          <t>Аренда офиса</t>
        </is>
      </c>
      <c r="B15" s="41" t="n"/>
      <c r="C15" s="8">
        <f>'PL WB'!C48+'PL OZON'!C48</f>
        <v/>
      </c>
      <c r="D15" s="8">
        <f>'PL WB'!D48+'PL OZON'!D48</f>
        <v/>
      </c>
      <c r="E15" s="8">
        <f>'PL WB'!E48+'PL OZON'!E48</f>
        <v/>
      </c>
      <c r="F15" s="8">
        <f>'PL WB'!F48+'PL OZON'!F48</f>
        <v/>
      </c>
      <c r="G15" s="8">
        <f>'PL WB'!G48+'PL OZON'!G48</f>
        <v/>
      </c>
      <c r="H15" s="8">
        <f>'PL WB'!H48+'PL OZON'!H48</f>
        <v/>
      </c>
      <c r="I15" s="8">
        <f>'PL WB'!I48+'PL OZON'!I48</f>
        <v/>
      </c>
      <c r="J15" s="8">
        <f>'PL WB'!J48+'PL OZON'!J48</f>
        <v/>
      </c>
      <c r="K15" s="8">
        <f>'PL WB'!K48+'PL OZON'!K48</f>
        <v/>
      </c>
      <c r="L15" s="8">
        <f>'PL WB'!L48+'PL OZON'!L48</f>
        <v/>
      </c>
      <c r="M15" s="8">
        <f>'PL WB'!M48+'PL OZON'!M48</f>
        <v/>
      </c>
      <c r="N15" s="8">
        <f>'PL WB'!N48+'PL OZON'!N48</f>
        <v/>
      </c>
      <c r="O15" s="468">
        <f>SUM(C15:N15)</f>
        <v/>
      </c>
    </row>
    <row r="16" ht="13.5" customHeight="1">
      <c r="A16" s="11" t="inlineStr">
        <is>
          <t>Реклама внешняя</t>
        </is>
      </c>
      <c r="B16" s="41" t="n"/>
      <c r="C16" s="8">
        <f>'PL WB'!C49+'PL OZON'!C49</f>
        <v/>
      </c>
      <c r="D16" s="8">
        <f>'PL WB'!D49+'PL OZON'!D49</f>
        <v/>
      </c>
      <c r="E16" s="8">
        <f>'PL WB'!E49+'PL OZON'!E49</f>
        <v/>
      </c>
      <c r="F16" s="8">
        <f>'PL WB'!F49+'PL OZON'!F49</f>
        <v/>
      </c>
      <c r="G16" s="8">
        <f>'PL WB'!G49+'PL OZON'!G49</f>
        <v/>
      </c>
      <c r="H16" s="8">
        <f>'PL WB'!H49+'PL OZON'!H49</f>
        <v/>
      </c>
      <c r="I16" s="8">
        <f>'PL WB'!I49+'PL OZON'!I49</f>
        <v/>
      </c>
      <c r="J16" s="8">
        <f>'PL WB'!J49+'PL OZON'!J49</f>
        <v/>
      </c>
      <c r="K16" s="8">
        <f>'PL WB'!K49+'PL OZON'!K49</f>
        <v/>
      </c>
      <c r="L16" s="8">
        <f>'PL WB'!L49+'PL OZON'!L49</f>
        <v/>
      </c>
      <c r="M16" s="8">
        <f>'PL WB'!M49+'PL OZON'!M49</f>
        <v/>
      </c>
      <c r="N16" s="8">
        <f>'PL WB'!N49+'PL OZON'!N49</f>
        <v/>
      </c>
      <c r="O16" s="468">
        <f>SUM(C16:N16)</f>
        <v/>
      </c>
    </row>
    <row r="17" ht="13.5" customHeight="1">
      <c r="A17" s="11" t="inlineStr">
        <is>
          <t>Продвижение</t>
        </is>
      </c>
      <c r="B17" s="41" t="n"/>
      <c r="C17" s="8">
        <f>'PL WB'!C41+'PL OZON'!C41</f>
        <v/>
      </c>
      <c r="D17" s="8">
        <f>'PL WB'!D41+'PL OZON'!D41</f>
        <v/>
      </c>
      <c r="E17" s="8">
        <f>'PL WB'!E41+'PL OZON'!E41</f>
        <v/>
      </c>
      <c r="F17" s="8">
        <f>'PL WB'!F41+'PL OZON'!F41</f>
        <v/>
      </c>
      <c r="G17" s="8">
        <f>'PL WB'!G41+'PL OZON'!G41</f>
        <v/>
      </c>
      <c r="H17" s="8">
        <f>'PL WB'!H41+'PL OZON'!H41</f>
        <v/>
      </c>
      <c r="I17" s="8">
        <f>'PL WB'!I41+'PL OZON'!I41</f>
        <v/>
      </c>
      <c r="J17" s="8">
        <f>'PL WB'!J41+'PL OZON'!J41</f>
        <v/>
      </c>
      <c r="K17" s="8">
        <f>'PL WB'!K41+'PL OZON'!K41</f>
        <v/>
      </c>
      <c r="L17" s="8">
        <f>'PL WB'!L41+'PL OZON'!L41</f>
        <v/>
      </c>
      <c r="M17" s="8">
        <f>'PL WB'!M41+'PL OZON'!M41</f>
        <v/>
      </c>
      <c r="N17" s="8">
        <f>'PL WB'!N41+'PL OZON'!N41</f>
        <v/>
      </c>
      <c r="O17" s="468">
        <f>SUM(C17:N17)</f>
        <v/>
      </c>
    </row>
    <row r="18" ht="13.5" customHeight="1">
      <c r="A18" s="11" t="inlineStr">
        <is>
          <t>Подписка Аналитика</t>
        </is>
      </c>
      <c r="B18" s="41" t="n"/>
      <c r="C18" s="8">
        <f>'PL WB'!C50+'PL OZON'!C50</f>
        <v/>
      </c>
      <c r="D18" s="8">
        <f>'PL WB'!D50+'PL OZON'!D50</f>
        <v/>
      </c>
      <c r="E18" s="8">
        <f>'PL WB'!E50+'PL OZON'!E50</f>
        <v/>
      </c>
      <c r="F18" s="8">
        <f>'PL WB'!F50+'PL OZON'!F50</f>
        <v/>
      </c>
      <c r="G18" s="8">
        <f>'PL WB'!G50+'PL OZON'!G50</f>
        <v/>
      </c>
      <c r="H18" s="8">
        <f>'PL WB'!H50+'PL OZON'!H50</f>
        <v/>
      </c>
      <c r="I18" s="8">
        <f>'PL WB'!I50+'PL OZON'!I50</f>
        <v/>
      </c>
      <c r="J18" s="8">
        <f>'PL WB'!J50+'PL OZON'!J50</f>
        <v/>
      </c>
      <c r="K18" s="8">
        <f>'PL WB'!K50+'PL OZON'!K50</f>
        <v/>
      </c>
      <c r="L18" s="8">
        <f>'PL WB'!L50+'PL OZON'!L50</f>
        <v/>
      </c>
      <c r="M18" s="8">
        <f>'PL WB'!M50+'PL OZON'!M50</f>
        <v/>
      </c>
      <c r="N18" s="8">
        <f>'PL WB'!N50+'PL OZON'!N50</f>
        <v/>
      </c>
      <c r="O18" s="468">
        <f>SUM(C18:N18)</f>
        <v/>
      </c>
    </row>
    <row r="19" ht="13.5" customHeight="1">
      <c r="A19" s="42" t="n"/>
      <c r="B19" s="10" t="n"/>
      <c r="C19" s="9">
        <f>'PL WB'!C51+'PL OZON'!C51</f>
        <v/>
      </c>
      <c r="D19" s="9">
        <f>'PL WB'!D51+'PL OZON'!D51</f>
        <v/>
      </c>
      <c r="E19" s="9">
        <f>'PL WB'!E51+'PL OZON'!E51</f>
        <v/>
      </c>
      <c r="F19" s="9">
        <f>'PL WB'!F51+'PL OZON'!F51</f>
        <v/>
      </c>
      <c r="G19" s="9">
        <f>'PL WB'!G51+'PL OZON'!G51</f>
        <v/>
      </c>
      <c r="H19" s="9">
        <f>'PL WB'!H51+'PL OZON'!H51</f>
        <v/>
      </c>
      <c r="I19" s="9">
        <f>'PL WB'!I51+'PL OZON'!I51</f>
        <v/>
      </c>
      <c r="J19" s="9">
        <f>'PL WB'!J51+'PL OZON'!J51</f>
        <v/>
      </c>
      <c r="K19" s="9">
        <f>'PL WB'!K51+'PL OZON'!K51</f>
        <v/>
      </c>
      <c r="L19" s="9">
        <f>'PL WB'!L51+'PL OZON'!L51</f>
        <v/>
      </c>
      <c r="M19" s="9">
        <f>'PL WB'!M51+'PL OZON'!M51</f>
        <v/>
      </c>
      <c r="N19" s="9">
        <f>'PL WB'!N51+'PL OZON'!N51</f>
        <v/>
      </c>
      <c r="O19" s="468">
        <f>SUM(C19:N19)</f>
        <v/>
      </c>
    </row>
    <row r="20" ht="13.5" customHeight="1">
      <c r="A20" s="42" t="n"/>
      <c r="B20" s="10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468" t="n"/>
    </row>
    <row r="21" ht="13.5" customHeight="1">
      <c r="A21" s="26" t="inlineStr">
        <is>
          <t>Налоги уплаченные</t>
        </is>
      </c>
      <c r="B21" s="27" t="n"/>
      <c r="C21" s="43">
        <f>'PL WB'!C55+'PL OZON'!C55</f>
        <v/>
      </c>
      <c r="D21" s="43">
        <f>'PL WB'!D55+'PL OZON'!D55</f>
        <v/>
      </c>
      <c r="E21" s="43">
        <f>'PL WB'!E55+'PL OZON'!E55</f>
        <v/>
      </c>
      <c r="F21" s="43">
        <f>'PL WB'!F55+'PL OZON'!F55</f>
        <v/>
      </c>
      <c r="G21" s="43">
        <f>'PL WB'!G55+'PL OZON'!G55</f>
        <v/>
      </c>
      <c r="H21" s="43">
        <f>'PL WB'!H55+'PL OZON'!H55</f>
        <v/>
      </c>
      <c r="I21" s="43">
        <f>'PL WB'!I55+'PL OZON'!I55</f>
        <v/>
      </c>
      <c r="J21" s="43">
        <f>'PL WB'!J55+'PL OZON'!J55</f>
        <v/>
      </c>
      <c r="K21" s="43">
        <f>'PL WB'!K55+'PL OZON'!K55</f>
        <v/>
      </c>
      <c r="L21" s="43">
        <f>'PL WB'!L55+'PL OZON'!L55</f>
        <v/>
      </c>
      <c r="M21" s="43">
        <f>'PL WB'!M55+'PL OZON'!M55</f>
        <v/>
      </c>
      <c r="N21" s="43">
        <f>'PL WB'!N55+'PL OZON'!N55</f>
        <v/>
      </c>
      <c r="O21" s="468">
        <f>SUM(C21:N21)</f>
        <v/>
      </c>
    </row>
    <row r="22" ht="13.5" customHeight="1">
      <c r="A22" s="6" t="n"/>
      <c r="B22" s="7" t="n"/>
      <c r="C22" s="8" t="n"/>
      <c r="D22" s="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468" t="n"/>
    </row>
    <row r="23" ht="13.5" customHeight="1">
      <c r="A23" s="30" t="inlineStr">
        <is>
          <t>Закупка Китай</t>
        </is>
      </c>
      <c r="B23" s="31" t="n"/>
      <c r="C23" s="8">
        <f>SUM('CF (нед)'!C23:G23)</f>
        <v/>
      </c>
      <c r="D23" s="8">
        <f>SUM('CF (нед)'!H23:K23)</f>
        <v/>
      </c>
      <c r="E23" s="8">
        <f>SUM('CF (нед)'!L23:O23)</f>
        <v/>
      </c>
      <c r="F23" s="8">
        <f>SUM('CF (нед)'!P23:S23)</f>
        <v/>
      </c>
      <c r="G23" s="8">
        <f>SUM('CF (нед)'!T23:X23)</f>
        <v/>
      </c>
      <c r="H23" s="8">
        <f>SUM('CF (нед)'!Y23:AB23)</f>
        <v/>
      </c>
      <c r="I23" s="8">
        <f>SUM('CF (нед)'!AC23:AF23)</f>
        <v/>
      </c>
      <c r="J23" s="8">
        <f>SUM('CF (нед)'!AG23:AK23)</f>
        <v/>
      </c>
      <c r="K23" s="8">
        <f>SUM('CF (нед)'!AL23:AO23)</f>
        <v/>
      </c>
      <c r="L23" s="8">
        <f>SUM('CF (нед)'!AP23:AT23)</f>
        <v/>
      </c>
      <c r="M23" s="8">
        <f>SUM('CF (нед)'!AU23:AX23)</f>
        <v/>
      </c>
      <c r="N23" s="8">
        <f>SUM('CF (нед)'!AY23:BB23)</f>
        <v/>
      </c>
      <c r="O23" s="468">
        <f>SUM(C23:N23)</f>
        <v/>
      </c>
    </row>
    <row r="24" ht="13.5" customHeight="1">
      <c r="A24" s="30" t="inlineStr">
        <is>
          <t>Закупка нал</t>
        </is>
      </c>
      <c r="B24" s="31" t="n"/>
      <c r="C24" s="8">
        <f>SUM('CF (нед)'!C24:G24)</f>
        <v/>
      </c>
      <c r="D24" s="8">
        <f>SUM('CF (нед)'!H24:K24)</f>
        <v/>
      </c>
      <c r="E24" s="8">
        <f>SUM('CF (нед)'!L24:O24)</f>
        <v/>
      </c>
      <c r="F24" s="8">
        <f>SUM('CF (нед)'!P24:S24)</f>
        <v/>
      </c>
      <c r="G24" s="8">
        <f>SUM('CF (нед)'!T24:X24)</f>
        <v/>
      </c>
      <c r="H24" s="8">
        <f>SUM('CF (нед)'!Y24:AB24)</f>
        <v/>
      </c>
      <c r="I24" s="8">
        <f>SUM('CF (нед)'!AC24:AF24)</f>
        <v/>
      </c>
      <c r="J24" s="8">
        <f>SUM('CF (нед)'!AG24:AK24)</f>
        <v/>
      </c>
      <c r="K24" s="8">
        <f>SUM('CF (нед)'!AL24:AO24)</f>
        <v/>
      </c>
      <c r="L24" s="8">
        <f>SUM('CF (нед)'!AP24:AT24)</f>
        <v/>
      </c>
      <c r="M24" s="8">
        <f>SUM('CF (нед)'!AU24:AX24)</f>
        <v/>
      </c>
      <c r="N24" s="8">
        <f>SUM('CF (нед)'!AY24:BB24)</f>
        <v/>
      </c>
      <c r="O24" s="468">
        <f>SUM(C24:N24)</f>
        <v/>
      </c>
    </row>
    <row r="25" ht="13.5" customHeight="1">
      <c r="A25" s="30" t="inlineStr">
        <is>
          <t>Закупка р/с</t>
        </is>
      </c>
      <c r="B25" s="31" t="n"/>
      <c r="C25" s="8">
        <f>SUM('CF (нед)'!C25:G25)</f>
        <v/>
      </c>
      <c r="D25" s="8">
        <f>SUM('CF (нед)'!H25:K25)</f>
        <v/>
      </c>
      <c r="E25" s="8">
        <f>SUM('CF (нед)'!L25:O25)</f>
        <v/>
      </c>
      <c r="F25" s="8">
        <f>SUM('CF (нед)'!P25:S25)</f>
        <v/>
      </c>
      <c r="G25" s="8">
        <f>SUM('CF (нед)'!T25:X25)</f>
        <v/>
      </c>
      <c r="H25" s="8">
        <f>SUM('CF (нед)'!Y25:AB25)</f>
        <v/>
      </c>
      <c r="I25" s="8">
        <f>SUM('CF (нед)'!AC25:AF25)</f>
        <v/>
      </c>
      <c r="J25" s="8">
        <f>SUM('CF (нед)'!AG25:AK25)</f>
        <v/>
      </c>
      <c r="K25" s="8">
        <f>SUM('CF (нед)'!AL25:AO25)</f>
        <v/>
      </c>
      <c r="L25" s="8">
        <f>SUM('CF (нед)'!AP25:AT25)</f>
        <v/>
      </c>
      <c r="M25" s="8">
        <f>SUM('CF (нед)'!AU25:AX25)</f>
        <v/>
      </c>
      <c r="N25" s="8">
        <f>SUM('CF (нед)'!AY25:BB25)</f>
        <v/>
      </c>
      <c r="O25" s="468">
        <f>SUM(C25:N25)</f>
        <v/>
      </c>
    </row>
    <row r="26" ht="13.5" customHeight="1">
      <c r="A26" s="30" t="inlineStr">
        <is>
          <t>Доставка Китай</t>
        </is>
      </c>
      <c r="B26" s="31" t="n"/>
      <c r="C26" s="8">
        <f>SUM('CF (нед)'!C26:G26)</f>
        <v/>
      </c>
      <c r="D26" s="8">
        <f>SUM('CF (нед)'!H26:K26)</f>
        <v/>
      </c>
      <c r="E26" s="8">
        <f>SUM('CF (нед)'!L26:O26)</f>
        <v/>
      </c>
      <c r="F26" s="8">
        <f>SUM('CF (нед)'!P26:S26)</f>
        <v/>
      </c>
      <c r="G26" s="8">
        <f>SUM('CF (нед)'!T26:X26)</f>
        <v/>
      </c>
      <c r="H26" s="8">
        <f>SUM('CF (нед)'!Y26:AB26)</f>
        <v/>
      </c>
      <c r="I26" s="8">
        <f>SUM('CF (нед)'!AC26:AF26)</f>
        <v/>
      </c>
      <c r="J26" s="8">
        <f>SUM('CF (нед)'!AG26:AK26)</f>
        <v/>
      </c>
      <c r="K26" s="8">
        <f>SUM('CF (нед)'!AM26:AO26)</f>
        <v/>
      </c>
      <c r="L26" s="8">
        <f>SUM('CF (нед)'!AP26:AT26)</f>
        <v/>
      </c>
      <c r="M26" s="8">
        <f>SUM('CF (нед)'!AU26:AX26)</f>
        <v/>
      </c>
      <c r="N26" s="8">
        <f>SUM('CF (нед)'!AY26:BB26)</f>
        <v/>
      </c>
      <c r="O26" s="468">
        <f>SUM(C26:N26)</f>
        <v/>
      </c>
    </row>
    <row r="27" ht="13.5" customHeight="1">
      <c r="A27" s="30" t="inlineStr">
        <is>
          <t>Доставка РФ</t>
        </is>
      </c>
      <c r="B27" s="31" t="n"/>
      <c r="C27" s="8">
        <f>SUM('CF (нед)'!C27:G27)</f>
        <v/>
      </c>
      <c r="D27" s="8">
        <f>SUM('CF (нед)'!H27:K27)</f>
        <v/>
      </c>
      <c r="E27" s="8">
        <f>SUM('CF (нед)'!L27:O27)</f>
        <v/>
      </c>
      <c r="F27" s="8">
        <f>SUM('CF (нед)'!P27:S27)</f>
        <v/>
      </c>
      <c r="G27" s="8">
        <f>SUM('CF (нед)'!T27:X27)</f>
        <v/>
      </c>
      <c r="H27" s="8">
        <f>SUM('CF (нед)'!Y27:AB27)</f>
        <v/>
      </c>
      <c r="I27" s="8">
        <f>SUM('CF (нед)'!AC27:AF27)</f>
        <v/>
      </c>
      <c r="J27" s="8">
        <f>SUM('CF (нед)'!AG27:AK27)</f>
        <v/>
      </c>
      <c r="K27" s="8">
        <f>SUM('CF (нед)'!AL27:AO27)</f>
        <v/>
      </c>
      <c r="L27" s="8">
        <f>SUM('CF (нед)'!AP27:AT27)</f>
        <v/>
      </c>
      <c r="M27" s="8">
        <f>SUM('CF (нед)'!AU27:AX27)</f>
        <v/>
      </c>
      <c r="N27" s="8">
        <f>SUM('CF (нед)'!AY27:BB27)</f>
        <v/>
      </c>
      <c r="O27" s="468">
        <f>SUM(C27:N27)</f>
        <v/>
      </c>
    </row>
    <row r="28" ht="13.5" customHeight="1">
      <c r="A28" s="30" t="n"/>
      <c r="B28" s="31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468" t="n"/>
    </row>
    <row r="29" ht="13.5" customHeight="1">
      <c r="A29" s="30" t="inlineStr">
        <is>
          <t>Вложения инвестора</t>
        </is>
      </c>
      <c r="B29" s="31" t="n"/>
      <c r="C29" s="8">
        <f>SUM('CF (нед)'!C29:G29)</f>
        <v/>
      </c>
      <c r="D29" s="8">
        <f>SUM('CF (нед)'!H29:K29)</f>
        <v/>
      </c>
      <c r="E29" s="8">
        <f>SUM('CF (нед)'!L29:O29)</f>
        <v/>
      </c>
      <c r="F29" s="8">
        <f>SUM('CF (нед)'!P29:S29)</f>
        <v/>
      </c>
      <c r="G29" s="8">
        <f>SUM('CF (нед)'!T29:X29)</f>
        <v/>
      </c>
      <c r="H29" s="8">
        <f>SUM('CF (нед)'!Y29:AB29)</f>
        <v/>
      </c>
      <c r="I29" s="8">
        <f>SUM('CF (нед)'!AC29:AF29)</f>
        <v/>
      </c>
      <c r="J29" s="8">
        <f>SUM('CF (нед)'!AG29:AK29)</f>
        <v/>
      </c>
      <c r="K29" s="8">
        <f>SUM('CF (нед)'!AL29:AO29)</f>
        <v/>
      </c>
      <c r="L29" s="8">
        <f>SUM('CF (нед)'!AP29:AT29)</f>
        <v/>
      </c>
      <c r="M29" s="8">
        <f>SUM('CF (нед)'!AU29:AX29)</f>
        <v/>
      </c>
      <c r="N29" s="8">
        <f>SUM('CF (нед)'!AY29:BB29)</f>
        <v/>
      </c>
      <c r="O29" s="468">
        <f>SUM(C29:N29)</f>
        <v/>
      </c>
    </row>
    <row r="30" ht="13.5" customHeight="1">
      <c r="A30" s="44" t="n"/>
      <c r="B30" s="45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68" t="n"/>
    </row>
    <row r="31" ht="13.5" customHeight="1">
      <c r="A31" s="46" t="inlineStr">
        <is>
          <t>Самовыкупы (покупка товара)</t>
        </is>
      </c>
      <c r="B31" s="47" t="n"/>
      <c r="C31" s="48">
        <f>SUM('CF (нед)'!C31:G31)</f>
        <v/>
      </c>
      <c r="D31" s="48">
        <f>SUM('CF (нед)'!H31:K31)</f>
        <v/>
      </c>
      <c r="E31" s="48">
        <f>SUM('CF (нед)'!L31:O31)</f>
        <v/>
      </c>
      <c r="F31" s="48">
        <f>SUM('CF (нед)'!P31:S31)</f>
        <v/>
      </c>
      <c r="G31" s="48">
        <f>SUM('CF (нед)'!T31:X31)</f>
        <v/>
      </c>
      <c r="H31" s="48">
        <f>SUM('CF (нед)'!Y31:AB31)</f>
        <v/>
      </c>
      <c r="I31" s="48">
        <f>SUM('CF (нед)'!AC31:AF31)</f>
        <v/>
      </c>
      <c r="J31" s="48">
        <f>SUM('CF (нед)'!AG31:AK31)</f>
        <v/>
      </c>
      <c r="K31" s="48">
        <f>SUM('CF (нед)'!AL31:AO31)</f>
        <v/>
      </c>
      <c r="L31" s="48">
        <f>SUM('CF (нед)'!AP31:AT31)</f>
        <v/>
      </c>
      <c r="M31" s="48">
        <f>SUM('CF (нед)'!AU31:AX31)</f>
        <v/>
      </c>
      <c r="N31" s="48">
        <f>SUM('CF (нед)'!AY31:BB31)</f>
        <v/>
      </c>
      <c r="O31" s="468">
        <f>SUM(C31:N31)</f>
        <v/>
      </c>
    </row>
    <row r="33" ht="13.5" customHeight="1">
      <c r="A33" s="49" t="inlineStr">
        <is>
          <t>Остаток денежных средств на конец периода</t>
        </is>
      </c>
      <c r="B33" s="50" t="n"/>
      <c r="C33" s="51">
        <f>C11-C13-C21-SUM(C23:C27)+C29-C31</f>
        <v/>
      </c>
      <c r="D33" s="52">
        <f>D11-D13-D21-SUM(D23:D27)+D29-D31</f>
        <v/>
      </c>
      <c r="E33" s="52">
        <f>E11-E13-E21-SUM(E23:E27)+E29-E31</f>
        <v/>
      </c>
      <c r="F33" s="52">
        <f>F11-F13-F21-SUM(F23:F27)+F29-F31</f>
        <v/>
      </c>
      <c r="G33" s="52">
        <f>G11-G13-G21-SUM(G23:G27)+G29-G31</f>
        <v/>
      </c>
      <c r="H33" s="52">
        <f>H11-H13-H21-SUM(H23:H27)+H29-H31</f>
        <v/>
      </c>
      <c r="I33" s="52">
        <f>I11-I13-I21-SUM(I23:I27)+I29-I31</f>
        <v/>
      </c>
      <c r="J33" s="52">
        <f>J11-J13-J21-SUM(J23:J27)+J29-J31</f>
        <v/>
      </c>
      <c r="K33" s="52">
        <f>K11-K13-K21-SUM(K23:K27)+K29-K31</f>
        <v/>
      </c>
      <c r="L33" s="52">
        <f>L11-L13-L21-SUM(L23:L27)+L29-L31</f>
        <v/>
      </c>
      <c r="M33" s="52">
        <f>M11-M13-M21-SUM(M23:M27)+M29-M31</f>
        <v/>
      </c>
      <c r="N33" s="52">
        <f>N11-N13-N21-SUM(N23:N27)+N29-N31</f>
        <v/>
      </c>
      <c r="O33" s="468" t="n"/>
    </row>
    <row r="34" ht="13.5" customHeight="1">
      <c r="A34" s="30" t="n"/>
      <c r="B34" s="53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468" t="n"/>
    </row>
    <row r="35" ht="13.5" customHeight="1">
      <c r="A35" s="30" t="n"/>
      <c r="B35" s="53" t="inlineStr">
        <is>
          <t>Авансы уплаченные</t>
        </is>
      </c>
      <c r="C35" s="55">
        <f>283707+SUM(C23:C27)-C4</f>
        <v/>
      </c>
      <c r="D35" s="55">
        <f>C35+SUM(D23:D27)-D4</f>
        <v/>
      </c>
      <c r="E35" s="55">
        <f>D35+SUM(E23:E27)-E4</f>
        <v/>
      </c>
      <c r="F35" s="55">
        <f>E35+SUM(F23:F27)-F4</f>
        <v/>
      </c>
      <c r="G35" s="55">
        <f>F35+SUM(G23:G27)-G4</f>
        <v/>
      </c>
      <c r="H35" s="55">
        <f>G35+SUM(H23:H27)-H4</f>
        <v/>
      </c>
      <c r="I35" s="55">
        <f>H35+SUM(I23:I27)-I4</f>
        <v/>
      </c>
      <c r="J35" s="55">
        <f>I35+SUM(J23:J27)-J4</f>
        <v/>
      </c>
      <c r="K35" s="55">
        <f>J35+SUM(K23:K27)-K4</f>
        <v/>
      </c>
      <c r="L35" s="55">
        <f>K35+SUM(L23:L27)-L4</f>
        <v/>
      </c>
      <c r="M35" s="55">
        <f>L35+SUM(M23:M27)-M4</f>
        <v/>
      </c>
      <c r="N35" s="55">
        <f>M35+SUM(N23:N27)-N4</f>
        <v/>
      </c>
      <c r="O35" s="468" t="n"/>
    </row>
    <row r="36" ht="13.5" customHeight="1">
      <c r="A36" s="30" t="n"/>
      <c r="B36" s="53" t="inlineStr">
        <is>
          <t>Денег в обороте</t>
        </is>
      </c>
      <c r="C36" s="55">
        <f>C5+C35+C42</f>
        <v/>
      </c>
      <c r="D36" s="55">
        <f>D5+D35+D42</f>
        <v/>
      </c>
      <c r="E36" s="55">
        <f>E5+E35+E42</f>
        <v/>
      </c>
      <c r="F36" s="55">
        <f>F5+F35+F42</f>
        <v/>
      </c>
      <c r="G36" s="55">
        <f>G5+G35+G42</f>
        <v/>
      </c>
      <c r="H36" s="55">
        <f>H5+H35+H42</f>
        <v/>
      </c>
      <c r="I36" s="55">
        <f>I5+I35+I42</f>
        <v/>
      </c>
      <c r="J36" s="55">
        <f>J5+J35+J42</f>
        <v/>
      </c>
      <c r="K36" s="55">
        <f>K5+K35+K42</f>
        <v/>
      </c>
      <c r="L36" s="55">
        <f>L5+L35+L42</f>
        <v/>
      </c>
      <c r="M36" s="55">
        <f>M5+M35+M42</f>
        <v/>
      </c>
      <c r="N36" s="55">
        <f>N5+N35+N42</f>
        <v/>
      </c>
      <c r="O36" s="468" t="n"/>
    </row>
    <row r="37" ht="13.5" customHeight="1">
      <c r="A37" s="30" t="n"/>
      <c r="B37" s="56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468" t="n"/>
    </row>
    <row r="38" ht="13.5" customHeight="1">
      <c r="A38" s="30" t="inlineStr">
        <is>
          <t>Выплата дивидентов:</t>
        </is>
      </c>
      <c r="B38" s="53" t="n"/>
      <c r="C38" s="55">
        <f>SUM('CF (нед)'!C38:G38)</f>
        <v/>
      </c>
      <c r="D38" s="55">
        <f>SUM('CF (нед)'!H38:K38)</f>
        <v/>
      </c>
      <c r="E38" s="55">
        <f>SUM('CF (нед)'!L38:O38)</f>
        <v/>
      </c>
      <c r="F38" s="55">
        <f>SUM('CF (нед)'!P38:S38)</f>
        <v/>
      </c>
      <c r="G38" s="55">
        <f>SUM('CF (нед)'!T38:X38)</f>
        <v/>
      </c>
      <c r="H38" s="55">
        <f>SUM('CF (нед)'!Y38:AB38)</f>
        <v/>
      </c>
      <c r="I38" s="55">
        <f>SUM('CF (нед)'!AC38:AF38)</f>
        <v/>
      </c>
      <c r="J38" s="55">
        <f>SUM('CF (нед)'!AG38:AK38)</f>
        <v/>
      </c>
      <c r="K38" s="55">
        <f>SUM('CF (нед)'!AL38:AO38)</f>
        <v/>
      </c>
      <c r="L38" s="55">
        <f>SUM('CF (нед)'!AP38:AT38)</f>
        <v/>
      </c>
      <c r="M38" s="55">
        <f>SUM('CF (нед)'!AU38:AX38)</f>
        <v/>
      </c>
      <c r="N38" s="55">
        <f>SUM('CF (нед)'!AY38:BB38)</f>
        <v/>
      </c>
      <c r="O38" s="468">
        <f>SUM(C38:N38)</f>
        <v/>
      </c>
    </row>
    <row r="39" ht="32.25" customHeight="1">
      <c r="A39" s="30" t="inlineStr">
        <is>
          <t>Инвестор</t>
        </is>
      </c>
      <c r="B39" s="548" t="inlineStr">
        <is>
          <t>Остаток после вывода должен быть больше  суммы закупки и доставки следующего месяца</t>
        </is>
      </c>
      <c r="C39" s="9">
        <f>SUM('CF (нед)'!C39:G39)</f>
        <v/>
      </c>
      <c r="D39" s="9">
        <f>SUM('CF (нед)'!H39:K39)</f>
        <v/>
      </c>
      <c r="E39" s="9">
        <f>SUM('CF (нед)'!L39:O39)</f>
        <v/>
      </c>
      <c r="F39" s="9">
        <f>SUM('CF (нед)'!P39:S39)</f>
        <v/>
      </c>
      <c r="G39" s="9">
        <f>SUM('CF (нед)'!T39:X39)</f>
        <v/>
      </c>
      <c r="H39" s="9">
        <f>SUM('CF (нед)'!Y39:AB39)</f>
        <v/>
      </c>
      <c r="I39" s="9">
        <f>SUM('CF (нед)'!AC39:AF39)</f>
        <v/>
      </c>
      <c r="J39" s="9">
        <f>SUM('CF (нед)'!AG39:AK39)</f>
        <v/>
      </c>
      <c r="K39" s="9">
        <f>SUM('CF (нед)'!AL39:AO39)</f>
        <v/>
      </c>
      <c r="L39" s="9">
        <f>SUM('CF (нед)'!AP39:AT39)</f>
        <v/>
      </c>
      <c r="M39" s="9">
        <f>SUM('CF (нед)'!AU39:AX39)</f>
        <v/>
      </c>
      <c r="N39" s="9">
        <f>SUM('CF (нед)'!AY39:BB39)</f>
        <v/>
      </c>
      <c r="O39" s="468">
        <f>SUM(C39:N39)</f>
        <v/>
      </c>
    </row>
    <row r="40" ht="32.25" customHeight="1">
      <c r="A40" s="30" t="inlineStr">
        <is>
          <t>Управляющий</t>
        </is>
      </c>
      <c r="B40" s="542" t="n"/>
      <c r="C40" s="9">
        <f>SUM('CF (нед)'!C40:G40)</f>
        <v/>
      </c>
      <c r="D40" s="9">
        <f>SUM('CF (нед)'!H40:K40)</f>
        <v/>
      </c>
      <c r="E40" s="9">
        <f>SUM('CF (нед)'!L40:O40)</f>
        <v/>
      </c>
      <c r="F40" s="9">
        <f>SUM('CF (нед)'!P40:S40)</f>
        <v/>
      </c>
      <c r="G40" s="9">
        <f>SUM('CF (нед)'!T40:X40)</f>
        <v/>
      </c>
      <c r="H40" s="9">
        <f>SUM('CF (нед)'!Y40:AB40)</f>
        <v/>
      </c>
      <c r="I40" s="9">
        <f>SUM('CF (нед)'!AC40:AF40)</f>
        <v/>
      </c>
      <c r="J40" s="9">
        <f>SUM('CF (нед)'!AG40:AK40)</f>
        <v/>
      </c>
      <c r="K40" s="9">
        <f>SUM('CF (нед)'!AL40:AO40)</f>
        <v/>
      </c>
      <c r="L40" s="9">
        <f>SUM('CF (нед)'!AP40:AT40)</f>
        <v/>
      </c>
      <c r="M40" s="9">
        <f>SUM('CF (нед)'!AU40:AX40)</f>
        <v/>
      </c>
      <c r="N40" s="9">
        <f>SUM('CF (нед)'!AY40:BB40)</f>
        <v/>
      </c>
      <c r="O40" s="468">
        <f>SUM(C40:N40)</f>
        <v/>
      </c>
    </row>
    <row r="41" ht="13.5" customHeight="1">
      <c r="A41" s="57" t="n"/>
      <c r="B41" s="53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468" t="n"/>
    </row>
    <row r="42" ht="13.5" customHeight="1">
      <c r="A42" s="49" t="inlineStr">
        <is>
          <t>Остаток денежных средств на конец периода</t>
        </is>
      </c>
      <c r="B42" s="58" t="n"/>
      <c r="C42" s="51">
        <f>C33-C38</f>
        <v/>
      </c>
      <c r="D42" s="52">
        <f>D33-D38</f>
        <v/>
      </c>
      <c r="E42" s="52">
        <f>E33-E38</f>
        <v/>
      </c>
      <c r="F42" s="52">
        <f>F33-F38</f>
        <v/>
      </c>
      <c r="G42" s="52">
        <f>G33-G38</f>
        <v/>
      </c>
      <c r="H42" s="52">
        <f>H33-H38</f>
        <v/>
      </c>
      <c r="I42" s="52">
        <f>I33-I38</f>
        <v/>
      </c>
      <c r="J42" s="52">
        <f>J33-J38</f>
        <v/>
      </c>
      <c r="K42" s="52">
        <f>K33-K38</f>
        <v/>
      </c>
      <c r="L42" s="52">
        <f>L33-L38</f>
        <v/>
      </c>
      <c r="M42" s="52">
        <f>M33-M38</f>
        <v/>
      </c>
      <c r="N42" s="52">
        <f>N33-N38</f>
        <v/>
      </c>
      <c r="O42" s="468" t="n"/>
    </row>
    <row r="43" ht="13.5" customHeight="1">
      <c r="A43" s="30" t="n"/>
      <c r="B43" s="56" t="inlineStr">
        <is>
          <t>Накопленный финансовый результат</t>
        </is>
      </c>
      <c r="C43" s="55">
        <f>'PL WB'!C64+'PL OZON'!C64</f>
        <v/>
      </c>
      <c r="D43" s="55">
        <f>'PL WB'!D64+'PL OZON'!D64</f>
        <v/>
      </c>
      <c r="E43" s="55">
        <f>'PL WB'!E64+'PL OZON'!E64</f>
        <v/>
      </c>
      <c r="F43" s="55">
        <f>'PL WB'!F64+'PL OZON'!F64</f>
        <v/>
      </c>
      <c r="G43" s="55">
        <f>'PL WB'!G64+'PL OZON'!G64</f>
        <v/>
      </c>
      <c r="H43" s="55">
        <f>'PL WB'!H64+'PL OZON'!H64</f>
        <v/>
      </c>
      <c r="I43" s="55">
        <f>'PL WB'!I64+'PL OZON'!I64</f>
        <v/>
      </c>
      <c r="J43" s="55">
        <f>'PL WB'!J64+'PL OZON'!J64</f>
        <v/>
      </c>
      <c r="K43" s="55">
        <f>'PL WB'!K64+'PL OZON'!K64</f>
        <v/>
      </c>
      <c r="L43" s="55">
        <f>'PL WB'!L64+'PL OZON'!L64</f>
        <v/>
      </c>
      <c r="M43" s="55">
        <f>'PL WB'!M64+'PL OZON'!M64</f>
        <v/>
      </c>
      <c r="N43" s="55">
        <f>'PL WB'!N64+'PL OZON'!N64</f>
        <v/>
      </c>
      <c r="O43" s="468" t="n"/>
    </row>
    <row r="44" ht="13.5" customHeight="1">
      <c r="A44" s="57" t="n"/>
      <c r="B44" s="53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468" t="n"/>
    </row>
    <row r="45" ht="13.5" customHeight="1">
      <c r="A45" s="59" t="inlineStr">
        <is>
          <t>Доступный остаток средств</t>
        </is>
      </c>
      <c r="B45" s="60" t="n"/>
      <c r="C45" s="61">
        <f>C42-SUM(D23:D27)</f>
        <v/>
      </c>
      <c r="D45" s="61">
        <f>D42-SUM(E23:E27)</f>
        <v/>
      </c>
      <c r="E45" s="61">
        <f>E42-SUM(F23:F27)</f>
        <v/>
      </c>
      <c r="F45" s="61">
        <f>F42-SUM(G23:G27)</f>
        <v/>
      </c>
      <c r="G45" s="61">
        <f>G42-SUM(H23:H27)</f>
        <v/>
      </c>
      <c r="H45" s="61">
        <f>H42-SUM(I23:I27)</f>
        <v/>
      </c>
      <c r="I45" s="61">
        <f>I42-SUM(J23:J27)</f>
        <v/>
      </c>
      <c r="J45" s="61">
        <f>J42-SUM(K23:K27)</f>
        <v/>
      </c>
      <c r="K45" s="61">
        <f>K42-SUM(L23:L27)</f>
        <v/>
      </c>
      <c r="L45" s="61">
        <f>L42-SUM(M23:M27)</f>
        <v/>
      </c>
      <c r="M45" s="61">
        <f>M42-SUM(N23:N27)</f>
        <v/>
      </c>
      <c r="N45" s="61">
        <f>N42-SUM(O23:O27)</f>
        <v/>
      </c>
      <c r="O45" s="468" t="n"/>
    </row>
  </sheetData>
  <mergeCells count="2">
    <mergeCell ref="B39:B40"/>
    <mergeCell ref="C2:N2"/>
  </mergeCells>
  <conditionalFormatting sqref="A5 C5:N5">
    <cfRule type="cellIs" priority="2" operator="between" dxfId="3">
      <formula>0</formula>
      <formula>1000000</formula>
    </cfRule>
  </conditionalFormatting>
  <conditionalFormatting sqref="A4:N4">
    <cfRule type="cellIs" priority="1" operator="greaterThan" dxfId="2">
      <formula>0</formula>
    </cfRule>
  </conditionalFormatting>
  <conditionalFormatting sqref="A31:N33 A42 C42:N42">
    <cfRule type="cellIs" priority="3" operator="lessThan" dxfId="1">
      <formula>0</formula>
    </cfRule>
  </conditionalFormatting>
  <conditionalFormatting sqref="C23:N29">
    <cfRule type="cellIs" priority="4" operator="greaterThan" dxfId="0">
      <formula>0</formula>
    </cfRule>
  </conditionalFormatting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 S</dc:creator>
  <dcterms:created xsi:type="dcterms:W3CDTF">2025-01-06T12:37:51Z</dcterms:created>
  <dcterms:modified xsi:type="dcterms:W3CDTF">2026-06-12T12:11:30Z</dcterms:modified>
  <cp:lastModifiedBy>A S</cp:lastModifiedBy>
</cp:coreProperties>
</file>